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2. Ph2_재개공사\03. 대내업무\02. 외주기성\06. 26년 07월 외주기성\검토완_대성\"/>
    </mc:Choice>
  </mc:AlternateContent>
  <xr:revisionPtr revIDLastSave="0" documentId="13_ncr:1_{BF471745-929C-4A9C-A202-A98F19849604}" xr6:coauthVersionLast="36" xr6:coauthVersionMax="36" xr10:uidLastSave="{00000000-0000-0000-0000-000000000000}"/>
  <bookViews>
    <workbookView xWindow="0" yWindow="0" windowWidth="28800" windowHeight="12060" tabRatio="839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state="hidden" r:id="rId4"/>
    <sheet name="집계장" sheetId="6" r:id="rId5"/>
    <sheet name="물량 내역서" sheetId="7" r:id="rId6"/>
    <sheet name="근로내역 (07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definedNames>
    <definedName name="_xlnm._FilterDatabase" localSheetId="6" hidden="1">'근로내역 (07월)'!$A$5:$AP$206</definedName>
    <definedName name="_xlnm._FilterDatabase" localSheetId="5" hidden="1">'물량 내역서'!$A$5:$M$52</definedName>
    <definedName name="_xlnm._FilterDatabase" localSheetId="8" hidden="1">숙소관리비!$A$3:$L$126</definedName>
    <definedName name="_xlnm.Print_Area" localSheetId="10">기타비용!$A$1:$I$138</definedName>
    <definedName name="_xlnm.Print_Area" localSheetId="8">숙소관리비!$A$1:$J$127</definedName>
    <definedName name="_xlnm.Print_Area" localSheetId="7">숙소임차료!$A$1:$J$44</definedName>
    <definedName name="_xlnm.Print_Area" localSheetId="9">식대비용!$A$1:$J$5</definedName>
    <definedName name="_xlnm.Print_Area" localSheetId="4">집계장!$B$1:$M$27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6" l="1"/>
  <c r="I15" i="6"/>
  <c r="J15" i="6" s="1"/>
  <c r="I16" i="6" l="1"/>
  <c r="I3" i="10" l="1"/>
  <c r="H3" i="12" l="1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G10" i="6"/>
  <c r="I3" i="9"/>
  <c r="G11" i="6"/>
  <c r="I5" i="11"/>
  <c r="G9" i="6"/>
  <c r="AO193" i="8"/>
  <c r="AL193" i="8"/>
  <c r="AK193" i="8"/>
  <c r="AJ193" i="8"/>
  <c r="AI193" i="8"/>
  <c r="AH193" i="8"/>
  <c r="AG193" i="8"/>
  <c r="AF193" i="8"/>
  <c r="AE193" i="8"/>
  <c r="AD193" i="8"/>
  <c r="AC193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AN192" i="8"/>
  <c r="AP192" i="8" s="1"/>
  <c r="AN191" i="8"/>
  <c r="AP191" i="8" s="1"/>
  <c r="AN190" i="8"/>
  <c r="AP190" i="8" s="1"/>
  <c r="AN189" i="8"/>
  <c r="AP189" i="8" s="1"/>
  <c r="AN188" i="8"/>
  <c r="AP188" i="8" s="1"/>
  <c r="AN187" i="8"/>
  <c r="AP187" i="8" s="1"/>
  <c r="AN186" i="8"/>
  <c r="AP186" i="8" s="1"/>
  <c r="AN185" i="8"/>
  <c r="AP185" i="8" s="1"/>
  <c r="AN184" i="8"/>
  <c r="AP184" i="8" s="1"/>
  <c r="AN183" i="8"/>
  <c r="AP183" i="8" s="1"/>
  <c r="AN182" i="8"/>
  <c r="AP182" i="8" s="1"/>
  <c r="AN181" i="8"/>
  <c r="AP181" i="8" s="1"/>
  <c r="AN180" i="8"/>
  <c r="AP180" i="8" s="1"/>
  <c r="AN179" i="8"/>
  <c r="AP179" i="8" s="1"/>
  <c r="AN178" i="8"/>
  <c r="AP178" i="8" s="1"/>
  <c r="AN177" i="8"/>
  <c r="AP177" i="8" s="1"/>
  <c r="AN176" i="8"/>
  <c r="AP176" i="8" s="1"/>
  <c r="AN175" i="8"/>
  <c r="AP175" i="8" s="1"/>
  <c r="AN174" i="8"/>
  <c r="AP174" i="8" s="1"/>
  <c r="AN173" i="8"/>
  <c r="AP173" i="8" s="1"/>
  <c r="AN172" i="8"/>
  <c r="AP172" i="8" s="1"/>
  <c r="AN171" i="8"/>
  <c r="AP171" i="8" s="1"/>
  <c r="AN170" i="8"/>
  <c r="AP170" i="8" s="1"/>
  <c r="AN169" i="8"/>
  <c r="AP169" i="8" s="1"/>
  <c r="AN168" i="8"/>
  <c r="AP168" i="8" s="1"/>
  <c r="AN167" i="8"/>
  <c r="AP167" i="8" s="1"/>
  <c r="AN166" i="8"/>
  <c r="AP166" i="8" s="1"/>
  <c r="AN165" i="8"/>
  <c r="AP165" i="8" s="1"/>
  <c r="AN164" i="8"/>
  <c r="AP164" i="8" s="1"/>
  <c r="AN163" i="8"/>
  <c r="AP163" i="8" s="1"/>
  <c r="AN162" i="8"/>
  <c r="AP162" i="8" s="1"/>
  <c r="AN161" i="8"/>
  <c r="AP161" i="8" s="1"/>
  <c r="L21" i="6"/>
  <c r="I18" i="6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" i="6"/>
  <c r="AM193" i="8"/>
  <c r="AN160" i="8"/>
  <c r="AP160" i="8" s="1"/>
  <c r="AN159" i="8"/>
  <c r="AP159" i="8" s="1"/>
  <c r="AN158" i="8"/>
  <c r="AP158" i="8" s="1"/>
  <c r="AN157" i="8"/>
  <c r="AP157" i="8" s="1"/>
  <c r="AN156" i="8"/>
  <c r="AP156" i="8" s="1"/>
  <c r="AN155" i="8"/>
  <c r="AP155" i="8" s="1"/>
  <c r="AN154" i="8"/>
  <c r="AP154" i="8" s="1"/>
  <c r="AN153" i="8"/>
  <c r="AP153" i="8" s="1"/>
  <c r="AN152" i="8"/>
  <c r="AP152" i="8" s="1"/>
  <c r="AN151" i="8"/>
  <c r="AP151" i="8" s="1"/>
  <c r="AN150" i="8"/>
  <c r="AP150" i="8" s="1"/>
  <c r="AN149" i="8"/>
  <c r="AP149" i="8" s="1"/>
  <c r="AN148" i="8"/>
  <c r="AP148" i="8" s="1"/>
  <c r="AN147" i="8"/>
  <c r="AP147" i="8" s="1"/>
  <c r="AN146" i="8"/>
  <c r="AP146" i="8" s="1"/>
  <c r="AN145" i="8"/>
  <c r="AP145" i="8" s="1"/>
  <c r="AN144" i="8"/>
  <c r="AP144" i="8" s="1"/>
  <c r="AN143" i="8"/>
  <c r="AP143" i="8" s="1"/>
  <c r="AN142" i="8"/>
  <c r="AP142" i="8" s="1"/>
  <c r="AN141" i="8"/>
  <c r="AP141" i="8" s="1"/>
  <c r="AN140" i="8"/>
  <c r="AP140" i="8" s="1"/>
  <c r="AN139" i="8"/>
  <c r="AP139" i="8" s="1"/>
  <c r="AN138" i="8"/>
  <c r="AP138" i="8" s="1"/>
  <c r="AN137" i="8"/>
  <c r="AP137" i="8" s="1"/>
  <c r="AN136" i="8"/>
  <c r="AP136" i="8" s="1"/>
  <c r="AN135" i="8"/>
  <c r="AP135" i="8" s="1"/>
  <c r="AN134" i="8"/>
  <c r="AP134" i="8" s="1"/>
  <c r="AN133" i="8"/>
  <c r="AP133" i="8" s="1"/>
  <c r="AN132" i="8"/>
  <c r="AP132" i="8" s="1"/>
  <c r="AN131" i="8"/>
  <c r="AP131" i="8" s="1"/>
  <c r="AN130" i="8"/>
  <c r="AP130" i="8" s="1"/>
  <c r="AN129" i="8"/>
  <c r="AP129" i="8" s="1"/>
  <c r="AN128" i="8"/>
  <c r="AP128" i="8" s="1"/>
  <c r="AN127" i="8"/>
  <c r="AP127" i="8" s="1"/>
  <c r="AN126" i="8"/>
  <c r="AP126" i="8" s="1"/>
  <c r="AN125" i="8"/>
  <c r="AP125" i="8" s="1"/>
  <c r="AN124" i="8"/>
  <c r="AP124" i="8" s="1"/>
  <c r="AN123" i="8"/>
  <c r="AP123" i="8" s="1"/>
  <c r="AN122" i="8"/>
  <c r="AP122" i="8" s="1"/>
  <c r="AN121" i="8"/>
  <c r="AP121" i="8" s="1"/>
  <c r="AN120" i="8"/>
  <c r="AP120" i="8" s="1"/>
  <c r="AN119" i="8"/>
  <c r="AP119" i="8" s="1"/>
  <c r="AN118" i="8"/>
  <c r="AP118" i="8" s="1"/>
  <c r="AN117" i="8"/>
  <c r="AP117" i="8" s="1"/>
  <c r="AN116" i="8"/>
  <c r="AP116" i="8" s="1"/>
  <c r="AN115" i="8"/>
  <c r="AP115" i="8" s="1"/>
  <c r="AN114" i="8"/>
  <c r="AP114" i="8" s="1"/>
  <c r="AN113" i="8"/>
  <c r="AP113" i="8" s="1"/>
  <c r="AN112" i="8"/>
  <c r="AP112" i="8" s="1"/>
  <c r="AN111" i="8"/>
  <c r="AP111" i="8" s="1"/>
  <c r="AN110" i="8"/>
  <c r="AP110" i="8" s="1"/>
  <c r="AN109" i="8"/>
  <c r="AP109" i="8" s="1"/>
  <c r="AN108" i="8"/>
  <c r="AP108" i="8" s="1"/>
  <c r="AN107" i="8"/>
  <c r="AP107" i="8" s="1"/>
  <c r="AN106" i="8"/>
  <c r="AP106" i="8" s="1"/>
  <c r="AN105" i="8"/>
  <c r="AP105" i="8" s="1"/>
  <c r="AN104" i="8"/>
  <c r="AP104" i="8" s="1"/>
  <c r="AN103" i="8"/>
  <c r="AP103" i="8" s="1"/>
  <c r="AN102" i="8"/>
  <c r="AP102" i="8" s="1"/>
  <c r="AN101" i="8"/>
  <c r="AP101" i="8" s="1"/>
  <c r="H13" i="6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AN100" i="8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N84" i="8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H23" i="6" l="1"/>
  <c r="H14" i="6"/>
  <c r="H19" i="6" s="1"/>
  <c r="AP99" i="8"/>
  <c r="AP100" i="8"/>
  <c r="AP98" i="8"/>
  <c r="AP97" i="8"/>
  <c r="AP96" i="8"/>
  <c r="AP95" i="8"/>
  <c r="AP94" i="8"/>
  <c r="AP93" i="8"/>
  <c r="AP91" i="8"/>
  <c r="AP90" i="8"/>
  <c r="AP88" i="8"/>
  <c r="AP87" i="8"/>
  <c r="AP86" i="8"/>
  <c r="AP85" i="8"/>
  <c r="AP84" i="8"/>
  <c r="AP83" i="8"/>
  <c r="AP82" i="8"/>
  <c r="AP81" i="8"/>
  <c r="AP80" i="8"/>
  <c r="AP77" i="8"/>
  <c r="AP76" i="8"/>
  <c r="AP73" i="8"/>
  <c r="AP71" i="8"/>
  <c r="AP92" i="8"/>
  <c r="AP89" i="8"/>
  <c r="AP79" i="8"/>
  <c r="AP78" i="8"/>
  <c r="AP75" i="8"/>
  <c r="AP74" i="8"/>
  <c r="AP72" i="8"/>
  <c r="J12" i="7"/>
  <c r="J16" i="6" l="1"/>
  <c r="H62" i="12" l="1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AM205" i="8" l="1"/>
  <c r="AL205" i="8"/>
  <c r="AK205" i="8"/>
  <c r="AJ205" i="8"/>
  <c r="AI205" i="8"/>
  <c r="AH205" i="8"/>
  <c r="AG205" i="8"/>
  <c r="AF205" i="8"/>
  <c r="AE205" i="8"/>
  <c r="AD205" i="8"/>
  <c r="AC205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204" i="8" l="1"/>
  <c r="AP204" i="8" s="1"/>
  <c r="AN203" i="8"/>
  <c r="AP203" i="8" s="1"/>
  <c r="AN202" i="8"/>
  <c r="AP202" i="8" s="1"/>
  <c r="AN201" i="8"/>
  <c r="AP201" i="8" s="1"/>
  <c r="AN200" i="8"/>
  <c r="AP200" i="8" s="1"/>
  <c r="AN199" i="8"/>
  <c r="AP199" i="8" s="1"/>
  <c r="AN198" i="8"/>
  <c r="AP198" i="8" s="1"/>
  <c r="F5" i="13"/>
  <c r="F6" i="13"/>
  <c r="F7" i="13"/>
  <c r="F8" i="13"/>
  <c r="F9" i="13"/>
  <c r="F10" i="13"/>
  <c r="F11" i="13"/>
  <c r="E27" i="13"/>
  <c r="F27" i="13" l="1"/>
  <c r="D14" i="2" l="1"/>
  <c r="H37" i="12"/>
  <c r="H36" i="12"/>
  <c r="H35" i="12"/>
  <c r="H34" i="12"/>
  <c r="H33" i="12"/>
  <c r="H32" i="12"/>
  <c r="AO206" i="8" l="1"/>
  <c r="AN194" i="8" l="1"/>
  <c r="AN195" i="8"/>
  <c r="AP195" i="8" s="1"/>
  <c r="AN196" i="8"/>
  <c r="AP196" i="8" s="1"/>
  <c r="AN197" i="8"/>
  <c r="AP197" i="8" s="1"/>
  <c r="H13" i="12"/>
  <c r="AN41" i="8"/>
  <c r="AP41" i="8" s="1"/>
  <c r="AN40" i="8"/>
  <c r="AP40" i="8" s="1"/>
  <c r="AN39" i="8"/>
  <c r="AP39" i="8" s="1"/>
  <c r="AP194" i="8" l="1"/>
  <c r="AP205" i="8" s="1"/>
  <c r="AN205" i="8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E11" i="6" l="1"/>
  <c r="E10" i="6"/>
  <c r="AN17" i="8" l="1"/>
  <c r="AP17" i="8" s="1"/>
  <c r="AN16" i="8"/>
  <c r="AP16" i="8" s="1"/>
  <c r="E10" i="2" l="1"/>
  <c r="E9" i="2"/>
  <c r="J51" i="7" l="1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K32" i="7" s="1"/>
  <c r="J31" i="7"/>
  <c r="J30" i="7"/>
  <c r="J29" i="7"/>
  <c r="E6" i="6" l="1"/>
  <c r="H6" i="12"/>
  <c r="H5" i="12"/>
  <c r="H4" i="12"/>
  <c r="I11" i="6" l="1"/>
  <c r="I10" i="6"/>
  <c r="AM3" i="8" l="1"/>
  <c r="AM1" i="8"/>
  <c r="AB206" i="8"/>
  <c r="AA206" i="8"/>
  <c r="Z206" i="8"/>
  <c r="X206" i="8"/>
  <c r="Q206" i="8"/>
  <c r="L206" i="8"/>
  <c r="K206" i="8"/>
  <c r="J206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193" i="8" l="1"/>
  <c r="AG206" i="8"/>
  <c r="AH206" i="8"/>
  <c r="N206" i="8"/>
  <c r="AD206" i="8"/>
  <c r="O206" i="8"/>
  <c r="AE206" i="8"/>
  <c r="R206" i="8"/>
  <c r="I206" i="8"/>
  <c r="Y206" i="8"/>
  <c r="P206" i="8"/>
  <c r="AF206" i="8"/>
  <c r="AI206" i="8"/>
  <c r="T206" i="8"/>
  <c r="AJ206" i="8"/>
  <c r="S206" i="8"/>
  <c r="U206" i="8"/>
  <c r="AK206" i="8"/>
  <c r="V206" i="8"/>
  <c r="AL206" i="8"/>
  <c r="W206" i="8"/>
  <c r="AM206" i="8"/>
  <c r="M206" i="8"/>
  <c r="AC206" i="8"/>
  <c r="AP6" i="8"/>
  <c r="AP193" i="8" s="1"/>
  <c r="E51" i="7"/>
  <c r="K51" i="7" s="1"/>
  <c r="M51" i="7" s="1"/>
  <c r="G51" i="7" s="1"/>
  <c r="E50" i="7"/>
  <c r="K50" i="7" s="1"/>
  <c r="M50" i="7" s="1"/>
  <c r="G50" i="7" s="1"/>
  <c r="E49" i="7"/>
  <c r="K49" i="7" s="1"/>
  <c r="M49" i="7" s="1"/>
  <c r="G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E42" i="7"/>
  <c r="E41" i="7"/>
  <c r="E40" i="7"/>
  <c r="E39" i="7"/>
  <c r="E38" i="7"/>
  <c r="E37" i="7"/>
  <c r="E36" i="7"/>
  <c r="E35" i="7"/>
  <c r="K35" i="7" s="1"/>
  <c r="E34" i="7"/>
  <c r="K34" i="7" s="1"/>
  <c r="M34" i="7" s="1"/>
  <c r="G34" i="7" s="1"/>
  <c r="E33" i="7"/>
  <c r="K33" i="7" s="1"/>
  <c r="M33" i="7" s="1"/>
  <c r="G33" i="7" s="1"/>
  <c r="E31" i="7"/>
  <c r="E30" i="7"/>
  <c r="K30" i="7" s="1"/>
  <c r="M30" i="7" s="1"/>
  <c r="G30" i="7" s="1"/>
  <c r="E29" i="7"/>
  <c r="J28" i="7"/>
  <c r="J27" i="7"/>
  <c r="L27" i="7" s="1"/>
  <c r="F27" i="7" s="1"/>
  <c r="J26" i="7"/>
  <c r="K26" i="7" s="1"/>
  <c r="M26" i="7" s="1"/>
  <c r="G26" i="7" s="1"/>
  <c r="J25" i="7"/>
  <c r="K25" i="7" s="1"/>
  <c r="M25" i="7" s="1"/>
  <c r="G25" i="7" s="1"/>
  <c r="J24" i="7"/>
  <c r="L24" i="7" s="1"/>
  <c r="F24" i="7" s="1"/>
  <c r="J23" i="7"/>
  <c r="L23" i="7" s="1"/>
  <c r="F23" i="7" s="1"/>
  <c r="J22" i="7"/>
  <c r="K22" i="7" s="1"/>
  <c r="M22" i="7" s="1"/>
  <c r="G22" i="7" s="1"/>
  <c r="J21" i="7"/>
  <c r="L21" i="7" s="1"/>
  <c r="F21" i="7" s="1"/>
  <c r="J20" i="7"/>
  <c r="L20" i="7" s="1"/>
  <c r="F20" i="7" s="1"/>
  <c r="J19" i="7"/>
  <c r="K19" i="7" s="1"/>
  <c r="M19" i="7" s="1"/>
  <c r="G19" i="7" s="1"/>
  <c r="J18" i="7"/>
  <c r="L18" i="7" s="1"/>
  <c r="F18" i="7" s="1"/>
  <c r="J17" i="7"/>
  <c r="L17" i="7" s="1"/>
  <c r="F17" i="7" s="1"/>
  <c r="J16" i="7"/>
  <c r="L16" i="7" s="1"/>
  <c r="F16" i="7" s="1"/>
  <c r="J15" i="7"/>
  <c r="L15" i="7" s="1"/>
  <c r="F15" i="7" s="1"/>
  <c r="J14" i="7"/>
  <c r="K14" i="7" s="1"/>
  <c r="M14" i="7" s="1"/>
  <c r="G14" i="7" s="1"/>
  <c r="J13" i="7"/>
  <c r="L13" i="7" s="1"/>
  <c r="F13" i="7" s="1"/>
  <c r="L12" i="7"/>
  <c r="F12" i="7" s="1"/>
  <c r="J11" i="7"/>
  <c r="L11" i="7" s="1"/>
  <c r="F11" i="7" s="1"/>
  <c r="J10" i="7"/>
  <c r="L10" i="7" s="1"/>
  <c r="F10" i="7" s="1"/>
  <c r="J9" i="7"/>
  <c r="K9" i="7" s="1"/>
  <c r="M9" i="7" s="1"/>
  <c r="G9" i="7" s="1"/>
  <c r="J8" i="7"/>
  <c r="J7" i="7"/>
  <c r="L7" i="7" s="1"/>
  <c r="F7" i="7" s="1"/>
  <c r="J6" i="7"/>
  <c r="A2" i="7"/>
  <c r="I52" i="7"/>
  <c r="H52" i="7"/>
  <c r="L50" i="7"/>
  <c r="F50" i="7" s="1"/>
  <c r="L49" i="7"/>
  <c r="F49" i="7" s="1"/>
  <c r="L48" i="7"/>
  <c r="F48" i="7" s="1"/>
  <c r="L47" i="7"/>
  <c r="F47" i="7" s="1"/>
  <c r="L46" i="7"/>
  <c r="F46" i="7" s="1"/>
  <c r="L35" i="7"/>
  <c r="F35" i="7" s="1"/>
  <c r="L34" i="7"/>
  <c r="F34" i="7" s="1"/>
  <c r="L33" i="7"/>
  <c r="F33" i="7" s="1"/>
  <c r="L32" i="7"/>
  <c r="F32" i="7" s="1"/>
  <c r="M32" i="7"/>
  <c r="G32" i="7" s="1"/>
  <c r="B2" i="6"/>
  <c r="A2" i="13" s="1"/>
  <c r="M3" i="6"/>
  <c r="K27" i="7" l="1"/>
  <c r="M27" i="7" s="1"/>
  <c r="G27" i="7" s="1"/>
  <c r="L8" i="7"/>
  <c r="F8" i="7" s="1"/>
  <c r="J52" i="7"/>
  <c r="I9" i="6"/>
  <c r="L19" i="7"/>
  <c r="F19" i="7" s="1"/>
  <c r="K17" i="7"/>
  <c r="M17" i="7" s="1"/>
  <c r="G17" i="7" s="1"/>
  <c r="K24" i="7"/>
  <c r="M24" i="7" s="1"/>
  <c r="G24" i="7" s="1"/>
  <c r="K37" i="7"/>
  <c r="M37" i="7" s="1"/>
  <c r="G37" i="7" s="1"/>
  <c r="K38" i="7"/>
  <c r="M38" i="7" s="1"/>
  <c r="G38" i="7" s="1"/>
  <c r="K41" i="7"/>
  <c r="M41" i="7" s="1"/>
  <c r="G41" i="7" s="1"/>
  <c r="K42" i="7"/>
  <c r="M42" i="7" s="1"/>
  <c r="G42" i="7" s="1"/>
  <c r="L43" i="7"/>
  <c r="F43" i="7" s="1"/>
  <c r="K43" i="7"/>
  <c r="M43" i="7" s="1"/>
  <c r="G43" i="7" s="1"/>
  <c r="L9" i="7"/>
  <c r="F9" i="7" s="1"/>
  <c r="K39" i="7"/>
  <c r="K40" i="7"/>
  <c r="M40" i="7" s="1"/>
  <c r="G40" i="7" s="1"/>
  <c r="K11" i="7"/>
  <c r="M11" i="7" s="1"/>
  <c r="G11" i="7" s="1"/>
  <c r="K29" i="7"/>
  <c r="M29" i="7" s="1"/>
  <c r="G29" i="7" s="1"/>
  <c r="K31" i="7"/>
  <c r="M31" i="7" s="1"/>
  <c r="G31" i="7" s="1"/>
  <c r="K36" i="7"/>
  <c r="M36" i="7" s="1"/>
  <c r="G36" i="7" s="1"/>
  <c r="E7" i="6"/>
  <c r="G7" i="6" s="1"/>
  <c r="I7" i="6" s="1"/>
  <c r="J7" i="6" s="1"/>
  <c r="K8" i="7"/>
  <c r="E5" i="6"/>
  <c r="L28" i="7"/>
  <c r="F28" i="7" s="1"/>
  <c r="L25" i="7"/>
  <c r="F25" i="7" s="1"/>
  <c r="AP206" i="8"/>
  <c r="L41" i="7"/>
  <c r="F41" i="7" s="1"/>
  <c r="L39" i="7"/>
  <c r="F39" i="7" s="1"/>
  <c r="K7" i="7"/>
  <c r="M7" i="7" s="1"/>
  <c r="G7" i="7" s="1"/>
  <c r="K15" i="7"/>
  <c r="M15" i="7" s="1"/>
  <c r="G15" i="7" s="1"/>
  <c r="K23" i="7"/>
  <c r="M23" i="7" s="1"/>
  <c r="G23" i="7" s="1"/>
  <c r="K16" i="7"/>
  <c r="M16" i="7" s="1"/>
  <c r="G16" i="7" s="1"/>
  <c r="K6" i="7"/>
  <c r="L6" i="7"/>
  <c r="L14" i="7"/>
  <c r="F14" i="7" s="1"/>
  <c r="L22" i="7"/>
  <c r="F22" i="7" s="1"/>
  <c r="L30" i="7"/>
  <c r="F30" i="7" s="1"/>
  <c r="L37" i="7"/>
  <c r="F37" i="7" s="1"/>
  <c r="L44" i="7"/>
  <c r="F44" i="7" s="1"/>
  <c r="L51" i="7"/>
  <c r="F51" i="7" s="1"/>
  <c r="K12" i="7"/>
  <c r="M12" i="7" s="1"/>
  <c r="G12" i="7" s="1"/>
  <c r="K20" i="7"/>
  <c r="M20" i="7" s="1"/>
  <c r="G20" i="7" s="1"/>
  <c r="K28" i="7"/>
  <c r="M35" i="7"/>
  <c r="G35" i="7" s="1"/>
  <c r="L42" i="7"/>
  <c r="F42" i="7" s="1"/>
  <c r="L31" i="7"/>
  <c r="F31" i="7" s="1"/>
  <c r="L38" i="7"/>
  <c r="F38" i="7" s="1"/>
  <c r="L40" i="7"/>
  <c r="F40" i="7" s="1"/>
  <c r="K18" i="7"/>
  <c r="M18" i="7" s="1"/>
  <c r="G18" i="7" s="1"/>
  <c r="L26" i="7"/>
  <c r="F26" i="7" s="1"/>
  <c r="L45" i="7"/>
  <c r="F45" i="7" s="1"/>
  <c r="K10" i="7"/>
  <c r="M10" i="7" s="1"/>
  <c r="G10" i="7" s="1"/>
  <c r="K13" i="7"/>
  <c r="M13" i="7" s="1"/>
  <c r="G13" i="7" s="1"/>
  <c r="K21" i="7"/>
  <c r="M21" i="7" s="1"/>
  <c r="G21" i="7" s="1"/>
  <c r="L29" i="7"/>
  <c r="F29" i="7" s="1"/>
  <c r="L36" i="7"/>
  <c r="F36" i="7" s="1"/>
  <c r="G21" i="6"/>
  <c r="I20" i="6"/>
  <c r="J20" i="6" s="1"/>
  <c r="I17" i="6"/>
  <c r="G12" i="6"/>
  <c r="M8" i="7" l="1"/>
  <c r="G8" i="7" s="1"/>
  <c r="G5" i="6"/>
  <c r="I5" i="6" s="1"/>
  <c r="I21" i="6"/>
  <c r="J21" i="6" s="1"/>
  <c r="E11" i="2"/>
  <c r="G6" i="6"/>
  <c r="M39" i="7"/>
  <c r="G39" i="7" s="1"/>
  <c r="M28" i="7"/>
  <c r="G28" i="7" s="1"/>
  <c r="L52" i="7"/>
  <c r="F6" i="7"/>
  <c r="F52" i="7" s="1"/>
  <c r="K52" i="7"/>
  <c r="M6" i="7"/>
  <c r="F11" i="6"/>
  <c r="J11" i="6"/>
  <c r="F10" i="6"/>
  <c r="I12" i="6"/>
  <c r="J12" i="6" s="1"/>
  <c r="J10" i="6"/>
  <c r="F6" i="5"/>
  <c r="F7" i="5"/>
  <c r="F8" i="5"/>
  <c r="F9" i="5"/>
  <c r="F10" i="5"/>
  <c r="F11" i="5"/>
  <c r="F5" i="5"/>
  <c r="E15" i="5"/>
  <c r="E3" i="2"/>
  <c r="D3" i="2"/>
  <c r="G8" i="6" l="1"/>
  <c r="I8" i="6" s="1"/>
  <c r="E12" i="2"/>
  <c r="D12" i="2" s="1"/>
  <c r="J9" i="6"/>
  <c r="G13" i="6"/>
  <c r="F6" i="6"/>
  <c r="I6" i="6"/>
  <c r="J6" i="6" s="1"/>
  <c r="F5" i="6"/>
  <c r="M52" i="7"/>
  <c r="G6" i="7"/>
  <c r="G52" i="7" s="1"/>
  <c r="F13" i="5"/>
  <c r="D11" i="2"/>
  <c r="D10" i="2"/>
  <c r="D9" i="2"/>
  <c r="D7" i="2"/>
  <c r="J8" i="6" l="1"/>
  <c r="F15" i="5"/>
  <c r="J5" i="6"/>
  <c r="G14" i="6"/>
  <c r="I13" i="6"/>
  <c r="J13" i="6" s="1"/>
  <c r="G19" i="6" l="1"/>
  <c r="I19" i="6" s="1"/>
  <c r="J19" i="6" s="1"/>
  <c r="I14" i="6"/>
  <c r="G22" i="6" l="1"/>
  <c r="J14" i="6"/>
  <c r="G23" i="6" l="1"/>
  <c r="I23" i="6" s="1"/>
  <c r="I22" i="6"/>
  <c r="J22" i="6" s="1"/>
  <c r="J23" i="6" s="1"/>
  <c r="E5" i="2" s="1"/>
  <c r="D5" i="2" s="1"/>
  <c r="E8" i="2" l="1"/>
  <c r="E13" i="2"/>
  <c r="D8" i="2" l="1"/>
  <c r="D13" i="2"/>
  <c r="E6" i="2"/>
  <c r="D6" i="2" s="1"/>
  <c r="AN206" i="8"/>
  <c r="E9" i="6"/>
  <c r="F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<sst xmlns="http://schemas.openxmlformats.org/spreadsheetml/2006/main" count="3269" uniqueCount="1292">
  <si>
    <t>용 역 청 구 서</t>
    <phoneticPr fontId="5" type="noConversion"/>
  </si>
  <si>
    <t>용 역 청 구 서</t>
    <phoneticPr fontId="5" type="noConversion"/>
  </si>
  <si>
    <t>공      사      명</t>
    <phoneticPr fontId="8" type="noConversion"/>
  </si>
  <si>
    <t>:</t>
    <phoneticPr fontId="8" type="noConversion"/>
  </si>
  <si>
    <t>공               종</t>
    <phoneticPr fontId="8" type="noConversion"/>
  </si>
  <si>
    <t xml:space="preserve"> 외주용역(M/M부분)</t>
    <phoneticPr fontId="3" type="noConversion"/>
  </si>
  <si>
    <t>계   약    금   액</t>
    <phoneticPr fontId="8" type="noConversion"/>
  </si>
  <si>
    <t>(VAT 별도)</t>
    <phoneticPr fontId="8" type="noConversion"/>
  </si>
  <si>
    <t>누 계 기 성 금 액</t>
    <phoneticPr fontId="8" type="noConversion"/>
  </si>
  <si>
    <t>(VAT 별도)</t>
    <phoneticPr fontId="8" type="noConversion"/>
  </si>
  <si>
    <t>전 회 기 성 금 액</t>
    <phoneticPr fontId="8" type="noConversion"/>
  </si>
  <si>
    <t>:</t>
    <phoneticPr fontId="8" type="noConversion"/>
  </si>
  <si>
    <t>(VAT 별도)</t>
    <phoneticPr fontId="8" type="noConversion"/>
  </si>
  <si>
    <t>금 회 기 성 금 액</t>
    <phoneticPr fontId="8" type="noConversion"/>
  </si>
  <si>
    <t>(VAT 별도)</t>
    <phoneticPr fontId="8" type="noConversion"/>
  </si>
  <si>
    <t>선      금       액</t>
    <phoneticPr fontId="8" type="noConversion"/>
  </si>
  <si>
    <t>:</t>
    <phoneticPr fontId="8" type="noConversion"/>
  </si>
  <si>
    <t xml:space="preserve">선 금 전 회 공 제    </t>
    <phoneticPr fontId="8" type="noConversion"/>
  </si>
  <si>
    <t>:</t>
    <phoneticPr fontId="3" type="noConversion"/>
  </si>
  <si>
    <t>선 금 금 회 공 제</t>
    <phoneticPr fontId="8" type="noConversion"/>
  </si>
  <si>
    <t>선 금 잔 여 금 액</t>
    <phoneticPr fontId="8" type="noConversion"/>
  </si>
  <si>
    <t>금 회 청 구 금 액</t>
    <phoneticPr fontId="8" type="noConversion"/>
  </si>
  <si>
    <t>:</t>
    <phoneticPr fontId="8" type="noConversion"/>
  </si>
  <si>
    <t>잔 여 기 성 금 액</t>
    <phoneticPr fontId="8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</si>
  <si>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</si>
  <si>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</si>
  <si>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</si>
  <si>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</si>
  <si>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8" type="noConversion"/>
  </si>
  <si>
    <t>관하여 하자가 발견된 때에는 즉시 실액배상 또는 재 시공할것을 서약하고 이에 기성 청구서를 제출합니다.</t>
    <phoneticPr fontId="8" type="noConversion"/>
  </si>
  <si>
    <t>상기건과 관련하여 본 청구 이전까지의 모든 대금은 수령하였음을 확약합니다.</t>
    <phoneticPr fontId="3" type="noConversion"/>
  </si>
  <si>
    <t>상      호 :</t>
    <phoneticPr fontId="8" type="noConversion"/>
  </si>
  <si>
    <t xml:space="preserve">※첨  부 : 기성내역서            1부. </t>
    <phoneticPr fontId="8" type="noConversion"/>
  </si>
  <si>
    <t>주      소 :</t>
    <phoneticPr fontId="8" type="noConversion"/>
  </si>
  <si>
    <t>대표이사 :</t>
    <phoneticPr fontId="8" type="noConversion"/>
  </si>
  <si>
    <t>㈜케이씨이앤씨 귀하</t>
    <phoneticPr fontId="8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</si>
  <si>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</si>
  <si>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</si>
  <si>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</si>
  <si>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</si>
  <si>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</si>
  <si>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</si>
  <si>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</si>
  <si>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</si>
  <si>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</si>
  <si>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</si>
  <si>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</si>
  <si>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</si>
  <si>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</si>
  <si>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</si>
  <si>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</si>
  <si>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</si>
  <si>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</si>
  <si>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</si>
  <si>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</si>
  <si>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</si>
  <si>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</si>
  <si>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</si>
  <si>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</si>
  <si>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</si>
  <si>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</si>
  <si>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</si>
  <si>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</si>
  <si>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</si>
  <si>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</si>
  <si>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</si>
  <si>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</si>
  <si>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</si>
  <si>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</si>
  <si>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</si>
  <si>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</si>
  <si>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</si>
  <si>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</si>
  <si>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</si>
  <si>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</si>
  <si>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</si>
  <si>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</si>
  <si>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</si>
  <si>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</si>
  <si>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</si>
  <si>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</si>
  <si>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</si>
  <si>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</si>
  <si>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</si>
  <si>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</si>
  <si>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</si>
  <si>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</si>
  <si>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</si>
  <si>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</si>
  <si>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</si>
  <si>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</si>
  <si>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</si>
  <si>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</si>
  <si>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</si>
  <si>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</si>
  <si>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</si>
  <si>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</si>
  <si>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</si>
  <si>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</si>
  <si>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</si>
  <si>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</si>
  <si>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</si>
  <si>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</si>
  <si>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</si>
  <si>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</si>
  <si>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</si>
  <si>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</si>
  <si>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</si>
  <si>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</si>
  <si>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</si>
  <si>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</si>
  <si>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</si>
  <si>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</si>
  <si>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</si>
  <si>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</si>
  <si>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</si>
  <si>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</si>
  <si>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</si>
  <si>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</si>
  <si>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</si>
  <si>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</si>
  <si>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</si>
  <si>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</si>
  <si>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</si>
  <si>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</si>
  <si>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</si>
  <si>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</si>
  <si>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</si>
  <si>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</si>
  <si>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>직접노무비</t>
    <phoneticPr fontId="3" type="noConversion"/>
  </si>
  <si>
    <t>式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</si>
  <si>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</si>
  <si>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</si>
  <si>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</si>
  <si>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</si>
  <si>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</si>
  <si>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</si>
  <si>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</si>
  <si>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>기성금*XX%</t>
    <phoneticPr fontId="3" type="noConversion"/>
  </si>
  <si>
    <t>式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</si>
  <si>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</si>
  <si>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</si>
  <si>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</si>
  <si>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</si>
  <si>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</si>
  <si>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</si>
  <si>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</si>
  <si>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</si>
  <si>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</si>
  <si>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</si>
  <si>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</si>
  <si>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</si>
  <si>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</si>
  <si>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</si>
  <si>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</si>
  <si>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</si>
  <si>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</si>
  <si>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</si>
  <si>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</si>
  <si>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</si>
  <si>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</si>
  <si>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</si>
  <si>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</si>
  <si>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</si>
  <si>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</si>
  <si>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</si>
  <si>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</si>
  <si>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</si>
  <si>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</si>
  <si>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</si>
  <si>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</si>
  <si>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</si>
  <si>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</si>
  <si>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</si>
  <si>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</si>
  <si>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</si>
  <si>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</si>
  <si>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</si>
  <si>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</si>
  <si>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</si>
  <si>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</si>
  <si>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</si>
  <si>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</si>
  <si>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</si>
  <si>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</si>
  <si>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</si>
  <si>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</si>
  <si>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</si>
  <si>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</si>
  <si>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</si>
  <si>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</si>
  <si>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</si>
  <si>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</si>
  <si>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</si>
  <si>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</si>
  <si>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</si>
  <si>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</si>
  <si>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</si>
  <si>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</si>
  <si>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</si>
  <si>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</si>
  <si>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</si>
  <si>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</si>
  <si>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</si>
  <si>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</si>
  <si>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</si>
  <si>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</si>
  <si>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</si>
  <si>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</si>
  <si>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</si>
  <si>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</si>
  <si>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</si>
  <si>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</si>
  <si>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</si>
  <si>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</si>
  <si>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</si>
  <si>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</si>
  <si>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</si>
  <si>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</si>
  <si>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</si>
  <si>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</si>
  <si>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</si>
  <si>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</si>
  <si>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</si>
  <si>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</si>
  <si>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</si>
  <si>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</si>
  <si>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</si>
  <si>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</si>
  <si>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</si>
  <si>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</si>
  <si>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</si>
  <si>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</si>
  <si>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</si>
  <si>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</si>
  <si>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</si>
  <si>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</si>
  <si>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</si>
  <si>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</si>
  <si>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</si>
  <si>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</si>
  <si>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</si>
  <si>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</si>
  <si>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</si>
  <si>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</si>
  <si>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</si>
  <si>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</si>
  <si>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</si>
  <si>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</si>
  <si>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</si>
  <si>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</si>
  <si>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</si>
  <si>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</si>
  <si>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</si>
  <si>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</si>
  <si>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</si>
  <si>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</si>
  <si>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</si>
  <si>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</si>
  <si>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</si>
  <si>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</si>
  <si>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</si>
  <si>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</si>
  <si>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</si>
  <si>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</si>
  <si>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</si>
  <si>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</si>
  <si>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</si>
  <si>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</si>
  <si>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</si>
  <si>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</si>
  <si>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</si>
  <si>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</si>
  <si>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</si>
  <si>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</si>
  <si>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</si>
  <si>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</si>
  <si>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</si>
  <si>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</si>
  <si>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</si>
  <si>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</si>
  <si>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</si>
  <si>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</si>
  <si>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</si>
  <si>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</si>
  <si>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</si>
  <si>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</si>
  <si>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</si>
  <si>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</si>
  <si>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</si>
  <si>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</si>
  <si>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</si>
  <si>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</si>
  <si>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</si>
  <si>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</si>
  <si>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8" type="noConversion"/>
  </si>
  <si>
    <t>우리</t>
  </si>
  <si>
    <t>기업</t>
  </si>
  <si>
    <t>202호</t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</si>
  <si>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</si>
  <si>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</si>
  <si>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</si>
  <si>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</si>
  <si>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밥심</t>
    <phoneticPr fontId="3" type="noConversion"/>
  </si>
  <si>
    <t>하나</t>
  </si>
  <si>
    <t>우체국</t>
  </si>
  <si>
    <t>401호</t>
  </si>
  <si>
    <t>석임수</t>
  </si>
  <si>
    <t>911020-1685317</t>
  </si>
  <si>
    <t>238-910260-47407</t>
  </si>
  <si>
    <t>010-4183-1119</t>
  </si>
  <si>
    <t>보루 [5KG,면 [백호]]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</si>
  <si>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</si>
  <si>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</si>
  <si>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</si>
  <si>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</si>
  <si>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</si>
  <si>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</si>
  <si>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</si>
  <si>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</si>
  <si>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</si>
  <si>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</si>
  <si>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</si>
  <si>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</si>
  <si>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</si>
  <si>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</si>
  <si>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</si>
  <si>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</si>
  <si>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1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</si>
  <si>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</si>
  <si>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</si>
  <si>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</si>
  <si>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</si>
  <si>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</si>
  <si>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</si>
  <si>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</si>
  <si>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S26-001</t>
    <phoneticPr fontId="5" type="noConversion"/>
  </si>
  <si>
    <t>조 수 원</t>
    <phoneticPr fontId="3" type="noConversion"/>
  </si>
  <si>
    <t>강희수</t>
  </si>
  <si>
    <t>730210-1029411</t>
  </si>
  <si>
    <t>도비공</t>
  </si>
  <si>
    <t>010-9561-6101</t>
  </si>
  <si>
    <t>110-490-486591</t>
  </si>
  <si>
    <t>김동욱</t>
  </si>
  <si>
    <t>810302-1830628</t>
  </si>
  <si>
    <t>010-5022-0444</t>
  </si>
  <si>
    <t>302-5022-0444-11</t>
  </si>
  <si>
    <t>김마태</t>
  </si>
  <si>
    <t>830224-1912010</t>
  </si>
  <si>
    <t>010-2725-6089</t>
  </si>
  <si>
    <t>175-073189-01-013</t>
  </si>
  <si>
    <t>토스뱅크</t>
  </si>
  <si>
    <t>김정인</t>
  </si>
  <si>
    <t>911224-1235320</t>
  </si>
  <si>
    <t>010-3175-7994</t>
  </si>
  <si>
    <t>김진</t>
  </si>
  <si>
    <t>840728-1235014</t>
  </si>
  <si>
    <t>010-6246-4588</t>
  </si>
  <si>
    <t>458-013758-02-012</t>
  </si>
  <si>
    <t>김치헌</t>
  </si>
  <si>
    <t>790914-1567115</t>
  </si>
  <si>
    <t>010-4191-6886</t>
  </si>
  <si>
    <t>257602-04-003063</t>
  </si>
  <si>
    <t>김형태</t>
  </si>
  <si>
    <t>남현빈</t>
  </si>
  <si>
    <t>990907-1842410</t>
  </si>
  <si>
    <t>010-7131-4342</t>
  </si>
  <si>
    <t>카카오뱅크</t>
  </si>
  <si>
    <t>3333-13-8378173</t>
  </si>
  <si>
    <t>성지현</t>
  </si>
  <si>
    <t>861110-1351114</t>
  </si>
  <si>
    <t>010-9197-9732</t>
  </si>
  <si>
    <t>3333-01-9967097</t>
  </si>
  <si>
    <t>신민철</t>
  </si>
  <si>
    <t>830814-1183120</t>
  </si>
  <si>
    <t>010-7706-5000</t>
  </si>
  <si>
    <t>289-082628-01-018</t>
  </si>
  <si>
    <t>양정운</t>
  </si>
  <si>
    <t>821019-1449616</t>
  </si>
  <si>
    <t>010-3641-8181</t>
  </si>
  <si>
    <t>302-1350-3060-51</t>
  </si>
  <si>
    <t>양정인</t>
  </si>
  <si>
    <t>810207-1455012</t>
  </si>
  <si>
    <t>010-8824-6401</t>
  </si>
  <si>
    <t>472301-04-019277</t>
  </si>
  <si>
    <t>연승렬</t>
  </si>
  <si>
    <t>700216-1011916</t>
  </si>
  <si>
    <t>010-8098-3356</t>
  </si>
  <si>
    <t>186-086062-01-011</t>
  </si>
  <si>
    <t>옥유정</t>
  </si>
  <si>
    <t>850715-2093511</t>
  </si>
  <si>
    <t>010-2313-8731</t>
  </si>
  <si>
    <t>3333-17-6983150</t>
  </si>
  <si>
    <t>이강남</t>
  </si>
  <si>
    <t>750810-1106711</t>
  </si>
  <si>
    <t>010-2369-7579</t>
  </si>
  <si>
    <t>102319-02-095386</t>
  </si>
  <si>
    <t>이백창</t>
  </si>
  <si>
    <t>761016-1110611</t>
  </si>
  <si>
    <t>010-9815-0818</t>
  </si>
  <si>
    <t>NH투자증권</t>
  </si>
  <si>
    <t>207-01-565429</t>
  </si>
  <si>
    <t>이상덕</t>
  </si>
  <si>
    <t>730801-1545424</t>
  </si>
  <si>
    <t>010-2495-1870</t>
  </si>
  <si>
    <t>183-015807-01020</t>
  </si>
  <si>
    <t>이수빈</t>
  </si>
  <si>
    <t>940912-1105528</t>
  </si>
  <si>
    <t>010-7774-4872</t>
  </si>
  <si>
    <t>110802-04-289399</t>
  </si>
  <si>
    <t>이진</t>
  </si>
  <si>
    <t>900815-1066311</t>
  </si>
  <si>
    <t>010-8738-7072</t>
  </si>
  <si>
    <t>757102-04-212989</t>
  </si>
  <si>
    <t>이희준</t>
  </si>
  <si>
    <t>840808-1002416</t>
  </si>
  <si>
    <t>010-7612-6003</t>
  </si>
  <si>
    <t>1000-3396-8736</t>
  </si>
  <si>
    <t>정춘식</t>
  </si>
  <si>
    <t>870321-1050411</t>
  </si>
  <si>
    <t xml:space="preserve">010-3413-8703 </t>
  </si>
  <si>
    <t>352-1195-1823-93</t>
  </si>
  <si>
    <t>최형권</t>
  </si>
  <si>
    <t>820625-1411930</t>
  </si>
  <si>
    <t>010-3121-3146</t>
  </si>
  <si>
    <t>1002-337-154871</t>
  </si>
  <si>
    <t>하성호</t>
  </si>
  <si>
    <t>770108-1468427</t>
  </si>
  <si>
    <t>010-8962-6247</t>
  </si>
  <si>
    <t>110-175-083529</t>
  </si>
  <si>
    <t>황동우</t>
  </si>
  <si>
    <t>770113-1558817</t>
  </si>
  <si>
    <t>010-2360-6689</t>
  </si>
  <si>
    <t>688801-00-122509</t>
  </si>
  <si>
    <t>황순일</t>
  </si>
  <si>
    <t>960117-1254015</t>
  </si>
  <si>
    <t>010-3900-7068</t>
  </si>
  <si>
    <t>가위 [SB-P300,CTX [세신]]</t>
  </si>
  <si>
    <t>물파스 [90ML [현대약품]]</t>
  </si>
  <si>
    <t>강채연</t>
  </si>
  <si>
    <t>구윤하</t>
  </si>
  <si>
    <t>권중섭</t>
  </si>
  <si>
    <t>김의찬</t>
  </si>
  <si>
    <t>김정규</t>
  </si>
  <si>
    <t>김지민</t>
  </si>
  <si>
    <t>김택수</t>
  </si>
  <si>
    <t>김희강</t>
  </si>
  <si>
    <t>배찬영</t>
  </si>
  <si>
    <t>신경진</t>
  </si>
  <si>
    <t>안수현</t>
  </si>
  <si>
    <t>윤대성</t>
  </si>
  <si>
    <t>이동은</t>
  </si>
  <si>
    <t>이은희</t>
  </si>
  <si>
    <t>이철호</t>
  </si>
  <si>
    <t>이현우</t>
  </si>
  <si>
    <t>전현수</t>
  </si>
  <si>
    <t>정익수</t>
  </si>
  <si>
    <t>정재윤</t>
  </si>
  <si>
    <t>최수종</t>
  </si>
  <si>
    <t>추호윤</t>
  </si>
  <si>
    <t>함지원</t>
  </si>
  <si>
    <t>980703-2192257</t>
  </si>
  <si>
    <t>680130-2162814</t>
  </si>
  <si>
    <t>830806-1697210</t>
  </si>
  <si>
    <t>810916-1090421</t>
  </si>
  <si>
    <t>821122-1047416</t>
  </si>
  <si>
    <t>930707-1150011</t>
  </si>
  <si>
    <t>751221-1663222</t>
  </si>
  <si>
    <t>010617-3234118</t>
  </si>
  <si>
    <t>771214 -1906312</t>
  </si>
  <si>
    <t>880103-1105818</t>
  </si>
  <si>
    <t>970206-2728016</t>
  </si>
  <si>
    <t xml:space="preserve">870228-1800810 </t>
  </si>
  <si>
    <t>900720-1156817</t>
  </si>
  <si>
    <t>950520-2522712</t>
  </si>
  <si>
    <t>740901-1345439</t>
  </si>
  <si>
    <t>910319-1078115</t>
  </si>
  <si>
    <t>880725-1001710</t>
  </si>
  <si>
    <t>940126-1081741</t>
  </si>
  <si>
    <t>830225-1009714</t>
  </si>
  <si>
    <t>990511-1024713</t>
  </si>
  <si>
    <t>020222-3095822</t>
  </si>
  <si>
    <t>951003-1042312</t>
  </si>
  <si>
    <t>010-5725-9067</t>
  </si>
  <si>
    <t>010-3259-2177</t>
  </si>
  <si>
    <t>010-9742-9790</t>
  </si>
  <si>
    <t xml:space="preserve">010-7748-9382 </t>
  </si>
  <si>
    <t>010-3240-6194</t>
  </si>
  <si>
    <t>010-8000-2457</t>
  </si>
  <si>
    <t xml:space="preserve">010-7942-1751 </t>
  </si>
  <si>
    <t>010-7728-5274</t>
  </si>
  <si>
    <t>010-8896-7746</t>
  </si>
  <si>
    <t>010-6540-2229</t>
  </si>
  <si>
    <t>010-5045-9210</t>
  </si>
  <si>
    <t xml:space="preserve">010-6690-3570 </t>
  </si>
  <si>
    <t>010-5581-1814</t>
  </si>
  <si>
    <t>010-2359-1912</t>
  </si>
  <si>
    <t>010-9742-4992</t>
  </si>
  <si>
    <t>010-9685-6744</t>
  </si>
  <si>
    <t>010-2678-5126</t>
  </si>
  <si>
    <t>010-2323-7788</t>
  </si>
  <si>
    <t>010-4215-4580</t>
  </si>
  <si>
    <t>010-9439-3189</t>
  </si>
  <si>
    <t>010-2101-6076</t>
  </si>
  <si>
    <t xml:space="preserve">010-7281-8411 </t>
  </si>
  <si>
    <t>399102-04-168176</t>
  </si>
  <si>
    <t>206-910258-60907</t>
  </si>
  <si>
    <t>110-430-392742</t>
  </si>
  <si>
    <t>757101-04-044154</t>
  </si>
  <si>
    <t>3333-13-9046173</t>
  </si>
  <si>
    <t>1002-339-327014</t>
  </si>
  <si>
    <t>1002-564-210008</t>
  </si>
  <si>
    <t>352-1366-3636-53</t>
  </si>
  <si>
    <t>292-910293-88807</t>
  </si>
  <si>
    <t>110-404-264147</t>
  </si>
  <si>
    <t>3333-17-1177994</t>
  </si>
  <si>
    <t>3333-13-0258058</t>
  </si>
  <si>
    <t>104893-02-161818</t>
  </si>
  <si>
    <t>923801-00-052642</t>
  </si>
  <si>
    <t>3333-20-7007974</t>
  </si>
  <si>
    <t>110-398-862753</t>
  </si>
  <si>
    <t>1000-1986-6427</t>
  </si>
  <si>
    <t>3333-08-8329737</t>
  </si>
  <si>
    <t>103-108101-01-015</t>
  </si>
  <si>
    <t>933502-00-554904</t>
  </si>
  <si>
    <t>에폭시접착제 [매직스틱,다목적용,114G,CTX [엑시아]]</t>
  </si>
  <si>
    <t>귀마개 [1100,끈없음,200개 [3M]]</t>
  </si>
  <si>
    <t>가위집 [PVC [AK]]</t>
  </si>
  <si>
    <t>컷쏘날 [S1122BF,철재,바이메탈,5개입 [보쉬]]</t>
  </si>
  <si>
    <t>장갑클립 [일반형]</t>
  </si>
  <si>
    <t>케이블타이 [300mm(1봉=500개),백색 [HNS]]</t>
  </si>
  <si>
    <t>네임펜 [양면,흑색,12개 [모나미]]</t>
  </si>
  <si>
    <t>추가 공사건 투입인원 합   계</t>
    <phoneticPr fontId="3" type="noConversion"/>
  </si>
  <si>
    <t>만 단위 이하 절사</t>
    <phoneticPr fontId="8" type="noConversion"/>
  </si>
  <si>
    <t xml:space="preserve"> 2. 노무비</t>
    <phoneticPr fontId="3" type="noConversion"/>
  </si>
  <si>
    <t xml:space="preserve"> 3. 숙소 및 식대</t>
    <phoneticPr fontId="3" type="noConversion"/>
  </si>
  <si>
    <t xml:space="preserve"> 4. 기타 공제 내역</t>
    <phoneticPr fontId="3" type="noConversion"/>
  </si>
  <si>
    <t xml:space="preserve"> 5. 유보금</t>
    <phoneticPr fontId="3" type="noConversion"/>
  </si>
  <si>
    <t xml:space="preserve"> 6. 유보금 차액</t>
    <phoneticPr fontId="3" type="noConversion"/>
  </si>
  <si>
    <t xml:space="preserve"> 7. NEGO</t>
    <phoneticPr fontId="3" type="noConversion"/>
  </si>
  <si>
    <t>전회 누계유보금</t>
    <phoneticPr fontId="3" type="noConversion"/>
  </si>
  <si>
    <t>P4 Ph2 GAS&amp;PCW 1공구</t>
    <phoneticPr fontId="8" type="noConversion"/>
  </si>
  <si>
    <t>구문정</t>
  </si>
  <si>
    <t>김민지</t>
  </si>
  <si>
    <t>김재윤</t>
  </si>
  <si>
    <t>박도현</t>
  </si>
  <si>
    <t>신주현</t>
  </si>
  <si>
    <t>오경미</t>
  </si>
  <si>
    <t>이완석</t>
  </si>
  <si>
    <t>조동만</t>
  </si>
  <si>
    <t>주효수</t>
  </si>
  <si>
    <t>김민재</t>
  </si>
  <si>
    <t>김대욱</t>
  </si>
  <si>
    <t>김호선</t>
  </si>
  <si>
    <t>조장윤</t>
  </si>
  <si>
    <t>이광재</t>
  </si>
  <si>
    <t>서용환</t>
  </si>
  <si>
    <t>홍유진</t>
  </si>
  <si>
    <t>김현중</t>
  </si>
  <si>
    <t>강동우</t>
  </si>
  <si>
    <t>김진재</t>
  </si>
  <si>
    <t>이인용</t>
  </si>
  <si>
    <t>박기태</t>
  </si>
  <si>
    <t>류덕원</t>
  </si>
  <si>
    <t>이형동</t>
  </si>
  <si>
    <t>서국교</t>
  </si>
  <si>
    <t>천성욱</t>
  </si>
  <si>
    <t>최동철</t>
  </si>
  <si>
    <t>김진성</t>
  </si>
  <si>
    <t>조치홍</t>
  </si>
  <si>
    <t>설희수</t>
  </si>
  <si>
    <t>진영효</t>
  </si>
  <si>
    <t>681118-2567718</t>
  </si>
  <si>
    <t>850908-2661019</t>
  </si>
  <si>
    <t>861216-1157613</t>
  </si>
  <si>
    <t>810129-1102111</t>
  </si>
  <si>
    <t>810227-1063429</t>
  </si>
  <si>
    <t>800326-2783516</t>
  </si>
  <si>
    <t>921116-1151522</t>
  </si>
  <si>
    <t>890823-1409016</t>
  </si>
  <si>
    <t>950219-1194529</t>
  </si>
  <si>
    <t>940217-1474315</t>
  </si>
  <si>
    <t>890712-1058810</t>
  </si>
  <si>
    <t>750703-1231129</t>
  </si>
  <si>
    <t>970405-1198129</t>
  </si>
  <si>
    <t>940824-1017712</t>
  </si>
  <si>
    <t>930224-1155728</t>
  </si>
  <si>
    <t>721121-1841922</t>
  </si>
  <si>
    <t>920608-1476210</t>
  </si>
  <si>
    <t xml:space="preserve">810127-1026118 </t>
  </si>
  <si>
    <t>921012-1122616</t>
  </si>
  <si>
    <t>700412-1332911</t>
  </si>
  <si>
    <t>870119-1106216</t>
  </si>
  <si>
    <t>710419-1017220</t>
  </si>
  <si>
    <t>691016-1790012</t>
  </si>
  <si>
    <t>800328-1113122</t>
  </si>
  <si>
    <t>720320-1340329</t>
  </si>
  <si>
    <t>921101-1865311</t>
  </si>
  <si>
    <t>841107-1830644</t>
  </si>
  <si>
    <t>710817-2528013</t>
  </si>
  <si>
    <t>710124-1892314</t>
  </si>
  <si>
    <t>010-8180-1166</t>
  </si>
  <si>
    <t>010-3173-2826</t>
  </si>
  <si>
    <t>010-3955-1110</t>
  </si>
  <si>
    <t>010-8927-0083</t>
  </si>
  <si>
    <t>010-4763-4454</t>
  </si>
  <si>
    <t>010-2433-1425</t>
  </si>
  <si>
    <t>010-2624-6545</t>
  </si>
  <si>
    <t>010-4125-1296</t>
  </si>
  <si>
    <t>010-5830-9182</t>
  </si>
  <si>
    <t>010-9961-0647</t>
  </si>
  <si>
    <t>010-3646-9962</t>
  </si>
  <si>
    <t>010-3897-9438</t>
  </si>
  <si>
    <t>010-3541-0407</t>
  </si>
  <si>
    <t>010-8878-4284</t>
  </si>
  <si>
    <t>010-4100-9831</t>
  </si>
  <si>
    <t>010-9326-3250</t>
  </si>
  <si>
    <t>010-8304-4458</t>
  </si>
  <si>
    <t>010-5289-5546</t>
  </si>
  <si>
    <t>010-5578-4437</t>
  </si>
  <si>
    <t>010-5247-3585</t>
  </si>
  <si>
    <t>010-2345-8318</t>
  </si>
  <si>
    <t>010-8873-8998</t>
  </si>
  <si>
    <t>010-3827-8534</t>
  </si>
  <si>
    <t>010-8945-3630</t>
  </si>
  <si>
    <t>010-6684-0888</t>
  </si>
  <si>
    <t>010-5476-8782</t>
  </si>
  <si>
    <t>010-8999-8537</t>
  </si>
  <si>
    <t>010-7257-9440</t>
  </si>
  <si>
    <t>010-5673-5700</t>
  </si>
  <si>
    <t>010-2113-3344</t>
  </si>
  <si>
    <t>302-0278-3068-51</t>
  </si>
  <si>
    <t>240801-04-433155</t>
  </si>
  <si>
    <t>110-305-768530</t>
  </si>
  <si>
    <t>960102-01-425739</t>
  </si>
  <si>
    <t>110-377-748020</t>
  </si>
  <si>
    <t>3333-08-9261688</t>
  </si>
  <si>
    <t>110-269-832310</t>
  </si>
  <si>
    <t>120-149293-01-011</t>
  </si>
  <si>
    <t>110-378-562733</t>
  </si>
  <si>
    <t>240801-04-477184</t>
  </si>
  <si>
    <t>110-248-997659</t>
  </si>
  <si>
    <t>356-0506-3136-13</t>
  </si>
  <si>
    <t>1000-6285-5246</t>
  </si>
  <si>
    <t>985-008251-01-011</t>
  </si>
  <si>
    <t>930-224-2004</t>
  </si>
  <si>
    <t>352-1323-8683-13</t>
  </si>
  <si>
    <t>742102-00-113592</t>
  </si>
  <si>
    <t>186-094740-01-017</t>
  </si>
  <si>
    <t>110-331-408388</t>
  </si>
  <si>
    <t>017-21-0946-366</t>
  </si>
  <si>
    <t>새마을금고</t>
  </si>
  <si>
    <t>855-02-115867</t>
  </si>
  <si>
    <t>247901-04-527598</t>
  </si>
  <si>
    <t>352-1964-2454-83</t>
  </si>
  <si>
    <t>9003-2816-2519-9</t>
  </si>
  <si>
    <t>242-029714-02-011</t>
  </si>
  <si>
    <t>3333-13-6295061</t>
  </si>
  <si>
    <t>660802-04-150062</t>
  </si>
  <si>
    <t>430502-01-565642</t>
  </si>
  <si>
    <t>평택시 고덕갈평9길 57 302호</t>
  </si>
  <si>
    <t>평택시 고덕갈평10길 40 301호</t>
  </si>
  <si>
    <t>평택시 고덕여염11길 14 202호</t>
  </si>
  <si>
    <t>평택시 함박산1길 50 401호</t>
  </si>
  <si>
    <t>평택시 함박산4길 3 301호</t>
  </si>
  <si>
    <t>평택시 함박산3길 37 301호</t>
  </si>
  <si>
    <t>평택시 함박산9길 28 401호(복층)</t>
  </si>
  <si>
    <t>평택시 함박산12길 35 301호</t>
  </si>
  <si>
    <t>평택시 함박산1길 34 201호</t>
  </si>
  <si>
    <t>평택시 고덕여염11길 149 202호</t>
  </si>
  <si>
    <t>평택시 고덕국제4길 60-16 202호</t>
  </si>
  <si>
    <t>평택시 고덕여염6길 199 202호</t>
  </si>
  <si>
    <t>평택시 함박산1길 34 301호</t>
  </si>
  <si>
    <t>평택시 함박산9길 26 202호</t>
  </si>
  <si>
    <t>평택시 함박산11길 9-1 202호</t>
  </si>
  <si>
    <t>평택시 함박산3길 11 301호</t>
  </si>
  <si>
    <t>평택시 고덕여염16길 115 202호</t>
  </si>
  <si>
    <t>평택시 함박산9길 26 201호</t>
  </si>
  <si>
    <t>평택시 고덕국제4길 60-10 202호</t>
  </si>
  <si>
    <t>평택시 고덕여염6길 199 301호</t>
  </si>
  <si>
    <t>평택시 함박산2길 16 201호</t>
  </si>
  <si>
    <t>평택시 함박산3길 11 202호</t>
  </si>
  <si>
    <t>평택시 함박산4길 28 301호</t>
  </si>
  <si>
    <t>302호</t>
  </si>
  <si>
    <t>201호</t>
  </si>
  <si>
    <t>평택시 고덕여염16길 113 202호</t>
    <phoneticPr fontId="3" type="noConversion"/>
  </si>
  <si>
    <t>평택시 고덕갈평9길 57 302호</t>
    <phoneticPr fontId="3" type="noConversion"/>
  </si>
  <si>
    <t>평택시 고덕갈평10길 40 301호</t>
    <phoneticPr fontId="3" type="noConversion"/>
  </si>
  <si>
    <t>평택시 고덕여염11길 14 202호</t>
    <phoneticPr fontId="3" type="noConversion"/>
  </si>
  <si>
    <t>평택시 함박산1길 50 401호</t>
    <phoneticPr fontId="3" type="noConversion"/>
  </si>
  <si>
    <t>평택시 함박산4길 3 301호</t>
    <phoneticPr fontId="3" type="noConversion"/>
  </si>
  <si>
    <t>평택시 함박산3길 37 301호</t>
    <phoneticPr fontId="3" type="noConversion"/>
  </si>
  <si>
    <t>평택시 함박산12길 35 301호</t>
    <phoneticPr fontId="3" type="noConversion"/>
  </si>
  <si>
    <t>평택시 함박산1길 34 201호</t>
    <phoneticPr fontId="3" type="noConversion"/>
  </si>
  <si>
    <t>평택시 고덕여염11길 149 202호</t>
    <phoneticPr fontId="3" type="noConversion"/>
  </si>
  <si>
    <t>평택시 고덕국제4길 60-16 202호</t>
    <phoneticPr fontId="3" type="noConversion"/>
  </si>
  <si>
    <t>평택시 고덕여염6길 199 202호</t>
    <phoneticPr fontId="3" type="noConversion"/>
  </si>
  <si>
    <t>평택시 함박산1길 34 301호</t>
    <phoneticPr fontId="3" type="noConversion"/>
  </si>
  <si>
    <t>평택시 함박산9길 26 202호</t>
    <phoneticPr fontId="3" type="noConversion"/>
  </si>
  <si>
    <t>평택시 함박산11길 9-1 202호</t>
    <phoneticPr fontId="3" type="noConversion"/>
  </si>
  <si>
    <t>평택시 함박산3길 11 301호</t>
    <phoneticPr fontId="3" type="noConversion"/>
  </si>
  <si>
    <t>평택시 고덕여염16길 115 202호</t>
    <phoneticPr fontId="3" type="noConversion"/>
  </si>
  <si>
    <t>평택시 함박산9길 26 201호</t>
    <phoneticPr fontId="3" type="noConversion"/>
  </si>
  <si>
    <t>평택시 고덕국제4길 60-10 202호</t>
    <phoneticPr fontId="3" type="noConversion"/>
  </si>
  <si>
    <t>평택시 고덕여염6길 199 301호</t>
    <phoneticPr fontId="3" type="noConversion"/>
  </si>
  <si>
    <t>평택시 함박산3길 11 202호</t>
    <phoneticPr fontId="3" type="noConversion"/>
  </si>
  <si>
    <t>평택시 함박산4길 28 301호</t>
    <phoneticPr fontId="3" type="noConversion"/>
  </si>
  <si>
    <t>다이아몬드줄 [180mm,반원 [삼익]]</t>
  </si>
  <si>
    <t>텅스텐봉 [2.4Q,10개,란탄2%,CTX [크레토스]]</t>
  </si>
  <si>
    <t>컷쏘날 [S922BF,철재,바이메탈,5개입 [보쉬]]</t>
  </si>
  <si>
    <t>알곤스위치 [스위치(뒷선300mm),CTX [크레토스]]</t>
  </si>
  <si>
    <t>401호</t>
    <phoneticPr fontId="3" type="noConversion"/>
  </si>
  <si>
    <t>강은천</t>
  </si>
  <si>
    <t>강인기</t>
  </si>
  <si>
    <t>고문희</t>
  </si>
  <si>
    <t>권두현</t>
  </si>
  <si>
    <t>김대환</t>
  </si>
  <si>
    <t>김상덕</t>
  </si>
  <si>
    <t>김성화</t>
  </si>
  <si>
    <t>김성환</t>
  </si>
  <si>
    <t>김세한</t>
  </si>
  <si>
    <t>김주연</t>
  </si>
  <si>
    <t>김하향</t>
  </si>
  <si>
    <t>박민수</t>
  </si>
  <si>
    <t>배주봉</t>
  </si>
  <si>
    <t>부정식</t>
  </si>
  <si>
    <t>서경훈</t>
  </si>
  <si>
    <t>성지훈</t>
  </si>
  <si>
    <t>손진규</t>
  </si>
  <si>
    <t>이도훈</t>
  </si>
  <si>
    <t>이주호</t>
  </si>
  <si>
    <t>이창우</t>
  </si>
  <si>
    <t>이철희</t>
  </si>
  <si>
    <t>이태욱</t>
  </si>
  <si>
    <t>이형석</t>
  </si>
  <si>
    <t>장세환</t>
  </si>
  <si>
    <t>정선혁</t>
  </si>
  <si>
    <t>정지원</t>
  </si>
  <si>
    <t>조두현</t>
  </si>
  <si>
    <t>조성은</t>
  </si>
  <si>
    <t>조성익</t>
  </si>
  <si>
    <t>천상우</t>
  </si>
  <si>
    <t>최선우</t>
  </si>
  <si>
    <t>최은서</t>
  </si>
  <si>
    <t>최지웅</t>
  </si>
  <si>
    <t>최태연</t>
  </si>
  <si>
    <t>추남진</t>
  </si>
  <si>
    <t>황성민</t>
  </si>
  <si>
    <t>김상협</t>
  </si>
  <si>
    <t>김대건</t>
  </si>
  <si>
    <t>김용기</t>
  </si>
  <si>
    <t>김정호</t>
  </si>
  <si>
    <t>박창현</t>
  </si>
  <si>
    <t>서보강</t>
  </si>
  <si>
    <t>안재용</t>
  </si>
  <si>
    <t>이재원</t>
  </si>
  <si>
    <t>정의승</t>
  </si>
  <si>
    <t>정철원</t>
  </si>
  <si>
    <t>김지성</t>
  </si>
  <si>
    <t>김태우</t>
  </si>
  <si>
    <t>박성준</t>
  </si>
  <si>
    <t>방승원</t>
  </si>
  <si>
    <t>심재만</t>
  </si>
  <si>
    <t>윤재혁</t>
  </si>
  <si>
    <t>이준홍</t>
  </si>
  <si>
    <t>정성인</t>
  </si>
  <si>
    <t>최광훈</t>
  </si>
  <si>
    <t>최동주</t>
  </si>
  <si>
    <t>임은경</t>
  </si>
  <si>
    <t>오재영</t>
  </si>
  <si>
    <t>배광열</t>
  </si>
  <si>
    <t>최준</t>
  </si>
  <si>
    <t>하창성</t>
  </si>
  <si>
    <t>740803-1155526</t>
  </si>
  <si>
    <t>020528-3912419</t>
  </si>
  <si>
    <t>740220-2162312</t>
  </si>
  <si>
    <t>830922-1657014</t>
  </si>
  <si>
    <t>861013-1652817</t>
  </si>
  <si>
    <t>700819-1454911</t>
  </si>
  <si>
    <t>731015-1650916</t>
  </si>
  <si>
    <t>861202-1005916</t>
  </si>
  <si>
    <t>721013-1067215</t>
  </si>
  <si>
    <t>930719-1113812</t>
  </si>
  <si>
    <t>881010-1006519</t>
  </si>
  <si>
    <t>010805-3479013</t>
  </si>
  <si>
    <t>860225-1351212</t>
  </si>
  <si>
    <t>911122-1020815</t>
  </si>
  <si>
    <t>830725-1912011</t>
  </si>
  <si>
    <t>841030-1896314</t>
  </si>
  <si>
    <t>810715-1690914</t>
  </si>
  <si>
    <t>800809-1075222</t>
  </si>
  <si>
    <t>830710-1457510</t>
  </si>
  <si>
    <t>700911-1080019</t>
  </si>
  <si>
    <t>961002-1006110</t>
  </si>
  <si>
    <t>810523-1249811</t>
  </si>
  <si>
    <t>680705-1783124</t>
  </si>
  <si>
    <t>780115-1702714</t>
  </si>
  <si>
    <t>700901-1117511</t>
  </si>
  <si>
    <t>901224-1184618</t>
  </si>
  <si>
    <t>910126-1057039</t>
  </si>
  <si>
    <t>840615-1076324</t>
  </si>
  <si>
    <t>960207-1173814</t>
  </si>
  <si>
    <t>700910-1051322</t>
  </si>
  <si>
    <t>871112-1063421</t>
  </si>
  <si>
    <t>710130-2346231</t>
  </si>
  <si>
    <t>990909-2930718</t>
  </si>
  <si>
    <t>031230-3540318</t>
  </si>
  <si>
    <t>690221-1229813</t>
  </si>
  <si>
    <t>801212-1835414</t>
  </si>
  <si>
    <t>910926-1702727</t>
  </si>
  <si>
    <t>830218-1011315</t>
  </si>
  <si>
    <t>750225-1037523</t>
  </si>
  <si>
    <t>860712-1036817</t>
  </si>
  <si>
    <t>750710-1108710</t>
  </si>
  <si>
    <t>921110-1665714</t>
  </si>
  <si>
    <t>940316-1683910</t>
  </si>
  <si>
    <t>790525-1173519</t>
  </si>
  <si>
    <t>860509-1079918</t>
  </si>
  <si>
    <t>881019-1199017</t>
  </si>
  <si>
    <t>820927-1841428</t>
  </si>
  <si>
    <t>040726-3071113</t>
  </si>
  <si>
    <t>730301-1675418</t>
  </si>
  <si>
    <t>011010-3037023</t>
  </si>
  <si>
    <t>000406-3217011</t>
  </si>
  <si>
    <t>900530-1203318</t>
  </si>
  <si>
    <t>021226-3227819</t>
  </si>
  <si>
    <t>940915-1031411</t>
  </si>
  <si>
    <t>970428-1006711</t>
  </si>
  <si>
    <t>810215-1106229</t>
  </si>
  <si>
    <t>721110-1466823</t>
  </si>
  <si>
    <t>710418-2535326</t>
  </si>
  <si>
    <t>970512-1169617</t>
  </si>
  <si>
    <t>980227-1912629</t>
  </si>
  <si>
    <t>881115-1663713</t>
  </si>
  <si>
    <t>780325-1095616</t>
  </si>
  <si>
    <t>010-5131-8640</t>
  </si>
  <si>
    <t>010-9325-6120</t>
  </si>
  <si>
    <t>010-2831-9053</t>
  </si>
  <si>
    <t>010-2231-4274</t>
  </si>
  <si>
    <t>010-7523-3699</t>
  </si>
  <si>
    <t>010-7133-1786</t>
  </si>
  <si>
    <t>010-8743-5551</t>
  </si>
  <si>
    <t>010-7334-3400</t>
  </si>
  <si>
    <t>010-8848-5060</t>
  </si>
  <si>
    <t>010-4729-7217</t>
  </si>
  <si>
    <t>010-4435-5232</t>
  </si>
  <si>
    <t>010-3952-7988</t>
  </si>
  <si>
    <t>010-7797-6969</t>
  </si>
  <si>
    <t>010-6603-1486</t>
  </si>
  <si>
    <t>010-2023-6206</t>
  </si>
  <si>
    <t>010-6666-6877</t>
  </si>
  <si>
    <t>010-2020-0690</t>
  </si>
  <si>
    <t>010-8439-0050</t>
  </si>
  <si>
    <t>010-4943-2119</t>
  </si>
  <si>
    <t>010-6736-5900</t>
  </si>
  <si>
    <t>010-4889-3949</t>
  </si>
  <si>
    <t>010-3737-7413</t>
  </si>
  <si>
    <t>010-9056-7475</t>
  </si>
  <si>
    <t>010-7733-5796</t>
  </si>
  <si>
    <t>010-3019-2320</t>
  </si>
  <si>
    <t>010-3590-6858</t>
  </si>
  <si>
    <t>010-5821-2642</t>
  </si>
  <si>
    <t>010-3932-1474</t>
  </si>
  <si>
    <t>010-4745-7959</t>
  </si>
  <si>
    <t>010-4342-8747</t>
  </si>
  <si>
    <t>010-8812-4349</t>
  </si>
  <si>
    <t>010-9119-9908</t>
  </si>
  <si>
    <t>010-5954-3210</t>
  </si>
  <si>
    <t>010-3735-5479</t>
  </si>
  <si>
    <t>010-3198-2888</t>
  </si>
  <si>
    <t>010-8266-4307</t>
  </si>
  <si>
    <t>010-6891-5399</t>
  </si>
  <si>
    <t>010-8399-8169</t>
  </si>
  <si>
    <t>010-2222-3295</t>
  </si>
  <si>
    <t>010-9679-7479</t>
  </si>
  <si>
    <t>010-7754-6532</t>
  </si>
  <si>
    <t>010-8813-0287</t>
  </si>
  <si>
    <t>010-3362-3928</t>
  </si>
  <si>
    <t>010-6704-1711</t>
  </si>
  <si>
    <t>010-2486-1411</t>
  </si>
  <si>
    <t>010-2194-7677</t>
  </si>
  <si>
    <t>010-3116-4011</t>
  </si>
  <si>
    <t>010-3821-9392</t>
  </si>
  <si>
    <t>010-3823-6272</t>
  </si>
  <si>
    <t>010-9928-8732</t>
  </si>
  <si>
    <t>010-5777-9379</t>
  </si>
  <si>
    <t>010-5848-2414</t>
  </si>
  <si>
    <t>010-4688-9150</t>
  </si>
  <si>
    <t>010-8869-3242</t>
  </si>
  <si>
    <t>010-6848-0841</t>
  </si>
  <si>
    <t>010-4084-6828</t>
  </si>
  <si>
    <t>010-7174-1162</t>
  </si>
  <si>
    <t>010-2374-2670</t>
  </si>
  <si>
    <t>010-8060-1829</t>
  </si>
  <si>
    <t>010-9290-1488</t>
  </si>
  <si>
    <t>010-4569-4701</t>
  </si>
  <si>
    <t>226-910131-79107</t>
  </si>
  <si>
    <t>352-1618-5074-53</t>
  </si>
  <si>
    <t>1002-759-441898</t>
  </si>
  <si>
    <t>9004-0039-5082-5</t>
  </si>
  <si>
    <t>669-02-331305</t>
  </si>
  <si>
    <t>356-0915-2372-03</t>
  </si>
  <si>
    <t>055202-04-122285</t>
  </si>
  <si>
    <t>110-447-207320</t>
  </si>
  <si>
    <t>298-910970-10507</t>
  </si>
  <si>
    <t>351-0768-6263-33</t>
  </si>
  <si>
    <t>021902-04-071553</t>
  </si>
  <si>
    <t>302-3952-7988-41</t>
  </si>
  <si>
    <t>564-910093-98507</t>
  </si>
  <si>
    <t>010-9329-6206</t>
  </si>
  <si>
    <t>110-414-304496</t>
  </si>
  <si>
    <t>131502-04-025549</t>
  </si>
  <si>
    <t>214-111321-01-013</t>
  </si>
  <si>
    <t>806-910247-51307</t>
  </si>
  <si>
    <t>110-441-920530</t>
  </si>
  <si>
    <t>9003-3110-9492-6</t>
  </si>
  <si>
    <t>110-457-540885</t>
  </si>
  <si>
    <t>352-1222-2866-33</t>
  </si>
  <si>
    <t>336-910315-06407</t>
  </si>
  <si>
    <t>1002-839-108255</t>
  </si>
  <si>
    <t>3333-18-9257486</t>
  </si>
  <si>
    <t>1002-346-970464</t>
  </si>
  <si>
    <t>1002-348-973169</t>
  </si>
  <si>
    <t>110-457-347555</t>
  </si>
  <si>
    <t>821-21-0324-086</t>
  </si>
  <si>
    <t>3333-21-2334482</t>
  </si>
  <si>
    <t>505201-04-273542</t>
  </si>
  <si>
    <t>351-0561-7281-03</t>
  </si>
  <si>
    <t>414-890096-24407</t>
  </si>
  <si>
    <t>110-316-642010</t>
  </si>
  <si>
    <t>847501-00-029520</t>
  </si>
  <si>
    <t>452501-01-146387</t>
  </si>
  <si>
    <t>442802-01-189872</t>
  </si>
  <si>
    <t>217068-56-035740</t>
  </si>
  <si>
    <t>176086-52-107101</t>
  </si>
  <si>
    <t>대구</t>
  </si>
  <si>
    <t>508-10-189219-3</t>
  </si>
  <si>
    <t>110-255-766726</t>
  </si>
  <si>
    <t>201392-02-203880</t>
  </si>
  <si>
    <t>산업</t>
  </si>
  <si>
    <t>020-9298-3428-310</t>
  </si>
  <si>
    <t>110-522-521550</t>
  </si>
  <si>
    <t>186-100034-02-016</t>
  </si>
  <si>
    <t>110-185-096954</t>
  </si>
  <si>
    <t>3333-08-8908687</t>
  </si>
  <si>
    <t>1002-356-056634</t>
  </si>
  <si>
    <t>942902-01-277572</t>
  </si>
  <si>
    <t>3333-10-8407727</t>
  </si>
  <si>
    <t>938002-00-066505</t>
  </si>
  <si>
    <t>1002-049-698547</t>
  </si>
  <si>
    <t>110-407-753093</t>
  </si>
  <si>
    <t>전북</t>
  </si>
  <si>
    <t>671-21-0495340</t>
  </si>
  <si>
    <t>3333-19-9566911</t>
  </si>
  <si>
    <t>110-552-677424</t>
  </si>
  <si>
    <t>110-447-944425</t>
  </si>
  <si>
    <t>600080-02-150264</t>
  </si>
  <si>
    <t>알곤용접봉 [TGC50S.2.4mm,5kg [조선선재]]</t>
  </si>
  <si>
    <t>알곤용접봉 [TGC50S.3.2mm,5kg [조선선재]]</t>
  </si>
  <si>
    <t>낙상경보기 [200*90 [3S]]</t>
  </si>
  <si>
    <t>페인트마카 [적색,12개 [모나미]]</t>
  </si>
  <si>
    <t>파이롯트핀 [6.34*90L(12~17) [우창]]</t>
  </si>
  <si>
    <t>양면테이프 [50mm*6m,핫멧트 [HNS]]</t>
  </si>
  <si>
    <t>양면테이프 [25mm*6m,핫멧트 [HNS]]</t>
  </si>
  <si>
    <t>마대 [PP,신재 [국산/HNS]]</t>
  </si>
  <si>
    <t>안전칼 [SK-4 [올파]]</t>
  </si>
  <si>
    <t>마대 [수입,90kg,100L [HNS]]</t>
  </si>
  <si>
    <t>보드마카 [흑색,12개 [모나미]]</t>
  </si>
  <si>
    <t>보안경클립 [3개1조 [수입]]</t>
  </si>
  <si>
    <t>방우플러그 [YSP1603,녹색 [코엘]]</t>
  </si>
  <si>
    <t>알곤세라믹 [350A-11mm(#7)YJ-35,변형,CTX [크레토스]]</t>
  </si>
  <si>
    <t>알곤세라믹 [350A-12.5mm(#8)YJ-35,변형,CTX [크레토스]]</t>
  </si>
  <si>
    <t>알곤용접봉 [TGC308L.2.4mm,5kg [조선선재]]</t>
  </si>
  <si>
    <t>실내화주머니 [배낭형,고급 [수입]]</t>
  </si>
  <si>
    <t>수세미 [MIGHTY BLUE PAD,녹색 [3M]]</t>
  </si>
  <si>
    <t>8. 선지급금</t>
    <phoneticPr fontId="3" type="noConversion"/>
  </si>
  <si>
    <t>2026년 07월</t>
    <phoneticPr fontId="5" type="noConversion"/>
  </si>
  <si>
    <t>2026. 07. 01 ~ 2026. 07. 31</t>
    <phoneticPr fontId="3" type="noConversion"/>
  </si>
  <si>
    <t>작 성 일 :   2026  년  07 월   31 일</t>
    <phoneticPr fontId="8" type="noConversion"/>
  </si>
  <si>
    <t>2026년 (07)월 물량 내역서</t>
    <phoneticPr fontId="3" type="noConversion"/>
  </si>
  <si>
    <t xml:space="preserve"> </t>
    <phoneticPr fontId="3" type="noConversion"/>
  </si>
  <si>
    <t>2026년 (    07   )월 일용 노무비명세서</t>
    <phoneticPr fontId="3" type="noConversion"/>
  </si>
  <si>
    <t>강경호</t>
  </si>
  <si>
    <t>강상진</t>
  </si>
  <si>
    <t>공덕표</t>
  </si>
  <si>
    <t>권국진</t>
  </si>
  <si>
    <t>권도훈</t>
  </si>
  <si>
    <t>기정태</t>
  </si>
  <si>
    <t>김도윤</t>
  </si>
  <si>
    <t>김명진</t>
  </si>
  <si>
    <t>김상수</t>
  </si>
  <si>
    <t>김세관</t>
  </si>
  <si>
    <t>김슬기</t>
  </si>
  <si>
    <t>김재일</t>
  </si>
  <si>
    <t>김태민</t>
  </si>
  <si>
    <t>노재헌</t>
  </si>
  <si>
    <t>류대진</t>
  </si>
  <si>
    <t>류수창</t>
  </si>
  <si>
    <t>문명철</t>
  </si>
  <si>
    <t>박경수</t>
  </si>
  <si>
    <t>박성준A</t>
  </si>
  <si>
    <t>박성준B</t>
  </si>
  <si>
    <t>박수범</t>
  </si>
  <si>
    <t>박정용</t>
  </si>
  <si>
    <t>박현우</t>
  </si>
  <si>
    <t>백승훈</t>
  </si>
  <si>
    <t>백종혁</t>
  </si>
  <si>
    <t>복찬수</t>
  </si>
  <si>
    <t>송팔호</t>
  </si>
  <si>
    <t>신경철</t>
  </si>
  <si>
    <t>오성민</t>
  </si>
  <si>
    <t>오창성</t>
  </si>
  <si>
    <t>유병권</t>
  </si>
  <si>
    <t>이강석</t>
  </si>
  <si>
    <t>이도현</t>
  </si>
  <si>
    <t>이준헌</t>
  </si>
  <si>
    <t>이혁</t>
  </si>
  <si>
    <t>임근우</t>
  </si>
  <si>
    <t>장덕선</t>
  </si>
  <si>
    <t>장진우</t>
  </si>
  <si>
    <t>정상훈</t>
  </si>
  <si>
    <t>정애란</t>
  </si>
  <si>
    <t>주성진</t>
  </si>
  <si>
    <t>천호진</t>
  </si>
  <si>
    <t>천호혁</t>
  </si>
  <si>
    <t>최복영</t>
  </si>
  <si>
    <t>한상웅</t>
  </si>
  <si>
    <t>한헌</t>
  </si>
  <si>
    <t>홍길표</t>
  </si>
  <si>
    <t>홍진영</t>
  </si>
  <si>
    <t>황규만</t>
  </si>
  <si>
    <t>931011-1072918</t>
  </si>
  <si>
    <t>990405-1637612</t>
  </si>
  <si>
    <t>700720-1841616</t>
  </si>
  <si>
    <t>690215-1017539</t>
  </si>
  <si>
    <t>991206-1353015</t>
  </si>
  <si>
    <t>761027-1535918</t>
  </si>
  <si>
    <t>980306-1774616</t>
  </si>
  <si>
    <t>960625-1106422</t>
  </si>
  <si>
    <t>760616-1535318</t>
  </si>
  <si>
    <t>860815-1912515</t>
  </si>
  <si>
    <t>940216-2476212</t>
  </si>
  <si>
    <t>700429-1846715</t>
  </si>
  <si>
    <t>900510-1285415</t>
  </si>
  <si>
    <t>810920-1048310</t>
  </si>
  <si>
    <t>001129-3351610</t>
  </si>
  <si>
    <t>690415-1696016</t>
  </si>
  <si>
    <t>710427-1696018</t>
  </si>
  <si>
    <t>040715-3148711</t>
  </si>
  <si>
    <t>760113-1226111</t>
  </si>
  <si>
    <t>820513-1187527</t>
  </si>
  <si>
    <t>790802-1226219</t>
  </si>
  <si>
    <t>870419-1237536</t>
  </si>
  <si>
    <t>910702-1332714</t>
  </si>
  <si>
    <t>760328-1925611</t>
  </si>
  <si>
    <t>050911-3012310</t>
  </si>
  <si>
    <t>921105-1243411</t>
  </si>
  <si>
    <t>700828-1350410</t>
  </si>
  <si>
    <t>870717-1051118</t>
  </si>
  <si>
    <t>870328-1482316</t>
  </si>
  <si>
    <t>940216-1567510</t>
  </si>
  <si>
    <t>750606-1249810</t>
  </si>
  <si>
    <t>820425-1540319</t>
  </si>
  <si>
    <t>031222-3250724</t>
  </si>
  <si>
    <t>741212-1226819</t>
  </si>
  <si>
    <t>010714-3038027</t>
  </si>
  <si>
    <t>970711-1674615</t>
  </si>
  <si>
    <t>740624-2654517</t>
  </si>
  <si>
    <t>920120-1140427</t>
  </si>
  <si>
    <t>930411-1927510</t>
  </si>
  <si>
    <t>700108-2462111</t>
  </si>
  <si>
    <t>680418-1657222</t>
  </si>
  <si>
    <t>751122-1775321</t>
  </si>
  <si>
    <t>930810-1748315</t>
  </si>
  <si>
    <t>700507-1257815</t>
  </si>
  <si>
    <t>710125-1030325</t>
  </si>
  <si>
    <t>710424-1030723</t>
  </si>
  <si>
    <t>770207-1231227</t>
  </si>
  <si>
    <t>840801-1932518</t>
  </si>
  <si>
    <t>680601-1452447</t>
  </si>
  <si>
    <t>공사보조</t>
    <phoneticPr fontId="3" type="noConversion"/>
  </si>
  <si>
    <t>안전보조</t>
    <phoneticPr fontId="3" type="noConversion"/>
  </si>
  <si>
    <t>배관공</t>
    <phoneticPr fontId="3" type="noConversion"/>
  </si>
  <si>
    <t>보통인부</t>
    <phoneticPr fontId="3" type="noConversion"/>
  </si>
  <si>
    <t>010-5396-5444</t>
  </si>
  <si>
    <t>010-5947-6218</t>
  </si>
  <si>
    <t>010-9167-8097</t>
  </si>
  <si>
    <t>010-4346-0215</t>
  </si>
  <si>
    <t>010-5871-9352</t>
  </si>
  <si>
    <t>010-6333-7295</t>
  </si>
  <si>
    <t>010-8024-3113</t>
  </si>
  <si>
    <t>010-2029-3976</t>
  </si>
  <si>
    <t>010-4812-3459</t>
  </si>
  <si>
    <t>010-4171-9729</t>
  </si>
  <si>
    <t>010-4565-0216</t>
  </si>
  <si>
    <t>010-2700-6160</t>
  </si>
  <si>
    <t>010-6356-6855</t>
  </si>
  <si>
    <t>010-4377-9993</t>
  </si>
  <si>
    <t>010-8566-2631</t>
  </si>
  <si>
    <t>010-2478-4445</t>
  </si>
  <si>
    <t>010-9288-7211</t>
  </si>
  <si>
    <t>010-5466-1145</t>
  </si>
  <si>
    <t>010-8743-1066</t>
  </si>
  <si>
    <t>010-6585-1765</t>
  </si>
  <si>
    <t>010-5653-2064</t>
  </si>
  <si>
    <t>010-8448-2493</t>
  </si>
  <si>
    <t>010-5845-4855</t>
  </si>
  <si>
    <t>010-9939-9506</t>
  </si>
  <si>
    <t>010-2894-7058</t>
  </si>
  <si>
    <t>010-7175-8014</t>
  </si>
  <si>
    <t>010-6374-9885</t>
  </si>
  <si>
    <t>010-8985-8707</t>
  </si>
  <si>
    <t>010-7940-5153</t>
  </si>
  <si>
    <t>010-4131-2699</t>
  </si>
  <si>
    <t>010-5699-9585</t>
  </si>
  <si>
    <t>010-9680-0458</t>
  </si>
  <si>
    <t>010-8613-3329</t>
  </si>
  <si>
    <t>010-2586-0179</t>
  </si>
  <si>
    <t>010-7587-3835</t>
  </si>
  <si>
    <t>010-5282-3466</t>
  </si>
  <si>
    <t>010-9083-0871</t>
  </si>
  <si>
    <t>010-9801-2341</t>
  </si>
  <si>
    <t>010-4922-8130</t>
  </si>
  <si>
    <t>010-2296-5474</t>
  </si>
  <si>
    <t>010-3444-3200</t>
  </si>
  <si>
    <t>010-9255-1975</t>
  </si>
  <si>
    <t>010-3707-6828</t>
  </si>
  <si>
    <t>010-3694-7026</t>
  </si>
  <si>
    <t>010-4605-7551</t>
  </si>
  <si>
    <t>010-7641-5587</t>
  </si>
  <si>
    <t>010-9347-9189</t>
  </si>
  <si>
    <t>010-4188-1444</t>
  </si>
  <si>
    <t>010-5564-9318</t>
  </si>
  <si>
    <t>110-371-147243</t>
  </si>
  <si>
    <t>944502-00-393239</t>
  </si>
  <si>
    <t>842401-01-592574</t>
  </si>
  <si>
    <t>357-21-0173-310</t>
  </si>
  <si>
    <t>411801-04-442755</t>
  </si>
  <si>
    <t>산림조합</t>
  </si>
  <si>
    <t>512-13-0012018</t>
  </si>
  <si>
    <t>카카오</t>
  </si>
  <si>
    <t>3333-17-8490304</t>
  </si>
  <si>
    <t>101401-04-172575</t>
  </si>
  <si>
    <t>351-0468-2919-93</t>
  </si>
  <si>
    <t>3333-08-5239539</t>
  </si>
  <si>
    <t>3333-26-1255102</t>
  </si>
  <si>
    <t>121802-04-157456</t>
  </si>
  <si>
    <t>토스</t>
  </si>
  <si>
    <t>1002-5523-2883</t>
  </si>
  <si>
    <t>110-514-317116</t>
  </si>
  <si>
    <t>484602-04-048893</t>
  </si>
  <si>
    <t>739-910348-68907</t>
  </si>
  <si>
    <t>새마을</t>
  </si>
  <si>
    <t>9002-1656-1013-1</t>
  </si>
  <si>
    <t>424-890005-04207</t>
  </si>
  <si>
    <t>118-188012-02-016</t>
  </si>
  <si>
    <t>1002-831-473236</t>
  </si>
  <si>
    <t>1002-343-957019</t>
  </si>
  <si>
    <t>3333-11-4426796</t>
  </si>
  <si>
    <t>117-335684-02-001</t>
  </si>
  <si>
    <t>3333-13-9621715</t>
  </si>
  <si>
    <t>352-0740-3997-33</t>
  </si>
  <si>
    <t>639602-04-111900</t>
  </si>
  <si>
    <t>219402-04-119223</t>
  </si>
  <si>
    <t>478-21-0590-521</t>
  </si>
  <si>
    <t>260-039-410185</t>
  </si>
  <si>
    <t>352-2037-6628-33</t>
  </si>
  <si>
    <t>191-116247-01-011</t>
  </si>
  <si>
    <t>3333-23-8195284</t>
  </si>
  <si>
    <t>616-006769-01-011</t>
  </si>
  <si>
    <t>344902-04-243541</t>
  </si>
  <si>
    <t>110-241-436538</t>
  </si>
  <si>
    <t>938002-00-967222</t>
  </si>
  <si>
    <t>3333-15-8666644</t>
  </si>
  <si>
    <t>9003-2666-1774-7</t>
  </si>
  <si>
    <t>9002-1651-1441-5</t>
  </si>
  <si>
    <t>110-359-861153</t>
  </si>
  <si>
    <t>752-21-0354-081</t>
  </si>
  <si>
    <t>352-1513-6468-13</t>
  </si>
  <si>
    <t>9003-3039-9550-9</t>
  </si>
  <si>
    <t>1002-332-781655</t>
  </si>
  <si>
    <t>3333-06-7988172</t>
  </si>
  <si>
    <t>110-102-897589</t>
  </si>
  <si>
    <t>302-0319-5464-01</t>
  </si>
  <si>
    <t>110-398-739932</t>
  </si>
  <si>
    <t>110-516-886123</t>
  </si>
  <si>
    <t>476-21-0077-869</t>
  </si>
  <si>
    <t xml:space="preserve">숙소임대료(07월분) </t>
    <phoneticPr fontId="3" type="noConversion"/>
  </si>
  <si>
    <t>평택시 고덕여염12길 27 401호</t>
  </si>
  <si>
    <t>평택시 고덕갈평10길 40 202호</t>
  </si>
  <si>
    <t>평택시 고덕여염16길 113 202호</t>
  </si>
  <si>
    <t>평택시 함박산2길 11 302호</t>
  </si>
  <si>
    <t>평택시 함박산8길 13 201호</t>
  </si>
  <si>
    <t>평택시 함박산1길 49 202호</t>
  </si>
  <si>
    <t>평택시 고덕국제3길 103 202호</t>
  </si>
  <si>
    <t>평택시 고덕여염12길 10 201호</t>
  </si>
  <si>
    <t>평택시 함박산2길 32-2 202호</t>
  </si>
  <si>
    <t>평택시 함박산2길 30 201호</t>
  </si>
  <si>
    <t>평택시 함박산2길 16-1 301호</t>
  </si>
  <si>
    <t>평택시 함박산1길 23 201호</t>
  </si>
  <si>
    <t>평택시 함박산8길 25-1 202호</t>
  </si>
  <si>
    <t>평택시 함박산3길 39 201호</t>
  </si>
  <si>
    <t>평택시 함박산2길 7 201호</t>
  </si>
  <si>
    <t>평택시 고덕여염12길 142 202호</t>
  </si>
  <si>
    <t>평택시 고덕갈평10길 53-10 202호</t>
  </si>
  <si>
    <t>평택시 고덕갈평10길 53-10 302호</t>
  </si>
  <si>
    <t>복층)</t>
  </si>
  <si>
    <t>평택시 고덕갈평10길 40 202호</t>
    <phoneticPr fontId="3" type="noConversion"/>
  </si>
  <si>
    <t>평택시 함박산9길 28 401호(복층)</t>
    <phoneticPr fontId="3" type="noConversion"/>
  </si>
  <si>
    <t>평택시 함박산2길 11 302호</t>
    <phoneticPr fontId="3" type="noConversion"/>
  </si>
  <si>
    <t>평택시 함박산8길 13 201호</t>
    <phoneticPr fontId="3" type="noConversion"/>
  </si>
  <si>
    <t>평택시 함박산2길 16 201호</t>
    <phoneticPr fontId="3" type="noConversion"/>
  </si>
  <si>
    <t>평택시 함박산1길 49 202호</t>
    <phoneticPr fontId="3" type="noConversion"/>
  </si>
  <si>
    <t>평택시 고덕국제3길 103 202호</t>
    <phoneticPr fontId="3" type="noConversion"/>
  </si>
  <si>
    <t>평택시 고덕여염12길 10 201호</t>
    <phoneticPr fontId="3" type="noConversion"/>
  </si>
  <si>
    <t>평택시 함박산2길 32-2 202호</t>
    <phoneticPr fontId="3" type="noConversion"/>
  </si>
  <si>
    <t>평택시 함박산2길 30 201호</t>
    <phoneticPr fontId="3" type="noConversion"/>
  </si>
  <si>
    <t>평택시 함박산2길 16-1 301호</t>
    <phoneticPr fontId="3" type="noConversion"/>
  </si>
  <si>
    <t>평택시 함박산1길 23 201호</t>
    <phoneticPr fontId="3" type="noConversion"/>
  </si>
  <si>
    <t>평택시 함박산8길 25-1 202호</t>
    <phoneticPr fontId="3" type="noConversion"/>
  </si>
  <si>
    <t>평택시 함박산3길 39 201호</t>
    <phoneticPr fontId="3" type="noConversion"/>
  </si>
  <si>
    <t>평택시 함박산2길 7 201호</t>
    <phoneticPr fontId="3" type="noConversion"/>
  </si>
  <si>
    <t>평택시 고덕여염12길 142 202호</t>
    <phoneticPr fontId="3" type="noConversion"/>
  </si>
  <si>
    <t>평택시 고덕갈평10길 53-10 202호</t>
    <phoneticPr fontId="3" type="noConversion"/>
  </si>
  <si>
    <t>평택시 고덕갈평10길 53-10 302호</t>
    <phoneticPr fontId="3" type="noConversion"/>
  </si>
  <si>
    <t xml:space="preserve">숙소수도세(07월분) </t>
  </si>
  <si>
    <t xml:space="preserve">숙소가스료(07월분) </t>
  </si>
  <si>
    <t xml:space="preserve">숙소전기료(07월분) </t>
  </si>
  <si>
    <t>401호</t>
    <phoneticPr fontId="3" type="noConversion"/>
  </si>
  <si>
    <t>202호</t>
    <phoneticPr fontId="3" type="noConversion"/>
  </si>
  <si>
    <t>익월청구</t>
  </si>
  <si>
    <t>혹서기로 익월고지</t>
    <phoneticPr fontId="3" type="noConversion"/>
  </si>
  <si>
    <t>-</t>
    <phoneticPr fontId="3" type="noConversion"/>
  </si>
  <si>
    <t>다이아몬드줄 [10",스텐 [수입]]</t>
  </si>
  <si>
    <t>타이어커버 [소,323*100,12*4,JCPT0807,JCPT0807AC용]</t>
  </si>
  <si>
    <t>방우콘센트 [2구,20A [코엘]]</t>
  </si>
  <si>
    <t>실리콘오링 [26Q*9R,적색 [수입]]</t>
  </si>
  <si>
    <t>스텝드릴 [5-35,Co8%,원형생크 [블랑코]]</t>
  </si>
  <si>
    <t>어스클램프 [CEC-500A,CTX [크레토스]]</t>
  </si>
  <si>
    <t>스패너 [35mm [MIDAS]]</t>
  </si>
  <si>
    <t>PP로프 [6mm*100m [SW]]</t>
  </si>
  <si>
    <t>낙상경보기부품 [풀피리]</t>
  </si>
  <si>
    <t>수평 [자석,MML-100 [SB]]</t>
  </si>
  <si>
    <t>롱비트소켓 [11*110mm [황금손]]</t>
  </si>
  <si>
    <t>텅스텐봉 [3.2Q,10개,란탄2%,CTX [크레토스]]</t>
  </si>
  <si>
    <t>흑유리 [#10,CTX [태담]]</t>
  </si>
  <si>
    <t>알곤장갑 [가죽,내피,갈색,AR-BRI [웰코]]</t>
  </si>
  <si>
    <t>스패너 [28mm [MIDAS]]</t>
  </si>
  <si>
    <t>물조루 [중 6L [SW]]</t>
  </si>
  <si>
    <t>물조루 [대,10L [SW]]</t>
  </si>
  <si>
    <t>타이어커버 [대,381*127,15*5,GS2646,GN20,S0812E용]</t>
  </si>
  <si>
    <t>튜브컷터날 [TCBC105 [슈퍼]]</t>
  </si>
  <si>
    <t>용접검사거울 [SM-914 [스마토]]</t>
  </si>
  <si>
    <t>용접검사거울 [SM-889 [스마토]]</t>
  </si>
  <si>
    <t>낙상경보기 [400*90 [3S]]</t>
  </si>
  <si>
    <t>티브러쉬 [75*6.스텐 [동양]]</t>
  </si>
  <si>
    <t>개인생명줄 [1m,황색 [신수]]</t>
  </si>
  <si>
    <t>빗자루 [갈대비 [수입/HNS]]</t>
  </si>
  <si>
    <t>쓰레받이 [외곽용,주황 [수입]]</t>
  </si>
  <si>
    <t>PP로프 [6mm*100m [SWS]]</t>
  </si>
  <si>
    <t>텅스텐연마기휠 [CGW-4,다이아몬드휠,100*16*1T,#180,CTX [크레토스]]</t>
  </si>
  <si>
    <t>알곤세라믹 [350A-15mm(#10B)YJ-35,변형,CTX [크레토스]]</t>
  </si>
  <si>
    <t>우의 [일회용,백색,1*300 [SWS]]</t>
  </si>
  <si>
    <t>수리비,보쉬GDX18V-200 [스위치]</t>
  </si>
  <si>
    <t>알곤용접봉 [TGC316.2.4mm,5kg [조선선재]]</t>
  </si>
  <si>
    <t>알곤용접봉 [TGC316.3.2mm,5kg [조선선재]]</t>
  </si>
  <si>
    <t>써큘러콘넥터 [케이블,YC25-02P [조영]]</t>
  </si>
  <si>
    <t>칫솔브러쉬 [브러쉬,스텐 [스마토]]</t>
  </si>
  <si>
    <t>파이프컷팅날 [LS6844 [엑서]]</t>
  </si>
  <si>
    <t>케이블타이 [300mm(1봉=500개),흑색 [HNS]]</t>
  </si>
  <si>
    <t>알곤가스호스 [8Q*50m,회색 [조영]]</t>
  </si>
  <si>
    <t>작업비 [컨넥터]</t>
  </si>
  <si>
    <t>PP로프 [6mm*200m [HNS]]</t>
  </si>
  <si>
    <t>낙상경보기부품 [풀피리,대]</t>
  </si>
  <si>
    <t>철직자 [BD-FJ150,CTX [블루텍]]</t>
  </si>
  <si>
    <t>분무기 [700ML,고급형헤드 [아폴로/SW]]</t>
  </si>
  <si>
    <t>알곤토치헤드 [350A,플렉시블,CT-35F,CTX [크레토스]]</t>
  </si>
  <si>
    <t>파이프컷팅날 [LS8054 [엑서]]</t>
  </si>
  <si>
    <t>완장 [고소작업대유도자 [국산]]</t>
  </si>
  <si>
    <t>PP로프 [16mm*100m [SWS]]</t>
  </si>
  <si>
    <t>롱핸드소켓 [1/2"*15mm [킹토니]]</t>
  </si>
  <si>
    <t>페인트마카 [백색,12개 [모나미]]</t>
  </si>
  <si>
    <t>볼펜 [153스틱,흑색,0.7mm,12개,CTX [모나미]]</t>
  </si>
  <si>
    <t>다이아몬드줄 [200mm,반원 [삼익]]</t>
  </si>
  <si>
    <t>우마사다리부품 [고무발,우]</t>
  </si>
  <si>
    <t>우마사다리부품 [고무발,좌]</t>
  </si>
  <si>
    <t>쇠톱날 [12"*24TPI [레녹스]]</t>
  </si>
  <si>
    <t>튜브컷터 [TCB-105,4-32mm [슈퍼]]</t>
  </si>
  <si>
    <t>줄 [10",반원 [삼익]]</t>
  </si>
  <si>
    <t>청소비용(07월분)</t>
    <phoneticPr fontId="3" type="noConversion"/>
  </si>
  <si>
    <t>평택시 고덕여염6길 199 202호, 301호</t>
    <phoneticPr fontId="3" type="noConversion"/>
  </si>
  <si>
    <t>202호, 301호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</si>
</sst>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_-* #,##0_-;&quot;₩&quot;\!\-* #,##0_-;_-* &quot;-&quot;_-;_-@_-"/>
    <numFmt numFmtId="188" formatCode="0.00000000000000000000000"/>
    <numFmt numFmtId="189" formatCode="_-* #,##0_-;\-* #,##0_-;_-* &quot;-&quot;??_-;_-@_-"/>
    <numFmt numFmtId="190" formatCode="_-* #,##0.0000_-;\-* #,##0.0000_-;_-* &quot;-&quot;_-;_-@_-"/>
    <numFmt numFmtId="191" formatCode="0.0000"/>
  </numFmts>
  <fonts count="6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20"/>
      <color theme="1"/>
      <name val="새굴림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57" fillId="0" borderId="0" applyFont="0" applyFill="0" applyBorder="0" applyAlignment="0" applyProtection="0">
      <alignment vertical="center"/>
    </xf>
  </cellStyleXfs>
  <cellXfs count="30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5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4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178" fontId="1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9" fontId="0" fillId="0" borderId="0" xfId="0" applyNumberFormat="1">
      <alignment vertical="center"/>
    </xf>
    <xf numFmtId="41" fontId="1" fillId="0" borderId="0" xfId="0" applyNumberFormat="1" applyFont="1">
      <alignment vertical="center"/>
    </xf>
    <xf numFmtId="178" fontId="13" fillId="0" borderId="0" xfId="0" applyNumberFormat="1" applyFont="1" applyAlignment="1">
      <alignment horizontal="left" vertical="center"/>
    </xf>
    <xf numFmtId="41" fontId="13" fillId="0" borderId="0" xfId="0" applyNumberFormat="1" applyFont="1">
      <alignment vertical="center"/>
    </xf>
    <xf numFmtId="9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1" fontId="12" fillId="0" borderId="9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1" fontId="15" fillId="0" borderId="20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41" fontId="22" fillId="0" borderId="9" xfId="0" applyNumberFormat="1" applyFont="1" applyBorder="1">
      <alignment vertical="center"/>
    </xf>
    <xf numFmtId="41" fontId="12" fillId="0" borderId="23" xfId="0" applyNumberFormat="1" applyFont="1" applyBorder="1" applyAlignment="1">
      <alignment horizontal="center" vertical="center"/>
    </xf>
    <xf numFmtId="41" fontId="12" fillId="0" borderId="13" xfId="0" applyNumberFormat="1" applyFont="1" applyBorder="1" applyAlignment="1">
      <alignment horizontal="center" vertical="center"/>
    </xf>
    <xf numFmtId="41" fontId="12" fillId="0" borderId="12" xfId="0" applyNumberFormat="1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41" fontId="13" fillId="6" borderId="23" xfId="0" applyNumberFormat="1" applyFont="1" applyFill="1" applyBorder="1" applyAlignment="1">
      <alignment horizontal="center" vertical="center"/>
    </xf>
    <xf numFmtId="41" fontId="13" fillId="6" borderId="13" xfId="0" applyNumberFormat="1" applyFont="1" applyFill="1" applyBorder="1" applyAlignment="1">
      <alignment horizontal="center" vertical="center"/>
    </xf>
    <xf numFmtId="41" fontId="13" fillId="6" borderId="9" xfId="0" applyNumberFormat="1" applyFont="1" applyFill="1" applyBorder="1" applyAlignment="1">
      <alignment horizontal="center" vertical="center"/>
    </xf>
    <xf numFmtId="41" fontId="13" fillId="6" borderId="12" xfId="0" applyNumberFormat="1" applyFont="1" applyFill="1" applyBorder="1" applyAlignment="1">
      <alignment horizontal="center" vertical="center"/>
    </xf>
    <xf numFmtId="41" fontId="22" fillId="0" borderId="9" xfId="0" applyNumberFormat="1" applyFont="1" applyBorder="1" applyAlignment="1">
      <alignment vertical="center" shrinkToFit="1"/>
    </xf>
    <xf numFmtId="0" fontId="13" fillId="4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0" applyNumberFormat="1" applyBorder="1">
      <alignment vertical="center"/>
    </xf>
    <xf numFmtId="41" fontId="25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29" fillId="0" borderId="0" xfId="0" applyFont="1">
      <alignment vertical="center"/>
    </xf>
    <xf numFmtId="182" fontId="29" fillId="0" borderId="0" xfId="0" applyNumberFormat="1" applyFont="1">
      <alignment vertical="center"/>
    </xf>
    <xf numFmtId="0" fontId="30" fillId="0" borderId="0" xfId="0" applyFont="1" applyAlignment="1" applyProtection="1">
      <alignment horizontal="left" vertical="center"/>
      <protection locked="0"/>
    </xf>
    <xf numFmtId="40" fontId="31" fillId="0" borderId="0" xfId="0" applyNumberFormat="1" applyFont="1" applyAlignment="1" applyProtection="1">
      <alignment horizontal="left" vertical="center"/>
      <protection locked="0"/>
    </xf>
    <xf numFmtId="181" fontId="31" fillId="0" borderId="0" xfId="0" applyNumberFormat="1" applyFont="1" applyAlignment="1" applyProtection="1">
      <alignment horizontal="right" vertical="center"/>
      <protection locked="0"/>
    </xf>
    <xf numFmtId="41" fontId="13" fillId="5" borderId="33" xfId="0" applyNumberFormat="1" applyFont="1" applyFill="1" applyBorder="1" applyAlignment="1">
      <alignment horizontal="center" vertical="center"/>
    </xf>
    <xf numFmtId="41" fontId="13" fillId="5" borderId="34" xfId="0" applyNumberFormat="1" applyFont="1" applyFill="1" applyBorder="1" applyAlignment="1">
      <alignment horizontal="center" vertical="center"/>
    </xf>
    <xf numFmtId="182" fontId="13" fillId="5" borderId="34" xfId="0" applyNumberFormat="1" applyFont="1" applyFill="1" applyBorder="1" applyAlignment="1">
      <alignment horizontal="center" vertical="center"/>
    </xf>
    <xf numFmtId="182" fontId="13" fillId="5" borderId="35" xfId="0" applyNumberFormat="1" applyFont="1" applyFill="1" applyBorder="1" applyAlignment="1">
      <alignment horizontal="center" vertical="center"/>
    </xf>
    <xf numFmtId="181" fontId="13" fillId="5" borderId="33" xfId="0" applyNumberFormat="1" applyFont="1" applyFill="1" applyBorder="1" applyAlignment="1">
      <alignment horizontal="center" vertical="center"/>
    </xf>
    <xf numFmtId="181" fontId="13" fillId="5" borderId="35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3" fontId="13" fillId="0" borderId="11" xfId="0" applyNumberFormat="1" applyFont="1" applyBorder="1" applyAlignment="1">
      <alignment horizontal="center" vertical="center"/>
    </xf>
    <xf numFmtId="41" fontId="13" fillId="0" borderId="11" xfId="0" applyNumberFormat="1" applyFont="1" applyBorder="1" applyAlignment="1">
      <alignment horizontal="center" vertical="center"/>
    </xf>
    <xf numFmtId="182" fontId="13" fillId="0" borderId="11" xfId="0" applyNumberFormat="1" applyFont="1" applyBorder="1" applyAlignment="1">
      <alignment horizontal="center" vertical="center"/>
    </xf>
    <xf numFmtId="182" fontId="13" fillId="0" borderId="38" xfId="0" applyNumberFormat="1" applyFont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81" fontId="13" fillId="0" borderId="40" xfId="0" applyNumberFormat="1" applyFont="1" applyBorder="1" applyAlignment="1">
      <alignment horizontal="center" vertical="center"/>
    </xf>
    <xf numFmtId="184" fontId="13" fillId="0" borderId="38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/>
    </xf>
    <xf numFmtId="183" fontId="13" fillId="0" borderId="9" xfId="0" applyNumberFormat="1" applyFont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1" fontId="13" fillId="0" borderId="10" xfId="0" applyNumberFormat="1" applyFont="1" applyBorder="1" applyAlignment="1">
      <alignment horizontal="center" vertical="center"/>
    </xf>
    <xf numFmtId="185" fontId="15" fillId="6" borderId="36" xfId="0" applyNumberFormat="1" applyFont="1" applyFill="1" applyBorder="1" applyAlignment="1">
      <alignment horizontal="center" vertical="center" shrinkToFit="1"/>
    </xf>
    <xf numFmtId="185" fontId="15" fillId="6" borderId="37" xfId="0" applyNumberFormat="1" applyFont="1" applyFill="1" applyBorder="1" applyAlignment="1">
      <alignment horizontal="center" vertical="center" shrinkToFit="1"/>
    </xf>
    <xf numFmtId="185" fontId="15" fillId="6" borderId="33" xfId="0" applyNumberFormat="1" applyFont="1" applyFill="1" applyBorder="1" applyAlignment="1">
      <alignment horizontal="center" vertical="center" shrinkToFit="1"/>
    </xf>
    <xf numFmtId="41" fontId="15" fillId="6" borderId="34" xfId="0" applyNumberFormat="1" applyFont="1" applyFill="1" applyBorder="1" applyAlignment="1">
      <alignment horizontal="center" vertical="center" shrinkToFit="1"/>
    </xf>
    <xf numFmtId="41" fontId="15" fillId="6" borderId="35" xfId="0" applyNumberFormat="1" applyFont="1" applyFill="1" applyBorder="1" applyAlignment="1">
      <alignment horizontal="center" vertical="center" shrinkToFit="1"/>
    </xf>
    <xf numFmtId="185" fontId="33" fillId="2" borderId="36" xfId="0" applyNumberFormat="1" applyFont="1" applyFill="1" applyBorder="1" applyAlignment="1">
      <alignment horizontal="center" vertical="center" shrinkToFit="1"/>
    </xf>
    <xf numFmtId="185" fontId="33" fillId="2" borderId="34" xfId="0" applyNumberFormat="1" applyFont="1" applyFill="1" applyBorder="1" applyAlignment="1">
      <alignment horizontal="center" vertical="center" shrinkToFit="1"/>
    </xf>
    <xf numFmtId="185" fontId="33" fillId="2" borderId="33" xfId="0" applyNumberFormat="1" applyFont="1" applyFill="1" applyBorder="1" applyAlignment="1">
      <alignment horizontal="center" vertical="center" shrinkToFit="1"/>
    </xf>
    <xf numFmtId="41" fontId="33" fillId="2" borderId="34" xfId="0" applyNumberFormat="1" applyFont="1" applyFill="1" applyBorder="1" applyAlignment="1">
      <alignment horizontal="center" vertical="center" shrinkToFit="1"/>
    </xf>
    <xf numFmtId="41" fontId="33" fillId="2" borderId="35" xfId="0" applyNumberFormat="1" applyFont="1" applyFill="1" applyBorder="1" applyAlignment="1">
      <alignment horizontal="center" vertical="center" shrinkToFit="1"/>
    </xf>
    <xf numFmtId="40" fontId="29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181" fontId="29" fillId="0" borderId="0" xfId="0" applyNumberFormat="1" applyFont="1">
      <alignment vertical="center"/>
    </xf>
    <xf numFmtId="181" fontId="29" fillId="0" borderId="0" xfId="0" applyNumberFormat="1" applyFont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41" fontId="38" fillId="9" borderId="9" xfId="0" applyNumberFormat="1" applyFont="1" applyFill="1" applyBorder="1">
      <alignment vertical="center"/>
    </xf>
    <xf numFmtId="0" fontId="39" fillId="0" borderId="0" xfId="0" applyFont="1">
      <alignment vertical="center"/>
    </xf>
    <xf numFmtId="0" fontId="21" fillId="0" borderId="9" xfId="0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43" fontId="42" fillId="10" borderId="9" xfId="0" applyNumberFormat="1" applyFont="1" applyFill="1" applyBorder="1" applyAlignment="1">
      <alignment horizontal="center" vertical="center"/>
    </xf>
    <xf numFmtId="41" fontId="43" fillId="11" borderId="9" xfId="0" applyNumberFormat="1" applyFont="1" applyFill="1" applyBorder="1" applyAlignment="1">
      <alignment horizontal="center" vertical="center"/>
    </xf>
    <xf numFmtId="180" fontId="12" fillId="0" borderId="9" xfId="0" applyNumberFormat="1" applyFont="1" applyBorder="1" applyAlignment="1">
      <alignment horizontal="center" vertical="center"/>
    </xf>
    <xf numFmtId="180" fontId="25" fillId="2" borderId="9" xfId="0" applyNumberFormat="1" applyFont="1" applyFill="1" applyBorder="1">
      <alignment vertical="center"/>
    </xf>
    <xf numFmtId="41" fontId="29" fillId="0" borderId="0" xfId="0" applyNumberFormat="1" applyFont="1">
      <alignment vertical="center"/>
    </xf>
    <xf numFmtId="14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177" fontId="21" fillId="0" borderId="9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82" fontId="32" fillId="5" borderId="15" xfId="0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5" fillId="0" borderId="21" xfId="0" applyFont="1" applyBorder="1">
      <alignment vertical="center"/>
    </xf>
    <xf numFmtId="41" fontId="47" fillId="0" borderId="20" xfId="0" applyNumberFormat="1" applyFont="1" applyBorder="1" applyAlignment="1">
      <alignment vertical="center" shrinkToFit="1"/>
    </xf>
    <xf numFmtId="186" fontId="47" fillId="0" borderId="20" xfId="0" applyNumberFormat="1" applyFont="1" applyBorder="1" applyAlignment="1">
      <alignment horizontal="center" vertical="center"/>
    </xf>
    <xf numFmtId="41" fontId="47" fillId="0" borderId="20" xfId="0" applyNumberFormat="1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5" fillId="0" borderId="18" xfId="0" applyFont="1" applyBorder="1">
      <alignment vertical="center"/>
    </xf>
    <xf numFmtId="41" fontId="47" fillId="0" borderId="9" xfId="0" applyNumberFormat="1" applyFont="1" applyBorder="1" applyAlignment="1">
      <alignment vertical="center" shrinkToFit="1"/>
    </xf>
    <xf numFmtId="41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shrinkToFit="1"/>
    </xf>
    <xf numFmtId="0" fontId="48" fillId="0" borderId="17" xfId="0" applyFont="1" applyBorder="1" applyAlignment="1">
      <alignment horizontal="left" vertical="center"/>
    </xf>
    <xf numFmtId="41" fontId="47" fillId="0" borderId="9" xfId="0" applyNumberFormat="1" applyFont="1" applyBorder="1">
      <alignment vertical="center"/>
    </xf>
    <xf numFmtId="41" fontId="47" fillId="0" borderId="9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left" vertical="center" indent="1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left" vertical="center" wrapText="1" indent="1"/>
    </xf>
    <xf numFmtId="0" fontId="47" fillId="0" borderId="17" xfId="0" applyFont="1" applyBorder="1" applyAlignment="1">
      <alignment vertical="center" shrinkToFit="1"/>
    </xf>
    <xf numFmtId="0" fontId="47" fillId="12" borderId="17" xfId="0" applyFont="1" applyFill="1" applyBorder="1" applyAlignment="1">
      <alignment horizontal="left" vertical="center" indent="1"/>
    </xf>
    <xf numFmtId="187" fontId="47" fillId="0" borderId="9" xfId="0" applyNumberFormat="1" applyFont="1" applyBorder="1" applyAlignment="1">
      <alignment horizontal="center" vertical="center"/>
    </xf>
    <xf numFmtId="0" fontId="47" fillId="0" borderId="17" xfId="0" applyFont="1" applyBorder="1" applyAlignment="1">
      <alignment horizontal="left" vertical="center" wrapText="1"/>
    </xf>
    <xf numFmtId="188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89" fontId="47" fillId="0" borderId="9" xfId="0" applyNumberFormat="1" applyFont="1" applyBorder="1" applyAlignment="1">
      <alignment vertical="center" shrinkToFit="1"/>
    </xf>
    <xf numFmtId="9" fontId="47" fillId="0" borderId="9" xfId="0" applyNumberFormat="1" applyFont="1" applyBorder="1" applyAlignment="1">
      <alignment vertical="center" shrinkToFit="1"/>
    </xf>
    <xf numFmtId="0" fontId="47" fillId="0" borderId="17" xfId="0" applyFont="1" applyBorder="1" applyAlignment="1">
      <alignment horizontal="center" vertical="center" wrapText="1"/>
    </xf>
    <xf numFmtId="41" fontId="47" fillId="0" borderId="17" xfId="0" applyNumberFormat="1" applyFont="1" applyBorder="1" applyAlignment="1">
      <alignment horizontal="center" vertical="center"/>
    </xf>
    <xf numFmtId="184" fontId="45" fillId="0" borderId="18" xfId="0" quotePrefix="1" applyNumberFormat="1" applyFont="1" applyBorder="1" applyAlignment="1">
      <alignment vertical="center" shrinkToFit="1"/>
    </xf>
    <xf numFmtId="43" fontId="1" fillId="0" borderId="0" xfId="0" applyNumberFormat="1" applyFont="1">
      <alignment vertical="center"/>
    </xf>
    <xf numFmtId="0" fontId="1" fillId="0" borderId="18" xfId="0" applyFont="1" applyBorder="1">
      <alignment vertical="center"/>
    </xf>
    <xf numFmtId="184" fontId="46" fillId="0" borderId="18" xfId="0" quotePrefix="1" applyNumberFormat="1" applyFont="1" applyBorder="1" applyAlignment="1">
      <alignment vertical="center" shrinkToFit="1"/>
    </xf>
    <xf numFmtId="184" fontId="46" fillId="0" borderId="18" xfId="0" applyNumberFormat="1" applyFont="1" applyBorder="1" applyAlignment="1">
      <alignment vertical="center" shrinkToFit="1"/>
    </xf>
    <xf numFmtId="41" fontId="50" fillId="13" borderId="9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right" vertical="center"/>
    </xf>
    <xf numFmtId="0" fontId="52" fillId="0" borderId="0" xfId="0" quotePrefix="1" applyFont="1">
      <alignment vertical="center"/>
    </xf>
    <xf numFmtId="0" fontId="50" fillId="0" borderId="0" xfId="0" quotePrefix="1" applyFont="1">
      <alignment vertical="center"/>
    </xf>
    <xf numFmtId="190" fontId="15" fillId="6" borderId="33" xfId="0" applyNumberFormat="1" applyFont="1" applyFill="1" applyBorder="1" applyAlignment="1">
      <alignment horizontal="center" vertical="center" shrinkToFit="1"/>
    </xf>
    <xf numFmtId="0" fontId="13" fillId="5" borderId="9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41" fontId="13" fillId="6" borderId="22" xfId="0" applyNumberFormat="1" applyFont="1" applyFill="1" applyBorder="1" applyAlignment="1">
      <alignment horizontal="center" vertical="center"/>
    </xf>
    <xf numFmtId="0" fontId="54" fillId="2" borderId="9" xfId="0" applyFont="1" applyFill="1" applyBorder="1" applyAlignment="1">
      <alignment horizontal="center" vertical="center"/>
    </xf>
    <xf numFmtId="41" fontId="54" fillId="2" borderId="23" xfId="0" applyNumberFormat="1" applyFont="1" applyFill="1" applyBorder="1" applyAlignment="1">
      <alignment horizontal="center" vertical="center"/>
    </xf>
    <xf numFmtId="41" fontId="54" fillId="2" borderId="13" xfId="0" applyNumberFormat="1" applyFont="1" applyFill="1" applyBorder="1" applyAlignment="1">
      <alignment horizontal="center" vertical="center"/>
    </xf>
    <xf numFmtId="41" fontId="54" fillId="2" borderId="9" xfId="0" applyNumberFormat="1" applyFont="1" applyFill="1" applyBorder="1" applyAlignment="1">
      <alignment horizontal="center" vertical="center"/>
    </xf>
    <xf numFmtId="41" fontId="54" fillId="2" borderId="12" xfId="0" applyNumberFormat="1" applyFont="1" applyFill="1" applyBorder="1" applyAlignment="1">
      <alignment horizontal="center" vertical="center"/>
    </xf>
    <xf numFmtId="41" fontId="55" fillId="2" borderId="9" xfId="0" applyNumberFormat="1" applyFont="1" applyFill="1" applyBorder="1">
      <alignment vertical="center"/>
    </xf>
    <xf numFmtId="41" fontId="50" fillId="0" borderId="0" xfId="0" applyNumberFormat="1" applyFont="1">
      <alignment vertical="center"/>
    </xf>
    <xf numFmtId="0" fontId="12" fillId="0" borderId="12" xfId="0" applyFont="1" applyBorder="1">
      <alignment vertical="center"/>
    </xf>
    <xf numFmtId="41" fontId="22" fillId="0" borderId="12" xfId="0" applyNumberFormat="1" applyFont="1" applyBorder="1">
      <alignment vertical="center"/>
    </xf>
    <xf numFmtId="0" fontId="21" fillId="0" borderId="44" xfId="0" applyFont="1" applyBorder="1">
      <alignment vertical="center"/>
    </xf>
    <xf numFmtId="0" fontId="13" fillId="0" borderId="0" xfId="0" applyFont="1" applyAlignment="1">
      <alignment horizontal="right"/>
    </xf>
    <xf numFmtId="0" fontId="13" fillId="0" borderId="45" xfId="0" applyFont="1" applyBorder="1" applyAlignment="1">
      <alignment horizontal="right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2" fillId="0" borderId="17" xfId="0" applyFont="1" applyBorder="1">
      <alignment vertical="center"/>
    </xf>
    <xf numFmtId="0" fontId="13" fillId="0" borderId="17" xfId="0" applyFont="1" applyBorder="1" applyAlignment="1">
      <alignment horizontal="left" vertical="center"/>
    </xf>
    <xf numFmtId="41" fontId="23" fillId="6" borderId="17" xfId="0" applyNumberFormat="1" applyFont="1" applyFill="1" applyBorder="1" applyAlignment="1">
      <alignment horizontal="left" vertical="center" indent="1"/>
    </xf>
    <xf numFmtId="0" fontId="13" fillId="4" borderId="18" xfId="0" applyFont="1" applyFill="1" applyBorder="1" applyAlignment="1">
      <alignment horizontal="center" vertical="center"/>
    </xf>
    <xf numFmtId="0" fontId="13" fillId="0" borderId="44" xfId="0" applyFont="1" applyBorder="1">
      <alignment vertical="center"/>
    </xf>
    <xf numFmtId="0" fontId="21" fillId="0" borderId="45" xfId="0" applyFont="1" applyBorder="1">
      <alignment vertical="center"/>
    </xf>
    <xf numFmtId="0" fontId="13" fillId="0" borderId="49" xfId="0" applyFont="1" applyBorder="1">
      <alignment vertical="center"/>
    </xf>
    <xf numFmtId="0" fontId="21" fillId="0" borderId="50" xfId="0" applyFont="1" applyBorder="1">
      <alignment vertical="center"/>
    </xf>
    <xf numFmtId="0" fontId="21" fillId="0" borderId="51" xfId="0" applyFont="1" applyBorder="1">
      <alignment vertical="center"/>
    </xf>
    <xf numFmtId="0" fontId="54" fillId="2" borderId="12" xfId="0" applyFont="1" applyFill="1" applyBorder="1">
      <alignment vertical="center"/>
    </xf>
    <xf numFmtId="41" fontId="12" fillId="0" borderId="11" xfId="0" applyNumberFormat="1" applyFont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191" fontId="12" fillId="0" borderId="9" xfId="0" applyNumberFormat="1" applyFont="1" applyBorder="1" applyAlignment="1">
      <alignment horizontal="center" vertical="center"/>
    </xf>
    <xf numFmtId="0" fontId="58" fillId="0" borderId="9" xfId="0" applyFont="1" applyBorder="1" applyAlignment="1">
      <alignment horizontal="left" vertical="center" wrapText="1"/>
    </xf>
    <xf numFmtId="0" fontId="59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60" fillId="0" borderId="11" xfId="0" applyFont="1" applyBorder="1" applyAlignment="1">
      <alignment horizontal="left" vertical="center" wrapText="1"/>
    </xf>
    <xf numFmtId="41" fontId="61" fillId="0" borderId="9" xfId="0" applyNumberFormat="1" applyFont="1" applyBorder="1" applyAlignment="1">
      <alignment horizontal="center" vertical="center"/>
    </xf>
    <xf numFmtId="41" fontId="21" fillId="0" borderId="0" xfId="0" applyNumberFormat="1" applyFont="1">
      <alignment vertical="center"/>
    </xf>
    <xf numFmtId="41" fontId="21" fillId="0" borderId="9" xfId="1" applyFont="1" applyBorder="1" applyAlignment="1">
      <alignment horizontal="center" vertical="center"/>
    </xf>
    <xf numFmtId="41" fontId="21" fillId="2" borderId="9" xfId="1" applyFont="1" applyFill="1" applyBorder="1" applyAlignment="1">
      <alignment horizontal="center" vertical="center"/>
    </xf>
    <xf numFmtId="14" fontId="21" fillId="0" borderId="9" xfId="1" applyNumberFormat="1" applyFont="1" applyBorder="1" applyAlignment="1">
      <alignment horizontal="center" vertical="center"/>
    </xf>
    <xf numFmtId="41" fontId="60" fillId="0" borderId="9" xfId="1" applyFont="1" applyBorder="1" applyAlignment="1">
      <alignment horizontal="left" vertical="center" wrapText="1"/>
    </xf>
    <xf numFmtId="41" fontId="58" fillId="2" borderId="9" xfId="1" applyFont="1" applyFill="1" applyBorder="1" applyAlignment="1">
      <alignment horizontal="left" vertical="center" wrapText="1"/>
    </xf>
    <xf numFmtId="14" fontId="21" fillId="2" borderId="9" xfId="1" applyNumberFormat="1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84" fontId="50" fillId="13" borderId="14" xfId="0" applyNumberFormat="1" applyFont="1" applyFill="1" applyBorder="1" applyAlignment="1">
      <alignment horizontal="center" vertical="center"/>
    </xf>
    <xf numFmtId="184" fontId="50" fillId="13" borderId="17" xfId="0" applyNumberFormat="1" applyFont="1" applyFill="1" applyBorder="1" applyAlignment="1">
      <alignment horizontal="center" vertical="center"/>
    </xf>
    <xf numFmtId="184" fontId="50" fillId="13" borderId="15" xfId="0" applyNumberFormat="1" applyFont="1" applyFill="1" applyBorder="1" applyAlignment="1">
      <alignment horizontal="center" vertical="center"/>
    </xf>
    <xf numFmtId="184" fontId="50" fillId="13" borderId="9" xfId="0" applyNumberFormat="1" applyFont="1" applyFill="1" applyBorder="1" applyAlignment="1">
      <alignment horizontal="center" vertical="center"/>
    </xf>
    <xf numFmtId="41" fontId="50" fillId="13" borderId="15" xfId="0" applyNumberFormat="1" applyFont="1" applyFill="1" applyBorder="1" applyAlignment="1">
      <alignment horizontal="center" vertical="center"/>
    </xf>
    <xf numFmtId="41" fontId="50" fillId="13" borderId="9" xfId="0" applyNumberFormat="1" applyFont="1" applyFill="1" applyBorder="1" applyAlignment="1">
      <alignment horizontal="center" vertical="center"/>
    </xf>
    <xf numFmtId="41" fontId="49" fillId="13" borderId="16" xfId="0" applyNumberFormat="1" applyFont="1" applyFill="1" applyBorder="1" applyAlignment="1">
      <alignment horizontal="center" vertical="center" shrinkToFit="1"/>
    </xf>
    <xf numFmtId="41" fontId="49" fillId="13" borderId="18" xfId="0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41" fontId="23" fillId="6" borderId="12" xfId="0" applyNumberFormat="1" applyFont="1" applyFill="1" applyBorder="1" applyAlignment="1">
      <alignment horizontal="center" vertical="center"/>
    </xf>
    <xf numFmtId="41" fontId="23" fillId="6" borderId="13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41" fontId="13" fillId="4" borderId="9" xfId="1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54" fillId="2" borderId="47" xfId="0" applyFont="1" applyFill="1" applyBorder="1" applyAlignment="1">
      <alignment horizontal="center" vertical="center"/>
    </xf>
    <xf numFmtId="0" fontId="54" fillId="2" borderId="24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81" fontId="28" fillId="0" borderId="13" xfId="0" applyNumberFormat="1" applyFont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/>
    </xf>
    <xf numFmtId="0" fontId="15" fillId="6" borderId="42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33" fillId="2" borderId="41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10" borderId="9" xfId="0" applyFont="1" applyFill="1" applyBorder="1" applyAlignment="1">
      <alignment horizontal="center" vertical="center"/>
    </xf>
    <xf numFmtId="49" fontId="42" fillId="10" borderId="9" xfId="0" applyNumberFormat="1" applyFont="1" applyFill="1" applyBorder="1" applyAlignment="1">
      <alignment horizontal="center" vertical="center"/>
    </xf>
    <xf numFmtId="43" fontId="42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10</xdr:col>
      <xdr:colOff>495300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504825"/>
          <a:ext cx="31908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390525</xdr:colOff>
      <xdr:row>10</xdr:row>
      <xdr:rowOff>17368</xdr:rowOff>
    </xdr:from>
    <xdr:to>
      <xdr:col>10</xdr:col>
      <xdr:colOff>523875</xdr:colOff>
      <xdr:row>14</xdr:row>
      <xdr:rowOff>17369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3008218"/>
          <a:ext cx="3228975" cy="1104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6</xdr:col>
      <xdr:colOff>361950</xdr:colOff>
      <xdr:row>5</xdr:row>
      <xdr:rowOff>114300</xdr:rowOff>
    </xdr:from>
    <xdr:to>
      <xdr:col>10</xdr:col>
      <xdr:colOff>524330</xdr:colOff>
      <xdr:row>9</xdr:row>
      <xdr:rowOff>228770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724F188-01BA-4FBC-BD5C-52308FEF1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15300" y="1724025"/>
          <a:ext cx="3258005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777875</xdr:colOff>
      <xdr:row>52</xdr:row>
      <xdr:rowOff>79375</xdr:rowOff>
    </xdr:from>
    <xdr:to>
      <xdr:col>10</xdr:col>
      <xdr:colOff>682870</xdr:colOff>
      <xdr:row>59</xdr:row>
      <xdr:rowOff>31750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398250" y="17891125"/>
          <a:ext cx="920995" cy="13970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549275</xdr:colOff>
      <xdr:row>1</xdr:row>
      <xdr:rowOff>50800</xdr:rowOff>
    </xdr:from>
    <xdr:to>
      <xdr:col>4</xdr:col>
      <xdr:colOff>168275</xdr:colOff>
      <xdr:row>51</xdr:row>
      <xdr:rowOff>161925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73525" y="527050"/>
          <a:ext cx="933450" cy="1759902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52</xdr:row>
      <xdr:rowOff>82794</xdr:rowOff>
    </xdr:from>
    <xdr:to>
      <xdr:col>12</xdr:col>
      <xdr:colOff>1334966</xdr:colOff>
      <xdr:row>59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970594" y="18157882"/>
          <a:ext cx="3268196" cy="1461808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재 윤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정 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52510</xdr:colOff>
      <xdr:row>53</xdr:row>
      <xdr:rowOff>108682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688885" y="18126807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C27" sqref="C27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17" t="s">
        <v>0</v>
      </c>
      <c r="C4" s="217"/>
      <c r="D4" s="217"/>
      <c r="E4" s="217"/>
      <c r="F4" s="7"/>
    </row>
    <row r="5" spans="1:6" ht="21.95" customHeight="1">
      <c r="A5" s="8"/>
      <c r="B5" s="217"/>
      <c r="C5" s="217"/>
      <c r="D5" s="217"/>
      <c r="E5" s="217"/>
      <c r="F5" s="9"/>
    </row>
    <row r="6" spans="1:6" ht="21.95" customHeight="1">
      <c r="A6" s="10"/>
      <c r="B6" s="217"/>
      <c r="C6" s="217"/>
      <c r="D6" s="217"/>
      <c r="E6" s="217"/>
      <c r="F6" s="11"/>
    </row>
    <row r="7" spans="1:6" ht="36.950000000000003" customHeight="1">
      <c r="A7" s="12"/>
      <c r="B7" s="218" t="s">
        <v>541</v>
      </c>
      <c r="C7" s="218"/>
      <c r="D7" s="218"/>
      <c r="E7" s="218"/>
      <c r="F7" s="11"/>
    </row>
    <row r="8" spans="1:6" ht="29.1" customHeight="1">
      <c r="A8" s="8"/>
      <c r="B8" s="13"/>
      <c r="C8" s="219" t="s">
        <v>336</v>
      </c>
      <c r="D8" s="220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21" t="s">
        <v>976</v>
      </c>
      <c r="D14" s="221"/>
      <c r="E14" s="13"/>
      <c r="F14" s="9"/>
    </row>
    <row r="15" spans="1:6" ht="21.95" customHeight="1">
      <c r="A15" s="8"/>
      <c r="B15" s="13"/>
      <c r="C15" s="222" t="s">
        <v>292</v>
      </c>
      <c r="D15" s="222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16"/>
      <c r="D19" s="216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Normal="100" zoomScaleSheetLayoutView="100" workbookViewId="0">
      <selection activeCell="O9" sqref="O9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23" t="s">
        <v>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2</v>
      </c>
      <c r="C3" s="21" t="s">
        <v>3</v>
      </c>
      <c r="D3" s="22" t="str">
        <f>'용역청구서 표지'!$B$7</f>
        <v>P4 Ph2 GAS&amp;PCW 1공구</v>
      </c>
      <c r="E3" s="23" t="str">
        <f>'용역청구서 표지'!$C$8</f>
        <v>S26-001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4</v>
      </c>
      <c r="C4" s="21" t="s">
        <v>3</v>
      </c>
      <c r="D4" s="24" t="s">
        <v>5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6</v>
      </c>
      <c r="C5" s="21" t="s">
        <v>3</v>
      </c>
      <c r="D5" s="25">
        <f>ROUNDUP(E5,0)</f>
        <v>0</v>
      </c>
      <c r="E5" s="22">
        <f>집계장!J23</f>
        <v>0</v>
      </c>
      <c r="F5" s="26" t="s">
        <v>7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8</v>
      </c>
      <c r="C6" s="21" t="s">
        <v>3</v>
      </c>
      <c r="D6" s="25">
        <f t="shared" ref="D6:D12" si="0">ROUNDUP(E6,0)</f>
        <v>152100000</v>
      </c>
      <c r="E6" s="22">
        <f>E7+E13</f>
        <v>152100000</v>
      </c>
      <c r="F6" s="26" t="s">
        <v>9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10</v>
      </c>
      <c r="C7" s="21" t="s">
        <v>11</v>
      </c>
      <c r="D7" s="25">
        <f t="shared" si="0"/>
        <v>0</v>
      </c>
      <c r="E7" s="22">
        <v>0</v>
      </c>
      <c r="F7" s="26" t="s">
        <v>12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13</v>
      </c>
      <c r="C8" s="21" t="s">
        <v>3</v>
      </c>
      <c r="D8" s="25">
        <f t="shared" si="0"/>
        <v>152100000</v>
      </c>
      <c r="E8" s="22">
        <f>집계장!I23</f>
        <v>152100000</v>
      </c>
      <c r="F8" s="26" t="s">
        <v>14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15</v>
      </c>
      <c r="C9" s="21" t="s">
        <v>16</v>
      </c>
      <c r="D9" s="25">
        <f t="shared" si="0"/>
        <v>30000000</v>
      </c>
      <c r="E9" s="22">
        <f>집계장!L21</f>
        <v>30000000</v>
      </c>
      <c r="F9" s="26" t="s">
        <v>9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17</v>
      </c>
      <c r="C10" s="21" t="s">
        <v>18</v>
      </c>
      <c r="D10" s="25">
        <f t="shared" si="0"/>
        <v>0</v>
      </c>
      <c r="E10" s="22">
        <f>집계장!H21</f>
        <v>0</v>
      </c>
      <c r="F10" s="26" t="s">
        <v>7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19</v>
      </c>
      <c r="C11" s="21" t="s">
        <v>16</v>
      </c>
      <c r="D11" s="25">
        <f t="shared" si="0"/>
        <v>0</v>
      </c>
      <c r="E11" s="22">
        <f>집계장!G21</f>
        <v>0</v>
      </c>
      <c r="F11" s="26" t="s">
        <v>14</v>
      </c>
      <c r="G11" s="18"/>
      <c r="H11" s="18"/>
      <c r="I11" s="18"/>
      <c r="J11" s="18"/>
      <c r="K11" s="18"/>
      <c r="L11" s="19"/>
    </row>
    <row r="12" spans="1:12" ht="21.95" customHeight="1">
      <c r="A12" s="20">
        <v>10</v>
      </c>
      <c r="B12" s="21" t="s">
        <v>20</v>
      </c>
      <c r="C12" s="21" t="s">
        <v>3</v>
      </c>
      <c r="D12" s="25">
        <f t="shared" si="0"/>
        <v>0</v>
      </c>
      <c r="E12" s="22">
        <f>집계장!M21</f>
        <v>0</v>
      </c>
      <c r="F12" s="26" t="s">
        <v>7</v>
      </c>
      <c r="G12" s="18"/>
      <c r="H12" s="18"/>
      <c r="I12" s="18"/>
      <c r="J12" s="18"/>
      <c r="K12" s="18"/>
      <c r="L12" s="29"/>
    </row>
    <row r="13" spans="1:12" ht="21.95" customHeight="1">
      <c r="A13" s="20">
        <v>11</v>
      </c>
      <c r="B13" s="24" t="s">
        <v>21</v>
      </c>
      <c r="C13" s="21" t="s">
        <v>22</v>
      </c>
      <c r="D13" s="30">
        <f>ROUNDUP(E13,0)</f>
        <v>152100000</v>
      </c>
      <c r="E13" s="31">
        <f>집계장!G23</f>
        <v>152100000</v>
      </c>
      <c r="F13" s="26" t="s">
        <v>12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23</v>
      </c>
      <c r="C14" s="21" t="s">
        <v>22</v>
      </c>
      <c r="D14" s="25">
        <f>ROUNDUP(E14,0)</f>
        <v>0</v>
      </c>
      <c r="E14" s="22"/>
      <c r="F14" s="26" t="s">
        <v>7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24</v>
      </c>
      <c r="C15" s="21" t="s">
        <v>25</v>
      </c>
      <c r="D15" s="32">
        <v>1</v>
      </c>
      <c r="E15" s="22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26</v>
      </c>
      <c r="C16" s="21" t="s">
        <v>27</v>
      </c>
      <c r="D16" s="32" t="s">
        <v>977</v>
      </c>
      <c r="E16" s="22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2"/>
      <c r="E17" s="22"/>
      <c r="F17" s="21"/>
      <c r="G17" s="21"/>
      <c r="H17" s="21"/>
      <c r="I17" s="21"/>
      <c r="J17" s="21"/>
      <c r="K17" s="21"/>
    </row>
    <row r="18" spans="1:11" ht="21.95" customHeight="1">
      <c r="A18" s="20"/>
      <c r="B18" s="224" t="s">
        <v>28</v>
      </c>
      <c r="C18" s="224"/>
      <c r="D18" s="224"/>
      <c r="E18" s="224"/>
      <c r="F18" s="224"/>
      <c r="G18" s="224"/>
      <c r="H18" s="224"/>
      <c r="I18" s="224"/>
      <c r="J18" s="225"/>
      <c r="K18" s="21"/>
    </row>
    <row r="19" spans="1:11" ht="21.95" customHeight="1">
      <c r="A19" s="20"/>
      <c r="B19" s="21" t="s">
        <v>29</v>
      </c>
      <c r="C19" s="21"/>
      <c r="D19" s="21"/>
      <c r="E19" s="22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30</v>
      </c>
      <c r="C20" s="21"/>
      <c r="D20" s="21"/>
      <c r="E20" s="22"/>
      <c r="F20" s="21"/>
      <c r="G20" s="21"/>
      <c r="H20" s="21"/>
      <c r="I20" s="21"/>
      <c r="J20" s="21"/>
      <c r="K20" s="21"/>
    </row>
    <row r="21" spans="1:11" ht="21.95" customHeight="1">
      <c r="A21" s="33"/>
      <c r="B21" s="21"/>
      <c r="C21" s="21"/>
      <c r="D21" s="21"/>
      <c r="E21" s="22"/>
      <c r="F21" s="24" t="s">
        <v>978</v>
      </c>
      <c r="G21" s="24"/>
      <c r="H21" s="24"/>
      <c r="I21" s="24"/>
      <c r="J21" s="21"/>
      <c r="K21" s="21"/>
    </row>
    <row r="22" spans="1:11" ht="21.95" customHeight="1">
      <c r="A22" s="33"/>
      <c r="B22" s="21"/>
      <c r="C22" s="21"/>
      <c r="D22" s="21"/>
      <c r="E22" s="22"/>
      <c r="F22" s="21"/>
      <c r="G22" s="21"/>
      <c r="H22" s="21"/>
      <c r="I22" s="21"/>
      <c r="J22" s="21"/>
      <c r="K22" s="21"/>
    </row>
    <row r="23" spans="1:11" ht="21.95" customHeight="1">
      <c r="A23" s="33"/>
      <c r="B23" s="21"/>
      <c r="C23" s="21"/>
      <c r="D23" s="21"/>
      <c r="E23" s="22"/>
      <c r="F23" s="24" t="s">
        <v>31</v>
      </c>
      <c r="G23" s="226" t="s">
        <v>292</v>
      </c>
      <c r="H23" s="226"/>
      <c r="I23" s="226"/>
      <c r="J23" s="226"/>
      <c r="K23" s="226"/>
    </row>
    <row r="24" spans="1:11" ht="21.95" customHeight="1">
      <c r="A24" s="33"/>
      <c r="B24" s="21" t="s">
        <v>32</v>
      </c>
      <c r="C24" s="21"/>
      <c r="D24" s="21"/>
      <c r="E24" s="22"/>
      <c r="F24" s="24" t="s">
        <v>33</v>
      </c>
      <c r="G24" s="226" t="s">
        <v>293</v>
      </c>
      <c r="H24" s="226"/>
      <c r="I24" s="226"/>
      <c r="J24" s="226"/>
      <c r="K24" s="226"/>
    </row>
    <row r="25" spans="1:11" ht="21.95" customHeight="1">
      <c r="A25" s="18"/>
      <c r="B25" s="21"/>
      <c r="C25" s="21"/>
      <c r="D25" s="21"/>
      <c r="E25" s="22"/>
      <c r="F25" s="24" t="s">
        <v>34</v>
      </c>
      <c r="G25" s="226" t="s">
        <v>294</v>
      </c>
      <c r="H25" s="226"/>
      <c r="I25" s="23" t="s">
        <v>295</v>
      </c>
      <c r="J25" s="24"/>
      <c r="K25" s="24"/>
    </row>
    <row r="26" spans="1:11" ht="21.95" customHeight="1">
      <c r="A26" s="18"/>
      <c r="B26" s="18"/>
      <c r="C26" s="18"/>
      <c r="D26" s="34" t="s">
        <v>35</v>
      </c>
      <c r="E26" s="29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6.5"/>
  <cols>
    <col min="1" max="1" width="29.25" style="35" bestFit="1" customWidth="1"/>
    <col min="2" max="2" width="18.625" style="35" customWidth="1"/>
    <col min="3" max="3" width="9" style="35"/>
    <col min="4" max="4" width="12.375" style="35" bestFit="1" customWidth="1"/>
    <col min="5" max="5" width="8.625" style="35" customWidth="1"/>
    <col min="6" max="6" width="15.625" style="35" customWidth="1"/>
    <col min="7" max="7" width="13.625" style="35" customWidth="1"/>
  </cols>
  <sheetData>
    <row r="1" spans="1:7" ht="69.95" customHeight="1">
      <c r="A1" s="227" t="s">
        <v>80</v>
      </c>
      <c r="B1" s="228"/>
      <c r="C1" s="228"/>
      <c r="D1" s="228"/>
      <c r="E1" s="228"/>
      <c r="F1" s="228"/>
      <c r="G1" s="228"/>
    </row>
    <row r="2" spans="1:7" ht="39.950000000000003" customHeight="1" thickBot="1">
      <c r="A2" s="39" t="s">
        <v>81</v>
      </c>
      <c r="G2" s="40" t="s">
        <v>82</v>
      </c>
    </row>
    <row r="3" spans="1:7" ht="27.95" customHeight="1">
      <c r="A3" s="229" t="s">
        <v>83</v>
      </c>
      <c r="B3" s="231" t="s">
        <v>84</v>
      </c>
      <c r="C3" s="231" t="s">
        <v>85</v>
      </c>
      <c r="D3" s="231" t="s">
        <v>86</v>
      </c>
      <c r="E3" s="231" t="s">
        <v>87</v>
      </c>
      <c r="F3" s="231"/>
      <c r="G3" s="233"/>
    </row>
    <row r="4" spans="1:7" ht="27.95" customHeight="1">
      <c r="A4" s="230"/>
      <c r="B4" s="232"/>
      <c r="C4" s="232"/>
      <c r="D4" s="232"/>
      <c r="E4" s="41" t="s">
        <v>88</v>
      </c>
      <c r="F4" s="41" t="s">
        <v>89</v>
      </c>
      <c r="G4" s="42" t="s">
        <v>90</v>
      </c>
    </row>
    <row r="5" spans="1:7" ht="27.95" customHeight="1">
      <c r="A5" s="43" t="s">
        <v>91</v>
      </c>
      <c r="B5" s="44" t="s">
        <v>92</v>
      </c>
      <c r="C5" s="44" t="s">
        <v>93</v>
      </c>
      <c r="D5" s="45">
        <v>1400000</v>
      </c>
      <c r="E5" s="44">
        <v>1</v>
      </c>
      <c r="F5" s="45">
        <f>D5*E5</f>
        <v>1400000</v>
      </c>
      <c r="G5" s="46"/>
    </row>
    <row r="6" spans="1:7" ht="27.95" customHeight="1">
      <c r="A6" s="43" t="s">
        <v>91</v>
      </c>
      <c r="B6" s="44" t="s">
        <v>94</v>
      </c>
      <c r="C6" s="44" t="s">
        <v>95</v>
      </c>
      <c r="D6" s="45">
        <v>1200000</v>
      </c>
      <c r="E6" s="44"/>
      <c r="F6" s="45">
        <f t="shared" ref="F6:F11" si="0">D6*E6</f>
        <v>0</v>
      </c>
      <c r="G6" s="46"/>
    </row>
    <row r="7" spans="1:7" ht="27.95" customHeight="1">
      <c r="A7" s="43" t="s">
        <v>96</v>
      </c>
      <c r="B7" s="44" t="s">
        <v>97</v>
      </c>
      <c r="C7" s="44" t="s">
        <v>95</v>
      </c>
      <c r="D7" s="45">
        <v>1000000</v>
      </c>
      <c r="E7" s="44"/>
      <c r="F7" s="45">
        <f t="shared" si="0"/>
        <v>0</v>
      </c>
      <c r="G7" s="46"/>
    </row>
    <row r="8" spans="1:7" ht="27.95" customHeight="1">
      <c r="A8" s="43" t="s">
        <v>98</v>
      </c>
      <c r="B8" s="44" t="s">
        <v>99</v>
      </c>
      <c r="C8" s="44" t="s">
        <v>100</v>
      </c>
      <c r="D8" s="45">
        <v>900000</v>
      </c>
      <c r="E8" s="44"/>
      <c r="F8" s="45">
        <f t="shared" si="0"/>
        <v>0</v>
      </c>
      <c r="G8" s="46"/>
    </row>
    <row r="9" spans="1:7" ht="27.95" customHeight="1">
      <c r="A9" s="43" t="s">
        <v>96</v>
      </c>
      <c r="B9" s="44" t="s">
        <v>101</v>
      </c>
      <c r="C9" s="44" t="s">
        <v>93</v>
      </c>
      <c r="D9" s="45">
        <v>800000</v>
      </c>
      <c r="E9" s="44"/>
      <c r="F9" s="45">
        <f t="shared" si="0"/>
        <v>0</v>
      </c>
      <c r="G9" s="46"/>
    </row>
    <row r="10" spans="1:7" ht="27.95" customHeight="1">
      <c r="A10" s="43" t="s">
        <v>102</v>
      </c>
      <c r="B10" s="44" t="s">
        <v>103</v>
      </c>
      <c r="C10" s="44" t="s">
        <v>93</v>
      </c>
      <c r="D10" s="45">
        <v>700000</v>
      </c>
      <c r="E10" s="44"/>
      <c r="F10" s="45">
        <f t="shared" si="0"/>
        <v>0</v>
      </c>
      <c r="G10" s="46"/>
    </row>
    <row r="11" spans="1:7" ht="27.95" customHeight="1">
      <c r="A11" s="43" t="s">
        <v>104</v>
      </c>
      <c r="B11" s="44" t="s">
        <v>105</v>
      </c>
      <c r="C11" s="44" t="s">
        <v>106</v>
      </c>
      <c r="D11" s="45">
        <v>600000</v>
      </c>
      <c r="E11" s="44"/>
      <c r="F11" s="45">
        <f t="shared" si="0"/>
        <v>0</v>
      </c>
      <c r="G11" s="46"/>
    </row>
    <row r="12" spans="1:7" ht="27.95" customHeight="1">
      <c r="A12" s="43"/>
      <c r="B12" s="44"/>
      <c r="C12" s="44"/>
      <c r="D12" s="44"/>
      <c r="E12" s="44"/>
      <c r="F12" s="44"/>
      <c r="G12" s="46"/>
    </row>
    <row r="13" spans="1:7" ht="27.95" customHeight="1">
      <c r="A13" s="43" t="s">
        <v>107</v>
      </c>
      <c r="B13" s="44"/>
      <c r="C13" s="44"/>
      <c r="D13" s="44"/>
      <c r="E13" s="47">
        <v>0.01</v>
      </c>
      <c r="F13" s="45">
        <f>SUM(F5:F11)*E13</f>
        <v>14000</v>
      </c>
      <c r="G13" s="46"/>
    </row>
    <row r="14" spans="1:7" ht="27.95" customHeight="1">
      <c r="A14" s="43"/>
      <c r="B14" s="44"/>
      <c r="C14" s="44"/>
      <c r="D14" s="44"/>
      <c r="E14" s="44"/>
      <c r="F14" s="44"/>
      <c r="G14" s="46"/>
    </row>
    <row r="15" spans="1:7" ht="27.95" customHeight="1" thickBot="1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topLeftCell="A13" zoomScale="85" zoomScaleNormal="85" zoomScaleSheetLayoutView="80" workbookViewId="0">
      <selection activeCell="I15" sqref="I15"/>
    </sheetView>
  </sheetViews>
  <sheetFormatPr defaultColWidth="9" defaultRowHeight="16.5"/>
  <cols>
    <col min="1" max="1" width="25.625" style="18" customWidth="1"/>
    <col min="2" max="2" width="20.25" style="18" customWidth="1"/>
    <col min="3" max="3" width="7.375" style="18" customWidth="1"/>
    <col min="4" max="4" width="10.625" style="129" customWidth="1"/>
    <col min="5" max="5" width="9.875" style="18" customWidth="1"/>
    <col min="6" max="6" width="17.75" style="18" customWidth="1"/>
    <col min="7" max="7" width="15.625" style="18" customWidth="1"/>
    <col min="8" max="8" width="9" style="18"/>
    <col min="9" max="9" width="15.625" style="29" customWidth="1"/>
    <col min="10" max="10" width="7" style="18" bestFit="1" customWidth="1"/>
    <col min="11" max="11" width="14.25" style="18" bestFit="1" customWidth="1"/>
    <col min="12" max="12" width="35.75" style="18" customWidth="1"/>
    <col min="13" max="16384" width="9" style="18"/>
  </cols>
  <sheetData>
    <row r="1" spans="1:12" ht="69" customHeight="1">
      <c r="A1" s="234" t="s">
        <v>335</v>
      </c>
      <c r="B1" s="234"/>
      <c r="C1" s="234"/>
      <c r="D1" s="234"/>
      <c r="E1" s="234"/>
      <c r="F1" s="234"/>
      <c r="G1" s="234"/>
    </row>
    <row r="2" spans="1:12" ht="39.75" customHeight="1" thickBot="1">
      <c r="A2" s="182" t="str">
        <f>집계장!B2</f>
        <v>P4 Ph2 GAS&amp;PCW 1공구</v>
      </c>
      <c r="B2" s="171"/>
      <c r="C2" s="171"/>
      <c r="D2" s="171"/>
      <c r="E2" s="170"/>
      <c r="F2" s="169"/>
      <c r="G2" s="169" t="s">
        <v>334</v>
      </c>
    </row>
    <row r="3" spans="1:12" ht="27.95" customHeight="1">
      <c r="A3" s="235" t="s">
        <v>333</v>
      </c>
      <c r="B3" s="237" t="s">
        <v>332</v>
      </c>
      <c r="C3" s="237" t="s">
        <v>331</v>
      </c>
      <c r="D3" s="239" t="s">
        <v>330</v>
      </c>
      <c r="E3" s="239" t="s">
        <v>329</v>
      </c>
      <c r="F3" s="239"/>
      <c r="G3" s="241" t="s">
        <v>328</v>
      </c>
    </row>
    <row r="4" spans="1:12" ht="27.95" customHeight="1">
      <c r="A4" s="236"/>
      <c r="B4" s="238"/>
      <c r="C4" s="238"/>
      <c r="D4" s="240"/>
      <c r="E4" s="168" t="s">
        <v>327</v>
      </c>
      <c r="F4" s="168" t="s">
        <v>326</v>
      </c>
      <c r="G4" s="242"/>
    </row>
    <row r="5" spans="1:12" ht="27.95" customHeight="1">
      <c r="A5" s="162" t="s">
        <v>324</v>
      </c>
      <c r="B5" s="150" t="s">
        <v>325</v>
      </c>
      <c r="C5" s="150" t="s">
        <v>314</v>
      </c>
      <c r="D5" s="147">
        <v>1400000</v>
      </c>
      <c r="E5" s="142">
        <v>8</v>
      </c>
      <c r="F5" s="142">
        <f t="shared" ref="F5:F11" si="0">D5*E5</f>
        <v>11200000</v>
      </c>
      <c r="G5" s="167"/>
    </row>
    <row r="6" spans="1:12" ht="27.95" customHeight="1">
      <c r="A6" s="162" t="s">
        <v>324</v>
      </c>
      <c r="B6" s="150" t="s">
        <v>323</v>
      </c>
      <c r="C6" s="150" t="s">
        <v>314</v>
      </c>
      <c r="D6" s="147">
        <v>1200000</v>
      </c>
      <c r="E6" s="142">
        <v>2</v>
      </c>
      <c r="F6" s="142">
        <f t="shared" si="0"/>
        <v>2400000</v>
      </c>
      <c r="G6" s="166" t="s">
        <v>320</v>
      </c>
    </row>
    <row r="7" spans="1:12" ht="27.95" customHeight="1">
      <c r="A7" s="162" t="s">
        <v>318</v>
      </c>
      <c r="B7" s="150" t="s">
        <v>322</v>
      </c>
      <c r="C7" s="150" t="s">
        <v>314</v>
      </c>
      <c r="D7" s="147">
        <v>1000000</v>
      </c>
      <c r="E7" s="142">
        <v>6</v>
      </c>
      <c r="F7" s="142">
        <f t="shared" si="0"/>
        <v>6000000</v>
      </c>
      <c r="G7" s="163" t="s">
        <v>320</v>
      </c>
    </row>
    <row r="8" spans="1:12" ht="27.95" customHeight="1">
      <c r="A8" s="162" t="s">
        <v>318</v>
      </c>
      <c r="B8" s="150" t="s">
        <v>321</v>
      </c>
      <c r="C8" s="150" t="s">
        <v>314</v>
      </c>
      <c r="D8" s="147">
        <v>900000</v>
      </c>
      <c r="E8" s="142">
        <v>1</v>
      </c>
      <c r="F8" s="142">
        <f t="shared" si="0"/>
        <v>900000</v>
      </c>
      <c r="G8" s="163" t="s">
        <v>320</v>
      </c>
    </row>
    <row r="9" spans="1:12" ht="27.95" customHeight="1">
      <c r="A9" s="162" t="s">
        <v>318</v>
      </c>
      <c r="B9" s="150" t="s">
        <v>319</v>
      </c>
      <c r="C9" s="150" t="s">
        <v>314</v>
      </c>
      <c r="D9" s="147">
        <v>800000</v>
      </c>
      <c r="E9" s="142">
        <v>4</v>
      </c>
      <c r="F9" s="142">
        <f t="shared" si="0"/>
        <v>3200000</v>
      </c>
      <c r="G9" s="165"/>
      <c r="K9" s="29"/>
      <c r="L9" s="164"/>
    </row>
    <row r="10" spans="1:12" ht="27.95" customHeight="1">
      <c r="A10" s="162" t="s">
        <v>318</v>
      </c>
      <c r="B10" s="150" t="s">
        <v>317</v>
      </c>
      <c r="C10" s="150" t="s">
        <v>314</v>
      </c>
      <c r="D10" s="147">
        <v>700000</v>
      </c>
      <c r="E10" s="142">
        <v>9</v>
      </c>
      <c r="F10" s="142">
        <f t="shared" si="0"/>
        <v>6300000</v>
      </c>
      <c r="G10" s="163"/>
    </row>
    <row r="11" spans="1:12" ht="27.95" customHeight="1">
      <c r="A11" s="162" t="s">
        <v>316</v>
      </c>
      <c r="B11" s="150" t="s">
        <v>315</v>
      </c>
      <c r="C11" s="150" t="s">
        <v>314</v>
      </c>
      <c r="D11" s="147">
        <v>600000</v>
      </c>
      <c r="E11" s="142"/>
      <c r="F11" s="142">
        <f t="shared" si="0"/>
        <v>0</v>
      </c>
      <c r="G11" s="141"/>
    </row>
    <row r="12" spans="1:12" ht="27.95" customHeight="1">
      <c r="A12" s="156"/>
      <c r="B12" s="150"/>
      <c r="C12" s="150"/>
      <c r="D12" s="147"/>
      <c r="E12" s="142"/>
      <c r="F12" s="142"/>
      <c r="G12" s="141"/>
    </row>
    <row r="13" spans="1:12" ht="27.95" customHeight="1">
      <c r="A13" s="161"/>
      <c r="B13" s="150"/>
      <c r="C13" s="150"/>
      <c r="D13" s="155"/>
      <c r="E13" s="160"/>
      <c r="F13" s="159"/>
      <c r="G13" s="141"/>
      <c r="J13" s="158"/>
      <c r="K13" s="29"/>
      <c r="L13" s="157"/>
    </row>
    <row r="14" spans="1:12" ht="27.95" customHeight="1">
      <c r="A14" s="156"/>
      <c r="B14" s="150"/>
      <c r="C14" s="150"/>
      <c r="D14" s="155"/>
      <c r="E14" s="142"/>
      <c r="F14" s="142"/>
      <c r="G14" s="141"/>
      <c r="K14" s="29"/>
    </row>
    <row r="15" spans="1:12" ht="27.95" customHeight="1">
      <c r="A15" s="156"/>
      <c r="B15" s="151"/>
      <c r="C15" s="150"/>
      <c r="D15" s="155"/>
      <c r="E15" s="142"/>
      <c r="F15" s="142"/>
      <c r="G15" s="141"/>
      <c r="K15" s="29"/>
    </row>
    <row r="16" spans="1:12" ht="27.95" customHeight="1">
      <c r="A16" s="156"/>
      <c r="B16" s="151"/>
      <c r="C16" s="150"/>
      <c r="D16" s="155"/>
      <c r="E16" s="142"/>
      <c r="F16" s="142"/>
      <c r="G16" s="141"/>
    </row>
    <row r="17" spans="1:7" ht="27.95" customHeight="1">
      <c r="A17" s="156"/>
      <c r="B17" s="151"/>
      <c r="C17" s="150"/>
      <c r="D17" s="155"/>
      <c r="E17" s="142"/>
      <c r="F17" s="142"/>
      <c r="G17" s="141"/>
    </row>
    <row r="18" spans="1:7" ht="27.95" customHeight="1">
      <c r="A18" s="154"/>
      <c r="B18" s="148"/>
      <c r="C18" s="147"/>
      <c r="D18" s="142"/>
      <c r="E18" s="142"/>
      <c r="F18" s="142"/>
      <c r="G18" s="141"/>
    </row>
    <row r="19" spans="1:7" ht="27.95" customHeight="1">
      <c r="A19" s="153"/>
      <c r="B19" s="148"/>
      <c r="C19" s="150"/>
      <c r="D19" s="146"/>
      <c r="E19" s="142"/>
      <c r="F19" s="142"/>
      <c r="G19" s="141"/>
    </row>
    <row r="20" spans="1:7" ht="27.95" customHeight="1">
      <c r="A20" s="153"/>
      <c r="B20" s="148"/>
      <c r="C20" s="150"/>
      <c r="D20" s="146"/>
      <c r="E20" s="142"/>
      <c r="F20" s="142"/>
      <c r="G20" s="141"/>
    </row>
    <row r="21" spans="1:7" ht="27.95" customHeight="1">
      <c r="A21" s="152"/>
      <c r="B21" s="151"/>
      <c r="C21" s="150"/>
      <c r="D21" s="146"/>
      <c r="E21" s="142"/>
      <c r="F21" s="142"/>
      <c r="G21" s="141"/>
    </row>
    <row r="22" spans="1:7" ht="27.95" customHeight="1">
      <c r="A22" s="152"/>
      <c r="B22" s="151"/>
      <c r="C22" s="150"/>
      <c r="D22" s="146"/>
      <c r="E22" s="142"/>
      <c r="F22" s="142"/>
      <c r="G22" s="141"/>
    </row>
    <row r="23" spans="1:7" ht="27.95" customHeight="1">
      <c r="A23" s="149"/>
      <c r="B23" s="148"/>
      <c r="C23" s="147"/>
      <c r="D23" s="146"/>
      <c r="E23" s="142"/>
      <c r="F23" s="142"/>
      <c r="G23" s="141"/>
    </row>
    <row r="24" spans="1:7" ht="27.95" customHeight="1">
      <c r="A24" s="152"/>
      <c r="B24" s="151"/>
      <c r="C24" s="150"/>
      <c r="D24" s="146"/>
      <c r="E24" s="142"/>
      <c r="F24" s="142"/>
      <c r="G24" s="141"/>
    </row>
    <row r="25" spans="1:7" ht="27.95" customHeight="1">
      <c r="A25" s="149"/>
      <c r="B25" s="148"/>
      <c r="C25" s="147"/>
      <c r="D25" s="146"/>
      <c r="E25" s="142"/>
      <c r="F25" s="142"/>
      <c r="G25" s="141"/>
    </row>
    <row r="26" spans="1:7" ht="27.95" customHeight="1">
      <c r="A26" s="145"/>
      <c r="B26" s="144"/>
      <c r="C26" s="143"/>
      <c r="D26" s="143"/>
      <c r="E26" s="142"/>
      <c r="F26" s="142"/>
      <c r="G26" s="141"/>
    </row>
    <row r="27" spans="1:7" ht="27.95" customHeight="1" thickBot="1">
      <c r="A27" s="140" t="s">
        <v>313</v>
      </c>
      <c r="B27" s="139"/>
      <c r="C27" s="138"/>
      <c r="D27" s="137"/>
      <c r="E27" s="136">
        <f>SUM(E5:E11)</f>
        <v>30</v>
      </c>
      <c r="F27" s="135">
        <f>SUM(F5:F26)</f>
        <v>30000000</v>
      </c>
      <c r="G27" s="134"/>
    </row>
    <row r="28" spans="1:7" ht="13.5">
      <c r="A28" s="133"/>
      <c r="B28" s="132"/>
      <c r="C28" s="131"/>
      <c r="D28" s="131"/>
    </row>
    <row r="29" spans="1:7" ht="13.5">
      <c r="A29" s="131"/>
      <c r="B29" s="131"/>
      <c r="C29" s="131"/>
      <c r="D29" s="131"/>
    </row>
    <row r="30" spans="1:7" s="29" customFormat="1" ht="13.5">
      <c r="A30" s="131"/>
      <c r="B30" s="131"/>
      <c r="C30" s="131"/>
      <c r="D30" s="131"/>
      <c r="E30" s="18"/>
      <c r="F30" s="18"/>
      <c r="G30" s="18"/>
    </row>
    <row r="31" spans="1:7" s="29" customFormat="1" ht="13.5">
      <c r="A31" s="131"/>
      <c r="B31" s="131"/>
      <c r="C31" s="131"/>
      <c r="D31" s="131"/>
      <c r="E31" s="18"/>
      <c r="F31" s="18"/>
      <c r="G31" s="18"/>
    </row>
    <row r="32" spans="1:7" s="29" customFormat="1" ht="13.5">
      <c r="A32" s="131"/>
      <c r="B32" s="131"/>
      <c r="C32" s="131"/>
      <c r="D32" s="131"/>
      <c r="E32" s="18"/>
      <c r="F32" s="18"/>
      <c r="G32" s="18"/>
    </row>
    <row r="33" spans="1:7" s="29" customFormat="1" ht="13.5">
      <c r="A33" s="130"/>
      <c r="B33" s="130"/>
      <c r="C33" s="130"/>
      <c r="D33" s="130"/>
      <c r="E33" s="18"/>
      <c r="F33" s="18"/>
      <c r="G33" s="18"/>
    </row>
    <row r="34" spans="1:7" s="29" customFormat="1" ht="13.5">
      <c r="A34" s="130"/>
      <c r="B34" s="130"/>
      <c r="C34" s="130"/>
      <c r="D34" s="130"/>
      <c r="E34" s="18"/>
      <c r="F34" s="18"/>
      <c r="G34" s="18"/>
    </row>
    <row r="35" spans="1:7" s="29" customFormat="1" ht="13.5">
      <c r="A35" s="130"/>
      <c r="B35" s="130"/>
      <c r="C35" s="130"/>
      <c r="D35" s="130"/>
      <c r="E35" s="18"/>
      <c r="F35" s="18"/>
      <c r="G35" s="18"/>
    </row>
    <row r="36" spans="1:7" s="29" customFormat="1" ht="13.5">
      <c r="A36" s="130"/>
      <c r="B36" s="130"/>
      <c r="C36" s="130"/>
      <c r="D36" s="130"/>
      <c r="E36" s="18"/>
      <c r="F36" s="18"/>
      <c r="G36" s="18"/>
    </row>
    <row r="37" spans="1:7" s="29" customFormat="1" ht="13.5">
      <c r="A37" s="130"/>
      <c r="B37" s="130"/>
      <c r="C37" s="130"/>
      <c r="D37" s="130"/>
      <c r="E37" s="18"/>
      <c r="F37" s="18"/>
      <c r="G37" s="18"/>
    </row>
    <row r="38" spans="1:7" s="29" customFormat="1" ht="13.5">
      <c r="A38" s="130"/>
      <c r="B38" s="130"/>
      <c r="C38" s="130"/>
      <c r="D38" s="130"/>
      <c r="E38" s="18"/>
      <c r="F38" s="18"/>
      <c r="G38" s="18"/>
    </row>
    <row r="39" spans="1:7" s="29" customFormat="1" ht="13.5">
      <c r="A39" s="130"/>
      <c r="B39" s="18"/>
      <c r="C39" s="130"/>
      <c r="D39" s="130"/>
      <c r="E39" s="18"/>
      <c r="F39" s="18"/>
      <c r="G39" s="18"/>
    </row>
    <row r="40" spans="1:7" s="29" customFormat="1" ht="13.5">
      <c r="A40" s="130"/>
      <c r="B40" s="18"/>
      <c r="C40" s="130"/>
      <c r="D40" s="130"/>
      <c r="E40" s="18"/>
      <c r="F40" s="18"/>
      <c r="G40" s="18"/>
    </row>
    <row r="41" spans="1:7" s="29" customFormat="1" ht="13.5">
      <c r="A41" s="130"/>
      <c r="B41" s="18"/>
      <c r="C41" s="130"/>
      <c r="D41" s="130"/>
      <c r="E41" s="18"/>
      <c r="F41" s="18"/>
      <c r="G41" s="18"/>
    </row>
    <row r="42" spans="1:7" s="29" customFormat="1" ht="13.5">
      <c r="A42" s="130"/>
      <c r="B42" s="18"/>
      <c r="C42" s="130"/>
      <c r="D42" s="130"/>
      <c r="E42" s="18"/>
      <c r="F42" s="18"/>
      <c r="G42" s="18"/>
    </row>
    <row r="43" spans="1:7" s="29" customFormat="1" ht="13.5">
      <c r="A43" s="130"/>
      <c r="B43" s="18"/>
      <c r="C43" s="130"/>
      <c r="D43" s="130"/>
      <c r="E43" s="18"/>
      <c r="F43" s="18"/>
      <c r="G43" s="18"/>
    </row>
    <row r="44" spans="1:7" s="29" customFormat="1" ht="13.5">
      <c r="A44" s="18"/>
      <c r="B44" s="18"/>
      <c r="C44" s="130"/>
      <c r="D44" s="130"/>
      <c r="E44" s="18"/>
      <c r="F44" s="18"/>
      <c r="G44" s="18"/>
    </row>
    <row r="45" spans="1:7" s="29" customFormat="1">
      <c r="A45" s="18"/>
      <c r="B45" s="18"/>
      <c r="C45" s="130"/>
      <c r="D45" s="129"/>
      <c r="E45" s="18"/>
      <c r="F45" s="18"/>
      <c r="G45" s="18"/>
    </row>
    <row r="46" spans="1:7" s="29" customFormat="1">
      <c r="A46" s="18"/>
      <c r="B46" s="18"/>
      <c r="C46" s="130"/>
      <c r="D46" s="129"/>
      <c r="E46" s="18"/>
      <c r="F46" s="18"/>
      <c r="G46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27"/>
  <sheetViews>
    <sheetView view="pageBreakPreview" topLeftCell="A4" zoomScale="85" zoomScaleNormal="70" zoomScaleSheetLayoutView="85" zoomScalePageLayoutView="85" workbookViewId="0">
      <selection activeCell="J22" sqref="J22"/>
    </sheetView>
  </sheetViews>
  <sheetFormatPr defaultRowHeight="16.5"/>
  <cols>
    <col min="2" max="2" width="21.625" style="52" customWidth="1"/>
    <col min="3" max="3" width="20.625" style="52" customWidth="1"/>
    <col min="4" max="4" width="6.625" style="52" customWidth="1"/>
    <col min="5" max="5" width="12.125" style="52" customWidth="1"/>
    <col min="6" max="6" width="16.625" style="52" customWidth="1"/>
    <col min="7" max="10" width="19.625" style="52" customWidth="1"/>
    <col min="11" max="11" width="15.625" style="52" customWidth="1"/>
    <col min="12" max="13" width="11.625" style="52" customWidth="1"/>
    <col min="15" max="15" width="13.625" bestFit="1" customWidth="1"/>
  </cols>
  <sheetData>
    <row r="1" spans="2:15" ht="17.25" thickBot="1"/>
    <row r="2" spans="2:15" ht="39.950000000000003" customHeight="1">
      <c r="B2" s="255" t="str">
        <f>'용역청구서 표지'!$B$7</f>
        <v>P4 Ph2 GAS&amp;PCW 1공구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7"/>
    </row>
    <row r="3" spans="2:15" ht="20.100000000000001" customHeight="1">
      <c r="B3" s="185"/>
      <c r="K3" s="186"/>
      <c r="M3" s="187" t="str">
        <f>'용역청구서 표지'!$C$15</f>
        <v>대성이엔지</v>
      </c>
    </row>
    <row r="4" spans="2:15" ht="30" customHeight="1">
      <c r="B4" s="188" t="s">
        <v>109</v>
      </c>
      <c r="C4" s="173" t="s">
        <v>110</v>
      </c>
      <c r="D4" s="173" t="s">
        <v>111</v>
      </c>
      <c r="E4" s="173" t="s">
        <v>112</v>
      </c>
      <c r="F4" s="173" t="s">
        <v>113</v>
      </c>
      <c r="G4" s="174" t="s">
        <v>114</v>
      </c>
      <c r="H4" s="53" t="s">
        <v>115</v>
      </c>
      <c r="I4" s="173" t="s">
        <v>116</v>
      </c>
      <c r="J4" s="54" t="s">
        <v>117</v>
      </c>
      <c r="K4" s="258" t="s">
        <v>118</v>
      </c>
      <c r="L4" s="258"/>
      <c r="M4" s="259"/>
    </row>
    <row r="5" spans="2:15" ht="30" customHeight="1">
      <c r="B5" s="189" t="s">
        <v>119</v>
      </c>
      <c r="C5" s="55" t="s">
        <v>120</v>
      </c>
      <c r="D5" s="44" t="s">
        <v>121</v>
      </c>
      <c r="E5" s="120">
        <f>SUM('물량 내역서'!$J$6:$J$28)</f>
        <v>3011</v>
      </c>
      <c r="F5" s="45">
        <f>G5/E5</f>
        <v>475000</v>
      </c>
      <c r="G5" s="56">
        <f>SUM('물량 내역서'!$K$6:$K$28)</f>
        <v>1430225000</v>
      </c>
      <c r="H5" s="57">
        <v>1626162500</v>
      </c>
      <c r="I5" s="45">
        <f>G5</f>
        <v>1430225000</v>
      </c>
      <c r="J5" s="58">
        <f>H5+I5</f>
        <v>3056387500</v>
      </c>
      <c r="K5" s="243"/>
      <c r="L5" s="244"/>
      <c r="M5" s="245"/>
    </row>
    <row r="6" spans="2:15" ht="30" customHeight="1">
      <c r="B6" s="190"/>
      <c r="C6" s="55" t="s">
        <v>122</v>
      </c>
      <c r="D6" s="44" t="s">
        <v>123</v>
      </c>
      <c r="E6" s="45">
        <f>SUM('물량 내역서'!$J$29:$J$51)</f>
        <v>0</v>
      </c>
      <c r="F6" s="45" t="e">
        <f>G6/E6</f>
        <v>#DIV/0!</v>
      </c>
      <c r="G6" s="56">
        <f>SUM('물량 내역서'!$K$29:$K$51)</f>
        <v>0</v>
      </c>
      <c r="H6" s="57">
        <v>0</v>
      </c>
      <c r="I6" s="45">
        <f t="shared" ref="I6:I21" si="0">G6</f>
        <v>0</v>
      </c>
      <c r="J6" s="58">
        <f t="shared" ref="J6:J7" si="1">H6+I6</f>
        <v>0</v>
      </c>
      <c r="K6" s="243"/>
      <c r="L6" s="244"/>
      <c r="M6" s="245"/>
    </row>
    <row r="7" spans="2:15" ht="30" customHeight="1">
      <c r="B7" s="191"/>
      <c r="C7" s="55" t="s">
        <v>124</v>
      </c>
      <c r="D7" s="44" t="s">
        <v>125</v>
      </c>
      <c r="E7" s="59">
        <f>'근로내역 (07월)'!AN205</f>
        <v>0</v>
      </c>
      <c r="F7" s="45">
        <v>0</v>
      </c>
      <c r="G7" s="56">
        <f>E7*F7</f>
        <v>0</v>
      </c>
      <c r="H7" s="57">
        <v>0</v>
      </c>
      <c r="I7" s="45">
        <f t="shared" si="0"/>
        <v>0</v>
      </c>
      <c r="J7" s="58">
        <f t="shared" si="1"/>
        <v>0</v>
      </c>
      <c r="K7" s="243"/>
      <c r="L7" s="244"/>
      <c r="M7" s="245"/>
    </row>
    <row r="8" spans="2:15" ht="30" customHeight="1">
      <c r="B8" s="192" t="s">
        <v>127</v>
      </c>
      <c r="C8" s="246" t="s">
        <v>128</v>
      </c>
      <c r="D8" s="247"/>
      <c r="E8" s="60"/>
      <c r="F8" s="60"/>
      <c r="G8" s="61">
        <f>SUM(G5:G7)</f>
        <v>1430225000</v>
      </c>
      <c r="H8" s="62">
        <f>SUM(H5:H7)</f>
        <v>1626162500</v>
      </c>
      <c r="I8" s="63">
        <f t="shared" si="0"/>
        <v>1430225000</v>
      </c>
      <c r="J8" s="64">
        <f>H8+I8</f>
        <v>3056387500</v>
      </c>
      <c r="K8" s="248"/>
      <c r="L8" s="249"/>
      <c r="M8" s="250"/>
      <c r="O8" s="19"/>
    </row>
    <row r="9" spans="2:15" ht="30" customHeight="1">
      <c r="B9" s="189" t="s">
        <v>534</v>
      </c>
      <c r="C9" s="55" t="s">
        <v>129</v>
      </c>
      <c r="D9" s="44" t="s">
        <v>130</v>
      </c>
      <c r="E9" s="202">
        <f>'근로내역 (07월)'!AN193</f>
        <v>5868.8125</v>
      </c>
      <c r="F9" s="45">
        <f>G9/E9</f>
        <v>192680.90861652166</v>
      </c>
      <c r="G9" s="56">
        <f>'근로내역 (07월)'!AP206</f>
        <v>1130808125</v>
      </c>
      <c r="H9" s="57">
        <v>1501806250</v>
      </c>
      <c r="I9" s="45">
        <f>G9</f>
        <v>1130808125</v>
      </c>
      <c r="J9" s="58">
        <f>H9+I9</f>
        <v>2632614375</v>
      </c>
      <c r="K9" s="243"/>
      <c r="L9" s="244"/>
      <c r="M9" s="245"/>
    </row>
    <row r="10" spans="2:15" ht="30" customHeight="1">
      <c r="B10" s="189" t="s">
        <v>535</v>
      </c>
      <c r="C10" s="55" t="s">
        <v>131</v>
      </c>
      <c r="D10" s="44" t="s">
        <v>126</v>
      </c>
      <c r="E10" s="44">
        <f>SUM(숙소임차료!H4:H6)+SUM(숙소관리비!H4:H8)</f>
        <v>48</v>
      </c>
      <c r="F10" s="45">
        <f>G10/E10</f>
        <v>1429566.875</v>
      </c>
      <c r="G10" s="56">
        <f>숙소임차료!I3+숙소관리비!I3</f>
        <v>68619210</v>
      </c>
      <c r="H10" s="57">
        <v>139397160</v>
      </c>
      <c r="I10" s="45">
        <f>G10</f>
        <v>68619210</v>
      </c>
      <c r="J10" s="58">
        <f t="shared" ref="J10:J12" si="2">H10+I10</f>
        <v>208016370</v>
      </c>
      <c r="K10" s="243"/>
      <c r="L10" s="244"/>
      <c r="M10" s="245"/>
    </row>
    <row r="11" spans="2:15" ht="30" customHeight="1">
      <c r="B11" s="189"/>
      <c r="C11" s="55" t="s">
        <v>132</v>
      </c>
      <c r="D11" s="44" t="s">
        <v>133</v>
      </c>
      <c r="E11" s="44">
        <f>SUM(식대비용!G4:G4)</f>
        <v>132</v>
      </c>
      <c r="F11" s="45">
        <f>G11/E11</f>
        <v>499474.86363636365</v>
      </c>
      <c r="G11" s="56">
        <f>식대비용!I3</f>
        <v>65930682</v>
      </c>
      <c r="H11" s="57">
        <v>107133818</v>
      </c>
      <c r="I11" s="45">
        <f>G11</f>
        <v>65930682</v>
      </c>
      <c r="J11" s="58">
        <f t="shared" si="2"/>
        <v>173064500</v>
      </c>
      <c r="K11" s="243"/>
      <c r="L11" s="244"/>
      <c r="M11" s="245"/>
    </row>
    <row r="12" spans="2:15" ht="30" customHeight="1">
      <c r="B12" s="189" t="s">
        <v>536</v>
      </c>
      <c r="C12" s="55"/>
      <c r="D12" s="44" t="s">
        <v>126</v>
      </c>
      <c r="E12" s="44"/>
      <c r="F12" s="45">
        <v>0</v>
      </c>
      <c r="G12" s="56">
        <f t="shared" ref="G12" si="3">E12*F12</f>
        <v>0</v>
      </c>
      <c r="H12" s="57"/>
      <c r="I12" s="45">
        <f t="shared" si="0"/>
        <v>0</v>
      </c>
      <c r="J12" s="58">
        <f t="shared" si="2"/>
        <v>0</v>
      </c>
      <c r="K12" s="243"/>
      <c r="L12" s="244"/>
      <c r="M12" s="245"/>
    </row>
    <row r="13" spans="2:15" ht="30" customHeight="1">
      <c r="B13" s="192" t="s">
        <v>134</v>
      </c>
      <c r="C13" s="246" t="s">
        <v>135</v>
      </c>
      <c r="D13" s="247"/>
      <c r="E13" s="60"/>
      <c r="F13" s="60"/>
      <c r="G13" s="61">
        <f>SUM(G9:G12)</f>
        <v>1265358017</v>
      </c>
      <c r="H13" s="64">
        <f>SUM(H9:H12)</f>
        <v>1748337228</v>
      </c>
      <c r="I13" s="63">
        <f t="shared" si="0"/>
        <v>1265358017</v>
      </c>
      <c r="J13" s="64">
        <f>H13+I13</f>
        <v>3013695245</v>
      </c>
      <c r="K13" s="248"/>
      <c r="L13" s="249"/>
      <c r="M13" s="250"/>
    </row>
    <row r="14" spans="2:15" ht="30" customHeight="1">
      <c r="B14" s="192" t="s">
        <v>136</v>
      </c>
      <c r="C14" s="246" t="s">
        <v>137</v>
      </c>
      <c r="D14" s="247"/>
      <c r="E14" s="60"/>
      <c r="F14" s="60"/>
      <c r="G14" s="61">
        <f>G8-G13</f>
        <v>164866983</v>
      </c>
      <c r="H14" s="64">
        <f>H8-H13</f>
        <v>-122174728</v>
      </c>
      <c r="I14" s="63">
        <f>G14</f>
        <v>164866983</v>
      </c>
      <c r="J14" s="64">
        <f>H14+I14</f>
        <v>42692255</v>
      </c>
      <c r="K14" s="248"/>
      <c r="L14" s="249"/>
      <c r="M14" s="250"/>
    </row>
    <row r="15" spans="2:15" ht="30" customHeight="1">
      <c r="B15" s="189" t="s">
        <v>537</v>
      </c>
      <c r="C15" s="55" t="s">
        <v>138</v>
      </c>
      <c r="D15" s="44" t="s">
        <v>126</v>
      </c>
      <c r="E15" s="44"/>
      <c r="F15" s="44"/>
      <c r="G15" s="56">
        <v>12692255</v>
      </c>
      <c r="H15" s="57"/>
      <c r="I15" s="45">
        <f t="shared" ref="I15" si="4">G15</f>
        <v>12692255</v>
      </c>
      <c r="J15" s="58">
        <f t="shared" ref="J15" si="5">H15+I15</f>
        <v>12692255</v>
      </c>
      <c r="K15" s="243"/>
      <c r="L15" s="244"/>
      <c r="M15" s="245"/>
      <c r="O15" s="19"/>
    </row>
    <row r="16" spans="2:15" ht="30" customHeight="1">
      <c r="B16" s="189" t="s">
        <v>538</v>
      </c>
      <c r="C16" s="65" t="s">
        <v>540</v>
      </c>
      <c r="D16" s="44" t="s">
        <v>139</v>
      </c>
      <c r="E16" s="44"/>
      <c r="F16" s="45"/>
      <c r="G16" s="56"/>
      <c r="H16" s="57"/>
      <c r="I16" s="45">
        <f t="shared" ref="I16" si="6">G16</f>
        <v>0</v>
      </c>
      <c r="J16" s="58">
        <f>H16+I16</f>
        <v>0</v>
      </c>
      <c r="K16" s="243"/>
      <c r="L16" s="244"/>
      <c r="M16" s="245"/>
    </row>
    <row r="17" spans="2:13" ht="30" customHeight="1">
      <c r="B17" s="189" t="s">
        <v>539</v>
      </c>
      <c r="C17" s="55" t="s">
        <v>140</v>
      </c>
      <c r="D17" s="44" t="s">
        <v>141</v>
      </c>
      <c r="E17" s="44"/>
      <c r="F17" s="45" t="s">
        <v>980</v>
      </c>
      <c r="G17" s="56"/>
      <c r="H17" s="57"/>
      <c r="I17" s="45">
        <f>G17</f>
        <v>0</v>
      </c>
      <c r="J17" s="58"/>
      <c r="K17" s="243"/>
      <c r="L17" s="244"/>
      <c r="M17" s="245"/>
    </row>
    <row r="18" spans="2:13" ht="30" customHeight="1">
      <c r="B18" s="189" t="s">
        <v>975</v>
      </c>
      <c r="C18" s="55"/>
      <c r="D18" s="44" t="s">
        <v>126</v>
      </c>
      <c r="E18" s="44"/>
      <c r="F18" s="45"/>
      <c r="G18" s="56"/>
      <c r="H18" s="57">
        <v>30000000</v>
      </c>
      <c r="I18" s="45">
        <f>G18</f>
        <v>0</v>
      </c>
      <c r="J18" s="58">
        <v>30000000</v>
      </c>
      <c r="K18" s="243"/>
      <c r="L18" s="244"/>
      <c r="M18" s="245"/>
    </row>
    <row r="19" spans="2:13" ht="30" customHeight="1">
      <c r="B19" s="192" t="s">
        <v>142</v>
      </c>
      <c r="C19" s="246" t="s">
        <v>143</v>
      </c>
      <c r="D19" s="247"/>
      <c r="E19" s="60"/>
      <c r="F19" s="60"/>
      <c r="G19" s="61">
        <f>G14-G15-G16-G17-G18</f>
        <v>152174728</v>
      </c>
      <c r="H19" s="175">
        <f>H14+H15+H16+H17-H18</f>
        <v>-152174728</v>
      </c>
      <c r="I19" s="62">
        <f>G19</f>
        <v>152174728</v>
      </c>
      <c r="J19" s="64">
        <f t="shared" ref="J19" si="7">H19+I19</f>
        <v>0</v>
      </c>
      <c r="K19" s="248"/>
      <c r="L19" s="249"/>
      <c r="M19" s="250"/>
    </row>
    <row r="20" spans="2:13" ht="30" customHeight="1">
      <c r="B20" s="264" t="s">
        <v>144</v>
      </c>
      <c r="C20" s="55" t="s">
        <v>145</v>
      </c>
      <c r="D20" s="44" t="s">
        <v>139</v>
      </c>
      <c r="E20" s="44"/>
      <c r="F20" s="44"/>
      <c r="G20" s="56">
        <v>0</v>
      </c>
      <c r="H20" s="57"/>
      <c r="I20" s="200">
        <f>G20</f>
        <v>0</v>
      </c>
      <c r="J20" s="58">
        <f t="shared" ref="J20:J21" si="8">H20+I20</f>
        <v>0</v>
      </c>
      <c r="K20" s="183"/>
      <c r="L20" s="66" t="s">
        <v>146</v>
      </c>
      <c r="M20" s="193" t="s">
        <v>147</v>
      </c>
    </row>
    <row r="21" spans="2:13" ht="30" customHeight="1">
      <c r="B21" s="264"/>
      <c r="C21" s="55" t="s">
        <v>148</v>
      </c>
      <c r="D21" s="44" t="s">
        <v>139</v>
      </c>
      <c r="E21" s="44"/>
      <c r="F21" s="44"/>
      <c r="G21" s="56">
        <f>ROUNDDOWN(G20,-5)</f>
        <v>0</v>
      </c>
      <c r="H21" s="57"/>
      <c r="I21" s="45">
        <f t="shared" si="0"/>
        <v>0</v>
      </c>
      <c r="J21" s="58">
        <f t="shared" si="8"/>
        <v>0</v>
      </c>
      <c r="K21" s="184" t="s">
        <v>149</v>
      </c>
      <c r="L21" s="251">
        <f>H18</f>
        <v>30000000</v>
      </c>
      <c r="M21" s="252"/>
    </row>
    <row r="22" spans="2:13" ht="30" customHeight="1">
      <c r="B22" s="265" t="s">
        <v>150</v>
      </c>
      <c r="C22" s="266"/>
      <c r="D22" s="267"/>
      <c r="E22" s="176"/>
      <c r="F22" s="176"/>
      <c r="G22" s="177">
        <f>G19-G21</f>
        <v>152174728</v>
      </c>
      <c r="H22" s="178">
        <f>H19-H21</f>
        <v>-152174728</v>
      </c>
      <c r="I22" s="179">
        <f>G22</f>
        <v>152174728</v>
      </c>
      <c r="J22" s="180">
        <f>H22+I22</f>
        <v>0</v>
      </c>
      <c r="K22" s="199"/>
      <c r="L22" s="251"/>
      <c r="M22" s="253"/>
    </row>
    <row r="23" spans="2:13" ht="30" customHeight="1">
      <c r="B23" s="265" t="s">
        <v>151</v>
      </c>
      <c r="C23" s="266"/>
      <c r="D23" s="267"/>
      <c r="E23" s="176"/>
      <c r="F23" s="176"/>
      <c r="G23" s="177">
        <f>ROUNDDOWN(G22,-5)</f>
        <v>152100000</v>
      </c>
      <c r="H23" s="178">
        <f>ROUNDDOWN(H22,-5)</f>
        <v>-152100000</v>
      </c>
      <c r="I23" s="179">
        <f>G23</f>
        <v>152100000</v>
      </c>
      <c r="J23" s="178">
        <f>ROUNDDOWN(J22,-5)</f>
        <v>0</v>
      </c>
      <c r="K23" s="181" t="s">
        <v>533</v>
      </c>
      <c r="L23" s="251"/>
      <c r="M23" s="254"/>
    </row>
    <row r="24" spans="2:13" ht="30" customHeight="1">
      <c r="B24" s="260" t="s">
        <v>152</v>
      </c>
      <c r="C24" s="261"/>
      <c r="D24" s="262"/>
      <c r="E24" s="261" t="s">
        <v>153</v>
      </c>
      <c r="F24" s="261"/>
      <c r="G24" s="261"/>
      <c r="H24" s="261"/>
      <c r="I24" s="261"/>
      <c r="J24" s="261"/>
      <c r="K24" s="261"/>
      <c r="L24" s="261"/>
      <c r="M24" s="263"/>
    </row>
    <row r="25" spans="2:13" ht="21" customHeight="1">
      <c r="B25" s="194" t="s">
        <v>154</v>
      </c>
      <c r="M25" s="195"/>
    </row>
    <row r="26" spans="2:13" ht="21" customHeight="1">
      <c r="B26" s="194" t="s">
        <v>155</v>
      </c>
      <c r="M26" s="195"/>
    </row>
    <row r="27" spans="2:13" ht="21" customHeight="1" thickBot="1">
      <c r="B27" s="196" t="s">
        <v>156</v>
      </c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8"/>
    </row>
  </sheetData>
  <mergeCells count="28">
    <mergeCell ref="B24:D24"/>
    <mergeCell ref="E24:M24"/>
    <mergeCell ref="K17:M17"/>
    <mergeCell ref="C19:D19"/>
    <mergeCell ref="K19:M19"/>
    <mergeCell ref="B20:B21"/>
    <mergeCell ref="B22:D22"/>
    <mergeCell ref="B23:D23"/>
    <mergeCell ref="B2:M2"/>
    <mergeCell ref="K4:M4"/>
    <mergeCell ref="K5:M5"/>
    <mergeCell ref="K6:M6"/>
    <mergeCell ref="K7:M7"/>
    <mergeCell ref="C8:D8"/>
    <mergeCell ref="K8:M8"/>
    <mergeCell ref="K9:M9"/>
    <mergeCell ref="K10:M10"/>
    <mergeCell ref="K11:M11"/>
    <mergeCell ref="K12:M12"/>
    <mergeCell ref="C13:D13"/>
    <mergeCell ref="K13:M13"/>
    <mergeCell ref="C14:D14"/>
    <mergeCell ref="L21:L23"/>
    <mergeCell ref="M21:M23"/>
    <mergeCell ref="K14:M14"/>
    <mergeCell ref="K15:M15"/>
    <mergeCell ref="K16:M16"/>
    <mergeCell ref="K18:M18"/>
  </mergeCells>
  <phoneticPr fontId="3" type="noConversion"/>
  <pageMargins left="0.7" right="0.7" top="0.48" bottom="0.51" header="0.3" footer="0.3"/>
  <pageSetup paperSize="9" scale="6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2"/>
  <sheetViews>
    <sheetView view="pageBreakPreview" zoomScale="85" zoomScaleNormal="70" zoomScaleSheetLayoutView="85" workbookViewId="0">
      <pane ySplit="4" topLeftCell="A44" activePane="bottomLeft" state="frozen"/>
      <selection pane="bottomLeft" activeCell="H34" sqref="H34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3.625" customWidth="1"/>
    <col min="7" max="7" width="20.625" customWidth="1"/>
    <col min="8" max="8" width="13.625" customWidth="1"/>
    <col min="9" max="9" width="20.625" customWidth="1"/>
    <col min="10" max="10" width="13.625" customWidth="1"/>
    <col min="11" max="11" width="20.625" customWidth="1"/>
    <col min="12" max="12" width="13.625" customWidth="1"/>
    <col min="13" max="13" width="20.625" customWidth="1"/>
  </cols>
  <sheetData>
    <row r="1" spans="1:13" ht="37.5">
      <c r="A1" s="271" t="s">
        <v>979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</row>
    <row r="2" spans="1:13" ht="17.25">
      <c r="A2" s="34" t="str">
        <f>'용역청구서 표지'!$B$7</f>
        <v>P4 Ph2 GAS&amp;PCW 1공구</v>
      </c>
      <c r="M2" s="40" t="s">
        <v>157</v>
      </c>
    </row>
    <row r="3" spans="1:13" ht="27.95" customHeight="1">
      <c r="A3" s="272" t="s">
        <v>158</v>
      </c>
      <c r="B3" s="272" t="s">
        <v>159</v>
      </c>
      <c r="C3" s="272" t="s">
        <v>160</v>
      </c>
      <c r="D3" s="273" t="s">
        <v>161</v>
      </c>
      <c r="E3" s="272" t="s">
        <v>162</v>
      </c>
      <c r="F3" s="272" t="s">
        <v>163</v>
      </c>
      <c r="G3" s="272"/>
      <c r="H3" s="272" t="s">
        <v>164</v>
      </c>
      <c r="I3" s="272"/>
      <c r="J3" s="272" t="s">
        <v>165</v>
      </c>
      <c r="K3" s="272"/>
      <c r="L3" s="272" t="s">
        <v>166</v>
      </c>
      <c r="M3" s="272"/>
    </row>
    <row r="4" spans="1:13" ht="27.95" customHeight="1">
      <c r="A4" s="272"/>
      <c r="B4" s="272"/>
      <c r="C4" s="272"/>
      <c r="D4" s="273"/>
      <c r="E4" s="272"/>
      <c r="F4" s="67" t="s">
        <v>167</v>
      </c>
      <c r="G4" s="67" t="s">
        <v>168</v>
      </c>
      <c r="H4" s="67" t="s">
        <v>167</v>
      </c>
      <c r="I4" s="67" t="s">
        <v>168</v>
      </c>
      <c r="J4" s="67" t="s">
        <v>167</v>
      </c>
      <c r="K4" s="67" t="s">
        <v>169</v>
      </c>
      <c r="L4" s="67" t="s">
        <v>167</v>
      </c>
      <c r="M4" s="67" t="s">
        <v>169</v>
      </c>
    </row>
    <row r="5" spans="1:13" ht="27.95" customHeight="1">
      <c r="A5" s="67"/>
      <c r="B5" s="67"/>
      <c r="C5" s="67"/>
      <c r="D5" s="201"/>
      <c r="E5" s="67"/>
      <c r="F5" s="67"/>
      <c r="G5" s="67"/>
      <c r="H5" s="67"/>
      <c r="I5" s="67"/>
      <c r="J5" s="67"/>
      <c r="K5" s="67"/>
      <c r="L5" s="67"/>
      <c r="M5" s="67"/>
    </row>
    <row r="6" spans="1:13" ht="27.95" customHeight="1">
      <c r="A6" s="68" t="s">
        <v>170</v>
      </c>
      <c r="B6" s="36" t="s">
        <v>171</v>
      </c>
      <c r="C6" s="36" t="s">
        <v>172</v>
      </c>
      <c r="D6" s="69">
        <v>0</v>
      </c>
      <c r="E6" s="70">
        <v>475000</v>
      </c>
      <c r="F6" s="72">
        <f>L6</f>
        <v>0</v>
      </c>
      <c r="G6" s="70">
        <f>M6</f>
        <v>0</v>
      </c>
      <c r="H6" s="72"/>
      <c r="I6" s="70"/>
      <c r="J6" s="72">
        <f>$D6*'DIA-INCH'!$C5</f>
        <v>0</v>
      </c>
      <c r="K6" s="70">
        <f>$E6*$J6</f>
        <v>0</v>
      </c>
      <c r="L6" s="72">
        <f>H6+J6</f>
        <v>0</v>
      </c>
      <c r="M6" s="70">
        <f>I6+K6</f>
        <v>0</v>
      </c>
    </row>
    <row r="7" spans="1:13" ht="27.95" customHeight="1">
      <c r="A7" s="68" t="s">
        <v>173</v>
      </c>
      <c r="B7" s="36" t="s">
        <v>174</v>
      </c>
      <c r="C7" s="36" t="s">
        <v>175</v>
      </c>
      <c r="D7" s="69">
        <v>0</v>
      </c>
      <c r="E7" s="70">
        <v>475000</v>
      </c>
      <c r="F7" s="72">
        <f t="shared" ref="F7:G51" si="0">L7</f>
        <v>0</v>
      </c>
      <c r="G7" s="70">
        <f t="shared" si="0"/>
        <v>0</v>
      </c>
      <c r="H7" s="72"/>
      <c r="I7" s="70"/>
      <c r="J7" s="72">
        <f>$D7*'DIA-INCH'!$C6</f>
        <v>0</v>
      </c>
      <c r="K7" s="70">
        <f t="shared" ref="K7:K28" si="1">$E7*$J7</f>
        <v>0</v>
      </c>
      <c r="L7" s="72">
        <f t="shared" ref="L7:M51" si="2">H7+J7</f>
        <v>0</v>
      </c>
      <c r="M7" s="70">
        <f t="shared" si="2"/>
        <v>0</v>
      </c>
    </row>
    <row r="8" spans="1:13" ht="27.95" customHeight="1">
      <c r="A8" s="68" t="s">
        <v>170</v>
      </c>
      <c r="B8" s="36" t="s">
        <v>176</v>
      </c>
      <c r="C8" s="36" t="s">
        <v>172</v>
      </c>
      <c r="D8" s="69">
        <v>0</v>
      </c>
      <c r="E8" s="70">
        <v>475000</v>
      </c>
      <c r="F8" s="72">
        <f t="shared" si="0"/>
        <v>0</v>
      </c>
      <c r="G8" s="70">
        <f t="shared" si="0"/>
        <v>0</v>
      </c>
      <c r="H8" s="72"/>
      <c r="I8" s="70"/>
      <c r="J8" s="72">
        <f>$D8*'DIA-INCH'!$C7</f>
        <v>0</v>
      </c>
      <c r="K8" s="70">
        <f t="shared" si="1"/>
        <v>0</v>
      </c>
      <c r="L8" s="72">
        <f t="shared" si="2"/>
        <v>0</v>
      </c>
      <c r="M8" s="70">
        <f t="shared" si="2"/>
        <v>0</v>
      </c>
    </row>
    <row r="9" spans="1:13" ht="27.95" customHeight="1">
      <c r="A9" s="68" t="s">
        <v>170</v>
      </c>
      <c r="B9" s="36" t="s">
        <v>177</v>
      </c>
      <c r="C9" s="36" t="s">
        <v>172</v>
      </c>
      <c r="D9" s="69">
        <v>307</v>
      </c>
      <c r="E9" s="70">
        <v>475000</v>
      </c>
      <c r="F9" s="72">
        <f t="shared" si="0"/>
        <v>574</v>
      </c>
      <c r="G9" s="70">
        <f t="shared" si="0"/>
        <v>272650000</v>
      </c>
      <c r="H9" s="72">
        <v>267</v>
      </c>
      <c r="I9" s="70">
        <v>126825000</v>
      </c>
      <c r="J9" s="72">
        <f>$D9*'DIA-INCH'!$C8</f>
        <v>307</v>
      </c>
      <c r="K9" s="70">
        <f t="shared" si="1"/>
        <v>145825000</v>
      </c>
      <c r="L9" s="72">
        <f t="shared" si="2"/>
        <v>574</v>
      </c>
      <c r="M9" s="70">
        <f t="shared" si="2"/>
        <v>272650000</v>
      </c>
    </row>
    <row r="10" spans="1:13" ht="27.95" customHeight="1">
      <c r="A10" s="68" t="s">
        <v>170</v>
      </c>
      <c r="B10" s="36" t="s">
        <v>178</v>
      </c>
      <c r="C10" s="36" t="s">
        <v>172</v>
      </c>
      <c r="D10" s="69">
        <v>0</v>
      </c>
      <c r="E10" s="70">
        <v>475000</v>
      </c>
      <c r="F10" s="72">
        <f t="shared" si="0"/>
        <v>0</v>
      </c>
      <c r="G10" s="70">
        <f t="shared" si="0"/>
        <v>0</v>
      </c>
      <c r="H10" s="72">
        <v>0</v>
      </c>
      <c r="I10" s="70">
        <v>0</v>
      </c>
      <c r="J10" s="72">
        <f>$D10*'DIA-INCH'!$C9</f>
        <v>0</v>
      </c>
      <c r="K10" s="70">
        <f t="shared" si="1"/>
        <v>0</v>
      </c>
      <c r="L10" s="72">
        <f t="shared" si="2"/>
        <v>0</v>
      </c>
      <c r="M10" s="70">
        <f t="shared" si="2"/>
        <v>0</v>
      </c>
    </row>
    <row r="11" spans="1:13" ht="27.95" customHeight="1">
      <c r="A11" s="68" t="s">
        <v>170</v>
      </c>
      <c r="B11" s="36" t="s">
        <v>179</v>
      </c>
      <c r="C11" s="36" t="s">
        <v>175</v>
      </c>
      <c r="D11" s="69">
        <v>224</v>
      </c>
      <c r="E11" s="70">
        <v>475000</v>
      </c>
      <c r="F11" s="72">
        <f t="shared" si="0"/>
        <v>573</v>
      </c>
      <c r="G11" s="70">
        <f t="shared" si="0"/>
        <v>272175000</v>
      </c>
      <c r="H11" s="72">
        <v>237</v>
      </c>
      <c r="I11" s="70">
        <v>112575000</v>
      </c>
      <c r="J11" s="72">
        <f>$D11*'DIA-INCH'!$C10</f>
        <v>336</v>
      </c>
      <c r="K11" s="70">
        <f t="shared" si="1"/>
        <v>159600000</v>
      </c>
      <c r="L11" s="72">
        <f t="shared" si="2"/>
        <v>573</v>
      </c>
      <c r="M11" s="70">
        <f t="shared" si="2"/>
        <v>272175000</v>
      </c>
    </row>
    <row r="12" spans="1:13" ht="27.95" customHeight="1">
      <c r="A12" s="68" t="s">
        <v>170</v>
      </c>
      <c r="B12" s="36" t="s">
        <v>180</v>
      </c>
      <c r="C12" s="36" t="s">
        <v>175</v>
      </c>
      <c r="D12" s="69">
        <v>62</v>
      </c>
      <c r="E12" s="70">
        <v>475000</v>
      </c>
      <c r="F12" s="72">
        <f t="shared" si="0"/>
        <v>352</v>
      </c>
      <c r="G12" s="70">
        <f t="shared" si="0"/>
        <v>167200000</v>
      </c>
      <c r="H12" s="72">
        <v>228</v>
      </c>
      <c r="I12" s="70">
        <v>108300000</v>
      </c>
      <c r="J12" s="72">
        <f>$D12*'DIA-INCH'!$C11</f>
        <v>124</v>
      </c>
      <c r="K12" s="70">
        <f t="shared" si="1"/>
        <v>58900000</v>
      </c>
      <c r="L12" s="72">
        <f t="shared" si="2"/>
        <v>352</v>
      </c>
      <c r="M12" s="70">
        <f t="shared" si="2"/>
        <v>167200000</v>
      </c>
    </row>
    <row r="13" spans="1:13" ht="27.95" customHeight="1">
      <c r="A13" s="68" t="s">
        <v>173</v>
      </c>
      <c r="B13" s="36" t="s">
        <v>181</v>
      </c>
      <c r="C13" s="36" t="s">
        <v>172</v>
      </c>
      <c r="D13" s="69">
        <v>166</v>
      </c>
      <c r="E13" s="70">
        <v>475000</v>
      </c>
      <c r="F13" s="72">
        <f t="shared" si="0"/>
        <v>592.5</v>
      </c>
      <c r="G13" s="70">
        <f t="shared" si="0"/>
        <v>281437500</v>
      </c>
      <c r="H13" s="72">
        <v>177.5</v>
      </c>
      <c r="I13" s="70">
        <v>84312500</v>
      </c>
      <c r="J13" s="72">
        <f>$D13*'DIA-INCH'!$C12</f>
        <v>415</v>
      </c>
      <c r="K13" s="70">
        <f t="shared" si="1"/>
        <v>197125000</v>
      </c>
      <c r="L13" s="72">
        <f t="shared" si="2"/>
        <v>592.5</v>
      </c>
      <c r="M13" s="70">
        <f t="shared" si="2"/>
        <v>281437500</v>
      </c>
    </row>
    <row r="14" spans="1:13" ht="27.95" customHeight="1">
      <c r="A14" s="68" t="s">
        <v>170</v>
      </c>
      <c r="B14" s="36" t="s">
        <v>182</v>
      </c>
      <c r="C14" s="36" t="s">
        <v>172</v>
      </c>
      <c r="D14" s="69">
        <v>74</v>
      </c>
      <c r="E14" s="70">
        <v>475000</v>
      </c>
      <c r="F14" s="72">
        <f>L14</f>
        <v>384</v>
      </c>
      <c r="G14" s="70">
        <f t="shared" si="0"/>
        <v>182400000</v>
      </c>
      <c r="H14" s="72">
        <v>162</v>
      </c>
      <c r="I14" s="70">
        <v>76950000</v>
      </c>
      <c r="J14" s="72">
        <f>$D14*'DIA-INCH'!$C13</f>
        <v>222</v>
      </c>
      <c r="K14" s="70">
        <f t="shared" si="1"/>
        <v>105450000</v>
      </c>
      <c r="L14" s="72">
        <f t="shared" si="2"/>
        <v>384</v>
      </c>
      <c r="M14" s="70">
        <f t="shared" si="2"/>
        <v>182400000</v>
      </c>
    </row>
    <row r="15" spans="1:13" ht="27.95" customHeight="1">
      <c r="A15" s="68" t="s">
        <v>183</v>
      </c>
      <c r="B15" s="36" t="s">
        <v>184</v>
      </c>
      <c r="C15" s="36" t="s">
        <v>172</v>
      </c>
      <c r="D15" s="69">
        <v>51</v>
      </c>
      <c r="E15" s="70">
        <v>475000</v>
      </c>
      <c r="F15" s="72">
        <f t="shared" si="0"/>
        <v>608</v>
      </c>
      <c r="G15" s="70">
        <f t="shared" si="0"/>
        <v>288800000</v>
      </c>
      <c r="H15" s="72">
        <v>404</v>
      </c>
      <c r="I15" s="70">
        <v>191900000</v>
      </c>
      <c r="J15" s="72">
        <f>$D15*'DIA-INCH'!$C14</f>
        <v>204</v>
      </c>
      <c r="K15" s="70">
        <f t="shared" si="1"/>
        <v>96900000</v>
      </c>
      <c r="L15" s="72">
        <f t="shared" si="2"/>
        <v>608</v>
      </c>
      <c r="M15" s="70">
        <f t="shared" si="2"/>
        <v>288800000</v>
      </c>
    </row>
    <row r="16" spans="1:13" ht="27.95" customHeight="1">
      <c r="A16" s="68" t="s">
        <v>170</v>
      </c>
      <c r="B16" s="36" t="s">
        <v>185</v>
      </c>
      <c r="C16" s="36" t="s">
        <v>175</v>
      </c>
      <c r="D16" s="69">
        <v>0</v>
      </c>
      <c r="E16" s="70">
        <v>475000</v>
      </c>
      <c r="F16" s="72">
        <f t="shared" si="0"/>
        <v>0</v>
      </c>
      <c r="G16" s="70">
        <f t="shared" si="0"/>
        <v>0</v>
      </c>
      <c r="H16" s="72">
        <v>0</v>
      </c>
      <c r="I16" s="70">
        <v>0</v>
      </c>
      <c r="J16" s="72">
        <f>$D16*'DIA-INCH'!$C15</f>
        <v>0</v>
      </c>
      <c r="K16" s="70">
        <f t="shared" si="1"/>
        <v>0</v>
      </c>
      <c r="L16" s="72">
        <f t="shared" si="2"/>
        <v>0</v>
      </c>
      <c r="M16" s="70">
        <f t="shared" si="2"/>
        <v>0</v>
      </c>
    </row>
    <row r="17" spans="1:13" ht="27.95" customHeight="1">
      <c r="A17" s="68" t="s">
        <v>173</v>
      </c>
      <c r="B17" s="36" t="s">
        <v>186</v>
      </c>
      <c r="C17" s="36" t="s">
        <v>172</v>
      </c>
      <c r="D17" s="69">
        <v>207</v>
      </c>
      <c r="E17" s="70">
        <v>475000</v>
      </c>
      <c r="F17" s="72">
        <f t="shared" si="0"/>
        <v>1935</v>
      </c>
      <c r="G17" s="70">
        <f t="shared" si="0"/>
        <v>919125000</v>
      </c>
      <c r="H17" s="72">
        <v>900</v>
      </c>
      <c r="I17" s="70">
        <v>427500000</v>
      </c>
      <c r="J17" s="72">
        <f>$D17*'DIA-INCH'!$C16</f>
        <v>1035</v>
      </c>
      <c r="K17" s="70">
        <f t="shared" si="1"/>
        <v>491625000</v>
      </c>
      <c r="L17" s="72">
        <f t="shared" si="2"/>
        <v>1935</v>
      </c>
      <c r="M17" s="70">
        <f t="shared" si="2"/>
        <v>919125000</v>
      </c>
    </row>
    <row r="18" spans="1:13" ht="27.95" customHeight="1">
      <c r="A18" s="68" t="s">
        <v>173</v>
      </c>
      <c r="B18" s="36" t="s">
        <v>187</v>
      </c>
      <c r="C18" s="36" t="s">
        <v>172</v>
      </c>
      <c r="D18" s="69">
        <v>0</v>
      </c>
      <c r="E18" s="70">
        <v>475000</v>
      </c>
      <c r="F18" s="72">
        <f t="shared" si="0"/>
        <v>0</v>
      </c>
      <c r="G18" s="70">
        <f t="shared" si="0"/>
        <v>0</v>
      </c>
      <c r="H18" s="72">
        <v>0</v>
      </c>
      <c r="I18" s="70">
        <v>0</v>
      </c>
      <c r="J18" s="72">
        <f>$D18*'DIA-INCH'!$C17</f>
        <v>0</v>
      </c>
      <c r="K18" s="70">
        <f t="shared" si="1"/>
        <v>0</v>
      </c>
      <c r="L18" s="72">
        <f t="shared" si="2"/>
        <v>0</v>
      </c>
      <c r="M18" s="70">
        <f t="shared" si="2"/>
        <v>0</v>
      </c>
    </row>
    <row r="19" spans="1:13" ht="27.95" customHeight="1">
      <c r="A19" s="68" t="s">
        <v>173</v>
      </c>
      <c r="B19" s="36" t="s">
        <v>188</v>
      </c>
      <c r="C19" s="36" t="s">
        <v>172</v>
      </c>
      <c r="D19" s="69">
        <v>0</v>
      </c>
      <c r="E19" s="70">
        <v>475000</v>
      </c>
      <c r="F19" s="72">
        <f t="shared" si="0"/>
        <v>0</v>
      </c>
      <c r="G19" s="70">
        <f t="shared" si="0"/>
        <v>0</v>
      </c>
      <c r="H19" s="72">
        <v>0</v>
      </c>
      <c r="I19" s="70">
        <v>0</v>
      </c>
      <c r="J19" s="72">
        <f>$D19*'DIA-INCH'!$C18</f>
        <v>0</v>
      </c>
      <c r="K19" s="70">
        <f t="shared" si="1"/>
        <v>0</v>
      </c>
      <c r="L19" s="72">
        <f t="shared" si="2"/>
        <v>0</v>
      </c>
      <c r="M19" s="70">
        <f t="shared" si="2"/>
        <v>0</v>
      </c>
    </row>
    <row r="20" spans="1:13" ht="27.95" customHeight="1">
      <c r="A20" s="68" t="s">
        <v>173</v>
      </c>
      <c r="B20" s="36" t="s">
        <v>189</v>
      </c>
      <c r="C20" s="36" t="s">
        <v>172</v>
      </c>
      <c r="D20" s="69">
        <v>42</v>
      </c>
      <c r="E20" s="70">
        <v>475000</v>
      </c>
      <c r="F20" s="72">
        <f t="shared" si="0"/>
        <v>1384</v>
      </c>
      <c r="G20" s="70">
        <f t="shared" si="0"/>
        <v>657400000</v>
      </c>
      <c r="H20" s="72">
        <v>1048</v>
      </c>
      <c r="I20" s="70">
        <v>497800000</v>
      </c>
      <c r="J20" s="72">
        <f>$D20*'DIA-INCH'!$C19</f>
        <v>336</v>
      </c>
      <c r="K20" s="70">
        <f t="shared" si="1"/>
        <v>159600000</v>
      </c>
      <c r="L20" s="72">
        <f t="shared" si="2"/>
        <v>1384</v>
      </c>
      <c r="M20" s="70">
        <f t="shared" si="2"/>
        <v>657400000</v>
      </c>
    </row>
    <row r="21" spans="1:13" ht="27.95" customHeight="1">
      <c r="A21" s="68" t="s">
        <v>170</v>
      </c>
      <c r="B21" s="36" t="s">
        <v>190</v>
      </c>
      <c r="C21" s="36" t="s">
        <v>175</v>
      </c>
      <c r="D21" s="69">
        <v>0</v>
      </c>
      <c r="E21" s="70">
        <v>475000</v>
      </c>
      <c r="F21" s="72">
        <f t="shared" si="0"/>
        <v>0</v>
      </c>
      <c r="G21" s="70">
        <f t="shared" si="0"/>
        <v>0</v>
      </c>
      <c r="H21" s="72"/>
      <c r="I21" s="70"/>
      <c r="J21" s="72">
        <f>$D21*'DIA-INCH'!$C20</f>
        <v>0</v>
      </c>
      <c r="K21" s="70">
        <f t="shared" si="1"/>
        <v>0</v>
      </c>
      <c r="L21" s="72">
        <f t="shared" si="2"/>
        <v>0</v>
      </c>
      <c r="M21" s="70">
        <f t="shared" si="2"/>
        <v>0</v>
      </c>
    </row>
    <row r="22" spans="1:13" ht="27.95" customHeight="1">
      <c r="A22" s="68" t="s">
        <v>170</v>
      </c>
      <c r="B22" s="36" t="s">
        <v>191</v>
      </c>
      <c r="C22" s="36" t="s">
        <v>192</v>
      </c>
      <c r="D22" s="69">
        <v>2</v>
      </c>
      <c r="E22" s="70">
        <v>475000</v>
      </c>
      <c r="F22" s="72">
        <f t="shared" si="0"/>
        <v>20</v>
      </c>
      <c r="G22" s="70">
        <f t="shared" si="0"/>
        <v>9500000</v>
      </c>
      <c r="H22" s="72"/>
      <c r="I22" s="70"/>
      <c r="J22" s="72">
        <f>$D22*'DIA-INCH'!$C21</f>
        <v>20</v>
      </c>
      <c r="K22" s="70">
        <f t="shared" si="1"/>
        <v>9500000</v>
      </c>
      <c r="L22" s="72">
        <f t="shared" si="2"/>
        <v>20</v>
      </c>
      <c r="M22" s="70">
        <f t="shared" si="2"/>
        <v>9500000</v>
      </c>
    </row>
    <row r="23" spans="1:13" ht="27.95" customHeight="1">
      <c r="A23" s="68" t="s">
        <v>173</v>
      </c>
      <c r="B23" s="36" t="s">
        <v>193</v>
      </c>
      <c r="C23" s="36" t="s">
        <v>194</v>
      </c>
      <c r="D23" s="69">
        <v>1</v>
      </c>
      <c r="E23" s="70">
        <v>475000</v>
      </c>
      <c r="F23" s="72">
        <f t="shared" si="0"/>
        <v>12</v>
      </c>
      <c r="G23" s="70">
        <f t="shared" si="0"/>
        <v>5700000</v>
      </c>
      <c r="H23" s="72"/>
      <c r="I23" s="70"/>
      <c r="J23" s="72">
        <f>$D23*'DIA-INCH'!$C22</f>
        <v>12</v>
      </c>
      <c r="K23" s="70">
        <f t="shared" si="1"/>
        <v>5700000</v>
      </c>
      <c r="L23" s="72">
        <f t="shared" si="2"/>
        <v>12</v>
      </c>
      <c r="M23" s="70">
        <f t="shared" si="2"/>
        <v>5700000</v>
      </c>
    </row>
    <row r="24" spans="1:13" ht="27.95" customHeight="1">
      <c r="A24" s="68" t="s">
        <v>195</v>
      </c>
      <c r="B24" s="36" t="s">
        <v>196</v>
      </c>
      <c r="C24" s="36" t="s">
        <v>172</v>
      </c>
      <c r="D24" s="69">
        <v>0</v>
      </c>
      <c r="E24" s="70">
        <v>475000</v>
      </c>
      <c r="F24" s="72">
        <f t="shared" si="0"/>
        <v>0</v>
      </c>
      <c r="G24" s="70">
        <f t="shared" si="0"/>
        <v>0</v>
      </c>
      <c r="H24" s="72"/>
      <c r="I24" s="70"/>
      <c r="J24" s="72">
        <f>$D24*'DIA-INCH'!$C23</f>
        <v>0</v>
      </c>
      <c r="K24" s="70">
        <f t="shared" si="1"/>
        <v>0</v>
      </c>
      <c r="L24" s="72">
        <f t="shared" si="2"/>
        <v>0</v>
      </c>
      <c r="M24" s="70">
        <f t="shared" si="2"/>
        <v>0</v>
      </c>
    </row>
    <row r="25" spans="1:13" ht="27.95" customHeight="1">
      <c r="A25" s="68" t="s">
        <v>170</v>
      </c>
      <c r="B25" s="36" t="s">
        <v>197</v>
      </c>
      <c r="C25" s="36" t="s">
        <v>175</v>
      </c>
      <c r="D25" s="69">
        <v>0</v>
      </c>
      <c r="E25" s="70">
        <v>475000</v>
      </c>
      <c r="F25" s="72">
        <f t="shared" si="0"/>
        <v>0</v>
      </c>
      <c r="G25" s="70">
        <f t="shared" si="0"/>
        <v>0</v>
      </c>
      <c r="H25" s="72"/>
      <c r="I25" s="70"/>
      <c r="J25" s="72">
        <f>$D25*'DIA-INCH'!$C24</f>
        <v>0</v>
      </c>
      <c r="K25" s="70">
        <f t="shared" si="1"/>
        <v>0</v>
      </c>
      <c r="L25" s="72">
        <f t="shared" si="2"/>
        <v>0</v>
      </c>
      <c r="M25" s="70">
        <f t="shared" si="2"/>
        <v>0</v>
      </c>
    </row>
    <row r="26" spans="1:13" ht="27.95" customHeight="1">
      <c r="A26" s="68" t="s">
        <v>183</v>
      </c>
      <c r="B26" s="36" t="s">
        <v>198</v>
      </c>
      <c r="C26" s="36" t="s">
        <v>199</v>
      </c>
      <c r="D26" s="69">
        <v>0</v>
      </c>
      <c r="E26" s="70">
        <v>475000</v>
      </c>
      <c r="F26" s="72">
        <f t="shared" si="0"/>
        <v>0</v>
      </c>
      <c r="G26" s="70">
        <f t="shared" si="0"/>
        <v>0</v>
      </c>
      <c r="H26" s="72"/>
      <c r="I26" s="70"/>
      <c r="J26" s="72">
        <f>$D26*'DIA-INCH'!$C25</f>
        <v>0</v>
      </c>
      <c r="K26" s="70">
        <f t="shared" si="1"/>
        <v>0</v>
      </c>
      <c r="L26" s="72">
        <f t="shared" si="2"/>
        <v>0</v>
      </c>
      <c r="M26" s="70">
        <f t="shared" si="2"/>
        <v>0</v>
      </c>
    </row>
    <row r="27" spans="1:13" ht="27.95" customHeight="1">
      <c r="A27" s="68" t="s">
        <v>173</v>
      </c>
      <c r="B27" s="36" t="s">
        <v>200</v>
      </c>
      <c r="C27" s="36" t="s">
        <v>172</v>
      </c>
      <c r="D27" s="69">
        <v>0</v>
      </c>
      <c r="E27" s="70">
        <v>475000</v>
      </c>
      <c r="F27" s="72">
        <f t="shared" si="0"/>
        <v>0</v>
      </c>
      <c r="G27" s="70">
        <f t="shared" si="0"/>
        <v>0</v>
      </c>
      <c r="H27" s="72"/>
      <c r="I27" s="70"/>
      <c r="J27" s="72">
        <f>$D27*'DIA-INCH'!$C26</f>
        <v>0</v>
      </c>
      <c r="K27" s="70">
        <f t="shared" si="1"/>
        <v>0</v>
      </c>
      <c r="L27" s="72">
        <f t="shared" si="2"/>
        <v>0</v>
      </c>
      <c r="M27" s="70">
        <f t="shared" si="2"/>
        <v>0</v>
      </c>
    </row>
    <row r="28" spans="1:13" ht="27.95" customHeight="1">
      <c r="A28" s="68" t="s">
        <v>183</v>
      </c>
      <c r="B28" s="36" t="s">
        <v>201</v>
      </c>
      <c r="C28" s="36" t="s">
        <v>172</v>
      </c>
      <c r="D28" s="69">
        <v>0</v>
      </c>
      <c r="E28" s="70">
        <v>475000</v>
      </c>
      <c r="F28" s="72">
        <f t="shared" si="0"/>
        <v>0</v>
      </c>
      <c r="G28" s="70">
        <f t="shared" si="0"/>
        <v>0</v>
      </c>
      <c r="H28" s="72"/>
      <c r="I28" s="70"/>
      <c r="J28" s="72">
        <f>$D28*'DIA-INCH'!$C27</f>
        <v>0</v>
      </c>
      <c r="K28" s="70">
        <f t="shared" si="1"/>
        <v>0</v>
      </c>
      <c r="L28" s="72">
        <f t="shared" si="2"/>
        <v>0</v>
      </c>
      <c r="M28" s="70">
        <f t="shared" si="2"/>
        <v>0</v>
      </c>
    </row>
    <row r="29" spans="1:13" ht="27.95" customHeight="1">
      <c r="A29" s="68" t="s">
        <v>202</v>
      </c>
      <c r="B29" s="36" t="s">
        <v>171</v>
      </c>
      <c r="C29" s="36" t="s">
        <v>203</v>
      </c>
      <c r="D29" s="69">
        <v>0</v>
      </c>
      <c r="E29" s="70">
        <f>$E$32*'DIA-INCH'!$C5</f>
        <v>12500</v>
      </c>
      <c r="F29" s="70">
        <f t="shared" si="0"/>
        <v>0</v>
      </c>
      <c r="G29" s="70">
        <f t="shared" si="0"/>
        <v>0</v>
      </c>
      <c r="H29" s="68"/>
      <c r="I29" s="70"/>
      <c r="J29" s="70">
        <f>D29</f>
        <v>0</v>
      </c>
      <c r="K29" s="70">
        <f>$J29*$E29</f>
        <v>0</v>
      </c>
      <c r="L29" s="70">
        <f t="shared" si="2"/>
        <v>0</v>
      </c>
      <c r="M29" s="70">
        <f t="shared" si="2"/>
        <v>0</v>
      </c>
    </row>
    <row r="30" spans="1:13" ht="27.95" customHeight="1">
      <c r="A30" s="68" t="s">
        <v>204</v>
      </c>
      <c r="B30" s="36" t="s">
        <v>174</v>
      </c>
      <c r="C30" s="36" t="s">
        <v>203</v>
      </c>
      <c r="D30" s="69"/>
      <c r="E30" s="70">
        <f>$E$32*'DIA-INCH'!$C6</f>
        <v>25000</v>
      </c>
      <c r="F30" s="70">
        <f t="shared" si="0"/>
        <v>0</v>
      </c>
      <c r="G30" s="70">
        <f t="shared" si="0"/>
        <v>0</v>
      </c>
      <c r="H30" s="68"/>
      <c r="I30" s="70"/>
      <c r="J30" s="70">
        <f t="shared" ref="J30:J51" si="3">D30</f>
        <v>0</v>
      </c>
      <c r="K30" s="70">
        <f t="shared" ref="K30:K51" si="4">$J30*$E30</f>
        <v>0</v>
      </c>
      <c r="L30" s="70">
        <f t="shared" si="2"/>
        <v>0</v>
      </c>
      <c r="M30" s="70">
        <f t="shared" si="2"/>
        <v>0</v>
      </c>
    </row>
    <row r="31" spans="1:13" ht="27.95" customHeight="1">
      <c r="A31" s="68" t="s">
        <v>205</v>
      </c>
      <c r="B31" s="36" t="s">
        <v>176</v>
      </c>
      <c r="C31" s="36" t="s">
        <v>203</v>
      </c>
      <c r="D31" s="69"/>
      <c r="E31" s="70">
        <f>$E$32*'DIA-INCH'!$C7</f>
        <v>37500</v>
      </c>
      <c r="F31" s="70">
        <f t="shared" si="0"/>
        <v>0</v>
      </c>
      <c r="G31" s="70">
        <f t="shared" si="0"/>
        <v>0</v>
      </c>
      <c r="H31" s="68"/>
      <c r="I31" s="70"/>
      <c r="J31" s="70">
        <f t="shared" si="3"/>
        <v>0</v>
      </c>
      <c r="K31" s="70">
        <f t="shared" si="4"/>
        <v>0</v>
      </c>
      <c r="L31" s="70">
        <f t="shared" si="2"/>
        <v>0</v>
      </c>
      <c r="M31" s="70">
        <f t="shared" si="2"/>
        <v>0</v>
      </c>
    </row>
    <row r="32" spans="1:13" ht="27.95" customHeight="1">
      <c r="A32" s="68" t="s">
        <v>206</v>
      </c>
      <c r="B32" s="36" t="s">
        <v>177</v>
      </c>
      <c r="C32" s="36" t="s">
        <v>207</v>
      </c>
      <c r="D32" s="69"/>
      <c r="E32" s="70">
        <v>50000</v>
      </c>
      <c r="F32" s="70">
        <f t="shared" si="0"/>
        <v>0</v>
      </c>
      <c r="G32" s="70">
        <f t="shared" si="0"/>
        <v>0</v>
      </c>
      <c r="H32" s="68"/>
      <c r="I32" s="70"/>
      <c r="J32" s="70">
        <f t="shared" si="3"/>
        <v>0</v>
      </c>
      <c r="K32" s="70">
        <f t="shared" si="4"/>
        <v>0</v>
      </c>
      <c r="L32" s="70">
        <f t="shared" si="2"/>
        <v>0</v>
      </c>
      <c r="M32" s="70">
        <f t="shared" si="2"/>
        <v>0</v>
      </c>
    </row>
    <row r="33" spans="1:13" ht="27.95" customHeight="1">
      <c r="A33" s="68" t="s">
        <v>206</v>
      </c>
      <c r="B33" s="36" t="s">
        <v>178</v>
      </c>
      <c r="C33" s="36" t="s">
        <v>203</v>
      </c>
      <c r="D33" s="69"/>
      <c r="E33" s="70">
        <f>$E$32*'DIA-INCH'!$C9</f>
        <v>62500</v>
      </c>
      <c r="F33" s="70">
        <f t="shared" si="0"/>
        <v>0</v>
      </c>
      <c r="G33" s="70">
        <f t="shared" si="0"/>
        <v>0</v>
      </c>
      <c r="H33" s="68"/>
      <c r="I33" s="70"/>
      <c r="J33" s="70">
        <f t="shared" si="3"/>
        <v>0</v>
      </c>
      <c r="K33" s="70">
        <f t="shared" si="4"/>
        <v>0</v>
      </c>
      <c r="L33" s="70">
        <f t="shared" si="2"/>
        <v>0</v>
      </c>
      <c r="M33" s="70">
        <f t="shared" si="2"/>
        <v>0</v>
      </c>
    </row>
    <row r="34" spans="1:13" ht="27.95" customHeight="1">
      <c r="A34" s="68" t="s">
        <v>206</v>
      </c>
      <c r="B34" s="36" t="s">
        <v>179</v>
      </c>
      <c r="C34" s="36" t="s">
        <v>123</v>
      </c>
      <c r="D34" s="69"/>
      <c r="E34" s="70">
        <f>$E$32*'DIA-INCH'!$C10</f>
        <v>75000</v>
      </c>
      <c r="F34" s="70">
        <f t="shared" si="0"/>
        <v>0</v>
      </c>
      <c r="G34" s="70">
        <f t="shared" si="0"/>
        <v>0</v>
      </c>
      <c r="H34" s="68"/>
      <c r="I34" s="70"/>
      <c r="J34" s="70">
        <f t="shared" si="3"/>
        <v>0</v>
      </c>
      <c r="K34" s="70">
        <f t="shared" si="4"/>
        <v>0</v>
      </c>
      <c r="L34" s="70">
        <f t="shared" si="2"/>
        <v>0</v>
      </c>
      <c r="M34" s="70">
        <f t="shared" si="2"/>
        <v>0</v>
      </c>
    </row>
    <row r="35" spans="1:13" ht="27.95" customHeight="1">
      <c r="A35" s="68" t="s">
        <v>206</v>
      </c>
      <c r="B35" s="36" t="s">
        <v>180</v>
      </c>
      <c r="C35" s="36" t="s">
        <v>203</v>
      </c>
      <c r="D35" s="69"/>
      <c r="E35" s="70">
        <f>$E$32*'DIA-INCH'!$C11</f>
        <v>100000</v>
      </c>
      <c r="F35" s="70">
        <f t="shared" si="0"/>
        <v>0</v>
      </c>
      <c r="G35" s="70">
        <f t="shared" si="0"/>
        <v>0</v>
      </c>
      <c r="H35" s="68"/>
      <c r="I35" s="70"/>
      <c r="J35" s="70">
        <f t="shared" si="3"/>
        <v>0</v>
      </c>
      <c r="K35" s="70">
        <f t="shared" si="4"/>
        <v>0</v>
      </c>
      <c r="L35" s="70">
        <f t="shared" si="2"/>
        <v>0</v>
      </c>
      <c r="M35" s="70">
        <f t="shared" si="2"/>
        <v>0</v>
      </c>
    </row>
    <row r="36" spans="1:13" ht="27.95" customHeight="1">
      <c r="A36" s="68" t="s">
        <v>202</v>
      </c>
      <c r="B36" s="36" t="s">
        <v>181</v>
      </c>
      <c r="C36" s="36" t="s">
        <v>123</v>
      </c>
      <c r="D36" s="69"/>
      <c r="E36" s="70">
        <f>$E$32*'DIA-INCH'!$C12</f>
        <v>125000</v>
      </c>
      <c r="F36" s="70">
        <f t="shared" si="0"/>
        <v>0</v>
      </c>
      <c r="G36" s="70">
        <f t="shared" si="0"/>
        <v>0</v>
      </c>
      <c r="H36" s="68"/>
      <c r="I36" s="70"/>
      <c r="J36" s="70">
        <f t="shared" si="3"/>
        <v>0</v>
      </c>
      <c r="K36" s="70">
        <f t="shared" si="4"/>
        <v>0</v>
      </c>
      <c r="L36" s="70">
        <f t="shared" si="2"/>
        <v>0</v>
      </c>
      <c r="M36" s="70">
        <f t="shared" si="2"/>
        <v>0</v>
      </c>
    </row>
    <row r="37" spans="1:13" ht="27.95" customHeight="1">
      <c r="A37" s="68" t="s">
        <v>202</v>
      </c>
      <c r="B37" s="36" t="s">
        <v>182</v>
      </c>
      <c r="C37" s="36" t="s">
        <v>203</v>
      </c>
      <c r="D37" s="69"/>
      <c r="E37" s="70">
        <f>$E$32*'DIA-INCH'!$C13</f>
        <v>150000</v>
      </c>
      <c r="F37" s="70">
        <f t="shared" si="0"/>
        <v>0</v>
      </c>
      <c r="G37" s="70">
        <f t="shared" si="0"/>
        <v>0</v>
      </c>
      <c r="H37" s="68"/>
      <c r="I37" s="70"/>
      <c r="J37" s="70">
        <f t="shared" si="3"/>
        <v>0</v>
      </c>
      <c r="K37" s="70">
        <f t="shared" si="4"/>
        <v>0</v>
      </c>
      <c r="L37" s="70">
        <f t="shared" si="2"/>
        <v>0</v>
      </c>
      <c r="M37" s="70">
        <f t="shared" si="2"/>
        <v>0</v>
      </c>
    </row>
    <row r="38" spans="1:13" ht="27.95" customHeight="1">
      <c r="A38" s="68" t="s">
        <v>204</v>
      </c>
      <c r="B38" s="36" t="s">
        <v>184</v>
      </c>
      <c r="C38" s="36" t="s">
        <v>203</v>
      </c>
      <c r="D38" s="69"/>
      <c r="E38" s="70">
        <f>$E$32*'DIA-INCH'!$C14</f>
        <v>200000</v>
      </c>
      <c r="F38" s="70">
        <f t="shared" si="0"/>
        <v>0</v>
      </c>
      <c r="G38" s="70">
        <f t="shared" si="0"/>
        <v>0</v>
      </c>
      <c r="H38" s="68"/>
      <c r="I38" s="70"/>
      <c r="J38" s="70">
        <f t="shared" si="3"/>
        <v>0</v>
      </c>
      <c r="K38" s="70">
        <f t="shared" si="4"/>
        <v>0</v>
      </c>
      <c r="L38" s="70">
        <f t="shared" si="2"/>
        <v>0</v>
      </c>
      <c r="M38" s="70">
        <f t="shared" si="2"/>
        <v>0</v>
      </c>
    </row>
    <row r="39" spans="1:13" ht="27.95" customHeight="1">
      <c r="A39" s="68" t="s">
        <v>202</v>
      </c>
      <c r="B39" s="36" t="s">
        <v>185</v>
      </c>
      <c r="C39" s="36" t="s">
        <v>208</v>
      </c>
      <c r="D39" s="69"/>
      <c r="E39" s="70">
        <f>$E$32*'DIA-INCH'!$C15</f>
        <v>200000</v>
      </c>
      <c r="F39" s="70">
        <f t="shared" si="0"/>
        <v>0</v>
      </c>
      <c r="G39" s="70">
        <f t="shared" si="0"/>
        <v>0</v>
      </c>
      <c r="H39" s="68"/>
      <c r="I39" s="70"/>
      <c r="J39" s="70">
        <f t="shared" si="3"/>
        <v>0</v>
      </c>
      <c r="K39" s="70">
        <f t="shared" si="4"/>
        <v>0</v>
      </c>
      <c r="L39" s="70">
        <f t="shared" si="2"/>
        <v>0</v>
      </c>
      <c r="M39" s="70">
        <f t="shared" si="2"/>
        <v>0</v>
      </c>
    </row>
    <row r="40" spans="1:13" ht="27.95" customHeight="1">
      <c r="A40" s="68" t="s">
        <v>202</v>
      </c>
      <c r="B40" s="36" t="s">
        <v>186</v>
      </c>
      <c r="C40" s="36" t="s">
        <v>209</v>
      </c>
      <c r="D40" s="69"/>
      <c r="E40" s="70">
        <f>$E$32*'DIA-INCH'!$C16</f>
        <v>250000</v>
      </c>
      <c r="F40" s="70">
        <f t="shared" si="0"/>
        <v>0</v>
      </c>
      <c r="G40" s="70">
        <f t="shared" si="0"/>
        <v>0</v>
      </c>
      <c r="H40" s="68"/>
      <c r="I40" s="70"/>
      <c r="J40" s="70">
        <f t="shared" si="3"/>
        <v>0</v>
      </c>
      <c r="K40" s="70">
        <f t="shared" si="4"/>
        <v>0</v>
      </c>
      <c r="L40" s="70">
        <f t="shared" si="2"/>
        <v>0</v>
      </c>
      <c r="M40" s="70">
        <f t="shared" si="2"/>
        <v>0</v>
      </c>
    </row>
    <row r="41" spans="1:13" ht="27.95" customHeight="1">
      <c r="A41" s="68" t="s">
        <v>202</v>
      </c>
      <c r="B41" s="36" t="s">
        <v>187</v>
      </c>
      <c r="C41" s="36" t="s">
        <v>203</v>
      </c>
      <c r="D41" s="69"/>
      <c r="E41" s="70">
        <f>$E$32*'DIA-INCH'!$C17</f>
        <v>300000</v>
      </c>
      <c r="F41" s="70">
        <f t="shared" si="0"/>
        <v>0</v>
      </c>
      <c r="G41" s="70">
        <f t="shared" si="0"/>
        <v>0</v>
      </c>
      <c r="H41" s="68"/>
      <c r="I41" s="70"/>
      <c r="J41" s="70">
        <f t="shared" si="3"/>
        <v>0</v>
      </c>
      <c r="K41" s="70">
        <f t="shared" si="4"/>
        <v>0</v>
      </c>
      <c r="L41" s="70">
        <f t="shared" si="2"/>
        <v>0</v>
      </c>
      <c r="M41" s="70">
        <f t="shared" si="2"/>
        <v>0</v>
      </c>
    </row>
    <row r="42" spans="1:13" ht="27.95" customHeight="1">
      <c r="A42" s="68" t="s">
        <v>202</v>
      </c>
      <c r="B42" s="36" t="s">
        <v>188</v>
      </c>
      <c r="C42" s="36" t="s">
        <v>123</v>
      </c>
      <c r="D42" s="69"/>
      <c r="E42" s="70">
        <f>$E$32*'DIA-INCH'!$C18</f>
        <v>350000</v>
      </c>
      <c r="F42" s="70">
        <f t="shared" si="0"/>
        <v>0</v>
      </c>
      <c r="G42" s="70">
        <f t="shared" si="0"/>
        <v>0</v>
      </c>
      <c r="H42" s="68"/>
      <c r="I42" s="70"/>
      <c r="J42" s="70">
        <f t="shared" si="3"/>
        <v>0</v>
      </c>
      <c r="K42" s="70">
        <f t="shared" si="4"/>
        <v>0</v>
      </c>
      <c r="L42" s="70">
        <f t="shared" si="2"/>
        <v>0</v>
      </c>
      <c r="M42" s="70">
        <f t="shared" si="2"/>
        <v>0</v>
      </c>
    </row>
    <row r="43" spans="1:13" ht="27.95" customHeight="1">
      <c r="A43" s="68" t="s">
        <v>202</v>
      </c>
      <c r="B43" s="36" t="s">
        <v>189</v>
      </c>
      <c r="C43" s="36" t="s">
        <v>203</v>
      </c>
      <c r="D43" s="69"/>
      <c r="E43" s="70">
        <f>$E$32*'DIA-INCH'!$C19</f>
        <v>400000</v>
      </c>
      <c r="F43" s="70">
        <f t="shared" si="0"/>
        <v>0</v>
      </c>
      <c r="G43" s="70">
        <f t="shared" si="0"/>
        <v>0</v>
      </c>
      <c r="H43" s="68"/>
      <c r="I43" s="70"/>
      <c r="J43" s="70">
        <f t="shared" si="3"/>
        <v>0</v>
      </c>
      <c r="K43" s="70">
        <f t="shared" si="4"/>
        <v>0</v>
      </c>
      <c r="L43" s="70">
        <f t="shared" si="2"/>
        <v>0</v>
      </c>
      <c r="M43" s="70">
        <f t="shared" si="2"/>
        <v>0</v>
      </c>
    </row>
    <row r="44" spans="1:13" ht="27.95" customHeight="1">
      <c r="A44" s="68" t="s">
        <v>202</v>
      </c>
      <c r="B44" s="36" t="s">
        <v>190</v>
      </c>
      <c r="C44" s="36" t="s">
        <v>203</v>
      </c>
      <c r="D44" s="69"/>
      <c r="E44" s="70">
        <f>$E$32*'DIA-INCH'!$C20</f>
        <v>450000</v>
      </c>
      <c r="F44" s="70">
        <f t="shared" si="0"/>
        <v>0</v>
      </c>
      <c r="G44" s="70">
        <f t="shared" si="0"/>
        <v>0</v>
      </c>
      <c r="H44" s="68"/>
      <c r="I44" s="70"/>
      <c r="J44" s="70">
        <f t="shared" si="3"/>
        <v>0</v>
      </c>
      <c r="K44" s="70">
        <f t="shared" si="4"/>
        <v>0</v>
      </c>
      <c r="L44" s="70">
        <f t="shared" si="2"/>
        <v>0</v>
      </c>
      <c r="M44" s="70">
        <f t="shared" si="2"/>
        <v>0</v>
      </c>
    </row>
    <row r="45" spans="1:13" ht="27.95" customHeight="1">
      <c r="A45" s="68" t="s">
        <v>202</v>
      </c>
      <c r="B45" s="36" t="s">
        <v>191</v>
      </c>
      <c r="C45" s="36" t="s">
        <v>123</v>
      </c>
      <c r="D45" s="69"/>
      <c r="E45" s="70">
        <f>$E$32*'DIA-INCH'!$C21</f>
        <v>500000</v>
      </c>
      <c r="F45" s="70">
        <f t="shared" si="0"/>
        <v>0</v>
      </c>
      <c r="G45" s="70">
        <f t="shared" si="0"/>
        <v>0</v>
      </c>
      <c r="H45" s="68"/>
      <c r="I45" s="70"/>
      <c r="J45" s="70">
        <f t="shared" si="3"/>
        <v>0</v>
      </c>
      <c r="K45" s="70">
        <f t="shared" si="4"/>
        <v>0</v>
      </c>
      <c r="L45" s="70">
        <f t="shared" si="2"/>
        <v>0</v>
      </c>
      <c r="M45" s="70">
        <f t="shared" si="2"/>
        <v>0</v>
      </c>
    </row>
    <row r="46" spans="1:13" ht="27.95" customHeight="1">
      <c r="A46" s="68" t="s">
        <v>204</v>
      </c>
      <c r="B46" s="36" t="s">
        <v>193</v>
      </c>
      <c r="C46" s="36" t="s">
        <v>123</v>
      </c>
      <c r="D46" s="69"/>
      <c r="E46" s="70">
        <f>$E$32*'DIA-INCH'!$C22</f>
        <v>600000</v>
      </c>
      <c r="F46" s="70">
        <f t="shared" si="0"/>
        <v>0</v>
      </c>
      <c r="G46" s="70">
        <f t="shared" si="0"/>
        <v>0</v>
      </c>
      <c r="H46" s="68"/>
      <c r="I46" s="70"/>
      <c r="J46" s="70">
        <f t="shared" si="3"/>
        <v>0</v>
      </c>
      <c r="K46" s="70">
        <f t="shared" si="4"/>
        <v>0</v>
      </c>
      <c r="L46" s="70">
        <f t="shared" si="2"/>
        <v>0</v>
      </c>
      <c r="M46" s="70">
        <f t="shared" si="2"/>
        <v>0</v>
      </c>
    </row>
    <row r="47" spans="1:13" ht="27.95" customHeight="1">
      <c r="A47" s="68" t="s">
        <v>202</v>
      </c>
      <c r="B47" s="36" t="s">
        <v>196</v>
      </c>
      <c r="C47" s="36" t="s">
        <v>203</v>
      </c>
      <c r="D47" s="69"/>
      <c r="E47" s="70">
        <f>$E$32*'DIA-INCH'!$C23</f>
        <v>700000</v>
      </c>
      <c r="F47" s="70">
        <f t="shared" si="0"/>
        <v>0</v>
      </c>
      <c r="G47" s="70">
        <f t="shared" si="0"/>
        <v>0</v>
      </c>
      <c r="H47" s="68"/>
      <c r="I47" s="70"/>
      <c r="J47" s="70">
        <f t="shared" si="3"/>
        <v>0</v>
      </c>
      <c r="K47" s="70">
        <f t="shared" si="4"/>
        <v>0</v>
      </c>
      <c r="L47" s="70">
        <f t="shared" si="2"/>
        <v>0</v>
      </c>
      <c r="M47" s="70">
        <f t="shared" si="2"/>
        <v>0</v>
      </c>
    </row>
    <row r="48" spans="1:13" ht="27.95" customHeight="1">
      <c r="A48" s="68" t="s">
        <v>202</v>
      </c>
      <c r="B48" s="36" t="s">
        <v>197</v>
      </c>
      <c r="C48" s="36" t="s">
        <v>208</v>
      </c>
      <c r="D48" s="69"/>
      <c r="E48" s="70">
        <f>$E$32*'DIA-INCH'!$C24</f>
        <v>800000</v>
      </c>
      <c r="F48" s="70">
        <f t="shared" si="0"/>
        <v>0</v>
      </c>
      <c r="G48" s="70">
        <f t="shared" si="0"/>
        <v>0</v>
      </c>
      <c r="H48" s="68"/>
      <c r="I48" s="70"/>
      <c r="J48" s="70">
        <f t="shared" si="3"/>
        <v>0</v>
      </c>
      <c r="K48" s="70">
        <f t="shared" si="4"/>
        <v>0</v>
      </c>
      <c r="L48" s="70">
        <f t="shared" si="2"/>
        <v>0</v>
      </c>
      <c r="M48" s="70">
        <f t="shared" si="2"/>
        <v>0</v>
      </c>
    </row>
    <row r="49" spans="1:13" ht="27.95" customHeight="1">
      <c r="A49" s="68" t="s">
        <v>205</v>
      </c>
      <c r="B49" s="36" t="s">
        <v>198</v>
      </c>
      <c r="C49" s="36" t="s">
        <v>203</v>
      </c>
      <c r="D49" s="69"/>
      <c r="E49" s="70">
        <f>$E$32*'DIA-INCH'!$C25</f>
        <v>900000</v>
      </c>
      <c r="F49" s="70">
        <f t="shared" si="0"/>
        <v>0</v>
      </c>
      <c r="G49" s="70">
        <f t="shared" si="0"/>
        <v>0</v>
      </c>
      <c r="H49" s="68"/>
      <c r="I49" s="70"/>
      <c r="J49" s="70">
        <f t="shared" si="3"/>
        <v>0</v>
      </c>
      <c r="K49" s="70">
        <f t="shared" si="4"/>
        <v>0</v>
      </c>
      <c r="L49" s="70">
        <f t="shared" si="2"/>
        <v>0</v>
      </c>
      <c r="M49" s="70">
        <f t="shared" si="2"/>
        <v>0</v>
      </c>
    </row>
    <row r="50" spans="1:13" ht="27.95" customHeight="1">
      <c r="A50" s="68" t="s">
        <v>202</v>
      </c>
      <c r="B50" s="36" t="s">
        <v>200</v>
      </c>
      <c r="C50" s="36" t="s">
        <v>203</v>
      </c>
      <c r="D50" s="69"/>
      <c r="E50" s="70">
        <f>$E$32*'DIA-INCH'!$C26</f>
        <v>1000000</v>
      </c>
      <c r="F50" s="70">
        <f t="shared" si="0"/>
        <v>0</v>
      </c>
      <c r="G50" s="70">
        <f t="shared" si="0"/>
        <v>0</v>
      </c>
      <c r="H50" s="68"/>
      <c r="I50" s="70"/>
      <c r="J50" s="70">
        <f t="shared" si="3"/>
        <v>0</v>
      </c>
      <c r="K50" s="70">
        <f t="shared" si="4"/>
        <v>0</v>
      </c>
      <c r="L50" s="70">
        <f t="shared" si="2"/>
        <v>0</v>
      </c>
      <c r="M50" s="70">
        <f t="shared" si="2"/>
        <v>0</v>
      </c>
    </row>
    <row r="51" spans="1:13" ht="27.95" customHeight="1">
      <c r="A51" s="68" t="s">
        <v>205</v>
      </c>
      <c r="B51" s="36" t="s">
        <v>201</v>
      </c>
      <c r="C51" s="36" t="s">
        <v>208</v>
      </c>
      <c r="D51" s="69"/>
      <c r="E51" s="70">
        <f>$E$32*'DIA-INCH'!$C27</f>
        <v>1100000</v>
      </c>
      <c r="F51" s="70">
        <f t="shared" si="0"/>
        <v>0</v>
      </c>
      <c r="G51" s="70">
        <f t="shared" si="0"/>
        <v>0</v>
      </c>
      <c r="H51" s="68"/>
      <c r="I51" s="70"/>
      <c r="J51" s="70">
        <f t="shared" si="3"/>
        <v>0</v>
      </c>
      <c r="K51" s="70">
        <f t="shared" si="4"/>
        <v>0</v>
      </c>
      <c r="L51" s="70">
        <f t="shared" si="2"/>
        <v>0</v>
      </c>
      <c r="M51" s="70">
        <f t="shared" si="2"/>
        <v>0</v>
      </c>
    </row>
    <row r="52" spans="1:13" ht="27.95" customHeight="1">
      <c r="A52" s="268" t="s">
        <v>210</v>
      </c>
      <c r="B52" s="269"/>
      <c r="C52" s="269"/>
      <c r="D52" s="269"/>
      <c r="E52" s="270"/>
      <c r="F52" s="121">
        <f>SUM(F6:F51)</f>
        <v>6434.5</v>
      </c>
      <c r="G52" s="71">
        <f t="shared" ref="G52:M52" si="5">SUM(G6:G51)</f>
        <v>3056387500</v>
      </c>
      <c r="H52" s="121">
        <f t="shared" si="5"/>
        <v>3423.5</v>
      </c>
      <c r="I52" s="71">
        <f t="shared" si="5"/>
        <v>1626162500</v>
      </c>
      <c r="J52" s="121">
        <f>SUM(J6:J51)</f>
        <v>3011</v>
      </c>
      <c r="K52" s="71">
        <f t="shared" si="5"/>
        <v>1430225000</v>
      </c>
      <c r="L52" s="121">
        <f t="shared" si="5"/>
        <v>6434.5</v>
      </c>
      <c r="M52" s="71">
        <f t="shared" si="5"/>
        <v>3056387500</v>
      </c>
    </row>
  </sheetData>
  <autoFilter ref="A5:M52" xr:uid="{10522A8F-FD76-48C9-9226-3D4E4FB63175}"/>
  <mergeCells count="11">
    <mergeCell ref="A52:E52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30" orientation="landscape" r:id="rId1"/>
  <rowBreaks count="1" manualBreakCount="1">
    <brk id="28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87"/>
  <sheetViews>
    <sheetView view="pageBreakPreview" topLeftCell="F174" zoomScale="70" zoomScaleNormal="70" zoomScaleSheetLayoutView="70" workbookViewId="0">
      <selection activeCell="K20" sqref="K20"/>
    </sheetView>
  </sheetViews>
  <sheetFormatPr defaultRowHeight="16.5"/>
  <cols>
    <col min="1" max="1" width="6.375" style="73" bestFit="1" customWidth="1"/>
    <col min="2" max="2" width="9.25" style="73" customWidth="1"/>
    <col min="3" max="3" width="18.125" style="73" customWidth="1"/>
    <col min="4" max="4" width="18.625" style="73" bestFit="1" customWidth="1"/>
    <col min="5" max="5" width="18.125" style="73" customWidth="1"/>
    <col min="6" max="6" width="11.125" style="73" customWidth="1"/>
    <col min="7" max="7" width="9.375" style="74" customWidth="1"/>
    <col min="8" max="8" width="21.625" style="74" customWidth="1"/>
    <col min="9" max="39" width="7.625" style="73" customWidth="1"/>
    <col min="40" max="40" width="11.875" style="73" customWidth="1"/>
    <col min="41" max="41" width="15.875" style="107" bestFit="1" customWidth="1"/>
    <col min="42" max="42" width="18.25" style="109" bestFit="1" customWidth="1"/>
  </cols>
  <sheetData>
    <row r="1" spans="1:42" ht="32.1" customHeight="1">
      <c r="A1" s="286" t="s">
        <v>981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8"/>
      <c r="AH1" s="277" t="s">
        <v>211</v>
      </c>
      <c r="AI1" s="278"/>
      <c r="AJ1" s="278"/>
      <c r="AK1" s="278"/>
      <c r="AL1" s="279"/>
      <c r="AM1" s="274" t="str">
        <f>'용역청구서 표지'!$B$7</f>
        <v>P4 Ph2 GAS&amp;PCW 1공구</v>
      </c>
      <c r="AN1" s="275"/>
      <c r="AO1" s="275"/>
      <c r="AP1" s="276"/>
    </row>
    <row r="2" spans="1:42" ht="32.1" customHeight="1">
      <c r="A2" s="289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1"/>
      <c r="AH2" s="277" t="s">
        <v>212</v>
      </c>
      <c r="AI2" s="278"/>
      <c r="AJ2" s="278"/>
      <c r="AK2" s="278"/>
      <c r="AL2" s="279"/>
      <c r="AM2" s="274" t="s">
        <v>337</v>
      </c>
      <c r="AN2" s="275"/>
      <c r="AO2" s="275"/>
      <c r="AP2" s="276"/>
    </row>
    <row r="3" spans="1:42" ht="32.1" customHeight="1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4"/>
      <c r="AH3" s="277" t="s">
        <v>213</v>
      </c>
      <c r="AI3" s="278"/>
      <c r="AJ3" s="278"/>
      <c r="AK3" s="278"/>
      <c r="AL3" s="279"/>
      <c r="AM3" s="274" t="str">
        <f>'용역청구서 표지'!$C$8</f>
        <v>S26-001</v>
      </c>
      <c r="AN3" s="275"/>
      <c r="AO3" s="275"/>
      <c r="AP3" s="276"/>
    </row>
    <row r="4" spans="1:42" ht="24.95" customHeight="1" thickBot="1">
      <c r="AH4" s="75"/>
      <c r="AI4" s="75"/>
      <c r="AJ4" s="75"/>
      <c r="AK4" s="75"/>
      <c r="AL4" s="75"/>
      <c r="AM4" s="75"/>
      <c r="AN4" s="75"/>
      <c r="AO4" s="76"/>
      <c r="AP4" s="77"/>
    </row>
    <row r="5" spans="1:42" ht="24.95" customHeight="1" thickBot="1">
      <c r="A5" s="78" t="s">
        <v>214</v>
      </c>
      <c r="B5" s="79" t="s">
        <v>215</v>
      </c>
      <c r="C5" s="79" t="s">
        <v>216</v>
      </c>
      <c r="D5" s="79" t="s">
        <v>217</v>
      </c>
      <c r="E5" s="79" t="s">
        <v>218</v>
      </c>
      <c r="F5" s="79" t="s">
        <v>219</v>
      </c>
      <c r="G5" s="80" t="s">
        <v>220</v>
      </c>
      <c r="H5" s="81" t="s">
        <v>221</v>
      </c>
      <c r="I5" s="127">
        <v>1</v>
      </c>
      <c r="J5" s="127">
        <v>2</v>
      </c>
      <c r="K5" s="127">
        <v>3</v>
      </c>
      <c r="L5" s="127">
        <v>4</v>
      </c>
      <c r="M5" s="127">
        <v>5</v>
      </c>
      <c r="N5" s="127">
        <v>6</v>
      </c>
      <c r="O5" s="127">
        <v>7</v>
      </c>
      <c r="P5" s="127">
        <v>8</v>
      </c>
      <c r="Q5" s="127">
        <v>9</v>
      </c>
      <c r="R5" s="127">
        <v>10</v>
      </c>
      <c r="S5" s="127">
        <v>11</v>
      </c>
      <c r="T5" s="127">
        <v>12</v>
      </c>
      <c r="U5" s="127">
        <v>13</v>
      </c>
      <c r="V5" s="127">
        <v>14</v>
      </c>
      <c r="W5" s="127">
        <v>15</v>
      </c>
      <c r="X5" s="127">
        <v>16</v>
      </c>
      <c r="Y5" s="127">
        <v>17</v>
      </c>
      <c r="Z5" s="127">
        <v>18</v>
      </c>
      <c r="AA5" s="127">
        <v>19</v>
      </c>
      <c r="AB5" s="127">
        <v>20</v>
      </c>
      <c r="AC5" s="127">
        <v>21</v>
      </c>
      <c r="AD5" s="127">
        <v>22</v>
      </c>
      <c r="AE5" s="127">
        <v>23</v>
      </c>
      <c r="AF5" s="127">
        <v>24</v>
      </c>
      <c r="AG5" s="127">
        <v>25</v>
      </c>
      <c r="AH5" s="127">
        <v>26</v>
      </c>
      <c r="AI5" s="127">
        <v>27</v>
      </c>
      <c r="AJ5" s="127">
        <v>28</v>
      </c>
      <c r="AK5" s="127">
        <v>29</v>
      </c>
      <c r="AL5" s="127">
        <v>30</v>
      </c>
      <c r="AM5" s="127">
        <v>31</v>
      </c>
      <c r="AN5" s="82" t="s">
        <v>222</v>
      </c>
      <c r="AO5" s="79" t="s">
        <v>223</v>
      </c>
      <c r="AP5" s="83" t="s">
        <v>224</v>
      </c>
    </row>
    <row r="6" spans="1:42" ht="24.95" customHeight="1">
      <c r="A6" s="84">
        <v>1</v>
      </c>
      <c r="B6" s="84" t="s">
        <v>982</v>
      </c>
      <c r="C6" s="85" t="s">
        <v>1031</v>
      </c>
      <c r="D6" s="36" t="s">
        <v>1080</v>
      </c>
      <c r="E6" s="36" t="s">
        <v>1084</v>
      </c>
      <c r="F6" s="86" t="s">
        <v>230</v>
      </c>
      <c r="G6" s="87" t="s">
        <v>982</v>
      </c>
      <c r="H6" s="88" t="s">
        <v>1133</v>
      </c>
      <c r="I6" s="89"/>
      <c r="J6" s="89"/>
      <c r="K6" s="89"/>
      <c r="L6" s="89"/>
      <c r="M6" s="89"/>
      <c r="N6" s="89">
        <v>0.6875</v>
      </c>
      <c r="O6" s="89"/>
      <c r="P6" s="89"/>
      <c r="Q6" s="89"/>
      <c r="R6" s="89"/>
      <c r="S6" s="89"/>
      <c r="T6" s="89"/>
      <c r="U6" s="89"/>
      <c r="V6" s="89"/>
      <c r="W6" s="89">
        <v>0.5</v>
      </c>
      <c r="X6" s="89">
        <v>1</v>
      </c>
      <c r="Y6" s="89">
        <v>1.3125</v>
      </c>
      <c r="Z6" s="89"/>
      <c r="AA6" s="89"/>
      <c r="AB6" s="89">
        <v>1</v>
      </c>
      <c r="AC6" s="89">
        <v>1.5</v>
      </c>
      <c r="AD6" s="89">
        <v>1</v>
      </c>
      <c r="AE6" s="89">
        <v>1.5</v>
      </c>
      <c r="AF6" s="89">
        <v>1</v>
      </c>
      <c r="AG6" s="89"/>
      <c r="AH6" s="89"/>
      <c r="AI6" s="89">
        <v>2</v>
      </c>
      <c r="AJ6" s="89">
        <v>2.25</v>
      </c>
      <c r="AK6" s="89">
        <v>2</v>
      </c>
      <c r="AL6" s="89">
        <v>2</v>
      </c>
      <c r="AM6" s="89">
        <v>2</v>
      </c>
      <c r="AN6" s="90">
        <f>SUM(I6:AM6)</f>
        <v>19.75</v>
      </c>
      <c r="AO6" s="86">
        <v>180000</v>
      </c>
      <c r="AP6" s="91">
        <f>AN6*AO6</f>
        <v>3555000</v>
      </c>
    </row>
    <row r="7" spans="1:42" ht="24.95" customHeight="1">
      <c r="A7" s="84">
        <v>2</v>
      </c>
      <c r="B7" s="84" t="s">
        <v>559</v>
      </c>
      <c r="C7" s="85" t="s">
        <v>589</v>
      </c>
      <c r="D7" s="36" t="s">
        <v>1080</v>
      </c>
      <c r="E7" s="126" t="s">
        <v>618</v>
      </c>
      <c r="F7" s="94" t="s">
        <v>297</v>
      </c>
      <c r="G7" s="87" t="s">
        <v>559</v>
      </c>
      <c r="H7" s="88" t="s">
        <v>648</v>
      </c>
      <c r="I7" s="89">
        <v>2</v>
      </c>
      <c r="J7" s="89">
        <v>2</v>
      </c>
      <c r="K7" s="89"/>
      <c r="L7" s="89"/>
      <c r="M7" s="89"/>
      <c r="N7" s="89">
        <v>2</v>
      </c>
      <c r="O7" s="89">
        <v>2</v>
      </c>
      <c r="P7" s="89">
        <v>2</v>
      </c>
      <c r="Q7" s="89">
        <v>2</v>
      </c>
      <c r="R7" s="89">
        <v>2</v>
      </c>
      <c r="S7" s="89"/>
      <c r="T7" s="89"/>
      <c r="U7" s="89">
        <v>2</v>
      </c>
      <c r="V7" s="89">
        <v>2</v>
      </c>
      <c r="W7" s="89">
        <v>2</v>
      </c>
      <c r="X7" s="89">
        <v>2</v>
      </c>
      <c r="Y7" s="89"/>
      <c r="Z7" s="89"/>
      <c r="AA7" s="89"/>
      <c r="AB7" s="89">
        <v>2</v>
      </c>
      <c r="AC7" s="89">
        <v>2</v>
      </c>
      <c r="AD7" s="89"/>
      <c r="AE7" s="89">
        <v>2</v>
      </c>
      <c r="AF7" s="89">
        <v>2</v>
      </c>
      <c r="AG7" s="89"/>
      <c r="AH7" s="89"/>
      <c r="AI7" s="89">
        <v>2</v>
      </c>
      <c r="AJ7" s="89">
        <v>2</v>
      </c>
      <c r="AK7" s="89">
        <v>2</v>
      </c>
      <c r="AL7" s="89">
        <v>2</v>
      </c>
      <c r="AM7" s="89">
        <v>2</v>
      </c>
      <c r="AN7" s="90">
        <f t="shared" ref="AN7:AN15" si="0">SUM(I7:AM7)</f>
        <v>40</v>
      </c>
      <c r="AO7" s="86">
        <v>240000</v>
      </c>
      <c r="AP7" s="91">
        <f t="shared" ref="AP7:AP15" si="1">AN7*AO7</f>
        <v>9600000</v>
      </c>
    </row>
    <row r="8" spans="1:42" ht="24.95" customHeight="1">
      <c r="A8" s="84">
        <v>3</v>
      </c>
      <c r="B8" s="84" t="s">
        <v>983</v>
      </c>
      <c r="C8" s="85" t="s">
        <v>1032</v>
      </c>
      <c r="D8" s="36" t="s">
        <v>225</v>
      </c>
      <c r="E8" s="36" t="s">
        <v>1085</v>
      </c>
      <c r="F8" s="94" t="s">
        <v>226</v>
      </c>
      <c r="G8" s="87" t="s">
        <v>983</v>
      </c>
      <c r="H8" s="88" t="s">
        <v>1134</v>
      </c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>
        <v>0.6875</v>
      </c>
      <c r="V8" s="89">
        <v>1.125</v>
      </c>
      <c r="W8" s="89"/>
      <c r="X8" s="89">
        <v>0.625</v>
      </c>
      <c r="Y8" s="89">
        <v>1.5</v>
      </c>
      <c r="Z8" s="89"/>
      <c r="AA8" s="89"/>
      <c r="AB8" s="89"/>
      <c r="AC8" s="89">
        <v>1.5</v>
      </c>
      <c r="AD8" s="89">
        <v>1</v>
      </c>
      <c r="AE8" s="89">
        <v>1.5</v>
      </c>
      <c r="AF8" s="89">
        <v>1</v>
      </c>
      <c r="AG8" s="89">
        <v>1</v>
      </c>
      <c r="AH8" s="89"/>
      <c r="AI8" s="89"/>
      <c r="AJ8" s="89">
        <v>1.5</v>
      </c>
      <c r="AK8" s="89">
        <v>1</v>
      </c>
      <c r="AL8" s="89">
        <v>1.5</v>
      </c>
      <c r="AM8" s="89">
        <v>1</v>
      </c>
      <c r="AN8" s="90">
        <f t="shared" si="0"/>
        <v>14.9375</v>
      </c>
      <c r="AO8" s="86">
        <v>160000</v>
      </c>
      <c r="AP8" s="91">
        <f t="shared" si="1"/>
        <v>2390000</v>
      </c>
    </row>
    <row r="9" spans="1:42" ht="24.95" customHeight="1">
      <c r="A9" s="84">
        <v>4</v>
      </c>
      <c r="B9" s="84" t="s">
        <v>712</v>
      </c>
      <c r="C9" s="85" t="s">
        <v>773</v>
      </c>
      <c r="D9" s="36" t="s">
        <v>228</v>
      </c>
      <c r="E9" s="126" t="s">
        <v>835</v>
      </c>
      <c r="F9" s="94" t="s">
        <v>304</v>
      </c>
      <c r="G9" s="87" t="s">
        <v>712</v>
      </c>
      <c r="H9" s="88" t="s">
        <v>896</v>
      </c>
      <c r="I9" s="89">
        <v>2</v>
      </c>
      <c r="J9" s="89">
        <v>2</v>
      </c>
      <c r="K9" s="89">
        <v>2</v>
      </c>
      <c r="L9" s="89"/>
      <c r="M9" s="89"/>
      <c r="N9" s="89">
        <v>2</v>
      </c>
      <c r="O9" s="89">
        <v>2</v>
      </c>
      <c r="P9" s="89">
        <v>2</v>
      </c>
      <c r="Q9" s="89">
        <v>2</v>
      </c>
      <c r="R9" s="89">
        <v>2</v>
      </c>
      <c r="S9" s="89"/>
      <c r="T9" s="89"/>
      <c r="U9" s="89">
        <v>2</v>
      </c>
      <c r="V9" s="89">
        <v>2</v>
      </c>
      <c r="W9" s="89">
        <v>2</v>
      </c>
      <c r="X9" s="89">
        <v>2</v>
      </c>
      <c r="Y9" s="89"/>
      <c r="Z9" s="89"/>
      <c r="AA9" s="89"/>
      <c r="AB9" s="89"/>
      <c r="AC9" s="89">
        <v>2</v>
      </c>
      <c r="AD9" s="89">
        <v>2</v>
      </c>
      <c r="AE9" s="89">
        <v>2</v>
      </c>
      <c r="AF9" s="89">
        <v>2</v>
      </c>
      <c r="AG9" s="89"/>
      <c r="AH9" s="89"/>
      <c r="AI9" s="89">
        <v>2</v>
      </c>
      <c r="AJ9" s="89">
        <v>2</v>
      </c>
      <c r="AK9" s="89">
        <v>2</v>
      </c>
      <c r="AL9" s="89">
        <v>2</v>
      </c>
      <c r="AM9" s="89">
        <v>2</v>
      </c>
      <c r="AN9" s="90">
        <f t="shared" si="0"/>
        <v>42</v>
      </c>
      <c r="AO9" s="86">
        <v>210000</v>
      </c>
      <c r="AP9" s="91">
        <f t="shared" si="1"/>
        <v>8820000</v>
      </c>
    </row>
    <row r="10" spans="1:42" ht="24.95" customHeight="1">
      <c r="A10" s="84">
        <v>5</v>
      </c>
      <c r="B10" s="84" t="s">
        <v>713</v>
      </c>
      <c r="C10" s="85" t="s">
        <v>774</v>
      </c>
      <c r="D10" s="36" t="s">
        <v>225</v>
      </c>
      <c r="E10" s="126" t="s">
        <v>836</v>
      </c>
      <c r="F10" s="94" t="s">
        <v>229</v>
      </c>
      <c r="G10" s="87" t="s">
        <v>713</v>
      </c>
      <c r="H10" s="88" t="s">
        <v>897</v>
      </c>
      <c r="I10" s="89">
        <v>2</v>
      </c>
      <c r="J10" s="89">
        <v>2</v>
      </c>
      <c r="K10" s="89">
        <v>2</v>
      </c>
      <c r="L10" s="89"/>
      <c r="M10" s="89"/>
      <c r="N10" s="89">
        <v>2</v>
      </c>
      <c r="O10" s="89">
        <v>2</v>
      </c>
      <c r="P10" s="89">
        <v>2</v>
      </c>
      <c r="Q10" s="89">
        <v>2</v>
      </c>
      <c r="R10" s="89">
        <v>2</v>
      </c>
      <c r="S10" s="89"/>
      <c r="T10" s="89"/>
      <c r="U10" s="89">
        <v>2</v>
      </c>
      <c r="V10" s="89">
        <v>2</v>
      </c>
      <c r="W10" s="89">
        <v>2</v>
      </c>
      <c r="X10" s="89">
        <v>2</v>
      </c>
      <c r="Y10" s="89"/>
      <c r="Z10" s="89"/>
      <c r="AA10" s="89"/>
      <c r="AB10" s="89">
        <v>2</v>
      </c>
      <c r="AC10" s="89">
        <v>2</v>
      </c>
      <c r="AD10" s="89">
        <v>2</v>
      </c>
      <c r="AE10" s="89">
        <v>2</v>
      </c>
      <c r="AF10" s="89">
        <v>2</v>
      </c>
      <c r="AG10" s="89"/>
      <c r="AH10" s="89"/>
      <c r="AI10" s="89">
        <v>2</v>
      </c>
      <c r="AJ10" s="89">
        <v>2</v>
      </c>
      <c r="AK10" s="89">
        <v>2</v>
      </c>
      <c r="AL10" s="89">
        <v>2</v>
      </c>
      <c r="AM10" s="89">
        <v>2</v>
      </c>
      <c r="AN10" s="90">
        <f t="shared" si="0"/>
        <v>44</v>
      </c>
      <c r="AO10" s="86">
        <v>160000</v>
      </c>
      <c r="AP10" s="91">
        <f t="shared" si="1"/>
        <v>7040000</v>
      </c>
    </row>
    <row r="11" spans="1:42" ht="24.95" customHeight="1">
      <c r="A11" s="84">
        <v>6</v>
      </c>
      <c r="B11" s="84" t="s">
        <v>439</v>
      </c>
      <c r="C11" s="85" t="s">
        <v>461</v>
      </c>
      <c r="D11" s="36" t="s">
        <v>225</v>
      </c>
      <c r="E11" s="126" t="s">
        <v>483</v>
      </c>
      <c r="F11" s="94" t="s">
        <v>226</v>
      </c>
      <c r="G11" s="87" t="s">
        <v>439</v>
      </c>
      <c r="H11" s="88" t="s">
        <v>505</v>
      </c>
      <c r="I11" s="89">
        <v>1</v>
      </c>
      <c r="J11" s="89">
        <v>1.5</v>
      </c>
      <c r="K11" s="89">
        <v>1</v>
      </c>
      <c r="L11" s="89">
        <v>1</v>
      </c>
      <c r="M11" s="89"/>
      <c r="N11" s="89">
        <v>1</v>
      </c>
      <c r="O11" s="89">
        <v>1.5</v>
      </c>
      <c r="P11" s="89">
        <v>1</v>
      </c>
      <c r="Q11" s="89">
        <v>1.5</v>
      </c>
      <c r="R11" s="89">
        <v>1</v>
      </c>
      <c r="S11" s="89">
        <v>1</v>
      </c>
      <c r="T11" s="89"/>
      <c r="U11" s="89"/>
      <c r="V11" s="89"/>
      <c r="W11" s="89"/>
      <c r="X11" s="89"/>
      <c r="Y11" s="89">
        <v>1.5</v>
      </c>
      <c r="Z11" s="89">
        <v>1</v>
      </c>
      <c r="AA11" s="89"/>
      <c r="AB11" s="89">
        <v>1</v>
      </c>
      <c r="AC11" s="89">
        <v>1.5</v>
      </c>
      <c r="AD11" s="89">
        <v>1</v>
      </c>
      <c r="AE11" s="89">
        <v>1.5</v>
      </c>
      <c r="AF11" s="89">
        <v>0.875</v>
      </c>
      <c r="AG11" s="89">
        <v>1</v>
      </c>
      <c r="AH11" s="89"/>
      <c r="AI11" s="89">
        <v>1</v>
      </c>
      <c r="AJ11" s="89">
        <v>1.5</v>
      </c>
      <c r="AK11" s="89">
        <v>1</v>
      </c>
      <c r="AL11" s="89">
        <v>1.5</v>
      </c>
      <c r="AM11" s="89">
        <v>1</v>
      </c>
      <c r="AN11" s="90">
        <f t="shared" si="0"/>
        <v>26.875</v>
      </c>
      <c r="AO11" s="86">
        <v>150000</v>
      </c>
      <c r="AP11" s="91">
        <f t="shared" si="1"/>
        <v>4031250</v>
      </c>
    </row>
    <row r="12" spans="1:42" ht="24.95" customHeight="1">
      <c r="A12" s="84">
        <v>7</v>
      </c>
      <c r="B12" s="84" t="s">
        <v>338</v>
      </c>
      <c r="C12" s="85" t="s">
        <v>339</v>
      </c>
      <c r="D12" s="36" t="s">
        <v>340</v>
      </c>
      <c r="E12" s="126" t="s">
        <v>341</v>
      </c>
      <c r="F12" s="94" t="s">
        <v>230</v>
      </c>
      <c r="G12" s="87" t="s">
        <v>338</v>
      </c>
      <c r="H12" s="88" t="s">
        <v>342</v>
      </c>
      <c r="I12" s="89">
        <v>2</v>
      </c>
      <c r="J12" s="89">
        <v>2</v>
      </c>
      <c r="K12" s="89">
        <v>2</v>
      </c>
      <c r="L12" s="89"/>
      <c r="M12" s="89"/>
      <c r="N12" s="89">
        <v>2</v>
      </c>
      <c r="O12" s="89">
        <v>2</v>
      </c>
      <c r="P12" s="89">
        <v>2</v>
      </c>
      <c r="Q12" s="89">
        <v>2</v>
      </c>
      <c r="R12" s="89">
        <v>2</v>
      </c>
      <c r="S12" s="89"/>
      <c r="T12" s="89"/>
      <c r="U12" s="89">
        <v>2</v>
      </c>
      <c r="V12" s="89">
        <v>2</v>
      </c>
      <c r="W12" s="89">
        <v>2</v>
      </c>
      <c r="X12" s="89">
        <v>2</v>
      </c>
      <c r="Y12" s="89"/>
      <c r="Z12" s="89"/>
      <c r="AA12" s="89"/>
      <c r="AB12" s="89">
        <v>2</v>
      </c>
      <c r="AC12" s="89">
        <v>2</v>
      </c>
      <c r="AD12" s="89">
        <v>2</v>
      </c>
      <c r="AE12" s="89">
        <v>2</v>
      </c>
      <c r="AF12" s="89">
        <v>2</v>
      </c>
      <c r="AG12" s="89"/>
      <c r="AH12" s="89"/>
      <c r="AI12" s="89">
        <v>2</v>
      </c>
      <c r="AJ12" s="89">
        <v>2</v>
      </c>
      <c r="AK12" s="89">
        <v>2</v>
      </c>
      <c r="AL12" s="89">
        <v>2</v>
      </c>
      <c r="AM12" s="89">
        <v>2</v>
      </c>
      <c r="AN12" s="90">
        <f t="shared" si="0"/>
        <v>44</v>
      </c>
      <c r="AO12" s="86">
        <v>210000</v>
      </c>
      <c r="AP12" s="91">
        <f t="shared" si="1"/>
        <v>9240000</v>
      </c>
    </row>
    <row r="13" spans="1:42" ht="24.95" customHeight="1">
      <c r="A13" s="84">
        <v>8</v>
      </c>
      <c r="B13" s="84" t="s">
        <v>714</v>
      </c>
      <c r="C13" s="85" t="s">
        <v>775</v>
      </c>
      <c r="D13" s="36" t="s">
        <v>225</v>
      </c>
      <c r="E13" s="126" t="s">
        <v>837</v>
      </c>
      <c r="F13" s="94" t="s">
        <v>296</v>
      </c>
      <c r="G13" s="87" t="s">
        <v>714</v>
      </c>
      <c r="H13" s="88" t="s">
        <v>898</v>
      </c>
      <c r="I13" s="89">
        <v>1</v>
      </c>
      <c r="J13" s="89">
        <v>1.5</v>
      </c>
      <c r="K13" s="89">
        <v>1</v>
      </c>
      <c r="L13" s="89">
        <v>1</v>
      </c>
      <c r="M13" s="89"/>
      <c r="N13" s="89">
        <v>2</v>
      </c>
      <c r="O13" s="89">
        <v>2</v>
      </c>
      <c r="P13" s="89">
        <v>2</v>
      </c>
      <c r="Q13" s="89">
        <v>2</v>
      </c>
      <c r="R13" s="89">
        <v>2</v>
      </c>
      <c r="S13" s="89"/>
      <c r="T13" s="89"/>
      <c r="U13" s="89">
        <v>2</v>
      </c>
      <c r="V13" s="89">
        <v>2</v>
      </c>
      <c r="W13" s="89">
        <v>2</v>
      </c>
      <c r="X13" s="89">
        <v>2</v>
      </c>
      <c r="Y13" s="89"/>
      <c r="Z13" s="89"/>
      <c r="AA13" s="89"/>
      <c r="AB13" s="89">
        <v>2</v>
      </c>
      <c r="AC13" s="89">
        <v>2</v>
      </c>
      <c r="AD13" s="89">
        <v>2</v>
      </c>
      <c r="AE13" s="89">
        <v>2</v>
      </c>
      <c r="AF13" s="89"/>
      <c r="AG13" s="89"/>
      <c r="AH13" s="89"/>
      <c r="AI13" s="89"/>
      <c r="AJ13" s="89"/>
      <c r="AK13" s="89"/>
      <c r="AL13" s="89"/>
      <c r="AM13" s="89"/>
      <c r="AN13" s="90">
        <f t="shared" si="0"/>
        <v>30.5</v>
      </c>
      <c r="AO13" s="86">
        <v>150000</v>
      </c>
      <c r="AP13" s="91">
        <f t="shared" si="1"/>
        <v>4575000</v>
      </c>
    </row>
    <row r="14" spans="1:42" ht="24.95" customHeight="1">
      <c r="A14" s="84">
        <v>9</v>
      </c>
      <c r="B14" s="84" t="s">
        <v>984</v>
      </c>
      <c r="C14" s="85" t="s">
        <v>1033</v>
      </c>
      <c r="D14" s="36" t="s">
        <v>225</v>
      </c>
      <c r="E14" s="126" t="s">
        <v>1086</v>
      </c>
      <c r="F14" s="94" t="s">
        <v>226</v>
      </c>
      <c r="G14" s="87" t="s">
        <v>984</v>
      </c>
      <c r="H14" s="88" t="s">
        <v>1135</v>
      </c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>
        <v>0.6875</v>
      </c>
      <c r="AC14" s="89">
        <v>1.125</v>
      </c>
      <c r="AD14" s="89"/>
      <c r="AE14" s="89">
        <v>0.75</v>
      </c>
      <c r="AF14" s="89">
        <v>1</v>
      </c>
      <c r="AG14" s="89"/>
      <c r="AH14" s="89"/>
      <c r="AI14" s="89">
        <v>1</v>
      </c>
      <c r="AJ14" s="89">
        <v>1.5</v>
      </c>
      <c r="AK14" s="89">
        <v>0.5</v>
      </c>
      <c r="AL14" s="89"/>
      <c r="AM14" s="89"/>
      <c r="AN14" s="90">
        <f t="shared" si="0"/>
        <v>6.5625</v>
      </c>
      <c r="AO14" s="86">
        <v>160000</v>
      </c>
      <c r="AP14" s="91">
        <f t="shared" si="1"/>
        <v>1050000</v>
      </c>
    </row>
    <row r="15" spans="1:42" ht="23.25" customHeight="1">
      <c r="A15" s="84">
        <v>10</v>
      </c>
      <c r="B15" s="84" t="s">
        <v>542</v>
      </c>
      <c r="C15" s="85" t="s">
        <v>572</v>
      </c>
      <c r="D15" s="128" t="s">
        <v>225</v>
      </c>
      <c r="E15" s="36" t="s">
        <v>601</v>
      </c>
      <c r="F15" s="96" t="s">
        <v>229</v>
      </c>
      <c r="G15" s="87" t="s">
        <v>542</v>
      </c>
      <c r="H15" s="88" t="s">
        <v>631</v>
      </c>
      <c r="I15" s="89">
        <v>1</v>
      </c>
      <c r="J15" s="89">
        <v>1.5</v>
      </c>
      <c r="K15" s="89"/>
      <c r="L15" s="89">
        <v>1</v>
      </c>
      <c r="M15" s="89"/>
      <c r="N15" s="89">
        <v>1</v>
      </c>
      <c r="O15" s="89">
        <v>1.5</v>
      </c>
      <c r="P15" s="89">
        <v>1</v>
      </c>
      <c r="Q15" s="89">
        <v>1.5</v>
      </c>
      <c r="R15" s="89">
        <v>1</v>
      </c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90">
        <f t="shared" si="0"/>
        <v>9.5</v>
      </c>
      <c r="AO15" s="86">
        <v>150000</v>
      </c>
      <c r="AP15" s="91">
        <f t="shared" si="1"/>
        <v>1425000</v>
      </c>
    </row>
    <row r="16" spans="1:42" ht="24.95" customHeight="1">
      <c r="A16" s="84">
        <v>11</v>
      </c>
      <c r="B16" s="84" t="s">
        <v>440</v>
      </c>
      <c r="C16" s="85" t="s">
        <v>462</v>
      </c>
      <c r="D16" s="36" t="s">
        <v>225</v>
      </c>
      <c r="E16" s="36" t="s">
        <v>484</v>
      </c>
      <c r="F16" s="94" t="s">
        <v>304</v>
      </c>
      <c r="G16" s="87" t="s">
        <v>440</v>
      </c>
      <c r="H16" s="88" t="s">
        <v>506</v>
      </c>
      <c r="I16" s="89"/>
      <c r="J16" s="89">
        <v>1.5</v>
      </c>
      <c r="K16" s="89">
        <v>1</v>
      </c>
      <c r="L16" s="89">
        <v>1</v>
      </c>
      <c r="M16" s="89"/>
      <c r="N16" s="89">
        <v>1</v>
      </c>
      <c r="O16" s="89">
        <v>1.5</v>
      </c>
      <c r="P16" s="89">
        <v>1</v>
      </c>
      <c r="Q16" s="89">
        <v>1.5</v>
      </c>
      <c r="R16" s="89">
        <v>0.5</v>
      </c>
      <c r="S16" s="89"/>
      <c r="T16" s="89"/>
      <c r="U16" s="89">
        <v>1</v>
      </c>
      <c r="V16" s="89">
        <v>1</v>
      </c>
      <c r="W16" s="89">
        <v>1</v>
      </c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90">
        <f t="shared" ref="AN16:AN23" si="2">SUM(I16:AM16)</f>
        <v>12</v>
      </c>
      <c r="AO16" s="86">
        <v>150000</v>
      </c>
      <c r="AP16" s="91">
        <f t="shared" ref="AP16:AP23" si="3">AN16*AO16</f>
        <v>1800000</v>
      </c>
    </row>
    <row r="17" spans="1:42" ht="24.95" customHeight="1">
      <c r="A17" s="84">
        <v>12</v>
      </c>
      <c r="B17" s="84" t="s">
        <v>985</v>
      </c>
      <c r="C17" s="85" t="s">
        <v>1034</v>
      </c>
      <c r="D17" s="36" t="s">
        <v>225</v>
      </c>
      <c r="E17" s="126" t="s">
        <v>1087</v>
      </c>
      <c r="F17" s="96" t="s">
        <v>226</v>
      </c>
      <c r="G17" s="87" t="s">
        <v>985</v>
      </c>
      <c r="H17" s="88" t="s">
        <v>1136</v>
      </c>
      <c r="I17" s="89"/>
      <c r="J17" s="89"/>
      <c r="K17" s="89"/>
      <c r="L17" s="89"/>
      <c r="M17" s="89"/>
      <c r="N17" s="89">
        <v>0.6875</v>
      </c>
      <c r="O17" s="89">
        <v>1.125</v>
      </c>
      <c r="P17" s="89"/>
      <c r="Q17" s="89">
        <v>0.625</v>
      </c>
      <c r="R17" s="89">
        <v>1</v>
      </c>
      <c r="S17" s="89"/>
      <c r="T17" s="89"/>
      <c r="U17" s="89">
        <v>1</v>
      </c>
      <c r="V17" s="89">
        <v>1.5</v>
      </c>
      <c r="W17" s="89">
        <v>1</v>
      </c>
      <c r="X17" s="89">
        <v>1.5</v>
      </c>
      <c r="Y17" s="89">
        <v>1.5</v>
      </c>
      <c r="Z17" s="89">
        <v>1</v>
      </c>
      <c r="AA17" s="89"/>
      <c r="AB17" s="89">
        <v>0.5</v>
      </c>
      <c r="AC17" s="89">
        <v>2</v>
      </c>
      <c r="AD17" s="89">
        <v>2</v>
      </c>
      <c r="AE17" s="89">
        <v>2</v>
      </c>
      <c r="AF17" s="89">
        <v>2</v>
      </c>
      <c r="AG17" s="89"/>
      <c r="AH17" s="89"/>
      <c r="AI17" s="89">
        <v>2</v>
      </c>
      <c r="AJ17" s="89">
        <v>2</v>
      </c>
      <c r="AK17" s="89">
        <v>2</v>
      </c>
      <c r="AL17" s="89">
        <v>2</v>
      </c>
      <c r="AM17" s="89">
        <v>2</v>
      </c>
      <c r="AN17" s="90">
        <f t="shared" si="2"/>
        <v>29.4375</v>
      </c>
      <c r="AO17" s="86">
        <v>170000</v>
      </c>
      <c r="AP17" s="91">
        <f t="shared" si="3"/>
        <v>5004375</v>
      </c>
    </row>
    <row r="18" spans="1:42" ht="24.95" customHeight="1">
      <c r="A18" s="84">
        <v>13</v>
      </c>
      <c r="B18" s="84" t="s">
        <v>986</v>
      </c>
      <c r="C18" s="85" t="s">
        <v>1035</v>
      </c>
      <c r="D18" s="128" t="s">
        <v>225</v>
      </c>
      <c r="E18" s="126" t="s">
        <v>1088</v>
      </c>
      <c r="F18" s="94" t="s">
        <v>226</v>
      </c>
      <c r="G18" s="87" t="s">
        <v>986</v>
      </c>
      <c r="H18" s="88" t="s">
        <v>1137</v>
      </c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>
        <v>0.6875</v>
      </c>
      <c r="AC18" s="89">
        <v>1.125</v>
      </c>
      <c r="AD18" s="89"/>
      <c r="AE18" s="89">
        <v>0.75</v>
      </c>
      <c r="AF18" s="89">
        <v>1</v>
      </c>
      <c r="AG18" s="89"/>
      <c r="AH18" s="89"/>
      <c r="AI18" s="89">
        <v>1</v>
      </c>
      <c r="AJ18" s="89">
        <v>1.5</v>
      </c>
      <c r="AK18" s="89">
        <v>1</v>
      </c>
      <c r="AL18" s="89">
        <v>1.5</v>
      </c>
      <c r="AM18" s="89">
        <v>1</v>
      </c>
      <c r="AN18" s="90">
        <f t="shared" si="2"/>
        <v>9.5625</v>
      </c>
      <c r="AO18" s="86">
        <v>160000</v>
      </c>
      <c r="AP18" s="91">
        <f t="shared" si="3"/>
        <v>1530000</v>
      </c>
    </row>
    <row r="19" spans="1:42" ht="24.95" customHeight="1">
      <c r="A19" s="84">
        <v>14</v>
      </c>
      <c r="B19" s="84" t="s">
        <v>715</v>
      </c>
      <c r="C19" s="85" t="s">
        <v>776</v>
      </c>
      <c r="D19" s="36" t="s">
        <v>227</v>
      </c>
      <c r="E19" s="36" t="s">
        <v>838</v>
      </c>
      <c r="F19" s="94" t="s">
        <v>651</v>
      </c>
      <c r="G19" s="87" t="s">
        <v>715</v>
      </c>
      <c r="H19" s="88" t="s">
        <v>899</v>
      </c>
      <c r="I19" s="89">
        <v>1</v>
      </c>
      <c r="J19" s="89">
        <v>1.5</v>
      </c>
      <c r="K19" s="89">
        <v>1</v>
      </c>
      <c r="L19" s="89"/>
      <c r="M19" s="89"/>
      <c r="N19" s="89">
        <v>1</v>
      </c>
      <c r="O19" s="89">
        <v>1.5</v>
      </c>
      <c r="P19" s="89"/>
      <c r="Q19" s="89">
        <v>1.5</v>
      </c>
      <c r="R19" s="89">
        <v>1</v>
      </c>
      <c r="S19" s="89"/>
      <c r="T19" s="89"/>
      <c r="U19" s="89">
        <v>1</v>
      </c>
      <c r="V19" s="89">
        <v>1.5</v>
      </c>
      <c r="W19" s="89">
        <v>1</v>
      </c>
      <c r="X19" s="89">
        <v>1.5</v>
      </c>
      <c r="Y19" s="89">
        <v>1.5</v>
      </c>
      <c r="Z19" s="89"/>
      <c r="AA19" s="89"/>
      <c r="AB19" s="89"/>
      <c r="AC19" s="89">
        <v>2</v>
      </c>
      <c r="AD19" s="89">
        <v>2</v>
      </c>
      <c r="AE19" s="89">
        <v>2</v>
      </c>
      <c r="AF19" s="89">
        <v>2</v>
      </c>
      <c r="AG19" s="89"/>
      <c r="AH19" s="89"/>
      <c r="AI19" s="89">
        <v>2</v>
      </c>
      <c r="AJ19" s="89">
        <v>2</v>
      </c>
      <c r="AK19" s="89">
        <v>2</v>
      </c>
      <c r="AL19" s="89">
        <v>2</v>
      </c>
      <c r="AM19" s="89">
        <v>2</v>
      </c>
      <c r="AN19" s="90">
        <f t="shared" si="2"/>
        <v>33</v>
      </c>
      <c r="AO19" s="86">
        <v>250000</v>
      </c>
      <c r="AP19" s="91">
        <f t="shared" si="3"/>
        <v>8250000</v>
      </c>
    </row>
    <row r="20" spans="1:42" ht="24.95" customHeight="1">
      <c r="A20" s="84">
        <v>15</v>
      </c>
      <c r="B20" s="84" t="s">
        <v>441</v>
      </c>
      <c r="C20" s="85" t="s">
        <v>463</v>
      </c>
      <c r="D20" s="36" t="s">
        <v>228</v>
      </c>
      <c r="E20" s="36" t="s">
        <v>485</v>
      </c>
      <c r="F20" s="94" t="s">
        <v>230</v>
      </c>
      <c r="G20" s="87" t="s">
        <v>441</v>
      </c>
      <c r="H20" s="88" t="s">
        <v>507</v>
      </c>
      <c r="I20" s="89">
        <v>2</v>
      </c>
      <c r="J20" s="89">
        <v>2</v>
      </c>
      <c r="K20" s="89">
        <v>2</v>
      </c>
      <c r="L20" s="89"/>
      <c r="M20" s="89"/>
      <c r="N20" s="89">
        <v>2</v>
      </c>
      <c r="O20" s="89">
        <v>2</v>
      </c>
      <c r="P20" s="89">
        <v>2</v>
      </c>
      <c r="Q20" s="89">
        <v>2</v>
      </c>
      <c r="R20" s="89">
        <v>2</v>
      </c>
      <c r="S20" s="89"/>
      <c r="T20" s="89"/>
      <c r="U20" s="89">
        <v>1</v>
      </c>
      <c r="V20" s="89">
        <v>2</v>
      </c>
      <c r="W20" s="89">
        <v>2</v>
      </c>
      <c r="X20" s="89">
        <v>2</v>
      </c>
      <c r="Y20" s="89"/>
      <c r="Z20" s="89"/>
      <c r="AA20" s="89"/>
      <c r="AB20" s="89">
        <v>2</v>
      </c>
      <c r="AC20" s="89">
        <v>2</v>
      </c>
      <c r="AD20" s="89">
        <v>2</v>
      </c>
      <c r="AE20" s="89">
        <v>2</v>
      </c>
      <c r="AF20" s="89">
        <v>2</v>
      </c>
      <c r="AG20" s="89"/>
      <c r="AH20" s="89"/>
      <c r="AI20" s="89">
        <v>2</v>
      </c>
      <c r="AJ20" s="89">
        <v>2</v>
      </c>
      <c r="AK20" s="89">
        <v>2</v>
      </c>
      <c r="AL20" s="89">
        <v>2</v>
      </c>
      <c r="AM20" s="89">
        <v>2</v>
      </c>
      <c r="AN20" s="90">
        <f t="shared" si="2"/>
        <v>43</v>
      </c>
      <c r="AO20" s="86">
        <v>240000</v>
      </c>
      <c r="AP20" s="91">
        <f t="shared" si="3"/>
        <v>10320000</v>
      </c>
    </row>
    <row r="21" spans="1:42" ht="24.95" customHeight="1">
      <c r="A21" s="84">
        <v>16</v>
      </c>
      <c r="B21" s="84" t="s">
        <v>987</v>
      </c>
      <c r="C21" s="85" t="s">
        <v>1036</v>
      </c>
      <c r="D21" s="36" t="s">
        <v>225</v>
      </c>
      <c r="E21" s="36" t="s">
        <v>1089</v>
      </c>
      <c r="F21" s="94" t="s">
        <v>1138</v>
      </c>
      <c r="G21" s="87" t="s">
        <v>987</v>
      </c>
      <c r="H21" s="88" t="s">
        <v>1139</v>
      </c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>
        <v>0.6875</v>
      </c>
      <c r="AC21" s="89">
        <v>1.125</v>
      </c>
      <c r="AD21" s="89"/>
      <c r="AE21" s="89">
        <v>0.75</v>
      </c>
      <c r="AF21" s="89">
        <v>1</v>
      </c>
      <c r="AG21" s="89"/>
      <c r="AH21" s="89"/>
      <c r="AI21" s="89">
        <v>1</v>
      </c>
      <c r="AJ21" s="89">
        <v>1.5</v>
      </c>
      <c r="AK21" s="89">
        <v>1</v>
      </c>
      <c r="AL21" s="89">
        <v>1.5</v>
      </c>
      <c r="AM21" s="89">
        <v>1</v>
      </c>
      <c r="AN21" s="90">
        <f t="shared" si="2"/>
        <v>9.5625</v>
      </c>
      <c r="AO21" s="86">
        <v>160000</v>
      </c>
      <c r="AP21" s="91">
        <f t="shared" si="3"/>
        <v>1530000</v>
      </c>
    </row>
    <row r="22" spans="1:42" ht="24.95" customHeight="1">
      <c r="A22" s="84">
        <v>17</v>
      </c>
      <c r="B22" s="84" t="s">
        <v>749</v>
      </c>
      <c r="C22" s="85" t="s">
        <v>811</v>
      </c>
      <c r="D22" s="36" t="s">
        <v>228</v>
      </c>
      <c r="E22" s="36" t="s">
        <v>872</v>
      </c>
      <c r="F22" s="94" t="s">
        <v>226</v>
      </c>
      <c r="G22" s="87" t="s">
        <v>749</v>
      </c>
      <c r="H22" s="88" t="s">
        <v>931</v>
      </c>
      <c r="I22" s="89">
        <v>1</v>
      </c>
      <c r="J22" s="89">
        <v>1.5</v>
      </c>
      <c r="K22" s="89">
        <v>1</v>
      </c>
      <c r="L22" s="89">
        <v>1</v>
      </c>
      <c r="M22" s="89"/>
      <c r="N22" s="89">
        <v>1</v>
      </c>
      <c r="O22" s="89">
        <v>1.5</v>
      </c>
      <c r="P22" s="89">
        <v>0.875</v>
      </c>
      <c r="Q22" s="89">
        <v>1.5</v>
      </c>
      <c r="R22" s="89">
        <v>1</v>
      </c>
      <c r="S22" s="89">
        <v>1</v>
      </c>
      <c r="T22" s="89"/>
      <c r="U22" s="89">
        <v>2</v>
      </c>
      <c r="V22" s="89">
        <v>2</v>
      </c>
      <c r="W22" s="89">
        <v>2</v>
      </c>
      <c r="X22" s="89">
        <v>2</v>
      </c>
      <c r="Y22" s="89"/>
      <c r="Z22" s="89"/>
      <c r="AA22" s="89"/>
      <c r="AB22" s="89">
        <v>2</v>
      </c>
      <c r="AC22" s="89">
        <v>2</v>
      </c>
      <c r="AD22" s="89">
        <v>2</v>
      </c>
      <c r="AE22" s="89">
        <v>2</v>
      </c>
      <c r="AF22" s="89">
        <v>2</v>
      </c>
      <c r="AG22" s="89"/>
      <c r="AH22" s="89"/>
      <c r="AI22" s="89">
        <v>2</v>
      </c>
      <c r="AJ22" s="89">
        <v>2</v>
      </c>
      <c r="AK22" s="89">
        <v>2</v>
      </c>
      <c r="AL22" s="89">
        <v>2</v>
      </c>
      <c r="AM22" s="89">
        <v>2</v>
      </c>
      <c r="AN22" s="90">
        <f t="shared" si="2"/>
        <v>39.375</v>
      </c>
      <c r="AO22" s="86">
        <v>220000</v>
      </c>
      <c r="AP22" s="91">
        <f t="shared" si="3"/>
        <v>8662500</v>
      </c>
    </row>
    <row r="23" spans="1:42" ht="24.95" customHeight="1">
      <c r="A23" s="84">
        <v>18</v>
      </c>
      <c r="B23" s="84" t="s">
        <v>552</v>
      </c>
      <c r="C23" s="85" t="s">
        <v>582</v>
      </c>
      <c r="D23" s="36" t="s">
        <v>227</v>
      </c>
      <c r="E23" s="36" t="s">
        <v>611</v>
      </c>
      <c r="F23" s="96" t="s">
        <v>230</v>
      </c>
      <c r="G23" s="87" t="s">
        <v>552</v>
      </c>
      <c r="H23" s="88" t="s">
        <v>641</v>
      </c>
      <c r="I23" s="89">
        <v>2</v>
      </c>
      <c r="J23" s="89">
        <v>2</v>
      </c>
      <c r="K23" s="89">
        <v>2</v>
      </c>
      <c r="L23" s="89"/>
      <c r="M23" s="89"/>
      <c r="N23" s="89">
        <v>2</v>
      </c>
      <c r="O23" s="89">
        <v>2</v>
      </c>
      <c r="P23" s="89">
        <v>2</v>
      </c>
      <c r="Q23" s="89">
        <v>2</v>
      </c>
      <c r="R23" s="89">
        <v>2</v>
      </c>
      <c r="S23" s="89"/>
      <c r="T23" s="89"/>
      <c r="U23" s="89">
        <v>2</v>
      </c>
      <c r="V23" s="89">
        <v>2</v>
      </c>
      <c r="W23" s="89">
        <v>2</v>
      </c>
      <c r="X23" s="89">
        <v>2</v>
      </c>
      <c r="Y23" s="89"/>
      <c r="Z23" s="89"/>
      <c r="AA23" s="89"/>
      <c r="AB23" s="89">
        <v>2</v>
      </c>
      <c r="AC23" s="89">
        <v>2</v>
      </c>
      <c r="AD23" s="89">
        <v>2</v>
      </c>
      <c r="AE23" s="89">
        <v>2</v>
      </c>
      <c r="AF23" s="89">
        <v>2</v>
      </c>
      <c r="AG23" s="89"/>
      <c r="AH23" s="89"/>
      <c r="AI23" s="89">
        <v>2</v>
      </c>
      <c r="AJ23" s="89">
        <v>2</v>
      </c>
      <c r="AK23" s="89">
        <v>2</v>
      </c>
      <c r="AL23" s="89">
        <v>2</v>
      </c>
      <c r="AM23" s="89">
        <v>2</v>
      </c>
      <c r="AN23" s="90">
        <f t="shared" si="2"/>
        <v>44</v>
      </c>
      <c r="AO23" s="86">
        <v>240000</v>
      </c>
      <c r="AP23" s="91">
        <f t="shared" si="3"/>
        <v>10560000</v>
      </c>
    </row>
    <row r="24" spans="1:42" ht="24.95" customHeight="1">
      <c r="A24" s="84">
        <v>19</v>
      </c>
      <c r="B24" s="84" t="s">
        <v>716</v>
      </c>
      <c r="C24" s="85" t="s">
        <v>777</v>
      </c>
      <c r="D24" s="36" t="s">
        <v>228</v>
      </c>
      <c r="E24" s="36" t="s">
        <v>839</v>
      </c>
      <c r="F24" s="94" t="s">
        <v>229</v>
      </c>
      <c r="G24" s="87" t="s">
        <v>716</v>
      </c>
      <c r="H24" s="88" t="s">
        <v>900</v>
      </c>
      <c r="I24" s="89">
        <v>2</v>
      </c>
      <c r="J24" s="89">
        <v>2</v>
      </c>
      <c r="K24" s="89">
        <v>2</v>
      </c>
      <c r="L24" s="89"/>
      <c r="M24" s="89"/>
      <c r="N24" s="89">
        <v>2</v>
      </c>
      <c r="O24" s="89">
        <v>2</v>
      </c>
      <c r="P24" s="89">
        <v>2</v>
      </c>
      <c r="Q24" s="89">
        <v>2</v>
      </c>
      <c r="R24" s="89">
        <v>2</v>
      </c>
      <c r="S24" s="89"/>
      <c r="T24" s="89"/>
      <c r="U24" s="89">
        <v>2</v>
      </c>
      <c r="V24" s="89">
        <v>2</v>
      </c>
      <c r="W24" s="89">
        <v>2</v>
      </c>
      <c r="X24" s="89">
        <v>2</v>
      </c>
      <c r="Y24" s="89"/>
      <c r="Z24" s="89"/>
      <c r="AA24" s="89"/>
      <c r="AB24" s="89">
        <v>2</v>
      </c>
      <c r="AC24" s="89">
        <v>2</v>
      </c>
      <c r="AD24" s="89">
        <v>2</v>
      </c>
      <c r="AE24" s="89">
        <v>2</v>
      </c>
      <c r="AF24" s="89">
        <v>2</v>
      </c>
      <c r="AG24" s="89"/>
      <c r="AH24" s="89"/>
      <c r="AI24" s="89">
        <v>2</v>
      </c>
      <c r="AJ24" s="89">
        <v>2</v>
      </c>
      <c r="AK24" s="89">
        <v>2</v>
      </c>
      <c r="AL24" s="89">
        <v>2</v>
      </c>
      <c r="AM24" s="89">
        <v>2</v>
      </c>
      <c r="AN24" s="90">
        <f t="shared" ref="AN24:AN37" si="4">SUM(I24:AM24)</f>
        <v>44</v>
      </c>
      <c r="AO24" s="86">
        <v>240000</v>
      </c>
      <c r="AP24" s="91">
        <f t="shared" ref="AP24:AP37" si="5">AN24*AO24</f>
        <v>10560000</v>
      </c>
    </row>
    <row r="25" spans="1:42" ht="24.95" customHeight="1">
      <c r="A25" s="84">
        <v>20</v>
      </c>
      <c r="B25" s="84" t="s">
        <v>988</v>
      </c>
      <c r="C25" s="85" t="s">
        <v>1037</v>
      </c>
      <c r="D25" s="128" t="s">
        <v>225</v>
      </c>
      <c r="E25" s="126" t="s">
        <v>1090</v>
      </c>
      <c r="F25" s="94" t="s">
        <v>1140</v>
      </c>
      <c r="G25" s="87" t="s">
        <v>988</v>
      </c>
      <c r="H25" s="88" t="s">
        <v>1141</v>
      </c>
      <c r="I25" s="89"/>
      <c r="J25" s="89"/>
      <c r="K25" s="89"/>
      <c r="L25" s="89"/>
      <c r="M25" s="89"/>
      <c r="N25" s="89">
        <v>0.6875</v>
      </c>
      <c r="O25" s="89">
        <v>1.125</v>
      </c>
      <c r="P25" s="89"/>
      <c r="Q25" s="89">
        <v>0.625</v>
      </c>
      <c r="R25" s="89">
        <v>1</v>
      </c>
      <c r="S25" s="89"/>
      <c r="T25" s="89"/>
      <c r="U25" s="89">
        <v>1</v>
      </c>
      <c r="V25" s="89">
        <v>1.5</v>
      </c>
      <c r="W25" s="89">
        <v>1</v>
      </c>
      <c r="X25" s="89">
        <v>1.5</v>
      </c>
      <c r="Y25" s="89">
        <v>1.5</v>
      </c>
      <c r="Z25" s="89">
        <v>1</v>
      </c>
      <c r="AA25" s="89"/>
      <c r="AB25" s="89">
        <v>1</v>
      </c>
      <c r="AC25" s="89">
        <v>1.5</v>
      </c>
      <c r="AD25" s="89">
        <v>1</v>
      </c>
      <c r="AE25" s="89">
        <v>1.5</v>
      </c>
      <c r="AF25" s="89">
        <v>1</v>
      </c>
      <c r="AG25" s="89"/>
      <c r="AH25" s="89"/>
      <c r="AI25" s="89"/>
      <c r="AJ25" s="89"/>
      <c r="AK25" s="89"/>
      <c r="AL25" s="89"/>
      <c r="AM25" s="89"/>
      <c r="AN25" s="90">
        <f t="shared" si="4"/>
        <v>16.9375</v>
      </c>
      <c r="AO25" s="86">
        <v>150000</v>
      </c>
      <c r="AP25" s="91">
        <f t="shared" si="5"/>
        <v>2540625</v>
      </c>
    </row>
    <row r="26" spans="1:42" ht="24.95" customHeight="1">
      <c r="A26" s="84">
        <v>21</v>
      </c>
      <c r="B26" s="84" t="s">
        <v>343</v>
      </c>
      <c r="C26" s="85" t="s">
        <v>344</v>
      </c>
      <c r="D26" s="36" t="s">
        <v>228</v>
      </c>
      <c r="E26" s="126" t="s">
        <v>345</v>
      </c>
      <c r="F26" s="94" t="s">
        <v>229</v>
      </c>
      <c r="G26" s="87" t="s">
        <v>343</v>
      </c>
      <c r="H26" s="88" t="s">
        <v>346</v>
      </c>
      <c r="I26" s="89">
        <v>2</v>
      </c>
      <c r="J26" s="89">
        <v>2</v>
      </c>
      <c r="K26" s="89">
        <v>2</v>
      </c>
      <c r="L26" s="89"/>
      <c r="M26" s="89"/>
      <c r="N26" s="89">
        <v>2</v>
      </c>
      <c r="O26" s="89">
        <v>2</v>
      </c>
      <c r="P26" s="89">
        <v>2</v>
      </c>
      <c r="Q26" s="89">
        <v>2</v>
      </c>
      <c r="R26" s="89">
        <v>2</v>
      </c>
      <c r="S26" s="89"/>
      <c r="T26" s="89"/>
      <c r="U26" s="89">
        <v>2</v>
      </c>
      <c r="V26" s="89">
        <v>2</v>
      </c>
      <c r="W26" s="89"/>
      <c r="X26" s="89"/>
      <c r="Y26" s="89"/>
      <c r="Z26" s="89"/>
      <c r="AA26" s="89"/>
      <c r="AB26" s="89">
        <v>2</v>
      </c>
      <c r="AC26" s="89">
        <v>2</v>
      </c>
      <c r="AD26" s="89">
        <v>2</v>
      </c>
      <c r="AE26" s="89">
        <v>2</v>
      </c>
      <c r="AF26" s="89">
        <v>2</v>
      </c>
      <c r="AG26" s="89"/>
      <c r="AH26" s="89"/>
      <c r="AI26" s="89"/>
      <c r="AJ26" s="89"/>
      <c r="AK26" s="89"/>
      <c r="AL26" s="89"/>
      <c r="AM26" s="89"/>
      <c r="AN26" s="90">
        <f t="shared" si="4"/>
        <v>30</v>
      </c>
      <c r="AO26" s="86">
        <v>210000</v>
      </c>
      <c r="AP26" s="91">
        <f t="shared" si="5"/>
        <v>6300000</v>
      </c>
    </row>
    <row r="27" spans="1:42" ht="24.95" customHeight="1">
      <c r="A27" s="84">
        <v>22</v>
      </c>
      <c r="B27" s="84" t="s">
        <v>347</v>
      </c>
      <c r="C27" s="85" t="s">
        <v>348</v>
      </c>
      <c r="D27" s="128" t="s">
        <v>228</v>
      </c>
      <c r="E27" s="126" t="s">
        <v>349</v>
      </c>
      <c r="F27" s="94" t="s">
        <v>297</v>
      </c>
      <c r="G27" s="87" t="s">
        <v>347</v>
      </c>
      <c r="H27" s="88" t="s">
        <v>350</v>
      </c>
      <c r="I27" s="89">
        <v>2</v>
      </c>
      <c r="J27" s="89">
        <v>2</v>
      </c>
      <c r="K27" s="89">
        <v>2</v>
      </c>
      <c r="L27" s="89"/>
      <c r="M27" s="89"/>
      <c r="N27" s="89">
        <v>2</v>
      </c>
      <c r="O27" s="89">
        <v>2</v>
      </c>
      <c r="P27" s="89">
        <v>2</v>
      </c>
      <c r="Q27" s="89">
        <v>2</v>
      </c>
      <c r="R27" s="89">
        <v>2</v>
      </c>
      <c r="S27" s="89"/>
      <c r="T27" s="89"/>
      <c r="U27" s="89">
        <v>2</v>
      </c>
      <c r="V27" s="89">
        <v>2</v>
      </c>
      <c r="W27" s="89"/>
      <c r="X27" s="89">
        <v>2</v>
      </c>
      <c r="Y27" s="89"/>
      <c r="Z27" s="89"/>
      <c r="AA27" s="89"/>
      <c r="AB27" s="89">
        <v>2</v>
      </c>
      <c r="AC27" s="89">
        <v>2</v>
      </c>
      <c r="AD27" s="89">
        <v>2</v>
      </c>
      <c r="AE27" s="89">
        <v>2</v>
      </c>
      <c r="AF27" s="89">
        <v>2</v>
      </c>
      <c r="AG27" s="89"/>
      <c r="AH27" s="89"/>
      <c r="AI27" s="89">
        <v>2</v>
      </c>
      <c r="AJ27" s="89">
        <v>2</v>
      </c>
      <c r="AK27" s="89">
        <v>2</v>
      </c>
      <c r="AL27" s="89">
        <v>2</v>
      </c>
      <c r="AM27" s="89">
        <v>2</v>
      </c>
      <c r="AN27" s="90">
        <f t="shared" si="4"/>
        <v>42</v>
      </c>
      <c r="AO27" s="86">
        <v>250000</v>
      </c>
      <c r="AP27" s="91">
        <f t="shared" si="5"/>
        <v>10500000</v>
      </c>
    </row>
    <row r="28" spans="1:42" ht="24.95" customHeight="1">
      <c r="A28" s="84">
        <v>23</v>
      </c>
      <c r="B28" s="84" t="s">
        <v>989</v>
      </c>
      <c r="C28" s="85" t="s">
        <v>1038</v>
      </c>
      <c r="D28" s="36" t="s">
        <v>225</v>
      </c>
      <c r="E28" s="126" t="s">
        <v>1091</v>
      </c>
      <c r="F28" s="94" t="s">
        <v>226</v>
      </c>
      <c r="G28" s="87" t="s">
        <v>989</v>
      </c>
      <c r="H28" s="88" t="s">
        <v>1142</v>
      </c>
      <c r="I28" s="89"/>
      <c r="J28" s="89"/>
      <c r="K28" s="89"/>
      <c r="L28" s="89"/>
      <c r="M28" s="89"/>
      <c r="N28" s="89">
        <v>0.6875</v>
      </c>
      <c r="O28" s="89">
        <v>1.125</v>
      </c>
      <c r="P28" s="89"/>
      <c r="Q28" s="89">
        <v>0.625</v>
      </c>
      <c r="R28" s="89">
        <v>1</v>
      </c>
      <c r="S28" s="89"/>
      <c r="T28" s="89"/>
      <c r="U28" s="89">
        <v>1</v>
      </c>
      <c r="V28" s="89">
        <v>1.5</v>
      </c>
      <c r="W28" s="89">
        <v>1</v>
      </c>
      <c r="X28" s="89">
        <v>1.5</v>
      </c>
      <c r="Y28" s="89">
        <v>1.5</v>
      </c>
      <c r="Z28" s="89">
        <v>1</v>
      </c>
      <c r="AA28" s="89"/>
      <c r="AB28" s="89"/>
      <c r="AC28" s="89">
        <v>2</v>
      </c>
      <c r="AD28" s="89">
        <v>2</v>
      </c>
      <c r="AE28" s="89">
        <v>2</v>
      </c>
      <c r="AF28" s="89">
        <v>2</v>
      </c>
      <c r="AG28" s="89"/>
      <c r="AH28" s="89"/>
      <c r="AI28" s="89">
        <v>2</v>
      </c>
      <c r="AJ28" s="89">
        <v>2</v>
      </c>
      <c r="AK28" s="89">
        <v>2</v>
      </c>
      <c r="AL28" s="89">
        <v>2</v>
      </c>
      <c r="AM28" s="89">
        <v>2</v>
      </c>
      <c r="AN28" s="90">
        <f t="shared" si="4"/>
        <v>28.9375</v>
      </c>
      <c r="AO28" s="86">
        <v>160000</v>
      </c>
      <c r="AP28" s="91">
        <f t="shared" si="5"/>
        <v>4630000</v>
      </c>
    </row>
    <row r="29" spans="1:42" ht="24.95" customHeight="1">
      <c r="A29" s="84">
        <v>24</v>
      </c>
      <c r="B29" s="84" t="s">
        <v>551</v>
      </c>
      <c r="C29" s="85" t="s">
        <v>581</v>
      </c>
      <c r="D29" s="36" t="s">
        <v>228</v>
      </c>
      <c r="E29" s="36" t="s">
        <v>610</v>
      </c>
      <c r="F29" s="96" t="s">
        <v>226</v>
      </c>
      <c r="G29" s="87" t="s">
        <v>551</v>
      </c>
      <c r="H29" s="88" t="s">
        <v>640</v>
      </c>
      <c r="I29" s="89">
        <v>1</v>
      </c>
      <c r="J29" s="89">
        <v>1.5</v>
      </c>
      <c r="K29" s="89">
        <v>1</v>
      </c>
      <c r="L29" s="89">
        <v>1</v>
      </c>
      <c r="M29" s="89"/>
      <c r="N29" s="89">
        <v>1</v>
      </c>
      <c r="O29" s="89">
        <v>0.5</v>
      </c>
      <c r="P29" s="89">
        <v>1</v>
      </c>
      <c r="Q29" s="89">
        <v>1.5</v>
      </c>
      <c r="R29" s="89">
        <v>1</v>
      </c>
      <c r="S29" s="89">
        <v>0.875</v>
      </c>
      <c r="T29" s="89"/>
      <c r="U29" s="89">
        <v>1</v>
      </c>
      <c r="V29" s="89">
        <v>1.5</v>
      </c>
      <c r="W29" s="89">
        <v>1</v>
      </c>
      <c r="X29" s="89">
        <v>1.5</v>
      </c>
      <c r="Y29" s="89">
        <v>1.5</v>
      </c>
      <c r="Z29" s="89">
        <v>0.125</v>
      </c>
      <c r="AA29" s="89"/>
      <c r="AB29" s="89">
        <v>1</v>
      </c>
      <c r="AC29" s="89">
        <v>1.5</v>
      </c>
      <c r="AD29" s="89">
        <v>1</v>
      </c>
      <c r="AE29" s="89">
        <v>1.5</v>
      </c>
      <c r="AF29" s="89">
        <v>1</v>
      </c>
      <c r="AG29" s="89">
        <v>1</v>
      </c>
      <c r="AH29" s="89"/>
      <c r="AI29" s="89">
        <v>1</v>
      </c>
      <c r="AJ29" s="89">
        <v>1.5</v>
      </c>
      <c r="AK29" s="89">
        <v>1</v>
      </c>
      <c r="AL29" s="89">
        <v>1.5</v>
      </c>
      <c r="AM29" s="89">
        <v>1</v>
      </c>
      <c r="AN29" s="90">
        <f t="shared" si="4"/>
        <v>30</v>
      </c>
      <c r="AO29" s="86">
        <v>230000</v>
      </c>
      <c r="AP29" s="91">
        <f t="shared" si="5"/>
        <v>6900000</v>
      </c>
    </row>
    <row r="30" spans="1:42" ht="24.95" customHeight="1">
      <c r="A30" s="84">
        <v>25</v>
      </c>
      <c r="B30" s="84" t="s">
        <v>543</v>
      </c>
      <c r="C30" s="85" t="s">
        <v>573</v>
      </c>
      <c r="D30" s="36" t="s">
        <v>225</v>
      </c>
      <c r="E30" s="36" t="s">
        <v>602</v>
      </c>
      <c r="F30" s="94" t="s">
        <v>226</v>
      </c>
      <c r="G30" s="87" t="s">
        <v>543</v>
      </c>
      <c r="H30" s="88" t="s">
        <v>632</v>
      </c>
      <c r="I30" s="89">
        <v>2</v>
      </c>
      <c r="J30" s="89">
        <v>2</v>
      </c>
      <c r="K30" s="89">
        <v>2</v>
      </c>
      <c r="L30" s="89"/>
      <c r="M30" s="89"/>
      <c r="N30" s="89">
        <v>2</v>
      </c>
      <c r="O30" s="89">
        <v>2</v>
      </c>
      <c r="P30" s="89">
        <v>2</v>
      </c>
      <c r="Q30" s="89">
        <v>2</v>
      </c>
      <c r="R30" s="89">
        <v>2</v>
      </c>
      <c r="S30" s="89"/>
      <c r="T30" s="89"/>
      <c r="U30" s="89">
        <v>0.5</v>
      </c>
      <c r="V30" s="89">
        <v>2</v>
      </c>
      <c r="W30" s="89">
        <v>2</v>
      </c>
      <c r="X30" s="89">
        <v>2</v>
      </c>
      <c r="Y30" s="89"/>
      <c r="Z30" s="89"/>
      <c r="AA30" s="89"/>
      <c r="AB30" s="89">
        <v>2</v>
      </c>
      <c r="AC30" s="89">
        <v>2</v>
      </c>
      <c r="AD30" s="89">
        <v>2</v>
      </c>
      <c r="AE30" s="89">
        <v>2</v>
      </c>
      <c r="AF30" s="89">
        <v>2</v>
      </c>
      <c r="AG30" s="89"/>
      <c r="AH30" s="89"/>
      <c r="AI30" s="89">
        <v>2</v>
      </c>
      <c r="AJ30" s="89">
        <v>2</v>
      </c>
      <c r="AK30" s="89">
        <v>2</v>
      </c>
      <c r="AL30" s="89">
        <v>2</v>
      </c>
      <c r="AM30" s="89">
        <v>2</v>
      </c>
      <c r="AN30" s="90">
        <f t="shared" si="4"/>
        <v>42.5</v>
      </c>
      <c r="AO30" s="86">
        <v>150000</v>
      </c>
      <c r="AP30" s="91">
        <f t="shared" si="5"/>
        <v>6375000</v>
      </c>
    </row>
    <row r="31" spans="1:42" ht="24.95" customHeight="1">
      <c r="A31" s="84">
        <v>26</v>
      </c>
      <c r="B31" s="84" t="s">
        <v>717</v>
      </c>
      <c r="C31" s="85" t="s">
        <v>778</v>
      </c>
      <c r="D31" s="36" t="s">
        <v>340</v>
      </c>
      <c r="E31" s="126" t="s">
        <v>840</v>
      </c>
      <c r="F31" s="96" t="s">
        <v>229</v>
      </c>
      <c r="G31" s="87" t="s">
        <v>717</v>
      </c>
      <c r="H31" s="88" t="s">
        <v>901</v>
      </c>
      <c r="I31" s="89">
        <v>1</v>
      </c>
      <c r="J31" s="89">
        <v>1.5</v>
      </c>
      <c r="K31" s="89">
        <v>1</v>
      </c>
      <c r="L31" s="89">
        <v>1</v>
      </c>
      <c r="M31" s="89"/>
      <c r="N31" s="89">
        <v>1</v>
      </c>
      <c r="O31" s="89">
        <v>1.5</v>
      </c>
      <c r="P31" s="89">
        <v>1</v>
      </c>
      <c r="Q31" s="89">
        <v>1.5</v>
      </c>
      <c r="R31" s="89">
        <v>1</v>
      </c>
      <c r="S31" s="89">
        <v>1</v>
      </c>
      <c r="T31" s="89"/>
      <c r="U31" s="89">
        <v>1</v>
      </c>
      <c r="V31" s="89">
        <v>1.5</v>
      </c>
      <c r="W31" s="89">
        <v>1</v>
      </c>
      <c r="X31" s="89">
        <v>1.5</v>
      </c>
      <c r="Y31" s="89">
        <v>1.5</v>
      </c>
      <c r="Z31" s="89">
        <v>1</v>
      </c>
      <c r="AA31" s="89"/>
      <c r="AB31" s="89">
        <v>1</v>
      </c>
      <c r="AC31" s="89">
        <v>1.5</v>
      </c>
      <c r="AD31" s="89">
        <v>1</v>
      </c>
      <c r="AE31" s="89">
        <v>1.5</v>
      </c>
      <c r="AF31" s="89">
        <v>1</v>
      </c>
      <c r="AG31" s="89">
        <v>1</v>
      </c>
      <c r="AH31" s="89"/>
      <c r="AI31" s="89"/>
      <c r="AJ31" s="89"/>
      <c r="AK31" s="89"/>
      <c r="AL31" s="89"/>
      <c r="AM31" s="89"/>
      <c r="AN31" s="90">
        <f t="shared" si="4"/>
        <v>26</v>
      </c>
      <c r="AO31" s="86">
        <v>220000</v>
      </c>
      <c r="AP31" s="91">
        <f t="shared" si="5"/>
        <v>5720000</v>
      </c>
    </row>
    <row r="32" spans="1:42" ht="24.95" customHeight="1">
      <c r="A32" s="84">
        <v>27</v>
      </c>
      <c r="B32" s="84" t="s">
        <v>990</v>
      </c>
      <c r="C32" s="85" t="s">
        <v>1039</v>
      </c>
      <c r="D32" s="36" t="s">
        <v>225</v>
      </c>
      <c r="E32" s="126" t="s">
        <v>1092</v>
      </c>
      <c r="F32" s="94" t="s">
        <v>229</v>
      </c>
      <c r="G32" s="87" t="s">
        <v>990</v>
      </c>
      <c r="H32" s="88" t="s">
        <v>1143</v>
      </c>
      <c r="I32" s="89"/>
      <c r="J32" s="89"/>
      <c r="K32" s="89"/>
      <c r="L32" s="89"/>
      <c r="M32" s="89"/>
      <c r="N32" s="89">
        <v>0.6875</v>
      </c>
      <c r="O32" s="89">
        <v>1.125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>
        <v>0.75</v>
      </c>
      <c r="AF32" s="89">
        <v>1</v>
      </c>
      <c r="AG32" s="89"/>
      <c r="AH32" s="89"/>
      <c r="AI32" s="89"/>
      <c r="AJ32" s="89">
        <v>1.5</v>
      </c>
      <c r="AK32" s="89">
        <v>1</v>
      </c>
      <c r="AL32" s="89">
        <v>1.5</v>
      </c>
      <c r="AM32" s="89">
        <v>1</v>
      </c>
      <c r="AN32" s="90">
        <f t="shared" si="4"/>
        <v>8.5625</v>
      </c>
      <c r="AO32" s="86">
        <v>160000</v>
      </c>
      <c r="AP32" s="91">
        <f t="shared" si="5"/>
        <v>1370000</v>
      </c>
    </row>
    <row r="33" spans="1:42" ht="24.95" customHeight="1">
      <c r="A33" s="84">
        <v>28</v>
      </c>
      <c r="B33" s="84" t="s">
        <v>748</v>
      </c>
      <c r="C33" s="85" t="s">
        <v>810</v>
      </c>
      <c r="D33" s="36" t="s">
        <v>1081</v>
      </c>
      <c r="E33" s="36" t="s">
        <v>871</v>
      </c>
      <c r="F33" s="94" t="s">
        <v>226</v>
      </c>
      <c r="G33" s="87" t="s">
        <v>748</v>
      </c>
      <c r="H33" s="88" t="s">
        <v>930</v>
      </c>
      <c r="I33" s="89">
        <v>1</v>
      </c>
      <c r="J33" s="89">
        <v>1.5</v>
      </c>
      <c r="K33" s="89">
        <v>1</v>
      </c>
      <c r="L33" s="89">
        <v>1</v>
      </c>
      <c r="M33" s="89"/>
      <c r="N33" s="89">
        <v>1</v>
      </c>
      <c r="O33" s="89">
        <v>1.5</v>
      </c>
      <c r="P33" s="89">
        <v>0.75</v>
      </c>
      <c r="Q33" s="89">
        <v>1.5</v>
      </c>
      <c r="R33" s="89">
        <v>1</v>
      </c>
      <c r="S33" s="89">
        <v>1</v>
      </c>
      <c r="T33" s="89"/>
      <c r="U33" s="89">
        <v>2</v>
      </c>
      <c r="V33" s="89">
        <v>2</v>
      </c>
      <c r="W33" s="89">
        <v>2</v>
      </c>
      <c r="X33" s="89">
        <v>2</v>
      </c>
      <c r="Y33" s="89"/>
      <c r="Z33" s="89"/>
      <c r="AA33" s="89"/>
      <c r="AB33" s="89">
        <v>2</v>
      </c>
      <c r="AC33" s="89">
        <v>2</v>
      </c>
      <c r="AD33" s="89">
        <v>2</v>
      </c>
      <c r="AE33" s="89">
        <v>2</v>
      </c>
      <c r="AF33" s="89">
        <v>2</v>
      </c>
      <c r="AG33" s="89"/>
      <c r="AH33" s="89"/>
      <c r="AI33" s="89"/>
      <c r="AJ33" s="89">
        <v>2</v>
      </c>
      <c r="AK33" s="89">
        <v>2</v>
      </c>
      <c r="AL33" s="89">
        <v>2</v>
      </c>
      <c r="AM33" s="89">
        <v>2</v>
      </c>
      <c r="AN33" s="90">
        <f t="shared" si="4"/>
        <v>37.25</v>
      </c>
      <c r="AO33" s="86">
        <v>190000</v>
      </c>
      <c r="AP33" s="91">
        <f t="shared" si="5"/>
        <v>7077500</v>
      </c>
    </row>
    <row r="34" spans="1:42" ht="24.95" customHeight="1">
      <c r="A34" s="84">
        <v>29</v>
      </c>
      <c r="B34" s="84" t="s">
        <v>718</v>
      </c>
      <c r="C34" s="85" t="s">
        <v>779</v>
      </c>
      <c r="D34" s="36" t="s">
        <v>225</v>
      </c>
      <c r="E34" s="36" t="s">
        <v>841</v>
      </c>
      <c r="F34" s="94" t="s">
        <v>226</v>
      </c>
      <c r="G34" s="87" t="s">
        <v>718</v>
      </c>
      <c r="H34" s="88" t="s">
        <v>902</v>
      </c>
      <c r="I34" s="89">
        <v>0.5</v>
      </c>
      <c r="J34" s="89"/>
      <c r="K34" s="89">
        <v>1</v>
      </c>
      <c r="L34" s="89">
        <v>1</v>
      </c>
      <c r="M34" s="89"/>
      <c r="N34" s="89">
        <v>1</v>
      </c>
      <c r="O34" s="89">
        <v>1.5</v>
      </c>
      <c r="P34" s="89">
        <v>1</v>
      </c>
      <c r="Q34" s="89">
        <v>1.5</v>
      </c>
      <c r="R34" s="89">
        <v>1</v>
      </c>
      <c r="S34" s="89">
        <v>1</v>
      </c>
      <c r="T34" s="89"/>
      <c r="U34" s="89"/>
      <c r="V34" s="89">
        <v>1.5</v>
      </c>
      <c r="W34" s="89">
        <v>1</v>
      </c>
      <c r="X34" s="89">
        <v>1.5</v>
      </c>
      <c r="Y34" s="89">
        <v>1.5</v>
      </c>
      <c r="Z34" s="89">
        <v>1</v>
      </c>
      <c r="AA34" s="89"/>
      <c r="AB34" s="89">
        <v>1</v>
      </c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90">
        <f t="shared" si="4"/>
        <v>17</v>
      </c>
      <c r="AO34" s="86">
        <v>160000</v>
      </c>
      <c r="AP34" s="91">
        <f t="shared" si="5"/>
        <v>2720000</v>
      </c>
    </row>
    <row r="35" spans="1:42" ht="24.95" customHeight="1">
      <c r="A35" s="84">
        <v>30</v>
      </c>
      <c r="B35" s="84" t="s">
        <v>719</v>
      </c>
      <c r="C35" s="85" t="s">
        <v>780</v>
      </c>
      <c r="D35" s="36" t="s">
        <v>225</v>
      </c>
      <c r="E35" s="36" t="s">
        <v>842</v>
      </c>
      <c r="F35" s="94" t="s">
        <v>230</v>
      </c>
      <c r="G35" s="87" t="s">
        <v>719</v>
      </c>
      <c r="H35" s="88" t="s">
        <v>903</v>
      </c>
      <c r="I35" s="89">
        <v>1</v>
      </c>
      <c r="J35" s="89"/>
      <c r="K35" s="89">
        <v>1</v>
      </c>
      <c r="L35" s="89"/>
      <c r="M35" s="89"/>
      <c r="N35" s="89">
        <v>1</v>
      </c>
      <c r="O35" s="89">
        <v>1.5</v>
      </c>
      <c r="P35" s="89">
        <v>1</v>
      </c>
      <c r="Q35" s="89">
        <v>1.5</v>
      </c>
      <c r="R35" s="89">
        <v>1</v>
      </c>
      <c r="S35" s="89">
        <v>1</v>
      </c>
      <c r="T35" s="89"/>
      <c r="U35" s="89">
        <v>1</v>
      </c>
      <c r="V35" s="89"/>
      <c r="W35" s="89">
        <v>1</v>
      </c>
      <c r="X35" s="89">
        <v>1.5</v>
      </c>
      <c r="Y35" s="89">
        <v>1.5</v>
      </c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90">
        <f t="shared" si="4"/>
        <v>14</v>
      </c>
      <c r="AO35" s="86">
        <v>170000</v>
      </c>
      <c r="AP35" s="91">
        <f t="shared" si="5"/>
        <v>2380000</v>
      </c>
    </row>
    <row r="36" spans="1:42" ht="24.95" customHeight="1">
      <c r="A36" s="84">
        <v>31</v>
      </c>
      <c r="B36" s="84" t="s">
        <v>991</v>
      </c>
      <c r="C36" s="85" t="s">
        <v>1040</v>
      </c>
      <c r="D36" s="36" t="s">
        <v>340</v>
      </c>
      <c r="E36" s="36" t="s">
        <v>1093</v>
      </c>
      <c r="F36" s="94" t="s">
        <v>1140</v>
      </c>
      <c r="G36" s="87" t="s">
        <v>991</v>
      </c>
      <c r="H36" s="88" t="s">
        <v>1144</v>
      </c>
      <c r="I36" s="89"/>
      <c r="J36" s="89"/>
      <c r="K36" s="89"/>
      <c r="L36" s="89"/>
      <c r="M36" s="89"/>
      <c r="N36" s="89">
        <v>0.6875</v>
      </c>
      <c r="O36" s="89">
        <v>1.125</v>
      </c>
      <c r="P36" s="89">
        <v>0.5</v>
      </c>
      <c r="Q36" s="89">
        <v>0.625</v>
      </c>
      <c r="R36" s="89">
        <v>1</v>
      </c>
      <c r="S36" s="89"/>
      <c r="T36" s="89"/>
      <c r="U36" s="89">
        <v>1</v>
      </c>
      <c r="V36" s="89">
        <v>1.5</v>
      </c>
      <c r="W36" s="89">
        <v>1</v>
      </c>
      <c r="X36" s="89">
        <v>1.5</v>
      </c>
      <c r="Y36" s="89">
        <v>1.5</v>
      </c>
      <c r="Z36" s="89">
        <v>1</v>
      </c>
      <c r="AA36" s="89"/>
      <c r="AB36" s="89"/>
      <c r="AC36" s="89">
        <v>2</v>
      </c>
      <c r="AD36" s="89">
        <v>2</v>
      </c>
      <c r="AE36" s="89">
        <v>2</v>
      </c>
      <c r="AF36" s="89">
        <v>2</v>
      </c>
      <c r="AG36" s="89"/>
      <c r="AH36" s="89"/>
      <c r="AI36" s="89">
        <v>2</v>
      </c>
      <c r="AJ36" s="89">
        <v>2</v>
      </c>
      <c r="AK36" s="89">
        <v>2</v>
      </c>
      <c r="AL36" s="89">
        <v>2</v>
      </c>
      <c r="AM36" s="89">
        <v>2</v>
      </c>
      <c r="AN36" s="90">
        <f t="shared" si="4"/>
        <v>29.4375</v>
      </c>
      <c r="AO36" s="86">
        <v>200000</v>
      </c>
      <c r="AP36" s="91">
        <f t="shared" si="5"/>
        <v>5887500</v>
      </c>
    </row>
    <row r="37" spans="1:42" ht="24.95" customHeight="1">
      <c r="A37" s="84">
        <v>32</v>
      </c>
      <c r="B37" s="84" t="s">
        <v>720</v>
      </c>
      <c r="C37" s="85" t="s">
        <v>781</v>
      </c>
      <c r="D37" s="36" t="s">
        <v>225</v>
      </c>
      <c r="E37" s="36" t="s">
        <v>843</v>
      </c>
      <c r="F37" s="96" t="s">
        <v>304</v>
      </c>
      <c r="G37" s="87" t="s">
        <v>720</v>
      </c>
      <c r="H37" s="88" t="s">
        <v>904</v>
      </c>
      <c r="I37" s="89">
        <v>2</v>
      </c>
      <c r="J37" s="89">
        <v>2</v>
      </c>
      <c r="K37" s="89">
        <v>2</v>
      </c>
      <c r="L37" s="89"/>
      <c r="M37" s="89"/>
      <c r="N37" s="89">
        <v>2</v>
      </c>
      <c r="O37" s="89">
        <v>2</v>
      </c>
      <c r="P37" s="89">
        <v>2</v>
      </c>
      <c r="Q37" s="89">
        <v>2</v>
      </c>
      <c r="R37" s="89">
        <v>2</v>
      </c>
      <c r="S37" s="89"/>
      <c r="T37" s="89"/>
      <c r="U37" s="89">
        <v>2</v>
      </c>
      <c r="V37" s="89">
        <v>2</v>
      </c>
      <c r="W37" s="89">
        <v>2</v>
      </c>
      <c r="X37" s="89">
        <v>2</v>
      </c>
      <c r="Y37" s="89"/>
      <c r="Z37" s="89"/>
      <c r="AA37" s="89"/>
      <c r="AB37" s="89">
        <v>2</v>
      </c>
      <c r="AC37" s="89">
        <v>2</v>
      </c>
      <c r="AD37" s="89">
        <v>2</v>
      </c>
      <c r="AE37" s="89">
        <v>2</v>
      </c>
      <c r="AF37" s="89">
        <v>2</v>
      </c>
      <c r="AG37" s="89"/>
      <c r="AH37" s="89"/>
      <c r="AI37" s="89">
        <v>2</v>
      </c>
      <c r="AJ37" s="89">
        <v>2</v>
      </c>
      <c r="AK37" s="89">
        <v>2</v>
      </c>
      <c r="AL37" s="89">
        <v>2</v>
      </c>
      <c r="AM37" s="89">
        <v>2</v>
      </c>
      <c r="AN37" s="90">
        <f t="shared" si="4"/>
        <v>44</v>
      </c>
      <c r="AO37" s="86">
        <v>160000</v>
      </c>
      <c r="AP37" s="91">
        <f t="shared" si="5"/>
        <v>7040000</v>
      </c>
    </row>
    <row r="38" spans="1:42" ht="24.95" customHeight="1">
      <c r="A38" s="84">
        <v>33</v>
      </c>
      <c r="B38" s="84" t="s">
        <v>992</v>
      </c>
      <c r="C38" s="85" t="s">
        <v>1041</v>
      </c>
      <c r="D38" s="128" t="s">
        <v>225</v>
      </c>
      <c r="E38" s="36" t="s">
        <v>1094</v>
      </c>
      <c r="F38" s="94" t="s">
        <v>1140</v>
      </c>
      <c r="G38" s="87" t="s">
        <v>992</v>
      </c>
      <c r="H38" s="88" t="s">
        <v>1145</v>
      </c>
      <c r="I38" s="89"/>
      <c r="J38" s="89"/>
      <c r="K38" s="89"/>
      <c r="L38" s="89"/>
      <c r="M38" s="89"/>
      <c r="N38" s="89">
        <v>0.6875</v>
      </c>
      <c r="O38" s="89">
        <v>1.125</v>
      </c>
      <c r="P38" s="89"/>
      <c r="Q38" s="89">
        <v>0.625</v>
      </c>
      <c r="R38" s="89">
        <v>1</v>
      </c>
      <c r="S38" s="89"/>
      <c r="T38" s="89"/>
      <c r="U38" s="89">
        <v>1</v>
      </c>
      <c r="V38" s="89">
        <v>1.5</v>
      </c>
      <c r="W38" s="89">
        <v>1</v>
      </c>
      <c r="X38" s="89">
        <v>1</v>
      </c>
      <c r="Y38" s="89">
        <v>1.5</v>
      </c>
      <c r="Z38" s="89">
        <v>1</v>
      </c>
      <c r="AA38" s="89"/>
      <c r="AB38" s="89">
        <v>1</v>
      </c>
      <c r="AC38" s="89">
        <v>1.5</v>
      </c>
      <c r="AD38" s="89">
        <v>1</v>
      </c>
      <c r="AE38" s="89">
        <v>1.5</v>
      </c>
      <c r="AF38" s="89">
        <v>1</v>
      </c>
      <c r="AG38" s="89">
        <v>1</v>
      </c>
      <c r="AH38" s="89"/>
      <c r="AI38" s="89">
        <v>1</v>
      </c>
      <c r="AJ38" s="89">
        <v>1.5</v>
      </c>
      <c r="AK38" s="89">
        <v>1</v>
      </c>
      <c r="AL38" s="89">
        <v>1.5</v>
      </c>
      <c r="AM38" s="89">
        <v>0.5</v>
      </c>
      <c r="AN38" s="90">
        <f t="shared" ref="AN38:AN66" si="6">SUM(I38:AM38)</f>
        <v>22.9375</v>
      </c>
      <c r="AO38" s="86">
        <v>150000</v>
      </c>
      <c r="AP38" s="91">
        <f t="shared" ref="AP38:AP66" si="7">AN38*AO38</f>
        <v>3440625</v>
      </c>
    </row>
    <row r="39" spans="1:42" ht="24.95" customHeight="1">
      <c r="A39" s="84">
        <v>34</v>
      </c>
      <c r="B39" s="84" t="s">
        <v>750</v>
      </c>
      <c r="C39" s="85" t="s">
        <v>812</v>
      </c>
      <c r="D39" s="128" t="s">
        <v>228</v>
      </c>
      <c r="E39" s="126" t="s">
        <v>873</v>
      </c>
      <c r="F39" s="94" t="s">
        <v>226</v>
      </c>
      <c r="G39" s="87" t="s">
        <v>750</v>
      </c>
      <c r="H39" s="88" t="s">
        <v>932</v>
      </c>
      <c r="I39" s="89">
        <v>1</v>
      </c>
      <c r="J39" s="89">
        <v>1.5</v>
      </c>
      <c r="K39" s="89">
        <v>1</v>
      </c>
      <c r="L39" s="89">
        <v>1</v>
      </c>
      <c r="M39" s="89"/>
      <c r="N39" s="89">
        <v>1</v>
      </c>
      <c r="O39" s="89">
        <v>1.5</v>
      </c>
      <c r="P39" s="89">
        <v>1</v>
      </c>
      <c r="Q39" s="89">
        <v>1.5</v>
      </c>
      <c r="R39" s="89">
        <v>1</v>
      </c>
      <c r="S39" s="89">
        <v>1</v>
      </c>
      <c r="T39" s="89"/>
      <c r="U39" s="89">
        <v>2</v>
      </c>
      <c r="V39" s="89">
        <v>2</v>
      </c>
      <c r="W39" s="89">
        <v>2</v>
      </c>
      <c r="X39" s="89">
        <v>2</v>
      </c>
      <c r="Y39" s="89"/>
      <c r="Z39" s="89"/>
      <c r="AA39" s="89"/>
      <c r="AB39" s="89">
        <v>2</v>
      </c>
      <c r="AC39" s="89">
        <v>2</v>
      </c>
      <c r="AD39" s="89">
        <v>2</v>
      </c>
      <c r="AE39" s="89">
        <v>2</v>
      </c>
      <c r="AF39" s="89">
        <v>2</v>
      </c>
      <c r="AG39" s="89"/>
      <c r="AH39" s="89"/>
      <c r="AI39" s="89">
        <v>2</v>
      </c>
      <c r="AJ39" s="89">
        <v>2</v>
      </c>
      <c r="AK39" s="89">
        <v>2</v>
      </c>
      <c r="AL39" s="89">
        <v>2</v>
      </c>
      <c r="AM39" s="89">
        <v>2</v>
      </c>
      <c r="AN39" s="90">
        <f t="shared" si="6"/>
        <v>39.5</v>
      </c>
      <c r="AO39" s="86">
        <v>220000</v>
      </c>
      <c r="AP39" s="91">
        <f t="shared" si="7"/>
        <v>8690000</v>
      </c>
    </row>
    <row r="40" spans="1:42" ht="24.95" customHeight="1">
      <c r="A40" s="84">
        <v>35</v>
      </c>
      <c r="B40" s="84" t="s">
        <v>442</v>
      </c>
      <c r="C40" s="85" t="s">
        <v>464</v>
      </c>
      <c r="D40" s="36" t="s">
        <v>225</v>
      </c>
      <c r="E40" s="126" t="s">
        <v>486</v>
      </c>
      <c r="F40" s="94" t="s">
        <v>226</v>
      </c>
      <c r="G40" s="87" t="s">
        <v>442</v>
      </c>
      <c r="H40" s="88" t="s">
        <v>1146</v>
      </c>
      <c r="I40" s="89">
        <v>2</v>
      </c>
      <c r="J40" s="89">
        <v>2</v>
      </c>
      <c r="K40" s="89">
        <v>2</v>
      </c>
      <c r="L40" s="89"/>
      <c r="M40" s="89"/>
      <c r="N40" s="89">
        <v>2</v>
      </c>
      <c r="O40" s="89">
        <v>2</v>
      </c>
      <c r="P40" s="89">
        <v>2</v>
      </c>
      <c r="Q40" s="89">
        <v>2</v>
      </c>
      <c r="R40" s="89">
        <v>2</v>
      </c>
      <c r="S40" s="89"/>
      <c r="T40" s="89"/>
      <c r="U40" s="89">
        <v>2</v>
      </c>
      <c r="V40" s="89">
        <v>2</v>
      </c>
      <c r="W40" s="89">
        <v>2</v>
      </c>
      <c r="X40" s="89">
        <v>2</v>
      </c>
      <c r="Y40" s="89"/>
      <c r="Z40" s="89"/>
      <c r="AA40" s="89"/>
      <c r="AB40" s="89">
        <v>2</v>
      </c>
      <c r="AC40" s="89">
        <v>2</v>
      </c>
      <c r="AD40" s="89">
        <v>2</v>
      </c>
      <c r="AE40" s="89">
        <v>2</v>
      </c>
      <c r="AF40" s="89">
        <v>2</v>
      </c>
      <c r="AG40" s="89"/>
      <c r="AH40" s="89"/>
      <c r="AI40" s="89">
        <v>2</v>
      </c>
      <c r="AJ40" s="89">
        <v>2</v>
      </c>
      <c r="AK40" s="89">
        <v>2</v>
      </c>
      <c r="AL40" s="89">
        <v>2</v>
      </c>
      <c r="AM40" s="89">
        <v>2</v>
      </c>
      <c r="AN40" s="90">
        <f t="shared" si="6"/>
        <v>44</v>
      </c>
      <c r="AO40" s="86">
        <v>170000</v>
      </c>
      <c r="AP40" s="91">
        <f t="shared" si="7"/>
        <v>7480000</v>
      </c>
    </row>
    <row r="41" spans="1:42" ht="24.95" customHeight="1">
      <c r="A41" s="84">
        <v>36</v>
      </c>
      <c r="B41" s="84" t="s">
        <v>544</v>
      </c>
      <c r="C41" s="85" t="s">
        <v>574</v>
      </c>
      <c r="D41" s="36" t="s">
        <v>227</v>
      </c>
      <c r="E41" s="126" t="s">
        <v>603</v>
      </c>
      <c r="F41" s="94" t="s">
        <v>230</v>
      </c>
      <c r="G41" s="87" t="s">
        <v>544</v>
      </c>
      <c r="H41" s="88" t="s">
        <v>633</v>
      </c>
      <c r="I41" s="89">
        <v>2</v>
      </c>
      <c r="J41" s="89">
        <v>2</v>
      </c>
      <c r="K41" s="89">
        <v>2</v>
      </c>
      <c r="L41" s="89"/>
      <c r="M41" s="89"/>
      <c r="N41" s="89">
        <v>2</v>
      </c>
      <c r="O41" s="89">
        <v>2</v>
      </c>
      <c r="P41" s="89">
        <v>2</v>
      </c>
      <c r="Q41" s="89">
        <v>2</v>
      </c>
      <c r="R41" s="89">
        <v>2</v>
      </c>
      <c r="S41" s="89"/>
      <c r="T41" s="89"/>
      <c r="U41" s="89">
        <v>2</v>
      </c>
      <c r="V41" s="89">
        <v>2</v>
      </c>
      <c r="W41" s="89">
        <v>2</v>
      </c>
      <c r="X41" s="89">
        <v>2</v>
      </c>
      <c r="Y41" s="89"/>
      <c r="Z41" s="89"/>
      <c r="AA41" s="89"/>
      <c r="AB41" s="89">
        <v>2</v>
      </c>
      <c r="AC41" s="89">
        <v>2</v>
      </c>
      <c r="AD41" s="89">
        <v>2</v>
      </c>
      <c r="AE41" s="89">
        <v>2</v>
      </c>
      <c r="AF41" s="89">
        <v>2</v>
      </c>
      <c r="AG41" s="89"/>
      <c r="AH41" s="89"/>
      <c r="AI41" s="89">
        <v>2</v>
      </c>
      <c r="AJ41" s="89">
        <v>2</v>
      </c>
      <c r="AK41" s="89">
        <v>2</v>
      </c>
      <c r="AL41" s="89">
        <v>2</v>
      </c>
      <c r="AM41" s="89">
        <v>2</v>
      </c>
      <c r="AN41" s="90">
        <f t="shared" si="6"/>
        <v>44</v>
      </c>
      <c r="AO41" s="86">
        <v>250000</v>
      </c>
      <c r="AP41" s="91">
        <f t="shared" si="7"/>
        <v>11000000</v>
      </c>
    </row>
    <row r="42" spans="1:42" ht="24.95" customHeight="1">
      <c r="A42" s="84">
        <v>37</v>
      </c>
      <c r="B42" s="84" t="s">
        <v>993</v>
      </c>
      <c r="C42" s="85" t="s">
        <v>1042</v>
      </c>
      <c r="D42" s="36" t="s">
        <v>225</v>
      </c>
      <c r="E42" s="126" t="s">
        <v>1095</v>
      </c>
      <c r="F42" s="94" t="s">
        <v>1147</v>
      </c>
      <c r="G42" s="87" t="s">
        <v>993</v>
      </c>
      <c r="H42" s="88" t="s">
        <v>1148</v>
      </c>
      <c r="I42" s="89"/>
      <c r="J42" s="89"/>
      <c r="K42" s="89"/>
      <c r="L42" s="89"/>
      <c r="M42" s="89"/>
      <c r="N42" s="89">
        <v>0.6875</v>
      </c>
      <c r="O42" s="89">
        <v>1.125</v>
      </c>
      <c r="P42" s="89"/>
      <c r="Q42" s="89">
        <v>0.625</v>
      </c>
      <c r="R42" s="89">
        <v>1</v>
      </c>
      <c r="S42" s="89"/>
      <c r="T42" s="89"/>
      <c r="U42" s="89">
        <v>1</v>
      </c>
      <c r="V42" s="89">
        <v>1.5</v>
      </c>
      <c r="W42" s="89">
        <v>1</v>
      </c>
      <c r="X42" s="89">
        <v>1.5</v>
      </c>
      <c r="Y42" s="89">
        <v>1.5</v>
      </c>
      <c r="Z42" s="89">
        <v>1</v>
      </c>
      <c r="AA42" s="89"/>
      <c r="AB42" s="89"/>
      <c r="AC42" s="89">
        <v>1.5</v>
      </c>
      <c r="AD42" s="89">
        <v>1</v>
      </c>
      <c r="AE42" s="89">
        <v>1.5</v>
      </c>
      <c r="AF42" s="89">
        <v>1</v>
      </c>
      <c r="AG42" s="89">
        <v>1</v>
      </c>
      <c r="AH42" s="89"/>
      <c r="AI42" s="89">
        <v>1</v>
      </c>
      <c r="AJ42" s="89">
        <v>1.5</v>
      </c>
      <c r="AK42" s="89">
        <v>1</v>
      </c>
      <c r="AL42" s="89">
        <v>1.5</v>
      </c>
      <c r="AM42" s="89">
        <v>1</v>
      </c>
      <c r="AN42" s="90">
        <f t="shared" si="6"/>
        <v>22.9375</v>
      </c>
      <c r="AO42" s="86">
        <v>170000</v>
      </c>
      <c r="AP42" s="91">
        <f t="shared" si="7"/>
        <v>3899375</v>
      </c>
    </row>
    <row r="43" spans="1:42" ht="24.95" customHeight="1">
      <c r="A43" s="84">
        <v>38</v>
      </c>
      <c r="B43" s="84" t="s">
        <v>443</v>
      </c>
      <c r="C43" s="85" t="s">
        <v>465</v>
      </c>
      <c r="D43" s="36" t="s">
        <v>225</v>
      </c>
      <c r="E43" s="126" t="s">
        <v>487</v>
      </c>
      <c r="F43" s="94" t="s">
        <v>226</v>
      </c>
      <c r="G43" s="87" t="s">
        <v>443</v>
      </c>
      <c r="H43" s="88" t="s">
        <v>508</v>
      </c>
      <c r="I43" s="89">
        <v>2</v>
      </c>
      <c r="J43" s="89">
        <v>2</v>
      </c>
      <c r="K43" s="89">
        <v>2</v>
      </c>
      <c r="L43" s="89"/>
      <c r="M43" s="89"/>
      <c r="N43" s="89">
        <v>2</v>
      </c>
      <c r="O43" s="89">
        <v>2</v>
      </c>
      <c r="P43" s="89">
        <v>2</v>
      </c>
      <c r="Q43" s="89">
        <v>2</v>
      </c>
      <c r="R43" s="89">
        <v>2</v>
      </c>
      <c r="S43" s="89"/>
      <c r="T43" s="89"/>
      <c r="U43" s="89">
        <v>2</v>
      </c>
      <c r="V43" s="89">
        <v>2</v>
      </c>
      <c r="W43" s="89">
        <v>2</v>
      </c>
      <c r="X43" s="89">
        <v>2</v>
      </c>
      <c r="Y43" s="89"/>
      <c r="Z43" s="89"/>
      <c r="AA43" s="89"/>
      <c r="AB43" s="89">
        <v>2</v>
      </c>
      <c r="AC43" s="89">
        <v>2</v>
      </c>
      <c r="AD43" s="89">
        <v>2</v>
      </c>
      <c r="AE43" s="89">
        <v>2</v>
      </c>
      <c r="AF43" s="89">
        <v>2</v>
      </c>
      <c r="AG43" s="89"/>
      <c r="AH43" s="89"/>
      <c r="AI43" s="89">
        <v>2</v>
      </c>
      <c r="AJ43" s="89">
        <v>2</v>
      </c>
      <c r="AK43" s="89">
        <v>2</v>
      </c>
      <c r="AL43" s="89">
        <v>2</v>
      </c>
      <c r="AM43" s="89">
        <v>2</v>
      </c>
      <c r="AN43" s="90">
        <f t="shared" si="6"/>
        <v>44</v>
      </c>
      <c r="AO43" s="86">
        <v>160000</v>
      </c>
      <c r="AP43" s="91">
        <f t="shared" si="7"/>
        <v>7040000</v>
      </c>
    </row>
    <row r="44" spans="1:42" ht="24.95" customHeight="1">
      <c r="A44" s="84">
        <v>39</v>
      </c>
      <c r="B44" s="84" t="s">
        <v>352</v>
      </c>
      <c r="C44" s="85" t="s">
        <v>353</v>
      </c>
      <c r="D44" s="128" t="s">
        <v>227</v>
      </c>
      <c r="E44" s="36" t="s">
        <v>354</v>
      </c>
      <c r="F44" s="96" t="s">
        <v>297</v>
      </c>
      <c r="G44" s="87" t="s">
        <v>352</v>
      </c>
      <c r="H44" s="88" t="s">
        <v>354</v>
      </c>
      <c r="I44" s="89">
        <v>2</v>
      </c>
      <c r="J44" s="89">
        <v>2</v>
      </c>
      <c r="K44" s="89">
        <v>2</v>
      </c>
      <c r="L44" s="89"/>
      <c r="M44" s="89"/>
      <c r="N44" s="89">
        <v>2</v>
      </c>
      <c r="O44" s="89">
        <v>1.75</v>
      </c>
      <c r="P44" s="89">
        <v>2</v>
      </c>
      <c r="Q44" s="89">
        <v>2</v>
      </c>
      <c r="R44" s="89">
        <v>2</v>
      </c>
      <c r="S44" s="89"/>
      <c r="T44" s="89"/>
      <c r="U44" s="89">
        <v>2</v>
      </c>
      <c r="V44" s="89">
        <v>2</v>
      </c>
      <c r="W44" s="89">
        <v>2</v>
      </c>
      <c r="X44" s="89">
        <v>2</v>
      </c>
      <c r="Y44" s="89"/>
      <c r="Z44" s="89"/>
      <c r="AA44" s="89"/>
      <c r="AB44" s="89">
        <v>2</v>
      </c>
      <c r="AC44" s="89">
        <v>2</v>
      </c>
      <c r="AD44" s="89">
        <v>2</v>
      </c>
      <c r="AE44" s="89">
        <v>2</v>
      </c>
      <c r="AF44" s="89">
        <v>2</v>
      </c>
      <c r="AG44" s="89"/>
      <c r="AH44" s="89"/>
      <c r="AI44" s="89">
        <v>2</v>
      </c>
      <c r="AJ44" s="89">
        <v>2</v>
      </c>
      <c r="AK44" s="89">
        <v>2</v>
      </c>
      <c r="AL44" s="89">
        <v>2</v>
      </c>
      <c r="AM44" s="89">
        <v>2</v>
      </c>
      <c r="AN44" s="90">
        <f t="shared" si="6"/>
        <v>43.75</v>
      </c>
      <c r="AO44" s="86">
        <v>250000</v>
      </c>
      <c r="AP44" s="91">
        <f t="shared" si="7"/>
        <v>10937500</v>
      </c>
    </row>
    <row r="45" spans="1:42" ht="24.95" customHeight="1">
      <c r="A45" s="84">
        <v>40</v>
      </c>
      <c r="B45" s="84" t="s">
        <v>751</v>
      </c>
      <c r="C45" s="85" t="s">
        <v>813</v>
      </c>
      <c r="D45" s="36" t="s">
        <v>228</v>
      </c>
      <c r="E45" s="36" t="s">
        <v>874</v>
      </c>
      <c r="F45" s="94" t="s">
        <v>229</v>
      </c>
      <c r="G45" s="87" t="s">
        <v>751</v>
      </c>
      <c r="H45" s="88" t="s">
        <v>933</v>
      </c>
      <c r="I45" s="89">
        <v>1</v>
      </c>
      <c r="J45" s="89">
        <v>1.5</v>
      </c>
      <c r="K45" s="89">
        <v>1</v>
      </c>
      <c r="L45" s="89">
        <v>1</v>
      </c>
      <c r="M45" s="89"/>
      <c r="N45" s="89">
        <v>1</v>
      </c>
      <c r="O45" s="89">
        <v>1.5</v>
      </c>
      <c r="P45" s="89">
        <v>1</v>
      </c>
      <c r="Q45" s="89">
        <v>1.5</v>
      </c>
      <c r="R45" s="89">
        <v>1</v>
      </c>
      <c r="S45" s="89">
        <v>1</v>
      </c>
      <c r="T45" s="89"/>
      <c r="U45" s="89">
        <v>2</v>
      </c>
      <c r="V45" s="89">
        <v>2</v>
      </c>
      <c r="W45" s="89">
        <v>2</v>
      </c>
      <c r="X45" s="89">
        <v>2</v>
      </c>
      <c r="Y45" s="89"/>
      <c r="Z45" s="89"/>
      <c r="AA45" s="89"/>
      <c r="AB45" s="89">
        <v>2</v>
      </c>
      <c r="AC45" s="89">
        <v>2</v>
      </c>
      <c r="AD45" s="89">
        <v>2</v>
      </c>
      <c r="AE45" s="89">
        <v>2</v>
      </c>
      <c r="AF45" s="89">
        <v>2</v>
      </c>
      <c r="AG45" s="89"/>
      <c r="AH45" s="89"/>
      <c r="AI45" s="89">
        <v>2</v>
      </c>
      <c r="AJ45" s="89">
        <v>2</v>
      </c>
      <c r="AK45" s="89">
        <v>2</v>
      </c>
      <c r="AL45" s="89">
        <v>2</v>
      </c>
      <c r="AM45" s="89">
        <v>2</v>
      </c>
      <c r="AN45" s="90">
        <f t="shared" si="6"/>
        <v>39.5</v>
      </c>
      <c r="AO45" s="86">
        <v>220000</v>
      </c>
      <c r="AP45" s="91">
        <f t="shared" si="7"/>
        <v>8690000</v>
      </c>
    </row>
    <row r="46" spans="1:42" ht="24.95" customHeight="1">
      <c r="A46" s="84">
        <v>41</v>
      </c>
      <c r="B46" s="84" t="s">
        <v>721</v>
      </c>
      <c r="C46" s="85" t="s">
        <v>782</v>
      </c>
      <c r="D46" s="36" t="s">
        <v>225</v>
      </c>
      <c r="E46" s="126" t="s">
        <v>844</v>
      </c>
      <c r="F46" s="96" t="s">
        <v>229</v>
      </c>
      <c r="G46" s="87" t="s">
        <v>721</v>
      </c>
      <c r="H46" s="88" t="s">
        <v>905</v>
      </c>
      <c r="I46" s="89">
        <v>0.5</v>
      </c>
      <c r="J46" s="89">
        <v>1.5</v>
      </c>
      <c r="K46" s="89">
        <v>1</v>
      </c>
      <c r="L46" s="89"/>
      <c r="M46" s="89"/>
      <c r="N46" s="89">
        <v>2</v>
      </c>
      <c r="O46" s="89">
        <v>2</v>
      </c>
      <c r="P46" s="89">
        <v>2</v>
      </c>
      <c r="Q46" s="89">
        <v>2</v>
      </c>
      <c r="R46" s="89">
        <v>2</v>
      </c>
      <c r="S46" s="89"/>
      <c r="T46" s="89"/>
      <c r="U46" s="89">
        <v>2</v>
      </c>
      <c r="V46" s="89">
        <v>2</v>
      </c>
      <c r="W46" s="89">
        <v>2</v>
      </c>
      <c r="X46" s="89">
        <v>2</v>
      </c>
      <c r="Y46" s="89"/>
      <c r="Z46" s="89"/>
      <c r="AA46" s="89"/>
      <c r="AB46" s="89">
        <v>2</v>
      </c>
      <c r="AC46" s="89">
        <v>2</v>
      </c>
      <c r="AD46" s="89">
        <v>2</v>
      </c>
      <c r="AE46" s="89">
        <v>2</v>
      </c>
      <c r="AF46" s="89">
        <v>2</v>
      </c>
      <c r="AG46" s="89"/>
      <c r="AH46" s="89"/>
      <c r="AI46" s="89">
        <v>2</v>
      </c>
      <c r="AJ46" s="89">
        <v>2</v>
      </c>
      <c r="AK46" s="89">
        <v>2</v>
      </c>
      <c r="AL46" s="89">
        <v>1</v>
      </c>
      <c r="AM46" s="89">
        <v>2</v>
      </c>
      <c r="AN46" s="90">
        <f t="shared" si="6"/>
        <v>40</v>
      </c>
      <c r="AO46" s="86">
        <v>160000</v>
      </c>
      <c r="AP46" s="91">
        <f t="shared" si="7"/>
        <v>6400000</v>
      </c>
    </row>
    <row r="47" spans="1:42" ht="24.95" customHeight="1">
      <c r="A47" s="84">
        <v>42</v>
      </c>
      <c r="B47" s="84" t="s">
        <v>444</v>
      </c>
      <c r="C47" s="85" t="s">
        <v>466</v>
      </c>
      <c r="D47" s="128" t="s">
        <v>228</v>
      </c>
      <c r="E47" s="126" t="s">
        <v>488</v>
      </c>
      <c r="F47" s="94" t="s">
        <v>367</v>
      </c>
      <c r="G47" s="87" t="s">
        <v>444</v>
      </c>
      <c r="H47" s="88" t="s">
        <v>509</v>
      </c>
      <c r="I47" s="89">
        <v>2</v>
      </c>
      <c r="J47" s="89">
        <v>2</v>
      </c>
      <c r="K47" s="89">
        <v>2</v>
      </c>
      <c r="L47" s="89"/>
      <c r="M47" s="89"/>
      <c r="N47" s="89">
        <v>2</v>
      </c>
      <c r="O47" s="89">
        <v>2</v>
      </c>
      <c r="P47" s="89">
        <v>2</v>
      </c>
      <c r="Q47" s="89">
        <v>2</v>
      </c>
      <c r="R47" s="89">
        <v>2</v>
      </c>
      <c r="S47" s="89"/>
      <c r="T47" s="89"/>
      <c r="U47" s="89">
        <v>2</v>
      </c>
      <c r="V47" s="89">
        <v>2</v>
      </c>
      <c r="W47" s="89">
        <v>2</v>
      </c>
      <c r="X47" s="89">
        <v>2</v>
      </c>
      <c r="Y47" s="89"/>
      <c r="Z47" s="89"/>
      <c r="AA47" s="89"/>
      <c r="AB47" s="89">
        <v>2</v>
      </c>
      <c r="AC47" s="89">
        <v>2</v>
      </c>
      <c r="AD47" s="89">
        <v>2</v>
      </c>
      <c r="AE47" s="89">
        <v>2</v>
      </c>
      <c r="AF47" s="89">
        <v>2</v>
      </c>
      <c r="AG47" s="89"/>
      <c r="AH47" s="89"/>
      <c r="AI47" s="89">
        <v>2</v>
      </c>
      <c r="AJ47" s="89">
        <v>2</v>
      </c>
      <c r="AK47" s="89">
        <v>2</v>
      </c>
      <c r="AL47" s="89">
        <v>2</v>
      </c>
      <c r="AM47" s="89">
        <v>2</v>
      </c>
      <c r="AN47" s="90">
        <f t="shared" si="6"/>
        <v>44</v>
      </c>
      <c r="AO47" s="86">
        <v>220000</v>
      </c>
      <c r="AP47" s="91">
        <f t="shared" si="7"/>
        <v>9680000</v>
      </c>
    </row>
    <row r="48" spans="1:42" ht="24.95" customHeight="1">
      <c r="A48" s="84">
        <v>43</v>
      </c>
      <c r="B48" s="84" t="s">
        <v>758</v>
      </c>
      <c r="C48" s="85" t="s">
        <v>820</v>
      </c>
      <c r="D48" s="36" t="s">
        <v>225</v>
      </c>
      <c r="E48" s="36" t="s">
        <v>881</v>
      </c>
      <c r="F48" s="94" t="s">
        <v>230</v>
      </c>
      <c r="G48" s="87" t="s">
        <v>758</v>
      </c>
      <c r="H48" s="88" t="s">
        <v>941</v>
      </c>
      <c r="I48" s="89">
        <v>1</v>
      </c>
      <c r="J48" s="89">
        <v>1.5</v>
      </c>
      <c r="K48" s="89">
        <v>1</v>
      </c>
      <c r="L48" s="89">
        <v>1</v>
      </c>
      <c r="M48" s="89"/>
      <c r="N48" s="89">
        <v>1</v>
      </c>
      <c r="O48" s="89">
        <v>1.5</v>
      </c>
      <c r="P48" s="89">
        <v>1</v>
      </c>
      <c r="Q48" s="89">
        <v>1.5</v>
      </c>
      <c r="R48" s="89">
        <v>1</v>
      </c>
      <c r="S48" s="89">
        <v>1</v>
      </c>
      <c r="T48" s="89"/>
      <c r="U48" s="89">
        <v>2</v>
      </c>
      <c r="V48" s="89">
        <v>2</v>
      </c>
      <c r="W48" s="89">
        <v>2</v>
      </c>
      <c r="X48" s="89">
        <v>2</v>
      </c>
      <c r="Y48" s="89"/>
      <c r="Z48" s="89"/>
      <c r="AA48" s="89"/>
      <c r="AB48" s="89">
        <v>2.5</v>
      </c>
      <c r="AC48" s="89">
        <v>2</v>
      </c>
      <c r="AD48" s="89">
        <v>2</v>
      </c>
      <c r="AE48" s="89">
        <v>2</v>
      </c>
      <c r="AF48" s="89">
        <v>2</v>
      </c>
      <c r="AG48" s="89"/>
      <c r="AH48" s="89"/>
      <c r="AI48" s="89">
        <v>2</v>
      </c>
      <c r="AJ48" s="89">
        <v>2</v>
      </c>
      <c r="AK48" s="89">
        <v>2</v>
      </c>
      <c r="AL48" s="89">
        <v>2</v>
      </c>
      <c r="AM48" s="89">
        <v>2</v>
      </c>
      <c r="AN48" s="90">
        <f t="shared" si="6"/>
        <v>40</v>
      </c>
      <c r="AO48" s="86">
        <v>150000</v>
      </c>
      <c r="AP48" s="91">
        <f t="shared" si="7"/>
        <v>6000000</v>
      </c>
    </row>
    <row r="49" spans="1:42" ht="24.95" customHeight="1">
      <c r="A49" s="84">
        <v>44</v>
      </c>
      <c r="B49" s="84" t="s">
        <v>355</v>
      </c>
      <c r="C49" s="85" t="s">
        <v>356</v>
      </c>
      <c r="D49" s="36" t="s">
        <v>1080</v>
      </c>
      <c r="E49" s="36" t="s">
        <v>357</v>
      </c>
      <c r="F49" s="94" t="s">
        <v>297</v>
      </c>
      <c r="G49" s="87" t="s">
        <v>355</v>
      </c>
      <c r="H49" s="88" t="s">
        <v>358</v>
      </c>
      <c r="I49" s="89">
        <v>2</v>
      </c>
      <c r="J49" s="89">
        <v>2</v>
      </c>
      <c r="K49" s="89">
        <v>2</v>
      </c>
      <c r="L49" s="89"/>
      <c r="M49" s="89"/>
      <c r="N49" s="89">
        <v>2</v>
      </c>
      <c r="O49" s="89">
        <v>2</v>
      </c>
      <c r="P49" s="89">
        <v>2</v>
      </c>
      <c r="Q49" s="89">
        <v>2</v>
      </c>
      <c r="R49" s="89">
        <v>2</v>
      </c>
      <c r="S49" s="89"/>
      <c r="T49" s="89"/>
      <c r="U49" s="89">
        <v>2</v>
      </c>
      <c r="V49" s="89">
        <v>2</v>
      </c>
      <c r="W49" s="89">
        <v>2</v>
      </c>
      <c r="X49" s="89">
        <v>2</v>
      </c>
      <c r="Y49" s="89"/>
      <c r="Z49" s="89"/>
      <c r="AA49" s="89"/>
      <c r="AB49" s="89">
        <v>2</v>
      </c>
      <c r="AC49" s="89">
        <v>2</v>
      </c>
      <c r="AD49" s="89">
        <v>2</v>
      </c>
      <c r="AE49" s="89">
        <v>2</v>
      </c>
      <c r="AF49" s="89">
        <v>2</v>
      </c>
      <c r="AG49" s="89"/>
      <c r="AH49" s="89"/>
      <c r="AI49" s="89">
        <v>2</v>
      </c>
      <c r="AJ49" s="89">
        <v>2</v>
      </c>
      <c r="AK49" s="89">
        <v>2</v>
      </c>
      <c r="AL49" s="89">
        <v>2</v>
      </c>
      <c r="AM49" s="89">
        <v>2</v>
      </c>
      <c r="AN49" s="90">
        <f t="shared" si="6"/>
        <v>44</v>
      </c>
      <c r="AO49" s="86">
        <v>240000</v>
      </c>
      <c r="AP49" s="91">
        <f t="shared" si="7"/>
        <v>10560000</v>
      </c>
    </row>
    <row r="50" spans="1:42" ht="24.95" customHeight="1">
      <c r="A50" s="84">
        <v>45</v>
      </c>
      <c r="B50" s="84" t="s">
        <v>568</v>
      </c>
      <c r="C50" s="85" t="s">
        <v>597</v>
      </c>
      <c r="D50" s="36" t="s">
        <v>225</v>
      </c>
      <c r="E50" s="36" t="s">
        <v>627</v>
      </c>
      <c r="F50" s="94" t="s">
        <v>367</v>
      </c>
      <c r="G50" s="87" t="s">
        <v>568</v>
      </c>
      <c r="H50" s="88" t="s">
        <v>657</v>
      </c>
      <c r="I50" s="89">
        <v>1</v>
      </c>
      <c r="J50" s="89"/>
      <c r="K50" s="89">
        <v>1</v>
      </c>
      <c r="L50" s="89">
        <v>1</v>
      </c>
      <c r="M50" s="89"/>
      <c r="N50" s="89">
        <v>1</v>
      </c>
      <c r="O50" s="89">
        <v>1.5</v>
      </c>
      <c r="P50" s="89">
        <v>1</v>
      </c>
      <c r="Q50" s="89">
        <v>1.5</v>
      </c>
      <c r="R50" s="89">
        <v>1</v>
      </c>
      <c r="S50" s="89">
        <v>1</v>
      </c>
      <c r="T50" s="89"/>
      <c r="U50" s="89">
        <v>1</v>
      </c>
      <c r="V50" s="89">
        <v>1.5</v>
      </c>
      <c r="W50" s="89">
        <v>1</v>
      </c>
      <c r="X50" s="89"/>
      <c r="Y50" s="89">
        <v>1.5</v>
      </c>
      <c r="Z50" s="89">
        <v>1</v>
      </c>
      <c r="AA50" s="89"/>
      <c r="AB50" s="89">
        <v>1</v>
      </c>
      <c r="AC50" s="89">
        <v>1.5</v>
      </c>
      <c r="AD50" s="89">
        <v>1</v>
      </c>
      <c r="AE50" s="89">
        <v>1.5</v>
      </c>
      <c r="AF50" s="89">
        <v>0.25</v>
      </c>
      <c r="AG50" s="89">
        <v>1</v>
      </c>
      <c r="AH50" s="89"/>
      <c r="AI50" s="89"/>
      <c r="AJ50" s="89">
        <v>1</v>
      </c>
      <c r="AK50" s="89">
        <v>1</v>
      </c>
      <c r="AL50" s="89">
        <v>1</v>
      </c>
      <c r="AM50" s="89"/>
      <c r="AN50" s="90">
        <f t="shared" si="6"/>
        <v>25.25</v>
      </c>
      <c r="AO50" s="86">
        <v>150000</v>
      </c>
      <c r="AP50" s="91">
        <f t="shared" si="7"/>
        <v>3787500</v>
      </c>
    </row>
    <row r="51" spans="1:42" ht="24.95" customHeight="1">
      <c r="A51" s="84">
        <v>46</v>
      </c>
      <c r="B51" s="84" t="s">
        <v>560</v>
      </c>
      <c r="C51" s="85" t="s">
        <v>590</v>
      </c>
      <c r="D51" s="36" t="s">
        <v>1082</v>
      </c>
      <c r="E51" s="36" t="s">
        <v>619</v>
      </c>
      <c r="F51" s="94" t="s">
        <v>230</v>
      </c>
      <c r="G51" s="87" t="s">
        <v>560</v>
      </c>
      <c r="H51" s="88" t="s">
        <v>649</v>
      </c>
      <c r="I51" s="89">
        <v>1</v>
      </c>
      <c r="J51" s="89">
        <v>1.5</v>
      </c>
      <c r="K51" s="89">
        <v>1</v>
      </c>
      <c r="L51" s="89">
        <v>0.75</v>
      </c>
      <c r="M51" s="89"/>
      <c r="N51" s="89">
        <v>1</v>
      </c>
      <c r="O51" s="89">
        <v>1.5</v>
      </c>
      <c r="P51" s="89">
        <v>1</v>
      </c>
      <c r="Q51" s="89">
        <v>1.5</v>
      </c>
      <c r="R51" s="89"/>
      <c r="S51" s="89"/>
      <c r="T51" s="89"/>
      <c r="U51" s="89">
        <v>1</v>
      </c>
      <c r="V51" s="89">
        <v>1.5</v>
      </c>
      <c r="W51" s="89"/>
      <c r="X51" s="89">
        <v>1.5</v>
      </c>
      <c r="Y51" s="89">
        <v>1.5</v>
      </c>
      <c r="Z51" s="89">
        <v>1</v>
      </c>
      <c r="AA51" s="89"/>
      <c r="AB51" s="89">
        <v>1</v>
      </c>
      <c r="AC51" s="89">
        <v>1.5</v>
      </c>
      <c r="AD51" s="89">
        <v>1</v>
      </c>
      <c r="AE51" s="89">
        <v>1.5</v>
      </c>
      <c r="AF51" s="89">
        <v>0.375</v>
      </c>
      <c r="AG51" s="89"/>
      <c r="AH51" s="89"/>
      <c r="AI51" s="89"/>
      <c r="AJ51" s="89">
        <v>2.75</v>
      </c>
      <c r="AK51" s="89"/>
      <c r="AL51" s="89"/>
      <c r="AM51" s="89"/>
      <c r="AN51" s="90">
        <f t="shared" si="6"/>
        <v>23.875</v>
      </c>
      <c r="AO51" s="86">
        <v>200000</v>
      </c>
      <c r="AP51" s="91">
        <f t="shared" si="7"/>
        <v>4775000</v>
      </c>
    </row>
    <row r="52" spans="1:42" ht="24.95" customHeight="1">
      <c r="A52" s="84">
        <v>47</v>
      </c>
      <c r="B52" s="84" t="s">
        <v>359</v>
      </c>
      <c r="C52" s="85" t="s">
        <v>360</v>
      </c>
      <c r="D52" s="36" t="s">
        <v>228</v>
      </c>
      <c r="E52" s="36" t="s">
        <v>361</v>
      </c>
      <c r="F52" s="96" t="s">
        <v>226</v>
      </c>
      <c r="G52" s="87" t="s">
        <v>359</v>
      </c>
      <c r="H52" s="88" t="s">
        <v>362</v>
      </c>
      <c r="I52" s="89">
        <v>2</v>
      </c>
      <c r="J52" s="89">
        <v>2</v>
      </c>
      <c r="K52" s="89">
        <v>2</v>
      </c>
      <c r="L52" s="89"/>
      <c r="M52" s="89"/>
      <c r="N52" s="89">
        <v>2</v>
      </c>
      <c r="O52" s="89">
        <v>2</v>
      </c>
      <c r="P52" s="89">
        <v>2</v>
      </c>
      <c r="Q52" s="89">
        <v>2</v>
      </c>
      <c r="R52" s="89">
        <v>2</v>
      </c>
      <c r="S52" s="89"/>
      <c r="T52" s="89"/>
      <c r="U52" s="89">
        <v>2</v>
      </c>
      <c r="V52" s="89">
        <v>2</v>
      </c>
      <c r="W52" s="89">
        <v>2</v>
      </c>
      <c r="X52" s="89">
        <v>2</v>
      </c>
      <c r="Y52" s="89"/>
      <c r="Z52" s="89"/>
      <c r="AA52" s="89"/>
      <c r="AB52" s="89">
        <v>2</v>
      </c>
      <c r="AC52" s="89">
        <v>2</v>
      </c>
      <c r="AD52" s="89">
        <v>2</v>
      </c>
      <c r="AE52" s="89">
        <v>2</v>
      </c>
      <c r="AF52" s="89">
        <v>2</v>
      </c>
      <c r="AG52" s="89"/>
      <c r="AH52" s="89"/>
      <c r="AI52" s="89">
        <v>2</v>
      </c>
      <c r="AJ52" s="89">
        <v>2</v>
      </c>
      <c r="AK52" s="89">
        <v>2</v>
      </c>
      <c r="AL52" s="89">
        <v>2</v>
      </c>
      <c r="AM52" s="89">
        <v>2</v>
      </c>
      <c r="AN52" s="90">
        <f t="shared" si="6"/>
        <v>44</v>
      </c>
      <c r="AO52" s="86">
        <v>250000</v>
      </c>
      <c r="AP52" s="91">
        <f t="shared" si="7"/>
        <v>11000000</v>
      </c>
    </row>
    <row r="53" spans="1:42" ht="24.95" customHeight="1">
      <c r="A53" s="84">
        <v>48</v>
      </c>
      <c r="B53" s="84" t="s">
        <v>994</v>
      </c>
      <c r="C53" s="85" t="s">
        <v>1043</v>
      </c>
      <c r="D53" s="36" t="s">
        <v>227</v>
      </c>
      <c r="E53" s="36" t="s">
        <v>1096</v>
      </c>
      <c r="F53" s="94" t="s">
        <v>230</v>
      </c>
      <c r="G53" s="87" t="s">
        <v>994</v>
      </c>
      <c r="H53" s="88" t="s">
        <v>1149</v>
      </c>
      <c r="I53" s="89"/>
      <c r="J53" s="89"/>
      <c r="K53" s="89"/>
      <c r="L53" s="89"/>
      <c r="M53" s="89"/>
      <c r="N53" s="89">
        <v>0.6875</v>
      </c>
      <c r="O53" s="89">
        <v>1.125</v>
      </c>
      <c r="P53" s="89">
        <v>0.5</v>
      </c>
      <c r="Q53" s="89">
        <v>0.625</v>
      </c>
      <c r="R53" s="89">
        <v>1</v>
      </c>
      <c r="S53" s="89"/>
      <c r="T53" s="89"/>
      <c r="U53" s="89">
        <v>1</v>
      </c>
      <c r="V53" s="89">
        <v>1.5</v>
      </c>
      <c r="W53" s="89">
        <v>1</v>
      </c>
      <c r="X53" s="89">
        <v>1.5</v>
      </c>
      <c r="Y53" s="89">
        <v>1.5</v>
      </c>
      <c r="Z53" s="89">
        <v>1</v>
      </c>
      <c r="AA53" s="89"/>
      <c r="AB53" s="89">
        <v>1</v>
      </c>
      <c r="AC53" s="89">
        <v>1.5</v>
      </c>
      <c r="AD53" s="89">
        <v>1</v>
      </c>
      <c r="AE53" s="89"/>
      <c r="AF53" s="89"/>
      <c r="AG53" s="89"/>
      <c r="AH53" s="89"/>
      <c r="AI53" s="89">
        <v>2</v>
      </c>
      <c r="AJ53" s="89">
        <v>2.25</v>
      </c>
      <c r="AK53" s="89">
        <v>2</v>
      </c>
      <c r="AL53" s="89"/>
      <c r="AM53" s="89">
        <v>2</v>
      </c>
      <c r="AN53" s="90">
        <f t="shared" si="6"/>
        <v>23.1875</v>
      </c>
      <c r="AO53" s="86">
        <v>240000</v>
      </c>
      <c r="AP53" s="91">
        <f t="shared" si="7"/>
        <v>5565000</v>
      </c>
    </row>
    <row r="54" spans="1:42" ht="24.95" customHeight="1">
      <c r="A54" s="84">
        <v>49</v>
      </c>
      <c r="B54" s="84" t="s">
        <v>759</v>
      </c>
      <c r="C54" s="85" t="s">
        <v>821</v>
      </c>
      <c r="D54" s="128" t="s">
        <v>225</v>
      </c>
      <c r="E54" s="126" t="s">
        <v>882</v>
      </c>
      <c r="F54" s="94" t="s">
        <v>297</v>
      </c>
      <c r="G54" s="87" t="s">
        <v>759</v>
      </c>
      <c r="H54" s="88" t="s">
        <v>942</v>
      </c>
      <c r="I54" s="89">
        <v>1</v>
      </c>
      <c r="J54" s="89">
        <v>1.5</v>
      </c>
      <c r="K54" s="89">
        <v>1</v>
      </c>
      <c r="L54" s="89">
        <v>1</v>
      </c>
      <c r="M54" s="89"/>
      <c r="N54" s="89">
        <v>1</v>
      </c>
      <c r="O54" s="89">
        <v>1.5</v>
      </c>
      <c r="P54" s="89">
        <v>1</v>
      </c>
      <c r="Q54" s="89">
        <v>1.5</v>
      </c>
      <c r="R54" s="89">
        <v>1</v>
      </c>
      <c r="S54" s="89">
        <v>1</v>
      </c>
      <c r="T54" s="89"/>
      <c r="U54" s="89">
        <v>2</v>
      </c>
      <c r="V54" s="89">
        <v>2</v>
      </c>
      <c r="W54" s="89">
        <v>2</v>
      </c>
      <c r="X54" s="89">
        <v>2</v>
      </c>
      <c r="Y54" s="89"/>
      <c r="Z54" s="89"/>
      <c r="AA54" s="89"/>
      <c r="AB54" s="89">
        <v>2</v>
      </c>
      <c r="AC54" s="89">
        <v>2</v>
      </c>
      <c r="AD54" s="89">
        <v>2</v>
      </c>
      <c r="AE54" s="89">
        <v>2</v>
      </c>
      <c r="AF54" s="89">
        <v>2</v>
      </c>
      <c r="AG54" s="89"/>
      <c r="AH54" s="89"/>
      <c r="AI54" s="89">
        <v>2</v>
      </c>
      <c r="AJ54" s="89">
        <v>2</v>
      </c>
      <c r="AK54" s="89">
        <v>2</v>
      </c>
      <c r="AL54" s="89">
        <v>2</v>
      </c>
      <c r="AM54" s="89">
        <v>2</v>
      </c>
      <c r="AN54" s="90">
        <f t="shared" si="6"/>
        <v>39.5</v>
      </c>
      <c r="AO54" s="86">
        <v>160000</v>
      </c>
      <c r="AP54" s="91">
        <f t="shared" si="7"/>
        <v>6320000</v>
      </c>
    </row>
    <row r="55" spans="1:42" ht="24.95" customHeight="1">
      <c r="A55" s="84">
        <v>50</v>
      </c>
      <c r="B55" s="84" t="s">
        <v>445</v>
      </c>
      <c r="C55" s="85" t="s">
        <v>467</v>
      </c>
      <c r="D55" s="36" t="s">
        <v>225</v>
      </c>
      <c r="E55" s="126" t="s">
        <v>489</v>
      </c>
      <c r="F55" s="94" t="s">
        <v>296</v>
      </c>
      <c r="G55" s="87" t="s">
        <v>445</v>
      </c>
      <c r="H55" s="88" t="s">
        <v>510</v>
      </c>
      <c r="I55" s="89">
        <v>1</v>
      </c>
      <c r="J55" s="89">
        <v>1.5</v>
      </c>
      <c r="K55" s="89">
        <v>1</v>
      </c>
      <c r="L55" s="89">
        <v>1</v>
      </c>
      <c r="M55" s="89"/>
      <c r="N55" s="89">
        <v>1</v>
      </c>
      <c r="O55" s="89">
        <v>1.5</v>
      </c>
      <c r="P55" s="89">
        <v>1</v>
      </c>
      <c r="Q55" s="89">
        <v>1.5</v>
      </c>
      <c r="R55" s="89">
        <v>1</v>
      </c>
      <c r="S55" s="89">
        <v>1</v>
      </c>
      <c r="T55" s="89"/>
      <c r="U55" s="89">
        <v>1</v>
      </c>
      <c r="V55" s="89">
        <v>1.5</v>
      </c>
      <c r="W55" s="89">
        <v>1</v>
      </c>
      <c r="X55" s="89"/>
      <c r="Y55" s="89"/>
      <c r="Z55" s="89"/>
      <c r="AA55" s="89"/>
      <c r="AB55" s="89"/>
      <c r="AC55" s="89">
        <v>2</v>
      </c>
      <c r="AD55" s="89">
        <v>2</v>
      </c>
      <c r="AE55" s="89">
        <v>2</v>
      </c>
      <c r="AF55" s="89">
        <v>2</v>
      </c>
      <c r="AG55" s="89"/>
      <c r="AH55" s="89"/>
      <c r="AI55" s="89">
        <v>2</v>
      </c>
      <c r="AJ55" s="89">
        <v>2</v>
      </c>
      <c r="AK55" s="89">
        <v>2</v>
      </c>
      <c r="AL55" s="89">
        <v>2</v>
      </c>
      <c r="AM55" s="89">
        <v>2</v>
      </c>
      <c r="AN55" s="90">
        <f t="shared" si="6"/>
        <v>33</v>
      </c>
      <c r="AO55" s="86">
        <v>160000</v>
      </c>
      <c r="AP55" s="91">
        <f t="shared" si="7"/>
        <v>5280000</v>
      </c>
    </row>
    <row r="56" spans="1:42" ht="24.95" customHeight="1">
      <c r="A56" s="84">
        <v>51</v>
      </c>
      <c r="B56" s="84" t="s">
        <v>722</v>
      </c>
      <c r="C56" s="85" t="s">
        <v>783</v>
      </c>
      <c r="D56" s="128" t="s">
        <v>340</v>
      </c>
      <c r="E56" s="126" t="s">
        <v>845</v>
      </c>
      <c r="F56" s="94" t="s">
        <v>226</v>
      </c>
      <c r="G56" s="87" t="s">
        <v>722</v>
      </c>
      <c r="H56" s="88" t="s">
        <v>906</v>
      </c>
      <c r="I56" s="89">
        <v>1</v>
      </c>
      <c r="J56" s="89">
        <v>1.5</v>
      </c>
      <c r="K56" s="89">
        <v>1</v>
      </c>
      <c r="L56" s="89">
        <v>0.5</v>
      </c>
      <c r="M56" s="89"/>
      <c r="N56" s="89">
        <v>1</v>
      </c>
      <c r="O56" s="89">
        <v>1.5</v>
      </c>
      <c r="P56" s="89">
        <v>1</v>
      </c>
      <c r="Q56" s="89">
        <v>1.5</v>
      </c>
      <c r="R56" s="89">
        <v>1</v>
      </c>
      <c r="S56" s="89">
        <v>0.5</v>
      </c>
      <c r="T56" s="89"/>
      <c r="U56" s="89">
        <v>1</v>
      </c>
      <c r="V56" s="89">
        <v>1.5</v>
      </c>
      <c r="W56" s="89">
        <v>1</v>
      </c>
      <c r="X56" s="89">
        <v>1.5</v>
      </c>
      <c r="Y56" s="89">
        <v>1.5</v>
      </c>
      <c r="Z56" s="89">
        <v>0.5</v>
      </c>
      <c r="AA56" s="89"/>
      <c r="AB56" s="89">
        <v>1</v>
      </c>
      <c r="AC56" s="89">
        <v>1.5</v>
      </c>
      <c r="AD56" s="89"/>
      <c r="AE56" s="89">
        <v>1.5</v>
      </c>
      <c r="AF56" s="89">
        <v>1</v>
      </c>
      <c r="AG56" s="89">
        <v>0.5</v>
      </c>
      <c r="AH56" s="89"/>
      <c r="AI56" s="89">
        <v>1</v>
      </c>
      <c r="AJ56" s="89">
        <v>1.5</v>
      </c>
      <c r="AK56" s="89">
        <v>1</v>
      </c>
      <c r="AL56" s="89">
        <v>1.5</v>
      </c>
      <c r="AM56" s="89">
        <v>1</v>
      </c>
      <c r="AN56" s="90">
        <f t="shared" si="6"/>
        <v>29</v>
      </c>
      <c r="AO56" s="86">
        <v>210000</v>
      </c>
      <c r="AP56" s="91">
        <f t="shared" si="7"/>
        <v>6090000</v>
      </c>
    </row>
    <row r="57" spans="1:42" ht="24.95" customHeight="1">
      <c r="A57" s="84">
        <v>52</v>
      </c>
      <c r="B57" s="84" t="s">
        <v>558</v>
      </c>
      <c r="C57" s="85" t="s">
        <v>588</v>
      </c>
      <c r="D57" s="36" t="s">
        <v>225</v>
      </c>
      <c r="E57" s="126" t="s">
        <v>617</v>
      </c>
      <c r="F57" s="94" t="s">
        <v>226</v>
      </c>
      <c r="G57" s="87" t="s">
        <v>558</v>
      </c>
      <c r="H57" s="88" t="s">
        <v>647</v>
      </c>
      <c r="I57" s="89"/>
      <c r="J57" s="89">
        <v>1.5</v>
      </c>
      <c r="K57" s="89">
        <v>1</v>
      </c>
      <c r="L57" s="89">
        <v>1</v>
      </c>
      <c r="M57" s="89"/>
      <c r="N57" s="89">
        <v>1</v>
      </c>
      <c r="O57" s="89">
        <v>0.5</v>
      </c>
      <c r="P57" s="89">
        <v>1</v>
      </c>
      <c r="Q57" s="89">
        <v>1.5</v>
      </c>
      <c r="R57" s="89">
        <v>1</v>
      </c>
      <c r="S57" s="89">
        <v>0.5</v>
      </c>
      <c r="T57" s="89"/>
      <c r="U57" s="89">
        <v>1</v>
      </c>
      <c r="V57" s="89"/>
      <c r="W57" s="89"/>
      <c r="X57" s="89"/>
      <c r="Y57" s="89">
        <v>1.5</v>
      </c>
      <c r="Z57" s="89">
        <v>1</v>
      </c>
      <c r="AA57" s="89"/>
      <c r="AB57" s="89">
        <v>1</v>
      </c>
      <c r="AC57" s="89">
        <v>1.5</v>
      </c>
      <c r="AD57" s="89">
        <v>1</v>
      </c>
      <c r="AE57" s="89">
        <v>1.5</v>
      </c>
      <c r="AF57" s="89">
        <v>1</v>
      </c>
      <c r="AG57" s="89">
        <v>1</v>
      </c>
      <c r="AH57" s="89"/>
      <c r="AI57" s="89"/>
      <c r="AJ57" s="89">
        <v>1.5</v>
      </c>
      <c r="AK57" s="89">
        <v>1</v>
      </c>
      <c r="AL57" s="89">
        <v>1.5</v>
      </c>
      <c r="AM57" s="89">
        <v>0.5</v>
      </c>
      <c r="AN57" s="90">
        <f t="shared" si="6"/>
        <v>24</v>
      </c>
      <c r="AO57" s="86">
        <v>170000</v>
      </c>
      <c r="AP57" s="91">
        <f t="shared" si="7"/>
        <v>4080000</v>
      </c>
    </row>
    <row r="58" spans="1:42" ht="24.95" customHeight="1">
      <c r="A58" s="84">
        <v>53</v>
      </c>
      <c r="B58" s="84" t="s">
        <v>363</v>
      </c>
      <c r="C58" s="85" t="s">
        <v>1044</v>
      </c>
      <c r="D58" s="36" t="s">
        <v>225</v>
      </c>
      <c r="E58" s="36" t="s">
        <v>1097</v>
      </c>
      <c r="F58" s="96" t="s">
        <v>226</v>
      </c>
      <c r="G58" s="87" t="s">
        <v>363</v>
      </c>
      <c r="H58" s="88" t="s">
        <v>1150</v>
      </c>
      <c r="I58" s="89"/>
      <c r="J58" s="89"/>
      <c r="K58" s="89"/>
      <c r="L58" s="89"/>
      <c r="M58" s="89"/>
      <c r="N58" s="89">
        <v>0.6875</v>
      </c>
      <c r="O58" s="89">
        <v>1.125</v>
      </c>
      <c r="P58" s="89"/>
      <c r="Q58" s="89">
        <v>0.625</v>
      </c>
      <c r="R58" s="89">
        <v>1</v>
      </c>
      <c r="S58" s="89"/>
      <c r="T58" s="89"/>
      <c r="U58" s="89">
        <v>1</v>
      </c>
      <c r="V58" s="89">
        <v>1.5</v>
      </c>
      <c r="W58" s="89">
        <v>0.5</v>
      </c>
      <c r="X58" s="89">
        <v>1.5</v>
      </c>
      <c r="Y58" s="89">
        <v>1.5</v>
      </c>
      <c r="Z58" s="89"/>
      <c r="AA58" s="89"/>
      <c r="AB58" s="89">
        <v>1</v>
      </c>
      <c r="AC58" s="89">
        <v>1.5</v>
      </c>
      <c r="AD58" s="89">
        <v>1</v>
      </c>
      <c r="AE58" s="89">
        <v>1.5</v>
      </c>
      <c r="AF58" s="89">
        <v>1</v>
      </c>
      <c r="AG58" s="89">
        <v>0.5</v>
      </c>
      <c r="AH58" s="89"/>
      <c r="AI58" s="89">
        <v>1</v>
      </c>
      <c r="AJ58" s="89">
        <v>1.5</v>
      </c>
      <c r="AK58" s="89"/>
      <c r="AL58" s="89">
        <v>1.5</v>
      </c>
      <c r="AM58" s="89">
        <v>1</v>
      </c>
      <c r="AN58" s="90">
        <f t="shared" si="6"/>
        <v>20.9375</v>
      </c>
      <c r="AO58" s="86">
        <v>170000</v>
      </c>
      <c r="AP58" s="91">
        <f t="shared" si="7"/>
        <v>3559375</v>
      </c>
    </row>
    <row r="59" spans="1:42" ht="24.95" customHeight="1">
      <c r="A59" s="84">
        <v>54</v>
      </c>
      <c r="B59" s="84" t="s">
        <v>553</v>
      </c>
      <c r="C59" s="85" t="s">
        <v>583</v>
      </c>
      <c r="D59" s="36" t="s">
        <v>225</v>
      </c>
      <c r="E59" s="36" t="s">
        <v>612</v>
      </c>
      <c r="F59" s="94" t="s">
        <v>229</v>
      </c>
      <c r="G59" s="87" t="s">
        <v>553</v>
      </c>
      <c r="H59" s="88" t="s">
        <v>642</v>
      </c>
      <c r="I59" s="89">
        <v>2</v>
      </c>
      <c r="J59" s="89">
        <v>2</v>
      </c>
      <c r="K59" s="89">
        <v>2</v>
      </c>
      <c r="L59" s="89"/>
      <c r="M59" s="89"/>
      <c r="N59" s="89">
        <v>2</v>
      </c>
      <c r="O59" s="89">
        <v>2</v>
      </c>
      <c r="P59" s="89">
        <v>2</v>
      </c>
      <c r="Q59" s="89">
        <v>2</v>
      </c>
      <c r="R59" s="89">
        <v>2</v>
      </c>
      <c r="S59" s="89"/>
      <c r="T59" s="89"/>
      <c r="U59" s="89">
        <v>2</v>
      </c>
      <c r="V59" s="89">
        <v>2</v>
      </c>
      <c r="W59" s="89">
        <v>2</v>
      </c>
      <c r="X59" s="89">
        <v>2</v>
      </c>
      <c r="Y59" s="89"/>
      <c r="Z59" s="89"/>
      <c r="AA59" s="89"/>
      <c r="AB59" s="89">
        <v>2</v>
      </c>
      <c r="AC59" s="89">
        <v>2</v>
      </c>
      <c r="AD59" s="89">
        <v>2</v>
      </c>
      <c r="AE59" s="89">
        <v>2</v>
      </c>
      <c r="AF59" s="89">
        <v>2</v>
      </c>
      <c r="AG59" s="89"/>
      <c r="AH59" s="89"/>
      <c r="AI59" s="89">
        <v>2</v>
      </c>
      <c r="AJ59" s="89">
        <v>2</v>
      </c>
      <c r="AK59" s="89">
        <v>2</v>
      </c>
      <c r="AL59" s="89">
        <v>2</v>
      </c>
      <c r="AM59" s="89">
        <v>2</v>
      </c>
      <c r="AN59" s="90">
        <f t="shared" si="6"/>
        <v>44</v>
      </c>
      <c r="AO59" s="86">
        <v>220000</v>
      </c>
      <c r="AP59" s="91">
        <f t="shared" si="7"/>
        <v>9680000</v>
      </c>
    </row>
    <row r="60" spans="1:42" ht="24.95" customHeight="1">
      <c r="A60" s="84">
        <v>55</v>
      </c>
      <c r="B60" s="84" t="s">
        <v>446</v>
      </c>
      <c r="C60" s="85" t="s">
        <v>468</v>
      </c>
      <c r="D60" s="36" t="s">
        <v>225</v>
      </c>
      <c r="E60" s="126" t="s">
        <v>490</v>
      </c>
      <c r="F60" s="96" t="s">
        <v>296</v>
      </c>
      <c r="G60" s="87" t="s">
        <v>446</v>
      </c>
      <c r="H60" s="88" t="s">
        <v>511</v>
      </c>
      <c r="I60" s="89">
        <v>2</v>
      </c>
      <c r="J60" s="89">
        <v>2</v>
      </c>
      <c r="K60" s="89">
        <v>2</v>
      </c>
      <c r="L60" s="89"/>
      <c r="M60" s="89"/>
      <c r="N60" s="89">
        <v>2</v>
      </c>
      <c r="O60" s="89">
        <v>2</v>
      </c>
      <c r="P60" s="89">
        <v>2</v>
      </c>
      <c r="Q60" s="89">
        <v>2</v>
      </c>
      <c r="R60" s="89">
        <v>2</v>
      </c>
      <c r="S60" s="89"/>
      <c r="T60" s="89"/>
      <c r="U60" s="89">
        <v>2</v>
      </c>
      <c r="V60" s="89">
        <v>2</v>
      </c>
      <c r="W60" s="89">
        <v>2</v>
      </c>
      <c r="X60" s="89">
        <v>2</v>
      </c>
      <c r="Y60" s="89"/>
      <c r="Z60" s="89"/>
      <c r="AA60" s="89"/>
      <c r="AB60" s="89">
        <v>2</v>
      </c>
      <c r="AC60" s="89">
        <v>2</v>
      </c>
      <c r="AD60" s="89">
        <v>2</v>
      </c>
      <c r="AE60" s="89">
        <v>2</v>
      </c>
      <c r="AF60" s="89">
        <v>2</v>
      </c>
      <c r="AG60" s="89"/>
      <c r="AH60" s="89"/>
      <c r="AI60" s="89"/>
      <c r="AJ60" s="89"/>
      <c r="AK60" s="89"/>
      <c r="AL60" s="89"/>
      <c r="AM60" s="89"/>
      <c r="AN60" s="90">
        <f t="shared" si="6"/>
        <v>34</v>
      </c>
      <c r="AO60" s="86">
        <v>160000</v>
      </c>
      <c r="AP60" s="91">
        <f t="shared" si="7"/>
        <v>5440000</v>
      </c>
    </row>
    <row r="61" spans="1:42" ht="24.95" customHeight="1">
      <c r="A61" s="84">
        <v>56</v>
      </c>
      <c r="B61" s="84" t="s">
        <v>364</v>
      </c>
      <c r="C61" s="85" t="s">
        <v>365</v>
      </c>
      <c r="D61" s="36" t="s">
        <v>228</v>
      </c>
      <c r="E61" s="126" t="s">
        <v>366</v>
      </c>
      <c r="F61" s="94" t="s">
        <v>367</v>
      </c>
      <c r="G61" s="87" t="s">
        <v>364</v>
      </c>
      <c r="H61" s="88" t="s">
        <v>368</v>
      </c>
      <c r="I61" s="89">
        <v>2</v>
      </c>
      <c r="J61" s="89">
        <v>2</v>
      </c>
      <c r="K61" s="89">
        <v>2</v>
      </c>
      <c r="L61" s="89"/>
      <c r="M61" s="89"/>
      <c r="N61" s="89">
        <v>2</v>
      </c>
      <c r="O61" s="89">
        <v>2</v>
      </c>
      <c r="P61" s="89">
        <v>2</v>
      </c>
      <c r="Q61" s="89">
        <v>2</v>
      </c>
      <c r="R61" s="89">
        <v>2</v>
      </c>
      <c r="S61" s="89"/>
      <c r="T61" s="89"/>
      <c r="U61" s="89">
        <v>2</v>
      </c>
      <c r="V61" s="89"/>
      <c r="W61" s="89">
        <v>2</v>
      </c>
      <c r="X61" s="89">
        <v>2</v>
      </c>
      <c r="Y61" s="89"/>
      <c r="Z61" s="89"/>
      <c r="AA61" s="89"/>
      <c r="AB61" s="89">
        <v>2</v>
      </c>
      <c r="AC61" s="89">
        <v>2</v>
      </c>
      <c r="AD61" s="89">
        <v>2</v>
      </c>
      <c r="AE61" s="89">
        <v>2</v>
      </c>
      <c r="AF61" s="89">
        <v>2</v>
      </c>
      <c r="AG61" s="89"/>
      <c r="AH61" s="89"/>
      <c r="AI61" s="89">
        <v>2</v>
      </c>
      <c r="AJ61" s="89">
        <v>2</v>
      </c>
      <c r="AK61" s="89">
        <v>2</v>
      </c>
      <c r="AL61" s="89">
        <v>2</v>
      </c>
      <c r="AM61" s="89">
        <v>2</v>
      </c>
      <c r="AN61" s="90">
        <f t="shared" si="6"/>
        <v>42</v>
      </c>
      <c r="AO61" s="86">
        <v>200000</v>
      </c>
      <c r="AP61" s="91">
        <f t="shared" si="7"/>
        <v>8400000</v>
      </c>
    </row>
    <row r="62" spans="1:42" ht="24.95" customHeight="1">
      <c r="A62" s="84">
        <v>57</v>
      </c>
      <c r="B62" s="84" t="s">
        <v>995</v>
      </c>
      <c r="C62" s="85" t="s">
        <v>1045</v>
      </c>
      <c r="D62" s="36" t="s">
        <v>225</v>
      </c>
      <c r="E62" s="36" t="s">
        <v>1098</v>
      </c>
      <c r="F62" s="94" t="s">
        <v>304</v>
      </c>
      <c r="G62" s="87" t="s">
        <v>995</v>
      </c>
      <c r="H62" s="88" t="s">
        <v>1151</v>
      </c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>
        <v>0.6875</v>
      </c>
      <c r="AC62" s="89">
        <v>1.125</v>
      </c>
      <c r="AD62" s="89"/>
      <c r="AE62" s="89">
        <v>0.75</v>
      </c>
      <c r="AF62" s="89">
        <v>1</v>
      </c>
      <c r="AG62" s="89"/>
      <c r="AH62" s="89"/>
      <c r="AI62" s="89">
        <v>1</v>
      </c>
      <c r="AJ62" s="89">
        <v>1.5</v>
      </c>
      <c r="AK62" s="89">
        <v>1</v>
      </c>
      <c r="AL62" s="89">
        <v>1.5</v>
      </c>
      <c r="AM62" s="89">
        <v>1</v>
      </c>
      <c r="AN62" s="90">
        <f t="shared" si="6"/>
        <v>9.5625</v>
      </c>
      <c r="AO62" s="86">
        <v>160000</v>
      </c>
      <c r="AP62" s="91">
        <f t="shared" si="7"/>
        <v>1530000</v>
      </c>
    </row>
    <row r="63" spans="1:42" ht="24.95" customHeight="1">
      <c r="A63" s="84">
        <v>58</v>
      </c>
      <c r="B63" s="84" t="s">
        <v>996</v>
      </c>
      <c r="C63" s="85" t="s">
        <v>1046</v>
      </c>
      <c r="D63" s="36" t="s">
        <v>225</v>
      </c>
      <c r="E63" s="36" t="s">
        <v>1099</v>
      </c>
      <c r="F63" s="94" t="s">
        <v>1152</v>
      </c>
      <c r="G63" s="87" t="s">
        <v>996</v>
      </c>
      <c r="H63" s="88" t="s">
        <v>1153</v>
      </c>
      <c r="I63" s="89"/>
      <c r="J63" s="89"/>
      <c r="K63" s="89"/>
      <c r="L63" s="89"/>
      <c r="M63" s="89"/>
      <c r="N63" s="89">
        <v>0.6875</v>
      </c>
      <c r="O63" s="89">
        <v>1.125</v>
      </c>
      <c r="P63" s="89"/>
      <c r="Q63" s="89">
        <v>0.625</v>
      </c>
      <c r="R63" s="89">
        <v>1</v>
      </c>
      <c r="S63" s="89"/>
      <c r="T63" s="89"/>
      <c r="U63" s="89">
        <v>1</v>
      </c>
      <c r="V63" s="89">
        <v>1</v>
      </c>
      <c r="W63" s="89"/>
      <c r="X63" s="89">
        <v>1.5</v>
      </c>
      <c r="Y63" s="89">
        <v>1.5</v>
      </c>
      <c r="Z63" s="89"/>
      <c r="AA63" s="89"/>
      <c r="AB63" s="89"/>
      <c r="AC63" s="89">
        <v>2</v>
      </c>
      <c r="AD63" s="89">
        <v>2</v>
      </c>
      <c r="AE63" s="89">
        <v>2</v>
      </c>
      <c r="AF63" s="89">
        <v>2</v>
      </c>
      <c r="AG63" s="89"/>
      <c r="AH63" s="89"/>
      <c r="AI63" s="89">
        <v>2</v>
      </c>
      <c r="AJ63" s="89">
        <v>2</v>
      </c>
      <c r="AK63" s="89">
        <v>2</v>
      </c>
      <c r="AL63" s="89">
        <v>2</v>
      </c>
      <c r="AM63" s="89">
        <v>2</v>
      </c>
      <c r="AN63" s="90">
        <f t="shared" si="6"/>
        <v>26.4375</v>
      </c>
      <c r="AO63" s="86">
        <v>170000</v>
      </c>
      <c r="AP63" s="91">
        <f t="shared" si="7"/>
        <v>4494375</v>
      </c>
    </row>
    <row r="64" spans="1:42" ht="24.95" customHeight="1">
      <c r="A64" s="84">
        <v>59</v>
      </c>
      <c r="B64" s="84" t="s">
        <v>563</v>
      </c>
      <c r="C64" s="85" t="s">
        <v>593</v>
      </c>
      <c r="D64" s="36" t="s">
        <v>340</v>
      </c>
      <c r="E64" s="36" t="s">
        <v>622</v>
      </c>
      <c r="F64" s="94" t="s">
        <v>226</v>
      </c>
      <c r="G64" s="87" t="s">
        <v>563</v>
      </c>
      <c r="H64" s="88" t="s">
        <v>653</v>
      </c>
      <c r="I64" s="89">
        <v>1</v>
      </c>
      <c r="J64" s="89">
        <v>1.5</v>
      </c>
      <c r="K64" s="89">
        <v>1</v>
      </c>
      <c r="L64" s="89">
        <v>1</v>
      </c>
      <c r="M64" s="89"/>
      <c r="N64" s="89">
        <v>1</v>
      </c>
      <c r="O64" s="89">
        <v>1.5</v>
      </c>
      <c r="P64" s="89">
        <v>1</v>
      </c>
      <c r="Q64" s="89">
        <v>1.5</v>
      </c>
      <c r="R64" s="89">
        <v>1</v>
      </c>
      <c r="S64" s="89"/>
      <c r="T64" s="89"/>
      <c r="U64" s="89"/>
      <c r="V64" s="89">
        <v>1.5</v>
      </c>
      <c r="W64" s="89">
        <v>1</v>
      </c>
      <c r="X64" s="89">
        <v>1.5</v>
      </c>
      <c r="Y64" s="89">
        <v>1.5</v>
      </c>
      <c r="Z64" s="89">
        <v>1</v>
      </c>
      <c r="AA64" s="89"/>
      <c r="AB64" s="89">
        <v>1</v>
      </c>
      <c r="AC64" s="89">
        <v>1.5</v>
      </c>
      <c r="AD64" s="89">
        <v>1</v>
      </c>
      <c r="AE64" s="89">
        <v>1.5</v>
      </c>
      <c r="AF64" s="89">
        <v>1</v>
      </c>
      <c r="AG64" s="89">
        <v>1</v>
      </c>
      <c r="AH64" s="89"/>
      <c r="AI64" s="89"/>
      <c r="AJ64" s="89"/>
      <c r="AK64" s="89"/>
      <c r="AL64" s="89"/>
      <c r="AM64" s="89"/>
      <c r="AN64" s="90">
        <f t="shared" si="6"/>
        <v>24</v>
      </c>
      <c r="AO64" s="86">
        <v>200000</v>
      </c>
      <c r="AP64" s="91">
        <f t="shared" si="7"/>
        <v>4800000</v>
      </c>
    </row>
    <row r="65" spans="1:42" ht="24.95" customHeight="1">
      <c r="A65" s="84">
        <v>60</v>
      </c>
      <c r="B65" s="84" t="s">
        <v>997</v>
      </c>
      <c r="C65" s="85" t="s">
        <v>1047</v>
      </c>
      <c r="D65" s="36" t="s">
        <v>225</v>
      </c>
      <c r="E65" s="36" t="s">
        <v>1100</v>
      </c>
      <c r="F65" s="94" t="s">
        <v>304</v>
      </c>
      <c r="G65" s="87" t="s">
        <v>997</v>
      </c>
      <c r="H65" s="88" t="s">
        <v>1154</v>
      </c>
      <c r="I65" s="89"/>
      <c r="J65" s="89"/>
      <c r="K65" s="89"/>
      <c r="L65" s="89"/>
      <c r="M65" s="89"/>
      <c r="N65" s="89">
        <v>0.6875</v>
      </c>
      <c r="O65" s="89">
        <v>1.125</v>
      </c>
      <c r="P65" s="89"/>
      <c r="Q65" s="89">
        <v>0.625</v>
      </c>
      <c r="R65" s="89">
        <v>1</v>
      </c>
      <c r="S65" s="89"/>
      <c r="T65" s="89"/>
      <c r="U65" s="89">
        <v>1</v>
      </c>
      <c r="V65" s="89">
        <v>1</v>
      </c>
      <c r="W65" s="89"/>
      <c r="X65" s="89">
        <v>1.5</v>
      </c>
      <c r="Y65" s="89"/>
      <c r="Z65" s="89"/>
      <c r="AA65" s="89"/>
      <c r="AB65" s="89">
        <v>0.5</v>
      </c>
      <c r="AC65" s="89">
        <v>2</v>
      </c>
      <c r="AD65" s="89">
        <v>2</v>
      </c>
      <c r="AE65" s="89">
        <v>2</v>
      </c>
      <c r="AF65" s="89">
        <v>2</v>
      </c>
      <c r="AG65" s="89"/>
      <c r="AH65" s="89"/>
      <c r="AI65" s="89">
        <v>2</v>
      </c>
      <c r="AJ65" s="89">
        <v>2</v>
      </c>
      <c r="AK65" s="89">
        <v>2</v>
      </c>
      <c r="AL65" s="89">
        <v>2</v>
      </c>
      <c r="AM65" s="89">
        <v>2</v>
      </c>
      <c r="AN65" s="90">
        <f t="shared" si="6"/>
        <v>25.4375</v>
      </c>
      <c r="AO65" s="86">
        <v>170000</v>
      </c>
      <c r="AP65" s="91">
        <f t="shared" si="7"/>
        <v>4324375</v>
      </c>
    </row>
    <row r="66" spans="1:42" ht="24.95" customHeight="1">
      <c r="A66" s="84">
        <v>61</v>
      </c>
      <c r="B66" s="84" t="s">
        <v>998</v>
      </c>
      <c r="C66" s="85" t="s">
        <v>1048</v>
      </c>
      <c r="D66" s="36" t="s">
        <v>225</v>
      </c>
      <c r="E66" s="36" t="s">
        <v>1101</v>
      </c>
      <c r="F66" s="96" t="s">
        <v>297</v>
      </c>
      <c r="G66" s="87" t="s">
        <v>998</v>
      </c>
      <c r="H66" s="88" t="s">
        <v>1155</v>
      </c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>
        <v>0.6875</v>
      </c>
      <c r="AC66" s="89">
        <v>1.125</v>
      </c>
      <c r="AD66" s="89"/>
      <c r="AE66" s="89">
        <v>0.75</v>
      </c>
      <c r="AF66" s="89">
        <v>1</v>
      </c>
      <c r="AG66" s="89"/>
      <c r="AH66" s="89"/>
      <c r="AI66" s="89"/>
      <c r="AJ66" s="89">
        <v>1.5</v>
      </c>
      <c r="AK66" s="89">
        <v>1</v>
      </c>
      <c r="AL66" s="89">
        <v>1.5</v>
      </c>
      <c r="AM66" s="89">
        <v>1</v>
      </c>
      <c r="AN66" s="90">
        <f t="shared" si="6"/>
        <v>8.5625</v>
      </c>
      <c r="AO66" s="86">
        <v>160000</v>
      </c>
      <c r="AP66" s="91">
        <f t="shared" si="7"/>
        <v>1370000</v>
      </c>
    </row>
    <row r="67" spans="1:42" ht="24.95" customHeight="1">
      <c r="A67" s="84">
        <v>62</v>
      </c>
      <c r="B67" s="84" t="s">
        <v>999</v>
      </c>
      <c r="C67" s="85" t="s">
        <v>1049</v>
      </c>
      <c r="D67" s="128" t="s">
        <v>225</v>
      </c>
      <c r="E67" s="36" t="s">
        <v>1102</v>
      </c>
      <c r="F67" s="94" t="s">
        <v>296</v>
      </c>
      <c r="G67" s="87" t="s">
        <v>999</v>
      </c>
      <c r="H67" s="88" t="s">
        <v>1156</v>
      </c>
      <c r="I67" s="89"/>
      <c r="J67" s="89"/>
      <c r="K67" s="89"/>
      <c r="L67" s="89"/>
      <c r="M67" s="89"/>
      <c r="N67" s="89">
        <v>0.6875</v>
      </c>
      <c r="O67" s="89">
        <v>1.125</v>
      </c>
      <c r="P67" s="89"/>
      <c r="Q67" s="89">
        <v>0.625</v>
      </c>
      <c r="R67" s="89">
        <v>1</v>
      </c>
      <c r="S67" s="89"/>
      <c r="T67" s="89"/>
      <c r="U67" s="89">
        <v>1</v>
      </c>
      <c r="V67" s="89">
        <v>1.5</v>
      </c>
      <c r="W67" s="89">
        <v>1</v>
      </c>
      <c r="X67" s="89">
        <v>1.5</v>
      </c>
      <c r="Y67" s="89">
        <v>1.5</v>
      </c>
      <c r="Z67" s="89">
        <v>1</v>
      </c>
      <c r="AA67" s="89"/>
      <c r="AB67" s="89"/>
      <c r="AC67" s="89">
        <v>2</v>
      </c>
      <c r="AD67" s="89">
        <v>2</v>
      </c>
      <c r="AE67" s="89">
        <v>2</v>
      </c>
      <c r="AF67" s="89">
        <v>2</v>
      </c>
      <c r="AG67" s="89"/>
      <c r="AH67" s="89"/>
      <c r="AI67" s="89">
        <v>2</v>
      </c>
      <c r="AJ67" s="89">
        <v>2</v>
      </c>
      <c r="AK67" s="89">
        <v>2</v>
      </c>
      <c r="AL67" s="89">
        <v>2</v>
      </c>
      <c r="AM67" s="89">
        <v>2</v>
      </c>
      <c r="AN67" s="90">
        <f t="shared" ref="AN67:AN96" si="8">SUM(I67:AM67)</f>
        <v>28.9375</v>
      </c>
      <c r="AO67" s="86">
        <v>170000</v>
      </c>
      <c r="AP67" s="91">
        <f t="shared" ref="AP67:AP96" si="9">AN67*AO67</f>
        <v>4919375</v>
      </c>
    </row>
    <row r="68" spans="1:42" ht="24.95" customHeight="1">
      <c r="A68" s="84">
        <v>63</v>
      </c>
      <c r="B68" s="84" t="s">
        <v>562</v>
      </c>
      <c r="C68" s="85" t="s">
        <v>592</v>
      </c>
      <c r="D68" s="128" t="s">
        <v>340</v>
      </c>
      <c r="E68" s="126" t="s">
        <v>621</v>
      </c>
      <c r="F68" s="94" t="s">
        <v>229</v>
      </c>
      <c r="G68" s="87" t="s">
        <v>562</v>
      </c>
      <c r="H68" s="88" t="s">
        <v>652</v>
      </c>
      <c r="I68" s="89"/>
      <c r="J68" s="89">
        <v>1.5</v>
      </c>
      <c r="K68" s="89">
        <v>1</v>
      </c>
      <c r="L68" s="89">
        <v>1</v>
      </c>
      <c r="M68" s="89"/>
      <c r="N68" s="89">
        <v>1</v>
      </c>
      <c r="O68" s="89">
        <v>1.5</v>
      </c>
      <c r="P68" s="89">
        <v>1</v>
      </c>
      <c r="Q68" s="89">
        <v>1.5</v>
      </c>
      <c r="R68" s="89">
        <v>1</v>
      </c>
      <c r="S68" s="89">
        <v>1</v>
      </c>
      <c r="T68" s="89"/>
      <c r="U68" s="89">
        <v>1</v>
      </c>
      <c r="V68" s="89">
        <v>1.5</v>
      </c>
      <c r="W68" s="89"/>
      <c r="X68" s="89">
        <v>1.5</v>
      </c>
      <c r="Y68" s="89">
        <v>1.5</v>
      </c>
      <c r="Z68" s="89">
        <v>1</v>
      </c>
      <c r="AA68" s="89"/>
      <c r="AB68" s="89"/>
      <c r="AC68" s="89">
        <v>1.5</v>
      </c>
      <c r="AD68" s="89">
        <v>1</v>
      </c>
      <c r="AE68" s="89">
        <v>1.5</v>
      </c>
      <c r="AF68" s="89">
        <v>1</v>
      </c>
      <c r="AG68" s="89">
        <v>1</v>
      </c>
      <c r="AH68" s="89"/>
      <c r="AI68" s="89">
        <v>1</v>
      </c>
      <c r="AJ68" s="89">
        <v>1.5</v>
      </c>
      <c r="AK68" s="89">
        <v>1</v>
      </c>
      <c r="AL68" s="89">
        <v>1.5</v>
      </c>
      <c r="AM68" s="89">
        <v>1</v>
      </c>
      <c r="AN68" s="90">
        <f t="shared" si="8"/>
        <v>29</v>
      </c>
      <c r="AO68" s="86">
        <v>180000</v>
      </c>
      <c r="AP68" s="91">
        <f t="shared" si="9"/>
        <v>5220000</v>
      </c>
    </row>
    <row r="69" spans="1:42" ht="24.95" customHeight="1">
      <c r="A69" s="84">
        <v>64</v>
      </c>
      <c r="B69" s="84" t="s">
        <v>545</v>
      </c>
      <c r="C69" s="85" t="s">
        <v>575</v>
      </c>
      <c r="D69" s="36" t="s">
        <v>225</v>
      </c>
      <c r="E69" s="126" t="s">
        <v>604</v>
      </c>
      <c r="F69" s="94" t="s">
        <v>226</v>
      </c>
      <c r="G69" s="87" t="s">
        <v>545</v>
      </c>
      <c r="H69" s="88" t="s">
        <v>634</v>
      </c>
      <c r="I69" s="89">
        <v>2</v>
      </c>
      <c r="J69" s="89">
        <v>2</v>
      </c>
      <c r="K69" s="89">
        <v>2</v>
      </c>
      <c r="L69" s="89"/>
      <c r="M69" s="89"/>
      <c r="N69" s="89">
        <v>2</v>
      </c>
      <c r="O69" s="89">
        <v>2</v>
      </c>
      <c r="P69" s="89">
        <v>2</v>
      </c>
      <c r="Q69" s="89">
        <v>2</v>
      </c>
      <c r="R69" s="89">
        <v>2</v>
      </c>
      <c r="S69" s="89"/>
      <c r="T69" s="89"/>
      <c r="U69" s="89">
        <v>2</v>
      </c>
      <c r="V69" s="89">
        <v>2</v>
      </c>
      <c r="W69" s="89">
        <v>2</v>
      </c>
      <c r="X69" s="89">
        <v>2</v>
      </c>
      <c r="Y69" s="89"/>
      <c r="Z69" s="89"/>
      <c r="AA69" s="89"/>
      <c r="AB69" s="89">
        <v>2</v>
      </c>
      <c r="AC69" s="89">
        <v>2</v>
      </c>
      <c r="AD69" s="89">
        <v>2</v>
      </c>
      <c r="AE69" s="89">
        <v>2</v>
      </c>
      <c r="AF69" s="89">
        <v>2</v>
      </c>
      <c r="AG69" s="89"/>
      <c r="AH69" s="89"/>
      <c r="AI69" s="89">
        <v>2</v>
      </c>
      <c r="AJ69" s="89">
        <v>2</v>
      </c>
      <c r="AK69" s="89">
        <v>2</v>
      </c>
      <c r="AL69" s="89">
        <v>2</v>
      </c>
      <c r="AM69" s="89">
        <v>2</v>
      </c>
      <c r="AN69" s="90">
        <f t="shared" si="8"/>
        <v>44</v>
      </c>
      <c r="AO69" s="86">
        <v>160000</v>
      </c>
      <c r="AP69" s="91">
        <f t="shared" si="9"/>
        <v>7040000</v>
      </c>
    </row>
    <row r="70" spans="1:42" ht="24.95" customHeight="1">
      <c r="A70" s="84">
        <v>65</v>
      </c>
      <c r="B70" s="84" t="s">
        <v>723</v>
      </c>
      <c r="C70" s="85" t="s">
        <v>784</v>
      </c>
      <c r="D70" s="36" t="s">
        <v>225</v>
      </c>
      <c r="E70" s="126" t="s">
        <v>846</v>
      </c>
      <c r="F70" s="94" t="s">
        <v>229</v>
      </c>
      <c r="G70" s="87" t="s">
        <v>723</v>
      </c>
      <c r="H70" s="88" t="s">
        <v>907</v>
      </c>
      <c r="I70" s="89">
        <v>2</v>
      </c>
      <c r="J70" s="89">
        <v>2</v>
      </c>
      <c r="K70" s="89">
        <v>2</v>
      </c>
      <c r="L70" s="89"/>
      <c r="M70" s="89"/>
      <c r="N70" s="89">
        <v>2</v>
      </c>
      <c r="O70" s="89">
        <v>2</v>
      </c>
      <c r="P70" s="89">
        <v>2</v>
      </c>
      <c r="Q70" s="89">
        <v>2</v>
      </c>
      <c r="R70" s="89">
        <v>2</v>
      </c>
      <c r="S70" s="89"/>
      <c r="T70" s="89"/>
      <c r="U70" s="89">
        <v>2</v>
      </c>
      <c r="V70" s="89">
        <v>2</v>
      </c>
      <c r="W70" s="89">
        <v>2</v>
      </c>
      <c r="X70" s="89">
        <v>2</v>
      </c>
      <c r="Y70" s="89"/>
      <c r="Z70" s="89"/>
      <c r="AA70" s="89"/>
      <c r="AB70" s="89">
        <v>2</v>
      </c>
      <c r="AC70" s="89">
        <v>2</v>
      </c>
      <c r="AD70" s="89">
        <v>2</v>
      </c>
      <c r="AE70" s="89">
        <v>2</v>
      </c>
      <c r="AF70" s="89">
        <v>2</v>
      </c>
      <c r="AG70" s="89"/>
      <c r="AH70" s="89"/>
      <c r="AI70" s="89">
        <v>2</v>
      </c>
      <c r="AJ70" s="89">
        <v>2</v>
      </c>
      <c r="AK70" s="89">
        <v>2</v>
      </c>
      <c r="AL70" s="89">
        <v>2</v>
      </c>
      <c r="AM70" s="89">
        <v>2</v>
      </c>
      <c r="AN70" s="90">
        <f t="shared" si="8"/>
        <v>44</v>
      </c>
      <c r="AO70" s="86">
        <v>160000</v>
      </c>
      <c r="AP70" s="91">
        <f t="shared" si="9"/>
        <v>7040000</v>
      </c>
    </row>
    <row r="71" spans="1:42" ht="24.95" customHeight="1">
      <c r="A71" s="84">
        <v>66</v>
      </c>
      <c r="B71" s="84" t="s">
        <v>1000</v>
      </c>
      <c r="C71" s="85" t="s">
        <v>822</v>
      </c>
      <c r="D71" s="36" t="s">
        <v>225</v>
      </c>
      <c r="E71" s="126" t="s">
        <v>883</v>
      </c>
      <c r="F71" s="94" t="s">
        <v>230</v>
      </c>
      <c r="G71" s="87" t="s">
        <v>760</v>
      </c>
      <c r="H71" s="88" t="s">
        <v>943</v>
      </c>
      <c r="I71" s="89">
        <v>1</v>
      </c>
      <c r="J71" s="89">
        <v>1.5</v>
      </c>
      <c r="K71" s="89">
        <v>1</v>
      </c>
      <c r="L71" s="89">
        <v>1</v>
      </c>
      <c r="M71" s="89"/>
      <c r="N71" s="89">
        <v>1</v>
      </c>
      <c r="O71" s="89">
        <v>1.5</v>
      </c>
      <c r="P71" s="89"/>
      <c r="Q71" s="89">
        <v>1.5</v>
      </c>
      <c r="R71" s="89">
        <v>1</v>
      </c>
      <c r="S71" s="89">
        <v>1</v>
      </c>
      <c r="T71" s="89"/>
      <c r="U71" s="89">
        <v>2</v>
      </c>
      <c r="V71" s="89">
        <v>2</v>
      </c>
      <c r="W71" s="89">
        <v>2</v>
      </c>
      <c r="X71" s="89">
        <v>2</v>
      </c>
      <c r="Y71" s="89"/>
      <c r="Z71" s="89"/>
      <c r="AA71" s="89"/>
      <c r="AB71" s="89">
        <v>2</v>
      </c>
      <c r="AC71" s="89">
        <v>2</v>
      </c>
      <c r="AD71" s="89">
        <v>2</v>
      </c>
      <c r="AE71" s="89">
        <v>2</v>
      </c>
      <c r="AF71" s="89">
        <v>2</v>
      </c>
      <c r="AG71" s="89"/>
      <c r="AH71" s="89"/>
      <c r="AI71" s="89">
        <v>2</v>
      </c>
      <c r="AJ71" s="89">
        <v>2</v>
      </c>
      <c r="AK71" s="89">
        <v>2</v>
      </c>
      <c r="AL71" s="89">
        <v>2</v>
      </c>
      <c r="AM71" s="89">
        <v>2</v>
      </c>
      <c r="AN71" s="90">
        <f t="shared" si="8"/>
        <v>38.5</v>
      </c>
      <c r="AO71" s="86">
        <v>180000</v>
      </c>
      <c r="AP71" s="91">
        <f t="shared" si="9"/>
        <v>6930000</v>
      </c>
    </row>
    <row r="72" spans="1:42" ht="24.95" customHeight="1">
      <c r="A72" s="84">
        <v>67</v>
      </c>
      <c r="B72" s="84" t="s">
        <v>1001</v>
      </c>
      <c r="C72" s="85" t="s">
        <v>1050</v>
      </c>
      <c r="D72" s="36" t="s">
        <v>227</v>
      </c>
      <c r="E72" s="126" t="s">
        <v>1103</v>
      </c>
      <c r="F72" s="94" t="s">
        <v>296</v>
      </c>
      <c r="G72" s="87" t="s">
        <v>760</v>
      </c>
      <c r="H72" s="88" t="s">
        <v>1157</v>
      </c>
      <c r="I72" s="89"/>
      <c r="J72" s="89"/>
      <c r="K72" s="89"/>
      <c r="L72" s="89"/>
      <c r="M72" s="89"/>
      <c r="N72" s="89">
        <v>0.6875</v>
      </c>
      <c r="O72" s="89">
        <v>1.125</v>
      </c>
      <c r="P72" s="89">
        <v>0.5</v>
      </c>
      <c r="Q72" s="89">
        <v>0.625</v>
      </c>
      <c r="R72" s="89">
        <v>1</v>
      </c>
      <c r="S72" s="89"/>
      <c r="T72" s="89"/>
      <c r="U72" s="89">
        <v>1</v>
      </c>
      <c r="V72" s="89">
        <v>1.5</v>
      </c>
      <c r="W72" s="89">
        <v>1</v>
      </c>
      <c r="X72" s="89">
        <v>1.5</v>
      </c>
      <c r="Y72" s="89">
        <v>1.5</v>
      </c>
      <c r="Z72" s="89">
        <v>0.5</v>
      </c>
      <c r="AA72" s="89"/>
      <c r="AB72" s="89"/>
      <c r="AC72" s="89">
        <v>1.5</v>
      </c>
      <c r="AD72" s="89">
        <v>1</v>
      </c>
      <c r="AE72" s="89">
        <v>1.5</v>
      </c>
      <c r="AF72" s="89">
        <v>1</v>
      </c>
      <c r="AG72" s="89">
        <v>1</v>
      </c>
      <c r="AH72" s="89"/>
      <c r="AI72" s="89">
        <v>2</v>
      </c>
      <c r="AJ72" s="89">
        <v>2.25</v>
      </c>
      <c r="AK72" s="89">
        <v>2</v>
      </c>
      <c r="AL72" s="89">
        <v>2</v>
      </c>
      <c r="AM72" s="89">
        <v>2</v>
      </c>
      <c r="AN72" s="90">
        <f t="shared" si="8"/>
        <v>27.1875</v>
      </c>
      <c r="AO72" s="86">
        <v>240000</v>
      </c>
      <c r="AP72" s="91">
        <f t="shared" si="9"/>
        <v>6525000</v>
      </c>
    </row>
    <row r="73" spans="1:42" ht="24.95" customHeight="1">
      <c r="A73" s="84">
        <v>68</v>
      </c>
      <c r="B73" s="84" t="s">
        <v>1002</v>
      </c>
      <c r="C73" s="85" t="s">
        <v>1051</v>
      </c>
      <c r="D73" s="36" t="s">
        <v>228</v>
      </c>
      <c r="E73" s="126" t="s">
        <v>1104</v>
      </c>
      <c r="F73" s="94" t="s">
        <v>1140</v>
      </c>
      <c r="G73" s="87" t="s">
        <v>1002</v>
      </c>
      <c r="H73" s="88" t="s">
        <v>1158</v>
      </c>
      <c r="I73" s="89"/>
      <c r="J73" s="89"/>
      <c r="K73" s="89"/>
      <c r="L73" s="89"/>
      <c r="M73" s="89"/>
      <c r="N73" s="89">
        <v>0.6875</v>
      </c>
      <c r="O73" s="89">
        <v>1.125</v>
      </c>
      <c r="P73" s="89">
        <v>0.5</v>
      </c>
      <c r="Q73" s="89">
        <v>0.625</v>
      </c>
      <c r="R73" s="89">
        <v>1</v>
      </c>
      <c r="S73" s="89"/>
      <c r="T73" s="89"/>
      <c r="U73" s="89">
        <v>1</v>
      </c>
      <c r="V73" s="89">
        <v>1.5</v>
      </c>
      <c r="W73" s="89">
        <v>1</v>
      </c>
      <c r="X73" s="89">
        <v>1.5</v>
      </c>
      <c r="Y73" s="89">
        <v>1.5</v>
      </c>
      <c r="Z73" s="89">
        <v>0.5</v>
      </c>
      <c r="AA73" s="89"/>
      <c r="AB73" s="89">
        <v>1</v>
      </c>
      <c r="AC73" s="89">
        <v>1.5</v>
      </c>
      <c r="AD73" s="89">
        <v>0.5</v>
      </c>
      <c r="AE73" s="89">
        <v>1.5</v>
      </c>
      <c r="AF73" s="89">
        <v>1</v>
      </c>
      <c r="AG73" s="89">
        <v>1</v>
      </c>
      <c r="AH73" s="89"/>
      <c r="AI73" s="89">
        <v>1</v>
      </c>
      <c r="AJ73" s="89">
        <v>1.5</v>
      </c>
      <c r="AK73" s="89">
        <v>1</v>
      </c>
      <c r="AL73" s="89">
        <v>1.5</v>
      </c>
      <c r="AM73" s="89">
        <v>1</v>
      </c>
      <c r="AN73" s="90">
        <f t="shared" si="8"/>
        <v>23.4375</v>
      </c>
      <c r="AO73" s="86">
        <v>220000</v>
      </c>
      <c r="AP73" s="91">
        <f t="shared" si="9"/>
        <v>5156250</v>
      </c>
    </row>
    <row r="74" spans="1:42" ht="24.95" customHeight="1">
      <c r="A74" s="84">
        <v>69</v>
      </c>
      <c r="B74" s="84" t="s">
        <v>1003</v>
      </c>
      <c r="C74" s="85" t="s">
        <v>1052</v>
      </c>
      <c r="D74" s="128" t="s">
        <v>225</v>
      </c>
      <c r="E74" s="36" t="s">
        <v>1105</v>
      </c>
      <c r="F74" s="96" t="s">
        <v>296</v>
      </c>
      <c r="G74" s="87" t="s">
        <v>1003</v>
      </c>
      <c r="H74" s="88" t="s">
        <v>1159</v>
      </c>
      <c r="I74" s="89"/>
      <c r="J74" s="89"/>
      <c r="K74" s="89"/>
      <c r="L74" s="89"/>
      <c r="M74" s="89"/>
      <c r="N74" s="89">
        <v>0.6875</v>
      </c>
      <c r="O74" s="89">
        <v>1.125</v>
      </c>
      <c r="P74" s="89"/>
      <c r="Q74" s="89">
        <v>0.625</v>
      </c>
      <c r="R74" s="89">
        <v>1</v>
      </c>
      <c r="S74" s="89"/>
      <c r="T74" s="89"/>
      <c r="U74" s="89">
        <v>1</v>
      </c>
      <c r="V74" s="89">
        <v>1.5</v>
      </c>
      <c r="W74" s="89">
        <v>1</v>
      </c>
      <c r="X74" s="89"/>
      <c r="Y74" s="89">
        <v>1.5</v>
      </c>
      <c r="Z74" s="89">
        <v>1</v>
      </c>
      <c r="AA74" s="89"/>
      <c r="AB74" s="89">
        <v>1</v>
      </c>
      <c r="AC74" s="89">
        <v>1.5</v>
      </c>
      <c r="AD74" s="89">
        <v>1</v>
      </c>
      <c r="AE74" s="89">
        <v>1.5</v>
      </c>
      <c r="AF74" s="89">
        <v>1</v>
      </c>
      <c r="AG74" s="89">
        <v>1</v>
      </c>
      <c r="AH74" s="89"/>
      <c r="AI74" s="89">
        <v>1</v>
      </c>
      <c r="AJ74" s="89">
        <v>1.5</v>
      </c>
      <c r="AK74" s="89">
        <v>1</v>
      </c>
      <c r="AL74" s="89">
        <v>1.5</v>
      </c>
      <c r="AM74" s="89"/>
      <c r="AN74" s="90">
        <f t="shared" si="8"/>
        <v>21.4375</v>
      </c>
      <c r="AO74" s="86">
        <v>160000</v>
      </c>
      <c r="AP74" s="91">
        <f t="shared" si="9"/>
        <v>3430000</v>
      </c>
    </row>
    <row r="75" spans="1:42" ht="24.95" customHeight="1">
      <c r="A75" s="84">
        <v>70</v>
      </c>
      <c r="B75" s="84" t="s">
        <v>752</v>
      </c>
      <c r="C75" s="85" t="s">
        <v>814</v>
      </c>
      <c r="D75" s="36" t="s">
        <v>228</v>
      </c>
      <c r="E75" s="36" t="s">
        <v>875</v>
      </c>
      <c r="F75" s="94" t="s">
        <v>229</v>
      </c>
      <c r="G75" s="87" t="s">
        <v>752</v>
      </c>
      <c r="H75" s="88" t="s">
        <v>934</v>
      </c>
      <c r="I75" s="89">
        <v>1</v>
      </c>
      <c r="J75" s="89">
        <v>1.5</v>
      </c>
      <c r="K75" s="89">
        <v>1</v>
      </c>
      <c r="L75" s="89">
        <v>1</v>
      </c>
      <c r="M75" s="89"/>
      <c r="N75" s="89">
        <v>1</v>
      </c>
      <c r="O75" s="89">
        <v>1.5</v>
      </c>
      <c r="P75" s="89">
        <v>1</v>
      </c>
      <c r="Q75" s="89">
        <v>1.5</v>
      </c>
      <c r="R75" s="89">
        <v>1</v>
      </c>
      <c r="S75" s="89">
        <v>1</v>
      </c>
      <c r="T75" s="89"/>
      <c r="U75" s="89">
        <v>1</v>
      </c>
      <c r="V75" s="89">
        <v>1.5</v>
      </c>
      <c r="W75" s="89">
        <v>1</v>
      </c>
      <c r="X75" s="89">
        <v>1.5</v>
      </c>
      <c r="Y75" s="89">
        <v>1.5</v>
      </c>
      <c r="Z75" s="89">
        <v>1</v>
      </c>
      <c r="AA75" s="89"/>
      <c r="AB75" s="89">
        <v>1</v>
      </c>
      <c r="AC75" s="89">
        <v>1.5</v>
      </c>
      <c r="AD75" s="89">
        <v>0.375</v>
      </c>
      <c r="AE75" s="89"/>
      <c r="AF75" s="89"/>
      <c r="AG75" s="89"/>
      <c r="AH75" s="89"/>
      <c r="AI75" s="89"/>
      <c r="AJ75" s="89"/>
      <c r="AK75" s="89"/>
      <c r="AL75" s="89"/>
      <c r="AM75" s="89"/>
      <c r="AN75" s="90">
        <f t="shared" si="8"/>
        <v>21.875</v>
      </c>
      <c r="AO75" s="86">
        <v>220000</v>
      </c>
      <c r="AP75" s="91">
        <f t="shared" si="9"/>
        <v>4812500</v>
      </c>
    </row>
    <row r="76" spans="1:42" ht="24.95" customHeight="1">
      <c r="A76" s="84">
        <v>71</v>
      </c>
      <c r="B76" s="84" t="s">
        <v>1004</v>
      </c>
      <c r="C76" s="85" t="s">
        <v>1053</v>
      </c>
      <c r="D76" s="36" t="s">
        <v>225</v>
      </c>
      <c r="E76" s="126" t="s">
        <v>1106</v>
      </c>
      <c r="F76" s="96" t="s">
        <v>367</v>
      </c>
      <c r="G76" s="87" t="s">
        <v>1004</v>
      </c>
      <c r="H76" s="88" t="s">
        <v>1160</v>
      </c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>
        <v>0.6875</v>
      </c>
      <c r="AC76" s="89">
        <v>1.125</v>
      </c>
      <c r="AD76" s="89"/>
      <c r="AE76" s="89">
        <v>0.75</v>
      </c>
      <c r="AF76" s="89">
        <v>1</v>
      </c>
      <c r="AG76" s="89"/>
      <c r="AH76" s="89"/>
      <c r="AI76" s="89">
        <v>1</v>
      </c>
      <c r="AJ76" s="89">
        <v>1.5</v>
      </c>
      <c r="AK76" s="89">
        <v>1</v>
      </c>
      <c r="AL76" s="89">
        <v>1.5</v>
      </c>
      <c r="AM76" s="89">
        <v>1</v>
      </c>
      <c r="AN76" s="90">
        <f t="shared" si="8"/>
        <v>9.5625</v>
      </c>
      <c r="AO76" s="86">
        <v>150000</v>
      </c>
      <c r="AP76" s="91">
        <f t="shared" si="9"/>
        <v>1434375</v>
      </c>
    </row>
    <row r="77" spans="1:42" ht="24.95" customHeight="1">
      <c r="A77" s="84">
        <v>72</v>
      </c>
      <c r="B77" s="84" t="s">
        <v>761</v>
      </c>
      <c r="C77" s="85" t="s">
        <v>823</v>
      </c>
      <c r="D77" s="128" t="s">
        <v>225</v>
      </c>
      <c r="E77" s="126" t="s">
        <v>884</v>
      </c>
      <c r="F77" s="94" t="s">
        <v>1140</v>
      </c>
      <c r="G77" s="87" t="s">
        <v>761</v>
      </c>
      <c r="H77" s="88" t="s">
        <v>944</v>
      </c>
      <c r="I77" s="89">
        <v>1</v>
      </c>
      <c r="J77" s="89">
        <v>1.5</v>
      </c>
      <c r="K77" s="89">
        <v>1</v>
      </c>
      <c r="L77" s="89"/>
      <c r="M77" s="89"/>
      <c r="N77" s="89">
        <v>1</v>
      </c>
      <c r="O77" s="89">
        <v>1.5</v>
      </c>
      <c r="P77" s="89">
        <v>1</v>
      </c>
      <c r="Q77" s="89">
        <v>1.5</v>
      </c>
      <c r="R77" s="89">
        <v>1</v>
      </c>
      <c r="S77" s="89"/>
      <c r="T77" s="89"/>
      <c r="U77" s="89">
        <v>1</v>
      </c>
      <c r="V77" s="89">
        <v>1.5</v>
      </c>
      <c r="W77" s="89">
        <v>1</v>
      </c>
      <c r="X77" s="89">
        <v>1.5</v>
      </c>
      <c r="Y77" s="89">
        <v>1.5</v>
      </c>
      <c r="Z77" s="89">
        <v>1</v>
      </c>
      <c r="AA77" s="89"/>
      <c r="AB77" s="89"/>
      <c r="AC77" s="89">
        <v>2</v>
      </c>
      <c r="AD77" s="89">
        <v>2</v>
      </c>
      <c r="AE77" s="89">
        <v>2</v>
      </c>
      <c r="AF77" s="89">
        <v>2</v>
      </c>
      <c r="AG77" s="89"/>
      <c r="AH77" s="89"/>
      <c r="AI77" s="89">
        <v>2</v>
      </c>
      <c r="AJ77" s="89">
        <v>2</v>
      </c>
      <c r="AK77" s="89">
        <v>2</v>
      </c>
      <c r="AL77" s="89">
        <v>2</v>
      </c>
      <c r="AM77" s="89">
        <v>2</v>
      </c>
      <c r="AN77" s="90">
        <f t="shared" si="8"/>
        <v>35</v>
      </c>
      <c r="AO77" s="86">
        <v>150000</v>
      </c>
      <c r="AP77" s="91">
        <f t="shared" si="9"/>
        <v>5250000</v>
      </c>
    </row>
    <row r="78" spans="1:42" ht="24.95" customHeight="1">
      <c r="A78" s="84">
        <v>73</v>
      </c>
      <c r="B78" s="84" t="s">
        <v>770</v>
      </c>
      <c r="C78" s="85" t="s">
        <v>832</v>
      </c>
      <c r="D78" s="36" t="s">
        <v>225</v>
      </c>
      <c r="E78" s="36" t="s">
        <v>893</v>
      </c>
      <c r="F78" s="94" t="s">
        <v>230</v>
      </c>
      <c r="G78" s="87" t="s">
        <v>770</v>
      </c>
      <c r="H78" s="88" t="s">
        <v>954</v>
      </c>
      <c r="I78" s="89">
        <v>1</v>
      </c>
      <c r="J78" s="89">
        <v>1.5</v>
      </c>
      <c r="K78" s="89">
        <v>1</v>
      </c>
      <c r="L78" s="89">
        <v>1</v>
      </c>
      <c r="M78" s="89"/>
      <c r="N78" s="89">
        <v>1</v>
      </c>
      <c r="O78" s="89">
        <v>0.5</v>
      </c>
      <c r="P78" s="89">
        <v>1</v>
      </c>
      <c r="Q78" s="89">
        <v>1.5</v>
      </c>
      <c r="R78" s="89">
        <v>1</v>
      </c>
      <c r="S78" s="89">
        <v>1</v>
      </c>
      <c r="T78" s="89"/>
      <c r="U78" s="89"/>
      <c r="V78" s="89">
        <v>1.5</v>
      </c>
      <c r="W78" s="89">
        <v>0.875</v>
      </c>
      <c r="X78" s="89">
        <v>1.5</v>
      </c>
      <c r="Y78" s="89">
        <v>1.5</v>
      </c>
      <c r="Z78" s="89">
        <v>1</v>
      </c>
      <c r="AA78" s="89"/>
      <c r="AB78" s="89"/>
      <c r="AC78" s="89">
        <v>2</v>
      </c>
      <c r="AD78" s="89">
        <v>2</v>
      </c>
      <c r="AE78" s="89">
        <v>2</v>
      </c>
      <c r="AF78" s="89">
        <v>2</v>
      </c>
      <c r="AG78" s="89"/>
      <c r="AH78" s="89"/>
      <c r="AI78" s="89">
        <v>2</v>
      </c>
      <c r="AJ78" s="89">
        <v>2</v>
      </c>
      <c r="AK78" s="89">
        <v>2</v>
      </c>
      <c r="AL78" s="89">
        <v>2</v>
      </c>
      <c r="AM78" s="89">
        <v>2</v>
      </c>
      <c r="AN78" s="90">
        <f t="shared" si="8"/>
        <v>34.875</v>
      </c>
      <c r="AO78" s="86">
        <v>160000</v>
      </c>
      <c r="AP78" s="91">
        <f t="shared" si="9"/>
        <v>5580000</v>
      </c>
    </row>
    <row r="79" spans="1:42" ht="24.95" customHeight="1">
      <c r="A79" s="84">
        <v>74</v>
      </c>
      <c r="B79" s="84" t="s">
        <v>724</v>
      </c>
      <c r="C79" s="85" t="s">
        <v>785</v>
      </c>
      <c r="D79" s="36" t="s">
        <v>228</v>
      </c>
      <c r="E79" s="36" t="s">
        <v>847</v>
      </c>
      <c r="F79" s="94" t="s">
        <v>297</v>
      </c>
      <c r="G79" s="87" t="s">
        <v>724</v>
      </c>
      <c r="H79" s="88" t="s">
        <v>847</v>
      </c>
      <c r="I79" s="89">
        <v>2</v>
      </c>
      <c r="J79" s="89">
        <v>2</v>
      </c>
      <c r="K79" s="89">
        <v>2</v>
      </c>
      <c r="L79" s="89"/>
      <c r="M79" s="89"/>
      <c r="N79" s="89">
        <v>2</v>
      </c>
      <c r="O79" s="89">
        <v>2</v>
      </c>
      <c r="P79" s="89">
        <v>2</v>
      </c>
      <c r="Q79" s="89">
        <v>2</v>
      </c>
      <c r="R79" s="89">
        <v>2</v>
      </c>
      <c r="S79" s="89"/>
      <c r="T79" s="89"/>
      <c r="U79" s="89">
        <v>2</v>
      </c>
      <c r="V79" s="89">
        <v>2</v>
      </c>
      <c r="W79" s="89">
        <v>2</v>
      </c>
      <c r="X79" s="89">
        <v>2</v>
      </c>
      <c r="Y79" s="89"/>
      <c r="Z79" s="89"/>
      <c r="AA79" s="89"/>
      <c r="AB79" s="89">
        <v>2</v>
      </c>
      <c r="AC79" s="89">
        <v>2</v>
      </c>
      <c r="AD79" s="89">
        <v>2</v>
      </c>
      <c r="AE79" s="89">
        <v>2</v>
      </c>
      <c r="AF79" s="89">
        <v>2</v>
      </c>
      <c r="AG79" s="89"/>
      <c r="AH79" s="89"/>
      <c r="AI79" s="89">
        <v>2</v>
      </c>
      <c r="AJ79" s="89">
        <v>2</v>
      </c>
      <c r="AK79" s="89">
        <v>2</v>
      </c>
      <c r="AL79" s="89">
        <v>2</v>
      </c>
      <c r="AM79" s="89"/>
      <c r="AN79" s="90">
        <f t="shared" si="8"/>
        <v>42</v>
      </c>
      <c r="AO79" s="86">
        <v>210000</v>
      </c>
      <c r="AP79" s="91">
        <f t="shared" si="9"/>
        <v>8820000</v>
      </c>
    </row>
    <row r="80" spans="1:42" ht="24.95" customHeight="1">
      <c r="A80" s="84">
        <v>75</v>
      </c>
      <c r="B80" s="84" t="s">
        <v>447</v>
      </c>
      <c r="C80" s="85" t="s">
        <v>469</v>
      </c>
      <c r="D80" s="36" t="s">
        <v>225</v>
      </c>
      <c r="E80" s="36" t="s">
        <v>491</v>
      </c>
      <c r="F80" s="94" t="s">
        <v>229</v>
      </c>
      <c r="G80" s="87" t="s">
        <v>447</v>
      </c>
      <c r="H80" s="88" t="s">
        <v>512</v>
      </c>
      <c r="I80" s="89">
        <v>1</v>
      </c>
      <c r="J80" s="89">
        <v>1.5</v>
      </c>
      <c r="K80" s="89">
        <v>1</v>
      </c>
      <c r="L80" s="89">
        <v>1</v>
      </c>
      <c r="M80" s="89"/>
      <c r="N80" s="89">
        <v>1</v>
      </c>
      <c r="O80" s="89">
        <v>1.5</v>
      </c>
      <c r="P80" s="89">
        <v>1</v>
      </c>
      <c r="Q80" s="89"/>
      <c r="R80" s="89">
        <v>1</v>
      </c>
      <c r="S80" s="89">
        <v>1</v>
      </c>
      <c r="T80" s="89"/>
      <c r="U80" s="89">
        <v>1</v>
      </c>
      <c r="V80" s="89">
        <v>1.5</v>
      </c>
      <c r="W80" s="89">
        <v>1</v>
      </c>
      <c r="X80" s="89">
        <v>1.5</v>
      </c>
      <c r="Y80" s="89">
        <v>1.5</v>
      </c>
      <c r="Z80" s="89">
        <v>0.375</v>
      </c>
      <c r="AA80" s="89"/>
      <c r="AB80" s="89">
        <v>1</v>
      </c>
      <c r="AC80" s="89">
        <v>1.5</v>
      </c>
      <c r="AD80" s="89">
        <v>1</v>
      </c>
      <c r="AE80" s="89">
        <v>1.5</v>
      </c>
      <c r="AF80" s="89">
        <v>1</v>
      </c>
      <c r="AG80" s="89">
        <v>1</v>
      </c>
      <c r="AH80" s="89"/>
      <c r="AI80" s="89">
        <v>1</v>
      </c>
      <c r="AJ80" s="89">
        <v>1.5</v>
      </c>
      <c r="AK80" s="89">
        <v>1</v>
      </c>
      <c r="AL80" s="89">
        <v>1.5</v>
      </c>
      <c r="AM80" s="89">
        <v>1</v>
      </c>
      <c r="AN80" s="90">
        <f t="shared" si="8"/>
        <v>29.875</v>
      </c>
      <c r="AO80" s="86">
        <v>160000</v>
      </c>
      <c r="AP80" s="91">
        <f t="shared" si="9"/>
        <v>4780000</v>
      </c>
    </row>
    <row r="81" spans="1:42" ht="24.95" customHeight="1">
      <c r="A81" s="84">
        <v>76</v>
      </c>
      <c r="B81" s="84" t="s">
        <v>1005</v>
      </c>
      <c r="C81" s="85" t="s">
        <v>1054</v>
      </c>
      <c r="D81" s="36" t="s">
        <v>228</v>
      </c>
      <c r="E81" s="36" t="s">
        <v>1107</v>
      </c>
      <c r="F81" s="94" t="s">
        <v>229</v>
      </c>
      <c r="G81" s="87" t="s">
        <v>1005</v>
      </c>
      <c r="H81" s="88" t="s">
        <v>1161</v>
      </c>
      <c r="I81" s="89"/>
      <c r="J81" s="89"/>
      <c r="K81" s="89"/>
      <c r="L81" s="89"/>
      <c r="M81" s="89"/>
      <c r="N81" s="89">
        <v>0.6875</v>
      </c>
      <c r="O81" s="89">
        <v>1.125</v>
      </c>
      <c r="P81" s="89">
        <v>0.5</v>
      </c>
      <c r="Q81" s="89">
        <v>0.625</v>
      </c>
      <c r="R81" s="89">
        <v>1</v>
      </c>
      <c r="S81" s="89"/>
      <c r="T81" s="89"/>
      <c r="U81" s="89">
        <v>1</v>
      </c>
      <c r="V81" s="89">
        <v>1.5</v>
      </c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90">
        <f t="shared" si="8"/>
        <v>6.4375</v>
      </c>
      <c r="AO81" s="86">
        <v>220000</v>
      </c>
      <c r="AP81" s="91">
        <f t="shared" si="9"/>
        <v>1416250</v>
      </c>
    </row>
    <row r="82" spans="1:42" ht="24.95" customHeight="1">
      <c r="A82" s="84">
        <v>77</v>
      </c>
      <c r="B82" s="84" t="s">
        <v>1006</v>
      </c>
      <c r="C82" s="85" t="s">
        <v>1055</v>
      </c>
      <c r="D82" s="36" t="s">
        <v>225</v>
      </c>
      <c r="E82" s="36" t="s">
        <v>1108</v>
      </c>
      <c r="F82" s="96" t="s">
        <v>226</v>
      </c>
      <c r="G82" s="87" t="s">
        <v>1006</v>
      </c>
      <c r="H82" s="88" t="s">
        <v>1162</v>
      </c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>
        <v>0.6875</v>
      </c>
      <c r="AC82" s="89">
        <v>1.125</v>
      </c>
      <c r="AD82" s="89"/>
      <c r="AE82" s="89">
        <v>0.75</v>
      </c>
      <c r="AF82" s="89">
        <v>1</v>
      </c>
      <c r="AG82" s="89"/>
      <c r="AH82" s="89"/>
      <c r="AI82" s="89">
        <v>1</v>
      </c>
      <c r="AJ82" s="89">
        <v>1.375</v>
      </c>
      <c r="AK82" s="89">
        <v>1</v>
      </c>
      <c r="AL82" s="89">
        <v>1.5</v>
      </c>
      <c r="AM82" s="89">
        <v>1</v>
      </c>
      <c r="AN82" s="90">
        <f t="shared" si="8"/>
        <v>9.4375</v>
      </c>
      <c r="AO82" s="86">
        <v>150000</v>
      </c>
      <c r="AP82" s="91">
        <f t="shared" si="9"/>
        <v>1415625</v>
      </c>
    </row>
    <row r="83" spans="1:42" ht="24.95" customHeight="1">
      <c r="A83" s="84">
        <v>78</v>
      </c>
      <c r="B83" s="84" t="s">
        <v>1007</v>
      </c>
      <c r="C83" s="85" t="s">
        <v>1056</v>
      </c>
      <c r="D83" s="36" t="s">
        <v>228</v>
      </c>
      <c r="E83" s="36" t="s">
        <v>1109</v>
      </c>
      <c r="F83" s="94" t="s">
        <v>226</v>
      </c>
      <c r="G83" s="87" t="s">
        <v>1007</v>
      </c>
      <c r="H83" s="88" t="s">
        <v>1163</v>
      </c>
      <c r="I83" s="89"/>
      <c r="J83" s="89"/>
      <c r="K83" s="89"/>
      <c r="L83" s="89"/>
      <c r="M83" s="89"/>
      <c r="N83" s="89">
        <v>0.6875</v>
      </c>
      <c r="O83" s="89">
        <v>1.125</v>
      </c>
      <c r="P83" s="89">
        <v>0.5</v>
      </c>
      <c r="Q83" s="89">
        <v>0.625</v>
      </c>
      <c r="R83" s="89">
        <v>1</v>
      </c>
      <c r="S83" s="89"/>
      <c r="T83" s="89"/>
      <c r="U83" s="89"/>
      <c r="V83" s="89">
        <v>1.5</v>
      </c>
      <c r="W83" s="89">
        <v>1</v>
      </c>
      <c r="X83" s="89">
        <v>1.5</v>
      </c>
      <c r="Y83" s="89">
        <v>1.5</v>
      </c>
      <c r="Z83" s="89">
        <v>1</v>
      </c>
      <c r="AA83" s="89"/>
      <c r="AB83" s="89"/>
      <c r="AC83" s="89">
        <v>2</v>
      </c>
      <c r="AD83" s="89">
        <v>2</v>
      </c>
      <c r="AE83" s="89">
        <v>2</v>
      </c>
      <c r="AF83" s="89">
        <v>2</v>
      </c>
      <c r="AG83" s="89"/>
      <c r="AH83" s="89"/>
      <c r="AI83" s="89">
        <v>2</v>
      </c>
      <c r="AJ83" s="89">
        <v>2</v>
      </c>
      <c r="AK83" s="89">
        <v>2</v>
      </c>
      <c r="AL83" s="89">
        <v>2</v>
      </c>
      <c r="AM83" s="89">
        <v>2</v>
      </c>
      <c r="AN83" s="90">
        <f t="shared" si="8"/>
        <v>28.4375</v>
      </c>
      <c r="AO83" s="86">
        <v>210000</v>
      </c>
      <c r="AP83" s="91">
        <f t="shared" si="9"/>
        <v>5971875</v>
      </c>
    </row>
    <row r="84" spans="1:42" ht="24.95" customHeight="1">
      <c r="A84" s="84">
        <v>79</v>
      </c>
      <c r="B84" s="84" t="s">
        <v>725</v>
      </c>
      <c r="C84" s="85" t="s">
        <v>786</v>
      </c>
      <c r="D84" s="128" t="s">
        <v>225</v>
      </c>
      <c r="E84" s="126" t="s">
        <v>848</v>
      </c>
      <c r="F84" s="94" t="s">
        <v>304</v>
      </c>
      <c r="G84" s="87" t="s">
        <v>725</v>
      </c>
      <c r="H84" s="88" t="s">
        <v>908</v>
      </c>
      <c r="I84" s="89">
        <v>2</v>
      </c>
      <c r="J84" s="89">
        <v>2</v>
      </c>
      <c r="K84" s="89">
        <v>2</v>
      </c>
      <c r="L84" s="89"/>
      <c r="M84" s="89"/>
      <c r="N84" s="89">
        <v>2</v>
      </c>
      <c r="O84" s="89">
        <v>2</v>
      </c>
      <c r="P84" s="89">
        <v>2</v>
      </c>
      <c r="Q84" s="89">
        <v>2</v>
      </c>
      <c r="R84" s="89"/>
      <c r="S84" s="89"/>
      <c r="T84" s="89"/>
      <c r="U84" s="89">
        <v>2</v>
      </c>
      <c r="V84" s="89">
        <v>2</v>
      </c>
      <c r="W84" s="89">
        <v>2</v>
      </c>
      <c r="X84" s="89">
        <v>2</v>
      </c>
      <c r="Y84" s="89"/>
      <c r="Z84" s="89"/>
      <c r="AA84" s="89"/>
      <c r="AB84" s="89">
        <v>2</v>
      </c>
      <c r="AC84" s="89">
        <v>2</v>
      </c>
      <c r="AD84" s="89">
        <v>2</v>
      </c>
      <c r="AE84" s="89">
        <v>2</v>
      </c>
      <c r="AF84" s="89">
        <v>2</v>
      </c>
      <c r="AG84" s="89"/>
      <c r="AH84" s="89"/>
      <c r="AI84" s="89">
        <v>2</v>
      </c>
      <c r="AJ84" s="89">
        <v>2</v>
      </c>
      <c r="AK84" s="89">
        <v>2</v>
      </c>
      <c r="AL84" s="89">
        <v>2</v>
      </c>
      <c r="AM84" s="89">
        <v>2</v>
      </c>
      <c r="AN84" s="90">
        <f t="shared" si="8"/>
        <v>42</v>
      </c>
      <c r="AO84" s="86">
        <v>160000</v>
      </c>
      <c r="AP84" s="91">
        <f t="shared" si="9"/>
        <v>6720000</v>
      </c>
    </row>
    <row r="85" spans="1:42" ht="24.95" customHeight="1">
      <c r="A85" s="84">
        <v>80</v>
      </c>
      <c r="B85" s="84" t="s">
        <v>726</v>
      </c>
      <c r="C85" s="85" t="s">
        <v>787</v>
      </c>
      <c r="D85" s="36" t="s">
        <v>228</v>
      </c>
      <c r="E85" s="126" t="s">
        <v>849</v>
      </c>
      <c r="F85" s="94" t="s">
        <v>297</v>
      </c>
      <c r="G85" s="87" t="s">
        <v>726</v>
      </c>
      <c r="H85" s="88" t="s">
        <v>909</v>
      </c>
      <c r="I85" s="89">
        <v>2</v>
      </c>
      <c r="J85" s="89">
        <v>2</v>
      </c>
      <c r="K85" s="89">
        <v>2</v>
      </c>
      <c r="L85" s="89"/>
      <c r="M85" s="89"/>
      <c r="N85" s="89">
        <v>2</v>
      </c>
      <c r="O85" s="89">
        <v>2</v>
      </c>
      <c r="P85" s="89">
        <v>2</v>
      </c>
      <c r="Q85" s="89">
        <v>2</v>
      </c>
      <c r="R85" s="89">
        <v>2</v>
      </c>
      <c r="S85" s="89"/>
      <c r="T85" s="89"/>
      <c r="U85" s="89">
        <v>2</v>
      </c>
      <c r="V85" s="89">
        <v>2</v>
      </c>
      <c r="W85" s="89">
        <v>2</v>
      </c>
      <c r="X85" s="89">
        <v>2</v>
      </c>
      <c r="Y85" s="89"/>
      <c r="Z85" s="89"/>
      <c r="AA85" s="89"/>
      <c r="AB85" s="89">
        <v>2</v>
      </c>
      <c r="AC85" s="89">
        <v>2</v>
      </c>
      <c r="AD85" s="89">
        <v>2</v>
      </c>
      <c r="AE85" s="89">
        <v>2</v>
      </c>
      <c r="AF85" s="89">
        <v>2</v>
      </c>
      <c r="AG85" s="89"/>
      <c r="AH85" s="89"/>
      <c r="AI85" s="89">
        <v>2</v>
      </c>
      <c r="AJ85" s="89">
        <v>2</v>
      </c>
      <c r="AK85" s="89">
        <v>2</v>
      </c>
      <c r="AL85" s="89">
        <v>2</v>
      </c>
      <c r="AM85" s="89">
        <v>2</v>
      </c>
      <c r="AN85" s="90">
        <f t="shared" si="8"/>
        <v>44</v>
      </c>
      <c r="AO85" s="86">
        <v>230000</v>
      </c>
      <c r="AP85" s="91">
        <f t="shared" si="9"/>
        <v>10120000</v>
      </c>
    </row>
    <row r="86" spans="1:42" ht="24.95" customHeight="1">
      <c r="A86" s="84">
        <v>81</v>
      </c>
      <c r="B86" s="84" t="s">
        <v>565</v>
      </c>
      <c r="C86" s="85" t="s">
        <v>594</v>
      </c>
      <c r="D86" s="128" t="s">
        <v>225</v>
      </c>
      <c r="E86" s="126" t="s">
        <v>624</v>
      </c>
      <c r="F86" s="94" t="s">
        <v>229</v>
      </c>
      <c r="G86" s="87" t="s">
        <v>565</v>
      </c>
      <c r="H86" s="88" t="s">
        <v>654</v>
      </c>
      <c r="I86" s="89">
        <v>2</v>
      </c>
      <c r="J86" s="89">
        <v>2</v>
      </c>
      <c r="K86" s="89">
        <v>2</v>
      </c>
      <c r="L86" s="89"/>
      <c r="M86" s="89"/>
      <c r="N86" s="89">
        <v>1</v>
      </c>
      <c r="O86" s="89">
        <v>1.5</v>
      </c>
      <c r="P86" s="89">
        <v>1</v>
      </c>
      <c r="Q86" s="89">
        <v>1.5</v>
      </c>
      <c r="R86" s="89">
        <v>1</v>
      </c>
      <c r="S86" s="89"/>
      <c r="T86" s="89"/>
      <c r="U86" s="89">
        <v>1</v>
      </c>
      <c r="V86" s="89">
        <v>1.5</v>
      </c>
      <c r="W86" s="89">
        <v>1</v>
      </c>
      <c r="X86" s="89">
        <v>1.5</v>
      </c>
      <c r="Y86" s="89">
        <v>1.5</v>
      </c>
      <c r="Z86" s="89">
        <v>0.875</v>
      </c>
      <c r="AA86" s="89"/>
      <c r="AB86" s="89">
        <v>1</v>
      </c>
      <c r="AC86" s="89">
        <v>1.5</v>
      </c>
      <c r="AD86" s="89"/>
      <c r="AE86" s="89">
        <v>1.5</v>
      </c>
      <c r="AF86" s="89">
        <v>1</v>
      </c>
      <c r="AG86" s="89">
        <v>1</v>
      </c>
      <c r="AH86" s="89"/>
      <c r="AI86" s="89"/>
      <c r="AJ86" s="89"/>
      <c r="AK86" s="89"/>
      <c r="AL86" s="89"/>
      <c r="AM86" s="89"/>
      <c r="AN86" s="90">
        <f t="shared" si="8"/>
        <v>25.375</v>
      </c>
      <c r="AO86" s="86">
        <v>150000</v>
      </c>
      <c r="AP86" s="91">
        <f t="shared" si="9"/>
        <v>3806250</v>
      </c>
    </row>
    <row r="87" spans="1:42" ht="24.95" customHeight="1">
      <c r="A87" s="84">
        <v>82</v>
      </c>
      <c r="B87" s="84" t="s">
        <v>753</v>
      </c>
      <c r="C87" s="85" t="s">
        <v>815</v>
      </c>
      <c r="D87" s="36" t="s">
        <v>228</v>
      </c>
      <c r="E87" s="126" t="s">
        <v>876</v>
      </c>
      <c r="F87" s="94" t="s">
        <v>935</v>
      </c>
      <c r="G87" s="87" t="s">
        <v>753</v>
      </c>
      <c r="H87" s="88" t="s">
        <v>936</v>
      </c>
      <c r="I87" s="89">
        <v>1</v>
      </c>
      <c r="J87" s="89">
        <v>1.5</v>
      </c>
      <c r="K87" s="89">
        <v>1</v>
      </c>
      <c r="L87" s="89">
        <v>1</v>
      </c>
      <c r="M87" s="89"/>
      <c r="N87" s="89"/>
      <c r="O87" s="89">
        <v>1.5</v>
      </c>
      <c r="P87" s="89">
        <v>1</v>
      </c>
      <c r="Q87" s="89">
        <v>1.5</v>
      </c>
      <c r="R87" s="89">
        <v>0.25</v>
      </c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90">
        <f t="shared" si="8"/>
        <v>8.75</v>
      </c>
      <c r="AO87" s="86">
        <v>220000</v>
      </c>
      <c r="AP87" s="91">
        <f t="shared" si="9"/>
        <v>1925000</v>
      </c>
    </row>
    <row r="88" spans="1:42" ht="24.95" customHeight="1">
      <c r="A88" s="84">
        <v>83</v>
      </c>
      <c r="B88" s="84" t="s">
        <v>556</v>
      </c>
      <c r="C88" s="85" t="s">
        <v>586</v>
      </c>
      <c r="D88" s="36" t="s">
        <v>225</v>
      </c>
      <c r="E88" s="36" t="s">
        <v>615</v>
      </c>
      <c r="F88" s="96" t="s">
        <v>297</v>
      </c>
      <c r="G88" s="87" t="s">
        <v>556</v>
      </c>
      <c r="H88" s="88" t="s">
        <v>645</v>
      </c>
      <c r="I88" s="89">
        <v>1</v>
      </c>
      <c r="J88" s="89">
        <v>1.5</v>
      </c>
      <c r="K88" s="89">
        <v>1</v>
      </c>
      <c r="L88" s="89">
        <v>0.5</v>
      </c>
      <c r="M88" s="89"/>
      <c r="N88" s="89">
        <v>2</v>
      </c>
      <c r="O88" s="89">
        <v>2</v>
      </c>
      <c r="P88" s="89">
        <v>2.5</v>
      </c>
      <c r="Q88" s="89">
        <v>2</v>
      </c>
      <c r="R88" s="89">
        <v>2</v>
      </c>
      <c r="S88" s="89"/>
      <c r="T88" s="89"/>
      <c r="U88" s="89">
        <v>2</v>
      </c>
      <c r="V88" s="89">
        <v>2</v>
      </c>
      <c r="W88" s="89">
        <v>2</v>
      </c>
      <c r="X88" s="89">
        <v>2</v>
      </c>
      <c r="Y88" s="89"/>
      <c r="Z88" s="89"/>
      <c r="AA88" s="89"/>
      <c r="AB88" s="89">
        <v>2</v>
      </c>
      <c r="AC88" s="89">
        <v>2</v>
      </c>
      <c r="AD88" s="89">
        <v>2</v>
      </c>
      <c r="AE88" s="89">
        <v>2</v>
      </c>
      <c r="AF88" s="89">
        <v>2</v>
      </c>
      <c r="AG88" s="89"/>
      <c r="AH88" s="89"/>
      <c r="AI88" s="89">
        <v>2</v>
      </c>
      <c r="AJ88" s="89">
        <v>2</v>
      </c>
      <c r="AK88" s="89">
        <v>2</v>
      </c>
      <c r="AL88" s="89">
        <v>2</v>
      </c>
      <c r="AM88" s="89">
        <v>2</v>
      </c>
      <c r="AN88" s="90">
        <f t="shared" si="8"/>
        <v>42.5</v>
      </c>
      <c r="AO88" s="86">
        <v>170000</v>
      </c>
      <c r="AP88" s="91">
        <f t="shared" si="9"/>
        <v>7225000</v>
      </c>
    </row>
    <row r="89" spans="1:42" ht="24.95" customHeight="1">
      <c r="A89" s="84">
        <v>84</v>
      </c>
      <c r="B89" s="84" t="s">
        <v>307</v>
      </c>
      <c r="C89" s="85" t="s">
        <v>308</v>
      </c>
      <c r="D89" s="36" t="s">
        <v>1081</v>
      </c>
      <c r="E89" s="36" t="s">
        <v>310</v>
      </c>
      <c r="F89" s="94" t="s">
        <v>304</v>
      </c>
      <c r="G89" s="87" t="s">
        <v>307</v>
      </c>
      <c r="H89" s="88" t="s">
        <v>309</v>
      </c>
      <c r="I89" s="89">
        <v>1</v>
      </c>
      <c r="J89" s="89">
        <v>1.5</v>
      </c>
      <c r="K89" s="89">
        <v>1</v>
      </c>
      <c r="L89" s="89">
        <v>1</v>
      </c>
      <c r="M89" s="89"/>
      <c r="N89" s="89">
        <v>1</v>
      </c>
      <c r="O89" s="89">
        <v>1.5</v>
      </c>
      <c r="P89" s="89">
        <v>1</v>
      </c>
      <c r="Q89" s="89">
        <v>1.5</v>
      </c>
      <c r="R89" s="89">
        <v>1</v>
      </c>
      <c r="S89" s="89"/>
      <c r="T89" s="89"/>
      <c r="U89" s="89">
        <v>1</v>
      </c>
      <c r="V89" s="89">
        <v>1.5</v>
      </c>
      <c r="W89" s="89">
        <v>1</v>
      </c>
      <c r="X89" s="89">
        <v>1.5</v>
      </c>
      <c r="Y89" s="89">
        <v>1.5</v>
      </c>
      <c r="Z89" s="89">
        <v>1</v>
      </c>
      <c r="AA89" s="89"/>
      <c r="AB89" s="89">
        <v>1</v>
      </c>
      <c r="AC89" s="89">
        <v>1.25</v>
      </c>
      <c r="AD89" s="89">
        <v>1</v>
      </c>
      <c r="AE89" s="89">
        <v>1.5</v>
      </c>
      <c r="AF89" s="89">
        <v>1</v>
      </c>
      <c r="AG89" s="89">
        <v>1</v>
      </c>
      <c r="AH89" s="89"/>
      <c r="AI89" s="89">
        <v>1</v>
      </c>
      <c r="AJ89" s="89">
        <v>1.5</v>
      </c>
      <c r="AK89" s="89">
        <v>1</v>
      </c>
      <c r="AL89" s="89">
        <v>1.5</v>
      </c>
      <c r="AM89" s="89">
        <v>1</v>
      </c>
      <c r="AN89" s="90">
        <f t="shared" si="8"/>
        <v>30.75</v>
      </c>
      <c r="AO89" s="86">
        <v>200000</v>
      </c>
      <c r="AP89" s="91">
        <f t="shared" si="9"/>
        <v>6150000</v>
      </c>
    </row>
    <row r="90" spans="1:42" ht="24.95" customHeight="1">
      <c r="A90" s="84">
        <v>85</v>
      </c>
      <c r="B90" s="84" t="s">
        <v>570</v>
      </c>
      <c r="C90" s="85" t="s">
        <v>599</v>
      </c>
      <c r="D90" s="36" t="s">
        <v>225</v>
      </c>
      <c r="E90" s="126" t="s">
        <v>629</v>
      </c>
      <c r="F90" s="96" t="s">
        <v>226</v>
      </c>
      <c r="G90" s="87" t="s">
        <v>570</v>
      </c>
      <c r="H90" s="88" t="s">
        <v>659</v>
      </c>
      <c r="I90" s="89">
        <v>1</v>
      </c>
      <c r="J90" s="89">
        <v>1.5</v>
      </c>
      <c r="K90" s="89">
        <v>1</v>
      </c>
      <c r="L90" s="89">
        <v>0.375</v>
      </c>
      <c r="M90" s="89"/>
      <c r="N90" s="89">
        <v>1</v>
      </c>
      <c r="O90" s="89">
        <v>1.5</v>
      </c>
      <c r="P90" s="89"/>
      <c r="Q90" s="89">
        <v>1.5</v>
      </c>
      <c r="R90" s="89">
        <v>1</v>
      </c>
      <c r="S90" s="89">
        <v>1</v>
      </c>
      <c r="T90" s="89"/>
      <c r="U90" s="89">
        <v>1</v>
      </c>
      <c r="V90" s="89">
        <v>1.5</v>
      </c>
      <c r="W90" s="89">
        <v>1</v>
      </c>
      <c r="X90" s="89">
        <v>1.5</v>
      </c>
      <c r="Y90" s="89">
        <v>1.5</v>
      </c>
      <c r="Z90" s="89">
        <v>1</v>
      </c>
      <c r="AA90" s="89"/>
      <c r="AB90" s="89">
        <v>1</v>
      </c>
      <c r="AC90" s="89">
        <v>1.5</v>
      </c>
      <c r="AD90" s="89">
        <v>1</v>
      </c>
      <c r="AE90" s="89">
        <v>1.5</v>
      </c>
      <c r="AF90" s="89">
        <v>1</v>
      </c>
      <c r="AG90" s="89">
        <v>1</v>
      </c>
      <c r="AH90" s="89"/>
      <c r="AI90" s="89"/>
      <c r="AJ90" s="89">
        <v>1.5</v>
      </c>
      <c r="AK90" s="89">
        <v>1</v>
      </c>
      <c r="AL90" s="89">
        <v>1.5</v>
      </c>
      <c r="AM90" s="89">
        <v>1</v>
      </c>
      <c r="AN90" s="90">
        <f t="shared" si="8"/>
        <v>29.375</v>
      </c>
      <c r="AO90" s="86">
        <v>150000</v>
      </c>
      <c r="AP90" s="91">
        <f t="shared" si="9"/>
        <v>4406250</v>
      </c>
    </row>
    <row r="91" spans="1:42" ht="24.95" customHeight="1">
      <c r="A91" s="84">
        <v>86</v>
      </c>
      <c r="B91" s="84" t="s">
        <v>369</v>
      </c>
      <c r="C91" s="85" t="s">
        <v>370</v>
      </c>
      <c r="D91" s="36" t="s">
        <v>1080</v>
      </c>
      <c r="E91" s="126" t="s">
        <v>371</v>
      </c>
      <c r="F91" s="94" t="s">
        <v>367</v>
      </c>
      <c r="G91" s="87" t="s">
        <v>369</v>
      </c>
      <c r="H91" s="88" t="s">
        <v>372</v>
      </c>
      <c r="I91" s="89">
        <v>2</v>
      </c>
      <c r="J91" s="89">
        <v>2</v>
      </c>
      <c r="K91" s="89">
        <v>2</v>
      </c>
      <c r="L91" s="89"/>
      <c r="M91" s="89"/>
      <c r="N91" s="89">
        <v>2</v>
      </c>
      <c r="O91" s="89">
        <v>2</v>
      </c>
      <c r="P91" s="89">
        <v>2</v>
      </c>
      <c r="Q91" s="89">
        <v>2</v>
      </c>
      <c r="R91" s="89">
        <v>2</v>
      </c>
      <c r="S91" s="89"/>
      <c r="T91" s="89"/>
      <c r="U91" s="89">
        <v>2</v>
      </c>
      <c r="V91" s="89">
        <v>2</v>
      </c>
      <c r="W91" s="89">
        <v>2</v>
      </c>
      <c r="X91" s="89">
        <v>2</v>
      </c>
      <c r="Y91" s="89"/>
      <c r="Z91" s="89"/>
      <c r="AA91" s="89"/>
      <c r="AB91" s="89">
        <v>2</v>
      </c>
      <c r="AC91" s="89">
        <v>2</v>
      </c>
      <c r="AD91" s="89">
        <v>2</v>
      </c>
      <c r="AE91" s="89">
        <v>2</v>
      </c>
      <c r="AF91" s="89">
        <v>2</v>
      </c>
      <c r="AG91" s="89"/>
      <c r="AH91" s="89"/>
      <c r="AI91" s="89">
        <v>2</v>
      </c>
      <c r="AJ91" s="89">
        <v>2</v>
      </c>
      <c r="AK91" s="89">
        <v>2</v>
      </c>
      <c r="AL91" s="89">
        <v>2</v>
      </c>
      <c r="AM91" s="89">
        <v>2</v>
      </c>
      <c r="AN91" s="90">
        <f t="shared" si="8"/>
        <v>44</v>
      </c>
      <c r="AO91" s="86">
        <v>230000</v>
      </c>
      <c r="AP91" s="91">
        <f t="shared" si="9"/>
        <v>10120000</v>
      </c>
    </row>
    <row r="92" spans="1:42" ht="24.95" customHeight="1">
      <c r="A92" s="84">
        <v>87</v>
      </c>
      <c r="B92" s="84" t="s">
        <v>727</v>
      </c>
      <c r="C92" s="85" t="s">
        <v>788</v>
      </c>
      <c r="D92" s="36" t="s">
        <v>227</v>
      </c>
      <c r="E92" s="36" t="s">
        <v>850</v>
      </c>
      <c r="F92" s="94" t="s">
        <v>230</v>
      </c>
      <c r="G92" s="87" t="s">
        <v>727</v>
      </c>
      <c r="H92" s="88" t="s">
        <v>910</v>
      </c>
      <c r="I92" s="89"/>
      <c r="J92" s="89"/>
      <c r="K92" s="89">
        <v>1</v>
      </c>
      <c r="L92" s="89">
        <v>1</v>
      </c>
      <c r="M92" s="89"/>
      <c r="N92" s="89">
        <v>0.5</v>
      </c>
      <c r="O92" s="89"/>
      <c r="P92" s="89">
        <v>2</v>
      </c>
      <c r="Q92" s="89">
        <v>2</v>
      </c>
      <c r="R92" s="89">
        <v>2</v>
      </c>
      <c r="S92" s="89"/>
      <c r="T92" s="89"/>
      <c r="U92" s="89">
        <v>2</v>
      </c>
      <c r="V92" s="89">
        <v>2</v>
      </c>
      <c r="W92" s="89">
        <v>2</v>
      </c>
      <c r="X92" s="89">
        <v>2</v>
      </c>
      <c r="Y92" s="89"/>
      <c r="Z92" s="89"/>
      <c r="AA92" s="89"/>
      <c r="AB92" s="89">
        <v>2</v>
      </c>
      <c r="AC92" s="89">
        <v>2</v>
      </c>
      <c r="AD92" s="89">
        <v>2</v>
      </c>
      <c r="AE92" s="89">
        <v>2</v>
      </c>
      <c r="AF92" s="89"/>
      <c r="AG92" s="89"/>
      <c r="AH92" s="89"/>
      <c r="AI92" s="89">
        <v>2</v>
      </c>
      <c r="AJ92" s="89">
        <v>2.25</v>
      </c>
      <c r="AK92" s="89">
        <v>2</v>
      </c>
      <c r="AL92" s="89">
        <v>2</v>
      </c>
      <c r="AM92" s="89">
        <v>2</v>
      </c>
      <c r="AN92" s="90">
        <f t="shared" si="8"/>
        <v>34.75</v>
      </c>
      <c r="AO92" s="86">
        <v>240000</v>
      </c>
      <c r="AP92" s="91">
        <f t="shared" si="9"/>
        <v>8340000</v>
      </c>
    </row>
    <row r="93" spans="1:42" ht="24.95" customHeight="1">
      <c r="A93" s="84">
        <v>88</v>
      </c>
      <c r="B93" s="84" t="s">
        <v>728</v>
      </c>
      <c r="C93" s="85" t="s">
        <v>789</v>
      </c>
      <c r="D93" s="36" t="s">
        <v>340</v>
      </c>
      <c r="E93" s="36" t="s">
        <v>851</v>
      </c>
      <c r="F93" s="94" t="s">
        <v>226</v>
      </c>
      <c r="G93" s="87" t="s">
        <v>728</v>
      </c>
      <c r="H93" s="88" t="s">
        <v>911</v>
      </c>
      <c r="I93" s="89">
        <v>2</v>
      </c>
      <c r="J93" s="89">
        <v>2</v>
      </c>
      <c r="K93" s="89">
        <v>2</v>
      </c>
      <c r="L93" s="89"/>
      <c r="M93" s="89"/>
      <c r="N93" s="89">
        <v>2</v>
      </c>
      <c r="O93" s="89">
        <v>2</v>
      </c>
      <c r="P93" s="89">
        <v>2</v>
      </c>
      <c r="Q93" s="89">
        <v>2</v>
      </c>
      <c r="R93" s="89">
        <v>2</v>
      </c>
      <c r="S93" s="89"/>
      <c r="T93" s="89"/>
      <c r="U93" s="89">
        <v>2</v>
      </c>
      <c r="V93" s="89">
        <v>2</v>
      </c>
      <c r="W93" s="89">
        <v>2</v>
      </c>
      <c r="X93" s="89">
        <v>2</v>
      </c>
      <c r="Y93" s="89"/>
      <c r="Z93" s="89"/>
      <c r="AA93" s="89"/>
      <c r="AB93" s="89">
        <v>2</v>
      </c>
      <c r="AC93" s="89">
        <v>2</v>
      </c>
      <c r="AD93" s="89">
        <v>2</v>
      </c>
      <c r="AE93" s="89">
        <v>2</v>
      </c>
      <c r="AF93" s="89">
        <v>2</v>
      </c>
      <c r="AG93" s="89"/>
      <c r="AH93" s="89"/>
      <c r="AI93" s="89">
        <v>2</v>
      </c>
      <c r="AJ93" s="89">
        <v>2</v>
      </c>
      <c r="AK93" s="89">
        <v>2</v>
      </c>
      <c r="AL93" s="89">
        <v>2</v>
      </c>
      <c r="AM93" s="89"/>
      <c r="AN93" s="90">
        <f t="shared" si="8"/>
        <v>42</v>
      </c>
      <c r="AO93" s="86">
        <v>220000</v>
      </c>
      <c r="AP93" s="91">
        <f t="shared" si="9"/>
        <v>9240000</v>
      </c>
    </row>
    <row r="94" spans="1:42" ht="24.95" customHeight="1">
      <c r="A94" s="84">
        <v>89</v>
      </c>
      <c r="B94" s="84" t="s">
        <v>1008</v>
      </c>
      <c r="C94" s="85" t="s">
        <v>1057</v>
      </c>
      <c r="D94" s="36" t="s">
        <v>225</v>
      </c>
      <c r="E94" s="36" t="s">
        <v>1110</v>
      </c>
      <c r="F94" s="94" t="s">
        <v>226</v>
      </c>
      <c r="G94" s="87" t="s">
        <v>1008</v>
      </c>
      <c r="H94" s="88" t="s">
        <v>1164</v>
      </c>
      <c r="I94" s="89"/>
      <c r="J94" s="89"/>
      <c r="K94" s="89"/>
      <c r="L94" s="89"/>
      <c r="M94" s="89"/>
      <c r="N94" s="89">
        <v>0.6875</v>
      </c>
      <c r="O94" s="89">
        <v>1.125</v>
      </c>
      <c r="P94" s="89"/>
      <c r="Q94" s="89">
        <v>0.625</v>
      </c>
      <c r="R94" s="89">
        <v>1</v>
      </c>
      <c r="S94" s="89"/>
      <c r="T94" s="89"/>
      <c r="U94" s="89">
        <v>1</v>
      </c>
      <c r="V94" s="89">
        <v>1.5</v>
      </c>
      <c r="W94" s="89">
        <v>1</v>
      </c>
      <c r="X94" s="89">
        <v>1.5</v>
      </c>
      <c r="Y94" s="89">
        <v>1.5</v>
      </c>
      <c r="Z94" s="89">
        <v>1</v>
      </c>
      <c r="AA94" s="89"/>
      <c r="AB94" s="89">
        <v>0.5</v>
      </c>
      <c r="AC94" s="89">
        <v>2</v>
      </c>
      <c r="AD94" s="89">
        <v>2</v>
      </c>
      <c r="AE94" s="89">
        <v>2</v>
      </c>
      <c r="AF94" s="89"/>
      <c r="AG94" s="89"/>
      <c r="AH94" s="89"/>
      <c r="AI94" s="89"/>
      <c r="AJ94" s="89"/>
      <c r="AK94" s="89"/>
      <c r="AL94" s="89"/>
      <c r="AM94" s="89"/>
      <c r="AN94" s="90">
        <f t="shared" si="8"/>
        <v>17.4375</v>
      </c>
      <c r="AO94" s="86">
        <v>180000</v>
      </c>
      <c r="AP94" s="91">
        <f t="shared" si="9"/>
        <v>3138750</v>
      </c>
    </row>
    <row r="95" spans="1:42" ht="24.95" customHeight="1">
      <c r="A95" s="84">
        <v>90</v>
      </c>
      <c r="B95" s="84" t="s">
        <v>448</v>
      </c>
      <c r="C95" s="85" t="s">
        <v>470</v>
      </c>
      <c r="D95" s="36" t="s">
        <v>227</v>
      </c>
      <c r="E95" s="36" t="s">
        <v>492</v>
      </c>
      <c r="F95" s="94" t="s">
        <v>297</v>
      </c>
      <c r="G95" s="87" t="s">
        <v>448</v>
      </c>
      <c r="H95" s="88" t="s">
        <v>492</v>
      </c>
      <c r="I95" s="89">
        <v>2</v>
      </c>
      <c r="J95" s="89">
        <v>2</v>
      </c>
      <c r="K95" s="89">
        <v>2</v>
      </c>
      <c r="L95" s="89"/>
      <c r="M95" s="89"/>
      <c r="N95" s="89">
        <v>2</v>
      </c>
      <c r="O95" s="89">
        <v>2</v>
      </c>
      <c r="P95" s="89">
        <v>2</v>
      </c>
      <c r="Q95" s="89">
        <v>2</v>
      </c>
      <c r="R95" s="89">
        <v>2</v>
      </c>
      <c r="S95" s="89"/>
      <c r="T95" s="89"/>
      <c r="U95" s="89">
        <v>2</v>
      </c>
      <c r="V95" s="89">
        <v>2</v>
      </c>
      <c r="W95" s="89">
        <v>2</v>
      </c>
      <c r="X95" s="89">
        <v>2</v>
      </c>
      <c r="Y95" s="89"/>
      <c r="Z95" s="89"/>
      <c r="AA95" s="89"/>
      <c r="AB95" s="89">
        <v>2</v>
      </c>
      <c r="AC95" s="89">
        <v>2</v>
      </c>
      <c r="AD95" s="89">
        <v>2</v>
      </c>
      <c r="AE95" s="89">
        <v>2</v>
      </c>
      <c r="AF95" s="89">
        <v>2</v>
      </c>
      <c r="AG95" s="89"/>
      <c r="AH95" s="89"/>
      <c r="AI95" s="89">
        <v>1</v>
      </c>
      <c r="AJ95" s="89">
        <v>1.5</v>
      </c>
      <c r="AK95" s="89">
        <v>1</v>
      </c>
      <c r="AL95" s="89">
        <v>1.5</v>
      </c>
      <c r="AM95" s="89">
        <v>1</v>
      </c>
      <c r="AN95" s="90">
        <f t="shared" si="8"/>
        <v>40</v>
      </c>
      <c r="AO95" s="86">
        <v>240000</v>
      </c>
      <c r="AP95" s="91">
        <f t="shared" si="9"/>
        <v>9600000</v>
      </c>
    </row>
    <row r="96" spans="1:42" ht="24.95" customHeight="1">
      <c r="A96" s="84">
        <v>91</v>
      </c>
      <c r="B96" s="84" t="s">
        <v>1009</v>
      </c>
      <c r="C96" s="85" t="s">
        <v>1058</v>
      </c>
      <c r="D96" s="36" t="s">
        <v>227</v>
      </c>
      <c r="E96" s="36" t="s">
        <v>1111</v>
      </c>
      <c r="F96" s="96" t="s">
        <v>230</v>
      </c>
      <c r="G96" s="87" t="s">
        <v>1009</v>
      </c>
      <c r="H96" s="88" t="s">
        <v>1165</v>
      </c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>
        <v>0.6875</v>
      </c>
      <c r="V96" s="89">
        <v>1.125</v>
      </c>
      <c r="W96" s="89">
        <v>0.5</v>
      </c>
      <c r="X96" s="89">
        <v>0.625</v>
      </c>
      <c r="Y96" s="89">
        <v>1.5</v>
      </c>
      <c r="Z96" s="89"/>
      <c r="AA96" s="89"/>
      <c r="AB96" s="89">
        <v>1</v>
      </c>
      <c r="AC96" s="89">
        <v>1.5</v>
      </c>
      <c r="AD96" s="89">
        <v>1</v>
      </c>
      <c r="AE96" s="89">
        <v>1.5</v>
      </c>
      <c r="AF96" s="89"/>
      <c r="AG96" s="89"/>
      <c r="AH96" s="89"/>
      <c r="AI96" s="89">
        <v>2</v>
      </c>
      <c r="AJ96" s="89">
        <v>2.25</v>
      </c>
      <c r="AK96" s="89">
        <v>2</v>
      </c>
      <c r="AL96" s="89">
        <v>2</v>
      </c>
      <c r="AM96" s="89">
        <v>2</v>
      </c>
      <c r="AN96" s="90">
        <f t="shared" si="8"/>
        <v>19.6875</v>
      </c>
      <c r="AO96" s="86">
        <v>240000</v>
      </c>
      <c r="AP96" s="91">
        <f t="shared" si="9"/>
        <v>4725000</v>
      </c>
    </row>
    <row r="97" spans="1:42" ht="24.95" customHeight="1">
      <c r="A97" s="84">
        <v>92</v>
      </c>
      <c r="B97" s="84" t="s">
        <v>373</v>
      </c>
      <c r="C97" s="85" t="s">
        <v>374</v>
      </c>
      <c r="D97" s="36" t="s">
        <v>1080</v>
      </c>
      <c r="E97" s="36" t="s">
        <v>375</v>
      </c>
      <c r="F97" s="94" t="s">
        <v>297</v>
      </c>
      <c r="G97" s="87" t="s">
        <v>373</v>
      </c>
      <c r="H97" s="88" t="s">
        <v>376</v>
      </c>
      <c r="I97" s="89">
        <v>1</v>
      </c>
      <c r="J97" s="89"/>
      <c r="K97" s="89"/>
      <c r="L97" s="89">
        <v>0.375</v>
      </c>
      <c r="M97" s="89"/>
      <c r="N97" s="89">
        <v>1</v>
      </c>
      <c r="O97" s="89">
        <v>1.5</v>
      </c>
      <c r="P97" s="89">
        <v>1</v>
      </c>
      <c r="Q97" s="89">
        <v>1.5</v>
      </c>
      <c r="R97" s="89">
        <v>1</v>
      </c>
      <c r="S97" s="89">
        <v>1</v>
      </c>
      <c r="T97" s="89"/>
      <c r="U97" s="89">
        <v>1</v>
      </c>
      <c r="V97" s="89">
        <v>1.5</v>
      </c>
      <c r="W97" s="89">
        <v>1</v>
      </c>
      <c r="X97" s="89">
        <v>1.375</v>
      </c>
      <c r="Y97" s="89">
        <v>1.5</v>
      </c>
      <c r="Z97" s="89">
        <v>0.875</v>
      </c>
      <c r="AA97" s="89"/>
      <c r="AB97" s="89">
        <v>0.5</v>
      </c>
      <c r="AC97" s="89"/>
      <c r="AD97" s="89"/>
      <c r="AE97" s="89"/>
      <c r="AF97" s="89">
        <v>1</v>
      </c>
      <c r="AG97" s="89">
        <v>1</v>
      </c>
      <c r="AH97" s="89"/>
      <c r="AI97" s="89"/>
      <c r="AJ97" s="89">
        <v>1.5</v>
      </c>
      <c r="AK97" s="89">
        <v>1</v>
      </c>
      <c r="AL97" s="89">
        <v>1.5</v>
      </c>
      <c r="AM97" s="89">
        <v>1</v>
      </c>
      <c r="AN97" s="90">
        <f t="shared" ref="AN97:AN156" si="10">SUM(I97:AM97)</f>
        <v>23.125</v>
      </c>
      <c r="AO97" s="86">
        <v>240000</v>
      </c>
      <c r="AP97" s="91">
        <f t="shared" ref="AP97:AP156" si="11">AN97*AO97</f>
        <v>5550000</v>
      </c>
    </row>
    <row r="98" spans="1:42" ht="24.95" customHeight="1">
      <c r="A98" s="84">
        <v>93</v>
      </c>
      <c r="B98" s="84" t="s">
        <v>546</v>
      </c>
      <c r="C98" s="85" t="s">
        <v>576</v>
      </c>
      <c r="D98" s="128" t="s">
        <v>228</v>
      </c>
      <c r="E98" s="126" t="s">
        <v>605</v>
      </c>
      <c r="F98" s="94" t="s">
        <v>230</v>
      </c>
      <c r="G98" s="87" t="s">
        <v>546</v>
      </c>
      <c r="H98" s="88" t="s">
        <v>635</v>
      </c>
      <c r="I98" s="89">
        <v>2</v>
      </c>
      <c r="J98" s="89">
        <v>2</v>
      </c>
      <c r="K98" s="89">
        <v>2</v>
      </c>
      <c r="L98" s="89"/>
      <c r="M98" s="89"/>
      <c r="N98" s="89">
        <v>2</v>
      </c>
      <c r="O98" s="89">
        <v>2</v>
      </c>
      <c r="P98" s="89">
        <v>2</v>
      </c>
      <c r="Q98" s="89">
        <v>2</v>
      </c>
      <c r="R98" s="89">
        <v>2</v>
      </c>
      <c r="S98" s="89"/>
      <c r="T98" s="89"/>
      <c r="U98" s="89">
        <v>2</v>
      </c>
      <c r="V98" s="89">
        <v>2</v>
      </c>
      <c r="W98" s="89">
        <v>2</v>
      </c>
      <c r="X98" s="89">
        <v>2</v>
      </c>
      <c r="Y98" s="89"/>
      <c r="Z98" s="89"/>
      <c r="AA98" s="89"/>
      <c r="AB98" s="89">
        <v>2</v>
      </c>
      <c r="AC98" s="89">
        <v>2</v>
      </c>
      <c r="AD98" s="89">
        <v>2</v>
      </c>
      <c r="AE98" s="89">
        <v>2</v>
      </c>
      <c r="AF98" s="89">
        <v>2</v>
      </c>
      <c r="AG98" s="89"/>
      <c r="AH98" s="89"/>
      <c r="AI98" s="89">
        <v>2</v>
      </c>
      <c r="AJ98" s="89">
        <v>2</v>
      </c>
      <c r="AK98" s="89">
        <v>2</v>
      </c>
      <c r="AL98" s="89">
        <v>2</v>
      </c>
      <c r="AM98" s="89">
        <v>2</v>
      </c>
      <c r="AN98" s="90">
        <f t="shared" si="10"/>
        <v>44</v>
      </c>
      <c r="AO98" s="86">
        <v>190000</v>
      </c>
      <c r="AP98" s="91">
        <f t="shared" si="11"/>
        <v>8360000</v>
      </c>
    </row>
    <row r="99" spans="1:42" ht="24.95" customHeight="1">
      <c r="A99" s="84">
        <v>94</v>
      </c>
      <c r="B99" s="84" t="s">
        <v>762</v>
      </c>
      <c r="C99" s="85" t="s">
        <v>824</v>
      </c>
      <c r="D99" s="36" t="s">
        <v>225</v>
      </c>
      <c r="E99" s="126" t="s">
        <v>885</v>
      </c>
      <c r="F99" s="94" t="s">
        <v>296</v>
      </c>
      <c r="G99" s="87" t="s">
        <v>762</v>
      </c>
      <c r="H99" s="88" t="s">
        <v>945</v>
      </c>
      <c r="I99" s="89">
        <v>1</v>
      </c>
      <c r="J99" s="89">
        <v>1.5</v>
      </c>
      <c r="K99" s="89">
        <v>1</v>
      </c>
      <c r="L99" s="89"/>
      <c r="M99" s="89"/>
      <c r="N99" s="89">
        <v>2</v>
      </c>
      <c r="O99" s="89">
        <v>2</v>
      </c>
      <c r="P99" s="89">
        <v>2</v>
      </c>
      <c r="Q99" s="89">
        <v>2</v>
      </c>
      <c r="R99" s="89">
        <v>2</v>
      </c>
      <c r="S99" s="89"/>
      <c r="T99" s="89"/>
      <c r="U99" s="89">
        <v>2</v>
      </c>
      <c r="V99" s="89">
        <v>2</v>
      </c>
      <c r="W99" s="89">
        <v>2</v>
      </c>
      <c r="X99" s="89">
        <v>2</v>
      </c>
      <c r="Y99" s="89"/>
      <c r="Z99" s="89"/>
      <c r="AA99" s="89"/>
      <c r="AB99" s="89">
        <v>2</v>
      </c>
      <c r="AC99" s="89">
        <v>2</v>
      </c>
      <c r="AD99" s="89">
        <v>2</v>
      </c>
      <c r="AE99" s="89">
        <v>2</v>
      </c>
      <c r="AF99" s="89">
        <v>2</v>
      </c>
      <c r="AG99" s="89"/>
      <c r="AH99" s="89"/>
      <c r="AI99" s="89">
        <v>2</v>
      </c>
      <c r="AJ99" s="89">
        <v>2</v>
      </c>
      <c r="AK99" s="89">
        <v>2</v>
      </c>
      <c r="AL99" s="89">
        <v>2</v>
      </c>
      <c r="AM99" s="89">
        <v>2</v>
      </c>
      <c r="AN99" s="90">
        <f t="shared" si="10"/>
        <v>41.5</v>
      </c>
      <c r="AO99" s="86">
        <v>180000</v>
      </c>
      <c r="AP99" s="91">
        <f t="shared" si="11"/>
        <v>7470000</v>
      </c>
    </row>
    <row r="100" spans="1:42" ht="24.95" customHeight="1">
      <c r="A100" s="84">
        <v>95</v>
      </c>
      <c r="B100" s="84" t="s">
        <v>449</v>
      </c>
      <c r="C100" s="85" t="s">
        <v>471</v>
      </c>
      <c r="D100" s="36" t="s">
        <v>227</v>
      </c>
      <c r="E100" s="126" t="s">
        <v>493</v>
      </c>
      <c r="F100" s="94" t="s">
        <v>304</v>
      </c>
      <c r="G100" s="87" t="s">
        <v>449</v>
      </c>
      <c r="H100" s="88" t="s">
        <v>513</v>
      </c>
      <c r="I100" s="89">
        <v>2</v>
      </c>
      <c r="J100" s="89">
        <v>2</v>
      </c>
      <c r="K100" s="89">
        <v>2</v>
      </c>
      <c r="L100" s="89"/>
      <c r="M100" s="89"/>
      <c r="N100" s="89">
        <v>2</v>
      </c>
      <c r="O100" s="89">
        <v>2</v>
      </c>
      <c r="P100" s="89">
        <v>2</v>
      </c>
      <c r="Q100" s="89">
        <v>2</v>
      </c>
      <c r="R100" s="89">
        <v>2</v>
      </c>
      <c r="S100" s="89"/>
      <c r="T100" s="89"/>
      <c r="U100" s="89">
        <v>2</v>
      </c>
      <c r="V100" s="89">
        <v>2</v>
      </c>
      <c r="W100" s="89">
        <v>2</v>
      </c>
      <c r="X100" s="89">
        <v>2</v>
      </c>
      <c r="Y100" s="89"/>
      <c r="Z100" s="89"/>
      <c r="AA100" s="89"/>
      <c r="AB100" s="89">
        <v>2</v>
      </c>
      <c r="AC100" s="89">
        <v>2</v>
      </c>
      <c r="AD100" s="89">
        <v>2</v>
      </c>
      <c r="AE100" s="89">
        <v>2</v>
      </c>
      <c r="AF100" s="89">
        <v>2</v>
      </c>
      <c r="AG100" s="89"/>
      <c r="AH100" s="89"/>
      <c r="AI100" s="89">
        <v>1</v>
      </c>
      <c r="AJ100" s="89">
        <v>1.5</v>
      </c>
      <c r="AK100" s="89">
        <v>1</v>
      </c>
      <c r="AL100" s="89">
        <v>1.5</v>
      </c>
      <c r="AM100" s="89">
        <v>1</v>
      </c>
      <c r="AN100" s="90">
        <f t="shared" si="10"/>
        <v>40</v>
      </c>
      <c r="AO100" s="86">
        <v>240000</v>
      </c>
      <c r="AP100" s="91">
        <f t="shared" si="11"/>
        <v>9600000</v>
      </c>
    </row>
    <row r="101" spans="1:42" ht="24.95" customHeight="1">
      <c r="A101" s="84">
        <v>96</v>
      </c>
      <c r="B101" s="84" t="s">
        <v>754</v>
      </c>
      <c r="C101" s="85" t="s">
        <v>816</v>
      </c>
      <c r="D101" s="36" t="s">
        <v>228</v>
      </c>
      <c r="E101" s="126" t="s">
        <v>877</v>
      </c>
      <c r="F101" s="94" t="s">
        <v>230</v>
      </c>
      <c r="G101" s="87" t="s">
        <v>754</v>
      </c>
      <c r="H101" s="88" t="s">
        <v>937</v>
      </c>
      <c r="I101" s="89">
        <v>1</v>
      </c>
      <c r="J101" s="89">
        <v>1.5</v>
      </c>
      <c r="K101" s="89">
        <v>1</v>
      </c>
      <c r="L101" s="89"/>
      <c r="M101" s="89"/>
      <c r="N101" s="89">
        <v>1</v>
      </c>
      <c r="O101" s="89">
        <v>1.5</v>
      </c>
      <c r="P101" s="89">
        <v>1</v>
      </c>
      <c r="Q101" s="89">
        <v>1.5</v>
      </c>
      <c r="R101" s="89">
        <v>1</v>
      </c>
      <c r="S101" s="89">
        <v>1</v>
      </c>
      <c r="T101" s="89"/>
      <c r="U101" s="89">
        <v>2</v>
      </c>
      <c r="V101" s="89">
        <v>2</v>
      </c>
      <c r="W101" s="89">
        <v>2</v>
      </c>
      <c r="X101" s="89">
        <v>2</v>
      </c>
      <c r="Y101" s="89"/>
      <c r="Z101" s="89"/>
      <c r="AA101" s="89"/>
      <c r="AB101" s="89">
        <v>2</v>
      </c>
      <c r="AC101" s="89">
        <v>2</v>
      </c>
      <c r="AD101" s="89">
        <v>2</v>
      </c>
      <c r="AE101" s="89">
        <v>2</v>
      </c>
      <c r="AF101" s="89">
        <v>2</v>
      </c>
      <c r="AG101" s="89"/>
      <c r="AH101" s="89"/>
      <c r="AI101" s="89">
        <v>2</v>
      </c>
      <c r="AJ101" s="89">
        <v>2</v>
      </c>
      <c r="AK101" s="89">
        <v>2</v>
      </c>
      <c r="AL101" s="89">
        <v>2</v>
      </c>
      <c r="AM101" s="89">
        <v>2</v>
      </c>
      <c r="AN101" s="90">
        <f t="shared" si="10"/>
        <v>38.5</v>
      </c>
      <c r="AO101" s="86">
        <v>240000</v>
      </c>
      <c r="AP101" s="91">
        <f t="shared" si="11"/>
        <v>9240000</v>
      </c>
    </row>
    <row r="102" spans="1:42" ht="24.95" customHeight="1">
      <c r="A102" s="84">
        <v>97</v>
      </c>
      <c r="B102" s="84" t="s">
        <v>377</v>
      </c>
      <c r="C102" s="85" t="s">
        <v>378</v>
      </c>
      <c r="D102" s="36" t="s">
        <v>1080</v>
      </c>
      <c r="E102" s="126" t="s">
        <v>379</v>
      </c>
      <c r="F102" s="94" t="s">
        <v>229</v>
      </c>
      <c r="G102" s="87" t="s">
        <v>377</v>
      </c>
      <c r="H102" s="88" t="s">
        <v>380</v>
      </c>
      <c r="I102" s="89"/>
      <c r="J102" s="89">
        <v>1.5</v>
      </c>
      <c r="K102" s="89">
        <v>1</v>
      </c>
      <c r="L102" s="89">
        <v>1</v>
      </c>
      <c r="M102" s="89"/>
      <c r="N102" s="89">
        <v>1</v>
      </c>
      <c r="O102" s="89">
        <v>1.5</v>
      </c>
      <c r="P102" s="89">
        <v>1</v>
      </c>
      <c r="Q102" s="89">
        <v>1.5</v>
      </c>
      <c r="R102" s="89">
        <v>1</v>
      </c>
      <c r="S102" s="89">
        <v>1</v>
      </c>
      <c r="T102" s="89"/>
      <c r="U102" s="89">
        <v>1</v>
      </c>
      <c r="V102" s="89">
        <v>1.5</v>
      </c>
      <c r="W102" s="89">
        <v>1</v>
      </c>
      <c r="X102" s="89">
        <v>1.5</v>
      </c>
      <c r="Y102" s="89">
        <v>1.5</v>
      </c>
      <c r="Z102" s="89">
        <v>1</v>
      </c>
      <c r="AA102" s="89"/>
      <c r="AB102" s="89">
        <v>1</v>
      </c>
      <c r="AC102" s="89">
        <v>1.5</v>
      </c>
      <c r="AD102" s="89">
        <v>1</v>
      </c>
      <c r="AE102" s="89">
        <v>1.5</v>
      </c>
      <c r="AF102" s="89">
        <v>1</v>
      </c>
      <c r="AG102" s="89">
        <v>1</v>
      </c>
      <c r="AH102" s="89"/>
      <c r="AI102" s="89">
        <v>1</v>
      </c>
      <c r="AJ102" s="89">
        <v>1</v>
      </c>
      <c r="AK102" s="89">
        <v>1</v>
      </c>
      <c r="AL102" s="89"/>
      <c r="AM102" s="89"/>
      <c r="AN102" s="90">
        <f t="shared" si="10"/>
        <v>28</v>
      </c>
      <c r="AO102" s="86">
        <v>250000</v>
      </c>
      <c r="AP102" s="91">
        <f t="shared" si="11"/>
        <v>7000000</v>
      </c>
    </row>
    <row r="103" spans="1:42" ht="24.95" customHeight="1">
      <c r="A103" s="84">
        <v>98</v>
      </c>
      <c r="B103" s="84" t="s">
        <v>381</v>
      </c>
      <c r="C103" s="85" t="s">
        <v>382</v>
      </c>
      <c r="D103" s="36" t="s">
        <v>225</v>
      </c>
      <c r="E103" s="126" t="s">
        <v>383</v>
      </c>
      <c r="F103" s="94" t="s">
        <v>226</v>
      </c>
      <c r="G103" s="87" t="s">
        <v>381</v>
      </c>
      <c r="H103" s="88" t="s">
        <v>384</v>
      </c>
      <c r="I103" s="89">
        <v>1</v>
      </c>
      <c r="J103" s="89">
        <v>1.5</v>
      </c>
      <c r="K103" s="89">
        <v>1</v>
      </c>
      <c r="L103" s="89">
        <v>1</v>
      </c>
      <c r="M103" s="89"/>
      <c r="N103" s="89">
        <v>1</v>
      </c>
      <c r="O103" s="89">
        <v>1.5</v>
      </c>
      <c r="P103" s="89">
        <v>1</v>
      </c>
      <c r="Q103" s="89">
        <v>1.5</v>
      </c>
      <c r="R103" s="89">
        <v>1</v>
      </c>
      <c r="S103" s="89">
        <v>1</v>
      </c>
      <c r="T103" s="89"/>
      <c r="U103" s="89">
        <v>1</v>
      </c>
      <c r="V103" s="89">
        <v>1.5</v>
      </c>
      <c r="W103" s="89">
        <v>1</v>
      </c>
      <c r="X103" s="89">
        <v>1.5</v>
      </c>
      <c r="Y103" s="89">
        <v>1.5</v>
      </c>
      <c r="Z103" s="89">
        <v>1</v>
      </c>
      <c r="AA103" s="89"/>
      <c r="AB103" s="89">
        <v>1</v>
      </c>
      <c r="AC103" s="89">
        <v>1.5</v>
      </c>
      <c r="AD103" s="89">
        <v>1</v>
      </c>
      <c r="AE103" s="89">
        <v>1.5</v>
      </c>
      <c r="AF103" s="89">
        <v>1</v>
      </c>
      <c r="AG103" s="89">
        <v>1</v>
      </c>
      <c r="AH103" s="89"/>
      <c r="AI103" s="89">
        <v>1</v>
      </c>
      <c r="AJ103" s="89">
        <v>1.5</v>
      </c>
      <c r="AK103" s="89">
        <v>1</v>
      </c>
      <c r="AL103" s="89">
        <v>1.5</v>
      </c>
      <c r="AM103" s="89">
        <v>1</v>
      </c>
      <c r="AN103" s="90">
        <f t="shared" si="10"/>
        <v>32</v>
      </c>
      <c r="AO103" s="86">
        <v>180000</v>
      </c>
      <c r="AP103" s="91">
        <f t="shared" si="11"/>
        <v>5760000</v>
      </c>
    </row>
    <row r="104" spans="1:42" ht="24.95" customHeight="1">
      <c r="A104" s="84">
        <v>99</v>
      </c>
      <c r="B104" s="84" t="s">
        <v>385</v>
      </c>
      <c r="C104" s="85" t="s">
        <v>386</v>
      </c>
      <c r="D104" s="128" t="s">
        <v>225</v>
      </c>
      <c r="E104" s="36" t="s">
        <v>387</v>
      </c>
      <c r="F104" s="96" t="s">
        <v>297</v>
      </c>
      <c r="G104" s="87" t="s">
        <v>385</v>
      </c>
      <c r="H104" s="88" t="s">
        <v>388</v>
      </c>
      <c r="I104" s="89">
        <v>1</v>
      </c>
      <c r="J104" s="89">
        <v>1.5</v>
      </c>
      <c r="K104" s="89">
        <v>0.875</v>
      </c>
      <c r="L104" s="89">
        <v>0.5</v>
      </c>
      <c r="M104" s="89"/>
      <c r="N104" s="89">
        <v>1</v>
      </c>
      <c r="O104" s="89">
        <v>1.5</v>
      </c>
      <c r="P104" s="89">
        <v>1</v>
      </c>
      <c r="Q104" s="89">
        <v>1.5</v>
      </c>
      <c r="R104" s="89">
        <v>1</v>
      </c>
      <c r="S104" s="89"/>
      <c r="T104" s="89"/>
      <c r="U104" s="89">
        <v>1</v>
      </c>
      <c r="V104" s="89">
        <v>1.5</v>
      </c>
      <c r="W104" s="89">
        <v>1</v>
      </c>
      <c r="X104" s="89">
        <v>1.5</v>
      </c>
      <c r="Y104" s="89">
        <v>1.5</v>
      </c>
      <c r="Z104" s="89"/>
      <c r="AA104" s="89"/>
      <c r="AB104" s="89">
        <v>1</v>
      </c>
      <c r="AC104" s="89">
        <v>1.5</v>
      </c>
      <c r="AD104" s="89">
        <v>1</v>
      </c>
      <c r="AE104" s="89">
        <v>1.5</v>
      </c>
      <c r="AF104" s="89">
        <v>1</v>
      </c>
      <c r="AG104" s="89">
        <v>0.5</v>
      </c>
      <c r="AH104" s="89"/>
      <c r="AI104" s="89">
        <v>1</v>
      </c>
      <c r="AJ104" s="89">
        <v>1.5</v>
      </c>
      <c r="AK104" s="89">
        <v>1</v>
      </c>
      <c r="AL104" s="89">
        <v>1.5</v>
      </c>
      <c r="AM104" s="89">
        <v>1</v>
      </c>
      <c r="AN104" s="90">
        <f t="shared" si="10"/>
        <v>28.875</v>
      </c>
      <c r="AO104" s="86">
        <v>160000</v>
      </c>
      <c r="AP104" s="91">
        <f t="shared" si="11"/>
        <v>4620000</v>
      </c>
    </row>
    <row r="105" spans="1:42" ht="24.95" customHeight="1">
      <c r="A105" s="84">
        <v>100</v>
      </c>
      <c r="B105" s="84" t="s">
        <v>547</v>
      </c>
      <c r="C105" s="85" t="s">
        <v>577</v>
      </c>
      <c r="D105" s="36" t="s">
        <v>225</v>
      </c>
      <c r="E105" s="36" t="s">
        <v>606</v>
      </c>
      <c r="F105" s="94" t="s">
        <v>367</v>
      </c>
      <c r="G105" s="87" t="s">
        <v>547</v>
      </c>
      <c r="H105" s="88" t="s">
        <v>636</v>
      </c>
      <c r="I105" s="89">
        <v>2</v>
      </c>
      <c r="J105" s="89">
        <v>2</v>
      </c>
      <c r="K105" s="89">
        <v>2</v>
      </c>
      <c r="L105" s="89"/>
      <c r="M105" s="89"/>
      <c r="N105" s="89">
        <v>2</v>
      </c>
      <c r="O105" s="89">
        <v>2</v>
      </c>
      <c r="P105" s="89">
        <v>2</v>
      </c>
      <c r="Q105" s="89">
        <v>1</v>
      </c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90">
        <f t="shared" si="10"/>
        <v>13</v>
      </c>
      <c r="AO105" s="86">
        <v>150000</v>
      </c>
      <c r="AP105" s="91">
        <f t="shared" si="11"/>
        <v>1950000</v>
      </c>
    </row>
    <row r="106" spans="1:42" ht="24.95" customHeight="1">
      <c r="A106" s="84">
        <v>101</v>
      </c>
      <c r="B106" s="84" t="s">
        <v>1010</v>
      </c>
      <c r="C106" s="85" t="s">
        <v>1059</v>
      </c>
      <c r="D106" s="36" t="s">
        <v>228</v>
      </c>
      <c r="E106" s="126" t="s">
        <v>1112</v>
      </c>
      <c r="F106" s="96" t="s">
        <v>229</v>
      </c>
      <c r="G106" s="87" t="s">
        <v>1010</v>
      </c>
      <c r="H106" s="88" t="s">
        <v>1166</v>
      </c>
      <c r="I106" s="89"/>
      <c r="J106" s="89"/>
      <c r="K106" s="89"/>
      <c r="L106" s="89"/>
      <c r="M106" s="89"/>
      <c r="N106" s="89">
        <v>0.6875</v>
      </c>
      <c r="O106" s="89">
        <v>1.125</v>
      </c>
      <c r="P106" s="89">
        <v>0.5</v>
      </c>
      <c r="Q106" s="89">
        <v>0.625</v>
      </c>
      <c r="R106" s="89">
        <v>1</v>
      </c>
      <c r="S106" s="89"/>
      <c r="T106" s="89"/>
      <c r="U106" s="89">
        <v>1</v>
      </c>
      <c r="V106" s="89">
        <v>1.5</v>
      </c>
      <c r="W106" s="89">
        <v>1</v>
      </c>
      <c r="X106" s="89">
        <v>0.5</v>
      </c>
      <c r="Y106" s="89">
        <v>1.5</v>
      </c>
      <c r="Z106" s="89"/>
      <c r="AA106" s="89"/>
      <c r="AB106" s="89"/>
      <c r="AC106" s="89">
        <v>2</v>
      </c>
      <c r="AD106" s="89">
        <v>2</v>
      </c>
      <c r="AE106" s="89">
        <v>2</v>
      </c>
      <c r="AF106" s="89">
        <v>2</v>
      </c>
      <c r="AG106" s="89"/>
      <c r="AH106" s="89"/>
      <c r="AI106" s="89">
        <v>2</v>
      </c>
      <c r="AJ106" s="89">
        <v>2</v>
      </c>
      <c r="AK106" s="89">
        <v>2</v>
      </c>
      <c r="AL106" s="89">
        <v>2</v>
      </c>
      <c r="AM106" s="89">
        <v>2</v>
      </c>
      <c r="AN106" s="90">
        <f t="shared" si="10"/>
        <v>27.4375</v>
      </c>
      <c r="AO106" s="86">
        <v>220000</v>
      </c>
      <c r="AP106" s="91">
        <f t="shared" si="11"/>
        <v>6036250</v>
      </c>
    </row>
    <row r="107" spans="1:42" ht="24.95" customHeight="1">
      <c r="A107" s="84">
        <v>102</v>
      </c>
      <c r="B107" s="84" t="s">
        <v>769</v>
      </c>
      <c r="C107" s="85" t="s">
        <v>831</v>
      </c>
      <c r="D107" s="128" t="s">
        <v>225</v>
      </c>
      <c r="E107" s="126" t="s">
        <v>892</v>
      </c>
      <c r="F107" s="94" t="s">
        <v>1140</v>
      </c>
      <c r="G107" s="87" t="s">
        <v>769</v>
      </c>
      <c r="H107" s="88" t="s">
        <v>953</v>
      </c>
      <c r="I107" s="89">
        <v>1</v>
      </c>
      <c r="J107" s="89">
        <v>0.125</v>
      </c>
      <c r="K107" s="89">
        <v>1</v>
      </c>
      <c r="L107" s="89">
        <v>0.5</v>
      </c>
      <c r="M107" s="89"/>
      <c r="N107" s="89"/>
      <c r="O107" s="89">
        <v>1.5</v>
      </c>
      <c r="P107" s="89">
        <v>1</v>
      </c>
      <c r="Q107" s="89">
        <v>1.5</v>
      </c>
      <c r="R107" s="89">
        <v>1</v>
      </c>
      <c r="S107" s="89">
        <v>1</v>
      </c>
      <c r="T107" s="89"/>
      <c r="U107" s="89">
        <v>2</v>
      </c>
      <c r="V107" s="89">
        <v>2</v>
      </c>
      <c r="W107" s="89">
        <v>2</v>
      </c>
      <c r="X107" s="89">
        <v>2</v>
      </c>
      <c r="Y107" s="89"/>
      <c r="Z107" s="89"/>
      <c r="AA107" s="89"/>
      <c r="AB107" s="89">
        <v>2</v>
      </c>
      <c r="AC107" s="89">
        <v>2</v>
      </c>
      <c r="AD107" s="89">
        <v>2</v>
      </c>
      <c r="AE107" s="89">
        <v>2</v>
      </c>
      <c r="AF107" s="89">
        <v>2</v>
      </c>
      <c r="AG107" s="89"/>
      <c r="AH107" s="89"/>
      <c r="AI107" s="89">
        <v>2</v>
      </c>
      <c r="AJ107" s="89">
        <v>2</v>
      </c>
      <c r="AK107" s="89">
        <v>2</v>
      </c>
      <c r="AL107" s="89">
        <v>2</v>
      </c>
      <c r="AM107" s="89">
        <v>2</v>
      </c>
      <c r="AN107" s="90">
        <f t="shared" si="10"/>
        <v>36.625</v>
      </c>
      <c r="AO107" s="86">
        <v>160000</v>
      </c>
      <c r="AP107" s="91">
        <f t="shared" si="11"/>
        <v>5860000</v>
      </c>
    </row>
    <row r="108" spans="1:42" ht="24.95" customHeight="1">
      <c r="A108" s="84">
        <v>103</v>
      </c>
      <c r="B108" s="84" t="s">
        <v>1011</v>
      </c>
      <c r="C108" s="85" t="s">
        <v>1060</v>
      </c>
      <c r="D108" s="36" t="s">
        <v>228</v>
      </c>
      <c r="E108" s="36" t="s">
        <v>1113</v>
      </c>
      <c r="F108" s="94" t="s">
        <v>297</v>
      </c>
      <c r="G108" s="87" t="s">
        <v>1011</v>
      </c>
      <c r="H108" s="88" t="s">
        <v>1167</v>
      </c>
      <c r="I108" s="89"/>
      <c r="J108" s="89"/>
      <c r="K108" s="89"/>
      <c r="L108" s="89"/>
      <c r="M108" s="89"/>
      <c r="N108" s="89">
        <v>0.6875</v>
      </c>
      <c r="O108" s="89">
        <v>1.125</v>
      </c>
      <c r="P108" s="89">
        <v>0.5</v>
      </c>
      <c r="Q108" s="89">
        <v>0.625</v>
      </c>
      <c r="R108" s="89">
        <v>1</v>
      </c>
      <c r="S108" s="89"/>
      <c r="T108" s="89"/>
      <c r="U108" s="89">
        <v>1</v>
      </c>
      <c r="V108" s="89">
        <v>1.5</v>
      </c>
      <c r="W108" s="89">
        <v>1</v>
      </c>
      <c r="X108" s="89">
        <v>1.5</v>
      </c>
      <c r="Y108" s="89">
        <v>1.5</v>
      </c>
      <c r="Z108" s="89">
        <v>1</v>
      </c>
      <c r="AA108" s="89"/>
      <c r="AB108" s="89"/>
      <c r="AC108" s="89">
        <v>2</v>
      </c>
      <c r="AD108" s="89">
        <v>2</v>
      </c>
      <c r="AE108" s="89">
        <v>2</v>
      </c>
      <c r="AF108" s="89">
        <v>2</v>
      </c>
      <c r="AG108" s="89"/>
      <c r="AH108" s="89"/>
      <c r="AI108" s="89">
        <v>2</v>
      </c>
      <c r="AJ108" s="89">
        <v>2</v>
      </c>
      <c r="AK108" s="89">
        <v>2</v>
      </c>
      <c r="AL108" s="89">
        <v>2</v>
      </c>
      <c r="AM108" s="89">
        <v>2</v>
      </c>
      <c r="AN108" s="90">
        <f t="shared" si="10"/>
        <v>29.4375</v>
      </c>
      <c r="AO108" s="86">
        <v>210000</v>
      </c>
      <c r="AP108" s="91">
        <f t="shared" si="11"/>
        <v>6181875</v>
      </c>
    </row>
    <row r="109" spans="1:42" ht="24.95" customHeight="1">
      <c r="A109" s="84">
        <v>104</v>
      </c>
      <c r="B109" s="84" t="s">
        <v>389</v>
      </c>
      <c r="C109" s="85" t="s">
        <v>390</v>
      </c>
      <c r="D109" s="36" t="s">
        <v>225</v>
      </c>
      <c r="E109" s="36" t="s">
        <v>391</v>
      </c>
      <c r="F109" s="94" t="s">
        <v>367</v>
      </c>
      <c r="G109" s="87" t="s">
        <v>389</v>
      </c>
      <c r="H109" s="88" t="s">
        <v>392</v>
      </c>
      <c r="I109" s="89"/>
      <c r="J109" s="89">
        <v>1.5</v>
      </c>
      <c r="K109" s="89">
        <v>1</v>
      </c>
      <c r="L109" s="89">
        <v>0.5</v>
      </c>
      <c r="M109" s="89"/>
      <c r="N109" s="89">
        <v>1</v>
      </c>
      <c r="O109" s="89">
        <v>1.5</v>
      </c>
      <c r="P109" s="89">
        <v>1</v>
      </c>
      <c r="Q109" s="89">
        <v>1.5</v>
      </c>
      <c r="R109" s="89">
        <v>1</v>
      </c>
      <c r="S109" s="89">
        <v>1</v>
      </c>
      <c r="T109" s="89"/>
      <c r="U109" s="89">
        <v>1</v>
      </c>
      <c r="V109" s="89">
        <v>1.5</v>
      </c>
      <c r="W109" s="89">
        <v>1</v>
      </c>
      <c r="X109" s="89">
        <v>0.5</v>
      </c>
      <c r="Y109" s="89">
        <v>1.5</v>
      </c>
      <c r="Z109" s="89"/>
      <c r="AA109" s="89"/>
      <c r="AB109" s="89">
        <v>1</v>
      </c>
      <c r="AC109" s="89">
        <v>1.5</v>
      </c>
      <c r="AD109" s="89">
        <v>1</v>
      </c>
      <c r="AE109" s="89">
        <v>1.5</v>
      </c>
      <c r="AF109" s="89">
        <v>1</v>
      </c>
      <c r="AG109" s="89">
        <v>0.5</v>
      </c>
      <c r="AH109" s="89"/>
      <c r="AI109" s="89">
        <v>1</v>
      </c>
      <c r="AJ109" s="89">
        <v>1.5</v>
      </c>
      <c r="AK109" s="89">
        <v>1</v>
      </c>
      <c r="AL109" s="89">
        <v>1.5</v>
      </c>
      <c r="AM109" s="89">
        <v>1</v>
      </c>
      <c r="AN109" s="90">
        <f t="shared" si="10"/>
        <v>28</v>
      </c>
      <c r="AO109" s="86">
        <v>150000</v>
      </c>
      <c r="AP109" s="91">
        <f t="shared" si="11"/>
        <v>4200000</v>
      </c>
    </row>
    <row r="110" spans="1:42" ht="24.95" customHeight="1">
      <c r="A110" s="84">
        <v>105</v>
      </c>
      <c r="B110" s="84" t="s">
        <v>1012</v>
      </c>
      <c r="C110" s="85" t="s">
        <v>1061</v>
      </c>
      <c r="D110" s="36" t="s">
        <v>228</v>
      </c>
      <c r="E110" s="36" t="s">
        <v>1114</v>
      </c>
      <c r="F110" s="94" t="s">
        <v>1140</v>
      </c>
      <c r="G110" s="87" t="s">
        <v>1012</v>
      </c>
      <c r="H110" s="88" t="s">
        <v>1168</v>
      </c>
      <c r="I110" s="89"/>
      <c r="J110" s="89"/>
      <c r="K110" s="89"/>
      <c r="L110" s="89"/>
      <c r="M110" s="89"/>
      <c r="N110" s="89">
        <v>0.6875</v>
      </c>
      <c r="O110" s="89">
        <v>1.125</v>
      </c>
      <c r="P110" s="89">
        <v>0.5</v>
      </c>
      <c r="Q110" s="89">
        <v>0.625</v>
      </c>
      <c r="R110" s="89">
        <v>1</v>
      </c>
      <c r="S110" s="89"/>
      <c r="T110" s="89"/>
      <c r="U110" s="89">
        <v>1</v>
      </c>
      <c r="V110" s="89">
        <v>1.5</v>
      </c>
      <c r="W110" s="89">
        <v>1</v>
      </c>
      <c r="X110" s="89">
        <v>1.5</v>
      </c>
      <c r="Y110" s="89">
        <v>1.5</v>
      </c>
      <c r="Z110" s="89">
        <v>1</v>
      </c>
      <c r="AA110" s="89"/>
      <c r="AB110" s="89"/>
      <c r="AC110" s="89">
        <v>2</v>
      </c>
      <c r="AD110" s="89">
        <v>2</v>
      </c>
      <c r="AE110" s="89">
        <v>2</v>
      </c>
      <c r="AF110" s="89">
        <v>2</v>
      </c>
      <c r="AG110" s="89"/>
      <c r="AH110" s="89"/>
      <c r="AI110" s="89">
        <v>2</v>
      </c>
      <c r="AJ110" s="89">
        <v>2</v>
      </c>
      <c r="AK110" s="89">
        <v>2</v>
      </c>
      <c r="AL110" s="89">
        <v>2</v>
      </c>
      <c r="AM110" s="89">
        <v>2</v>
      </c>
      <c r="AN110" s="90">
        <f t="shared" si="10"/>
        <v>29.4375</v>
      </c>
      <c r="AO110" s="86">
        <v>220000</v>
      </c>
      <c r="AP110" s="91">
        <f t="shared" si="11"/>
        <v>6476250</v>
      </c>
    </row>
    <row r="111" spans="1:42" ht="24.95" customHeight="1">
      <c r="A111" s="84">
        <v>106</v>
      </c>
      <c r="B111" s="84" t="s">
        <v>450</v>
      </c>
      <c r="C111" s="85" t="s">
        <v>472</v>
      </c>
      <c r="D111" s="36" t="s">
        <v>227</v>
      </c>
      <c r="E111" s="36" t="s">
        <v>494</v>
      </c>
      <c r="F111" s="94" t="s">
        <v>230</v>
      </c>
      <c r="G111" s="87" t="s">
        <v>450</v>
      </c>
      <c r="H111" s="88" t="s">
        <v>514</v>
      </c>
      <c r="I111" s="89">
        <v>2</v>
      </c>
      <c r="J111" s="89">
        <v>2</v>
      </c>
      <c r="K111" s="89">
        <v>2</v>
      </c>
      <c r="L111" s="89"/>
      <c r="M111" s="89"/>
      <c r="N111" s="89">
        <v>2</v>
      </c>
      <c r="O111" s="89">
        <v>2</v>
      </c>
      <c r="P111" s="89">
        <v>2</v>
      </c>
      <c r="Q111" s="89">
        <v>2</v>
      </c>
      <c r="R111" s="89">
        <v>2</v>
      </c>
      <c r="S111" s="89"/>
      <c r="T111" s="89"/>
      <c r="U111" s="89">
        <v>2</v>
      </c>
      <c r="V111" s="89">
        <v>2</v>
      </c>
      <c r="W111" s="89">
        <v>2</v>
      </c>
      <c r="X111" s="89">
        <v>2</v>
      </c>
      <c r="Y111" s="89"/>
      <c r="Z111" s="89"/>
      <c r="AA111" s="89"/>
      <c r="AB111" s="89">
        <v>2</v>
      </c>
      <c r="AC111" s="89">
        <v>2</v>
      </c>
      <c r="AD111" s="89">
        <v>2</v>
      </c>
      <c r="AE111" s="89">
        <v>2</v>
      </c>
      <c r="AF111" s="89">
        <v>2</v>
      </c>
      <c r="AG111" s="89"/>
      <c r="AH111" s="89"/>
      <c r="AI111" s="89">
        <v>2</v>
      </c>
      <c r="AJ111" s="89">
        <v>2</v>
      </c>
      <c r="AK111" s="89">
        <v>2</v>
      </c>
      <c r="AL111" s="89">
        <v>2</v>
      </c>
      <c r="AM111" s="89">
        <v>2</v>
      </c>
      <c r="AN111" s="90">
        <f t="shared" si="10"/>
        <v>44</v>
      </c>
      <c r="AO111" s="86">
        <v>240000</v>
      </c>
      <c r="AP111" s="91">
        <f t="shared" si="11"/>
        <v>10560000</v>
      </c>
    </row>
    <row r="112" spans="1:42" ht="24.95" customHeight="1">
      <c r="A112" s="84">
        <v>107</v>
      </c>
      <c r="B112" s="84" t="s">
        <v>763</v>
      </c>
      <c r="C112" s="85" t="s">
        <v>825</v>
      </c>
      <c r="D112" s="36" t="s">
        <v>225</v>
      </c>
      <c r="E112" s="36" t="s">
        <v>886</v>
      </c>
      <c r="F112" s="96" t="s">
        <v>226</v>
      </c>
      <c r="G112" s="87" t="s">
        <v>763</v>
      </c>
      <c r="H112" s="88" t="s">
        <v>946</v>
      </c>
      <c r="I112" s="89">
        <v>1</v>
      </c>
      <c r="J112" s="89">
        <v>1.5</v>
      </c>
      <c r="K112" s="89">
        <v>1</v>
      </c>
      <c r="L112" s="89">
        <v>1</v>
      </c>
      <c r="M112" s="89"/>
      <c r="N112" s="89">
        <v>1</v>
      </c>
      <c r="O112" s="89"/>
      <c r="P112" s="89">
        <v>1</v>
      </c>
      <c r="Q112" s="89">
        <v>1.5</v>
      </c>
      <c r="R112" s="89">
        <v>1</v>
      </c>
      <c r="S112" s="89">
        <v>1</v>
      </c>
      <c r="T112" s="89"/>
      <c r="U112" s="89">
        <v>2</v>
      </c>
      <c r="V112" s="89">
        <v>2</v>
      </c>
      <c r="W112" s="89">
        <v>2</v>
      </c>
      <c r="X112" s="89">
        <v>2</v>
      </c>
      <c r="Y112" s="89"/>
      <c r="Z112" s="89"/>
      <c r="AA112" s="89"/>
      <c r="AB112" s="89">
        <v>2</v>
      </c>
      <c r="AC112" s="89">
        <v>2</v>
      </c>
      <c r="AD112" s="89">
        <v>2</v>
      </c>
      <c r="AE112" s="89">
        <v>2</v>
      </c>
      <c r="AF112" s="89">
        <v>2</v>
      </c>
      <c r="AG112" s="89"/>
      <c r="AH112" s="89"/>
      <c r="AI112" s="89">
        <v>2</v>
      </c>
      <c r="AJ112" s="89">
        <v>2</v>
      </c>
      <c r="AK112" s="89">
        <v>2</v>
      </c>
      <c r="AL112" s="89">
        <v>2</v>
      </c>
      <c r="AM112" s="89">
        <v>2</v>
      </c>
      <c r="AN112" s="90">
        <f t="shared" si="10"/>
        <v>38</v>
      </c>
      <c r="AO112" s="86">
        <v>150000</v>
      </c>
      <c r="AP112" s="91">
        <f t="shared" si="11"/>
        <v>5700000</v>
      </c>
    </row>
    <row r="113" spans="1:42" ht="24.95" customHeight="1">
      <c r="A113" s="84">
        <v>108</v>
      </c>
      <c r="B113" s="84" t="s">
        <v>393</v>
      </c>
      <c r="C113" s="85" t="s">
        <v>394</v>
      </c>
      <c r="D113" s="36" t="s">
        <v>225</v>
      </c>
      <c r="E113" s="36" t="s">
        <v>395</v>
      </c>
      <c r="F113" s="94" t="s">
        <v>305</v>
      </c>
      <c r="G113" s="87" t="s">
        <v>393</v>
      </c>
      <c r="H113" s="88" t="s">
        <v>396</v>
      </c>
      <c r="I113" s="89">
        <v>1</v>
      </c>
      <c r="J113" s="89">
        <v>1.5</v>
      </c>
      <c r="K113" s="89">
        <v>1</v>
      </c>
      <c r="L113" s="89">
        <v>1</v>
      </c>
      <c r="M113" s="89"/>
      <c r="N113" s="89">
        <v>1</v>
      </c>
      <c r="O113" s="89">
        <v>1.5</v>
      </c>
      <c r="P113" s="89">
        <v>1</v>
      </c>
      <c r="Q113" s="89">
        <v>1.5</v>
      </c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90">
        <f t="shared" si="10"/>
        <v>9.5</v>
      </c>
      <c r="AO113" s="86">
        <v>160000</v>
      </c>
      <c r="AP113" s="91">
        <f t="shared" si="11"/>
        <v>1520000</v>
      </c>
    </row>
    <row r="114" spans="1:42" ht="24.95" customHeight="1">
      <c r="A114" s="84">
        <v>109</v>
      </c>
      <c r="B114" s="84" t="s">
        <v>1013</v>
      </c>
      <c r="C114" s="85" t="s">
        <v>1062</v>
      </c>
      <c r="D114" s="128" t="s">
        <v>227</v>
      </c>
      <c r="E114" s="126" t="s">
        <v>1115</v>
      </c>
      <c r="F114" s="94" t="s">
        <v>297</v>
      </c>
      <c r="G114" s="87" t="s">
        <v>1013</v>
      </c>
      <c r="H114" s="88" t="s">
        <v>1169</v>
      </c>
      <c r="I114" s="89"/>
      <c r="J114" s="89"/>
      <c r="K114" s="89"/>
      <c r="L114" s="89"/>
      <c r="M114" s="89"/>
      <c r="N114" s="89">
        <v>0.6875</v>
      </c>
      <c r="O114" s="89">
        <v>1.125</v>
      </c>
      <c r="P114" s="89">
        <v>0.5</v>
      </c>
      <c r="Q114" s="89">
        <v>0.625</v>
      </c>
      <c r="R114" s="89">
        <v>1</v>
      </c>
      <c r="S114" s="89"/>
      <c r="T114" s="89"/>
      <c r="U114" s="89">
        <v>1</v>
      </c>
      <c r="V114" s="89">
        <v>1.5</v>
      </c>
      <c r="W114" s="89">
        <v>1</v>
      </c>
      <c r="X114" s="89">
        <v>1.5</v>
      </c>
      <c r="Y114" s="89">
        <v>1.5</v>
      </c>
      <c r="Z114" s="89">
        <v>1</v>
      </c>
      <c r="AA114" s="89"/>
      <c r="AB114" s="89"/>
      <c r="AC114" s="89">
        <v>2</v>
      </c>
      <c r="AD114" s="89">
        <v>2</v>
      </c>
      <c r="AE114" s="89">
        <v>2</v>
      </c>
      <c r="AF114" s="89">
        <v>2</v>
      </c>
      <c r="AG114" s="89"/>
      <c r="AH114" s="89"/>
      <c r="AI114" s="89">
        <v>2</v>
      </c>
      <c r="AJ114" s="89">
        <v>2</v>
      </c>
      <c r="AK114" s="89">
        <v>2</v>
      </c>
      <c r="AL114" s="89">
        <v>2</v>
      </c>
      <c r="AM114" s="89">
        <v>2</v>
      </c>
      <c r="AN114" s="90">
        <f t="shared" si="10"/>
        <v>29.4375</v>
      </c>
      <c r="AO114" s="86">
        <v>240000</v>
      </c>
      <c r="AP114" s="91">
        <f t="shared" si="11"/>
        <v>7065000</v>
      </c>
    </row>
    <row r="115" spans="1:42" ht="24.95" customHeight="1">
      <c r="A115" s="84">
        <v>110</v>
      </c>
      <c r="B115" s="84" t="s">
        <v>555</v>
      </c>
      <c r="C115" s="85" t="s">
        <v>585</v>
      </c>
      <c r="D115" s="36" t="s">
        <v>225</v>
      </c>
      <c r="E115" s="126" t="s">
        <v>614</v>
      </c>
      <c r="F115" s="94" t="s">
        <v>297</v>
      </c>
      <c r="G115" s="87" t="s">
        <v>555</v>
      </c>
      <c r="H115" s="88" t="s">
        <v>644</v>
      </c>
      <c r="I115" s="89">
        <v>1</v>
      </c>
      <c r="J115" s="89">
        <v>1.5</v>
      </c>
      <c r="K115" s="89"/>
      <c r="L115" s="89">
        <v>0.5</v>
      </c>
      <c r="M115" s="89"/>
      <c r="N115" s="89">
        <v>2</v>
      </c>
      <c r="O115" s="89"/>
      <c r="P115" s="89">
        <v>2</v>
      </c>
      <c r="Q115" s="89">
        <v>2</v>
      </c>
      <c r="R115" s="89">
        <v>2</v>
      </c>
      <c r="S115" s="89"/>
      <c r="T115" s="89"/>
      <c r="U115" s="89">
        <v>2</v>
      </c>
      <c r="V115" s="89">
        <v>2</v>
      </c>
      <c r="W115" s="89">
        <v>2</v>
      </c>
      <c r="X115" s="89">
        <v>2</v>
      </c>
      <c r="Y115" s="89"/>
      <c r="Z115" s="89"/>
      <c r="AA115" s="89"/>
      <c r="AB115" s="89">
        <v>2</v>
      </c>
      <c r="AC115" s="89">
        <v>2</v>
      </c>
      <c r="AD115" s="89">
        <v>2</v>
      </c>
      <c r="AE115" s="89">
        <v>2</v>
      </c>
      <c r="AF115" s="89">
        <v>2</v>
      </c>
      <c r="AG115" s="89"/>
      <c r="AH115" s="89"/>
      <c r="AI115" s="89">
        <v>2</v>
      </c>
      <c r="AJ115" s="89">
        <v>2</v>
      </c>
      <c r="AK115" s="89">
        <v>2</v>
      </c>
      <c r="AL115" s="89">
        <v>2</v>
      </c>
      <c r="AM115" s="89">
        <v>2</v>
      </c>
      <c r="AN115" s="90">
        <f t="shared" si="10"/>
        <v>39</v>
      </c>
      <c r="AO115" s="86">
        <v>180000</v>
      </c>
      <c r="AP115" s="91">
        <f t="shared" si="11"/>
        <v>7020000</v>
      </c>
    </row>
    <row r="116" spans="1:42" ht="24.95" customHeight="1">
      <c r="A116" s="84">
        <v>111</v>
      </c>
      <c r="B116" s="84" t="s">
        <v>1014</v>
      </c>
      <c r="C116" s="85" t="s">
        <v>1063</v>
      </c>
      <c r="D116" s="128" t="s">
        <v>225</v>
      </c>
      <c r="E116" s="126" t="s">
        <v>1116</v>
      </c>
      <c r="F116" s="94" t="s">
        <v>226</v>
      </c>
      <c r="G116" s="87" t="s">
        <v>1014</v>
      </c>
      <c r="H116" s="88" t="s">
        <v>1170</v>
      </c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>
        <v>0.6875</v>
      </c>
      <c r="AC116" s="89">
        <v>1.125</v>
      </c>
      <c r="AD116" s="89"/>
      <c r="AE116" s="89">
        <v>0.75</v>
      </c>
      <c r="AF116" s="89">
        <v>1</v>
      </c>
      <c r="AG116" s="89"/>
      <c r="AH116" s="89"/>
      <c r="AI116" s="89">
        <v>1</v>
      </c>
      <c r="AJ116" s="89">
        <v>1.5</v>
      </c>
      <c r="AK116" s="89">
        <v>1</v>
      </c>
      <c r="AL116" s="89">
        <v>1.5</v>
      </c>
      <c r="AM116" s="89">
        <v>1</v>
      </c>
      <c r="AN116" s="90">
        <f t="shared" si="10"/>
        <v>9.5625</v>
      </c>
      <c r="AO116" s="86">
        <v>150000</v>
      </c>
      <c r="AP116" s="91">
        <f t="shared" si="11"/>
        <v>1434375</v>
      </c>
    </row>
    <row r="117" spans="1:42" ht="24.95" customHeight="1">
      <c r="A117" s="84">
        <v>112</v>
      </c>
      <c r="B117" s="84" t="s">
        <v>729</v>
      </c>
      <c r="C117" s="85" t="s">
        <v>790</v>
      </c>
      <c r="D117" s="36" t="s">
        <v>225</v>
      </c>
      <c r="E117" s="126" t="s">
        <v>852</v>
      </c>
      <c r="F117" s="94" t="s">
        <v>297</v>
      </c>
      <c r="G117" s="87" t="s">
        <v>729</v>
      </c>
      <c r="H117" s="88" t="s">
        <v>912</v>
      </c>
      <c r="I117" s="89">
        <v>1</v>
      </c>
      <c r="J117" s="89">
        <v>1.5</v>
      </c>
      <c r="K117" s="89">
        <v>1</v>
      </c>
      <c r="L117" s="89">
        <v>1</v>
      </c>
      <c r="M117" s="89"/>
      <c r="N117" s="89">
        <v>1</v>
      </c>
      <c r="O117" s="89">
        <v>1.5</v>
      </c>
      <c r="P117" s="89">
        <v>1</v>
      </c>
      <c r="Q117" s="89">
        <v>1.5</v>
      </c>
      <c r="R117" s="89">
        <v>1</v>
      </c>
      <c r="S117" s="89">
        <v>1</v>
      </c>
      <c r="T117" s="89"/>
      <c r="U117" s="89">
        <v>1</v>
      </c>
      <c r="V117" s="89">
        <v>1.5</v>
      </c>
      <c r="W117" s="89">
        <v>1</v>
      </c>
      <c r="X117" s="89">
        <v>1</v>
      </c>
      <c r="Y117" s="89">
        <v>0.1875</v>
      </c>
      <c r="Z117" s="89"/>
      <c r="AA117" s="89"/>
      <c r="AB117" s="89">
        <v>1</v>
      </c>
      <c r="AC117" s="89">
        <v>1.5</v>
      </c>
      <c r="AD117" s="89">
        <v>1</v>
      </c>
      <c r="AE117" s="89">
        <v>1.5</v>
      </c>
      <c r="AF117" s="89"/>
      <c r="AG117" s="89"/>
      <c r="AH117" s="89"/>
      <c r="AI117" s="89"/>
      <c r="AJ117" s="89"/>
      <c r="AK117" s="89"/>
      <c r="AL117" s="89"/>
      <c r="AM117" s="89"/>
      <c r="AN117" s="90">
        <f t="shared" si="10"/>
        <v>21.1875</v>
      </c>
      <c r="AO117" s="86">
        <v>170000</v>
      </c>
      <c r="AP117" s="91">
        <f t="shared" si="11"/>
        <v>3601875</v>
      </c>
    </row>
    <row r="118" spans="1:42" ht="24.95" customHeight="1">
      <c r="A118" s="84">
        <v>113</v>
      </c>
      <c r="B118" s="84" t="s">
        <v>451</v>
      </c>
      <c r="C118" s="85" t="s">
        <v>473</v>
      </c>
      <c r="D118" s="36" t="s">
        <v>1080</v>
      </c>
      <c r="E118" s="36" t="s">
        <v>495</v>
      </c>
      <c r="F118" s="96" t="s">
        <v>367</v>
      </c>
      <c r="G118" s="87" t="s">
        <v>451</v>
      </c>
      <c r="H118" s="88" t="s">
        <v>515</v>
      </c>
      <c r="I118" s="89">
        <v>1</v>
      </c>
      <c r="J118" s="89">
        <v>1.5</v>
      </c>
      <c r="K118" s="89">
        <v>1</v>
      </c>
      <c r="L118" s="89">
        <v>1</v>
      </c>
      <c r="M118" s="89"/>
      <c r="N118" s="89">
        <v>1</v>
      </c>
      <c r="O118" s="89">
        <v>1.5</v>
      </c>
      <c r="P118" s="89">
        <v>1</v>
      </c>
      <c r="Q118" s="89">
        <v>1.5</v>
      </c>
      <c r="R118" s="89"/>
      <c r="S118" s="89"/>
      <c r="T118" s="89"/>
      <c r="U118" s="89">
        <v>1</v>
      </c>
      <c r="V118" s="89">
        <v>1.5</v>
      </c>
      <c r="W118" s="89">
        <v>1</v>
      </c>
      <c r="X118" s="89">
        <v>1.5</v>
      </c>
      <c r="Y118" s="89">
        <v>1.5</v>
      </c>
      <c r="Z118" s="89">
        <v>1</v>
      </c>
      <c r="AA118" s="89"/>
      <c r="AB118" s="89">
        <v>1</v>
      </c>
      <c r="AC118" s="89">
        <v>1.5</v>
      </c>
      <c r="AD118" s="89">
        <v>1</v>
      </c>
      <c r="AE118" s="89">
        <v>1.5</v>
      </c>
      <c r="AF118" s="89">
        <v>1</v>
      </c>
      <c r="AG118" s="89">
        <v>1</v>
      </c>
      <c r="AH118" s="89"/>
      <c r="AI118" s="89">
        <v>1</v>
      </c>
      <c r="AJ118" s="89">
        <v>1.5</v>
      </c>
      <c r="AK118" s="89">
        <v>1</v>
      </c>
      <c r="AL118" s="89">
        <v>1.5</v>
      </c>
      <c r="AM118" s="89">
        <v>1</v>
      </c>
      <c r="AN118" s="90">
        <f t="shared" si="10"/>
        <v>30</v>
      </c>
      <c r="AO118" s="86">
        <v>240000</v>
      </c>
      <c r="AP118" s="91">
        <f t="shared" si="11"/>
        <v>7200000</v>
      </c>
    </row>
    <row r="119" spans="1:42" ht="24.95" customHeight="1">
      <c r="A119" s="84">
        <v>114</v>
      </c>
      <c r="B119" s="84" t="s">
        <v>397</v>
      </c>
      <c r="C119" s="85" t="s">
        <v>398</v>
      </c>
      <c r="D119" s="36" t="s">
        <v>225</v>
      </c>
      <c r="E119" s="36" t="s">
        <v>399</v>
      </c>
      <c r="F119" s="94" t="s">
        <v>400</v>
      </c>
      <c r="G119" s="87" t="s">
        <v>397</v>
      </c>
      <c r="H119" s="88" t="s">
        <v>401</v>
      </c>
      <c r="I119" s="89">
        <v>2</v>
      </c>
      <c r="J119" s="89">
        <v>2</v>
      </c>
      <c r="K119" s="89">
        <v>2</v>
      </c>
      <c r="L119" s="89"/>
      <c r="M119" s="89"/>
      <c r="N119" s="89">
        <v>2</v>
      </c>
      <c r="O119" s="89">
        <v>2</v>
      </c>
      <c r="P119" s="89">
        <v>2</v>
      </c>
      <c r="Q119" s="89">
        <v>2</v>
      </c>
      <c r="R119" s="89">
        <v>2</v>
      </c>
      <c r="S119" s="89"/>
      <c r="T119" s="89"/>
      <c r="U119" s="89">
        <v>2</v>
      </c>
      <c r="V119" s="89">
        <v>2</v>
      </c>
      <c r="W119" s="89">
        <v>2</v>
      </c>
      <c r="X119" s="89">
        <v>2</v>
      </c>
      <c r="Y119" s="89"/>
      <c r="Z119" s="89"/>
      <c r="AA119" s="89"/>
      <c r="AB119" s="89">
        <v>2</v>
      </c>
      <c r="AC119" s="89">
        <v>2</v>
      </c>
      <c r="AD119" s="89">
        <v>2</v>
      </c>
      <c r="AE119" s="89">
        <v>2</v>
      </c>
      <c r="AF119" s="89">
        <v>2</v>
      </c>
      <c r="AG119" s="89"/>
      <c r="AH119" s="89"/>
      <c r="AI119" s="89">
        <v>2</v>
      </c>
      <c r="AJ119" s="89">
        <v>2</v>
      </c>
      <c r="AK119" s="89">
        <v>2</v>
      </c>
      <c r="AL119" s="89">
        <v>2</v>
      </c>
      <c r="AM119" s="89">
        <v>2</v>
      </c>
      <c r="AN119" s="90">
        <f t="shared" si="10"/>
        <v>44</v>
      </c>
      <c r="AO119" s="86">
        <v>170000</v>
      </c>
      <c r="AP119" s="91">
        <f t="shared" si="11"/>
        <v>7480000</v>
      </c>
    </row>
    <row r="120" spans="1:42" ht="24.95" customHeight="1">
      <c r="A120" s="84">
        <v>115</v>
      </c>
      <c r="B120" s="84" t="s">
        <v>402</v>
      </c>
      <c r="C120" s="85" t="s">
        <v>403</v>
      </c>
      <c r="D120" s="36" t="s">
        <v>1080</v>
      </c>
      <c r="E120" s="126" t="s">
        <v>404</v>
      </c>
      <c r="F120" s="96" t="s">
        <v>297</v>
      </c>
      <c r="G120" s="87" t="s">
        <v>402</v>
      </c>
      <c r="H120" s="88" t="s">
        <v>405</v>
      </c>
      <c r="I120" s="89">
        <v>1</v>
      </c>
      <c r="J120" s="89">
        <v>1.5</v>
      </c>
      <c r="K120" s="89">
        <v>1</v>
      </c>
      <c r="L120" s="89">
        <v>1</v>
      </c>
      <c r="M120" s="89"/>
      <c r="N120" s="89">
        <v>1</v>
      </c>
      <c r="O120" s="89">
        <v>1.5</v>
      </c>
      <c r="P120" s="89">
        <v>1</v>
      </c>
      <c r="Q120" s="89">
        <v>1.5</v>
      </c>
      <c r="R120" s="89">
        <v>1</v>
      </c>
      <c r="S120" s="89">
        <v>1</v>
      </c>
      <c r="T120" s="89"/>
      <c r="U120" s="89">
        <v>1</v>
      </c>
      <c r="V120" s="89">
        <v>1.5</v>
      </c>
      <c r="W120" s="89">
        <v>1</v>
      </c>
      <c r="X120" s="89">
        <v>1.5</v>
      </c>
      <c r="Y120" s="89">
        <v>1.5</v>
      </c>
      <c r="Z120" s="89">
        <v>1</v>
      </c>
      <c r="AA120" s="89"/>
      <c r="AB120" s="89">
        <v>1</v>
      </c>
      <c r="AC120" s="89">
        <v>1.5</v>
      </c>
      <c r="AD120" s="89">
        <v>1</v>
      </c>
      <c r="AE120" s="89">
        <v>1.5</v>
      </c>
      <c r="AF120" s="89">
        <v>1</v>
      </c>
      <c r="AG120" s="89">
        <v>1</v>
      </c>
      <c r="AH120" s="89"/>
      <c r="AI120" s="89">
        <v>1</v>
      </c>
      <c r="AJ120" s="89">
        <v>1.5</v>
      </c>
      <c r="AK120" s="89">
        <v>1</v>
      </c>
      <c r="AL120" s="89">
        <v>1.5</v>
      </c>
      <c r="AM120" s="89">
        <v>1</v>
      </c>
      <c r="AN120" s="90">
        <f t="shared" si="10"/>
        <v>32</v>
      </c>
      <c r="AO120" s="86">
        <v>270000</v>
      </c>
      <c r="AP120" s="91">
        <f t="shared" si="11"/>
        <v>8640000</v>
      </c>
    </row>
    <row r="121" spans="1:42" ht="24.95" customHeight="1">
      <c r="A121" s="84">
        <v>116</v>
      </c>
      <c r="B121" s="84" t="s">
        <v>406</v>
      </c>
      <c r="C121" s="85" t="s">
        <v>407</v>
      </c>
      <c r="D121" s="36" t="s">
        <v>1081</v>
      </c>
      <c r="E121" s="126" t="s">
        <v>408</v>
      </c>
      <c r="F121" s="94" t="s">
        <v>226</v>
      </c>
      <c r="G121" s="87" t="s">
        <v>406</v>
      </c>
      <c r="H121" s="88" t="s">
        <v>409</v>
      </c>
      <c r="I121" s="89">
        <v>2</v>
      </c>
      <c r="J121" s="89">
        <v>2</v>
      </c>
      <c r="K121" s="89">
        <v>2</v>
      </c>
      <c r="L121" s="89"/>
      <c r="M121" s="89"/>
      <c r="N121" s="89">
        <v>2</v>
      </c>
      <c r="O121" s="89">
        <v>2</v>
      </c>
      <c r="P121" s="89">
        <v>2</v>
      </c>
      <c r="Q121" s="89">
        <v>2</v>
      </c>
      <c r="R121" s="89">
        <v>2</v>
      </c>
      <c r="S121" s="89"/>
      <c r="T121" s="89"/>
      <c r="U121" s="89">
        <v>2</v>
      </c>
      <c r="V121" s="89">
        <v>2</v>
      </c>
      <c r="W121" s="89">
        <v>2</v>
      </c>
      <c r="X121" s="89">
        <v>2</v>
      </c>
      <c r="Y121" s="89"/>
      <c r="Z121" s="89"/>
      <c r="AA121" s="89"/>
      <c r="AB121" s="89">
        <v>2</v>
      </c>
      <c r="AC121" s="89">
        <v>2</v>
      </c>
      <c r="AD121" s="89">
        <v>2</v>
      </c>
      <c r="AE121" s="89">
        <v>2</v>
      </c>
      <c r="AF121" s="89">
        <v>2</v>
      </c>
      <c r="AG121" s="89"/>
      <c r="AH121" s="89"/>
      <c r="AI121" s="89">
        <v>2</v>
      </c>
      <c r="AJ121" s="89">
        <v>2</v>
      </c>
      <c r="AK121" s="89">
        <v>2</v>
      </c>
      <c r="AL121" s="89">
        <v>2</v>
      </c>
      <c r="AM121" s="89">
        <v>2</v>
      </c>
      <c r="AN121" s="90">
        <f t="shared" si="10"/>
        <v>44</v>
      </c>
      <c r="AO121" s="86">
        <v>190000</v>
      </c>
      <c r="AP121" s="91">
        <f t="shared" si="11"/>
        <v>8360000</v>
      </c>
    </row>
    <row r="122" spans="1:42" ht="24.95" customHeight="1">
      <c r="A122" s="84">
        <v>117</v>
      </c>
      <c r="B122" s="84" t="s">
        <v>548</v>
      </c>
      <c r="C122" s="85" t="s">
        <v>578</v>
      </c>
      <c r="D122" s="36" t="s">
        <v>227</v>
      </c>
      <c r="E122" s="36" t="s">
        <v>607</v>
      </c>
      <c r="F122" s="94" t="s">
        <v>230</v>
      </c>
      <c r="G122" s="87" t="s">
        <v>548</v>
      </c>
      <c r="H122" s="88" t="s">
        <v>637</v>
      </c>
      <c r="I122" s="89">
        <v>2</v>
      </c>
      <c r="J122" s="89">
        <v>2</v>
      </c>
      <c r="K122" s="89">
        <v>2</v>
      </c>
      <c r="L122" s="89"/>
      <c r="M122" s="89"/>
      <c r="N122" s="89">
        <v>2</v>
      </c>
      <c r="O122" s="89">
        <v>2</v>
      </c>
      <c r="P122" s="89">
        <v>2</v>
      </c>
      <c r="Q122" s="89">
        <v>2</v>
      </c>
      <c r="R122" s="89">
        <v>2</v>
      </c>
      <c r="S122" s="89"/>
      <c r="T122" s="89"/>
      <c r="U122" s="89">
        <v>2</v>
      </c>
      <c r="V122" s="89">
        <v>2</v>
      </c>
      <c r="W122" s="89">
        <v>2</v>
      </c>
      <c r="X122" s="89">
        <v>2</v>
      </c>
      <c r="Y122" s="89"/>
      <c r="Z122" s="89"/>
      <c r="AA122" s="89"/>
      <c r="AB122" s="89">
        <v>2</v>
      </c>
      <c r="AC122" s="89">
        <v>2</v>
      </c>
      <c r="AD122" s="89">
        <v>2</v>
      </c>
      <c r="AE122" s="89">
        <v>2</v>
      </c>
      <c r="AF122" s="89">
        <v>2</v>
      </c>
      <c r="AG122" s="89"/>
      <c r="AH122" s="89"/>
      <c r="AI122" s="89">
        <v>2</v>
      </c>
      <c r="AJ122" s="89">
        <v>2</v>
      </c>
      <c r="AK122" s="89">
        <v>2</v>
      </c>
      <c r="AL122" s="89">
        <v>2</v>
      </c>
      <c r="AM122" s="89">
        <v>2</v>
      </c>
      <c r="AN122" s="90">
        <f t="shared" si="10"/>
        <v>44</v>
      </c>
      <c r="AO122" s="86">
        <v>240000</v>
      </c>
      <c r="AP122" s="91">
        <f t="shared" si="11"/>
        <v>10560000</v>
      </c>
    </row>
    <row r="123" spans="1:42" ht="24.95" customHeight="1">
      <c r="A123" s="84">
        <v>118</v>
      </c>
      <c r="B123" s="84" t="s">
        <v>452</v>
      </c>
      <c r="C123" s="85" t="s">
        <v>474</v>
      </c>
      <c r="D123" s="36" t="s">
        <v>1081</v>
      </c>
      <c r="E123" s="36" t="s">
        <v>496</v>
      </c>
      <c r="F123" s="94" t="s">
        <v>367</v>
      </c>
      <c r="G123" s="87" t="s">
        <v>452</v>
      </c>
      <c r="H123" s="88" t="s">
        <v>516</v>
      </c>
      <c r="I123" s="89">
        <v>1</v>
      </c>
      <c r="J123" s="89">
        <v>1.5</v>
      </c>
      <c r="K123" s="89">
        <v>1</v>
      </c>
      <c r="L123" s="89"/>
      <c r="M123" s="89"/>
      <c r="N123" s="89">
        <v>1</v>
      </c>
      <c r="O123" s="89">
        <v>1.5</v>
      </c>
      <c r="P123" s="89">
        <v>1</v>
      </c>
      <c r="Q123" s="89">
        <v>1.5</v>
      </c>
      <c r="R123" s="89">
        <v>1</v>
      </c>
      <c r="S123" s="89">
        <v>1</v>
      </c>
      <c r="T123" s="89"/>
      <c r="U123" s="89">
        <v>1</v>
      </c>
      <c r="V123" s="89">
        <v>1.5</v>
      </c>
      <c r="W123" s="89">
        <v>1</v>
      </c>
      <c r="X123" s="89">
        <v>1.5</v>
      </c>
      <c r="Y123" s="89">
        <v>1.5</v>
      </c>
      <c r="Z123" s="89"/>
      <c r="AA123" s="89"/>
      <c r="AB123" s="89">
        <v>1</v>
      </c>
      <c r="AC123" s="89">
        <v>1.5</v>
      </c>
      <c r="AD123" s="89">
        <v>1</v>
      </c>
      <c r="AE123" s="89">
        <v>1.5</v>
      </c>
      <c r="AF123" s="89">
        <v>1</v>
      </c>
      <c r="AG123" s="89">
        <v>1</v>
      </c>
      <c r="AH123" s="89"/>
      <c r="AI123" s="89">
        <v>1</v>
      </c>
      <c r="AJ123" s="89">
        <v>1.5</v>
      </c>
      <c r="AK123" s="89">
        <v>1</v>
      </c>
      <c r="AL123" s="89">
        <v>1.5</v>
      </c>
      <c r="AM123" s="89">
        <v>1</v>
      </c>
      <c r="AN123" s="90">
        <f t="shared" si="10"/>
        <v>30</v>
      </c>
      <c r="AO123" s="86">
        <v>180000</v>
      </c>
      <c r="AP123" s="91">
        <f t="shared" si="11"/>
        <v>5400000</v>
      </c>
    </row>
    <row r="124" spans="1:42" ht="24.95" customHeight="1">
      <c r="A124" s="84">
        <v>119</v>
      </c>
      <c r="B124" s="84" t="s">
        <v>561</v>
      </c>
      <c r="C124" s="85" t="s">
        <v>591</v>
      </c>
      <c r="D124" s="36" t="s">
        <v>228</v>
      </c>
      <c r="E124" s="36" t="s">
        <v>620</v>
      </c>
      <c r="F124" s="94" t="s">
        <v>226</v>
      </c>
      <c r="G124" s="87" t="s">
        <v>561</v>
      </c>
      <c r="H124" s="88" t="s">
        <v>650</v>
      </c>
      <c r="I124" s="89">
        <v>1</v>
      </c>
      <c r="J124" s="89">
        <v>1.5</v>
      </c>
      <c r="K124" s="89">
        <v>1</v>
      </c>
      <c r="L124" s="89">
        <v>1</v>
      </c>
      <c r="M124" s="89"/>
      <c r="N124" s="89">
        <v>1</v>
      </c>
      <c r="O124" s="89">
        <v>1.5</v>
      </c>
      <c r="P124" s="89">
        <v>1</v>
      </c>
      <c r="Q124" s="89">
        <v>1.5</v>
      </c>
      <c r="R124" s="89">
        <v>1</v>
      </c>
      <c r="S124" s="89">
        <v>1</v>
      </c>
      <c r="T124" s="89"/>
      <c r="U124" s="89">
        <v>1</v>
      </c>
      <c r="V124" s="89">
        <v>1.5</v>
      </c>
      <c r="W124" s="89">
        <v>1</v>
      </c>
      <c r="X124" s="89">
        <v>1.5</v>
      </c>
      <c r="Y124" s="89">
        <v>1.5</v>
      </c>
      <c r="Z124" s="89">
        <v>1</v>
      </c>
      <c r="AA124" s="89"/>
      <c r="AB124" s="89">
        <v>1</v>
      </c>
      <c r="AC124" s="89">
        <v>1.5</v>
      </c>
      <c r="AD124" s="89">
        <v>1</v>
      </c>
      <c r="AE124" s="89">
        <v>1.5</v>
      </c>
      <c r="AF124" s="89">
        <v>1</v>
      </c>
      <c r="AG124" s="89">
        <v>1</v>
      </c>
      <c r="AH124" s="89"/>
      <c r="AI124" s="89">
        <v>1</v>
      </c>
      <c r="AJ124" s="89">
        <v>1.5</v>
      </c>
      <c r="AK124" s="89">
        <v>1</v>
      </c>
      <c r="AL124" s="89">
        <v>1.5</v>
      </c>
      <c r="AM124" s="89">
        <v>1</v>
      </c>
      <c r="AN124" s="90">
        <f t="shared" si="10"/>
        <v>32</v>
      </c>
      <c r="AO124" s="86">
        <v>220000</v>
      </c>
      <c r="AP124" s="91">
        <f t="shared" si="11"/>
        <v>7040000</v>
      </c>
    </row>
    <row r="125" spans="1:42" ht="24.95" customHeight="1">
      <c r="A125" s="84">
        <v>120</v>
      </c>
      <c r="B125" s="84" t="s">
        <v>755</v>
      </c>
      <c r="C125" s="85" t="s">
        <v>817</v>
      </c>
      <c r="D125" s="36" t="s">
        <v>228</v>
      </c>
      <c r="E125" s="36" t="s">
        <v>878</v>
      </c>
      <c r="F125" s="94" t="s">
        <v>305</v>
      </c>
      <c r="G125" s="87" t="s">
        <v>755</v>
      </c>
      <c r="H125" s="88" t="s">
        <v>938</v>
      </c>
      <c r="I125" s="89">
        <v>1</v>
      </c>
      <c r="J125" s="89">
        <v>1.5</v>
      </c>
      <c r="K125" s="89">
        <v>1</v>
      </c>
      <c r="L125" s="89">
        <v>1</v>
      </c>
      <c r="M125" s="89"/>
      <c r="N125" s="89">
        <v>1</v>
      </c>
      <c r="O125" s="89">
        <v>1.5</v>
      </c>
      <c r="P125" s="89">
        <v>1</v>
      </c>
      <c r="Q125" s="89">
        <v>1.5</v>
      </c>
      <c r="R125" s="89">
        <v>1</v>
      </c>
      <c r="S125" s="89">
        <v>1</v>
      </c>
      <c r="T125" s="89"/>
      <c r="U125" s="89">
        <v>1</v>
      </c>
      <c r="V125" s="89">
        <v>1.5</v>
      </c>
      <c r="W125" s="89">
        <v>1</v>
      </c>
      <c r="X125" s="89">
        <v>1.5</v>
      </c>
      <c r="Y125" s="89">
        <v>1.5</v>
      </c>
      <c r="Z125" s="89">
        <v>1</v>
      </c>
      <c r="AA125" s="89"/>
      <c r="AB125" s="89">
        <v>1</v>
      </c>
      <c r="AC125" s="89">
        <v>1.5</v>
      </c>
      <c r="AD125" s="89">
        <v>1</v>
      </c>
      <c r="AE125" s="89">
        <v>1.5</v>
      </c>
      <c r="AF125" s="89">
        <v>1</v>
      </c>
      <c r="AG125" s="89">
        <v>0.5</v>
      </c>
      <c r="AH125" s="89"/>
      <c r="AI125" s="89">
        <v>1</v>
      </c>
      <c r="AJ125" s="89">
        <v>1.5</v>
      </c>
      <c r="AK125" s="89">
        <v>1</v>
      </c>
      <c r="AL125" s="89">
        <v>1.5</v>
      </c>
      <c r="AM125" s="89">
        <v>1</v>
      </c>
      <c r="AN125" s="90">
        <f t="shared" si="10"/>
        <v>31.5</v>
      </c>
      <c r="AO125" s="86">
        <v>210000</v>
      </c>
      <c r="AP125" s="91">
        <f t="shared" si="11"/>
        <v>6615000</v>
      </c>
    </row>
    <row r="126" spans="1:42" ht="24.95" customHeight="1">
      <c r="A126" s="84">
        <v>121</v>
      </c>
      <c r="B126" s="84" t="s">
        <v>730</v>
      </c>
      <c r="C126" s="85" t="s">
        <v>791</v>
      </c>
      <c r="D126" s="36" t="s">
        <v>227</v>
      </c>
      <c r="E126" s="36" t="s">
        <v>853</v>
      </c>
      <c r="F126" s="96" t="s">
        <v>304</v>
      </c>
      <c r="G126" s="87" t="s">
        <v>730</v>
      </c>
      <c r="H126" s="88" t="s">
        <v>913</v>
      </c>
      <c r="I126" s="89">
        <v>2</v>
      </c>
      <c r="J126" s="89">
        <v>2</v>
      </c>
      <c r="K126" s="89">
        <v>2</v>
      </c>
      <c r="L126" s="89"/>
      <c r="M126" s="89"/>
      <c r="N126" s="89">
        <v>2</v>
      </c>
      <c r="O126" s="89">
        <v>2</v>
      </c>
      <c r="P126" s="89">
        <v>2</v>
      </c>
      <c r="Q126" s="89">
        <v>2</v>
      </c>
      <c r="R126" s="89">
        <v>2</v>
      </c>
      <c r="S126" s="89"/>
      <c r="T126" s="89"/>
      <c r="U126" s="89">
        <v>2</v>
      </c>
      <c r="V126" s="89">
        <v>2</v>
      </c>
      <c r="W126" s="89">
        <v>2</v>
      </c>
      <c r="X126" s="89">
        <v>2</v>
      </c>
      <c r="Y126" s="89"/>
      <c r="Z126" s="89"/>
      <c r="AA126" s="89"/>
      <c r="AB126" s="89">
        <v>2</v>
      </c>
      <c r="AC126" s="89">
        <v>2</v>
      </c>
      <c r="AD126" s="89">
        <v>2</v>
      </c>
      <c r="AE126" s="89">
        <v>2</v>
      </c>
      <c r="AF126" s="89">
        <v>2</v>
      </c>
      <c r="AG126" s="89"/>
      <c r="AH126" s="89"/>
      <c r="AI126" s="89">
        <v>2</v>
      </c>
      <c r="AJ126" s="89">
        <v>2</v>
      </c>
      <c r="AK126" s="89">
        <v>2</v>
      </c>
      <c r="AL126" s="89">
        <v>2</v>
      </c>
      <c r="AM126" s="89">
        <v>2</v>
      </c>
      <c r="AN126" s="90">
        <f t="shared" si="10"/>
        <v>44</v>
      </c>
      <c r="AO126" s="86">
        <v>240000</v>
      </c>
      <c r="AP126" s="91">
        <f t="shared" si="11"/>
        <v>10560000</v>
      </c>
    </row>
    <row r="127" spans="1:42" ht="24.95" customHeight="1">
      <c r="A127" s="84">
        <v>122</v>
      </c>
      <c r="B127" s="84" t="s">
        <v>1015</v>
      </c>
      <c r="C127" s="85" t="s">
        <v>1064</v>
      </c>
      <c r="D127" s="128" t="s">
        <v>228</v>
      </c>
      <c r="E127" s="36" t="s">
        <v>1117</v>
      </c>
      <c r="F127" s="94" t="s">
        <v>230</v>
      </c>
      <c r="G127" s="87" t="s">
        <v>1015</v>
      </c>
      <c r="H127" s="88" t="s">
        <v>1171</v>
      </c>
      <c r="I127" s="89"/>
      <c r="J127" s="89"/>
      <c r="K127" s="89"/>
      <c r="L127" s="89"/>
      <c r="M127" s="89"/>
      <c r="N127" s="89">
        <v>0.6875</v>
      </c>
      <c r="O127" s="89">
        <v>1.125</v>
      </c>
      <c r="P127" s="89">
        <v>0.5</v>
      </c>
      <c r="Q127" s="89">
        <v>0.625</v>
      </c>
      <c r="R127" s="89">
        <v>1</v>
      </c>
      <c r="S127" s="89"/>
      <c r="T127" s="89"/>
      <c r="U127" s="89">
        <v>1</v>
      </c>
      <c r="V127" s="89">
        <v>1.5</v>
      </c>
      <c r="W127" s="89">
        <v>1</v>
      </c>
      <c r="X127" s="89">
        <v>1.5</v>
      </c>
      <c r="Y127" s="89">
        <v>1.5</v>
      </c>
      <c r="Z127" s="89">
        <v>0.5</v>
      </c>
      <c r="AA127" s="89"/>
      <c r="AB127" s="89"/>
      <c r="AC127" s="89">
        <v>2</v>
      </c>
      <c r="AD127" s="89">
        <v>2</v>
      </c>
      <c r="AE127" s="89">
        <v>2</v>
      </c>
      <c r="AF127" s="89">
        <v>2</v>
      </c>
      <c r="AG127" s="89"/>
      <c r="AH127" s="89"/>
      <c r="AI127" s="89">
        <v>2</v>
      </c>
      <c r="AJ127" s="89">
        <v>2</v>
      </c>
      <c r="AK127" s="89">
        <v>2</v>
      </c>
      <c r="AL127" s="89">
        <v>2</v>
      </c>
      <c r="AM127" s="89">
        <v>2</v>
      </c>
      <c r="AN127" s="90">
        <f t="shared" si="10"/>
        <v>28.9375</v>
      </c>
      <c r="AO127" s="86">
        <v>230000</v>
      </c>
      <c r="AP127" s="91">
        <f t="shared" si="11"/>
        <v>6655625</v>
      </c>
    </row>
    <row r="128" spans="1:42" ht="24.95" customHeight="1">
      <c r="A128" s="84">
        <v>123</v>
      </c>
      <c r="B128" s="84" t="s">
        <v>764</v>
      </c>
      <c r="C128" s="85" t="s">
        <v>826</v>
      </c>
      <c r="D128" s="128" t="s">
        <v>225</v>
      </c>
      <c r="E128" s="126" t="s">
        <v>887</v>
      </c>
      <c r="F128" s="94" t="s">
        <v>1140</v>
      </c>
      <c r="G128" s="87" t="s">
        <v>764</v>
      </c>
      <c r="H128" s="88" t="s">
        <v>947</v>
      </c>
      <c r="I128" s="89">
        <v>1</v>
      </c>
      <c r="J128" s="89">
        <v>1.5</v>
      </c>
      <c r="K128" s="89">
        <v>1</v>
      </c>
      <c r="L128" s="89">
        <v>1</v>
      </c>
      <c r="M128" s="89"/>
      <c r="N128" s="89">
        <v>1</v>
      </c>
      <c r="O128" s="89">
        <v>1.5</v>
      </c>
      <c r="P128" s="89">
        <v>1</v>
      </c>
      <c r="Q128" s="89">
        <v>1.5</v>
      </c>
      <c r="R128" s="89">
        <v>1</v>
      </c>
      <c r="S128" s="89"/>
      <c r="T128" s="89"/>
      <c r="U128" s="89">
        <v>2</v>
      </c>
      <c r="V128" s="89">
        <v>2</v>
      </c>
      <c r="W128" s="89">
        <v>2</v>
      </c>
      <c r="X128" s="89">
        <v>2</v>
      </c>
      <c r="Y128" s="89"/>
      <c r="Z128" s="89"/>
      <c r="AA128" s="89"/>
      <c r="AB128" s="89">
        <v>2</v>
      </c>
      <c r="AC128" s="89">
        <v>2</v>
      </c>
      <c r="AD128" s="89">
        <v>2</v>
      </c>
      <c r="AE128" s="89">
        <v>2</v>
      </c>
      <c r="AF128" s="89">
        <v>2</v>
      </c>
      <c r="AG128" s="89"/>
      <c r="AH128" s="89"/>
      <c r="AI128" s="89">
        <v>2</v>
      </c>
      <c r="AJ128" s="89">
        <v>2</v>
      </c>
      <c r="AK128" s="89">
        <v>2</v>
      </c>
      <c r="AL128" s="89">
        <v>2</v>
      </c>
      <c r="AM128" s="89">
        <v>2</v>
      </c>
      <c r="AN128" s="90">
        <f t="shared" si="10"/>
        <v>38.5</v>
      </c>
      <c r="AO128" s="86">
        <v>150000</v>
      </c>
      <c r="AP128" s="91">
        <f t="shared" si="11"/>
        <v>5775000</v>
      </c>
    </row>
    <row r="129" spans="1:42" ht="24.95" customHeight="1">
      <c r="A129" s="84">
        <v>124</v>
      </c>
      <c r="B129" s="84" t="s">
        <v>410</v>
      </c>
      <c r="C129" s="85" t="s">
        <v>411</v>
      </c>
      <c r="D129" s="36" t="s">
        <v>1083</v>
      </c>
      <c r="E129" s="126" t="s">
        <v>412</v>
      </c>
      <c r="F129" s="94" t="s">
        <v>226</v>
      </c>
      <c r="G129" s="87" t="s">
        <v>410</v>
      </c>
      <c r="H129" s="88" t="s">
        <v>413</v>
      </c>
      <c r="I129" s="89">
        <v>1</v>
      </c>
      <c r="J129" s="89">
        <v>1.5</v>
      </c>
      <c r="K129" s="89">
        <v>1</v>
      </c>
      <c r="L129" s="89">
        <v>1</v>
      </c>
      <c r="M129" s="89"/>
      <c r="N129" s="89">
        <v>1</v>
      </c>
      <c r="O129" s="89">
        <v>1.5</v>
      </c>
      <c r="P129" s="89">
        <v>1</v>
      </c>
      <c r="Q129" s="89">
        <v>0.5</v>
      </c>
      <c r="R129" s="89">
        <v>1</v>
      </c>
      <c r="S129" s="89">
        <v>1</v>
      </c>
      <c r="T129" s="89"/>
      <c r="U129" s="89">
        <v>1</v>
      </c>
      <c r="V129" s="89">
        <v>1.5</v>
      </c>
      <c r="W129" s="89">
        <v>1</v>
      </c>
      <c r="X129" s="89">
        <v>1.5</v>
      </c>
      <c r="Y129" s="89">
        <v>1.5</v>
      </c>
      <c r="Z129" s="89">
        <v>1</v>
      </c>
      <c r="AA129" s="89"/>
      <c r="AB129" s="89">
        <v>1</v>
      </c>
      <c r="AC129" s="89">
        <v>1.5</v>
      </c>
      <c r="AD129" s="89">
        <v>1</v>
      </c>
      <c r="AE129" s="89">
        <v>1.5</v>
      </c>
      <c r="AF129" s="89">
        <v>1</v>
      </c>
      <c r="AG129" s="89">
        <v>1</v>
      </c>
      <c r="AH129" s="89"/>
      <c r="AI129" s="89">
        <v>1</v>
      </c>
      <c r="AJ129" s="89">
        <v>2.75</v>
      </c>
      <c r="AK129" s="89">
        <v>1</v>
      </c>
      <c r="AL129" s="89">
        <v>1.5</v>
      </c>
      <c r="AM129" s="89">
        <v>1</v>
      </c>
      <c r="AN129" s="90">
        <f t="shared" si="10"/>
        <v>32.25</v>
      </c>
      <c r="AO129" s="86">
        <v>200000</v>
      </c>
      <c r="AP129" s="91">
        <f t="shared" si="11"/>
        <v>6450000</v>
      </c>
    </row>
    <row r="130" spans="1:42" ht="24.95" customHeight="1">
      <c r="A130" s="84">
        <v>125</v>
      </c>
      <c r="B130" s="84" t="s">
        <v>731</v>
      </c>
      <c r="C130" s="85" t="s">
        <v>792</v>
      </c>
      <c r="D130" s="36" t="s">
        <v>225</v>
      </c>
      <c r="E130" s="126" t="s">
        <v>854</v>
      </c>
      <c r="F130" s="94" t="s">
        <v>230</v>
      </c>
      <c r="G130" s="87" t="s">
        <v>731</v>
      </c>
      <c r="H130" s="88" t="s">
        <v>914</v>
      </c>
      <c r="I130" s="89">
        <v>1</v>
      </c>
      <c r="J130" s="89">
        <v>1.5</v>
      </c>
      <c r="K130" s="89">
        <v>1</v>
      </c>
      <c r="L130" s="89">
        <v>0.375</v>
      </c>
      <c r="M130" s="89"/>
      <c r="N130" s="89">
        <v>1</v>
      </c>
      <c r="O130" s="89">
        <v>1.5</v>
      </c>
      <c r="P130" s="89">
        <v>1</v>
      </c>
      <c r="Q130" s="89">
        <v>1.5</v>
      </c>
      <c r="R130" s="89">
        <v>1</v>
      </c>
      <c r="S130" s="89">
        <v>1</v>
      </c>
      <c r="T130" s="89"/>
      <c r="U130" s="89">
        <v>1</v>
      </c>
      <c r="V130" s="89">
        <v>1.5</v>
      </c>
      <c r="W130" s="89">
        <v>1</v>
      </c>
      <c r="X130" s="89">
        <v>1.5</v>
      </c>
      <c r="Y130" s="89">
        <v>1.5</v>
      </c>
      <c r="Z130" s="89">
        <v>1</v>
      </c>
      <c r="AA130" s="89"/>
      <c r="AB130" s="89">
        <v>1</v>
      </c>
      <c r="AC130" s="89">
        <v>1.5</v>
      </c>
      <c r="AD130" s="89">
        <v>1</v>
      </c>
      <c r="AE130" s="89">
        <v>1.5</v>
      </c>
      <c r="AF130" s="89">
        <v>1</v>
      </c>
      <c r="AG130" s="89">
        <v>0.5</v>
      </c>
      <c r="AH130" s="89"/>
      <c r="AI130" s="89"/>
      <c r="AJ130" s="89">
        <v>1.5</v>
      </c>
      <c r="AK130" s="89">
        <v>1</v>
      </c>
      <c r="AL130" s="89">
        <v>1.5</v>
      </c>
      <c r="AM130" s="89">
        <v>1</v>
      </c>
      <c r="AN130" s="90">
        <f t="shared" si="10"/>
        <v>29.875</v>
      </c>
      <c r="AO130" s="86">
        <v>160000</v>
      </c>
      <c r="AP130" s="91">
        <f t="shared" si="11"/>
        <v>4780000</v>
      </c>
    </row>
    <row r="131" spans="1:42" ht="24.95" customHeight="1">
      <c r="A131" s="84">
        <v>126</v>
      </c>
      <c r="B131" s="84" t="s">
        <v>453</v>
      </c>
      <c r="C131" s="85" t="s">
        <v>475</v>
      </c>
      <c r="D131" s="36" t="s">
        <v>340</v>
      </c>
      <c r="E131" s="126" t="s">
        <v>497</v>
      </c>
      <c r="F131" s="94" t="s">
        <v>305</v>
      </c>
      <c r="G131" s="87" t="s">
        <v>453</v>
      </c>
      <c r="H131" s="88" t="s">
        <v>517</v>
      </c>
      <c r="I131" s="89">
        <v>2</v>
      </c>
      <c r="J131" s="89">
        <v>2</v>
      </c>
      <c r="K131" s="89">
        <v>2</v>
      </c>
      <c r="L131" s="89"/>
      <c r="M131" s="89"/>
      <c r="N131" s="89">
        <v>2</v>
      </c>
      <c r="O131" s="89">
        <v>2</v>
      </c>
      <c r="P131" s="89">
        <v>2</v>
      </c>
      <c r="Q131" s="89">
        <v>2</v>
      </c>
      <c r="R131" s="89">
        <v>2</v>
      </c>
      <c r="S131" s="89"/>
      <c r="T131" s="89"/>
      <c r="U131" s="89">
        <v>2</v>
      </c>
      <c r="V131" s="89">
        <v>2</v>
      </c>
      <c r="W131" s="89">
        <v>2</v>
      </c>
      <c r="X131" s="89">
        <v>2</v>
      </c>
      <c r="Y131" s="89"/>
      <c r="Z131" s="89"/>
      <c r="AA131" s="89"/>
      <c r="AB131" s="89">
        <v>2</v>
      </c>
      <c r="AC131" s="89">
        <v>2</v>
      </c>
      <c r="AD131" s="89">
        <v>2</v>
      </c>
      <c r="AE131" s="89">
        <v>2</v>
      </c>
      <c r="AF131" s="89">
        <v>2</v>
      </c>
      <c r="AG131" s="89"/>
      <c r="AH131" s="89"/>
      <c r="AI131" s="89">
        <v>2</v>
      </c>
      <c r="AJ131" s="89">
        <v>1.75</v>
      </c>
      <c r="AK131" s="89">
        <v>2</v>
      </c>
      <c r="AL131" s="89">
        <v>2</v>
      </c>
      <c r="AM131" s="89">
        <v>2</v>
      </c>
      <c r="AN131" s="90">
        <f t="shared" si="10"/>
        <v>43.75</v>
      </c>
      <c r="AO131" s="86">
        <v>200000</v>
      </c>
      <c r="AP131" s="91">
        <f t="shared" si="11"/>
        <v>8750000</v>
      </c>
    </row>
    <row r="132" spans="1:42" ht="24.95" customHeight="1">
      <c r="A132" s="84">
        <v>127</v>
      </c>
      <c r="B132" s="84" t="s">
        <v>732</v>
      </c>
      <c r="C132" s="85" t="s">
        <v>793</v>
      </c>
      <c r="D132" s="36" t="s">
        <v>225</v>
      </c>
      <c r="E132" s="126" t="s">
        <v>855</v>
      </c>
      <c r="F132" s="94" t="s">
        <v>1152</v>
      </c>
      <c r="G132" s="87" t="s">
        <v>732</v>
      </c>
      <c r="H132" s="88" t="s">
        <v>915</v>
      </c>
      <c r="I132" s="89">
        <v>2</v>
      </c>
      <c r="J132" s="89">
        <v>2</v>
      </c>
      <c r="K132" s="89">
        <v>2</v>
      </c>
      <c r="L132" s="89"/>
      <c r="M132" s="89"/>
      <c r="N132" s="89">
        <v>2</v>
      </c>
      <c r="O132" s="89">
        <v>2</v>
      </c>
      <c r="P132" s="89">
        <v>2</v>
      </c>
      <c r="Q132" s="89">
        <v>2</v>
      </c>
      <c r="R132" s="89">
        <v>2</v>
      </c>
      <c r="S132" s="89"/>
      <c r="T132" s="89"/>
      <c r="U132" s="89">
        <v>2</v>
      </c>
      <c r="V132" s="89">
        <v>2</v>
      </c>
      <c r="W132" s="89"/>
      <c r="X132" s="89">
        <v>2</v>
      </c>
      <c r="Y132" s="89"/>
      <c r="Z132" s="89"/>
      <c r="AA132" s="89"/>
      <c r="AB132" s="89">
        <v>2</v>
      </c>
      <c r="AC132" s="89">
        <v>2</v>
      </c>
      <c r="AD132" s="89">
        <v>2</v>
      </c>
      <c r="AE132" s="89">
        <v>2</v>
      </c>
      <c r="AF132" s="89">
        <v>2</v>
      </c>
      <c r="AG132" s="89"/>
      <c r="AH132" s="89"/>
      <c r="AI132" s="89">
        <v>2</v>
      </c>
      <c r="AJ132" s="89">
        <v>2</v>
      </c>
      <c r="AK132" s="89">
        <v>1.75</v>
      </c>
      <c r="AL132" s="89">
        <v>2</v>
      </c>
      <c r="AM132" s="89">
        <v>2</v>
      </c>
      <c r="AN132" s="90">
        <f t="shared" si="10"/>
        <v>41.75</v>
      </c>
      <c r="AO132" s="86">
        <v>160000</v>
      </c>
      <c r="AP132" s="91">
        <f t="shared" si="11"/>
        <v>6680000</v>
      </c>
    </row>
    <row r="133" spans="1:42" ht="24.95" customHeight="1">
      <c r="A133" s="84">
        <v>128</v>
      </c>
      <c r="B133" s="84" t="s">
        <v>733</v>
      </c>
      <c r="C133" s="85" t="s">
        <v>794</v>
      </c>
      <c r="D133" s="36" t="s">
        <v>228</v>
      </c>
      <c r="E133" s="126" t="s">
        <v>856</v>
      </c>
      <c r="F133" s="94" t="s">
        <v>297</v>
      </c>
      <c r="G133" s="87" t="s">
        <v>733</v>
      </c>
      <c r="H133" s="88" t="s">
        <v>856</v>
      </c>
      <c r="I133" s="89">
        <v>0.5</v>
      </c>
      <c r="J133" s="89">
        <v>1.5</v>
      </c>
      <c r="K133" s="89">
        <v>0.5</v>
      </c>
      <c r="L133" s="89"/>
      <c r="M133" s="89"/>
      <c r="N133" s="89">
        <v>1</v>
      </c>
      <c r="O133" s="89">
        <v>1.5</v>
      </c>
      <c r="P133" s="89">
        <v>0.75</v>
      </c>
      <c r="Q133" s="89">
        <v>1.5</v>
      </c>
      <c r="R133" s="89">
        <v>1</v>
      </c>
      <c r="S133" s="89">
        <v>1</v>
      </c>
      <c r="T133" s="89"/>
      <c r="U133" s="89">
        <v>2</v>
      </c>
      <c r="V133" s="89">
        <v>2</v>
      </c>
      <c r="W133" s="89">
        <v>2</v>
      </c>
      <c r="X133" s="89">
        <v>2</v>
      </c>
      <c r="Y133" s="89"/>
      <c r="Z133" s="89"/>
      <c r="AA133" s="89"/>
      <c r="AB133" s="89">
        <v>2</v>
      </c>
      <c r="AC133" s="89">
        <v>2</v>
      </c>
      <c r="AD133" s="89">
        <v>2</v>
      </c>
      <c r="AE133" s="89">
        <v>2</v>
      </c>
      <c r="AF133" s="89">
        <v>2</v>
      </c>
      <c r="AG133" s="89"/>
      <c r="AH133" s="89"/>
      <c r="AI133" s="89">
        <v>2</v>
      </c>
      <c r="AJ133" s="89">
        <v>2</v>
      </c>
      <c r="AK133" s="89">
        <v>2</v>
      </c>
      <c r="AL133" s="89">
        <v>2</v>
      </c>
      <c r="AM133" s="89">
        <v>2</v>
      </c>
      <c r="AN133" s="90">
        <f t="shared" si="10"/>
        <v>37.25</v>
      </c>
      <c r="AO133" s="86">
        <v>240000</v>
      </c>
      <c r="AP133" s="91">
        <f t="shared" si="11"/>
        <v>8940000</v>
      </c>
    </row>
    <row r="134" spans="1:42" ht="24.95" customHeight="1">
      <c r="A134" s="84">
        <v>129</v>
      </c>
      <c r="B134" s="84" t="s">
        <v>1016</v>
      </c>
      <c r="C134" s="85" t="s">
        <v>1065</v>
      </c>
      <c r="D134" s="128" t="s">
        <v>225</v>
      </c>
      <c r="E134" s="36" t="s">
        <v>1118</v>
      </c>
      <c r="F134" s="96" t="s">
        <v>226</v>
      </c>
      <c r="G134" s="87" t="s">
        <v>1016</v>
      </c>
      <c r="H134" s="88" t="s">
        <v>1172</v>
      </c>
      <c r="I134" s="89"/>
      <c r="J134" s="89"/>
      <c r="K134" s="89"/>
      <c r="L134" s="89"/>
      <c r="M134" s="89"/>
      <c r="N134" s="89">
        <v>0.6875</v>
      </c>
      <c r="O134" s="89">
        <v>1.125</v>
      </c>
      <c r="P134" s="89"/>
      <c r="Q134" s="89">
        <v>0.625</v>
      </c>
      <c r="R134" s="89">
        <v>1</v>
      </c>
      <c r="S134" s="89"/>
      <c r="T134" s="89"/>
      <c r="U134" s="89"/>
      <c r="V134" s="89">
        <v>1.5</v>
      </c>
      <c r="W134" s="89">
        <v>1</v>
      </c>
      <c r="X134" s="89">
        <v>1.5</v>
      </c>
      <c r="Y134" s="89">
        <v>1.5</v>
      </c>
      <c r="Z134" s="89">
        <v>1</v>
      </c>
      <c r="AA134" s="89"/>
      <c r="AB134" s="89"/>
      <c r="AC134" s="89">
        <v>2</v>
      </c>
      <c r="AD134" s="89">
        <v>2</v>
      </c>
      <c r="AE134" s="89">
        <v>2</v>
      </c>
      <c r="AF134" s="89">
        <v>2</v>
      </c>
      <c r="AG134" s="89"/>
      <c r="AH134" s="89"/>
      <c r="AI134" s="89">
        <v>2</v>
      </c>
      <c r="AJ134" s="89">
        <v>2</v>
      </c>
      <c r="AK134" s="89">
        <v>2</v>
      </c>
      <c r="AL134" s="89">
        <v>2</v>
      </c>
      <c r="AM134" s="89">
        <v>2</v>
      </c>
      <c r="AN134" s="90">
        <f t="shared" si="10"/>
        <v>27.9375</v>
      </c>
      <c r="AO134" s="86">
        <v>160000</v>
      </c>
      <c r="AP134" s="91">
        <f t="shared" si="11"/>
        <v>4470000</v>
      </c>
    </row>
    <row r="135" spans="1:42" ht="24.95" customHeight="1">
      <c r="A135" s="84">
        <v>130</v>
      </c>
      <c r="B135" s="84" t="s">
        <v>454</v>
      </c>
      <c r="C135" s="85" t="s">
        <v>476</v>
      </c>
      <c r="D135" s="36" t="s">
        <v>225</v>
      </c>
      <c r="E135" s="36" t="s">
        <v>498</v>
      </c>
      <c r="F135" s="94" t="s">
        <v>226</v>
      </c>
      <c r="G135" s="87" t="s">
        <v>454</v>
      </c>
      <c r="H135" s="88" t="s">
        <v>518</v>
      </c>
      <c r="I135" s="89">
        <v>2</v>
      </c>
      <c r="J135" s="89">
        <v>2</v>
      </c>
      <c r="K135" s="89">
        <v>2</v>
      </c>
      <c r="L135" s="89"/>
      <c r="M135" s="89"/>
      <c r="N135" s="89">
        <v>2</v>
      </c>
      <c r="O135" s="89">
        <v>2</v>
      </c>
      <c r="P135" s="89">
        <v>2.5</v>
      </c>
      <c r="Q135" s="89">
        <v>2</v>
      </c>
      <c r="R135" s="89">
        <v>2</v>
      </c>
      <c r="S135" s="89"/>
      <c r="T135" s="89"/>
      <c r="U135" s="89">
        <v>2</v>
      </c>
      <c r="V135" s="89">
        <v>2</v>
      </c>
      <c r="W135" s="89">
        <v>2</v>
      </c>
      <c r="X135" s="89">
        <v>2</v>
      </c>
      <c r="Y135" s="89"/>
      <c r="Z135" s="89"/>
      <c r="AA135" s="89"/>
      <c r="AB135" s="89">
        <v>2</v>
      </c>
      <c r="AC135" s="89">
        <v>2</v>
      </c>
      <c r="AD135" s="89">
        <v>2</v>
      </c>
      <c r="AE135" s="89">
        <v>2</v>
      </c>
      <c r="AF135" s="89">
        <v>2</v>
      </c>
      <c r="AG135" s="89"/>
      <c r="AH135" s="89"/>
      <c r="AI135" s="89">
        <v>2</v>
      </c>
      <c r="AJ135" s="89">
        <v>2</v>
      </c>
      <c r="AK135" s="89">
        <v>2</v>
      </c>
      <c r="AL135" s="89">
        <v>2</v>
      </c>
      <c r="AM135" s="89">
        <v>2</v>
      </c>
      <c r="AN135" s="90">
        <f t="shared" si="10"/>
        <v>44.5</v>
      </c>
      <c r="AO135" s="86">
        <v>170000</v>
      </c>
      <c r="AP135" s="91">
        <f t="shared" si="11"/>
        <v>7565000</v>
      </c>
    </row>
    <row r="136" spans="1:42" ht="24.95" customHeight="1">
      <c r="A136" s="84">
        <v>131</v>
      </c>
      <c r="B136" s="84" t="s">
        <v>564</v>
      </c>
      <c r="C136" s="85" t="s">
        <v>795</v>
      </c>
      <c r="D136" s="36" t="s">
        <v>340</v>
      </c>
      <c r="E136" s="126" t="s">
        <v>623</v>
      </c>
      <c r="F136" s="96" t="s">
        <v>297</v>
      </c>
      <c r="G136" s="87" t="s">
        <v>564</v>
      </c>
      <c r="H136" s="88" t="s">
        <v>623</v>
      </c>
      <c r="I136" s="89">
        <v>1</v>
      </c>
      <c r="J136" s="89">
        <v>1.5</v>
      </c>
      <c r="K136" s="89">
        <v>1</v>
      </c>
      <c r="L136" s="89">
        <v>0.5</v>
      </c>
      <c r="M136" s="89"/>
      <c r="N136" s="89">
        <v>1</v>
      </c>
      <c r="O136" s="89">
        <v>1.5</v>
      </c>
      <c r="P136" s="89">
        <v>1</v>
      </c>
      <c r="Q136" s="89">
        <v>1.5</v>
      </c>
      <c r="R136" s="89">
        <v>1</v>
      </c>
      <c r="S136" s="89">
        <v>1</v>
      </c>
      <c r="T136" s="89"/>
      <c r="U136" s="89">
        <v>1</v>
      </c>
      <c r="V136" s="89">
        <v>1.5</v>
      </c>
      <c r="W136" s="89">
        <v>1</v>
      </c>
      <c r="X136" s="89">
        <v>1.5</v>
      </c>
      <c r="Y136" s="89">
        <v>1.5</v>
      </c>
      <c r="Z136" s="89">
        <v>1</v>
      </c>
      <c r="AA136" s="89"/>
      <c r="AB136" s="89">
        <v>1</v>
      </c>
      <c r="AC136" s="89">
        <v>1.5</v>
      </c>
      <c r="AD136" s="89"/>
      <c r="AE136" s="89">
        <v>1.5</v>
      </c>
      <c r="AF136" s="89">
        <v>1</v>
      </c>
      <c r="AG136" s="89">
        <v>1</v>
      </c>
      <c r="AH136" s="89"/>
      <c r="AI136" s="89">
        <v>1</v>
      </c>
      <c r="AJ136" s="89">
        <v>1.5</v>
      </c>
      <c r="AK136" s="89">
        <v>1</v>
      </c>
      <c r="AL136" s="89">
        <v>1.5</v>
      </c>
      <c r="AM136" s="89">
        <v>1</v>
      </c>
      <c r="AN136" s="90">
        <f t="shared" si="10"/>
        <v>30.5</v>
      </c>
      <c r="AO136" s="86">
        <v>210000</v>
      </c>
      <c r="AP136" s="91">
        <f t="shared" si="11"/>
        <v>6405000</v>
      </c>
    </row>
    <row r="137" spans="1:42" ht="24.95" customHeight="1">
      <c r="A137" s="84">
        <v>132</v>
      </c>
      <c r="B137" s="84" t="s">
        <v>734</v>
      </c>
      <c r="C137" s="85" t="s">
        <v>796</v>
      </c>
      <c r="D137" s="128" t="s">
        <v>225</v>
      </c>
      <c r="E137" s="126" t="s">
        <v>857</v>
      </c>
      <c r="F137" s="94" t="s">
        <v>230</v>
      </c>
      <c r="G137" s="87" t="s">
        <v>734</v>
      </c>
      <c r="H137" s="88" t="s">
        <v>916</v>
      </c>
      <c r="I137" s="89">
        <v>1</v>
      </c>
      <c r="J137" s="89">
        <v>1.5</v>
      </c>
      <c r="K137" s="89">
        <v>1</v>
      </c>
      <c r="L137" s="89">
        <v>1</v>
      </c>
      <c r="M137" s="89"/>
      <c r="N137" s="89">
        <v>1</v>
      </c>
      <c r="O137" s="89">
        <v>1.5</v>
      </c>
      <c r="P137" s="89">
        <v>1</v>
      </c>
      <c r="Q137" s="89">
        <v>1.5</v>
      </c>
      <c r="R137" s="89">
        <v>1</v>
      </c>
      <c r="S137" s="89">
        <v>1</v>
      </c>
      <c r="T137" s="89"/>
      <c r="U137" s="89">
        <v>1</v>
      </c>
      <c r="V137" s="89">
        <v>1.5</v>
      </c>
      <c r="W137" s="89">
        <v>1</v>
      </c>
      <c r="X137" s="89">
        <v>1.5</v>
      </c>
      <c r="Y137" s="89">
        <v>1.5</v>
      </c>
      <c r="Z137" s="89">
        <v>1</v>
      </c>
      <c r="AA137" s="89"/>
      <c r="AB137" s="89">
        <v>1</v>
      </c>
      <c r="AC137" s="89">
        <v>1.5</v>
      </c>
      <c r="AD137" s="89">
        <v>1</v>
      </c>
      <c r="AE137" s="89">
        <v>1.5</v>
      </c>
      <c r="AF137" s="89">
        <v>1</v>
      </c>
      <c r="AG137" s="89">
        <v>1</v>
      </c>
      <c r="AH137" s="89"/>
      <c r="AI137" s="89">
        <v>1</v>
      </c>
      <c r="AJ137" s="89">
        <v>1.5</v>
      </c>
      <c r="AK137" s="89">
        <v>1</v>
      </c>
      <c r="AL137" s="89">
        <v>1.5</v>
      </c>
      <c r="AM137" s="89">
        <v>1</v>
      </c>
      <c r="AN137" s="90">
        <f t="shared" si="10"/>
        <v>32</v>
      </c>
      <c r="AO137" s="86">
        <v>170000</v>
      </c>
      <c r="AP137" s="91">
        <f t="shared" si="11"/>
        <v>5440000</v>
      </c>
    </row>
    <row r="138" spans="1:42" ht="24.95" customHeight="1">
      <c r="A138" s="84">
        <v>133</v>
      </c>
      <c r="B138" s="84" t="s">
        <v>414</v>
      </c>
      <c r="C138" s="85" t="s">
        <v>415</v>
      </c>
      <c r="D138" s="36" t="s">
        <v>1080</v>
      </c>
      <c r="E138" s="36" t="s">
        <v>416</v>
      </c>
      <c r="F138" s="94" t="s">
        <v>351</v>
      </c>
      <c r="G138" s="87" t="s">
        <v>414</v>
      </c>
      <c r="H138" s="88" t="s">
        <v>417</v>
      </c>
      <c r="I138" s="89">
        <v>1</v>
      </c>
      <c r="J138" s="89">
        <v>1.5</v>
      </c>
      <c r="K138" s="89">
        <v>1</v>
      </c>
      <c r="L138" s="89">
        <v>1</v>
      </c>
      <c r="M138" s="89"/>
      <c r="N138" s="89">
        <v>1</v>
      </c>
      <c r="O138" s="89">
        <v>1.5</v>
      </c>
      <c r="P138" s="89">
        <v>1</v>
      </c>
      <c r="Q138" s="89">
        <v>1.5</v>
      </c>
      <c r="R138" s="89">
        <v>1</v>
      </c>
      <c r="S138" s="89">
        <v>1</v>
      </c>
      <c r="T138" s="89"/>
      <c r="U138" s="89">
        <v>1</v>
      </c>
      <c r="V138" s="89">
        <v>1.5</v>
      </c>
      <c r="W138" s="89">
        <v>1</v>
      </c>
      <c r="X138" s="89">
        <v>1.5</v>
      </c>
      <c r="Y138" s="89">
        <v>1.5</v>
      </c>
      <c r="Z138" s="89">
        <v>1</v>
      </c>
      <c r="AA138" s="89"/>
      <c r="AB138" s="89">
        <v>1</v>
      </c>
      <c r="AC138" s="89">
        <v>1.5</v>
      </c>
      <c r="AD138" s="89">
        <v>1</v>
      </c>
      <c r="AE138" s="89">
        <v>1.5</v>
      </c>
      <c r="AF138" s="89">
        <v>1</v>
      </c>
      <c r="AG138" s="89">
        <v>1</v>
      </c>
      <c r="AH138" s="89"/>
      <c r="AI138" s="89">
        <v>1</v>
      </c>
      <c r="AJ138" s="89">
        <v>1.5</v>
      </c>
      <c r="AK138" s="89">
        <v>1</v>
      </c>
      <c r="AL138" s="89">
        <v>1.5</v>
      </c>
      <c r="AM138" s="89">
        <v>1</v>
      </c>
      <c r="AN138" s="90">
        <f t="shared" si="10"/>
        <v>32</v>
      </c>
      <c r="AO138" s="86">
        <v>230000</v>
      </c>
      <c r="AP138" s="91">
        <f t="shared" si="11"/>
        <v>7360000</v>
      </c>
    </row>
    <row r="139" spans="1:42" ht="24.95" customHeight="1">
      <c r="A139" s="84">
        <v>134</v>
      </c>
      <c r="B139" s="84" t="s">
        <v>1017</v>
      </c>
      <c r="C139" s="85" t="s">
        <v>1066</v>
      </c>
      <c r="D139" s="36" t="s">
        <v>228</v>
      </c>
      <c r="E139" s="36" t="s">
        <v>1119</v>
      </c>
      <c r="F139" s="94" t="s">
        <v>1140</v>
      </c>
      <c r="G139" s="87" t="s">
        <v>1017</v>
      </c>
      <c r="H139" s="88" t="s">
        <v>1173</v>
      </c>
      <c r="I139" s="89"/>
      <c r="J139" s="89"/>
      <c r="K139" s="89"/>
      <c r="L139" s="89"/>
      <c r="M139" s="89"/>
      <c r="N139" s="89">
        <v>0.6875</v>
      </c>
      <c r="O139" s="89">
        <v>1.125</v>
      </c>
      <c r="P139" s="89">
        <v>0.5</v>
      </c>
      <c r="Q139" s="89">
        <v>0.625</v>
      </c>
      <c r="R139" s="89">
        <v>1</v>
      </c>
      <c r="S139" s="89"/>
      <c r="T139" s="89"/>
      <c r="U139" s="89">
        <v>1</v>
      </c>
      <c r="V139" s="89">
        <v>1.5</v>
      </c>
      <c r="W139" s="89">
        <v>1</v>
      </c>
      <c r="X139" s="89">
        <v>1.5</v>
      </c>
      <c r="Y139" s="89">
        <v>1.5</v>
      </c>
      <c r="Z139" s="89">
        <v>1</v>
      </c>
      <c r="AA139" s="89"/>
      <c r="AB139" s="89"/>
      <c r="AC139" s="89">
        <v>2</v>
      </c>
      <c r="AD139" s="89">
        <v>2</v>
      </c>
      <c r="AE139" s="89">
        <v>2</v>
      </c>
      <c r="AF139" s="89"/>
      <c r="AG139" s="89"/>
      <c r="AH139" s="89"/>
      <c r="AI139" s="89"/>
      <c r="AJ139" s="89"/>
      <c r="AK139" s="89"/>
      <c r="AL139" s="89"/>
      <c r="AM139" s="89"/>
      <c r="AN139" s="90">
        <f t="shared" si="10"/>
        <v>17.4375</v>
      </c>
      <c r="AO139" s="86">
        <v>220000</v>
      </c>
      <c r="AP139" s="91">
        <f t="shared" si="11"/>
        <v>3836250</v>
      </c>
    </row>
    <row r="140" spans="1:42" ht="24.95" customHeight="1">
      <c r="A140" s="84">
        <v>135</v>
      </c>
      <c r="B140" s="84" t="s">
        <v>768</v>
      </c>
      <c r="C140" s="85" t="s">
        <v>830</v>
      </c>
      <c r="D140" s="36" t="s">
        <v>225</v>
      </c>
      <c r="E140" s="36" t="s">
        <v>891</v>
      </c>
      <c r="F140" s="94" t="s">
        <v>951</v>
      </c>
      <c r="G140" s="87" t="s">
        <v>768</v>
      </c>
      <c r="H140" s="88" t="s">
        <v>952</v>
      </c>
      <c r="I140" s="89">
        <v>1</v>
      </c>
      <c r="J140" s="89">
        <v>1.5</v>
      </c>
      <c r="K140" s="89">
        <v>1</v>
      </c>
      <c r="L140" s="89">
        <v>1</v>
      </c>
      <c r="M140" s="89"/>
      <c r="N140" s="89">
        <v>1</v>
      </c>
      <c r="O140" s="89">
        <v>1.5</v>
      </c>
      <c r="P140" s="89">
        <v>1</v>
      </c>
      <c r="Q140" s="89">
        <v>1.5</v>
      </c>
      <c r="R140" s="89">
        <v>1</v>
      </c>
      <c r="S140" s="89">
        <v>1</v>
      </c>
      <c r="T140" s="89"/>
      <c r="U140" s="89">
        <v>2</v>
      </c>
      <c r="V140" s="89">
        <v>2</v>
      </c>
      <c r="W140" s="89">
        <v>2</v>
      </c>
      <c r="X140" s="89">
        <v>2</v>
      </c>
      <c r="Y140" s="89"/>
      <c r="Z140" s="89"/>
      <c r="AA140" s="89"/>
      <c r="AB140" s="89">
        <v>2.5</v>
      </c>
      <c r="AC140" s="89">
        <v>2</v>
      </c>
      <c r="AD140" s="89">
        <v>2</v>
      </c>
      <c r="AE140" s="89">
        <v>2</v>
      </c>
      <c r="AF140" s="89">
        <v>2</v>
      </c>
      <c r="AG140" s="89"/>
      <c r="AH140" s="89"/>
      <c r="AI140" s="89">
        <v>2</v>
      </c>
      <c r="AJ140" s="89">
        <v>2</v>
      </c>
      <c r="AK140" s="89">
        <v>2</v>
      </c>
      <c r="AL140" s="89">
        <v>2</v>
      </c>
      <c r="AM140" s="89">
        <v>2</v>
      </c>
      <c r="AN140" s="90">
        <f t="shared" si="10"/>
        <v>40</v>
      </c>
      <c r="AO140" s="86">
        <v>150000</v>
      </c>
      <c r="AP140" s="91">
        <f t="shared" si="11"/>
        <v>6000000</v>
      </c>
    </row>
    <row r="141" spans="1:42" ht="24.95" customHeight="1">
      <c r="A141" s="84">
        <v>136</v>
      </c>
      <c r="B141" s="84" t="s">
        <v>1018</v>
      </c>
      <c r="C141" s="85" t="s">
        <v>1067</v>
      </c>
      <c r="D141" s="36" t="s">
        <v>225</v>
      </c>
      <c r="E141" s="36" t="s">
        <v>1120</v>
      </c>
      <c r="F141" s="94" t="s">
        <v>1152</v>
      </c>
      <c r="G141" s="87" t="s">
        <v>1018</v>
      </c>
      <c r="H141" s="88" t="s">
        <v>1174</v>
      </c>
      <c r="I141" s="89"/>
      <c r="J141" s="89"/>
      <c r="K141" s="89"/>
      <c r="L141" s="89"/>
      <c r="M141" s="89"/>
      <c r="N141" s="89">
        <v>0.6875</v>
      </c>
      <c r="O141" s="89">
        <v>1.125</v>
      </c>
      <c r="P141" s="89"/>
      <c r="Q141" s="89">
        <v>0.625</v>
      </c>
      <c r="R141" s="89">
        <v>1</v>
      </c>
      <c r="S141" s="89"/>
      <c r="T141" s="89"/>
      <c r="U141" s="89">
        <v>1</v>
      </c>
      <c r="V141" s="89">
        <v>1.5</v>
      </c>
      <c r="W141" s="89">
        <v>1</v>
      </c>
      <c r="X141" s="89">
        <v>1.5</v>
      </c>
      <c r="Y141" s="89">
        <v>1.5</v>
      </c>
      <c r="Z141" s="89">
        <v>1</v>
      </c>
      <c r="AA141" s="89"/>
      <c r="AB141" s="89">
        <v>0.5</v>
      </c>
      <c r="AC141" s="89">
        <v>2</v>
      </c>
      <c r="AD141" s="89">
        <v>2</v>
      </c>
      <c r="AE141" s="89">
        <v>2</v>
      </c>
      <c r="AF141" s="89">
        <v>2</v>
      </c>
      <c r="AG141" s="89"/>
      <c r="AH141" s="89"/>
      <c r="AI141" s="89">
        <v>2</v>
      </c>
      <c r="AJ141" s="89">
        <v>2</v>
      </c>
      <c r="AK141" s="89">
        <v>2</v>
      </c>
      <c r="AL141" s="89">
        <v>2</v>
      </c>
      <c r="AM141" s="89">
        <v>2</v>
      </c>
      <c r="AN141" s="90">
        <f t="shared" si="10"/>
        <v>29.4375</v>
      </c>
      <c r="AO141" s="86">
        <v>160000</v>
      </c>
      <c r="AP141" s="91">
        <f t="shared" si="11"/>
        <v>4710000</v>
      </c>
    </row>
    <row r="142" spans="1:42" ht="24.95" customHeight="1">
      <c r="A142" s="84">
        <v>137</v>
      </c>
      <c r="B142" s="84" t="s">
        <v>735</v>
      </c>
      <c r="C142" s="85" t="s">
        <v>797</v>
      </c>
      <c r="D142" s="36" t="s">
        <v>225</v>
      </c>
      <c r="E142" s="36" t="s">
        <v>858</v>
      </c>
      <c r="F142" s="96" t="s">
        <v>229</v>
      </c>
      <c r="G142" s="87" t="s">
        <v>735</v>
      </c>
      <c r="H142" s="88" t="s">
        <v>917</v>
      </c>
      <c r="I142" s="89">
        <v>1</v>
      </c>
      <c r="J142" s="89">
        <v>1.5</v>
      </c>
      <c r="K142" s="89">
        <v>0.375</v>
      </c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90">
        <f t="shared" si="10"/>
        <v>2.875</v>
      </c>
      <c r="AO142" s="86">
        <v>160000</v>
      </c>
      <c r="AP142" s="91">
        <f t="shared" si="11"/>
        <v>460000</v>
      </c>
    </row>
    <row r="143" spans="1:42" ht="24.95" customHeight="1">
      <c r="A143" s="84">
        <v>138</v>
      </c>
      <c r="B143" s="84" t="s">
        <v>1019</v>
      </c>
      <c r="C143" s="85" t="s">
        <v>1068</v>
      </c>
      <c r="D143" s="36" t="s">
        <v>225</v>
      </c>
      <c r="E143" s="36" t="s">
        <v>1121</v>
      </c>
      <c r="F143" s="94" t="s">
        <v>1152</v>
      </c>
      <c r="G143" s="87" t="s">
        <v>1019</v>
      </c>
      <c r="H143" s="88" t="s">
        <v>1175</v>
      </c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>
        <v>0.6875</v>
      </c>
      <c r="AC143" s="89">
        <v>1.125</v>
      </c>
      <c r="AD143" s="89"/>
      <c r="AE143" s="89">
        <v>0.75</v>
      </c>
      <c r="AF143" s="89">
        <v>1</v>
      </c>
      <c r="AG143" s="89"/>
      <c r="AH143" s="89"/>
      <c r="AI143" s="89">
        <v>1</v>
      </c>
      <c r="AJ143" s="89">
        <v>1.5</v>
      </c>
      <c r="AK143" s="89">
        <v>1</v>
      </c>
      <c r="AL143" s="89">
        <v>1.5</v>
      </c>
      <c r="AM143" s="89">
        <v>1</v>
      </c>
      <c r="AN143" s="90">
        <f t="shared" si="10"/>
        <v>9.5625</v>
      </c>
      <c r="AO143" s="86">
        <v>160000</v>
      </c>
      <c r="AP143" s="91">
        <f t="shared" si="11"/>
        <v>1530000</v>
      </c>
    </row>
    <row r="144" spans="1:42" ht="24.95" customHeight="1">
      <c r="A144" s="84">
        <v>139</v>
      </c>
      <c r="B144" s="84" t="s">
        <v>455</v>
      </c>
      <c r="C144" s="85" t="s">
        <v>477</v>
      </c>
      <c r="D144" s="128" t="s">
        <v>225</v>
      </c>
      <c r="E144" s="126" t="s">
        <v>499</v>
      </c>
      <c r="F144" s="94" t="s">
        <v>1140</v>
      </c>
      <c r="G144" s="87" t="s">
        <v>455</v>
      </c>
      <c r="H144" s="88" t="s">
        <v>519</v>
      </c>
      <c r="I144" s="89">
        <v>2</v>
      </c>
      <c r="J144" s="89">
        <v>2</v>
      </c>
      <c r="K144" s="89">
        <v>2</v>
      </c>
      <c r="L144" s="89"/>
      <c r="M144" s="89"/>
      <c r="N144" s="89">
        <v>2</v>
      </c>
      <c r="O144" s="89">
        <v>2</v>
      </c>
      <c r="P144" s="89">
        <v>2</v>
      </c>
      <c r="Q144" s="89">
        <v>2</v>
      </c>
      <c r="R144" s="89">
        <v>2</v>
      </c>
      <c r="S144" s="89"/>
      <c r="T144" s="89"/>
      <c r="U144" s="89">
        <v>2</v>
      </c>
      <c r="V144" s="89">
        <v>2</v>
      </c>
      <c r="W144" s="89">
        <v>2</v>
      </c>
      <c r="X144" s="89">
        <v>2</v>
      </c>
      <c r="Y144" s="89"/>
      <c r="Z144" s="89"/>
      <c r="AA144" s="89"/>
      <c r="AB144" s="89">
        <v>2</v>
      </c>
      <c r="AC144" s="89">
        <v>2</v>
      </c>
      <c r="AD144" s="89">
        <v>2</v>
      </c>
      <c r="AE144" s="89">
        <v>2</v>
      </c>
      <c r="AF144" s="89">
        <v>2</v>
      </c>
      <c r="AG144" s="89"/>
      <c r="AH144" s="89"/>
      <c r="AI144" s="89">
        <v>2</v>
      </c>
      <c r="AJ144" s="89">
        <v>2</v>
      </c>
      <c r="AK144" s="89">
        <v>2</v>
      </c>
      <c r="AL144" s="89">
        <v>2</v>
      </c>
      <c r="AM144" s="89">
        <v>2</v>
      </c>
      <c r="AN144" s="90">
        <f t="shared" si="10"/>
        <v>44</v>
      </c>
      <c r="AO144" s="86">
        <v>180000</v>
      </c>
      <c r="AP144" s="91">
        <f t="shared" si="11"/>
        <v>7920000</v>
      </c>
    </row>
    <row r="145" spans="1:42" ht="24.95" customHeight="1">
      <c r="A145" s="84">
        <v>140</v>
      </c>
      <c r="B145" s="84" t="s">
        <v>1020</v>
      </c>
      <c r="C145" s="85" t="s">
        <v>1069</v>
      </c>
      <c r="D145" s="36" t="s">
        <v>227</v>
      </c>
      <c r="E145" s="126" t="s">
        <v>1122</v>
      </c>
      <c r="F145" s="94" t="s">
        <v>230</v>
      </c>
      <c r="G145" s="87" t="s">
        <v>1020</v>
      </c>
      <c r="H145" s="88" t="s">
        <v>1176</v>
      </c>
      <c r="I145" s="89"/>
      <c r="J145" s="89"/>
      <c r="K145" s="89"/>
      <c r="L145" s="89"/>
      <c r="M145" s="89"/>
      <c r="N145" s="89">
        <v>0.6875</v>
      </c>
      <c r="O145" s="89">
        <v>1.125</v>
      </c>
      <c r="P145" s="89">
        <v>0.5</v>
      </c>
      <c r="Q145" s="89">
        <v>0.625</v>
      </c>
      <c r="R145" s="89">
        <v>1</v>
      </c>
      <c r="S145" s="89"/>
      <c r="T145" s="89"/>
      <c r="U145" s="89">
        <v>1</v>
      </c>
      <c r="V145" s="89">
        <v>1.5</v>
      </c>
      <c r="W145" s="89">
        <v>1</v>
      </c>
      <c r="X145" s="89">
        <v>1.5</v>
      </c>
      <c r="Y145" s="89">
        <v>1.5</v>
      </c>
      <c r="Z145" s="89"/>
      <c r="AA145" s="89"/>
      <c r="AB145" s="89"/>
      <c r="AC145" s="89">
        <v>2</v>
      </c>
      <c r="AD145" s="89">
        <v>2</v>
      </c>
      <c r="AE145" s="89">
        <v>2</v>
      </c>
      <c r="AF145" s="89">
        <v>2</v>
      </c>
      <c r="AG145" s="89"/>
      <c r="AH145" s="89"/>
      <c r="AI145" s="89">
        <v>2</v>
      </c>
      <c r="AJ145" s="89">
        <v>2</v>
      </c>
      <c r="AK145" s="89">
        <v>2</v>
      </c>
      <c r="AL145" s="89">
        <v>2</v>
      </c>
      <c r="AM145" s="89">
        <v>2</v>
      </c>
      <c r="AN145" s="90">
        <f t="shared" si="10"/>
        <v>28.4375</v>
      </c>
      <c r="AO145" s="86">
        <v>240000</v>
      </c>
      <c r="AP145" s="91">
        <f t="shared" si="11"/>
        <v>6825000</v>
      </c>
    </row>
    <row r="146" spans="1:42" ht="24.95" customHeight="1">
      <c r="A146" s="84">
        <v>141</v>
      </c>
      <c r="B146" s="84" t="s">
        <v>736</v>
      </c>
      <c r="C146" s="85" t="s">
        <v>798</v>
      </c>
      <c r="D146" s="128" t="s">
        <v>227</v>
      </c>
      <c r="E146" s="126" t="s">
        <v>859</v>
      </c>
      <c r="F146" s="94" t="s">
        <v>304</v>
      </c>
      <c r="G146" s="87" t="s">
        <v>736</v>
      </c>
      <c r="H146" s="88" t="s">
        <v>918</v>
      </c>
      <c r="I146" s="89">
        <v>1</v>
      </c>
      <c r="J146" s="89">
        <v>1.5</v>
      </c>
      <c r="K146" s="89">
        <v>1</v>
      </c>
      <c r="L146" s="89"/>
      <c r="M146" s="89"/>
      <c r="N146" s="89">
        <v>1</v>
      </c>
      <c r="O146" s="89"/>
      <c r="P146" s="89">
        <v>2</v>
      </c>
      <c r="Q146" s="89">
        <v>2</v>
      </c>
      <c r="R146" s="89">
        <v>2</v>
      </c>
      <c r="S146" s="89"/>
      <c r="T146" s="89"/>
      <c r="U146" s="89">
        <v>2</v>
      </c>
      <c r="V146" s="89">
        <v>2</v>
      </c>
      <c r="W146" s="89">
        <v>2</v>
      </c>
      <c r="X146" s="89">
        <v>2</v>
      </c>
      <c r="Y146" s="89"/>
      <c r="Z146" s="89"/>
      <c r="AA146" s="89"/>
      <c r="AB146" s="89">
        <v>2</v>
      </c>
      <c r="AC146" s="89">
        <v>2</v>
      </c>
      <c r="AD146" s="89">
        <v>2</v>
      </c>
      <c r="AE146" s="89">
        <v>2</v>
      </c>
      <c r="AF146" s="89">
        <v>2</v>
      </c>
      <c r="AG146" s="89"/>
      <c r="AH146" s="89"/>
      <c r="AI146" s="89">
        <v>2</v>
      </c>
      <c r="AJ146" s="89">
        <v>2</v>
      </c>
      <c r="AK146" s="89">
        <v>2</v>
      </c>
      <c r="AL146" s="89">
        <v>2</v>
      </c>
      <c r="AM146" s="89">
        <v>2</v>
      </c>
      <c r="AN146" s="90">
        <f t="shared" si="10"/>
        <v>38.5</v>
      </c>
      <c r="AO146" s="86">
        <v>240000</v>
      </c>
      <c r="AP146" s="91">
        <f t="shared" si="11"/>
        <v>9240000</v>
      </c>
    </row>
    <row r="147" spans="1:42" ht="24.95" customHeight="1">
      <c r="A147" s="84">
        <v>142</v>
      </c>
      <c r="B147" s="84" t="s">
        <v>765</v>
      </c>
      <c r="C147" s="85" t="s">
        <v>827</v>
      </c>
      <c r="D147" s="36" t="s">
        <v>225</v>
      </c>
      <c r="E147" s="126" t="s">
        <v>888</v>
      </c>
      <c r="F147" s="94" t="s">
        <v>226</v>
      </c>
      <c r="G147" s="87" t="s">
        <v>765</v>
      </c>
      <c r="H147" s="88" t="s">
        <v>948</v>
      </c>
      <c r="I147" s="89">
        <v>1</v>
      </c>
      <c r="J147" s="89">
        <v>1.5</v>
      </c>
      <c r="K147" s="89">
        <v>1</v>
      </c>
      <c r="L147" s="89">
        <v>1</v>
      </c>
      <c r="M147" s="89"/>
      <c r="N147" s="89">
        <v>1</v>
      </c>
      <c r="O147" s="89">
        <v>1.5</v>
      </c>
      <c r="P147" s="89">
        <v>1</v>
      </c>
      <c r="Q147" s="89">
        <v>1.5</v>
      </c>
      <c r="R147" s="89">
        <v>1</v>
      </c>
      <c r="S147" s="89">
        <v>0.375</v>
      </c>
      <c r="T147" s="89"/>
      <c r="U147" s="89">
        <v>2</v>
      </c>
      <c r="V147" s="89">
        <v>2</v>
      </c>
      <c r="W147" s="89">
        <v>2</v>
      </c>
      <c r="X147" s="89">
        <v>2</v>
      </c>
      <c r="Y147" s="89"/>
      <c r="Z147" s="89"/>
      <c r="AA147" s="89"/>
      <c r="AB147" s="89">
        <v>2</v>
      </c>
      <c r="AC147" s="89">
        <v>2</v>
      </c>
      <c r="AD147" s="89">
        <v>2</v>
      </c>
      <c r="AE147" s="89">
        <v>2</v>
      </c>
      <c r="AF147" s="89">
        <v>2</v>
      </c>
      <c r="AG147" s="89"/>
      <c r="AH147" s="89"/>
      <c r="AI147" s="89">
        <v>2</v>
      </c>
      <c r="AJ147" s="89">
        <v>2</v>
      </c>
      <c r="AK147" s="89">
        <v>2</v>
      </c>
      <c r="AL147" s="89">
        <v>2</v>
      </c>
      <c r="AM147" s="89">
        <v>2</v>
      </c>
      <c r="AN147" s="90">
        <f t="shared" si="10"/>
        <v>38.875</v>
      </c>
      <c r="AO147" s="86">
        <v>170000</v>
      </c>
      <c r="AP147" s="91">
        <f t="shared" si="11"/>
        <v>6608750</v>
      </c>
    </row>
    <row r="148" spans="1:42" ht="24.95" customHeight="1">
      <c r="A148" s="84">
        <v>143</v>
      </c>
      <c r="B148" s="84" t="s">
        <v>1021</v>
      </c>
      <c r="C148" s="85" t="s">
        <v>1070</v>
      </c>
      <c r="D148" s="36" t="s">
        <v>225</v>
      </c>
      <c r="E148" s="36" t="s">
        <v>1123</v>
      </c>
      <c r="F148" s="96" t="s">
        <v>226</v>
      </c>
      <c r="G148" s="87" t="s">
        <v>1021</v>
      </c>
      <c r="H148" s="88" t="s">
        <v>1177</v>
      </c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>
        <v>0.6875</v>
      </c>
      <c r="V148" s="89">
        <v>1.125</v>
      </c>
      <c r="W148" s="89"/>
      <c r="X148" s="89">
        <v>0.625</v>
      </c>
      <c r="Y148" s="89">
        <v>1.5</v>
      </c>
      <c r="Z148" s="89"/>
      <c r="AA148" s="89"/>
      <c r="AB148" s="89">
        <v>1</v>
      </c>
      <c r="AC148" s="89">
        <v>1.5</v>
      </c>
      <c r="AD148" s="89">
        <v>1</v>
      </c>
      <c r="AE148" s="89">
        <v>1.5</v>
      </c>
      <c r="AF148" s="89">
        <v>0.5</v>
      </c>
      <c r="AG148" s="89">
        <v>1</v>
      </c>
      <c r="AH148" s="89"/>
      <c r="AI148" s="89">
        <v>1</v>
      </c>
      <c r="AJ148" s="89">
        <v>1.5</v>
      </c>
      <c r="AK148" s="89">
        <v>1</v>
      </c>
      <c r="AL148" s="89">
        <v>1.5</v>
      </c>
      <c r="AM148" s="89">
        <v>1</v>
      </c>
      <c r="AN148" s="90">
        <f t="shared" si="10"/>
        <v>16.4375</v>
      </c>
      <c r="AO148" s="86">
        <v>150000</v>
      </c>
      <c r="AP148" s="91">
        <f t="shared" si="11"/>
        <v>2465625</v>
      </c>
    </row>
    <row r="149" spans="1:42" ht="24.95" customHeight="1">
      <c r="A149" s="84">
        <v>144</v>
      </c>
      <c r="B149" s="84" t="s">
        <v>756</v>
      </c>
      <c r="C149" s="85" t="s">
        <v>818</v>
      </c>
      <c r="D149" s="36" t="s">
        <v>228</v>
      </c>
      <c r="E149" s="36" t="s">
        <v>879</v>
      </c>
      <c r="F149" s="94" t="s">
        <v>226</v>
      </c>
      <c r="G149" s="87" t="s">
        <v>756</v>
      </c>
      <c r="H149" s="88">
        <v>91024861411</v>
      </c>
      <c r="I149" s="89">
        <v>1</v>
      </c>
      <c r="J149" s="89">
        <v>1.5</v>
      </c>
      <c r="K149" s="89"/>
      <c r="L149" s="89">
        <v>1</v>
      </c>
      <c r="M149" s="89"/>
      <c r="N149" s="89">
        <v>1</v>
      </c>
      <c r="O149" s="89">
        <v>1.5</v>
      </c>
      <c r="P149" s="89">
        <v>1</v>
      </c>
      <c r="Q149" s="89">
        <v>1.5</v>
      </c>
      <c r="R149" s="89">
        <v>1</v>
      </c>
      <c r="S149" s="89">
        <v>1</v>
      </c>
      <c r="T149" s="89"/>
      <c r="U149" s="89">
        <v>2</v>
      </c>
      <c r="V149" s="89">
        <v>2</v>
      </c>
      <c r="W149" s="89">
        <v>2</v>
      </c>
      <c r="X149" s="89">
        <v>2</v>
      </c>
      <c r="Y149" s="89"/>
      <c r="Z149" s="89"/>
      <c r="AA149" s="89"/>
      <c r="AB149" s="89">
        <v>2</v>
      </c>
      <c r="AC149" s="89">
        <v>2</v>
      </c>
      <c r="AD149" s="89">
        <v>2</v>
      </c>
      <c r="AE149" s="89">
        <v>2</v>
      </c>
      <c r="AF149" s="89">
        <v>2</v>
      </c>
      <c r="AG149" s="89"/>
      <c r="AH149" s="89"/>
      <c r="AI149" s="89">
        <v>2</v>
      </c>
      <c r="AJ149" s="89">
        <v>2</v>
      </c>
      <c r="AK149" s="89">
        <v>2</v>
      </c>
      <c r="AL149" s="89">
        <v>2</v>
      </c>
      <c r="AM149" s="89">
        <v>2</v>
      </c>
      <c r="AN149" s="90">
        <f t="shared" si="10"/>
        <v>38.5</v>
      </c>
      <c r="AO149" s="86">
        <v>230000</v>
      </c>
      <c r="AP149" s="91">
        <f t="shared" si="11"/>
        <v>8855000</v>
      </c>
    </row>
    <row r="150" spans="1:42" ht="24.95" customHeight="1">
      <c r="A150" s="84">
        <v>145</v>
      </c>
      <c r="B150" s="84" t="s">
        <v>456</v>
      </c>
      <c r="C150" s="85" t="s">
        <v>478</v>
      </c>
      <c r="D150" s="36" t="s">
        <v>228</v>
      </c>
      <c r="E150" s="126" t="s">
        <v>500</v>
      </c>
      <c r="F150" s="96" t="s">
        <v>230</v>
      </c>
      <c r="G150" s="87" t="s">
        <v>456</v>
      </c>
      <c r="H150" s="88" t="s">
        <v>520</v>
      </c>
      <c r="I150" s="89">
        <v>1</v>
      </c>
      <c r="J150" s="89">
        <v>1.375</v>
      </c>
      <c r="K150" s="89">
        <v>1</v>
      </c>
      <c r="L150" s="89">
        <v>1</v>
      </c>
      <c r="M150" s="89"/>
      <c r="N150" s="89">
        <v>1</v>
      </c>
      <c r="O150" s="89">
        <v>1.5</v>
      </c>
      <c r="P150" s="89">
        <v>1</v>
      </c>
      <c r="Q150" s="89">
        <v>1.5</v>
      </c>
      <c r="R150" s="89">
        <v>1</v>
      </c>
      <c r="S150" s="89">
        <v>1</v>
      </c>
      <c r="T150" s="89"/>
      <c r="U150" s="89">
        <v>1</v>
      </c>
      <c r="V150" s="89">
        <v>1.5</v>
      </c>
      <c r="W150" s="89">
        <v>1</v>
      </c>
      <c r="X150" s="89">
        <v>1.5</v>
      </c>
      <c r="Y150" s="89">
        <v>0.75</v>
      </c>
      <c r="Z150" s="89"/>
      <c r="AA150" s="89"/>
      <c r="AB150" s="89">
        <v>1</v>
      </c>
      <c r="AC150" s="89">
        <v>1.5</v>
      </c>
      <c r="AD150" s="89">
        <v>1</v>
      </c>
      <c r="AE150" s="89">
        <v>1.5</v>
      </c>
      <c r="AF150" s="89">
        <v>1</v>
      </c>
      <c r="AG150" s="89">
        <v>1</v>
      </c>
      <c r="AH150" s="89"/>
      <c r="AI150" s="89">
        <v>1</v>
      </c>
      <c r="AJ150" s="89">
        <v>1.5</v>
      </c>
      <c r="AK150" s="89"/>
      <c r="AL150" s="89">
        <v>1.5</v>
      </c>
      <c r="AM150" s="89">
        <v>1</v>
      </c>
      <c r="AN150" s="90">
        <f t="shared" si="10"/>
        <v>29.125</v>
      </c>
      <c r="AO150" s="86">
        <v>210000</v>
      </c>
      <c r="AP150" s="91">
        <f t="shared" si="11"/>
        <v>6116250</v>
      </c>
    </row>
    <row r="151" spans="1:42" ht="24.95" customHeight="1">
      <c r="A151" s="84">
        <v>146</v>
      </c>
      <c r="B151" s="84" t="s">
        <v>457</v>
      </c>
      <c r="C151" s="85" t="s">
        <v>479</v>
      </c>
      <c r="D151" s="36" t="s">
        <v>225</v>
      </c>
      <c r="E151" s="126" t="s">
        <v>501</v>
      </c>
      <c r="F151" s="94" t="s">
        <v>351</v>
      </c>
      <c r="G151" s="87" t="s">
        <v>457</v>
      </c>
      <c r="H151" s="88" t="s">
        <v>521</v>
      </c>
      <c r="I151" s="89">
        <v>2</v>
      </c>
      <c r="J151" s="89">
        <v>2</v>
      </c>
      <c r="K151" s="89">
        <v>2</v>
      </c>
      <c r="L151" s="89"/>
      <c r="M151" s="89"/>
      <c r="N151" s="89">
        <v>2</v>
      </c>
      <c r="O151" s="89">
        <v>2</v>
      </c>
      <c r="P151" s="89">
        <v>2</v>
      </c>
      <c r="Q151" s="89">
        <v>2</v>
      </c>
      <c r="R151" s="89">
        <v>1.75</v>
      </c>
      <c r="S151" s="89"/>
      <c r="T151" s="89"/>
      <c r="U151" s="89">
        <v>2</v>
      </c>
      <c r="V151" s="89">
        <v>2</v>
      </c>
      <c r="W151" s="89">
        <v>2</v>
      </c>
      <c r="X151" s="89">
        <v>2</v>
      </c>
      <c r="Y151" s="89"/>
      <c r="Z151" s="89"/>
      <c r="AA151" s="89"/>
      <c r="AB151" s="89">
        <v>2</v>
      </c>
      <c r="AC151" s="89">
        <v>2</v>
      </c>
      <c r="AD151" s="89">
        <v>2</v>
      </c>
      <c r="AE151" s="89">
        <v>2</v>
      </c>
      <c r="AF151" s="89">
        <v>2</v>
      </c>
      <c r="AG151" s="89"/>
      <c r="AH151" s="89"/>
      <c r="AI151" s="89"/>
      <c r="AJ151" s="89"/>
      <c r="AK151" s="89"/>
      <c r="AL151" s="89"/>
      <c r="AM151" s="89"/>
      <c r="AN151" s="90">
        <f t="shared" si="10"/>
        <v>33.75</v>
      </c>
      <c r="AO151" s="86">
        <v>150000</v>
      </c>
      <c r="AP151" s="91">
        <f t="shared" si="11"/>
        <v>5062500</v>
      </c>
    </row>
    <row r="152" spans="1:42" ht="24.95" customHeight="1">
      <c r="A152" s="84">
        <v>147</v>
      </c>
      <c r="B152" s="84" t="s">
        <v>737</v>
      </c>
      <c r="C152" s="85" t="s">
        <v>799</v>
      </c>
      <c r="D152" s="36" t="s">
        <v>340</v>
      </c>
      <c r="E152" s="36" t="s">
        <v>860</v>
      </c>
      <c r="F152" s="94" t="s">
        <v>296</v>
      </c>
      <c r="G152" s="87" t="s">
        <v>737</v>
      </c>
      <c r="H152" s="88" t="s">
        <v>919</v>
      </c>
      <c r="I152" s="89">
        <v>2</v>
      </c>
      <c r="J152" s="89">
        <v>2</v>
      </c>
      <c r="K152" s="89">
        <v>2</v>
      </c>
      <c r="L152" s="89"/>
      <c r="M152" s="89"/>
      <c r="N152" s="89">
        <v>2</v>
      </c>
      <c r="O152" s="89">
        <v>2</v>
      </c>
      <c r="P152" s="89">
        <v>2</v>
      </c>
      <c r="Q152" s="89">
        <v>2</v>
      </c>
      <c r="R152" s="89">
        <v>2</v>
      </c>
      <c r="S152" s="89"/>
      <c r="T152" s="89"/>
      <c r="U152" s="89">
        <v>2</v>
      </c>
      <c r="V152" s="89">
        <v>2</v>
      </c>
      <c r="W152" s="89">
        <v>2</v>
      </c>
      <c r="X152" s="89">
        <v>2</v>
      </c>
      <c r="Y152" s="89"/>
      <c r="Z152" s="89"/>
      <c r="AA152" s="89"/>
      <c r="AB152" s="89">
        <v>2</v>
      </c>
      <c r="AC152" s="89">
        <v>2</v>
      </c>
      <c r="AD152" s="89">
        <v>2</v>
      </c>
      <c r="AE152" s="89">
        <v>2</v>
      </c>
      <c r="AF152" s="89">
        <v>2</v>
      </c>
      <c r="AG152" s="89"/>
      <c r="AH152" s="89"/>
      <c r="AI152" s="89">
        <v>2</v>
      </c>
      <c r="AJ152" s="89">
        <v>2</v>
      </c>
      <c r="AK152" s="89">
        <v>2</v>
      </c>
      <c r="AL152" s="89">
        <v>2</v>
      </c>
      <c r="AM152" s="89">
        <v>2</v>
      </c>
      <c r="AN152" s="90">
        <f t="shared" si="10"/>
        <v>44</v>
      </c>
      <c r="AO152" s="86">
        <v>210000</v>
      </c>
      <c r="AP152" s="91">
        <f t="shared" si="11"/>
        <v>9240000</v>
      </c>
    </row>
    <row r="153" spans="1:42" ht="24.95" customHeight="1">
      <c r="A153" s="84">
        <v>148</v>
      </c>
      <c r="B153" s="84" t="s">
        <v>757</v>
      </c>
      <c r="C153" s="85" t="s">
        <v>819</v>
      </c>
      <c r="D153" s="36" t="s">
        <v>228</v>
      </c>
      <c r="E153" s="36" t="s">
        <v>880</v>
      </c>
      <c r="F153" s="94" t="s">
        <v>939</v>
      </c>
      <c r="G153" s="87" t="s">
        <v>757</v>
      </c>
      <c r="H153" s="88" t="s">
        <v>940</v>
      </c>
      <c r="I153" s="89">
        <v>1</v>
      </c>
      <c r="J153" s="89">
        <v>1.5</v>
      </c>
      <c r="K153" s="89">
        <v>1</v>
      </c>
      <c r="L153" s="89">
        <v>1</v>
      </c>
      <c r="M153" s="89"/>
      <c r="N153" s="89">
        <v>1</v>
      </c>
      <c r="O153" s="89">
        <v>1.5</v>
      </c>
      <c r="P153" s="89">
        <v>1</v>
      </c>
      <c r="Q153" s="89">
        <v>1.5</v>
      </c>
      <c r="R153" s="89">
        <v>1</v>
      </c>
      <c r="S153" s="89">
        <v>1</v>
      </c>
      <c r="T153" s="89"/>
      <c r="U153" s="89">
        <v>2</v>
      </c>
      <c r="V153" s="89">
        <v>2</v>
      </c>
      <c r="W153" s="89">
        <v>2</v>
      </c>
      <c r="X153" s="89">
        <v>2</v>
      </c>
      <c r="Y153" s="89"/>
      <c r="Z153" s="89"/>
      <c r="AA153" s="89"/>
      <c r="AB153" s="89">
        <v>2</v>
      </c>
      <c r="AC153" s="89">
        <v>2</v>
      </c>
      <c r="AD153" s="89">
        <v>2</v>
      </c>
      <c r="AE153" s="89">
        <v>2</v>
      </c>
      <c r="AF153" s="89">
        <v>2</v>
      </c>
      <c r="AG153" s="89"/>
      <c r="AH153" s="89"/>
      <c r="AI153" s="89">
        <v>2</v>
      </c>
      <c r="AJ153" s="89">
        <v>2</v>
      </c>
      <c r="AK153" s="89">
        <v>2</v>
      </c>
      <c r="AL153" s="89">
        <v>2</v>
      </c>
      <c r="AM153" s="89">
        <v>2</v>
      </c>
      <c r="AN153" s="90">
        <f t="shared" si="10"/>
        <v>39.5</v>
      </c>
      <c r="AO153" s="86">
        <v>220000</v>
      </c>
      <c r="AP153" s="91">
        <f t="shared" si="11"/>
        <v>8690000</v>
      </c>
    </row>
    <row r="154" spans="1:42" ht="24.95" customHeight="1">
      <c r="A154" s="84">
        <v>149</v>
      </c>
      <c r="B154" s="84" t="s">
        <v>418</v>
      </c>
      <c r="C154" s="85" t="s">
        <v>419</v>
      </c>
      <c r="D154" s="36" t="s">
        <v>228</v>
      </c>
      <c r="E154" s="36" t="s">
        <v>420</v>
      </c>
      <c r="F154" s="94" t="s">
        <v>229</v>
      </c>
      <c r="G154" s="87" t="s">
        <v>418</v>
      </c>
      <c r="H154" s="88" t="s">
        <v>421</v>
      </c>
      <c r="I154" s="89"/>
      <c r="J154" s="89">
        <v>2</v>
      </c>
      <c r="K154" s="89">
        <v>2</v>
      </c>
      <c r="L154" s="89"/>
      <c r="M154" s="89"/>
      <c r="N154" s="89">
        <v>2</v>
      </c>
      <c r="O154" s="89">
        <v>2</v>
      </c>
      <c r="P154" s="89">
        <v>2</v>
      </c>
      <c r="Q154" s="89">
        <v>2</v>
      </c>
      <c r="R154" s="89">
        <v>2</v>
      </c>
      <c r="S154" s="89"/>
      <c r="T154" s="89"/>
      <c r="U154" s="89">
        <v>2</v>
      </c>
      <c r="V154" s="89">
        <v>2</v>
      </c>
      <c r="W154" s="89">
        <v>2</v>
      </c>
      <c r="X154" s="89">
        <v>2</v>
      </c>
      <c r="Y154" s="89"/>
      <c r="Z154" s="89"/>
      <c r="AA154" s="89"/>
      <c r="AB154" s="89">
        <v>2</v>
      </c>
      <c r="AC154" s="89">
        <v>2</v>
      </c>
      <c r="AD154" s="89">
        <v>2</v>
      </c>
      <c r="AE154" s="89">
        <v>2</v>
      </c>
      <c r="AF154" s="89">
        <v>2</v>
      </c>
      <c r="AG154" s="89"/>
      <c r="AH154" s="89"/>
      <c r="AI154" s="89"/>
      <c r="AJ154" s="89">
        <v>2</v>
      </c>
      <c r="AK154" s="89">
        <v>1.75</v>
      </c>
      <c r="AL154" s="89">
        <v>2</v>
      </c>
      <c r="AM154" s="89">
        <v>2</v>
      </c>
      <c r="AN154" s="90">
        <f t="shared" si="10"/>
        <v>39.75</v>
      </c>
      <c r="AO154" s="86">
        <v>230000</v>
      </c>
      <c r="AP154" s="91">
        <f t="shared" si="11"/>
        <v>9142500</v>
      </c>
    </row>
    <row r="155" spans="1:42" ht="24.95" customHeight="1">
      <c r="A155" s="84">
        <v>150</v>
      </c>
      <c r="B155" s="84" t="s">
        <v>549</v>
      </c>
      <c r="C155" s="85" t="s">
        <v>579</v>
      </c>
      <c r="D155" s="36" t="s">
        <v>225</v>
      </c>
      <c r="E155" s="36" t="s">
        <v>608</v>
      </c>
      <c r="F155" s="94" t="s">
        <v>297</v>
      </c>
      <c r="G155" s="87" t="s">
        <v>549</v>
      </c>
      <c r="H155" s="88" t="s">
        <v>638</v>
      </c>
      <c r="I155" s="89">
        <v>1</v>
      </c>
      <c r="J155" s="89">
        <v>1.5</v>
      </c>
      <c r="K155" s="89">
        <v>1</v>
      </c>
      <c r="L155" s="89">
        <v>1</v>
      </c>
      <c r="M155" s="89"/>
      <c r="N155" s="89">
        <v>1</v>
      </c>
      <c r="O155" s="89">
        <v>1.5</v>
      </c>
      <c r="P155" s="89">
        <v>1</v>
      </c>
      <c r="Q155" s="89">
        <v>1.5</v>
      </c>
      <c r="R155" s="89">
        <v>1</v>
      </c>
      <c r="S155" s="89"/>
      <c r="T155" s="89"/>
      <c r="U155" s="89">
        <v>1</v>
      </c>
      <c r="V155" s="89">
        <v>1.5</v>
      </c>
      <c r="W155" s="89">
        <v>1</v>
      </c>
      <c r="X155" s="89">
        <v>1.5</v>
      </c>
      <c r="Y155" s="89">
        <v>1.5</v>
      </c>
      <c r="Z155" s="89">
        <v>0.125</v>
      </c>
      <c r="AA155" s="89"/>
      <c r="AB155" s="89">
        <v>1</v>
      </c>
      <c r="AC155" s="89">
        <v>1.5</v>
      </c>
      <c r="AD155" s="89">
        <v>1</v>
      </c>
      <c r="AE155" s="89">
        <v>1.5</v>
      </c>
      <c r="AF155" s="89">
        <v>1</v>
      </c>
      <c r="AG155" s="89">
        <v>1</v>
      </c>
      <c r="AH155" s="89"/>
      <c r="AI155" s="89">
        <v>1</v>
      </c>
      <c r="AJ155" s="89">
        <v>1.5</v>
      </c>
      <c r="AK155" s="89">
        <v>0.5</v>
      </c>
      <c r="AL155" s="89">
        <v>1.5</v>
      </c>
      <c r="AM155" s="89">
        <v>1</v>
      </c>
      <c r="AN155" s="90">
        <f t="shared" si="10"/>
        <v>29.625</v>
      </c>
      <c r="AO155" s="86">
        <v>170000</v>
      </c>
      <c r="AP155" s="91">
        <f t="shared" si="11"/>
        <v>5036250</v>
      </c>
    </row>
    <row r="156" spans="1:42" ht="24.95" customHeight="1">
      <c r="A156" s="84">
        <v>151</v>
      </c>
      <c r="B156" s="84" t="s">
        <v>738</v>
      </c>
      <c r="C156" s="85" t="s">
        <v>800</v>
      </c>
      <c r="D156" s="36" t="s">
        <v>225</v>
      </c>
      <c r="E156" s="36" t="s">
        <v>861</v>
      </c>
      <c r="F156" s="96" t="s">
        <v>367</v>
      </c>
      <c r="G156" s="87" t="s">
        <v>738</v>
      </c>
      <c r="H156" s="88" t="s">
        <v>920</v>
      </c>
      <c r="I156" s="89">
        <v>2</v>
      </c>
      <c r="J156" s="89">
        <v>2</v>
      </c>
      <c r="K156" s="89">
        <v>2</v>
      </c>
      <c r="L156" s="89"/>
      <c r="M156" s="89"/>
      <c r="N156" s="89">
        <v>2</v>
      </c>
      <c r="O156" s="89">
        <v>2</v>
      </c>
      <c r="P156" s="89">
        <v>2</v>
      </c>
      <c r="Q156" s="89">
        <v>2</v>
      </c>
      <c r="R156" s="89">
        <v>2</v>
      </c>
      <c r="S156" s="89"/>
      <c r="T156" s="89"/>
      <c r="U156" s="89">
        <v>2</v>
      </c>
      <c r="V156" s="89">
        <v>2</v>
      </c>
      <c r="W156" s="89">
        <v>2</v>
      </c>
      <c r="X156" s="89">
        <v>2</v>
      </c>
      <c r="Y156" s="89"/>
      <c r="Z156" s="89"/>
      <c r="AA156" s="89"/>
      <c r="AB156" s="89">
        <v>2</v>
      </c>
      <c r="AC156" s="89">
        <v>2</v>
      </c>
      <c r="AD156" s="89">
        <v>2</v>
      </c>
      <c r="AE156" s="89">
        <v>2</v>
      </c>
      <c r="AF156" s="89">
        <v>2</v>
      </c>
      <c r="AG156" s="89"/>
      <c r="AH156" s="89"/>
      <c r="AI156" s="89">
        <v>2</v>
      </c>
      <c r="AJ156" s="89">
        <v>2</v>
      </c>
      <c r="AK156" s="89">
        <v>2</v>
      </c>
      <c r="AL156" s="89">
        <v>2</v>
      </c>
      <c r="AM156" s="89">
        <v>2</v>
      </c>
      <c r="AN156" s="90">
        <f t="shared" si="10"/>
        <v>44</v>
      </c>
      <c r="AO156" s="86">
        <v>160000</v>
      </c>
      <c r="AP156" s="91">
        <f t="shared" si="11"/>
        <v>7040000</v>
      </c>
    </row>
    <row r="157" spans="1:42" ht="24.95" customHeight="1">
      <c r="A157" s="84">
        <v>152</v>
      </c>
      <c r="B157" s="84" t="s">
        <v>739</v>
      </c>
      <c r="C157" s="85" t="s">
        <v>801</v>
      </c>
      <c r="D157" s="128" t="s">
        <v>225</v>
      </c>
      <c r="E157" s="36" t="s">
        <v>862</v>
      </c>
      <c r="F157" s="94" t="s">
        <v>296</v>
      </c>
      <c r="G157" s="87" t="s">
        <v>739</v>
      </c>
      <c r="H157" s="88" t="s">
        <v>921</v>
      </c>
      <c r="I157" s="89">
        <v>1</v>
      </c>
      <c r="J157" s="89">
        <v>1.5</v>
      </c>
      <c r="K157" s="89">
        <v>1</v>
      </c>
      <c r="L157" s="89"/>
      <c r="M157" s="89"/>
      <c r="N157" s="89">
        <v>2</v>
      </c>
      <c r="O157" s="89">
        <v>2</v>
      </c>
      <c r="P157" s="89">
        <v>2</v>
      </c>
      <c r="Q157" s="89">
        <v>2</v>
      </c>
      <c r="R157" s="89">
        <v>2</v>
      </c>
      <c r="S157" s="89"/>
      <c r="T157" s="89"/>
      <c r="U157" s="89">
        <v>2</v>
      </c>
      <c r="V157" s="89">
        <v>2</v>
      </c>
      <c r="W157" s="89">
        <v>2</v>
      </c>
      <c r="X157" s="89">
        <v>2</v>
      </c>
      <c r="Y157" s="89"/>
      <c r="Z157" s="89"/>
      <c r="AA157" s="89"/>
      <c r="AB157" s="89">
        <v>2</v>
      </c>
      <c r="AC157" s="89">
        <v>2</v>
      </c>
      <c r="AD157" s="89">
        <v>2</v>
      </c>
      <c r="AE157" s="89">
        <v>2</v>
      </c>
      <c r="AF157" s="89">
        <v>2</v>
      </c>
      <c r="AG157" s="89"/>
      <c r="AH157" s="89"/>
      <c r="AI157" s="89">
        <v>2</v>
      </c>
      <c r="AJ157" s="89">
        <v>2</v>
      </c>
      <c r="AK157" s="89">
        <v>2</v>
      </c>
      <c r="AL157" s="89">
        <v>2</v>
      </c>
      <c r="AM157" s="89">
        <v>2</v>
      </c>
      <c r="AN157" s="90">
        <f t="shared" ref="AN157:AN188" si="12">SUM(I157:AM157)</f>
        <v>41.5</v>
      </c>
      <c r="AO157" s="86">
        <v>160000</v>
      </c>
      <c r="AP157" s="91">
        <f t="shared" ref="AP157:AP188" si="13">AN157*AO157</f>
        <v>6640000</v>
      </c>
    </row>
    <row r="158" spans="1:42" ht="24.95" customHeight="1">
      <c r="A158" s="84">
        <v>153</v>
      </c>
      <c r="B158" s="84" t="s">
        <v>740</v>
      </c>
      <c r="C158" s="85" t="s">
        <v>802</v>
      </c>
      <c r="D158" s="128" t="s">
        <v>225</v>
      </c>
      <c r="E158" s="126" t="s">
        <v>863</v>
      </c>
      <c r="F158" s="94" t="s">
        <v>296</v>
      </c>
      <c r="G158" s="87" t="s">
        <v>740</v>
      </c>
      <c r="H158" s="88" t="s">
        <v>922</v>
      </c>
      <c r="I158" s="89">
        <v>1</v>
      </c>
      <c r="J158" s="89">
        <v>1.5</v>
      </c>
      <c r="K158" s="89">
        <v>1</v>
      </c>
      <c r="L158" s="89">
        <v>1</v>
      </c>
      <c r="M158" s="89"/>
      <c r="N158" s="89">
        <v>1</v>
      </c>
      <c r="O158" s="89">
        <v>1.5</v>
      </c>
      <c r="P158" s="89">
        <v>1</v>
      </c>
      <c r="Q158" s="89">
        <v>1.5</v>
      </c>
      <c r="R158" s="89">
        <v>1</v>
      </c>
      <c r="S158" s="89">
        <v>1</v>
      </c>
      <c r="T158" s="89"/>
      <c r="U158" s="89">
        <v>2</v>
      </c>
      <c r="V158" s="89">
        <v>2</v>
      </c>
      <c r="W158" s="89">
        <v>2</v>
      </c>
      <c r="X158" s="89">
        <v>2</v>
      </c>
      <c r="Y158" s="89"/>
      <c r="Z158" s="89"/>
      <c r="AA158" s="89"/>
      <c r="AB158" s="89">
        <v>2</v>
      </c>
      <c r="AC158" s="89">
        <v>2</v>
      </c>
      <c r="AD158" s="89">
        <v>2</v>
      </c>
      <c r="AE158" s="89">
        <v>2</v>
      </c>
      <c r="AF158" s="89"/>
      <c r="AG158" s="89"/>
      <c r="AH158" s="89"/>
      <c r="AI158" s="89"/>
      <c r="AJ158" s="89"/>
      <c r="AK158" s="89"/>
      <c r="AL158" s="89"/>
      <c r="AM158" s="89"/>
      <c r="AN158" s="90">
        <f t="shared" si="12"/>
        <v>27.5</v>
      </c>
      <c r="AO158" s="86">
        <v>170000</v>
      </c>
      <c r="AP158" s="91">
        <f t="shared" si="13"/>
        <v>4675000</v>
      </c>
    </row>
    <row r="159" spans="1:42" ht="24.95" customHeight="1">
      <c r="A159" s="84">
        <v>154</v>
      </c>
      <c r="B159" s="84" t="s">
        <v>554</v>
      </c>
      <c r="C159" s="85" t="s">
        <v>584</v>
      </c>
      <c r="D159" s="36" t="s">
        <v>225</v>
      </c>
      <c r="E159" s="126" t="s">
        <v>613</v>
      </c>
      <c r="F159" s="94" t="s">
        <v>351</v>
      </c>
      <c r="G159" s="87" t="s">
        <v>554</v>
      </c>
      <c r="H159" s="88" t="s">
        <v>643</v>
      </c>
      <c r="I159" s="89">
        <v>2</v>
      </c>
      <c r="J159" s="89">
        <v>2</v>
      </c>
      <c r="K159" s="89">
        <v>0.75</v>
      </c>
      <c r="L159" s="89"/>
      <c r="M159" s="89"/>
      <c r="N159" s="89">
        <v>2</v>
      </c>
      <c r="O159" s="89">
        <v>2</v>
      </c>
      <c r="P159" s="89">
        <v>2</v>
      </c>
      <c r="Q159" s="89">
        <v>2</v>
      </c>
      <c r="R159" s="89">
        <v>2</v>
      </c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90">
        <f t="shared" si="12"/>
        <v>14.75</v>
      </c>
      <c r="AO159" s="86">
        <v>160000</v>
      </c>
      <c r="AP159" s="91">
        <f t="shared" si="13"/>
        <v>2360000</v>
      </c>
    </row>
    <row r="160" spans="1:42" ht="24.95" customHeight="1">
      <c r="A160" s="84">
        <v>155</v>
      </c>
      <c r="B160" s="84" t="s">
        <v>569</v>
      </c>
      <c r="C160" s="85" t="s">
        <v>598</v>
      </c>
      <c r="D160" s="36" t="s">
        <v>225</v>
      </c>
      <c r="E160" s="126" t="s">
        <v>628</v>
      </c>
      <c r="F160" s="94" t="s">
        <v>226</v>
      </c>
      <c r="G160" s="87" t="s">
        <v>569</v>
      </c>
      <c r="H160" s="88" t="s">
        <v>658</v>
      </c>
      <c r="I160" s="89">
        <v>2</v>
      </c>
      <c r="J160" s="89">
        <v>2</v>
      </c>
      <c r="K160" s="89">
        <v>2</v>
      </c>
      <c r="L160" s="89"/>
      <c r="M160" s="89"/>
      <c r="N160" s="89">
        <v>2</v>
      </c>
      <c r="O160" s="89">
        <v>2</v>
      </c>
      <c r="P160" s="89">
        <v>2</v>
      </c>
      <c r="Q160" s="89">
        <v>2</v>
      </c>
      <c r="R160" s="89">
        <v>2</v>
      </c>
      <c r="S160" s="89"/>
      <c r="T160" s="89"/>
      <c r="U160" s="89">
        <v>2</v>
      </c>
      <c r="V160" s="89"/>
      <c r="W160" s="89"/>
      <c r="X160" s="89"/>
      <c r="Y160" s="89"/>
      <c r="Z160" s="89"/>
      <c r="AA160" s="89"/>
      <c r="AB160" s="89">
        <v>2</v>
      </c>
      <c r="AC160" s="89">
        <v>2</v>
      </c>
      <c r="AD160" s="89">
        <v>2</v>
      </c>
      <c r="AE160" s="89">
        <v>2</v>
      </c>
      <c r="AF160" s="89">
        <v>2</v>
      </c>
      <c r="AG160" s="89"/>
      <c r="AH160" s="89"/>
      <c r="AI160" s="89">
        <v>2</v>
      </c>
      <c r="AJ160" s="89">
        <v>2</v>
      </c>
      <c r="AK160" s="89">
        <v>2</v>
      </c>
      <c r="AL160" s="89">
        <v>2</v>
      </c>
      <c r="AM160" s="89">
        <v>2</v>
      </c>
      <c r="AN160" s="90">
        <f t="shared" si="12"/>
        <v>38</v>
      </c>
      <c r="AO160" s="86">
        <v>160000</v>
      </c>
      <c r="AP160" s="91">
        <f t="shared" si="13"/>
        <v>6080000</v>
      </c>
    </row>
    <row r="161" spans="1:42" ht="24.95" customHeight="1">
      <c r="A161" s="84">
        <v>156</v>
      </c>
      <c r="B161" s="84" t="s">
        <v>1022</v>
      </c>
      <c r="C161" s="85" t="s">
        <v>1071</v>
      </c>
      <c r="D161" s="36" t="s">
        <v>225</v>
      </c>
      <c r="E161" s="126" t="s">
        <v>1124</v>
      </c>
      <c r="F161" s="94" t="s">
        <v>229</v>
      </c>
      <c r="G161" s="87" t="s">
        <v>1022</v>
      </c>
      <c r="H161" s="88" t="s">
        <v>1178</v>
      </c>
      <c r="I161" s="89"/>
      <c r="J161" s="89"/>
      <c r="K161" s="89"/>
      <c r="L161" s="89"/>
      <c r="M161" s="89"/>
      <c r="N161" s="89">
        <v>0.6875</v>
      </c>
      <c r="O161" s="89">
        <v>1.125</v>
      </c>
      <c r="P161" s="89"/>
      <c r="Q161" s="89">
        <v>0.625</v>
      </c>
      <c r="R161" s="89">
        <v>1</v>
      </c>
      <c r="S161" s="89"/>
      <c r="T161" s="89"/>
      <c r="U161" s="89">
        <v>1</v>
      </c>
      <c r="V161" s="89">
        <v>1.5</v>
      </c>
      <c r="W161" s="89">
        <v>1</v>
      </c>
      <c r="X161" s="89">
        <v>1.5</v>
      </c>
      <c r="Y161" s="89">
        <v>1.5</v>
      </c>
      <c r="Z161" s="89">
        <v>1</v>
      </c>
      <c r="AA161" s="89"/>
      <c r="AB161" s="89"/>
      <c r="AC161" s="89">
        <v>2</v>
      </c>
      <c r="AD161" s="89">
        <v>2</v>
      </c>
      <c r="AE161" s="89">
        <v>2</v>
      </c>
      <c r="AF161" s="89">
        <v>2</v>
      </c>
      <c r="AG161" s="89"/>
      <c r="AH161" s="89"/>
      <c r="AI161" s="89">
        <v>2</v>
      </c>
      <c r="AJ161" s="89">
        <v>2</v>
      </c>
      <c r="AK161" s="89">
        <v>2</v>
      </c>
      <c r="AL161" s="89">
        <v>2</v>
      </c>
      <c r="AM161" s="89">
        <v>2</v>
      </c>
      <c r="AN161" s="90">
        <f t="shared" si="12"/>
        <v>28.9375</v>
      </c>
      <c r="AO161" s="86">
        <v>250000</v>
      </c>
      <c r="AP161" s="91">
        <f t="shared" si="13"/>
        <v>7234375</v>
      </c>
    </row>
    <row r="162" spans="1:42" ht="24.95" customHeight="1">
      <c r="A162" s="84">
        <v>157</v>
      </c>
      <c r="B162" s="84" t="s">
        <v>550</v>
      </c>
      <c r="C162" s="85" t="s">
        <v>580</v>
      </c>
      <c r="D162" s="36" t="s">
        <v>225</v>
      </c>
      <c r="E162" s="126" t="s">
        <v>609</v>
      </c>
      <c r="F162" s="94" t="s">
        <v>230</v>
      </c>
      <c r="G162" s="87" t="s">
        <v>550</v>
      </c>
      <c r="H162" s="88" t="s">
        <v>639</v>
      </c>
      <c r="I162" s="89">
        <v>2</v>
      </c>
      <c r="J162" s="89">
        <v>2</v>
      </c>
      <c r="K162" s="89">
        <v>2</v>
      </c>
      <c r="L162" s="89"/>
      <c r="M162" s="89"/>
      <c r="N162" s="89">
        <v>2</v>
      </c>
      <c r="O162" s="89">
        <v>2</v>
      </c>
      <c r="P162" s="89">
        <v>2</v>
      </c>
      <c r="Q162" s="89">
        <v>2</v>
      </c>
      <c r="R162" s="89">
        <v>2</v>
      </c>
      <c r="S162" s="89"/>
      <c r="T162" s="89"/>
      <c r="U162" s="89">
        <v>2</v>
      </c>
      <c r="V162" s="89">
        <v>2</v>
      </c>
      <c r="W162" s="89">
        <v>2</v>
      </c>
      <c r="X162" s="89">
        <v>2</v>
      </c>
      <c r="Y162" s="89"/>
      <c r="Z162" s="89"/>
      <c r="AA162" s="89"/>
      <c r="AB162" s="89">
        <v>2</v>
      </c>
      <c r="AC162" s="89">
        <v>2</v>
      </c>
      <c r="AD162" s="89">
        <v>2</v>
      </c>
      <c r="AE162" s="89">
        <v>2</v>
      </c>
      <c r="AF162" s="89">
        <v>2</v>
      </c>
      <c r="AG162" s="89"/>
      <c r="AH162" s="89"/>
      <c r="AI162" s="89">
        <v>2</v>
      </c>
      <c r="AJ162" s="89">
        <v>2</v>
      </c>
      <c r="AK162" s="89">
        <v>2</v>
      </c>
      <c r="AL162" s="89">
        <v>2</v>
      </c>
      <c r="AM162" s="89">
        <v>2</v>
      </c>
      <c r="AN162" s="90">
        <f t="shared" si="12"/>
        <v>44</v>
      </c>
      <c r="AO162" s="86">
        <v>160000</v>
      </c>
      <c r="AP162" s="91">
        <f t="shared" si="13"/>
        <v>7040000</v>
      </c>
    </row>
    <row r="163" spans="1:42" ht="24.95" customHeight="1">
      <c r="A163" s="84">
        <v>158</v>
      </c>
      <c r="B163" s="84" t="s">
        <v>571</v>
      </c>
      <c r="C163" s="85" t="s">
        <v>600</v>
      </c>
      <c r="D163" s="36" t="s">
        <v>225</v>
      </c>
      <c r="E163" s="126" t="s">
        <v>630</v>
      </c>
      <c r="F163" s="94" t="s">
        <v>651</v>
      </c>
      <c r="G163" s="87" t="s">
        <v>571</v>
      </c>
      <c r="H163" s="88" t="s">
        <v>1179</v>
      </c>
      <c r="I163" s="89">
        <v>1</v>
      </c>
      <c r="J163" s="89">
        <v>1.5</v>
      </c>
      <c r="K163" s="89">
        <v>1</v>
      </c>
      <c r="L163" s="89">
        <v>1</v>
      </c>
      <c r="M163" s="89"/>
      <c r="N163" s="89">
        <v>1</v>
      </c>
      <c r="O163" s="89">
        <v>1.5</v>
      </c>
      <c r="P163" s="89">
        <v>1</v>
      </c>
      <c r="Q163" s="89">
        <v>1.5</v>
      </c>
      <c r="R163" s="89">
        <v>1</v>
      </c>
      <c r="S163" s="89">
        <v>1</v>
      </c>
      <c r="T163" s="89"/>
      <c r="U163" s="89">
        <v>1</v>
      </c>
      <c r="V163" s="89">
        <v>1.5</v>
      </c>
      <c r="W163" s="89">
        <v>1</v>
      </c>
      <c r="X163" s="89">
        <v>1.5</v>
      </c>
      <c r="Y163" s="89">
        <v>1.5</v>
      </c>
      <c r="Z163" s="89"/>
      <c r="AA163" s="89"/>
      <c r="AB163" s="89"/>
      <c r="AC163" s="89">
        <v>2</v>
      </c>
      <c r="AD163" s="89">
        <v>2</v>
      </c>
      <c r="AE163" s="89">
        <v>2</v>
      </c>
      <c r="AF163" s="89">
        <v>2</v>
      </c>
      <c r="AG163" s="89"/>
      <c r="AH163" s="89"/>
      <c r="AI163" s="89">
        <v>2</v>
      </c>
      <c r="AJ163" s="89">
        <v>2</v>
      </c>
      <c r="AK163" s="89">
        <v>2</v>
      </c>
      <c r="AL163" s="89">
        <v>2</v>
      </c>
      <c r="AM163" s="89">
        <v>2</v>
      </c>
      <c r="AN163" s="90">
        <f t="shared" si="12"/>
        <v>36</v>
      </c>
      <c r="AO163" s="86">
        <v>170000</v>
      </c>
      <c r="AP163" s="91">
        <f t="shared" si="13"/>
        <v>6120000</v>
      </c>
    </row>
    <row r="164" spans="1:42" ht="24.95" customHeight="1">
      <c r="A164" s="84">
        <v>159</v>
      </c>
      <c r="B164" s="84" t="s">
        <v>741</v>
      </c>
      <c r="C164" s="85" t="s">
        <v>803</v>
      </c>
      <c r="D164" s="36" t="s">
        <v>225</v>
      </c>
      <c r="E164" s="126" t="s">
        <v>864</v>
      </c>
      <c r="F164" s="94" t="s">
        <v>230</v>
      </c>
      <c r="G164" s="87" t="s">
        <v>741</v>
      </c>
      <c r="H164" s="88" t="s">
        <v>923</v>
      </c>
      <c r="I164" s="89">
        <v>1</v>
      </c>
      <c r="J164" s="89">
        <v>1.5</v>
      </c>
      <c r="K164" s="89">
        <v>1</v>
      </c>
      <c r="L164" s="89">
        <v>1</v>
      </c>
      <c r="M164" s="89"/>
      <c r="N164" s="89">
        <v>1</v>
      </c>
      <c r="O164" s="89">
        <v>1.5</v>
      </c>
      <c r="P164" s="89">
        <v>1</v>
      </c>
      <c r="Q164" s="89">
        <v>1.5</v>
      </c>
      <c r="R164" s="89">
        <v>1</v>
      </c>
      <c r="S164" s="89"/>
      <c r="T164" s="89"/>
      <c r="U164" s="89">
        <v>1</v>
      </c>
      <c r="V164" s="89">
        <v>1.5</v>
      </c>
      <c r="W164" s="89">
        <v>1</v>
      </c>
      <c r="X164" s="89">
        <v>1.5</v>
      </c>
      <c r="Y164" s="89">
        <v>1.5</v>
      </c>
      <c r="Z164" s="89">
        <v>1</v>
      </c>
      <c r="AA164" s="89"/>
      <c r="AB164" s="89">
        <v>1</v>
      </c>
      <c r="AC164" s="89">
        <v>1.5</v>
      </c>
      <c r="AD164" s="89">
        <v>1</v>
      </c>
      <c r="AE164" s="89">
        <v>1.5</v>
      </c>
      <c r="AF164" s="89"/>
      <c r="AG164" s="89">
        <v>1</v>
      </c>
      <c r="AH164" s="89"/>
      <c r="AI164" s="89">
        <v>1</v>
      </c>
      <c r="AJ164" s="89">
        <v>1.5</v>
      </c>
      <c r="AK164" s="89">
        <v>1</v>
      </c>
      <c r="AL164" s="89">
        <v>1.5</v>
      </c>
      <c r="AM164" s="89">
        <v>1</v>
      </c>
      <c r="AN164" s="90">
        <f t="shared" si="12"/>
        <v>30</v>
      </c>
      <c r="AO164" s="86">
        <v>160000</v>
      </c>
      <c r="AP164" s="91">
        <f t="shared" si="13"/>
        <v>4800000</v>
      </c>
    </row>
    <row r="165" spans="1:42" ht="24.95" customHeight="1">
      <c r="A165" s="84">
        <v>160</v>
      </c>
      <c r="B165" s="84" t="s">
        <v>566</v>
      </c>
      <c r="C165" s="85" t="s">
        <v>595</v>
      </c>
      <c r="D165" s="36" t="s">
        <v>225</v>
      </c>
      <c r="E165" s="126" t="s">
        <v>625</v>
      </c>
      <c r="F165" s="94" t="s">
        <v>651</v>
      </c>
      <c r="G165" s="87" t="s">
        <v>566</v>
      </c>
      <c r="H165" s="88" t="s">
        <v>655</v>
      </c>
      <c r="I165" s="89">
        <v>1</v>
      </c>
      <c r="J165" s="89">
        <v>1.5</v>
      </c>
      <c r="K165" s="89">
        <v>1</v>
      </c>
      <c r="L165" s="89">
        <v>1</v>
      </c>
      <c r="M165" s="89"/>
      <c r="N165" s="89"/>
      <c r="O165" s="89">
        <v>1.5</v>
      </c>
      <c r="P165" s="89">
        <v>1</v>
      </c>
      <c r="Q165" s="89">
        <v>1.5</v>
      </c>
      <c r="R165" s="89">
        <v>1</v>
      </c>
      <c r="S165" s="89">
        <v>1</v>
      </c>
      <c r="T165" s="89"/>
      <c r="U165" s="89">
        <v>2</v>
      </c>
      <c r="V165" s="89">
        <v>2</v>
      </c>
      <c r="W165" s="89">
        <v>2</v>
      </c>
      <c r="X165" s="89">
        <v>2</v>
      </c>
      <c r="Y165" s="89"/>
      <c r="Z165" s="89"/>
      <c r="AA165" s="89"/>
      <c r="AB165" s="89">
        <v>2</v>
      </c>
      <c r="AC165" s="89">
        <v>2</v>
      </c>
      <c r="AD165" s="89">
        <v>2</v>
      </c>
      <c r="AE165" s="89">
        <v>2</v>
      </c>
      <c r="AF165" s="89">
        <v>2</v>
      </c>
      <c r="AG165" s="89"/>
      <c r="AH165" s="89"/>
      <c r="AI165" s="89">
        <v>2</v>
      </c>
      <c r="AJ165" s="89">
        <v>2</v>
      </c>
      <c r="AK165" s="89">
        <v>2</v>
      </c>
      <c r="AL165" s="89">
        <v>2</v>
      </c>
      <c r="AM165" s="89">
        <v>2</v>
      </c>
      <c r="AN165" s="90">
        <f t="shared" si="12"/>
        <v>38.5</v>
      </c>
      <c r="AO165" s="86">
        <v>170000</v>
      </c>
      <c r="AP165" s="91">
        <f t="shared" si="13"/>
        <v>6545000</v>
      </c>
    </row>
    <row r="166" spans="1:42" ht="24.95" customHeight="1">
      <c r="A166" s="84">
        <v>161</v>
      </c>
      <c r="B166" s="84" t="s">
        <v>1023</v>
      </c>
      <c r="C166" s="85" t="s">
        <v>1072</v>
      </c>
      <c r="D166" s="128" t="s">
        <v>228</v>
      </c>
      <c r="E166" s="36" t="s">
        <v>1125</v>
      </c>
      <c r="F166" s="96" t="s">
        <v>296</v>
      </c>
      <c r="G166" s="87" t="s">
        <v>1023</v>
      </c>
      <c r="H166" s="88" t="s">
        <v>1180</v>
      </c>
      <c r="I166" s="89"/>
      <c r="J166" s="89"/>
      <c r="K166" s="89"/>
      <c r="L166" s="89"/>
      <c r="M166" s="89"/>
      <c r="N166" s="89">
        <v>0.6875</v>
      </c>
      <c r="O166" s="89">
        <v>1.125</v>
      </c>
      <c r="P166" s="89">
        <v>0.5</v>
      </c>
      <c r="Q166" s="89">
        <v>0.625</v>
      </c>
      <c r="R166" s="89">
        <v>1</v>
      </c>
      <c r="S166" s="89"/>
      <c r="T166" s="89"/>
      <c r="U166" s="89">
        <v>1</v>
      </c>
      <c r="V166" s="89">
        <v>1.5</v>
      </c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90">
        <f t="shared" si="12"/>
        <v>6.4375</v>
      </c>
      <c r="AO166" s="86">
        <v>240000</v>
      </c>
      <c r="AP166" s="91">
        <f t="shared" si="13"/>
        <v>1545000</v>
      </c>
    </row>
    <row r="167" spans="1:42" ht="24.95" customHeight="1">
      <c r="A167" s="84">
        <v>162</v>
      </c>
      <c r="B167" s="84" t="s">
        <v>1024</v>
      </c>
      <c r="C167" s="85" t="s">
        <v>1073</v>
      </c>
      <c r="D167" s="36" t="s">
        <v>228</v>
      </c>
      <c r="E167" s="36" t="s">
        <v>1126</v>
      </c>
      <c r="F167" s="94" t="s">
        <v>1140</v>
      </c>
      <c r="G167" s="87" t="s">
        <v>1024</v>
      </c>
      <c r="H167" s="88" t="s">
        <v>1181</v>
      </c>
      <c r="I167" s="89"/>
      <c r="J167" s="89"/>
      <c r="K167" s="89"/>
      <c r="L167" s="89"/>
      <c r="M167" s="89"/>
      <c r="N167" s="89">
        <v>0.6875</v>
      </c>
      <c r="O167" s="89">
        <v>1.125</v>
      </c>
      <c r="P167" s="89">
        <v>0.5</v>
      </c>
      <c r="Q167" s="89">
        <v>0.625</v>
      </c>
      <c r="R167" s="89">
        <v>1</v>
      </c>
      <c r="S167" s="89"/>
      <c r="T167" s="89"/>
      <c r="U167" s="89">
        <v>1</v>
      </c>
      <c r="V167" s="89">
        <v>1.5</v>
      </c>
      <c r="W167" s="89">
        <v>1</v>
      </c>
      <c r="X167" s="89">
        <v>1.5</v>
      </c>
      <c r="Y167" s="89">
        <v>1.5</v>
      </c>
      <c r="Z167" s="89">
        <v>1</v>
      </c>
      <c r="AA167" s="89"/>
      <c r="AB167" s="89"/>
      <c r="AC167" s="89">
        <v>2</v>
      </c>
      <c r="AD167" s="89">
        <v>2</v>
      </c>
      <c r="AE167" s="89">
        <v>2</v>
      </c>
      <c r="AF167" s="89"/>
      <c r="AG167" s="89"/>
      <c r="AH167" s="89"/>
      <c r="AI167" s="89"/>
      <c r="AJ167" s="89"/>
      <c r="AK167" s="89"/>
      <c r="AL167" s="89"/>
      <c r="AM167" s="89"/>
      <c r="AN167" s="90">
        <f t="shared" si="12"/>
        <v>17.4375</v>
      </c>
      <c r="AO167" s="86">
        <v>220000</v>
      </c>
      <c r="AP167" s="91">
        <f t="shared" si="13"/>
        <v>3836250</v>
      </c>
    </row>
    <row r="168" spans="1:42" ht="24.95" customHeight="1">
      <c r="A168" s="84">
        <v>163</v>
      </c>
      <c r="B168" s="84" t="s">
        <v>766</v>
      </c>
      <c r="C168" s="85" t="s">
        <v>828</v>
      </c>
      <c r="D168" s="36" t="s">
        <v>225</v>
      </c>
      <c r="E168" s="126" t="s">
        <v>889</v>
      </c>
      <c r="F168" s="96" t="s">
        <v>296</v>
      </c>
      <c r="G168" s="87" t="s">
        <v>766</v>
      </c>
      <c r="H168" s="88" t="s">
        <v>949</v>
      </c>
      <c r="I168" s="89">
        <v>1</v>
      </c>
      <c r="J168" s="89">
        <v>1.5</v>
      </c>
      <c r="K168" s="89">
        <v>1</v>
      </c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90">
        <f t="shared" si="12"/>
        <v>3.5</v>
      </c>
      <c r="AO168" s="86">
        <v>160000</v>
      </c>
      <c r="AP168" s="91">
        <f t="shared" si="13"/>
        <v>560000</v>
      </c>
    </row>
    <row r="169" spans="1:42" ht="24.95" customHeight="1">
      <c r="A169" s="84">
        <v>164</v>
      </c>
      <c r="B169" s="84" t="s">
        <v>767</v>
      </c>
      <c r="C169" s="85" t="s">
        <v>829</v>
      </c>
      <c r="D169" s="128" t="s">
        <v>225</v>
      </c>
      <c r="E169" s="126" t="s">
        <v>890</v>
      </c>
      <c r="F169" s="94" t="s">
        <v>230</v>
      </c>
      <c r="G169" s="87" t="s">
        <v>767</v>
      </c>
      <c r="H169" s="88" t="s">
        <v>950</v>
      </c>
      <c r="I169" s="89">
        <v>1</v>
      </c>
      <c r="J169" s="89">
        <v>1.5</v>
      </c>
      <c r="K169" s="89">
        <v>1</v>
      </c>
      <c r="L169" s="89">
        <v>1</v>
      </c>
      <c r="M169" s="89"/>
      <c r="N169" s="89">
        <v>1</v>
      </c>
      <c r="O169" s="89">
        <v>1.5</v>
      </c>
      <c r="P169" s="89">
        <v>1</v>
      </c>
      <c r="Q169" s="89">
        <v>1.5</v>
      </c>
      <c r="R169" s="89">
        <v>1</v>
      </c>
      <c r="S169" s="89">
        <v>1</v>
      </c>
      <c r="T169" s="89"/>
      <c r="U169" s="89">
        <v>2</v>
      </c>
      <c r="V169" s="89">
        <v>2</v>
      </c>
      <c r="W169" s="89">
        <v>2</v>
      </c>
      <c r="X169" s="89">
        <v>2</v>
      </c>
      <c r="Y169" s="89"/>
      <c r="Z169" s="89"/>
      <c r="AA169" s="89"/>
      <c r="AB169" s="89">
        <v>2</v>
      </c>
      <c r="AC169" s="89"/>
      <c r="AD169" s="89">
        <v>2</v>
      </c>
      <c r="AE169" s="89">
        <v>2</v>
      </c>
      <c r="AF169" s="89">
        <v>2</v>
      </c>
      <c r="AG169" s="89"/>
      <c r="AH169" s="89"/>
      <c r="AI169" s="89">
        <v>2</v>
      </c>
      <c r="AJ169" s="89">
        <v>2</v>
      </c>
      <c r="AK169" s="89">
        <v>2</v>
      </c>
      <c r="AL169" s="89">
        <v>2</v>
      </c>
      <c r="AM169" s="89">
        <v>2</v>
      </c>
      <c r="AN169" s="90">
        <f t="shared" si="12"/>
        <v>37.5</v>
      </c>
      <c r="AO169" s="86">
        <v>190000</v>
      </c>
      <c r="AP169" s="91">
        <f t="shared" si="13"/>
        <v>7125000</v>
      </c>
    </row>
    <row r="170" spans="1:42" ht="24.95" customHeight="1">
      <c r="A170" s="84">
        <v>165</v>
      </c>
      <c r="B170" s="84" t="s">
        <v>567</v>
      </c>
      <c r="C170" s="85" t="s">
        <v>596</v>
      </c>
      <c r="D170" s="36" t="s">
        <v>225</v>
      </c>
      <c r="E170" s="36" t="s">
        <v>626</v>
      </c>
      <c r="F170" s="94" t="s">
        <v>297</v>
      </c>
      <c r="G170" s="87" t="s">
        <v>567</v>
      </c>
      <c r="H170" s="88" t="s">
        <v>656</v>
      </c>
      <c r="I170" s="89">
        <v>1</v>
      </c>
      <c r="J170" s="89">
        <v>1.5</v>
      </c>
      <c r="K170" s="89">
        <v>1</v>
      </c>
      <c r="L170" s="89">
        <v>1</v>
      </c>
      <c r="M170" s="89"/>
      <c r="N170" s="89">
        <v>1</v>
      </c>
      <c r="O170" s="89">
        <v>1</v>
      </c>
      <c r="P170" s="89"/>
      <c r="Q170" s="89">
        <v>1.5</v>
      </c>
      <c r="R170" s="89">
        <v>1</v>
      </c>
      <c r="S170" s="89">
        <v>0.5</v>
      </c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90">
        <f t="shared" si="12"/>
        <v>9.5</v>
      </c>
      <c r="AO170" s="86">
        <v>160000</v>
      </c>
      <c r="AP170" s="91">
        <f t="shared" si="13"/>
        <v>1520000</v>
      </c>
    </row>
    <row r="171" spans="1:42" ht="24.95" customHeight="1">
      <c r="A171" s="84">
        <v>166</v>
      </c>
      <c r="B171" s="84" t="s">
        <v>1025</v>
      </c>
      <c r="C171" s="85" t="s">
        <v>1074</v>
      </c>
      <c r="D171" s="36" t="s">
        <v>225</v>
      </c>
      <c r="E171" s="36" t="s">
        <v>1127</v>
      </c>
      <c r="F171" s="94" t="s">
        <v>297</v>
      </c>
      <c r="G171" s="87" t="s">
        <v>1025</v>
      </c>
      <c r="H171" s="88" t="s">
        <v>1127</v>
      </c>
      <c r="I171" s="89"/>
      <c r="J171" s="89"/>
      <c r="K171" s="89"/>
      <c r="L171" s="89"/>
      <c r="M171" s="89"/>
      <c r="N171" s="89">
        <v>0.6875</v>
      </c>
      <c r="O171" s="89">
        <v>1.125</v>
      </c>
      <c r="P171" s="89"/>
      <c r="Q171" s="89">
        <v>0.625</v>
      </c>
      <c r="R171" s="89">
        <v>1</v>
      </c>
      <c r="S171" s="89"/>
      <c r="T171" s="89"/>
      <c r="U171" s="89">
        <v>1</v>
      </c>
      <c r="V171" s="89">
        <v>1.5</v>
      </c>
      <c r="W171" s="89">
        <v>1</v>
      </c>
      <c r="X171" s="89">
        <v>1.5</v>
      </c>
      <c r="Y171" s="89">
        <v>1.5</v>
      </c>
      <c r="Z171" s="89">
        <v>1</v>
      </c>
      <c r="AA171" s="89"/>
      <c r="AB171" s="89">
        <v>1</v>
      </c>
      <c r="AC171" s="89">
        <v>1.5</v>
      </c>
      <c r="AD171" s="89">
        <v>1</v>
      </c>
      <c r="AE171" s="89">
        <v>1.5</v>
      </c>
      <c r="AF171" s="89">
        <v>1</v>
      </c>
      <c r="AG171" s="89">
        <v>1</v>
      </c>
      <c r="AH171" s="89"/>
      <c r="AI171" s="89">
        <v>1</v>
      </c>
      <c r="AJ171" s="89">
        <v>1.5</v>
      </c>
      <c r="AK171" s="89">
        <v>1</v>
      </c>
      <c r="AL171" s="89">
        <v>1.5</v>
      </c>
      <c r="AM171" s="89">
        <v>1</v>
      </c>
      <c r="AN171" s="90">
        <f t="shared" si="12"/>
        <v>23.9375</v>
      </c>
      <c r="AO171" s="86">
        <v>170000</v>
      </c>
      <c r="AP171" s="91">
        <f t="shared" si="13"/>
        <v>4069375</v>
      </c>
    </row>
    <row r="172" spans="1:42" ht="24.95" customHeight="1">
      <c r="A172" s="84">
        <v>167</v>
      </c>
      <c r="B172" s="84" t="s">
        <v>742</v>
      </c>
      <c r="C172" s="85" t="s">
        <v>804</v>
      </c>
      <c r="D172" s="36" t="s">
        <v>225</v>
      </c>
      <c r="E172" s="36" t="s">
        <v>865</v>
      </c>
      <c r="F172" s="94" t="s">
        <v>226</v>
      </c>
      <c r="G172" s="87" t="s">
        <v>742</v>
      </c>
      <c r="H172" s="88" t="s">
        <v>924</v>
      </c>
      <c r="I172" s="89">
        <v>2</v>
      </c>
      <c r="J172" s="89">
        <v>2</v>
      </c>
      <c r="K172" s="89">
        <v>2</v>
      </c>
      <c r="L172" s="89"/>
      <c r="M172" s="89"/>
      <c r="N172" s="89">
        <v>2</v>
      </c>
      <c r="O172" s="89">
        <v>2</v>
      </c>
      <c r="P172" s="89">
        <v>2</v>
      </c>
      <c r="Q172" s="89">
        <v>2</v>
      </c>
      <c r="R172" s="89">
        <v>2</v>
      </c>
      <c r="S172" s="89"/>
      <c r="T172" s="89"/>
      <c r="U172" s="89">
        <v>1</v>
      </c>
      <c r="V172" s="89">
        <v>2</v>
      </c>
      <c r="W172" s="89">
        <v>2</v>
      </c>
      <c r="X172" s="89">
        <v>2</v>
      </c>
      <c r="Y172" s="89"/>
      <c r="Z172" s="89"/>
      <c r="AA172" s="89"/>
      <c r="AB172" s="89">
        <v>2</v>
      </c>
      <c r="AC172" s="89">
        <v>2</v>
      </c>
      <c r="AD172" s="89">
        <v>2</v>
      </c>
      <c r="AE172" s="89">
        <v>2</v>
      </c>
      <c r="AF172" s="89">
        <v>2</v>
      </c>
      <c r="AG172" s="89"/>
      <c r="AH172" s="89"/>
      <c r="AI172" s="89">
        <v>2</v>
      </c>
      <c r="AJ172" s="89">
        <v>2</v>
      </c>
      <c r="AK172" s="89">
        <v>2</v>
      </c>
      <c r="AL172" s="89">
        <v>2</v>
      </c>
      <c r="AM172" s="89">
        <v>2</v>
      </c>
      <c r="AN172" s="90">
        <f t="shared" si="12"/>
        <v>43</v>
      </c>
      <c r="AO172" s="86">
        <v>150000</v>
      </c>
      <c r="AP172" s="91">
        <f t="shared" si="13"/>
        <v>6450000</v>
      </c>
    </row>
    <row r="173" spans="1:42" ht="24.95" customHeight="1">
      <c r="A173" s="84">
        <v>168</v>
      </c>
      <c r="B173" s="84" t="s">
        <v>458</v>
      </c>
      <c r="C173" s="85" t="s">
        <v>480</v>
      </c>
      <c r="D173" s="36" t="s">
        <v>225</v>
      </c>
      <c r="E173" s="36" t="s">
        <v>502</v>
      </c>
      <c r="F173" s="94" t="s">
        <v>367</v>
      </c>
      <c r="G173" s="87" t="s">
        <v>458</v>
      </c>
      <c r="H173" s="88" t="s">
        <v>522</v>
      </c>
      <c r="I173" s="89">
        <v>2</v>
      </c>
      <c r="J173" s="89">
        <v>2</v>
      </c>
      <c r="K173" s="89">
        <v>2</v>
      </c>
      <c r="L173" s="89"/>
      <c r="M173" s="89"/>
      <c r="N173" s="89">
        <v>2</v>
      </c>
      <c r="O173" s="89">
        <v>2</v>
      </c>
      <c r="P173" s="89">
        <v>2</v>
      </c>
      <c r="Q173" s="89">
        <v>2</v>
      </c>
      <c r="R173" s="89">
        <v>2</v>
      </c>
      <c r="S173" s="89"/>
      <c r="T173" s="89"/>
      <c r="U173" s="89">
        <v>2</v>
      </c>
      <c r="V173" s="89">
        <v>2</v>
      </c>
      <c r="W173" s="89">
        <v>2</v>
      </c>
      <c r="X173" s="89">
        <v>2</v>
      </c>
      <c r="Y173" s="89"/>
      <c r="Z173" s="89"/>
      <c r="AA173" s="89"/>
      <c r="AB173" s="89">
        <v>2</v>
      </c>
      <c r="AC173" s="89">
        <v>2</v>
      </c>
      <c r="AD173" s="89">
        <v>2</v>
      </c>
      <c r="AE173" s="89">
        <v>2</v>
      </c>
      <c r="AF173" s="89">
        <v>2</v>
      </c>
      <c r="AG173" s="89"/>
      <c r="AH173" s="89"/>
      <c r="AI173" s="89"/>
      <c r="AJ173" s="89">
        <v>2</v>
      </c>
      <c r="AK173" s="89">
        <v>2</v>
      </c>
      <c r="AL173" s="89">
        <v>2</v>
      </c>
      <c r="AM173" s="89">
        <v>2</v>
      </c>
      <c r="AN173" s="90">
        <f t="shared" si="12"/>
        <v>42</v>
      </c>
      <c r="AO173" s="86">
        <v>170000</v>
      </c>
      <c r="AP173" s="91">
        <f t="shared" si="13"/>
        <v>7140000</v>
      </c>
    </row>
    <row r="174" spans="1:42" ht="24.95" customHeight="1">
      <c r="A174" s="84">
        <v>169</v>
      </c>
      <c r="B174" s="84" t="s">
        <v>743</v>
      </c>
      <c r="C174" s="85" t="s">
        <v>805</v>
      </c>
      <c r="D174" s="36" t="s">
        <v>1083</v>
      </c>
      <c r="E174" s="36" t="s">
        <v>866</v>
      </c>
      <c r="F174" s="96" t="s">
        <v>367</v>
      </c>
      <c r="G174" s="87" t="s">
        <v>743</v>
      </c>
      <c r="H174" s="88" t="s">
        <v>925</v>
      </c>
      <c r="I174" s="89">
        <v>0.5</v>
      </c>
      <c r="J174" s="89"/>
      <c r="K174" s="89">
        <v>1</v>
      </c>
      <c r="L174" s="89">
        <v>1</v>
      </c>
      <c r="M174" s="89"/>
      <c r="N174" s="89">
        <v>1</v>
      </c>
      <c r="O174" s="89">
        <v>1.5</v>
      </c>
      <c r="P174" s="89">
        <v>1</v>
      </c>
      <c r="Q174" s="89">
        <v>1.5</v>
      </c>
      <c r="R174" s="89">
        <v>1</v>
      </c>
      <c r="S174" s="89">
        <v>1</v>
      </c>
      <c r="T174" s="89"/>
      <c r="U174" s="89">
        <v>1</v>
      </c>
      <c r="V174" s="89">
        <v>1.5</v>
      </c>
      <c r="W174" s="89">
        <v>1</v>
      </c>
      <c r="X174" s="89">
        <v>1.5</v>
      </c>
      <c r="Y174" s="89">
        <v>1.5</v>
      </c>
      <c r="Z174" s="89">
        <v>0.5</v>
      </c>
      <c r="AA174" s="89"/>
      <c r="AB174" s="89">
        <v>1</v>
      </c>
      <c r="AC174" s="89">
        <v>1.5</v>
      </c>
      <c r="AD174" s="89">
        <v>1</v>
      </c>
      <c r="AE174" s="89">
        <v>1.5</v>
      </c>
      <c r="AF174" s="89">
        <v>1</v>
      </c>
      <c r="AG174" s="89"/>
      <c r="AH174" s="89"/>
      <c r="AI174" s="89">
        <v>1</v>
      </c>
      <c r="AJ174" s="89">
        <v>1.5</v>
      </c>
      <c r="AK174" s="89">
        <v>1</v>
      </c>
      <c r="AL174" s="89">
        <v>1.5</v>
      </c>
      <c r="AM174" s="89">
        <v>1</v>
      </c>
      <c r="AN174" s="90">
        <f t="shared" si="12"/>
        <v>28.5</v>
      </c>
      <c r="AO174" s="86">
        <v>170000</v>
      </c>
      <c r="AP174" s="91">
        <f t="shared" si="13"/>
        <v>4845000</v>
      </c>
    </row>
    <row r="175" spans="1:42" ht="24.95" customHeight="1">
      <c r="A175" s="84">
        <v>170</v>
      </c>
      <c r="B175" s="84" t="s">
        <v>771</v>
      </c>
      <c r="C175" s="85" t="s">
        <v>833</v>
      </c>
      <c r="D175" s="36" t="s">
        <v>227</v>
      </c>
      <c r="E175" s="36" t="s">
        <v>894</v>
      </c>
      <c r="F175" s="94" t="s">
        <v>230</v>
      </c>
      <c r="G175" s="87" t="s">
        <v>771</v>
      </c>
      <c r="H175" s="88" t="s">
        <v>955</v>
      </c>
      <c r="I175" s="89">
        <v>1</v>
      </c>
      <c r="J175" s="89">
        <v>1.5</v>
      </c>
      <c r="K175" s="89">
        <v>1</v>
      </c>
      <c r="L175" s="89">
        <v>1</v>
      </c>
      <c r="M175" s="89"/>
      <c r="N175" s="89">
        <v>1</v>
      </c>
      <c r="O175" s="89">
        <v>1.5</v>
      </c>
      <c r="P175" s="89">
        <v>1</v>
      </c>
      <c r="Q175" s="89">
        <v>1.5</v>
      </c>
      <c r="R175" s="89">
        <v>1</v>
      </c>
      <c r="S175" s="89">
        <v>1</v>
      </c>
      <c r="T175" s="89"/>
      <c r="U175" s="89">
        <v>2</v>
      </c>
      <c r="V175" s="89">
        <v>2</v>
      </c>
      <c r="W175" s="89">
        <v>2</v>
      </c>
      <c r="X175" s="89">
        <v>2</v>
      </c>
      <c r="Y175" s="89"/>
      <c r="Z175" s="89"/>
      <c r="AA175" s="89"/>
      <c r="AB175" s="89">
        <v>2</v>
      </c>
      <c r="AC175" s="89">
        <v>2</v>
      </c>
      <c r="AD175" s="89">
        <v>2</v>
      </c>
      <c r="AE175" s="89">
        <v>2</v>
      </c>
      <c r="AF175" s="89">
        <v>2</v>
      </c>
      <c r="AG175" s="89"/>
      <c r="AH175" s="89"/>
      <c r="AI175" s="89">
        <v>2</v>
      </c>
      <c r="AJ175" s="89">
        <v>2</v>
      </c>
      <c r="AK175" s="89">
        <v>2</v>
      </c>
      <c r="AL175" s="89">
        <v>2</v>
      </c>
      <c r="AM175" s="89">
        <v>2</v>
      </c>
      <c r="AN175" s="90">
        <f t="shared" si="12"/>
        <v>39.5</v>
      </c>
      <c r="AO175" s="86">
        <v>240000</v>
      </c>
      <c r="AP175" s="91">
        <f t="shared" si="13"/>
        <v>9480000</v>
      </c>
    </row>
    <row r="176" spans="1:42" ht="24.95" customHeight="1">
      <c r="A176" s="84">
        <v>171</v>
      </c>
      <c r="B176" s="84" t="s">
        <v>744</v>
      </c>
      <c r="C176" s="85" t="s">
        <v>806</v>
      </c>
      <c r="D176" s="128" t="s">
        <v>225</v>
      </c>
      <c r="E176" s="126" t="s">
        <v>867</v>
      </c>
      <c r="F176" s="94" t="s">
        <v>226</v>
      </c>
      <c r="G176" s="87" t="s">
        <v>744</v>
      </c>
      <c r="H176" s="88" t="s">
        <v>926</v>
      </c>
      <c r="I176" s="89">
        <v>2</v>
      </c>
      <c r="J176" s="89">
        <v>2</v>
      </c>
      <c r="K176" s="89">
        <v>2</v>
      </c>
      <c r="L176" s="89"/>
      <c r="M176" s="89"/>
      <c r="N176" s="89">
        <v>2</v>
      </c>
      <c r="O176" s="89">
        <v>2</v>
      </c>
      <c r="P176" s="89">
        <v>2</v>
      </c>
      <c r="Q176" s="89">
        <v>2</v>
      </c>
      <c r="R176" s="89">
        <v>2</v>
      </c>
      <c r="S176" s="89"/>
      <c r="T176" s="89"/>
      <c r="U176" s="89">
        <v>2</v>
      </c>
      <c r="V176" s="89">
        <v>2</v>
      </c>
      <c r="W176" s="89">
        <v>2</v>
      </c>
      <c r="X176" s="89">
        <v>2</v>
      </c>
      <c r="Y176" s="89"/>
      <c r="Z176" s="89"/>
      <c r="AA176" s="89"/>
      <c r="AB176" s="89">
        <v>2</v>
      </c>
      <c r="AC176" s="89">
        <v>2</v>
      </c>
      <c r="AD176" s="89">
        <v>2</v>
      </c>
      <c r="AE176" s="89">
        <v>2</v>
      </c>
      <c r="AF176" s="89">
        <v>2</v>
      </c>
      <c r="AG176" s="89"/>
      <c r="AH176" s="89"/>
      <c r="AI176" s="89">
        <v>2</v>
      </c>
      <c r="AJ176" s="89">
        <v>2</v>
      </c>
      <c r="AK176" s="89">
        <v>2</v>
      </c>
      <c r="AL176" s="89">
        <v>2</v>
      </c>
      <c r="AM176" s="89">
        <v>2</v>
      </c>
      <c r="AN176" s="90">
        <f t="shared" si="12"/>
        <v>44</v>
      </c>
      <c r="AO176" s="86">
        <v>160000</v>
      </c>
      <c r="AP176" s="91">
        <f t="shared" si="13"/>
        <v>7040000</v>
      </c>
    </row>
    <row r="177" spans="1:42" ht="24.95" customHeight="1">
      <c r="A177" s="84">
        <v>172</v>
      </c>
      <c r="B177" s="84" t="s">
        <v>745</v>
      </c>
      <c r="C177" s="85" t="s">
        <v>807</v>
      </c>
      <c r="D177" s="36" t="s">
        <v>225</v>
      </c>
      <c r="E177" s="126" t="s">
        <v>868</v>
      </c>
      <c r="F177" s="94" t="s">
        <v>229</v>
      </c>
      <c r="G177" s="87" t="s">
        <v>745</v>
      </c>
      <c r="H177" s="88" t="s">
        <v>927</v>
      </c>
      <c r="I177" s="89">
        <v>2</v>
      </c>
      <c r="J177" s="89">
        <v>2</v>
      </c>
      <c r="K177" s="89">
        <v>2</v>
      </c>
      <c r="L177" s="89"/>
      <c r="M177" s="89"/>
      <c r="N177" s="89">
        <v>2</v>
      </c>
      <c r="O177" s="89">
        <v>2</v>
      </c>
      <c r="P177" s="89">
        <v>2</v>
      </c>
      <c r="Q177" s="89">
        <v>2</v>
      </c>
      <c r="R177" s="89">
        <v>2</v>
      </c>
      <c r="S177" s="89"/>
      <c r="T177" s="89"/>
      <c r="U177" s="89">
        <v>2</v>
      </c>
      <c r="V177" s="89">
        <v>2</v>
      </c>
      <c r="W177" s="89">
        <v>2</v>
      </c>
      <c r="X177" s="89">
        <v>2</v>
      </c>
      <c r="Y177" s="89"/>
      <c r="Z177" s="89"/>
      <c r="AA177" s="89"/>
      <c r="AB177" s="89">
        <v>2</v>
      </c>
      <c r="AC177" s="89">
        <v>2</v>
      </c>
      <c r="AD177" s="89">
        <v>2</v>
      </c>
      <c r="AE177" s="89">
        <v>2</v>
      </c>
      <c r="AF177" s="89">
        <v>2</v>
      </c>
      <c r="AG177" s="89"/>
      <c r="AH177" s="89"/>
      <c r="AI177" s="89">
        <v>2</v>
      </c>
      <c r="AJ177" s="89">
        <v>2</v>
      </c>
      <c r="AK177" s="89">
        <v>2</v>
      </c>
      <c r="AL177" s="89">
        <v>2</v>
      </c>
      <c r="AM177" s="89">
        <v>2</v>
      </c>
      <c r="AN177" s="90">
        <f t="shared" si="12"/>
        <v>44</v>
      </c>
      <c r="AO177" s="86">
        <v>170000</v>
      </c>
      <c r="AP177" s="91">
        <f t="shared" si="13"/>
        <v>7480000</v>
      </c>
    </row>
    <row r="178" spans="1:42" ht="24.95" customHeight="1">
      <c r="A178" s="84">
        <v>173</v>
      </c>
      <c r="B178" s="84" t="s">
        <v>422</v>
      </c>
      <c r="C178" s="85" t="s">
        <v>423</v>
      </c>
      <c r="D178" s="128" t="s">
        <v>225</v>
      </c>
      <c r="E178" s="126" t="s">
        <v>424</v>
      </c>
      <c r="F178" s="94" t="s">
        <v>296</v>
      </c>
      <c r="G178" s="87" t="s">
        <v>422</v>
      </c>
      <c r="H178" s="88" t="s">
        <v>425</v>
      </c>
      <c r="I178" s="89">
        <v>2</v>
      </c>
      <c r="J178" s="89">
        <v>2</v>
      </c>
      <c r="K178" s="89">
        <v>2</v>
      </c>
      <c r="L178" s="89"/>
      <c r="M178" s="89"/>
      <c r="N178" s="89">
        <v>2</v>
      </c>
      <c r="O178" s="89">
        <v>2</v>
      </c>
      <c r="P178" s="89">
        <v>2</v>
      </c>
      <c r="Q178" s="89">
        <v>2</v>
      </c>
      <c r="R178" s="89">
        <v>2</v>
      </c>
      <c r="S178" s="89"/>
      <c r="T178" s="89"/>
      <c r="U178" s="89">
        <v>2</v>
      </c>
      <c r="V178" s="89">
        <v>2</v>
      </c>
      <c r="W178" s="89">
        <v>2</v>
      </c>
      <c r="X178" s="89">
        <v>2</v>
      </c>
      <c r="Y178" s="89"/>
      <c r="Z178" s="89"/>
      <c r="AA178" s="89"/>
      <c r="AB178" s="89">
        <v>2</v>
      </c>
      <c r="AC178" s="89">
        <v>2</v>
      </c>
      <c r="AD178" s="89">
        <v>2</v>
      </c>
      <c r="AE178" s="89">
        <v>2</v>
      </c>
      <c r="AF178" s="89">
        <v>2</v>
      </c>
      <c r="AG178" s="89"/>
      <c r="AH178" s="89"/>
      <c r="AI178" s="89">
        <v>2</v>
      </c>
      <c r="AJ178" s="89">
        <v>2</v>
      </c>
      <c r="AK178" s="89">
        <v>2</v>
      </c>
      <c r="AL178" s="89">
        <v>2</v>
      </c>
      <c r="AM178" s="89">
        <v>2</v>
      </c>
      <c r="AN178" s="90">
        <f t="shared" si="12"/>
        <v>44</v>
      </c>
      <c r="AO178" s="86">
        <v>170000</v>
      </c>
      <c r="AP178" s="91">
        <f t="shared" si="13"/>
        <v>7480000</v>
      </c>
    </row>
    <row r="179" spans="1:42" ht="24.95" customHeight="1">
      <c r="A179" s="84">
        <v>174</v>
      </c>
      <c r="B179" s="84" t="s">
        <v>746</v>
      </c>
      <c r="C179" s="85" t="s">
        <v>808</v>
      </c>
      <c r="D179" s="36" t="s">
        <v>340</v>
      </c>
      <c r="E179" s="126" t="s">
        <v>869</v>
      </c>
      <c r="F179" s="94" t="s">
        <v>304</v>
      </c>
      <c r="G179" s="87" t="s">
        <v>746</v>
      </c>
      <c r="H179" s="88" t="s">
        <v>928</v>
      </c>
      <c r="I179" s="89">
        <v>1</v>
      </c>
      <c r="J179" s="89">
        <v>1.5</v>
      </c>
      <c r="K179" s="89">
        <v>1</v>
      </c>
      <c r="L179" s="89">
        <v>1</v>
      </c>
      <c r="M179" s="89"/>
      <c r="N179" s="89">
        <v>2</v>
      </c>
      <c r="O179" s="89">
        <v>2</v>
      </c>
      <c r="P179" s="89">
        <v>2</v>
      </c>
      <c r="Q179" s="89">
        <v>2</v>
      </c>
      <c r="R179" s="89">
        <v>2</v>
      </c>
      <c r="S179" s="89"/>
      <c r="T179" s="89"/>
      <c r="U179" s="89">
        <v>2</v>
      </c>
      <c r="V179" s="89">
        <v>2</v>
      </c>
      <c r="W179" s="89">
        <v>2</v>
      </c>
      <c r="X179" s="89">
        <v>2</v>
      </c>
      <c r="Y179" s="89"/>
      <c r="Z179" s="89"/>
      <c r="AA179" s="89"/>
      <c r="AB179" s="89">
        <v>2</v>
      </c>
      <c r="AC179" s="89">
        <v>2</v>
      </c>
      <c r="AD179" s="89">
        <v>2</v>
      </c>
      <c r="AE179" s="89">
        <v>2</v>
      </c>
      <c r="AF179" s="89">
        <v>2</v>
      </c>
      <c r="AG179" s="89"/>
      <c r="AH179" s="89"/>
      <c r="AI179" s="89">
        <v>2</v>
      </c>
      <c r="AJ179" s="89">
        <v>2</v>
      </c>
      <c r="AK179" s="89">
        <v>2</v>
      </c>
      <c r="AL179" s="89">
        <v>2</v>
      </c>
      <c r="AM179" s="89">
        <v>2</v>
      </c>
      <c r="AN179" s="90">
        <f t="shared" si="12"/>
        <v>42.5</v>
      </c>
      <c r="AO179" s="86">
        <v>200000</v>
      </c>
      <c r="AP179" s="91">
        <f t="shared" si="13"/>
        <v>8500000</v>
      </c>
    </row>
    <row r="180" spans="1:42" ht="24.95" customHeight="1">
      <c r="A180" s="84">
        <v>175</v>
      </c>
      <c r="B180" s="84" t="s">
        <v>459</v>
      </c>
      <c r="C180" s="85" t="s">
        <v>481</v>
      </c>
      <c r="D180" s="36" t="s">
        <v>225</v>
      </c>
      <c r="E180" s="36" t="s">
        <v>503</v>
      </c>
      <c r="F180" s="96" t="s">
        <v>297</v>
      </c>
      <c r="G180" s="87" t="s">
        <v>459</v>
      </c>
      <c r="H180" s="88" t="s">
        <v>523</v>
      </c>
      <c r="I180" s="89">
        <v>2</v>
      </c>
      <c r="J180" s="89">
        <v>2</v>
      </c>
      <c r="K180" s="89">
        <v>2</v>
      </c>
      <c r="L180" s="89"/>
      <c r="M180" s="89"/>
      <c r="N180" s="89">
        <v>2</v>
      </c>
      <c r="O180" s="89">
        <v>2</v>
      </c>
      <c r="P180" s="89">
        <v>2</v>
      </c>
      <c r="Q180" s="89">
        <v>2</v>
      </c>
      <c r="R180" s="89">
        <v>2</v>
      </c>
      <c r="S180" s="89"/>
      <c r="T180" s="89"/>
      <c r="U180" s="89">
        <v>2</v>
      </c>
      <c r="V180" s="89">
        <v>2</v>
      </c>
      <c r="W180" s="89">
        <v>2</v>
      </c>
      <c r="X180" s="89">
        <v>2</v>
      </c>
      <c r="Y180" s="89"/>
      <c r="Z180" s="89"/>
      <c r="AA180" s="89"/>
      <c r="AB180" s="89"/>
      <c r="AC180" s="89">
        <v>2</v>
      </c>
      <c r="AD180" s="89">
        <v>2</v>
      </c>
      <c r="AE180" s="89">
        <v>2</v>
      </c>
      <c r="AF180" s="89">
        <v>2</v>
      </c>
      <c r="AG180" s="89"/>
      <c r="AH180" s="89"/>
      <c r="AI180" s="89">
        <v>2</v>
      </c>
      <c r="AJ180" s="89">
        <v>2</v>
      </c>
      <c r="AK180" s="89">
        <v>2</v>
      </c>
      <c r="AL180" s="89">
        <v>2</v>
      </c>
      <c r="AM180" s="89">
        <v>2</v>
      </c>
      <c r="AN180" s="90">
        <f t="shared" si="12"/>
        <v>42</v>
      </c>
      <c r="AO180" s="86">
        <v>150000</v>
      </c>
      <c r="AP180" s="91">
        <f t="shared" si="13"/>
        <v>6300000</v>
      </c>
    </row>
    <row r="181" spans="1:42" ht="24.95" customHeight="1">
      <c r="A181" s="84">
        <v>176</v>
      </c>
      <c r="B181" s="84" t="s">
        <v>426</v>
      </c>
      <c r="C181" s="85" t="s">
        <v>427</v>
      </c>
      <c r="D181" s="36" t="s">
        <v>228</v>
      </c>
      <c r="E181" s="36" t="s">
        <v>428</v>
      </c>
      <c r="F181" s="94" t="s">
        <v>230</v>
      </c>
      <c r="G181" s="87" t="s">
        <v>426</v>
      </c>
      <c r="H181" s="88" t="s">
        <v>429</v>
      </c>
      <c r="I181" s="89">
        <v>2</v>
      </c>
      <c r="J181" s="89">
        <v>2</v>
      </c>
      <c r="K181" s="89">
        <v>2</v>
      </c>
      <c r="L181" s="89"/>
      <c r="M181" s="89"/>
      <c r="N181" s="89">
        <v>2</v>
      </c>
      <c r="O181" s="89">
        <v>2</v>
      </c>
      <c r="P181" s="89">
        <v>2</v>
      </c>
      <c r="Q181" s="89">
        <v>2</v>
      </c>
      <c r="R181" s="89">
        <v>2</v>
      </c>
      <c r="S181" s="89"/>
      <c r="T181" s="89"/>
      <c r="U181" s="89">
        <v>2</v>
      </c>
      <c r="V181" s="89">
        <v>2</v>
      </c>
      <c r="W181" s="89">
        <v>2</v>
      </c>
      <c r="X181" s="89">
        <v>2</v>
      </c>
      <c r="Y181" s="89"/>
      <c r="Z181" s="89"/>
      <c r="AA181" s="89"/>
      <c r="AB181" s="89">
        <v>2</v>
      </c>
      <c r="AC181" s="89">
        <v>2</v>
      </c>
      <c r="AD181" s="89">
        <v>2</v>
      </c>
      <c r="AE181" s="89">
        <v>2</v>
      </c>
      <c r="AF181" s="89">
        <v>2</v>
      </c>
      <c r="AG181" s="89"/>
      <c r="AH181" s="89"/>
      <c r="AI181" s="89">
        <v>2</v>
      </c>
      <c r="AJ181" s="89">
        <v>2</v>
      </c>
      <c r="AK181" s="89">
        <v>2</v>
      </c>
      <c r="AL181" s="89">
        <v>2</v>
      </c>
      <c r="AM181" s="89">
        <v>2</v>
      </c>
      <c r="AN181" s="90">
        <f t="shared" si="12"/>
        <v>44</v>
      </c>
      <c r="AO181" s="86">
        <v>190000</v>
      </c>
      <c r="AP181" s="91">
        <f t="shared" si="13"/>
        <v>8360000</v>
      </c>
    </row>
    <row r="182" spans="1:42" ht="24.95" customHeight="1">
      <c r="A182" s="84">
        <v>177</v>
      </c>
      <c r="B182" s="84" t="s">
        <v>772</v>
      </c>
      <c r="C182" s="85" t="s">
        <v>834</v>
      </c>
      <c r="D182" s="36" t="s">
        <v>227</v>
      </c>
      <c r="E182" s="126" t="s">
        <v>895</v>
      </c>
      <c r="F182" s="96" t="s">
        <v>305</v>
      </c>
      <c r="G182" s="87" t="s">
        <v>772</v>
      </c>
      <c r="H182" s="88" t="s">
        <v>956</v>
      </c>
      <c r="I182" s="89">
        <v>1</v>
      </c>
      <c r="J182" s="89">
        <v>1.5</v>
      </c>
      <c r="K182" s="89">
        <v>1</v>
      </c>
      <c r="L182" s="89">
        <v>1</v>
      </c>
      <c r="M182" s="89"/>
      <c r="N182" s="89">
        <v>1</v>
      </c>
      <c r="O182" s="89">
        <v>1.5</v>
      </c>
      <c r="P182" s="89">
        <v>1</v>
      </c>
      <c r="Q182" s="89">
        <v>1.5</v>
      </c>
      <c r="R182" s="89">
        <v>1</v>
      </c>
      <c r="S182" s="89">
        <v>1</v>
      </c>
      <c r="T182" s="89"/>
      <c r="U182" s="89">
        <v>1</v>
      </c>
      <c r="V182" s="89">
        <v>1.5</v>
      </c>
      <c r="W182" s="89">
        <v>1</v>
      </c>
      <c r="X182" s="89">
        <v>1.5</v>
      </c>
      <c r="Y182" s="89">
        <v>1.5</v>
      </c>
      <c r="Z182" s="89"/>
      <c r="AA182" s="89"/>
      <c r="AB182" s="89"/>
      <c r="AC182" s="89">
        <v>2</v>
      </c>
      <c r="AD182" s="89">
        <v>2</v>
      </c>
      <c r="AE182" s="89">
        <v>2</v>
      </c>
      <c r="AF182" s="89">
        <v>2</v>
      </c>
      <c r="AG182" s="89"/>
      <c r="AH182" s="89"/>
      <c r="AI182" s="89">
        <v>2</v>
      </c>
      <c r="AJ182" s="89">
        <v>2</v>
      </c>
      <c r="AK182" s="89">
        <v>2</v>
      </c>
      <c r="AL182" s="89">
        <v>2</v>
      </c>
      <c r="AM182" s="89">
        <v>2</v>
      </c>
      <c r="AN182" s="90">
        <f t="shared" si="12"/>
        <v>36</v>
      </c>
      <c r="AO182" s="86">
        <v>240000</v>
      </c>
      <c r="AP182" s="91">
        <f t="shared" si="13"/>
        <v>8640000</v>
      </c>
    </row>
    <row r="183" spans="1:42" ht="24.95" customHeight="1">
      <c r="A183" s="84">
        <v>178</v>
      </c>
      <c r="B183" s="84" t="s">
        <v>1026</v>
      </c>
      <c r="C183" s="85" t="s">
        <v>1075</v>
      </c>
      <c r="D183" s="36" t="s">
        <v>225</v>
      </c>
      <c r="E183" s="126" t="s">
        <v>1128</v>
      </c>
      <c r="F183" s="94" t="s">
        <v>230</v>
      </c>
      <c r="G183" s="87" t="s">
        <v>1026</v>
      </c>
      <c r="H183" s="88" t="s">
        <v>1182</v>
      </c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>
        <v>0.6875</v>
      </c>
      <c r="V183" s="89">
        <v>1.125</v>
      </c>
      <c r="W183" s="89"/>
      <c r="X183" s="89">
        <v>0.625</v>
      </c>
      <c r="Y183" s="89">
        <v>1.5</v>
      </c>
      <c r="Z183" s="89"/>
      <c r="AA183" s="89"/>
      <c r="AB183" s="89">
        <v>1</v>
      </c>
      <c r="AC183" s="89">
        <v>1.5</v>
      </c>
      <c r="AD183" s="89">
        <v>1</v>
      </c>
      <c r="AE183" s="89">
        <v>1.5</v>
      </c>
      <c r="AF183" s="89">
        <v>1</v>
      </c>
      <c r="AG183" s="89">
        <v>1</v>
      </c>
      <c r="AH183" s="89"/>
      <c r="AI183" s="89">
        <v>1</v>
      </c>
      <c r="AJ183" s="89">
        <v>1.5</v>
      </c>
      <c r="AK183" s="89">
        <v>1</v>
      </c>
      <c r="AL183" s="89">
        <v>1.5</v>
      </c>
      <c r="AM183" s="89">
        <v>1</v>
      </c>
      <c r="AN183" s="90">
        <f t="shared" si="12"/>
        <v>16.9375</v>
      </c>
      <c r="AO183" s="86">
        <v>170000</v>
      </c>
      <c r="AP183" s="91">
        <f t="shared" si="13"/>
        <v>2879375</v>
      </c>
    </row>
    <row r="184" spans="1:42" ht="24.95" customHeight="1">
      <c r="A184" s="84">
        <v>179</v>
      </c>
      <c r="B184" s="84" t="s">
        <v>1027</v>
      </c>
      <c r="C184" s="85" t="s">
        <v>1076</v>
      </c>
      <c r="D184" s="36" t="s">
        <v>225</v>
      </c>
      <c r="E184" s="36" t="s">
        <v>1129</v>
      </c>
      <c r="F184" s="94" t="s">
        <v>229</v>
      </c>
      <c r="G184" s="87" t="s">
        <v>1027</v>
      </c>
      <c r="H184" s="88" t="s">
        <v>1183</v>
      </c>
      <c r="I184" s="89"/>
      <c r="J184" s="89"/>
      <c r="K184" s="89"/>
      <c r="L184" s="89"/>
      <c r="M184" s="89"/>
      <c r="N184" s="89">
        <v>0.6875</v>
      </c>
      <c r="O184" s="89">
        <v>1.125</v>
      </c>
      <c r="P184" s="89"/>
      <c r="Q184" s="89">
        <v>0.625</v>
      </c>
      <c r="R184" s="89">
        <v>1</v>
      </c>
      <c r="S184" s="89"/>
      <c r="T184" s="89"/>
      <c r="U184" s="89">
        <v>1</v>
      </c>
      <c r="V184" s="89">
        <v>1.5</v>
      </c>
      <c r="W184" s="89">
        <v>1</v>
      </c>
      <c r="X184" s="89">
        <v>1.5</v>
      </c>
      <c r="Y184" s="89"/>
      <c r="Z184" s="89"/>
      <c r="AA184" s="89"/>
      <c r="AB184" s="89"/>
      <c r="AC184" s="89">
        <v>2</v>
      </c>
      <c r="AD184" s="89">
        <v>2</v>
      </c>
      <c r="AE184" s="89">
        <v>2</v>
      </c>
      <c r="AF184" s="89">
        <v>2</v>
      </c>
      <c r="AG184" s="89"/>
      <c r="AH184" s="89"/>
      <c r="AI184" s="89">
        <v>2</v>
      </c>
      <c r="AJ184" s="89">
        <v>2</v>
      </c>
      <c r="AK184" s="89">
        <v>2</v>
      </c>
      <c r="AL184" s="89">
        <v>2</v>
      </c>
      <c r="AM184" s="89">
        <v>2</v>
      </c>
      <c r="AN184" s="90">
        <f t="shared" si="12"/>
        <v>26.4375</v>
      </c>
      <c r="AO184" s="86">
        <v>160000</v>
      </c>
      <c r="AP184" s="91">
        <f t="shared" si="13"/>
        <v>4230000</v>
      </c>
    </row>
    <row r="185" spans="1:42" ht="24.95" customHeight="1">
      <c r="A185" s="84">
        <v>180</v>
      </c>
      <c r="B185" s="84" t="s">
        <v>460</v>
      </c>
      <c r="C185" s="85" t="s">
        <v>482</v>
      </c>
      <c r="D185" s="36" t="s">
        <v>225</v>
      </c>
      <c r="E185" s="36" t="s">
        <v>504</v>
      </c>
      <c r="F185" s="94" t="s">
        <v>226</v>
      </c>
      <c r="G185" s="87" t="s">
        <v>460</v>
      </c>
      <c r="H185" s="88" t="s">
        <v>524</v>
      </c>
      <c r="I185" s="89">
        <v>2</v>
      </c>
      <c r="J185" s="89">
        <v>2</v>
      </c>
      <c r="K185" s="89">
        <v>2</v>
      </c>
      <c r="L185" s="89"/>
      <c r="M185" s="89"/>
      <c r="N185" s="89">
        <v>2</v>
      </c>
      <c r="O185" s="89">
        <v>2</v>
      </c>
      <c r="P185" s="89">
        <v>2.5</v>
      </c>
      <c r="Q185" s="89">
        <v>2</v>
      </c>
      <c r="R185" s="89">
        <v>2</v>
      </c>
      <c r="S185" s="89"/>
      <c r="T185" s="89"/>
      <c r="U185" s="89">
        <v>2</v>
      </c>
      <c r="V185" s="89">
        <v>2</v>
      </c>
      <c r="W185" s="89">
        <v>2</v>
      </c>
      <c r="X185" s="89">
        <v>2</v>
      </c>
      <c r="Y185" s="89"/>
      <c r="Z185" s="89"/>
      <c r="AA185" s="89"/>
      <c r="AB185" s="89">
        <v>2</v>
      </c>
      <c r="AC185" s="89">
        <v>2</v>
      </c>
      <c r="AD185" s="89">
        <v>2</v>
      </c>
      <c r="AE185" s="89">
        <v>2</v>
      </c>
      <c r="AF185" s="89">
        <v>0.5</v>
      </c>
      <c r="AG185" s="89"/>
      <c r="AH185" s="89"/>
      <c r="AI185" s="89">
        <v>2</v>
      </c>
      <c r="AJ185" s="89">
        <v>2</v>
      </c>
      <c r="AK185" s="89">
        <v>2</v>
      </c>
      <c r="AL185" s="89">
        <v>2</v>
      </c>
      <c r="AM185" s="89">
        <v>2</v>
      </c>
      <c r="AN185" s="90">
        <f t="shared" si="12"/>
        <v>43</v>
      </c>
      <c r="AO185" s="86">
        <v>170000</v>
      </c>
      <c r="AP185" s="91">
        <f t="shared" si="13"/>
        <v>7310000</v>
      </c>
    </row>
    <row r="186" spans="1:42" ht="24.95" customHeight="1">
      <c r="A186" s="84">
        <v>181</v>
      </c>
      <c r="B186" s="84" t="s">
        <v>1028</v>
      </c>
      <c r="C186" s="85" t="s">
        <v>1077</v>
      </c>
      <c r="D186" s="36" t="s">
        <v>228</v>
      </c>
      <c r="E186" s="36" t="s">
        <v>1130</v>
      </c>
      <c r="F186" s="94" t="s">
        <v>230</v>
      </c>
      <c r="G186" s="87" t="s">
        <v>1028</v>
      </c>
      <c r="H186" s="88" t="s">
        <v>1184</v>
      </c>
      <c r="I186" s="89"/>
      <c r="J186" s="89"/>
      <c r="K186" s="89"/>
      <c r="L186" s="89"/>
      <c r="M186" s="89"/>
      <c r="N186" s="89">
        <v>0.6875</v>
      </c>
      <c r="O186" s="89">
        <v>1.125</v>
      </c>
      <c r="P186" s="89">
        <v>0.5</v>
      </c>
      <c r="Q186" s="89">
        <v>0.625</v>
      </c>
      <c r="R186" s="89">
        <v>1</v>
      </c>
      <c r="S186" s="89"/>
      <c r="T186" s="89"/>
      <c r="U186" s="89">
        <v>1</v>
      </c>
      <c r="V186" s="89">
        <v>1.5</v>
      </c>
      <c r="W186" s="89">
        <v>0.5</v>
      </c>
      <c r="X186" s="89">
        <v>1.5</v>
      </c>
      <c r="Y186" s="89">
        <v>1.5</v>
      </c>
      <c r="Z186" s="89">
        <v>1</v>
      </c>
      <c r="AA186" s="89"/>
      <c r="AB186" s="89"/>
      <c r="AC186" s="89">
        <v>2</v>
      </c>
      <c r="AD186" s="89">
        <v>2</v>
      </c>
      <c r="AE186" s="89">
        <v>2</v>
      </c>
      <c r="AF186" s="89">
        <v>2</v>
      </c>
      <c r="AG186" s="89"/>
      <c r="AH186" s="89"/>
      <c r="AI186" s="89">
        <v>2</v>
      </c>
      <c r="AJ186" s="89">
        <v>2</v>
      </c>
      <c r="AK186" s="89">
        <v>2</v>
      </c>
      <c r="AL186" s="89">
        <v>2</v>
      </c>
      <c r="AM186" s="89">
        <v>2</v>
      </c>
      <c r="AN186" s="90">
        <f t="shared" si="12"/>
        <v>28.9375</v>
      </c>
      <c r="AO186" s="86">
        <v>230000</v>
      </c>
      <c r="AP186" s="91">
        <f t="shared" si="13"/>
        <v>6655625</v>
      </c>
    </row>
    <row r="187" spans="1:42" ht="24.95" customHeight="1">
      <c r="A187" s="84">
        <v>182</v>
      </c>
      <c r="B187" s="84" t="s">
        <v>557</v>
      </c>
      <c r="C187" s="85" t="s">
        <v>587</v>
      </c>
      <c r="D187" s="36" t="s">
        <v>225</v>
      </c>
      <c r="E187" s="36" t="s">
        <v>616</v>
      </c>
      <c r="F187" s="94" t="s">
        <v>229</v>
      </c>
      <c r="G187" s="87" t="s">
        <v>557</v>
      </c>
      <c r="H187" s="88" t="s">
        <v>646</v>
      </c>
      <c r="I187" s="89">
        <v>1</v>
      </c>
      <c r="J187" s="89">
        <v>1.5</v>
      </c>
      <c r="K187" s="89">
        <v>1</v>
      </c>
      <c r="L187" s="89">
        <v>0.5</v>
      </c>
      <c r="M187" s="89"/>
      <c r="N187" s="89">
        <v>2</v>
      </c>
      <c r="O187" s="89">
        <v>2</v>
      </c>
      <c r="P187" s="89">
        <v>2</v>
      </c>
      <c r="Q187" s="89">
        <v>2</v>
      </c>
      <c r="R187" s="89">
        <v>2</v>
      </c>
      <c r="S187" s="89"/>
      <c r="T187" s="89"/>
      <c r="U187" s="89">
        <v>2</v>
      </c>
      <c r="V187" s="89">
        <v>2</v>
      </c>
      <c r="W187" s="89">
        <v>2</v>
      </c>
      <c r="X187" s="89">
        <v>2</v>
      </c>
      <c r="Y187" s="89"/>
      <c r="Z187" s="89"/>
      <c r="AA187" s="89"/>
      <c r="AB187" s="89">
        <v>2</v>
      </c>
      <c r="AC187" s="89">
        <v>2</v>
      </c>
      <c r="AD187" s="89">
        <v>2</v>
      </c>
      <c r="AE187" s="89">
        <v>2</v>
      </c>
      <c r="AF187" s="89">
        <v>2</v>
      </c>
      <c r="AG187" s="89"/>
      <c r="AH187" s="89"/>
      <c r="AI187" s="89">
        <v>2</v>
      </c>
      <c r="AJ187" s="89">
        <v>2</v>
      </c>
      <c r="AK187" s="89">
        <v>2</v>
      </c>
      <c r="AL187" s="89">
        <v>2</v>
      </c>
      <c r="AM187" s="89">
        <v>2</v>
      </c>
      <c r="AN187" s="90">
        <f t="shared" si="12"/>
        <v>42</v>
      </c>
      <c r="AO187" s="86">
        <v>170000</v>
      </c>
      <c r="AP187" s="91">
        <f t="shared" si="13"/>
        <v>7140000</v>
      </c>
    </row>
    <row r="188" spans="1:42" ht="24.95" customHeight="1">
      <c r="A188" s="84">
        <v>183</v>
      </c>
      <c r="B188" s="84" t="s">
        <v>1029</v>
      </c>
      <c r="C188" s="85" t="s">
        <v>1078</v>
      </c>
      <c r="D188" s="36" t="s">
        <v>227</v>
      </c>
      <c r="E188" s="36" t="s">
        <v>1131</v>
      </c>
      <c r="F188" s="96" t="s">
        <v>230</v>
      </c>
      <c r="G188" s="87" t="s">
        <v>1029</v>
      </c>
      <c r="H188" s="88" t="s">
        <v>1185</v>
      </c>
      <c r="I188" s="89"/>
      <c r="J188" s="89"/>
      <c r="K188" s="89"/>
      <c r="L188" s="89"/>
      <c r="M188" s="89"/>
      <c r="N188" s="89">
        <v>0.6875</v>
      </c>
      <c r="O188" s="89">
        <v>1.125</v>
      </c>
      <c r="P188" s="89">
        <v>0.5</v>
      </c>
      <c r="Q188" s="89">
        <v>0.625</v>
      </c>
      <c r="R188" s="89">
        <v>1</v>
      </c>
      <c r="S188" s="89"/>
      <c r="T188" s="89"/>
      <c r="U188" s="89">
        <v>1</v>
      </c>
      <c r="V188" s="89">
        <v>1.5</v>
      </c>
      <c r="W188" s="89">
        <v>1</v>
      </c>
      <c r="X188" s="89">
        <v>1.5</v>
      </c>
      <c r="Y188" s="89">
        <v>1.5</v>
      </c>
      <c r="Z188" s="89">
        <v>1</v>
      </c>
      <c r="AA188" s="89"/>
      <c r="AB188" s="89">
        <v>1</v>
      </c>
      <c r="AC188" s="89">
        <v>1.5</v>
      </c>
      <c r="AD188" s="89">
        <v>1</v>
      </c>
      <c r="AE188" s="89">
        <v>1.5</v>
      </c>
      <c r="AF188" s="89">
        <v>1</v>
      </c>
      <c r="AG188" s="89"/>
      <c r="AH188" s="89"/>
      <c r="AI188" s="89">
        <v>2</v>
      </c>
      <c r="AJ188" s="89">
        <v>2.25</v>
      </c>
      <c r="AK188" s="89">
        <v>2</v>
      </c>
      <c r="AL188" s="89">
        <v>2</v>
      </c>
      <c r="AM188" s="89">
        <v>2</v>
      </c>
      <c r="AN188" s="90">
        <f t="shared" si="12"/>
        <v>27.6875</v>
      </c>
      <c r="AO188" s="86">
        <v>240000</v>
      </c>
      <c r="AP188" s="91">
        <f t="shared" si="13"/>
        <v>6645000</v>
      </c>
    </row>
    <row r="189" spans="1:42" ht="24.95" customHeight="1">
      <c r="A189" s="84">
        <v>184</v>
      </c>
      <c r="B189" s="84" t="s">
        <v>1030</v>
      </c>
      <c r="C189" s="85" t="s">
        <v>1079</v>
      </c>
      <c r="D189" s="128" t="s">
        <v>225</v>
      </c>
      <c r="E189" s="36" t="s">
        <v>1132</v>
      </c>
      <c r="F189" s="94" t="s">
        <v>226</v>
      </c>
      <c r="G189" s="87" t="s">
        <v>1030</v>
      </c>
      <c r="H189" s="88" t="s">
        <v>1186</v>
      </c>
      <c r="I189" s="89"/>
      <c r="J189" s="89"/>
      <c r="K189" s="89"/>
      <c r="L189" s="89"/>
      <c r="M189" s="89"/>
      <c r="N189" s="89">
        <v>0.6875</v>
      </c>
      <c r="O189" s="89">
        <v>1.125</v>
      </c>
      <c r="P189" s="89"/>
      <c r="Q189" s="89">
        <v>0.625</v>
      </c>
      <c r="R189" s="89">
        <v>1</v>
      </c>
      <c r="S189" s="89"/>
      <c r="T189" s="89"/>
      <c r="U189" s="89">
        <v>1</v>
      </c>
      <c r="V189" s="89">
        <v>1.5</v>
      </c>
      <c r="W189" s="89">
        <v>1</v>
      </c>
      <c r="X189" s="89">
        <v>1.5</v>
      </c>
      <c r="Y189" s="89">
        <v>1.5</v>
      </c>
      <c r="Z189" s="89">
        <v>1</v>
      </c>
      <c r="AA189" s="89"/>
      <c r="AB189" s="89">
        <v>0.5</v>
      </c>
      <c r="AC189" s="89">
        <v>2</v>
      </c>
      <c r="AD189" s="89">
        <v>2</v>
      </c>
      <c r="AE189" s="89">
        <v>2</v>
      </c>
      <c r="AF189" s="89">
        <v>2</v>
      </c>
      <c r="AG189" s="89"/>
      <c r="AH189" s="89"/>
      <c r="AI189" s="89">
        <v>2</v>
      </c>
      <c r="AJ189" s="89">
        <v>2</v>
      </c>
      <c r="AK189" s="89">
        <v>2</v>
      </c>
      <c r="AL189" s="89">
        <v>2</v>
      </c>
      <c r="AM189" s="89"/>
      <c r="AN189" s="90">
        <f t="shared" ref="AN189:AN192" si="14">SUM(I189:AM189)</f>
        <v>27.4375</v>
      </c>
      <c r="AO189" s="86">
        <v>170000</v>
      </c>
      <c r="AP189" s="91">
        <f t="shared" ref="AP189:AP192" si="15">AN189*AO189</f>
        <v>4664375</v>
      </c>
    </row>
    <row r="190" spans="1:42" ht="24.95" customHeight="1">
      <c r="A190" s="84">
        <v>185</v>
      </c>
      <c r="B190" s="84" t="s">
        <v>430</v>
      </c>
      <c r="C190" s="85" t="s">
        <v>431</v>
      </c>
      <c r="D190" s="128" t="s">
        <v>340</v>
      </c>
      <c r="E190" s="126" t="s">
        <v>432</v>
      </c>
      <c r="F190" s="94" t="s">
        <v>226</v>
      </c>
      <c r="G190" s="87" t="s">
        <v>430</v>
      </c>
      <c r="H190" s="88" t="s">
        <v>433</v>
      </c>
      <c r="I190" s="89">
        <v>2</v>
      </c>
      <c r="J190" s="89">
        <v>2</v>
      </c>
      <c r="K190" s="89">
        <v>2</v>
      </c>
      <c r="L190" s="89"/>
      <c r="M190" s="89"/>
      <c r="N190" s="89">
        <v>2</v>
      </c>
      <c r="O190" s="89">
        <v>2</v>
      </c>
      <c r="P190" s="89">
        <v>2</v>
      </c>
      <c r="Q190" s="89">
        <v>2</v>
      </c>
      <c r="R190" s="89">
        <v>2</v>
      </c>
      <c r="S190" s="89"/>
      <c r="T190" s="89"/>
      <c r="U190" s="89">
        <v>2</v>
      </c>
      <c r="V190" s="89">
        <v>2</v>
      </c>
      <c r="W190" s="89">
        <v>2</v>
      </c>
      <c r="X190" s="89">
        <v>2</v>
      </c>
      <c r="Y190" s="89"/>
      <c r="Z190" s="89"/>
      <c r="AA190" s="89"/>
      <c r="AB190" s="89">
        <v>2</v>
      </c>
      <c r="AC190" s="89">
        <v>2</v>
      </c>
      <c r="AD190" s="89">
        <v>2</v>
      </c>
      <c r="AE190" s="89">
        <v>2</v>
      </c>
      <c r="AF190" s="89">
        <v>2</v>
      </c>
      <c r="AG190" s="89"/>
      <c r="AH190" s="89"/>
      <c r="AI190" s="89">
        <v>2</v>
      </c>
      <c r="AJ190" s="89">
        <v>2</v>
      </c>
      <c r="AK190" s="89">
        <v>2</v>
      </c>
      <c r="AL190" s="89">
        <v>2</v>
      </c>
      <c r="AM190" s="89">
        <v>2</v>
      </c>
      <c r="AN190" s="90">
        <f t="shared" si="14"/>
        <v>44</v>
      </c>
      <c r="AO190" s="86">
        <v>190000</v>
      </c>
      <c r="AP190" s="91">
        <f t="shared" si="15"/>
        <v>8360000</v>
      </c>
    </row>
    <row r="191" spans="1:42" ht="24.95" customHeight="1">
      <c r="A191" s="84">
        <v>186</v>
      </c>
      <c r="B191" s="84" t="s">
        <v>747</v>
      </c>
      <c r="C191" s="85" t="s">
        <v>809</v>
      </c>
      <c r="D191" s="36" t="s">
        <v>225</v>
      </c>
      <c r="E191" s="126" t="s">
        <v>870</v>
      </c>
      <c r="F191" s="94" t="s">
        <v>230</v>
      </c>
      <c r="G191" s="87" t="s">
        <v>747</v>
      </c>
      <c r="H191" s="88" t="s">
        <v>929</v>
      </c>
      <c r="I191" s="89">
        <v>1</v>
      </c>
      <c r="J191" s="89">
        <v>1.5</v>
      </c>
      <c r="K191" s="89">
        <v>1</v>
      </c>
      <c r="L191" s="89">
        <v>1</v>
      </c>
      <c r="M191" s="89"/>
      <c r="N191" s="89">
        <v>1</v>
      </c>
      <c r="O191" s="89">
        <v>1.5</v>
      </c>
      <c r="P191" s="89">
        <v>0.5</v>
      </c>
      <c r="Q191" s="89">
        <v>1.5</v>
      </c>
      <c r="R191" s="89">
        <v>1</v>
      </c>
      <c r="S191" s="89">
        <v>1</v>
      </c>
      <c r="T191" s="89"/>
      <c r="U191" s="89">
        <v>2</v>
      </c>
      <c r="V191" s="89">
        <v>2</v>
      </c>
      <c r="W191" s="89">
        <v>2</v>
      </c>
      <c r="X191" s="89">
        <v>2</v>
      </c>
      <c r="Y191" s="89"/>
      <c r="Z191" s="89"/>
      <c r="AA191" s="89"/>
      <c r="AB191" s="89">
        <v>2</v>
      </c>
      <c r="AC191" s="89">
        <v>2</v>
      </c>
      <c r="AD191" s="89">
        <v>2</v>
      </c>
      <c r="AE191" s="89">
        <v>2</v>
      </c>
      <c r="AF191" s="89"/>
      <c r="AG191" s="89"/>
      <c r="AH191" s="89"/>
      <c r="AI191" s="89"/>
      <c r="AJ191" s="89"/>
      <c r="AK191" s="89"/>
      <c r="AL191" s="89"/>
      <c r="AM191" s="89"/>
      <c r="AN191" s="90">
        <f t="shared" si="14"/>
        <v>27</v>
      </c>
      <c r="AO191" s="86">
        <v>160000</v>
      </c>
      <c r="AP191" s="91">
        <f t="shared" si="15"/>
        <v>4320000</v>
      </c>
    </row>
    <row r="192" spans="1:42" ht="24.95" customHeight="1" thickBot="1">
      <c r="A192" s="84">
        <v>187</v>
      </c>
      <c r="B192" s="84" t="s">
        <v>434</v>
      </c>
      <c r="C192" s="85" t="s">
        <v>435</v>
      </c>
      <c r="D192" s="36" t="s">
        <v>225</v>
      </c>
      <c r="E192" s="126" t="s">
        <v>436</v>
      </c>
      <c r="F192" s="94" t="s">
        <v>297</v>
      </c>
      <c r="G192" s="87" t="s">
        <v>434</v>
      </c>
      <c r="H192" s="88" t="s">
        <v>436</v>
      </c>
      <c r="I192" s="89">
        <v>2</v>
      </c>
      <c r="J192" s="89">
        <v>2</v>
      </c>
      <c r="K192" s="89">
        <v>2</v>
      </c>
      <c r="L192" s="89"/>
      <c r="M192" s="89"/>
      <c r="N192" s="89">
        <v>2</v>
      </c>
      <c r="O192" s="89">
        <v>2</v>
      </c>
      <c r="P192" s="89">
        <v>2</v>
      </c>
      <c r="Q192" s="89">
        <v>2.5</v>
      </c>
      <c r="R192" s="89">
        <v>2</v>
      </c>
      <c r="S192" s="89"/>
      <c r="T192" s="89"/>
      <c r="U192" s="89">
        <v>2</v>
      </c>
      <c r="V192" s="89">
        <v>2</v>
      </c>
      <c r="W192" s="89">
        <v>2</v>
      </c>
      <c r="X192" s="89">
        <v>2</v>
      </c>
      <c r="Y192" s="89"/>
      <c r="Z192" s="89"/>
      <c r="AA192" s="89"/>
      <c r="AB192" s="89">
        <v>2</v>
      </c>
      <c r="AC192" s="89">
        <v>2</v>
      </c>
      <c r="AD192" s="89">
        <v>2</v>
      </c>
      <c r="AE192" s="89">
        <v>2</v>
      </c>
      <c r="AF192" s="89">
        <v>2</v>
      </c>
      <c r="AG192" s="89"/>
      <c r="AH192" s="89"/>
      <c r="AI192" s="89">
        <v>2</v>
      </c>
      <c r="AJ192" s="89">
        <v>2</v>
      </c>
      <c r="AK192" s="89">
        <v>2</v>
      </c>
      <c r="AL192" s="89">
        <v>2</v>
      </c>
      <c r="AM192" s="89">
        <v>2</v>
      </c>
      <c r="AN192" s="90">
        <f t="shared" si="14"/>
        <v>44.5</v>
      </c>
      <c r="AO192" s="86">
        <v>150000</v>
      </c>
      <c r="AP192" s="91">
        <f t="shared" si="15"/>
        <v>6675000</v>
      </c>
    </row>
    <row r="193" spans="1:42" ht="30" customHeight="1" thickBot="1">
      <c r="A193" s="280" t="s">
        <v>210</v>
      </c>
      <c r="B193" s="281"/>
      <c r="C193" s="281"/>
      <c r="D193" s="281"/>
      <c r="E193" s="281"/>
      <c r="F193" s="281"/>
      <c r="G193" s="281"/>
      <c r="H193" s="282"/>
      <c r="I193" s="97">
        <f>SUM(I6:I192)</f>
        <v>187</v>
      </c>
      <c r="J193" s="97">
        <f>SUM(J6:J192)</f>
        <v>226</v>
      </c>
      <c r="K193" s="97">
        <f t="shared" ref="K193:AK193" si="16">SUM(K6:K192)</f>
        <v>188.5</v>
      </c>
      <c r="L193" s="97">
        <f t="shared" si="16"/>
        <v>60.875</v>
      </c>
      <c r="M193" s="97">
        <f t="shared" si="16"/>
        <v>0</v>
      </c>
      <c r="N193" s="97">
        <f t="shared" si="16"/>
        <v>223.25</v>
      </c>
      <c r="O193" s="97">
        <f t="shared" si="16"/>
        <v>266.125</v>
      </c>
      <c r="P193" s="97">
        <f t="shared" si="16"/>
        <v>208.875</v>
      </c>
      <c r="Q193" s="97">
        <f t="shared" si="16"/>
        <v>256.25</v>
      </c>
      <c r="R193" s="97">
        <f t="shared" si="16"/>
        <v>229.5</v>
      </c>
      <c r="S193" s="97">
        <f t="shared" si="16"/>
        <v>50.75</v>
      </c>
      <c r="T193" s="97">
        <f t="shared" si="16"/>
        <v>0</v>
      </c>
      <c r="U193" s="97">
        <f t="shared" si="16"/>
        <v>244.25</v>
      </c>
      <c r="V193" s="97">
        <f t="shared" si="16"/>
        <v>284</v>
      </c>
      <c r="W193" s="97">
        <f t="shared" si="16"/>
        <v>234.875</v>
      </c>
      <c r="X193" s="97">
        <f t="shared" si="16"/>
        <v>273.875</v>
      </c>
      <c r="Y193" s="97">
        <f t="shared" si="16"/>
        <v>111.75</v>
      </c>
      <c r="Z193" s="97">
        <f t="shared" si="16"/>
        <v>52.875</v>
      </c>
      <c r="AA193" s="97">
        <f t="shared" si="16"/>
        <v>0</v>
      </c>
      <c r="AB193" s="97">
        <f t="shared" si="16"/>
        <v>225.1875</v>
      </c>
      <c r="AC193" s="97">
        <f t="shared" si="16"/>
        <v>309.875</v>
      </c>
      <c r="AD193" s="97">
        <f t="shared" si="16"/>
        <v>271.875</v>
      </c>
      <c r="AE193" s="97">
        <f t="shared" si="16"/>
        <v>306.5</v>
      </c>
      <c r="AF193" s="97">
        <f t="shared" si="16"/>
        <v>266.5</v>
      </c>
      <c r="AG193" s="97">
        <f t="shared" si="16"/>
        <v>37</v>
      </c>
      <c r="AH193" s="97">
        <f t="shared" si="16"/>
        <v>0</v>
      </c>
      <c r="AI193" s="97">
        <f t="shared" si="16"/>
        <v>253</v>
      </c>
      <c r="AJ193" s="97">
        <f t="shared" si="16"/>
        <v>295.625</v>
      </c>
      <c r="AK193" s="97">
        <f t="shared" si="16"/>
        <v>263.5</v>
      </c>
      <c r="AL193" s="97">
        <f>SUM(AL6:AL192)</f>
        <v>285</v>
      </c>
      <c r="AM193" s="97">
        <f>SUM(AM10:AM160)</f>
        <v>201</v>
      </c>
      <c r="AN193" s="172">
        <f>SUM(AN6:AN192)</f>
        <v>5868.8125</v>
      </c>
      <c r="AO193" s="100">
        <f>AVERAGE(AO6:AO192)</f>
        <v>189839.57219251335</v>
      </c>
      <c r="AP193" s="101">
        <f>SUM(AP6:AP192)</f>
        <v>1130808125</v>
      </c>
    </row>
    <row r="194" spans="1:42" ht="24.95" hidden="1" customHeight="1">
      <c r="A194" s="84">
        <v>1</v>
      </c>
      <c r="B194" s="84"/>
      <c r="C194" s="85"/>
      <c r="D194" s="95"/>
      <c r="E194" s="85"/>
      <c r="F194" s="86"/>
      <c r="G194" s="87"/>
      <c r="H194" s="88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90">
        <f>SUM(I194:AM194)</f>
        <v>0</v>
      </c>
      <c r="AO194" s="86"/>
      <c r="AP194" s="91">
        <f>AN194*AO194</f>
        <v>0</v>
      </c>
    </row>
    <row r="195" spans="1:42" ht="24.95" hidden="1" customHeight="1">
      <c r="A195" s="92">
        <v>2</v>
      </c>
      <c r="B195" s="84"/>
      <c r="C195" s="85"/>
      <c r="D195" s="95"/>
      <c r="E195" s="85"/>
      <c r="F195" s="94"/>
      <c r="G195" s="87"/>
      <c r="H195" s="88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90">
        <f t="shared" ref="AN195:AN197" si="17">SUM(I195:AM195)</f>
        <v>0</v>
      </c>
      <c r="AO195" s="86"/>
      <c r="AP195" s="91">
        <f t="shared" ref="AP195:AP197" si="18">AN195*AO195</f>
        <v>0</v>
      </c>
    </row>
    <row r="196" spans="1:42" ht="24.95" hidden="1" customHeight="1">
      <c r="A196" s="92">
        <v>3</v>
      </c>
      <c r="B196" s="84"/>
      <c r="C196" s="85"/>
      <c r="D196" s="93"/>
      <c r="E196" s="85"/>
      <c r="F196" s="94"/>
      <c r="G196" s="87"/>
      <c r="H196" s="88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90">
        <f t="shared" si="17"/>
        <v>0</v>
      </c>
      <c r="AO196" s="86"/>
      <c r="AP196" s="91">
        <f t="shared" si="18"/>
        <v>0</v>
      </c>
    </row>
    <row r="197" spans="1:42" ht="24.95" hidden="1" customHeight="1">
      <c r="A197" s="92">
        <v>4</v>
      </c>
      <c r="B197" s="84"/>
      <c r="C197" s="85"/>
      <c r="D197" s="93"/>
      <c r="E197" s="85"/>
      <c r="F197" s="94"/>
      <c r="G197" s="87"/>
      <c r="H197" s="88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90">
        <f t="shared" si="17"/>
        <v>0</v>
      </c>
      <c r="AO197" s="86"/>
      <c r="AP197" s="91">
        <f t="shared" si="18"/>
        <v>0</v>
      </c>
    </row>
    <row r="198" spans="1:42" ht="24.95" hidden="1" customHeight="1">
      <c r="A198" s="92">
        <v>5</v>
      </c>
      <c r="B198" s="84"/>
      <c r="C198" s="85"/>
      <c r="D198" s="95"/>
      <c r="E198" s="85"/>
      <c r="F198" s="86"/>
      <c r="G198" s="87"/>
      <c r="H198" s="88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90">
        <f>SUM(I198:AM198)</f>
        <v>0</v>
      </c>
      <c r="AO198" s="86"/>
      <c r="AP198" s="91">
        <f>AN198*AO198</f>
        <v>0</v>
      </c>
    </row>
    <row r="199" spans="1:42" ht="24.95" hidden="1" customHeight="1">
      <c r="A199" s="92">
        <v>6</v>
      </c>
      <c r="B199" s="84"/>
      <c r="C199" s="85"/>
      <c r="D199" s="95"/>
      <c r="E199" s="85"/>
      <c r="F199" s="94"/>
      <c r="G199" s="87"/>
      <c r="H199" s="88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90">
        <f t="shared" ref="AN199:AN201" si="19">SUM(I199:AM199)</f>
        <v>0</v>
      </c>
      <c r="AO199" s="86"/>
      <c r="AP199" s="91">
        <f t="shared" ref="AP199:AP201" si="20">AN199*AO199</f>
        <v>0</v>
      </c>
    </row>
    <row r="200" spans="1:42" ht="24.95" hidden="1" customHeight="1">
      <c r="A200" s="92">
        <v>7</v>
      </c>
      <c r="B200" s="84"/>
      <c r="C200" s="85"/>
      <c r="D200" s="93"/>
      <c r="E200" s="85"/>
      <c r="F200" s="94"/>
      <c r="G200" s="87"/>
      <c r="H200" s="88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90">
        <f t="shared" si="19"/>
        <v>0</v>
      </c>
      <c r="AO200" s="86"/>
      <c r="AP200" s="91">
        <f t="shared" si="20"/>
        <v>0</v>
      </c>
    </row>
    <row r="201" spans="1:42" ht="24.95" hidden="1" customHeight="1">
      <c r="A201" s="92">
        <v>8</v>
      </c>
      <c r="B201" s="84"/>
      <c r="C201" s="85"/>
      <c r="D201" s="93"/>
      <c r="E201" s="85"/>
      <c r="F201" s="94"/>
      <c r="G201" s="87"/>
      <c r="H201" s="88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90">
        <f t="shared" si="19"/>
        <v>0</v>
      </c>
      <c r="AO201" s="86"/>
      <c r="AP201" s="91">
        <f t="shared" si="20"/>
        <v>0</v>
      </c>
    </row>
    <row r="202" spans="1:42" ht="24.95" hidden="1" customHeight="1">
      <c r="A202" s="92">
        <v>9</v>
      </c>
      <c r="B202" s="84"/>
      <c r="C202" s="85"/>
      <c r="D202" s="95"/>
      <c r="E202" s="85"/>
      <c r="F202" s="94"/>
      <c r="G202" s="87"/>
      <c r="H202" s="88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90">
        <f t="shared" ref="AN202:AN204" si="21">SUM(I202:AM202)</f>
        <v>0</v>
      </c>
      <c r="AO202" s="86"/>
      <c r="AP202" s="91">
        <f t="shared" ref="AP202:AP204" si="22">AN202*AO202</f>
        <v>0</v>
      </c>
    </row>
    <row r="203" spans="1:42" ht="24.95" hidden="1" customHeight="1">
      <c r="A203" s="92">
        <v>10</v>
      </c>
      <c r="B203" s="84"/>
      <c r="C203" s="85"/>
      <c r="D203" s="93"/>
      <c r="E203" s="85"/>
      <c r="F203" s="94"/>
      <c r="G203" s="87"/>
      <c r="H203" s="88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90">
        <f t="shared" si="21"/>
        <v>0</v>
      </c>
      <c r="AO203" s="86"/>
      <c r="AP203" s="91">
        <f t="shared" si="22"/>
        <v>0</v>
      </c>
    </row>
    <row r="204" spans="1:42" ht="24.95" hidden="1" customHeight="1" thickBot="1">
      <c r="A204" s="92">
        <v>11</v>
      </c>
      <c r="B204" s="84"/>
      <c r="C204" s="85"/>
      <c r="D204" s="93"/>
      <c r="E204" s="85"/>
      <c r="F204" s="94"/>
      <c r="G204" s="87"/>
      <c r="H204" s="88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90">
        <f t="shared" si="21"/>
        <v>0</v>
      </c>
      <c r="AO204" s="86"/>
      <c r="AP204" s="91">
        <f t="shared" si="22"/>
        <v>0</v>
      </c>
    </row>
    <row r="205" spans="1:42" ht="30" hidden="1" customHeight="1" thickBot="1">
      <c r="A205" s="280" t="s">
        <v>532</v>
      </c>
      <c r="B205" s="281"/>
      <c r="C205" s="281"/>
      <c r="D205" s="281"/>
      <c r="E205" s="281"/>
      <c r="F205" s="281"/>
      <c r="G205" s="281"/>
      <c r="H205" s="282"/>
      <c r="I205" s="97">
        <f>SUM(I194:I204)</f>
        <v>0</v>
      </c>
      <c r="J205" s="97">
        <f t="shared" ref="J205:AL205" si="23">SUM(J194:J204)</f>
        <v>0</v>
      </c>
      <c r="K205" s="97">
        <f t="shared" si="23"/>
        <v>0</v>
      </c>
      <c r="L205" s="97">
        <f t="shared" si="23"/>
        <v>0</v>
      </c>
      <c r="M205" s="97">
        <f t="shared" si="23"/>
        <v>0</v>
      </c>
      <c r="N205" s="97">
        <f t="shared" si="23"/>
        <v>0</v>
      </c>
      <c r="O205" s="97">
        <f t="shared" si="23"/>
        <v>0</v>
      </c>
      <c r="P205" s="97">
        <f t="shared" si="23"/>
        <v>0</v>
      </c>
      <c r="Q205" s="97">
        <f t="shared" si="23"/>
        <v>0</v>
      </c>
      <c r="R205" s="97">
        <f t="shared" si="23"/>
        <v>0</v>
      </c>
      <c r="S205" s="97">
        <f t="shared" si="23"/>
        <v>0</v>
      </c>
      <c r="T205" s="97">
        <f t="shared" si="23"/>
        <v>0</v>
      </c>
      <c r="U205" s="97">
        <f t="shared" si="23"/>
        <v>0</v>
      </c>
      <c r="V205" s="97">
        <f t="shared" si="23"/>
        <v>0</v>
      </c>
      <c r="W205" s="97">
        <f t="shared" si="23"/>
        <v>0</v>
      </c>
      <c r="X205" s="97">
        <f t="shared" si="23"/>
        <v>0</v>
      </c>
      <c r="Y205" s="97">
        <f t="shared" si="23"/>
        <v>0</v>
      </c>
      <c r="Z205" s="97">
        <f t="shared" si="23"/>
        <v>0</v>
      </c>
      <c r="AA205" s="97">
        <f t="shared" si="23"/>
        <v>0</v>
      </c>
      <c r="AB205" s="97">
        <f t="shared" si="23"/>
        <v>0</v>
      </c>
      <c r="AC205" s="97">
        <f t="shared" si="23"/>
        <v>0</v>
      </c>
      <c r="AD205" s="97">
        <f t="shared" si="23"/>
        <v>0</v>
      </c>
      <c r="AE205" s="97">
        <f t="shared" si="23"/>
        <v>0</v>
      </c>
      <c r="AF205" s="97">
        <f t="shared" si="23"/>
        <v>0</v>
      </c>
      <c r="AG205" s="97">
        <f t="shared" si="23"/>
        <v>0</v>
      </c>
      <c r="AH205" s="97">
        <f t="shared" si="23"/>
        <v>0</v>
      </c>
      <c r="AI205" s="97">
        <f t="shared" si="23"/>
        <v>0</v>
      </c>
      <c r="AJ205" s="97">
        <f t="shared" si="23"/>
        <v>0</v>
      </c>
      <c r="AK205" s="97">
        <f t="shared" si="23"/>
        <v>0</v>
      </c>
      <c r="AL205" s="97">
        <f t="shared" si="23"/>
        <v>0</v>
      </c>
      <c r="AM205" s="98">
        <f>SUM(AM194:AM204)</f>
        <v>0</v>
      </c>
      <c r="AN205" s="99">
        <f>SUM(AN194:AN204)</f>
        <v>0</v>
      </c>
      <c r="AO205" s="100"/>
      <c r="AP205" s="101">
        <f>SUM(AP194:AP204)</f>
        <v>0</v>
      </c>
    </row>
    <row r="206" spans="1:42" ht="35.1" customHeight="1" thickBot="1">
      <c r="A206" s="283" t="s">
        <v>231</v>
      </c>
      <c r="B206" s="284"/>
      <c r="C206" s="284"/>
      <c r="D206" s="284"/>
      <c r="E206" s="284"/>
      <c r="F206" s="284"/>
      <c r="G206" s="284"/>
      <c r="H206" s="285"/>
      <c r="I206" s="102">
        <f t="shared" ref="I206:AP206" si="24">I193+I205</f>
        <v>187</v>
      </c>
      <c r="J206" s="103">
        <f t="shared" si="24"/>
        <v>226</v>
      </c>
      <c r="K206" s="103">
        <f t="shared" si="24"/>
        <v>188.5</v>
      </c>
      <c r="L206" s="103">
        <f t="shared" si="24"/>
        <v>60.875</v>
      </c>
      <c r="M206" s="103">
        <f t="shared" si="24"/>
        <v>0</v>
      </c>
      <c r="N206" s="103">
        <f t="shared" si="24"/>
        <v>223.25</v>
      </c>
      <c r="O206" s="103">
        <f t="shared" si="24"/>
        <v>266.125</v>
      </c>
      <c r="P206" s="103">
        <f t="shared" si="24"/>
        <v>208.875</v>
      </c>
      <c r="Q206" s="103">
        <f t="shared" si="24"/>
        <v>256.25</v>
      </c>
      <c r="R206" s="103">
        <f t="shared" si="24"/>
        <v>229.5</v>
      </c>
      <c r="S206" s="103">
        <f t="shared" si="24"/>
        <v>50.75</v>
      </c>
      <c r="T206" s="103">
        <f t="shared" si="24"/>
        <v>0</v>
      </c>
      <c r="U206" s="103">
        <f t="shared" si="24"/>
        <v>244.25</v>
      </c>
      <c r="V206" s="103">
        <f t="shared" si="24"/>
        <v>284</v>
      </c>
      <c r="W206" s="103">
        <f t="shared" si="24"/>
        <v>234.875</v>
      </c>
      <c r="X206" s="103">
        <f t="shared" si="24"/>
        <v>273.875</v>
      </c>
      <c r="Y206" s="103">
        <f t="shared" si="24"/>
        <v>111.75</v>
      </c>
      <c r="Z206" s="103">
        <f t="shared" si="24"/>
        <v>52.875</v>
      </c>
      <c r="AA206" s="103">
        <f t="shared" si="24"/>
        <v>0</v>
      </c>
      <c r="AB206" s="103">
        <f t="shared" si="24"/>
        <v>225.1875</v>
      </c>
      <c r="AC206" s="103">
        <f t="shared" si="24"/>
        <v>309.875</v>
      </c>
      <c r="AD206" s="103">
        <f t="shared" si="24"/>
        <v>271.875</v>
      </c>
      <c r="AE206" s="103">
        <f t="shared" si="24"/>
        <v>306.5</v>
      </c>
      <c r="AF206" s="103">
        <f t="shared" si="24"/>
        <v>266.5</v>
      </c>
      <c r="AG206" s="103">
        <f t="shared" si="24"/>
        <v>37</v>
      </c>
      <c r="AH206" s="103">
        <f t="shared" si="24"/>
        <v>0</v>
      </c>
      <c r="AI206" s="103">
        <f t="shared" si="24"/>
        <v>253</v>
      </c>
      <c r="AJ206" s="103">
        <f t="shared" si="24"/>
        <v>295.625</v>
      </c>
      <c r="AK206" s="103">
        <f t="shared" si="24"/>
        <v>263.5</v>
      </c>
      <c r="AL206" s="103">
        <f t="shared" si="24"/>
        <v>285</v>
      </c>
      <c r="AM206" s="103">
        <f t="shared" si="24"/>
        <v>201</v>
      </c>
      <c r="AN206" s="104">
        <f t="shared" si="24"/>
        <v>5868.8125</v>
      </c>
      <c r="AO206" s="105">
        <f t="shared" si="24"/>
        <v>189839.57219251335</v>
      </c>
      <c r="AP206" s="106">
        <f t="shared" si="24"/>
        <v>1130808125</v>
      </c>
    </row>
    <row r="207" spans="1:42">
      <c r="G207" s="73"/>
      <c r="H207" s="73"/>
      <c r="AG207" s="107"/>
      <c r="AI207" s="108"/>
      <c r="AO207" s="73"/>
    </row>
    <row r="208" spans="1:42">
      <c r="G208" s="73"/>
      <c r="H208" s="73"/>
      <c r="AG208" s="107"/>
      <c r="AI208" s="108"/>
      <c r="AO208" s="122"/>
    </row>
    <row r="209" spans="3:41">
      <c r="G209" s="73"/>
      <c r="H209" s="73"/>
      <c r="AG209" s="107"/>
      <c r="AI209" s="108"/>
      <c r="AO209" s="73"/>
    </row>
    <row r="210" spans="3:41">
      <c r="G210" s="73"/>
      <c r="H210" s="73"/>
      <c r="AG210" s="107"/>
      <c r="AI210" s="108"/>
      <c r="AO210" s="73"/>
    </row>
    <row r="211" spans="3:41">
      <c r="G211" s="73"/>
      <c r="H211" s="73"/>
      <c r="AI211" s="107"/>
      <c r="AM211" s="108"/>
      <c r="AO211" s="73"/>
    </row>
    <row r="212" spans="3:41">
      <c r="G212" s="73"/>
      <c r="H212" s="73"/>
      <c r="AI212" s="107"/>
      <c r="AJ212" s="107"/>
      <c r="AM212" s="108"/>
      <c r="AO212" s="73"/>
    </row>
    <row r="213" spans="3:41">
      <c r="G213" s="73"/>
      <c r="H213" s="73"/>
      <c r="AJ213" s="107"/>
      <c r="AK213" s="107"/>
      <c r="AL213" s="107"/>
      <c r="AO213" s="73"/>
    </row>
    <row r="214" spans="3:41">
      <c r="G214" s="73"/>
      <c r="H214" s="73"/>
      <c r="AJ214" s="107"/>
      <c r="AK214" s="107"/>
      <c r="AL214" s="107"/>
      <c r="AO214" s="73"/>
    </row>
    <row r="215" spans="3:41">
      <c r="G215" s="73"/>
      <c r="H215" s="73"/>
      <c r="AJ215" s="107"/>
      <c r="AK215" s="107"/>
      <c r="AL215" s="107"/>
      <c r="AO215" s="73"/>
    </row>
    <row r="216" spans="3:41">
      <c r="G216" s="73"/>
      <c r="H216" s="73"/>
      <c r="AK216" s="107"/>
      <c r="AL216" s="107"/>
      <c r="AO216" s="73"/>
    </row>
    <row r="217" spans="3:41">
      <c r="C217" s="74"/>
      <c r="D217" s="74"/>
      <c r="E217" s="74"/>
      <c r="G217" s="73"/>
      <c r="H217" s="73"/>
      <c r="AN217" s="108"/>
      <c r="AO217" s="73"/>
    </row>
    <row r="218" spans="3:41">
      <c r="C218" s="74"/>
      <c r="D218" s="74"/>
      <c r="E218" s="74"/>
      <c r="G218" s="73"/>
      <c r="H218" s="73"/>
      <c r="AN218" s="108"/>
      <c r="AO218" s="73"/>
    </row>
    <row r="219" spans="3:41">
      <c r="C219" s="74"/>
      <c r="D219" s="74"/>
      <c r="E219" s="74"/>
      <c r="G219" s="73"/>
      <c r="H219" s="73"/>
      <c r="AN219" s="108"/>
      <c r="AO219" s="73"/>
    </row>
    <row r="220" spans="3:41">
      <c r="C220" s="74"/>
      <c r="D220" s="74"/>
      <c r="E220" s="74"/>
      <c r="G220" s="73"/>
      <c r="H220" s="73"/>
      <c r="AN220" s="108"/>
      <c r="AO220" s="73"/>
    </row>
    <row r="221" spans="3:41">
      <c r="C221" s="74"/>
      <c r="D221" s="74"/>
      <c r="E221" s="74"/>
      <c r="G221" s="73"/>
      <c r="H221" s="73"/>
      <c r="AN221" s="108"/>
      <c r="AO221" s="73"/>
    </row>
    <row r="222" spans="3:41">
      <c r="E222" s="74"/>
      <c r="F222" s="74"/>
      <c r="G222" s="73"/>
      <c r="H222" s="73"/>
      <c r="AO222" s="108"/>
    </row>
    <row r="223" spans="3:41">
      <c r="E223" s="74"/>
      <c r="F223" s="74"/>
      <c r="G223" s="73"/>
      <c r="H223" s="73"/>
      <c r="AO223" s="108"/>
    </row>
    <row r="224" spans="3:41">
      <c r="E224" s="74"/>
      <c r="F224" s="74"/>
      <c r="G224" s="73"/>
      <c r="H224" s="73"/>
      <c r="AO224" s="108"/>
    </row>
    <row r="225" spans="5:41">
      <c r="E225" s="74"/>
      <c r="F225" s="74"/>
      <c r="G225" s="73"/>
      <c r="H225" s="73"/>
      <c r="AO225" s="108"/>
    </row>
    <row r="226" spans="5:41">
      <c r="E226" s="74"/>
      <c r="F226" s="74"/>
      <c r="G226" s="73"/>
      <c r="H226" s="73"/>
      <c r="AO226" s="108"/>
    </row>
    <row r="227" spans="5:41">
      <c r="E227" s="74"/>
      <c r="F227" s="74"/>
      <c r="G227" s="73"/>
      <c r="H227" s="73"/>
      <c r="AO227" s="108"/>
    </row>
    <row r="228" spans="5:41">
      <c r="E228" s="74"/>
      <c r="F228" s="74"/>
      <c r="G228" s="73"/>
      <c r="H228" s="73"/>
      <c r="AO228" s="108"/>
    </row>
    <row r="229" spans="5:41">
      <c r="E229" s="74"/>
      <c r="F229" s="74"/>
      <c r="G229" s="73"/>
      <c r="H229" s="73"/>
      <c r="AO229" s="108"/>
    </row>
    <row r="230" spans="5:41">
      <c r="E230" s="74"/>
      <c r="F230" s="74"/>
      <c r="G230" s="73"/>
      <c r="H230" s="73"/>
      <c r="AO230" s="108"/>
    </row>
    <row r="231" spans="5:41">
      <c r="E231" s="74"/>
      <c r="F231" s="74"/>
      <c r="G231" s="73"/>
      <c r="H231" s="73"/>
      <c r="AO231" s="108"/>
    </row>
    <row r="232" spans="5:41">
      <c r="E232" s="74"/>
      <c r="F232" s="74"/>
      <c r="G232" s="73"/>
      <c r="H232" s="73"/>
      <c r="AO232" s="108"/>
    </row>
    <row r="233" spans="5:41">
      <c r="E233" s="74"/>
      <c r="F233" s="74"/>
      <c r="G233" s="73"/>
      <c r="H233" s="73"/>
      <c r="AO233" s="108"/>
    </row>
    <row r="234" spans="5:41">
      <c r="E234" s="74"/>
      <c r="F234" s="74"/>
      <c r="G234" s="73"/>
      <c r="H234" s="73"/>
      <c r="AO234" s="108"/>
    </row>
    <row r="235" spans="5:41">
      <c r="E235" s="74"/>
      <c r="F235" s="74"/>
      <c r="G235" s="73"/>
      <c r="H235" s="73"/>
      <c r="AO235" s="108"/>
    </row>
    <row r="236" spans="5:41">
      <c r="E236" s="74"/>
      <c r="F236" s="74"/>
      <c r="G236" s="73"/>
      <c r="H236" s="73"/>
      <c r="AO236" s="108"/>
    </row>
    <row r="237" spans="5:41">
      <c r="E237" s="74"/>
      <c r="F237" s="74"/>
      <c r="G237" s="73"/>
      <c r="H237" s="73"/>
      <c r="AO237" s="108"/>
    </row>
    <row r="238" spans="5:41">
      <c r="E238" s="74"/>
      <c r="F238" s="74"/>
      <c r="G238" s="73"/>
      <c r="H238" s="73"/>
      <c r="AO238" s="108"/>
    </row>
    <row r="239" spans="5:41">
      <c r="E239" s="74"/>
      <c r="F239" s="74"/>
      <c r="G239" s="73"/>
      <c r="H239" s="73"/>
      <c r="AO239" s="108"/>
    </row>
    <row r="240" spans="5:41">
      <c r="E240" s="74"/>
      <c r="F240" s="74"/>
      <c r="G240" s="73"/>
      <c r="H240" s="73"/>
      <c r="AO240" s="108"/>
    </row>
    <row r="241" spans="5:42">
      <c r="E241" s="74"/>
      <c r="F241" s="74"/>
      <c r="G241" s="73"/>
      <c r="H241" s="73"/>
      <c r="AO241" s="108"/>
    </row>
    <row r="242" spans="5:42">
      <c r="E242" s="74"/>
      <c r="F242" s="74"/>
      <c r="G242" s="73"/>
      <c r="H242" s="73"/>
      <c r="AO242" s="108"/>
    </row>
    <row r="243" spans="5:42">
      <c r="E243" s="74"/>
      <c r="F243" s="74"/>
      <c r="G243" s="73"/>
      <c r="H243" s="73"/>
      <c r="AO243" s="108"/>
    </row>
    <row r="244" spans="5:42">
      <c r="E244" s="74"/>
      <c r="F244" s="74"/>
      <c r="G244" s="73"/>
      <c r="H244" s="73"/>
      <c r="AO244" s="108"/>
    </row>
    <row r="245" spans="5:42">
      <c r="E245" s="74"/>
      <c r="F245" s="74"/>
      <c r="G245" s="73"/>
      <c r="H245" s="73"/>
      <c r="AO245" s="108"/>
    </row>
    <row r="246" spans="5:42">
      <c r="F246" s="74"/>
      <c r="H246" s="73"/>
      <c r="AN246" s="107"/>
      <c r="AO246" s="73"/>
      <c r="AP246" s="110"/>
    </row>
    <row r="247" spans="5:42">
      <c r="F247" s="74"/>
      <c r="H247" s="73"/>
      <c r="AN247" s="107"/>
      <c r="AO247" s="73"/>
      <c r="AP247" s="110"/>
    </row>
    <row r="248" spans="5:42">
      <c r="F248" s="74"/>
      <c r="H248" s="73"/>
      <c r="AN248" s="107"/>
      <c r="AO248" s="73"/>
      <c r="AP248" s="110"/>
    </row>
    <row r="249" spans="5:42">
      <c r="F249" s="74"/>
      <c r="H249" s="73"/>
      <c r="AN249" s="107"/>
      <c r="AO249" s="73"/>
      <c r="AP249" s="110"/>
    </row>
    <row r="250" spans="5:42">
      <c r="F250" s="74"/>
      <c r="H250" s="73"/>
      <c r="AN250" s="107"/>
      <c r="AO250" s="73"/>
      <c r="AP250" s="110"/>
    </row>
    <row r="251" spans="5:42">
      <c r="F251" s="74"/>
      <c r="H251" s="73"/>
      <c r="AN251" s="107"/>
      <c r="AO251" s="73"/>
      <c r="AP251" s="110"/>
    </row>
    <row r="252" spans="5:42">
      <c r="F252" s="74"/>
      <c r="H252" s="73"/>
      <c r="AN252" s="107"/>
      <c r="AO252" s="73"/>
      <c r="AP252" s="110"/>
    </row>
    <row r="253" spans="5:42">
      <c r="F253" s="74"/>
      <c r="H253" s="73"/>
      <c r="AN253" s="107"/>
      <c r="AO253" s="73"/>
      <c r="AP253" s="110"/>
    </row>
    <row r="254" spans="5:42">
      <c r="F254" s="74"/>
      <c r="H254" s="73"/>
      <c r="AN254" s="107"/>
      <c r="AO254" s="73"/>
      <c r="AP254" s="110"/>
    </row>
    <row r="255" spans="5:42">
      <c r="F255" s="74"/>
      <c r="H255" s="73"/>
      <c r="AN255" s="107"/>
      <c r="AO255" s="73"/>
      <c r="AP255" s="110"/>
    </row>
    <row r="256" spans="5:42">
      <c r="F256" s="74"/>
      <c r="H256" s="73"/>
      <c r="AN256" s="107"/>
      <c r="AO256" s="73"/>
      <c r="AP256" s="110"/>
    </row>
    <row r="257" spans="6:42">
      <c r="F257" s="74"/>
      <c r="H257" s="73"/>
      <c r="AN257" s="107"/>
      <c r="AO257" s="73"/>
      <c r="AP257" s="110"/>
    </row>
    <row r="258" spans="6:42">
      <c r="F258" s="74"/>
      <c r="H258" s="73"/>
      <c r="AN258" s="107"/>
      <c r="AO258" s="73"/>
      <c r="AP258" s="110"/>
    </row>
    <row r="259" spans="6:42">
      <c r="F259" s="74"/>
      <c r="H259" s="73"/>
      <c r="AN259" s="107"/>
      <c r="AO259" s="73"/>
      <c r="AP259" s="110"/>
    </row>
    <row r="260" spans="6:42">
      <c r="F260" s="74"/>
      <c r="H260" s="73"/>
      <c r="AN260" s="107"/>
      <c r="AO260" s="73"/>
      <c r="AP260" s="110"/>
    </row>
    <row r="261" spans="6:42">
      <c r="F261" s="74"/>
      <c r="H261" s="73"/>
      <c r="AN261" s="107"/>
      <c r="AO261" s="73"/>
      <c r="AP261" s="110"/>
    </row>
    <row r="262" spans="6:42">
      <c r="F262" s="74"/>
      <c r="H262" s="73"/>
      <c r="AN262" s="107"/>
      <c r="AO262" s="73"/>
      <c r="AP262" s="110"/>
    </row>
    <row r="263" spans="6:42">
      <c r="F263" s="74"/>
      <c r="H263" s="73"/>
      <c r="AN263" s="107"/>
      <c r="AO263" s="73"/>
      <c r="AP263" s="110"/>
    </row>
    <row r="264" spans="6:42">
      <c r="F264" s="74"/>
      <c r="H264" s="73"/>
      <c r="AN264" s="107"/>
      <c r="AO264" s="73"/>
      <c r="AP264" s="110"/>
    </row>
    <row r="265" spans="6:42">
      <c r="F265" s="74"/>
      <c r="H265" s="73"/>
      <c r="AN265" s="107"/>
      <c r="AO265" s="73"/>
      <c r="AP265" s="110"/>
    </row>
    <row r="266" spans="6:42">
      <c r="F266" s="74"/>
      <c r="H266" s="73"/>
      <c r="AN266" s="107"/>
      <c r="AO266" s="73"/>
      <c r="AP266" s="110"/>
    </row>
    <row r="267" spans="6:42">
      <c r="F267" s="74"/>
      <c r="H267" s="73"/>
      <c r="AN267" s="107"/>
      <c r="AO267" s="73"/>
      <c r="AP267" s="110"/>
    </row>
    <row r="268" spans="6:42">
      <c r="F268" s="74"/>
      <c r="H268" s="73"/>
      <c r="AN268" s="107"/>
      <c r="AO268" s="73"/>
      <c r="AP268" s="110"/>
    </row>
    <row r="269" spans="6:42">
      <c r="F269" s="74"/>
      <c r="H269" s="73"/>
      <c r="AN269" s="107"/>
      <c r="AO269" s="73"/>
      <c r="AP269" s="110"/>
    </row>
    <row r="270" spans="6:42">
      <c r="F270" s="74"/>
      <c r="H270" s="73"/>
      <c r="AN270" s="107"/>
      <c r="AO270" s="73"/>
      <c r="AP270" s="110"/>
    </row>
    <row r="271" spans="6:42">
      <c r="F271" s="74"/>
      <c r="H271" s="73"/>
      <c r="AN271" s="107"/>
      <c r="AO271" s="73"/>
      <c r="AP271" s="110"/>
    </row>
    <row r="272" spans="6:42">
      <c r="F272" s="74"/>
      <c r="H272" s="73"/>
      <c r="AN272" s="107"/>
      <c r="AO272" s="73"/>
      <c r="AP272" s="110"/>
    </row>
    <row r="273" spans="6:42">
      <c r="F273" s="74"/>
      <c r="H273" s="73"/>
      <c r="AN273" s="107"/>
      <c r="AO273" s="73"/>
      <c r="AP273" s="110"/>
    </row>
    <row r="274" spans="6:42">
      <c r="F274" s="74"/>
      <c r="H274" s="73"/>
      <c r="AN274" s="107"/>
      <c r="AO274" s="73"/>
      <c r="AP274" s="110"/>
    </row>
    <row r="275" spans="6:42">
      <c r="F275" s="74"/>
      <c r="H275" s="73"/>
      <c r="AN275" s="107"/>
      <c r="AO275" s="73"/>
      <c r="AP275" s="110"/>
    </row>
    <row r="276" spans="6:42">
      <c r="F276" s="74"/>
      <c r="H276" s="73"/>
      <c r="AN276" s="107"/>
      <c r="AO276" s="73"/>
      <c r="AP276" s="110"/>
    </row>
    <row r="277" spans="6:42">
      <c r="F277" s="74"/>
      <c r="H277" s="73"/>
      <c r="AN277" s="107"/>
      <c r="AO277" s="73"/>
      <c r="AP277" s="110"/>
    </row>
    <row r="278" spans="6:42">
      <c r="F278" s="74"/>
      <c r="H278" s="73"/>
      <c r="AN278" s="107"/>
      <c r="AO278" s="73"/>
      <c r="AP278" s="110"/>
    </row>
    <row r="279" spans="6:42">
      <c r="F279" s="74"/>
      <c r="H279" s="73"/>
      <c r="AN279" s="107"/>
      <c r="AO279" s="73"/>
      <c r="AP279" s="110"/>
    </row>
    <row r="280" spans="6:42">
      <c r="F280" s="74"/>
      <c r="H280" s="73"/>
      <c r="AN280" s="107"/>
      <c r="AO280" s="73"/>
      <c r="AP280" s="110"/>
    </row>
    <row r="281" spans="6:42">
      <c r="F281" s="74"/>
      <c r="H281" s="73"/>
      <c r="AN281" s="107"/>
      <c r="AO281" s="73"/>
      <c r="AP281" s="110"/>
    </row>
    <row r="282" spans="6:42">
      <c r="F282" s="74"/>
      <c r="H282" s="73"/>
      <c r="AN282" s="107"/>
      <c r="AO282" s="73"/>
      <c r="AP282" s="110"/>
    </row>
    <row r="283" spans="6:42">
      <c r="F283" s="74"/>
      <c r="H283" s="73"/>
      <c r="AN283" s="107"/>
      <c r="AO283" s="73"/>
      <c r="AP283" s="110"/>
    </row>
    <row r="284" spans="6:42">
      <c r="F284" s="74"/>
      <c r="H284" s="73"/>
      <c r="AN284" s="107"/>
      <c r="AO284" s="73"/>
      <c r="AP284" s="110"/>
    </row>
    <row r="285" spans="6:42">
      <c r="F285" s="74"/>
      <c r="H285" s="73"/>
      <c r="AN285" s="107"/>
      <c r="AO285" s="73"/>
      <c r="AP285" s="110"/>
    </row>
    <row r="286" spans="6:42">
      <c r="F286" s="74"/>
      <c r="H286" s="73"/>
      <c r="AN286" s="107"/>
      <c r="AO286" s="73"/>
      <c r="AP286" s="110"/>
    </row>
    <row r="287" spans="6:42">
      <c r="F287" s="74"/>
      <c r="H287" s="73"/>
      <c r="AN287" s="107"/>
      <c r="AO287" s="73"/>
      <c r="AP287" s="110"/>
    </row>
  </sheetData>
  <autoFilter ref="A5:AP206" xr:uid="{00000000-0001-0000-0500-000000000000}"/>
  <mergeCells count="10">
    <mergeCell ref="A193:H193"/>
    <mergeCell ref="A205:H205"/>
    <mergeCell ref="A206:H206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194:B204">
    <cfRule type="duplicateValues" dxfId="54" priority="117"/>
  </conditionalFormatting>
  <conditionalFormatting sqref="B207:B1048576 B1:B192">
    <cfRule type="duplicateValues" dxfId="53" priority="17"/>
  </conditionalFormatting>
  <conditionalFormatting sqref="B6:C192">
    <cfRule type="duplicateValues" dxfId="52" priority="150"/>
  </conditionalFormatting>
  <conditionalFormatting sqref="B194:C204">
    <cfRule type="duplicateValues" dxfId="51" priority="119"/>
  </conditionalFormatting>
  <conditionalFormatting sqref="B207:C1048576 B1:C5">
    <cfRule type="duplicateValues" dxfId="50" priority="41"/>
  </conditionalFormatting>
  <conditionalFormatting sqref="C5">
    <cfRule type="duplicateValues" dxfId="49" priority="34"/>
    <cfRule type="duplicateValues" dxfId="48" priority="35"/>
    <cfRule type="duplicateValues" dxfId="47" priority="36"/>
  </conditionalFormatting>
  <conditionalFormatting sqref="C6:C192">
    <cfRule type="duplicateValues" dxfId="46" priority="152"/>
    <cfRule type="duplicateValues" dxfId="45" priority="153"/>
    <cfRule type="duplicateValues" dxfId="44" priority="154"/>
    <cfRule type="duplicateValues" dxfId="43" priority="155"/>
  </conditionalFormatting>
  <conditionalFormatting sqref="C194:C204 E194:E204">
    <cfRule type="duplicateValues" dxfId="42" priority="121"/>
  </conditionalFormatting>
  <conditionalFormatting sqref="C194:C204">
    <cfRule type="duplicateValues" dxfId="41" priority="123"/>
    <cfRule type="duplicateValues" dxfId="40" priority="124"/>
    <cfRule type="duplicateValues" dxfId="39" priority="125"/>
  </conditionalFormatting>
  <conditionalFormatting sqref="C207:C1048576 C1:C5">
    <cfRule type="duplicateValues" dxfId="38" priority="18"/>
  </conditionalFormatting>
  <conditionalFormatting sqref="C207:C1048576 C4">
    <cfRule type="duplicateValues" dxfId="37" priority="33"/>
  </conditionalFormatting>
  <conditionalFormatting sqref="C207:C1048576 C4:C5">
    <cfRule type="duplicateValues" dxfId="36" priority="23"/>
    <cfRule type="duplicateValues" dxfId="35" priority="26"/>
    <cfRule type="duplicateValues" dxfId="34" priority="31"/>
  </conditionalFormatting>
  <conditionalFormatting sqref="C207:C1048576">
    <cfRule type="duplicateValues" dxfId="33" priority="27"/>
  </conditionalFormatting>
  <conditionalFormatting sqref="E5">
    <cfRule type="duplicateValues" dxfId="32" priority="37"/>
    <cfRule type="duplicateValues" dxfId="31" priority="38"/>
  </conditionalFormatting>
  <conditionalFormatting sqref="E194:E204">
    <cfRule type="duplicateValues" dxfId="30" priority="131"/>
    <cfRule type="duplicateValues" dxfId="29" priority="132"/>
    <cfRule type="duplicateValues" dxfId="28" priority="133"/>
  </conditionalFormatting>
  <conditionalFormatting sqref="E207:E1048576 C4:C5 E4:E5 C207:C1048576">
    <cfRule type="duplicateValues" dxfId="27" priority="28"/>
  </conditionalFormatting>
  <conditionalFormatting sqref="E207:E1048576 E1:E5">
    <cfRule type="duplicateValues" dxfId="26" priority="20"/>
  </conditionalFormatting>
  <conditionalFormatting sqref="E207:E1048576 E4:E5">
    <cfRule type="duplicateValues" dxfId="25" priority="22"/>
    <cfRule type="duplicateValues" dxfId="24" priority="25"/>
    <cfRule type="duplicateValues" dxfId="23" priority="30"/>
  </conditionalFormatting>
  <conditionalFormatting sqref="G6:H192">
    <cfRule type="duplicateValues" dxfId="22" priority="169"/>
  </conditionalFormatting>
  <conditionalFormatting sqref="G194:H204">
    <cfRule type="duplicateValues" dxfId="21" priority="141"/>
  </conditionalFormatting>
  <conditionalFormatting sqref="G207:H1048576 G1:H5">
    <cfRule type="duplicateValues" dxfId="20" priority="19"/>
  </conditionalFormatting>
  <conditionalFormatting sqref="H5">
    <cfRule type="duplicateValues" dxfId="19" priority="39"/>
    <cfRule type="duplicateValues" dxfId="18" priority="40"/>
  </conditionalFormatting>
  <conditionalFormatting sqref="H6:H192">
    <cfRule type="duplicateValues" dxfId="17" priority="171"/>
    <cfRule type="duplicateValues" dxfId="16" priority="172"/>
    <cfRule type="duplicateValues" dxfId="15" priority="173"/>
    <cfRule type="duplicateValues" dxfId="14" priority="174"/>
    <cfRule type="duplicateValues" dxfId="13" priority="175"/>
    <cfRule type="duplicateValues" dxfId="12" priority="176"/>
  </conditionalFormatting>
  <conditionalFormatting sqref="H194:H204">
    <cfRule type="duplicateValues" dxfId="11" priority="143"/>
    <cfRule type="duplicateValues" dxfId="10" priority="144"/>
    <cfRule type="duplicateValues" dxfId="9" priority="145"/>
    <cfRule type="duplicateValues" dxfId="8" priority="146"/>
    <cfRule type="duplicateValues" dxfId="7" priority="147"/>
    <cfRule type="duplicateValues" dxfId="6" priority="148"/>
  </conditionalFormatting>
  <conditionalFormatting sqref="H207:H1048576 H4">
    <cfRule type="duplicateValues" dxfId="5" priority="32"/>
  </conditionalFormatting>
  <conditionalFormatting sqref="H207:H1048576 H4:H5">
    <cfRule type="duplicateValues" dxfId="4" priority="21"/>
    <cfRule type="duplicateValues" dxfId="3" priority="24"/>
    <cfRule type="duplicateValues" dxfId="2" priority="29"/>
  </conditionalFormatting>
  <pageMargins left="0.7" right="0.7" top="0.75" bottom="0.75" header="0.3" footer="0.3"/>
  <pageSetup paperSize="9" scale="1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4"/>
  <sheetViews>
    <sheetView view="pageBreakPreview" zoomScaleNormal="100" zoomScaleSheetLayoutView="100" workbookViewId="0">
      <selection activeCell="I3" sqref="I3"/>
    </sheetView>
  </sheetViews>
  <sheetFormatPr defaultRowHeight="16.5"/>
  <cols>
    <col min="1" max="1" width="9" style="52"/>
    <col min="2" max="3" width="12.625" style="52" customWidth="1"/>
    <col min="4" max="4" width="16" style="52" bestFit="1" customWidth="1"/>
    <col min="5" max="5" width="31.375" style="52" bestFit="1" customWidth="1"/>
    <col min="6" max="6" width="10.625" style="52" customWidth="1"/>
    <col min="7" max="8" width="8.125" style="52" customWidth="1"/>
    <col min="9" max="9" width="13.625" style="52" customWidth="1"/>
    <col min="10" max="10" width="35.625" style="52" customWidth="1"/>
    <col min="11" max="12" width="9" style="52"/>
  </cols>
  <sheetData>
    <row r="1" spans="1:12" ht="35.1" customHeight="1">
      <c r="A1" s="295" t="s">
        <v>232</v>
      </c>
      <c r="B1" s="296"/>
      <c r="C1" s="296"/>
      <c r="D1" s="296"/>
      <c r="E1" s="296"/>
      <c r="F1" s="296"/>
      <c r="G1" s="296"/>
      <c r="H1" s="296"/>
      <c r="I1" s="296"/>
      <c r="J1" s="297"/>
    </row>
    <row r="2" spans="1:12" ht="20.100000000000001" customHeight="1">
      <c r="A2" s="298" t="s">
        <v>233</v>
      </c>
      <c r="B2" s="298" t="s">
        <v>234</v>
      </c>
      <c r="C2" s="298" t="s">
        <v>235</v>
      </c>
      <c r="D2" s="298" t="s">
        <v>236</v>
      </c>
      <c r="E2" s="298" t="s">
        <v>237</v>
      </c>
      <c r="F2" s="298" t="s">
        <v>238</v>
      </c>
      <c r="G2" s="298" t="s">
        <v>239</v>
      </c>
      <c r="H2" s="298" t="s">
        <v>240</v>
      </c>
      <c r="I2" s="111" t="s">
        <v>241</v>
      </c>
      <c r="J2" s="298" t="s">
        <v>242</v>
      </c>
    </row>
    <row r="3" spans="1:12" ht="20.100000000000001" customHeight="1">
      <c r="A3" s="298"/>
      <c r="B3" s="298"/>
      <c r="C3" s="298"/>
      <c r="D3" s="298"/>
      <c r="E3" s="298"/>
      <c r="F3" s="298"/>
      <c r="G3" s="298"/>
      <c r="H3" s="298"/>
      <c r="I3" s="112">
        <f>SUM(I4:I44)</f>
        <v>65210000</v>
      </c>
      <c r="J3" s="298"/>
      <c r="L3" s="113" t="s">
        <v>243</v>
      </c>
    </row>
    <row r="4" spans="1:12" ht="20.100000000000001" customHeight="1">
      <c r="A4" s="114">
        <v>1</v>
      </c>
      <c r="B4" s="123">
        <v>46234</v>
      </c>
      <c r="C4" s="114" t="s">
        <v>244</v>
      </c>
      <c r="D4" s="114" t="s">
        <v>1187</v>
      </c>
      <c r="E4" s="124" t="s">
        <v>1188</v>
      </c>
      <c r="F4" s="114" t="s">
        <v>711</v>
      </c>
      <c r="G4" s="114">
        <v>1</v>
      </c>
      <c r="H4" s="114">
        <v>6</v>
      </c>
      <c r="I4" s="115">
        <v>1400000</v>
      </c>
      <c r="J4" s="114" t="s">
        <v>246</v>
      </c>
      <c r="L4" s="116" t="s">
        <v>247</v>
      </c>
    </row>
    <row r="5" spans="1:12" ht="20.100000000000001" customHeight="1">
      <c r="A5" s="114">
        <v>2</v>
      </c>
      <c r="B5" s="123">
        <v>46234</v>
      </c>
      <c r="C5" s="114" t="s">
        <v>244</v>
      </c>
      <c r="D5" s="114" t="s">
        <v>1187</v>
      </c>
      <c r="E5" s="124" t="s">
        <v>669</v>
      </c>
      <c r="F5" s="114" t="s">
        <v>298</v>
      </c>
      <c r="G5" s="114">
        <v>1</v>
      </c>
      <c r="H5" s="114">
        <v>6</v>
      </c>
      <c r="I5" s="115">
        <v>1900000</v>
      </c>
      <c r="J5" s="114" t="s">
        <v>246</v>
      </c>
      <c r="L5" s="116" t="s">
        <v>248</v>
      </c>
    </row>
    <row r="6" spans="1:12" ht="20.100000000000001" customHeight="1">
      <c r="A6" s="114">
        <v>3</v>
      </c>
      <c r="B6" s="123">
        <v>46234</v>
      </c>
      <c r="C6" s="114" t="s">
        <v>244</v>
      </c>
      <c r="D6" s="114" t="s">
        <v>1187</v>
      </c>
      <c r="E6" s="124" t="s">
        <v>663</v>
      </c>
      <c r="F6" s="114" t="s">
        <v>306</v>
      </c>
      <c r="G6" s="114">
        <v>1</v>
      </c>
      <c r="H6" s="114">
        <v>6</v>
      </c>
      <c r="I6" s="115">
        <v>1700000</v>
      </c>
      <c r="J6" s="114" t="s">
        <v>246</v>
      </c>
      <c r="L6" s="116" t="s">
        <v>249</v>
      </c>
    </row>
    <row r="7" spans="1:12" ht="20.100000000000001" customHeight="1">
      <c r="A7" s="114">
        <v>4</v>
      </c>
      <c r="B7" s="123">
        <v>46234</v>
      </c>
      <c r="C7" s="114" t="s">
        <v>244</v>
      </c>
      <c r="D7" s="114" t="s">
        <v>1187</v>
      </c>
      <c r="E7" s="124" t="s">
        <v>664</v>
      </c>
      <c r="F7" s="114" t="s">
        <v>245</v>
      </c>
      <c r="G7" s="114">
        <v>1</v>
      </c>
      <c r="H7" s="114">
        <v>6</v>
      </c>
      <c r="I7" s="115">
        <v>1530000</v>
      </c>
      <c r="J7" s="114" t="s">
        <v>246</v>
      </c>
      <c r="L7" s="116" t="s">
        <v>250</v>
      </c>
    </row>
    <row r="8" spans="1:12" ht="20.100000000000001" customHeight="1">
      <c r="A8" s="114">
        <v>5</v>
      </c>
      <c r="B8" s="123">
        <v>46234</v>
      </c>
      <c r="C8" s="114" t="s">
        <v>244</v>
      </c>
      <c r="D8" s="114" t="s">
        <v>1187</v>
      </c>
      <c r="E8" s="124" t="s">
        <v>1189</v>
      </c>
      <c r="F8" s="114" t="s">
        <v>298</v>
      </c>
      <c r="G8" s="114">
        <v>1</v>
      </c>
      <c r="H8" s="114">
        <v>6</v>
      </c>
      <c r="I8" s="115">
        <v>1600000</v>
      </c>
      <c r="J8" s="114" t="s">
        <v>246</v>
      </c>
      <c r="L8" s="117" t="s">
        <v>251</v>
      </c>
    </row>
    <row r="9" spans="1:12" ht="20.100000000000001" customHeight="1">
      <c r="A9" s="114">
        <v>6</v>
      </c>
      <c r="B9" s="123">
        <v>46234</v>
      </c>
      <c r="C9" s="114" t="s">
        <v>244</v>
      </c>
      <c r="D9" s="114" t="s">
        <v>1187</v>
      </c>
      <c r="E9" s="124" t="s">
        <v>665</v>
      </c>
      <c r="F9" s="114" t="s">
        <v>245</v>
      </c>
      <c r="G9" s="114">
        <v>1</v>
      </c>
      <c r="H9" s="114">
        <v>6</v>
      </c>
      <c r="I9" s="115">
        <v>1600000</v>
      </c>
      <c r="J9" s="114" t="s">
        <v>246</v>
      </c>
      <c r="L9" s="117" t="s">
        <v>252</v>
      </c>
    </row>
    <row r="10" spans="1:12" ht="20.100000000000001" customHeight="1">
      <c r="A10" s="114">
        <v>7</v>
      </c>
      <c r="B10" s="123">
        <v>46234</v>
      </c>
      <c r="C10" s="114" t="s">
        <v>244</v>
      </c>
      <c r="D10" s="114" t="s">
        <v>1187</v>
      </c>
      <c r="E10" s="124" t="s">
        <v>666</v>
      </c>
      <c r="F10" s="114" t="s">
        <v>1206</v>
      </c>
      <c r="G10" s="114">
        <v>1</v>
      </c>
      <c r="H10" s="114">
        <v>6</v>
      </c>
      <c r="I10" s="115">
        <v>2000000</v>
      </c>
      <c r="J10" s="114" t="s">
        <v>246</v>
      </c>
      <c r="L10" s="117" t="s">
        <v>253</v>
      </c>
    </row>
    <row r="11" spans="1:12" ht="20.100000000000001" customHeight="1">
      <c r="A11" s="114">
        <v>8</v>
      </c>
      <c r="B11" s="123">
        <v>46234</v>
      </c>
      <c r="C11" s="114" t="s">
        <v>244</v>
      </c>
      <c r="D11" s="114" t="s">
        <v>1187</v>
      </c>
      <c r="E11" s="124" t="s">
        <v>667</v>
      </c>
      <c r="F11" s="114" t="s">
        <v>245</v>
      </c>
      <c r="G11" s="114">
        <v>1</v>
      </c>
      <c r="H11" s="114">
        <v>6</v>
      </c>
      <c r="I11" s="115">
        <v>1800000</v>
      </c>
      <c r="J11" s="114" t="s">
        <v>246</v>
      </c>
      <c r="L11" s="117"/>
    </row>
    <row r="12" spans="1:12" ht="20.100000000000001" customHeight="1">
      <c r="A12" s="114">
        <v>9</v>
      </c>
      <c r="B12" s="123">
        <v>46234</v>
      </c>
      <c r="C12" s="114" t="s">
        <v>244</v>
      </c>
      <c r="D12" s="114" t="s">
        <v>1187</v>
      </c>
      <c r="E12" s="124" t="s">
        <v>668</v>
      </c>
      <c r="F12" s="114" t="s">
        <v>684</v>
      </c>
      <c r="G12" s="114">
        <v>1</v>
      </c>
      <c r="H12" s="114">
        <v>6</v>
      </c>
      <c r="I12" s="115">
        <v>1700000</v>
      </c>
      <c r="J12" s="114" t="s">
        <v>246</v>
      </c>
      <c r="L12" s="113" t="s">
        <v>254</v>
      </c>
    </row>
    <row r="13" spans="1:12" ht="20.100000000000001" customHeight="1">
      <c r="A13" s="114">
        <v>10</v>
      </c>
      <c r="B13" s="123">
        <v>46234</v>
      </c>
      <c r="C13" s="114" t="s">
        <v>244</v>
      </c>
      <c r="D13" s="114" t="s">
        <v>1187</v>
      </c>
      <c r="E13" s="124" t="s">
        <v>670</v>
      </c>
      <c r="F13" s="114" t="s">
        <v>298</v>
      </c>
      <c r="G13" s="114">
        <v>1</v>
      </c>
      <c r="H13" s="114">
        <v>6</v>
      </c>
      <c r="I13" s="115">
        <v>1600000</v>
      </c>
      <c r="J13" s="114" t="s">
        <v>246</v>
      </c>
    </row>
    <row r="14" spans="1:12" ht="20.100000000000001" customHeight="1">
      <c r="A14" s="114">
        <v>11</v>
      </c>
      <c r="B14" s="123">
        <v>46234</v>
      </c>
      <c r="C14" s="114" t="s">
        <v>244</v>
      </c>
      <c r="D14" s="114" t="s">
        <v>1187</v>
      </c>
      <c r="E14" s="124" t="s">
        <v>1190</v>
      </c>
      <c r="F14" s="114" t="s">
        <v>298</v>
      </c>
      <c r="G14" s="114">
        <v>1</v>
      </c>
      <c r="H14" s="114">
        <v>6</v>
      </c>
      <c r="I14" s="115">
        <v>1900000</v>
      </c>
      <c r="J14" s="114" t="s">
        <v>246</v>
      </c>
    </row>
    <row r="15" spans="1:12" ht="20.100000000000001" customHeight="1">
      <c r="A15" s="114">
        <v>12</v>
      </c>
      <c r="B15" s="123">
        <v>46234</v>
      </c>
      <c r="C15" s="114" t="s">
        <v>244</v>
      </c>
      <c r="D15" s="114" t="s">
        <v>1187</v>
      </c>
      <c r="E15" s="124" t="s">
        <v>671</v>
      </c>
      <c r="F15" s="114" t="s">
        <v>298</v>
      </c>
      <c r="G15" s="114">
        <v>1</v>
      </c>
      <c r="H15" s="114">
        <v>6</v>
      </c>
      <c r="I15" s="115">
        <v>1800000</v>
      </c>
      <c r="J15" s="114" t="s">
        <v>246</v>
      </c>
    </row>
    <row r="16" spans="1:12" ht="20.100000000000001" customHeight="1">
      <c r="A16" s="114">
        <v>13</v>
      </c>
      <c r="B16" s="123">
        <v>46234</v>
      </c>
      <c r="C16" s="114" t="s">
        <v>244</v>
      </c>
      <c r="D16" s="114" t="s">
        <v>1187</v>
      </c>
      <c r="E16" s="124" t="s">
        <v>672</v>
      </c>
      <c r="F16" s="114" t="s">
        <v>245</v>
      </c>
      <c r="G16" s="114">
        <v>1</v>
      </c>
      <c r="H16" s="114">
        <v>6</v>
      </c>
      <c r="I16" s="115">
        <v>1700000</v>
      </c>
      <c r="J16" s="114" t="s">
        <v>246</v>
      </c>
    </row>
    <row r="17" spans="1:10" ht="20.100000000000001" customHeight="1">
      <c r="A17" s="114">
        <v>14</v>
      </c>
      <c r="B17" s="123">
        <v>46234</v>
      </c>
      <c r="C17" s="114" t="s">
        <v>244</v>
      </c>
      <c r="D17" s="114" t="s">
        <v>1187</v>
      </c>
      <c r="E17" s="124" t="s">
        <v>673</v>
      </c>
      <c r="F17" s="114" t="s">
        <v>298</v>
      </c>
      <c r="G17" s="114">
        <v>1</v>
      </c>
      <c r="H17" s="114">
        <v>6</v>
      </c>
      <c r="I17" s="115">
        <v>1600000</v>
      </c>
      <c r="J17" s="114" t="s">
        <v>246</v>
      </c>
    </row>
    <row r="18" spans="1:10" ht="20.100000000000001" customHeight="1">
      <c r="A18" s="114">
        <v>15</v>
      </c>
      <c r="B18" s="123">
        <v>46234</v>
      </c>
      <c r="C18" s="114" t="s">
        <v>244</v>
      </c>
      <c r="D18" s="114" t="s">
        <v>1187</v>
      </c>
      <c r="E18" s="124" t="s">
        <v>674</v>
      </c>
      <c r="F18" s="114" t="s">
        <v>298</v>
      </c>
      <c r="G18" s="114">
        <v>1</v>
      </c>
      <c r="H18" s="114">
        <v>6</v>
      </c>
      <c r="I18" s="115">
        <v>1650000</v>
      </c>
      <c r="J18" s="114" t="s">
        <v>246</v>
      </c>
    </row>
    <row r="19" spans="1:10" ht="20.100000000000001" customHeight="1">
      <c r="A19" s="114">
        <v>16</v>
      </c>
      <c r="B19" s="123">
        <v>46234</v>
      </c>
      <c r="C19" s="114" t="s">
        <v>244</v>
      </c>
      <c r="D19" s="114" t="s">
        <v>1187</v>
      </c>
      <c r="E19" s="124" t="s">
        <v>675</v>
      </c>
      <c r="F19" s="114" t="s">
        <v>245</v>
      </c>
      <c r="G19" s="114">
        <v>1</v>
      </c>
      <c r="H19" s="114">
        <v>6</v>
      </c>
      <c r="I19" s="115">
        <v>1900000</v>
      </c>
      <c r="J19" s="114" t="s">
        <v>246</v>
      </c>
    </row>
    <row r="20" spans="1:10" ht="20.100000000000001" customHeight="1">
      <c r="A20" s="114">
        <v>17</v>
      </c>
      <c r="B20" s="123">
        <v>46234</v>
      </c>
      <c r="C20" s="114" t="s">
        <v>244</v>
      </c>
      <c r="D20" s="114" t="s">
        <v>1187</v>
      </c>
      <c r="E20" s="124" t="s">
        <v>676</v>
      </c>
      <c r="F20" s="114" t="s">
        <v>298</v>
      </c>
      <c r="G20" s="114">
        <v>1</v>
      </c>
      <c r="H20" s="114">
        <v>4</v>
      </c>
      <c r="I20" s="115">
        <v>1400000</v>
      </c>
      <c r="J20" s="114" t="s">
        <v>246</v>
      </c>
    </row>
    <row r="21" spans="1:10" ht="20.100000000000001" customHeight="1">
      <c r="A21" s="114">
        <v>18</v>
      </c>
      <c r="B21" s="123">
        <v>46234</v>
      </c>
      <c r="C21" s="114" t="s">
        <v>244</v>
      </c>
      <c r="D21" s="114" t="s">
        <v>1187</v>
      </c>
      <c r="E21" s="124" t="s">
        <v>677</v>
      </c>
      <c r="F21" s="114" t="s">
        <v>684</v>
      </c>
      <c r="G21" s="114">
        <v>1</v>
      </c>
      <c r="H21" s="114">
        <v>6</v>
      </c>
      <c r="I21" s="115">
        <v>1800000</v>
      </c>
      <c r="J21" s="114" t="s">
        <v>246</v>
      </c>
    </row>
    <row r="22" spans="1:10" ht="20.100000000000001" customHeight="1">
      <c r="A22" s="114">
        <v>19</v>
      </c>
      <c r="B22" s="123">
        <v>46234</v>
      </c>
      <c r="C22" s="114" t="s">
        <v>244</v>
      </c>
      <c r="D22" s="114" t="s">
        <v>1187</v>
      </c>
      <c r="E22" s="124" t="s">
        <v>678</v>
      </c>
      <c r="F22" s="114" t="s">
        <v>298</v>
      </c>
      <c r="G22" s="114">
        <v>1</v>
      </c>
      <c r="H22" s="114">
        <v>6</v>
      </c>
      <c r="I22" s="115">
        <v>1650000</v>
      </c>
      <c r="J22" s="114" t="s">
        <v>246</v>
      </c>
    </row>
    <row r="23" spans="1:10" ht="20.100000000000001" customHeight="1">
      <c r="A23" s="114">
        <v>20</v>
      </c>
      <c r="B23" s="123">
        <v>46234</v>
      </c>
      <c r="C23" s="114" t="s">
        <v>244</v>
      </c>
      <c r="D23" s="114" t="s">
        <v>1187</v>
      </c>
      <c r="E23" s="124" t="s">
        <v>1191</v>
      </c>
      <c r="F23" s="114" t="s">
        <v>683</v>
      </c>
      <c r="G23" s="114">
        <v>1</v>
      </c>
      <c r="H23" s="114">
        <v>6</v>
      </c>
      <c r="I23" s="115">
        <v>1500000</v>
      </c>
      <c r="J23" s="114" t="s">
        <v>246</v>
      </c>
    </row>
    <row r="24" spans="1:10" ht="20.100000000000001" customHeight="1">
      <c r="A24" s="114">
        <v>21</v>
      </c>
      <c r="B24" s="123">
        <v>46234</v>
      </c>
      <c r="C24" s="114" t="s">
        <v>244</v>
      </c>
      <c r="D24" s="114" t="s">
        <v>1187</v>
      </c>
      <c r="E24" s="124" t="s">
        <v>1192</v>
      </c>
      <c r="F24" s="114" t="s">
        <v>684</v>
      </c>
      <c r="G24" s="114">
        <v>1</v>
      </c>
      <c r="H24" s="114">
        <v>6</v>
      </c>
      <c r="I24" s="115">
        <v>1650000</v>
      </c>
      <c r="J24" s="114" t="s">
        <v>246</v>
      </c>
    </row>
    <row r="25" spans="1:10" ht="20.100000000000001" customHeight="1">
      <c r="A25" s="114">
        <v>22</v>
      </c>
      <c r="B25" s="123">
        <v>46234</v>
      </c>
      <c r="C25" s="114" t="s">
        <v>244</v>
      </c>
      <c r="D25" s="114" t="s">
        <v>1187</v>
      </c>
      <c r="E25" s="124" t="s">
        <v>679</v>
      </c>
      <c r="F25" s="114" t="s">
        <v>245</v>
      </c>
      <c r="G25" s="114">
        <v>1</v>
      </c>
      <c r="H25" s="114">
        <v>6</v>
      </c>
      <c r="I25" s="115">
        <v>1600000</v>
      </c>
      <c r="J25" s="114" t="s">
        <v>246</v>
      </c>
    </row>
    <row r="26" spans="1:10" ht="20.100000000000001" customHeight="1">
      <c r="A26" s="114">
        <v>23</v>
      </c>
      <c r="B26" s="123">
        <v>46234</v>
      </c>
      <c r="C26" s="114" t="s">
        <v>244</v>
      </c>
      <c r="D26" s="114" t="s">
        <v>1187</v>
      </c>
      <c r="E26" s="124" t="s">
        <v>680</v>
      </c>
      <c r="F26" s="114" t="s">
        <v>684</v>
      </c>
      <c r="G26" s="114">
        <v>1</v>
      </c>
      <c r="H26" s="114">
        <v>6</v>
      </c>
      <c r="I26" s="115">
        <v>1500000</v>
      </c>
      <c r="J26" s="114" t="s">
        <v>246</v>
      </c>
    </row>
    <row r="27" spans="1:10" ht="20.100000000000001" customHeight="1">
      <c r="A27" s="114">
        <v>24</v>
      </c>
      <c r="B27" s="123">
        <v>46234</v>
      </c>
      <c r="C27" s="114" t="s">
        <v>244</v>
      </c>
      <c r="D27" s="114" t="s">
        <v>1187</v>
      </c>
      <c r="E27" s="124" t="s">
        <v>681</v>
      </c>
      <c r="F27" s="114" t="s">
        <v>298</v>
      </c>
      <c r="G27" s="114">
        <v>1</v>
      </c>
      <c r="H27" s="114">
        <v>6</v>
      </c>
      <c r="I27" s="115">
        <v>1800000</v>
      </c>
      <c r="J27" s="114" t="s">
        <v>246</v>
      </c>
    </row>
    <row r="28" spans="1:10" ht="20.100000000000001" customHeight="1">
      <c r="A28" s="114">
        <v>25</v>
      </c>
      <c r="B28" s="123">
        <v>46234</v>
      </c>
      <c r="C28" s="114" t="s">
        <v>244</v>
      </c>
      <c r="D28" s="114" t="s">
        <v>1187</v>
      </c>
      <c r="E28" s="124" t="s">
        <v>682</v>
      </c>
      <c r="F28" s="114" t="s">
        <v>245</v>
      </c>
      <c r="G28" s="114">
        <v>1</v>
      </c>
      <c r="H28" s="114">
        <v>6</v>
      </c>
      <c r="I28" s="115">
        <v>1600000</v>
      </c>
      <c r="J28" s="114" t="s">
        <v>246</v>
      </c>
    </row>
    <row r="29" spans="1:10" ht="19.5" customHeight="1">
      <c r="A29" s="114">
        <v>26</v>
      </c>
      <c r="B29" s="123">
        <v>46234</v>
      </c>
      <c r="C29" s="114" t="s">
        <v>244</v>
      </c>
      <c r="D29" s="114" t="s">
        <v>1187</v>
      </c>
      <c r="E29" s="124" t="s">
        <v>1193</v>
      </c>
      <c r="F29" s="114" t="s">
        <v>298</v>
      </c>
      <c r="G29" s="114">
        <v>1</v>
      </c>
      <c r="H29" s="114">
        <v>6</v>
      </c>
      <c r="I29" s="115">
        <v>1630000</v>
      </c>
      <c r="J29" s="114" t="s">
        <v>246</v>
      </c>
    </row>
    <row r="30" spans="1:10" ht="19.5" customHeight="1">
      <c r="A30" s="114">
        <v>27</v>
      </c>
      <c r="B30" s="123">
        <v>46234</v>
      </c>
      <c r="C30" s="114" t="s">
        <v>244</v>
      </c>
      <c r="D30" s="114" t="s">
        <v>1187</v>
      </c>
      <c r="E30" s="124" t="s">
        <v>1194</v>
      </c>
      <c r="F30" s="114" t="s">
        <v>298</v>
      </c>
      <c r="G30" s="114">
        <v>1</v>
      </c>
      <c r="H30" s="114">
        <v>6</v>
      </c>
      <c r="I30" s="115">
        <v>1050000</v>
      </c>
      <c r="J30" s="114" t="s">
        <v>246</v>
      </c>
    </row>
    <row r="31" spans="1:10" ht="19.5" customHeight="1">
      <c r="A31" s="114">
        <v>28</v>
      </c>
      <c r="B31" s="123">
        <v>46234</v>
      </c>
      <c r="C31" s="114" t="s">
        <v>244</v>
      </c>
      <c r="D31" s="114" t="s">
        <v>1187</v>
      </c>
      <c r="E31" s="124" t="s">
        <v>1195</v>
      </c>
      <c r="F31" s="114" t="s">
        <v>684</v>
      </c>
      <c r="G31" s="114">
        <v>1</v>
      </c>
      <c r="H31" s="114">
        <v>6</v>
      </c>
      <c r="I31" s="115">
        <v>1600000</v>
      </c>
      <c r="J31" s="114" t="s">
        <v>246</v>
      </c>
    </row>
    <row r="32" spans="1:10" ht="19.5" customHeight="1">
      <c r="A32" s="114">
        <v>29</v>
      </c>
      <c r="B32" s="123">
        <v>46234</v>
      </c>
      <c r="C32" s="114" t="s">
        <v>244</v>
      </c>
      <c r="D32" s="114" t="s">
        <v>1187</v>
      </c>
      <c r="E32" s="124" t="s">
        <v>1196</v>
      </c>
      <c r="F32" s="114" t="s">
        <v>298</v>
      </c>
      <c r="G32" s="114">
        <v>1</v>
      </c>
      <c r="H32" s="114">
        <v>6</v>
      </c>
      <c r="I32" s="115">
        <v>1550000</v>
      </c>
      <c r="J32" s="114" t="s">
        <v>246</v>
      </c>
    </row>
    <row r="33" spans="1:10" ht="19.5" customHeight="1">
      <c r="A33" s="114">
        <v>30</v>
      </c>
      <c r="B33" s="123">
        <v>46234</v>
      </c>
      <c r="C33" s="114" t="s">
        <v>244</v>
      </c>
      <c r="D33" s="114" t="s">
        <v>1187</v>
      </c>
      <c r="E33" s="124" t="s">
        <v>1197</v>
      </c>
      <c r="F33" s="114" t="s">
        <v>684</v>
      </c>
      <c r="G33" s="114">
        <v>1</v>
      </c>
      <c r="H33" s="114">
        <v>6</v>
      </c>
      <c r="I33" s="115">
        <v>1550000</v>
      </c>
      <c r="J33" s="114" t="s">
        <v>246</v>
      </c>
    </row>
    <row r="34" spans="1:10" ht="19.5" customHeight="1">
      <c r="A34" s="114">
        <v>31</v>
      </c>
      <c r="B34" s="123">
        <v>46234</v>
      </c>
      <c r="C34" s="114" t="s">
        <v>244</v>
      </c>
      <c r="D34" s="114" t="s">
        <v>1187</v>
      </c>
      <c r="E34" s="124" t="s">
        <v>1198</v>
      </c>
      <c r="F34" s="114" t="s">
        <v>245</v>
      </c>
      <c r="G34" s="114">
        <v>1</v>
      </c>
      <c r="H34" s="114">
        <v>6</v>
      </c>
      <c r="I34" s="115">
        <v>1550000</v>
      </c>
      <c r="J34" s="114" t="s">
        <v>246</v>
      </c>
    </row>
    <row r="35" spans="1:10" ht="20.100000000000001" customHeight="1">
      <c r="A35" s="114">
        <v>32</v>
      </c>
      <c r="B35" s="123">
        <v>46234</v>
      </c>
      <c r="C35" s="114" t="s">
        <v>244</v>
      </c>
      <c r="D35" s="114" t="s">
        <v>1187</v>
      </c>
      <c r="E35" s="124" t="s">
        <v>1199</v>
      </c>
      <c r="F35" s="114" t="s">
        <v>684</v>
      </c>
      <c r="G35" s="114">
        <v>1</v>
      </c>
      <c r="H35" s="114">
        <v>6</v>
      </c>
      <c r="I35" s="115">
        <v>1550000</v>
      </c>
      <c r="J35" s="114" t="s">
        <v>246</v>
      </c>
    </row>
    <row r="36" spans="1:10" ht="20.100000000000001" customHeight="1">
      <c r="A36" s="114">
        <v>33</v>
      </c>
      <c r="B36" s="123">
        <v>46234</v>
      </c>
      <c r="C36" s="114" t="s">
        <v>244</v>
      </c>
      <c r="D36" s="114" t="s">
        <v>1187</v>
      </c>
      <c r="E36" s="124" t="s">
        <v>1200</v>
      </c>
      <c r="F36" s="114" t="s">
        <v>298</v>
      </c>
      <c r="G36" s="114">
        <v>1</v>
      </c>
      <c r="H36" s="114">
        <v>6</v>
      </c>
      <c r="I36" s="115">
        <v>1550000</v>
      </c>
      <c r="J36" s="114" t="s">
        <v>246</v>
      </c>
    </row>
    <row r="37" spans="1:10" ht="20.100000000000001" customHeight="1">
      <c r="A37" s="114">
        <v>34</v>
      </c>
      <c r="B37" s="123">
        <v>46234</v>
      </c>
      <c r="C37" s="114" t="s">
        <v>244</v>
      </c>
      <c r="D37" s="114" t="s">
        <v>1187</v>
      </c>
      <c r="E37" s="124" t="s">
        <v>1201</v>
      </c>
      <c r="F37" s="114" t="s">
        <v>684</v>
      </c>
      <c r="G37" s="114">
        <v>1</v>
      </c>
      <c r="H37" s="114">
        <v>6</v>
      </c>
      <c r="I37" s="115">
        <v>1600000</v>
      </c>
      <c r="J37" s="114" t="s">
        <v>246</v>
      </c>
    </row>
    <row r="38" spans="1:10" ht="20.100000000000001" customHeight="1">
      <c r="A38" s="114">
        <v>35</v>
      </c>
      <c r="B38" s="123">
        <v>46234</v>
      </c>
      <c r="C38" s="114" t="s">
        <v>244</v>
      </c>
      <c r="D38" s="114" t="s">
        <v>1187</v>
      </c>
      <c r="E38" s="124" t="s">
        <v>1202</v>
      </c>
      <c r="F38" s="114" t="s">
        <v>684</v>
      </c>
      <c r="G38" s="114">
        <v>1</v>
      </c>
      <c r="H38" s="114">
        <v>6</v>
      </c>
      <c r="I38" s="115">
        <v>1550000</v>
      </c>
      <c r="J38" s="114" t="s">
        <v>246</v>
      </c>
    </row>
    <row r="39" spans="1:10" ht="19.5" customHeight="1">
      <c r="A39" s="114">
        <v>36</v>
      </c>
      <c r="B39" s="123">
        <v>46234</v>
      </c>
      <c r="C39" s="114" t="s">
        <v>244</v>
      </c>
      <c r="D39" s="114" t="s">
        <v>1187</v>
      </c>
      <c r="E39" s="124" t="s">
        <v>1203</v>
      </c>
      <c r="F39" s="114" t="s">
        <v>298</v>
      </c>
      <c r="G39" s="114">
        <v>1</v>
      </c>
      <c r="H39" s="114">
        <v>4</v>
      </c>
      <c r="I39" s="115">
        <v>1200000</v>
      </c>
      <c r="J39" s="114" t="s">
        <v>246</v>
      </c>
    </row>
    <row r="40" spans="1:10" ht="19.5" customHeight="1">
      <c r="A40" s="114">
        <v>37</v>
      </c>
      <c r="B40" s="123">
        <v>46234</v>
      </c>
      <c r="C40" s="114" t="s">
        <v>244</v>
      </c>
      <c r="D40" s="114" t="s">
        <v>1187</v>
      </c>
      <c r="E40" s="124" t="s">
        <v>1204</v>
      </c>
      <c r="F40" s="114" t="s">
        <v>298</v>
      </c>
      <c r="G40" s="114">
        <v>1</v>
      </c>
      <c r="H40" s="114">
        <v>6</v>
      </c>
      <c r="I40" s="115">
        <v>1400000</v>
      </c>
      <c r="J40" s="114" t="s">
        <v>246</v>
      </c>
    </row>
    <row r="41" spans="1:10" ht="19.5" customHeight="1">
      <c r="A41" s="114">
        <v>38</v>
      </c>
      <c r="B41" s="123">
        <v>46234</v>
      </c>
      <c r="C41" s="114" t="s">
        <v>244</v>
      </c>
      <c r="D41" s="114" t="s">
        <v>1187</v>
      </c>
      <c r="E41" s="124" t="s">
        <v>1205</v>
      </c>
      <c r="F41" s="114" t="s">
        <v>683</v>
      </c>
      <c r="G41" s="114">
        <v>1</v>
      </c>
      <c r="H41" s="114">
        <v>6</v>
      </c>
      <c r="I41" s="115">
        <v>1400000</v>
      </c>
      <c r="J41" s="114" t="s">
        <v>246</v>
      </c>
    </row>
    <row r="42" spans="1:10" ht="19.5" customHeight="1">
      <c r="A42" s="114">
        <v>39</v>
      </c>
      <c r="B42" s="123">
        <v>46234</v>
      </c>
      <c r="C42" s="114" t="s">
        <v>244</v>
      </c>
      <c r="D42" s="114" t="s">
        <v>1187</v>
      </c>
      <c r="E42" s="124" t="s">
        <v>660</v>
      </c>
      <c r="F42" s="114" t="s">
        <v>683</v>
      </c>
      <c r="G42" s="114">
        <v>1</v>
      </c>
      <c r="H42" s="114">
        <v>4</v>
      </c>
      <c r="I42" s="115">
        <v>1300000</v>
      </c>
      <c r="J42" s="114" t="s">
        <v>246</v>
      </c>
    </row>
    <row r="43" spans="1:10" ht="19.5" customHeight="1">
      <c r="A43" s="114">
        <v>40</v>
      </c>
      <c r="B43" s="123">
        <v>46234</v>
      </c>
      <c r="C43" s="114" t="s">
        <v>244</v>
      </c>
      <c r="D43" s="114" t="s">
        <v>1187</v>
      </c>
      <c r="E43" s="124" t="s">
        <v>661</v>
      </c>
      <c r="F43" s="114" t="s">
        <v>245</v>
      </c>
      <c r="G43" s="114">
        <v>1</v>
      </c>
      <c r="H43" s="114">
        <v>6</v>
      </c>
      <c r="I43" s="115">
        <v>1550000</v>
      </c>
      <c r="J43" s="114" t="s">
        <v>246</v>
      </c>
    </row>
    <row r="44" spans="1:10" ht="19.5" customHeight="1">
      <c r="A44" s="114">
        <v>41</v>
      </c>
      <c r="B44" s="123">
        <v>46234</v>
      </c>
      <c r="C44" s="114" t="s">
        <v>244</v>
      </c>
      <c r="D44" s="114" t="s">
        <v>1187</v>
      </c>
      <c r="E44" s="124" t="s">
        <v>662</v>
      </c>
      <c r="F44" s="114" t="s">
        <v>298</v>
      </c>
      <c r="G44" s="114">
        <v>1</v>
      </c>
      <c r="H44" s="114">
        <v>4</v>
      </c>
      <c r="I44" s="115">
        <v>1300000</v>
      </c>
      <c r="J44" s="114" t="s">
        <v>246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44">
    <cfRule type="duplicateValues" dxfId="1" priority="1"/>
    <cfRule type="duplicateValues" dxfId="0" priority="2"/>
  </conditionalFormatting>
  <pageMargins left="0.7" right="0.7" top="0.75" bottom="0.75" header="0.3" footer="0.3"/>
  <pageSetup paperSize="9" scale="54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27"/>
  <sheetViews>
    <sheetView view="pageBreakPreview" zoomScaleNormal="100" zoomScaleSheetLayoutView="100" workbookViewId="0">
      <selection activeCell="L2" sqref="L2"/>
    </sheetView>
  </sheetViews>
  <sheetFormatPr defaultRowHeight="16.5"/>
  <cols>
    <col min="1" max="1" width="9" style="52"/>
    <col min="2" max="3" width="12.625" style="52" customWidth="1"/>
    <col min="4" max="4" width="16" style="52" bestFit="1" customWidth="1"/>
    <col min="5" max="5" width="31.375" style="52" bestFit="1" customWidth="1"/>
    <col min="6" max="6" width="12.5" style="52" bestFit="1" customWidth="1"/>
    <col min="7" max="8" width="8.125" style="52" customWidth="1"/>
    <col min="9" max="9" width="13.625" style="52" customWidth="1"/>
    <col min="10" max="10" width="35.625" style="52" customWidth="1"/>
  </cols>
  <sheetData>
    <row r="1" spans="1:10" ht="35.1" customHeight="1">
      <c r="A1" s="295" t="s">
        <v>255</v>
      </c>
      <c r="B1" s="296"/>
      <c r="C1" s="296"/>
      <c r="D1" s="296"/>
      <c r="E1" s="296"/>
      <c r="F1" s="296"/>
      <c r="G1" s="296"/>
      <c r="H1" s="296"/>
      <c r="I1" s="296"/>
      <c r="J1" s="297"/>
    </row>
    <row r="2" spans="1:10" ht="20.100000000000001" customHeight="1">
      <c r="A2" s="298" t="s">
        <v>256</v>
      </c>
      <c r="B2" s="298" t="s">
        <v>234</v>
      </c>
      <c r="C2" s="298" t="s">
        <v>257</v>
      </c>
      <c r="D2" s="298" t="s">
        <v>236</v>
      </c>
      <c r="E2" s="298" t="s">
        <v>237</v>
      </c>
      <c r="F2" s="298" t="s">
        <v>238</v>
      </c>
      <c r="G2" s="298" t="s">
        <v>258</v>
      </c>
      <c r="H2" s="298" t="s">
        <v>259</v>
      </c>
      <c r="I2" s="111" t="s">
        <v>299</v>
      </c>
      <c r="J2" s="298" t="s">
        <v>260</v>
      </c>
    </row>
    <row r="3" spans="1:10" ht="20.100000000000001" customHeight="1">
      <c r="A3" s="298"/>
      <c r="B3" s="298"/>
      <c r="C3" s="298"/>
      <c r="D3" s="298"/>
      <c r="E3" s="298"/>
      <c r="F3" s="298"/>
      <c r="G3" s="298"/>
      <c r="H3" s="298"/>
      <c r="I3" s="112">
        <f>SUM(I4:I127)</f>
        <v>3409210</v>
      </c>
      <c r="J3" s="298"/>
    </row>
    <row r="4" spans="1:10" ht="20.100000000000001" customHeight="1">
      <c r="A4" s="114">
        <v>1</v>
      </c>
      <c r="B4" s="123">
        <v>46234</v>
      </c>
      <c r="C4" s="114" t="s">
        <v>261</v>
      </c>
      <c r="D4" s="114" t="s">
        <v>1225</v>
      </c>
      <c r="E4" s="124" t="s">
        <v>1188</v>
      </c>
      <c r="F4" s="114" t="s">
        <v>1228</v>
      </c>
      <c r="G4" s="114">
        <v>1</v>
      </c>
      <c r="H4" s="114">
        <v>6</v>
      </c>
      <c r="I4" s="115" t="s">
        <v>1230</v>
      </c>
      <c r="J4" s="114" t="s">
        <v>246</v>
      </c>
    </row>
    <row r="5" spans="1:10" ht="20.100000000000001" customHeight="1">
      <c r="A5" s="114">
        <v>2</v>
      </c>
      <c r="B5" s="123" t="s">
        <v>1232</v>
      </c>
      <c r="C5" s="114" t="s">
        <v>262</v>
      </c>
      <c r="D5" s="114" t="s">
        <v>1226</v>
      </c>
      <c r="E5" s="124" t="s">
        <v>1188</v>
      </c>
      <c r="F5" s="114" t="s">
        <v>1228</v>
      </c>
      <c r="G5" s="114">
        <v>1</v>
      </c>
      <c r="H5" s="114">
        <v>6</v>
      </c>
      <c r="I5" s="207" t="s">
        <v>1231</v>
      </c>
      <c r="J5" s="114" t="s">
        <v>246</v>
      </c>
    </row>
    <row r="6" spans="1:10" ht="19.5" customHeight="1">
      <c r="A6" s="114">
        <v>3</v>
      </c>
      <c r="B6" s="123">
        <v>46234</v>
      </c>
      <c r="C6" s="114" t="s">
        <v>262</v>
      </c>
      <c r="D6" s="114" t="s">
        <v>1227</v>
      </c>
      <c r="E6" s="124" t="s">
        <v>1188</v>
      </c>
      <c r="F6" s="114" t="s">
        <v>1228</v>
      </c>
      <c r="G6" s="114">
        <v>1</v>
      </c>
      <c r="H6" s="114">
        <v>6</v>
      </c>
      <c r="I6" s="115">
        <v>6890</v>
      </c>
      <c r="J6" s="114" t="s">
        <v>246</v>
      </c>
    </row>
    <row r="7" spans="1:10" ht="20.100000000000001" customHeight="1">
      <c r="A7" s="114">
        <v>4</v>
      </c>
      <c r="B7" s="123">
        <v>46234</v>
      </c>
      <c r="C7" s="114" t="s">
        <v>261</v>
      </c>
      <c r="D7" s="114" t="s">
        <v>1225</v>
      </c>
      <c r="E7" s="203" t="s">
        <v>694</v>
      </c>
      <c r="F7" s="114" t="s">
        <v>1229</v>
      </c>
      <c r="G7" s="114">
        <v>1</v>
      </c>
      <c r="H7" s="114">
        <v>6</v>
      </c>
      <c r="I7" s="115">
        <v>14870</v>
      </c>
      <c r="J7" s="114" t="s">
        <v>246</v>
      </c>
    </row>
    <row r="8" spans="1:10" ht="19.5" customHeight="1">
      <c r="A8" s="114">
        <v>5</v>
      </c>
      <c r="B8" s="123" t="s">
        <v>1232</v>
      </c>
      <c r="C8" s="114" t="s">
        <v>261</v>
      </c>
      <c r="D8" s="114" t="s">
        <v>1226</v>
      </c>
      <c r="E8" s="203" t="s">
        <v>694</v>
      </c>
      <c r="F8" s="114" t="s">
        <v>298</v>
      </c>
      <c r="G8" s="114">
        <v>1</v>
      </c>
      <c r="H8" s="114">
        <v>6</v>
      </c>
      <c r="I8" s="207" t="s">
        <v>1231</v>
      </c>
      <c r="J8" s="114" t="s">
        <v>246</v>
      </c>
    </row>
    <row r="9" spans="1:10" ht="20.100000000000001" customHeight="1">
      <c r="A9" s="114">
        <v>6</v>
      </c>
      <c r="B9" s="123">
        <v>46234</v>
      </c>
      <c r="C9" s="114" t="s">
        <v>261</v>
      </c>
      <c r="D9" s="114" t="s">
        <v>1227</v>
      </c>
      <c r="E9" s="203" t="s">
        <v>694</v>
      </c>
      <c r="F9" s="114" t="s">
        <v>298</v>
      </c>
      <c r="G9" s="114">
        <v>1</v>
      </c>
      <c r="H9" s="114">
        <v>6</v>
      </c>
      <c r="I9" s="115">
        <v>48730</v>
      </c>
      <c r="J9" s="114" t="s">
        <v>246</v>
      </c>
    </row>
    <row r="10" spans="1:10" ht="20.100000000000001" customHeight="1">
      <c r="A10" s="114">
        <v>7</v>
      </c>
      <c r="B10" s="123">
        <v>46234</v>
      </c>
      <c r="C10" s="114" t="s">
        <v>261</v>
      </c>
      <c r="D10" s="114" t="s">
        <v>1225</v>
      </c>
      <c r="E10" s="203" t="s">
        <v>689</v>
      </c>
      <c r="F10" s="114" t="s">
        <v>306</v>
      </c>
      <c r="G10" s="114">
        <v>1</v>
      </c>
      <c r="H10" s="114">
        <v>6</v>
      </c>
      <c r="I10" s="115">
        <v>28850</v>
      </c>
      <c r="J10" s="114" t="s">
        <v>246</v>
      </c>
    </row>
    <row r="11" spans="1:10" ht="19.5" customHeight="1">
      <c r="A11" s="114">
        <v>8</v>
      </c>
      <c r="B11" s="123" t="s">
        <v>1232</v>
      </c>
      <c r="C11" s="114" t="s">
        <v>261</v>
      </c>
      <c r="D11" s="114" t="s">
        <v>1226</v>
      </c>
      <c r="E11" s="203" t="s">
        <v>689</v>
      </c>
      <c r="F11" s="114" t="s">
        <v>306</v>
      </c>
      <c r="G11" s="114">
        <v>1</v>
      </c>
      <c r="H11" s="114">
        <v>6</v>
      </c>
      <c r="I11" s="207" t="s">
        <v>1231</v>
      </c>
      <c r="J11" s="114" t="s">
        <v>246</v>
      </c>
    </row>
    <row r="12" spans="1:10" ht="20.100000000000001" customHeight="1">
      <c r="A12" s="114">
        <v>9</v>
      </c>
      <c r="B12" s="123">
        <v>46234</v>
      </c>
      <c r="C12" s="114" t="s">
        <v>261</v>
      </c>
      <c r="D12" s="114" t="s">
        <v>1227</v>
      </c>
      <c r="E12" s="203" t="s">
        <v>689</v>
      </c>
      <c r="F12" s="114" t="s">
        <v>306</v>
      </c>
      <c r="G12" s="114">
        <v>1</v>
      </c>
      <c r="H12" s="114">
        <v>6</v>
      </c>
      <c r="I12" s="115">
        <v>130100</v>
      </c>
      <c r="J12" s="114" t="s">
        <v>246</v>
      </c>
    </row>
    <row r="13" spans="1:10" ht="20.100000000000001" customHeight="1">
      <c r="A13" s="114">
        <v>10</v>
      </c>
      <c r="B13" s="123">
        <v>46234</v>
      </c>
      <c r="C13" s="114" t="s">
        <v>261</v>
      </c>
      <c r="D13" s="114" t="s">
        <v>1225</v>
      </c>
      <c r="E13" s="203" t="s">
        <v>690</v>
      </c>
      <c r="F13" s="114" t="s">
        <v>245</v>
      </c>
      <c r="G13" s="114">
        <v>1</v>
      </c>
      <c r="H13" s="114">
        <v>6</v>
      </c>
      <c r="I13" s="115" t="s">
        <v>1230</v>
      </c>
      <c r="J13" s="114" t="s">
        <v>246</v>
      </c>
    </row>
    <row r="14" spans="1:10" ht="19.5" customHeight="1">
      <c r="A14" s="114">
        <v>11</v>
      </c>
      <c r="B14" s="123" t="s">
        <v>1232</v>
      </c>
      <c r="C14" s="114" t="s">
        <v>261</v>
      </c>
      <c r="D14" s="114" t="s">
        <v>1226</v>
      </c>
      <c r="E14" s="203" t="s">
        <v>690</v>
      </c>
      <c r="F14" s="114" t="s">
        <v>245</v>
      </c>
      <c r="G14" s="114">
        <v>1</v>
      </c>
      <c r="H14" s="114">
        <v>6</v>
      </c>
      <c r="I14" s="207" t="s">
        <v>1231</v>
      </c>
      <c r="J14" s="114" t="s">
        <v>246</v>
      </c>
    </row>
    <row r="15" spans="1:10" ht="20.100000000000001" customHeight="1">
      <c r="A15" s="114">
        <v>12</v>
      </c>
      <c r="B15" s="123">
        <v>46234</v>
      </c>
      <c r="C15" s="114" t="s">
        <v>261</v>
      </c>
      <c r="D15" s="114" t="s">
        <v>1227</v>
      </c>
      <c r="E15" s="203" t="s">
        <v>690</v>
      </c>
      <c r="F15" s="114" t="s">
        <v>245</v>
      </c>
      <c r="G15" s="114">
        <v>1</v>
      </c>
      <c r="H15" s="114">
        <v>6</v>
      </c>
      <c r="I15" s="115">
        <v>30010</v>
      </c>
      <c r="J15" s="114" t="s">
        <v>246</v>
      </c>
    </row>
    <row r="16" spans="1:10" ht="20.100000000000001" customHeight="1">
      <c r="A16" s="114">
        <v>13</v>
      </c>
      <c r="B16" s="123">
        <v>46234</v>
      </c>
      <c r="C16" s="114" t="s">
        <v>261</v>
      </c>
      <c r="D16" s="114" t="s">
        <v>1225</v>
      </c>
      <c r="E16" s="203" t="s">
        <v>1207</v>
      </c>
      <c r="F16" s="114" t="s">
        <v>298</v>
      </c>
      <c r="G16" s="114">
        <v>1</v>
      </c>
      <c r="H16" s="114">
        <v>6</v>
      </c>
      <c r="I16" s="115">
        <v>32310</v>
      </c>
      <c r="J16" s="114" t="s">
        <v>246</v>
      </c>
    </row>
    <row r="17" spans="1:10" ht="19.5" customHeight="1">
      <c r="A17" s="114">
        <v>14</v>
      </c>
      <c r="B17" s="123" t="s">
        <v>1232</v>
      </c>
      <c r="C17" s="114" t="s">
        <v>261</v>
      </c>
      <c r="D17" s="114" t="s">
        <v>1226</v>
      </c>
      <c r="E17" s="203" t="s">
        <v>1207</v>
      </c>
      <c r="F17" s="114" t="s">
        <v>298</v>
      </c>
      <c r="G17" s="114">
        <v>1</v>
      </c>
      <c r="H17" s="114">
        <v>6</v>
      </c>
      <c r="I17" s="207" t="s">
        <v>1231</v>
      </c>
      <c r="J17" s="114" t="s">
        <v>246</v>
      </c>
    </row>
    <row r="18" spans="1:10" ht="20.100000000000001" customHeight="1">
      <c r="A18" s="114">
        <v>15</v>
      </c>
      <c r="B18" s="123">
        <v>46234</v>
      </c>
      <c r="C18" s="114" t="s">
        <v>261</v>
      </c>
      <c r="D18" s="114" t="s">
        <v>1227</v>
      </c>
      <c r="E18" s="203" t="s">
        <v>1207</v>
      </c>
      <c r="F18" s="114" t="s">
        <v>298</v>
      </c>
      <c r="G18" s="114">
        <v>1</v>
      </c>
      <c r="H18" s="114">
        <v>6</v>
      </c>
      <c r="I18" s="115">
        <v>49810</v>
      </c>
      <c r="J18" s="114" t="s">
        <v>246</v>
      </c>
    </row>
    <row r="19" spans="1:10" ht="20.100000000000001" customHeight="1">
      <c r="A19" s="114">
        <v>16</v>
      </c>
      <c r="B19" s="123">
        <v>46234</v>
      </c>
      <c r="C19" s="114" t="s">
        <v>261</v>
      </c>
      <c r="D19" s="114" t="s">
        <v>1225</v>
      </c>
      <c r="E19" s="203" t="s">
        <v>691</v>
      </c>
      <c r="F19" s="114" t="s">
        <v>245</v>
      </c>
      <c r="G19" s="114">
        <v>1</v>
      </c>
      <c r="H19" s="114">
        <v>6</v>
      </c>
      <c r="I19" s="115">
        <v>47870</v>
      </c>
      <c r="J19" s="114" t="s">
        <v>246</v>
      </c>
    </row>
    <row r="20" spans="1:10" ht="19.5" customHeight="1">
      <c r="A20" s="114">
        <v>17</v>
      </c>
      <c r="B20" s="123" t="s">
        <v>1232</v>
      </c>
      <c r="C20" s="114" t="s">
        <v>261</v>
      </c>
      <c r="D20" s="114" t="s">
        <v>1226</v>
      </c>
      <c r="E20" s="203" t="s">
        <v>691</v>
      </c>
      <c r="F20" s="114" t="s">
        <v>245</v>
      </c>
      <c r="G20" s="114">
        <v>1</v>
      </c>
      <c r="H20" s="114">
        <v>6</v>
      </c>
      <c r="I20" s="207" t="s">
        <v>1231</v>
      </c>
      <c r="J20" s="114" t="s">
        <v>246</v>
      </c>
    </row>
    <row r="21" spans="1:10" ht="20.100000000000001" customHeight="1">
      <c r="A21" s="114">
        <v>18</v>
      </c>
      <c r="B21" s="123">
        <v>46234</v>
      </c>
      <c r="C21" s="114" t="s">
        <v>261</v>
      </c>
      <c r="D21" s="114" t="s">
        <v>1227</v>
      </c>
      <c r="E21" s="203" t="s">
        <v>691</v>
      </c>
      <c r="F21" s="114" t="s">
        <v>245</v>
      </c>
      <c r="G21" s="114">
        <v>1</v>
      </c>
      <c r="H21" s="114">
        <v>6</v>
      </c>
      <c r="I21" s="115">
        <v>83710</v>
      </c>
      <c r="J21" s="114" t="s">
        <v>246</v>
      </c>
    </row>
    <row r="22" spans="1:10" ht="20.100000000000001" customHeight="1">
      <c r="A22" s="114">
        <v>19</v>
      </c>
      <c r="B22" s="123">
        <v>46234</v>
      </c>
      <c r="C22" s="114" t="s">
        <v>261</v>
      </c>
      <c r="D22" s="114" t="s">
        <v>1225</v>
      </c>
      <c r="E22" s="203" t="s">
        <v>1208</v>
      </c>
      <c r="F22" s="114" t="s">
        <v>1206</v>
      </c>
      <c r="G22" s="114">
        <v>1</v>
      </c>
      <c r="H22" s="114">
        <v>6</v>
      </c>
      <c r="I22" s="115">
        <v>18480</v>
      </c>
      <c r="J22" s="114" t="s">
        <v>246</v>
      </c>
    </row>
    <row r="23" spans="1:10" ht="19.5" customHeight="1">
      <c r="A23" s="114">
        <v>20</v>
      </c>
      <c r="B23" s="123" t="s">
        <v>1232</v>
      </c>
      <c r="C23" s="114" t="s">
        <v>261</v>
      </c>
      <c r="D23" s="114" t="s">
        <v>1226</v>
      </c>
      <c r="E23" s="203" t="s">
        <v>1208</v>
      </c>
      <c r="F23" s="114" t="s">
        <v>1206</v>
      </c>
      <c r="G23" s="114">
        <v>1</v>
      </c>
      <c r="H23" s="114">
        <v>6</v>
      </c>
      <c r="I23" s="207" t="s">
        <v>1231</v>
      </c>
      <c r="J23" s="114" t="s">
        <v>246</v>
      </c>
    </row>
    <row r="24" spans="1:10" ht="20.100000000000001" customHeight="1">
      <c r="A24" s="114">
        <v>21</v>
      </c>
      <c r="B24" s="123">
        <v>46234</v>
      </c>
      <c r="C24" s="114" t="s">
        <v>261</v>
      </c>
      <c r="D24" s="114" t="s">
        <v>1227</v>
      </c>
      <c r="E24" s="203" t="s">
        <v>1208</v>
      </c>
      <c r="F24" s="114" t="s">
        <v>1206</v>
      </c>
      <c r="G24" s="114">
        <v>1</v>
      </c>
      <c r="H24" s="114">
        <v>6</v>
      </c>
      <c r="I24" s="115">
        <v>59770</v>
      </c>
      <c r="J24" s="114" t="s">
        <v>246</v>
      </c>
    </row>
    <row r="25" spans="1:10" ht="20.100000000000001" customHeight="1">
      <c r="A25" s="114">
        <v>22</v>
      </c>
      <c r="B25" s="123">
        <v>46234</v>
      </c>
      <c r="C25" s="114" t="s">
        <v>261</v>
      </c>
      <c r="D25" s="114" t="s">
        <v>1225</v>
      </c>
      <c r="E25" s="203" t="s">
        <v>692</v>
      </c>
      <c r="F25" s="114" t="s">
        <v>245</v>
      </c>
      <c r="G25" s="114">
        <v>1</v>
      </c>
      <c r="H25" s="114">
        <v>6</v>
      </c>
      <c r="I25" s="115" t="s">
        <v>1230</v>
      </c>
      <c r="J25" s="114" t="s">
        <v>246</v>
      </c>
    </row>
    <row r="26" spans="1:10" ht="19.5" customHeight="1">
      <c r="A26" s="114">
        <v>23</v>
      </c>
      <c r="B26" s="123" t="s">
        <v>1232</v>
      </c>
      <c r="C26" s="114" t="s">
        <v>261</v>
      </c>
      <c r="D26" s="114" t="s">
        <v>1226</v>
      </c>
      <c r="E26" s="203" t="s">
        <v>692</v>
      </c>
      <c r="F26" s="114" t="s">
        <v>245</v>
      </c>
      <c r="G26" s="114">
        <v>1</v>
      </c>
      <c r="H26" s="114">
        <v>6</v>
      </c>
      <c r="I26" s="207" t="s">
        <v>1231</v>
      </c>
      <c r="J26" s="114" t="s">
        <v>246</v>
      </c>
    </row>
    <row r="27" spans="1:10" ht="20.100000000000001" customHeight="1">
      <c r="A27" s="114">
        <v>24</v>
      </c>
      <c r="B27" s="123">
        <v>46234</v>
      </c>
      <c r="C27" s="114" t="s">
        <v>261</v>
      </c>
      <c r="D27" s="114" t="s">
        <v>1227</v>
      </c>
      <c r="E27" s="203" t="s">
        <v>692</v>
      </c>
      <c r="F27" s="114" t="s">
        <v>245</v>
      </c>
      <c r="G27" s="114">
        <v>1</v>
      </c>
      <c r="H27" s="114">
        <v>6</v>
      </c>
      <c r="I27" s="115">
        <v>43430</v>
      </c>
      <c r="J27" s="114" t="s">
        <v>246</v>
      </c>
    </row>
    <row r="28" spans="1:10" ht="20.100000000000001" customHeight="1">
      <c r="A28" s="114">
        <v>25</v>
      </c>
      <c r="B28" s="123">
        <v>46234</v>
      </c>
      <c r="C28" s="114" t="s">
        <v>261</v>
      </c>
      <c r="D28" s="114" t="s">
        <v>1225</v>
      </c>
      <c r="E28" s="203" t="s">
        <v>693</v>
      </c>
      <c r="F28" s="114" t="s">
        <v>684</v>
      </c>
      <c r="G28" s="114">
        <v>1</v>
      </c>
      <c r="H28" s="114">
        <v>6</v>
      </c>
      <c r="I28" s="115">
        <v>360</v>
      </c>
      <c r="J28" s="114" t="s">
        <v>246</v>
      </c>
    </row>
    <row r="29" spans="1:10" ht="19.5" customHeight="1">
      <c r="A29" s="114">
        <v>26</v>
      </c>
      <c r="B29" s="123" t="s">
        <v>1232</v>
      </c>
      <c r="C29" s="114" t="s">
        <v>261</v>
      </c>
      <c r="D29" s="114" t="s">
        <v>1226</v>
      </c>
      <c r="E29" s="203" t="s">
        <v>693</v>
      </c>
      <c r="F29" s="114" t="s">
        <v>684</v>
      </c>
      <c r="G29" s="114">
        <v>1</v>
      </c>
      <c r="H29" s="114">
        <v>6</v>
      </c>
      <c r="I29" s="207" t="s">
        <v>1231</v>
      </c>
      <c r="J29" s="114" t="s">
        <v>246</v>
      </c>
    </row>
    <row r="30" spans="1:10" ht="20.100000000000001" customHeight="1">
      <c r="A30" s="114">
        <v>27</v>
      </c>
      <c r="B30" s="123">
        <v>46234</v>
      </c>
      <c r="C30" s="114" t="s">
        <v>261</v>
      </c>
      <c r="D30" s="114" t="s">
        <v>1227</v>
      </c>
      <c r="E30" s="203" t="s">
        <v>693</v>
      </c>
      <c r="F30" s="114" t="s">
        <v>684</v>
      </c>
      <c r="G30" s="114">
        <v>1</v>
      </c>
      <c r="H30" s="114">
        <v>6</v>
      </c>
      <c r="I30" s="115">
        <v>57280</v>
      </c>
      <c r="J30" s="114" t="s">
        <v>246</v>
      </c>
    </row>
    <row r="31" spans="1:10" ht="20.100000000000001" customHeight="1">
      <c r="A31" s="114">
        <v>28</v>
      </c>
      <c r="B31" s="123">
        <v>46234</v>
      </c>
      <c r="C31" s="114" t="s">
        <v>261</v>
      </c>
      <c r="D31" s="114" t="s">
        <v>1225</v>
      </c>
      <c r="E31" s="204" t="s">
        <v>695</v>
      </c>
      <c r="F31" s="114" t="s">
        <v>298</v>
      </c>
      <c r="G31" s="114">
        <v>1</v>
      </c>
      <c r="H31" s="114">
        <v>6</v>
      </c>
      <c r="I31" s="115">
        <v>18480</v>
      </c>
      <c r="J31" s="114" t="s">
        <v>246</v>
      </c>
    </row>
    <row r="32" spans="1:10" ht="19.5" customHeight="1">
      <c r="A32" s="114">
        <v>29</v>
      </c>
      <c r="B32" s="123" t="s">
        <v>1232</v>
      </c>
      <c r="C32" s="114" t="s">
        <v>261</v>
      </c>
      <c r="D32" s="114" t="s">
        <v>1226</v>
      </c>
      <c r="E32" s="204" t="s">
        <v>695</v>
      </c>
      <c r="F32" s="114" t="s">
        <v>298</v>
      </c>
      <c r="G32" s="114">
        <v>1</v>
      </c>
      <c r="H32" s="114">
        <v>6</v>
      </c>
      <c r="I32" s="207" t="s">
        <v>1231</v>
      </c>
      <c r="J32" s="114" t="s">
        <v>246</v>
      </c>
    </row>
    <row r="33" spans="1:10" ht="20.100000000000001" customHeight="1">
      <c r="A33" s="114">
        <v>30</v>
      </c>
      <c r="B33" s="123">
        <v>46234</v>
      </c>
      <c r="C33" s="114" t="s">
        <v>261</v>
      </c>
      <c r="D33" s="114" t="s">
        <v>1227</v>
      </c>
      <c r="E33" s="204" t="s">
        <v>695</v>
      </c>
      <c r="F33" s="114" t="s">
        <v>298</v>
      </c>
      <c r="G33" s="114">
        <v>1</v>
      </c>
      <c r="H33" s="114">
        <v>6</v>
      </c>
      <c r="I33" s="115">
        <v>58480</v>
      </c>
      <c r="J33" s="114" t="s">
        <v>246</v>
      </c>
    </row>
    <row r="34" spans="1:10" ht="20.100000000000001" customHeight="1">
      <c r="A34" s="114">
        <v>31</v>
      </c>
      <c r="B34" s="123">
        <v>46234</v>
      </c>
      <c r="C34" s="114" t="s">
        <v>261</v>
      </c>
      <c r="D34" s="114" t="s">
        <v>1225</v>
      </c>
      <c r="E34" s="203" t="s">
        <v>685</v>
      </c>
      <c r="F34" s="114" t="s">
        <v>298</v>
      </c>
      <c r="G34" s="114">
        <v>1</v>
      </c>
      <c r="H34" s="114">
        <v>6</v>
      </c>
      <c r="I34" s="115">
        <v>2920</v>
      </c>
      <c r="J34" s="114" t="s">
        <v>246</v>
      </c>
    </row>
    <row r="35" spans="1:10" ht="19.5" customHeight="1">
      <c r="A35" s="114">
        <v>32</v>
      </c>
      <c r="B35" s="123" t="s">
        <v>1232</v>
      </c>
      <c r="C35" s="114" t="s">
        <v>261</v>
      </c>
      <c r="D35" s="114" t="s">
        <v>1226</v>
      </c>
      <c r="E35" s="203" t="s">
        <v>685</v>
      </c>
      <c r="F35" s="114" t="s">
        <v>298</v>
      </c>
      <c r="G35" s="114">
        <v>1</v>
      </c>
      <c r="H35" s="114">
        <v>6</v>
      </c>
      <c r="I35" s="207" t="s">
        <v>1231</v>
      </c>
      <c r="J35" s="114" t="s">
        <v>246</v>
      </c>
    </row>
    <row r="36" spans="1:10" ht="20.100000000000001" customHeight="1">
      <c r="A36" s="114">
        <v>33</v>
      </c>
      <c r="B36" s="123">
        <v>46234</v>
      </c>
      <c r="C36" s="114" t="s">
        <v>261</v>
      </c>
      <c r="D36" s="114" t="s">
        <v>1227</v>
      </c>
      <c r="E36" s="203" t="s">
        <v>685</v>
      </c>
      <c r="F36" s="114" t="s">
        <v>298</v>
      </c>
      <c r="G36" s="114">
        <v>1</v>
      </c>
      <c r="H36" s="114">
        <v>6</v>
      </c>
      <c r="I36" s="115">
        <v>68670</v>
      </c>
      <c r="J36" s="114" t="s">
        <v>246</v>
      </c>
    </row>
    <row r="37" spans="1:10" ht="20.100000000000001" customHeight="1">
      <c r="A37" s="114">
        <v>34</v>
      </c>
      <c r="B37" s="123">
        <v>46234</v>
      </c>
      <c r="C37" s="114" t="s">
        <v>261</v>
      </c>
      <c r="D37" s="114" t="s">
        <v>1225</v>
      </c>
      <c r="E37" s="203" t="s">
        <v>696</v>
      </c>
      <c r="F37" s="114" t="s">
        <v>298</v>
      </c>
      <c r="G37" s="114">
        <v>1</v>
      </c>
      <c r="H37" s="114">
        <v>6</v>
      </c>
      <c r="I37" s="115">
        <v>21940</v>
      </c>
      <c r="J37" s="114" t="s">
        <v>246</v>
      </c>
    </row>
    <row r="38" spans="1:10" ht="19.5" customHeight="1">
      <c r="A38" s="114">
        <v>35</v>
      </c>
      <c r="B38" s="123" t="s">
        <v>1232</v>
      </c>
      <c r="C38" s="114" t="s">
        <v>261</v>
      </c>
      <c r="D38" s="114" t="s">
        <v>1226</v>
      </c>
      <c r="E38" s="203" t="s">
        <v>696</v>
      </c>
      <c r="F38" s="114" t="s">
        <v>298</v>
      </c>
      <c r="G38" s="114">
        <v>1</v>
      </c>
      <c r="H38" s="114">
        <v>6</v>
      </c>
      <c r="I38" s="207" t="s">
        <v>1231</v>
      </c>
      <c r="J38" s="114" t="s">
        <v>246</v>
      </c>
    </row>
    <row r="39" spans="1:10" ht="20.100000000000001" customHeight="1">
      <c r="A39" s="114">
        <v>36</v>
      </c>
      <c r="B39" s="123">
        <v>46234</v>
      </c>
      <c r="C39" s="114" t="s">
        <v>261</v>
      </c>
      <c r="D39" s="114" t="s">
        <v>1227</v>
      </c>
      <c r="E39" s="203" t="s">
        <v>696</v>
      </c>
      <c r="F39" s="114" t="s">
        <v>298</v>
      </c>
      <c r="G39" s="114">
        <v>1</v>
      </c>
      <c r="H39" s="114">
        <v>6</v>
      </c>
      <c r="I39" s="115">
        <v>86210</v>
      </c>
      <c r="J39" s="114" t="s">
        <v>246</v>
      </c>
    </row>
    <row r="40" spans="1:10" ht="20.100000000000001" customHeight="1">
      <c r="A40" s="114">
        <v>37</v>
      </c>
      <c r="B40" s="123">
        <v>46234</v>
      </c>
      <c r="C40" s="114" t="s">
        <v>261</v>
      </c>
      <c r="D40" s="114" t="s">
        <v>1225</v>
      </c>
      <c r="E40" s="203" t="s">
        <v>697</v>
      </c>
      <c r="F40" s="114" t="s">
        <v>245</v>
      </c>
      <c r="G40" s="114">
        <v>1</v>
      </c>
      <c r="H40" s="114">
        <v>6</v>
      </c>
      <c r="I40" s="115">
        <v>23660</v>
      </c>
      <c r="J40" s="114" t="s">
        <v>246</v>
      </c>
    </row>
    <row r="41" spans="1:10" ht="19.5" customHeight="1">
      <c r="A41" s="114">
        <v>38</v>
      </c>
      <c r="B41" s="123" t="s">
        <v>1232</v>
      </c>
      <c r="C41" s="114" t="s">
        <v>261</v>
      </c>
      <c r="D41" s="114" t="s">
        <v>1226</v>
      </c>
      <c r="E41" s="203" t="s">
        <v>697</v>
      </c>
      <c r="F41" s="114" t="s">
        <v>245</v>
      </c>
      <c r="G41" s="114">
        <v>1</v>
      </c>
      <c r="H41" s="114">
        <v>6</v>
      </c>
      <c r="I41" s="207" t="s">
        <v>1231</v>
      </c>
      <c r="J41" s="114" t="s">
        <v>246</v>
      </c>
    </row>
    <row r="42" spans="1:10" ht="20.100000000000001" customHeight="1">
      <c r="A42" s="114">
        <v>39</v>
      </c>
      <c r="B42" s="123">
        <v>46234</v>
      </c>
      <c r="C42" s="114" t="s">
        <v>261</v>
      </c>
      <c r="D42" s="114" t="s">
        <v>1227</v>
      </c>
      <c r="E42" s="203" t="s">
        <v>697</v>
      </c>
      <c r="F42" s="114" t="s">
        <v>245</v>
      </c>
      <c r="G42" s="114">
        <v>1</v>
      </c>
      <c r="H42" s="114">
        <v>6</v>
      </c>
      <c r="I42" s="115">
        <v>38270</v>
      </c>
      <c r="J42" s="114" t="s">
        <v>246</v>
      </c>
    </row>
    <row r="43" spans="1:10" ht="20.100000000000001" customHeight="1">
      <c r="A43" s="114">
        <v>40</v>
      </c>
      <c r="B43" s="123">
        <v>46234</v>
      </c>
      <c r="C43" s="114" t="s">
        <v>261</v>
      </c>
      <c r="D43" s="114" t="s">
        <v>1225</v>
      </c>
      <c r="E43" s="203" t="s">
        <v>698</v>
      </c>
      <c r="F43" s="114" t="s">
        <v>298</v>
      </c>
      <c r="G43" s="114">
        <v>1</v>
      </c>
      <c r="H43" s="114">
        <v>6</v>
      </c>
      <c r="I43" s="115">
        <v>23660</v>
      </c>
      <c r="J43" s="114" t="s">
        <v>246</v>
      </c>
    </row>
    <row r="44" spans="1:10" ht="19.5" customHeight="1">
      <c r="A44" s="114">
        <v>41</v>
      </c>
      <c r="B44" s="123" t="s">
        <v>1232</v>
      </c>
      <c r="C44" s="114" t="s">
        <v>261</v>
      </c>
      <c r="D44" s="114" t="s">
        <v>1226</v>
      </c>
      <c r="E44" s="203" t="s">
        <v>698</v>
      </c>
      <c r="F44" s="114" t="s">
        <v>298</v>
      </c>
      <c r="G44" s="114">
        <v>1</v>
      </c>
      <c r="H44" s="114">
        <v>6</v>
      </c>
      <c r="I44" s="207" t="s">
        <v>1231</v>
      </c>
      <c r="J44" s="114" t="s">
        <v>246</v>
      </c>
    </row>
    <row r="45" spans="1:10" ht="20.100000000000001" customHeight="1">
      <c r="A45" s="114">
        <v>42</v>
      </c>
      <c r="B45" s="123">
        <v>46234</v>
      </c>
      <c r="C45" s="114" t="s">
        <v>261</v>
      </c>
      <c r="D45" s="114" t="s">
        <v>1227</v>
      </c>
      <c r="E45" s="203" t="s">
        <v>698</v>
      </c>
      <c r="F45" s="114" t="s">
        <v>298</v>
      </c>
      <c r="G45" s="114">
        <v>1</v>
      </c>
      <c r="H45" s="114">
        <v>6</v>
      </c>
      <c r="I45" s="115">
        <v>94790</v>
      </c>
      <c r="J45" s="114" t="s">
        <v>246</v>
      </c>
    </row>
    <row r="46" spans="1:10" ht="20.100000000000001" customHeight="1">
      <c r="A46" s="114">
        <v>43</v>
      </c>
      <c r="B46" s="123">
        <v>46234</v>
      </c>
      <c r="C46" s="114" t="s">
        <v>261</v>
      </c>
      <c r="D46" s="114" t="s">
        <v>1225</v>
      </c>
      <c r="E46" s="203" t="s">
        <v>699</v>
      </c>
      <c r="F46" s="114" t="s">
        <v>298</v>
      </c>
      <c r="G46" s="114">
        <v>1</v>
      </c>
      <c r="H46" s="114">
        <v>6</v>
      </c>
      <c r="I46" s="115">
        <v>9840</v>
      </c>
      <c r="J46" s="114" t="s">
        <v>246</v>
      </c>
    </row>
    <row r="47" spans="1:10" ht="19.5" customHeight="1">
      <c r="A47" s="114">
        <v>44</v>
      </c>
      <c r="B47" s="123" t="s">
        <v>1232</v>
      </c>
      <c r="C47" s="114" t="s">
        <v>261</v>
      </c>
      <c r="D47" s="114" t="s">
        <v>1226</v>
      </c>
      <c r="E47" s="203" t="s">
        <v>699</v>
      </c>
      <c r="F47" s="114" t="s">
        <v>298</v>
      </c>
      <c r="G47" s="114">
        <v>1</v>
      </c>
      <c r="H47" s="114">
        <v>6</v>
      </c>
      <c r="I47" s="207" t="s">
        <v>1231</v>
      </c>
      <c r="J47" s="114" t="s">
        <v>246</v>
      </c>
    </row>
    <row r="48" spans="1:10" ht="20.100000000000001" customHeight="1">
      <c r="A48" s="114">
        <v>45</v>
      </c>
      <c r="B48" s="123">
        <v>46234</v>
      </c>
      <c r="C48" s="114" t="s">
        <v>261</v>
      </c>
      <c r="D48" s="114" t="s">
        <v>1227</v>
      </c>
      <c r="E48" s="203" t="s">
        <v>699</v>
      </c>
      <c r="F48" s="114" t="s">
        <v>298</v>
      </c>
      <c r="G48" s="114">
        <v>1</v>
      </c>
      <c r="H48" s="114">
        <v>6</v>
      </c>
      <c r="I48" s="115">
        <v>63110</v>
      </c>
      <c r="J48" s="114" t="s">
        <v>246</v>
      </c>
    </row>
    <row r="49" spans="1:10" ht="20.100000000000001" customHeight="1">
      <c r="A49" s="114">
        <v>46</v>
      </c>
      <c r="B49" s="123">
        <v>46234</v>
      </c>
      <c r="C49" s="114" t="s">
        <v>261</v>
      </c>
      <c r="D49" s="114" t="s">
        <v>1225</v>
      </c>
      <c r="E49" s="203" t="s">
        <v>700</v>
      </c>
      <c r="F49" s="114" t="s">
        <v>245</v>
      </c>
      <c r="G49" s="114">
        <v>1</v>
      </c>
      <c r="H49" s="114">
        <v>6</v>
      </c>
      <c r="I49" s="115">
        <v>18480</v>
      </c>
      <c r="J49" s="114" t="s">
        <v>246</v>
      </c>
    </row>
    <row r="50" spans="1:10" ht="19.5" customHeight="1">
      <c r="A50" s="114">
        <v>47</v>
      </c>
      <c r="B50" s="123" t="s">
        <v>1232</v>
      </c>
      <c r="C50" s="114" t="s">
        <v>261</v>
      </c>
      <c r="D50" s="114" t="s">
        <v>1226</v>
      </c>
      <c r="E50" s="203" t="s">
        <v>700</v>
      </c>
      <c r="F50" s="114" t="s">
        <v>245</v>
      </c>
      <c r="G50" s="114">
        <v>1</v>
      </c>
      <c r="H50" s="114">
        <v>6</v>
      </c>
      <c r="I50" s="207" t="s">
        <v>1231</v>
      </c>
      <c r="J50" s="114" t="s">
        <v>246</v>
      </c>
    </row>
    <row r="51" spans="1:10" ht="20.100000000000001" customHeight="1">
      <c r="A51" s="114">
        <v>48</v>
      </c>
      <c r="B51" s="123">
        <v>46234</v>
      </c>
      <c r="C51" s="114" t="s">
        <v>261</v>
      </c>
      <c r="D51" s="114" t="s">
        <v>1227</v>
      </c>
      <c r="E51" s="203" t="s">
        <v>700</v>
      </c>
      <c r="F51" s="114" t="s">
        <v>245</v>
      </c>
      <c r="G51" s="114">
        <v>1</v>
      </c>
      <c r="H51" s="114">
        <v>6</v>
      </c>
      <c r="I51" s="115">
        <v>121950</v>
      </c>
      <c r="J51" s="114" t="s">
        <v>246</v>
      </c>
    </row>
    <row r="52" spans="1:10" ht="20.100000000000001" customHeight="1">
      <c r="A52" s="114">
        <v>49</v>
      </c>
      <c r="B52" s="123">
        <v>46234</v>
      </c>
      <c r="C52" s="114" t="s">
        <v>261</v>
      </c>
      <c r="D52" s="114" t="s">
        <v>1225</v>
      </c>
      <c r="E52" s="203" t="s">
        <v>701</v>
      </c>
      <c r="F52" s="114" t="s">
        <v>298</v>
      </c>
      <c r="G52" s="114">
        <v>1</v>
      </c>
      <c r="H52" s="114">
        <v>4</v>
      </c>
      <c r="I52" s="115">
        <v>13290</v>
      </c>
      <c r="J52" s="114" t="s">
        <v>246</v>
      </c>
    </row>
    <row r="53" spans="1:10" ht="19.5" customHeight="1">
      <c r="A53" s="114">
        <v>50</v>
      </c>
      <c r="B53" s="123" t="s">
        <v>1232</v>
      </c>
      <c r="C53" s="114" t="s">
        <v>261</v>
      </c>
      <c r="D53" s="114" t="s">
        <v>1226</v>
      </c>
      <c r="E53" s="203" t="s">
        <v>701</v>
      </c>
      <c r="F53" s="114" t="s">
        <v>298</v>
      </c>
      <c r="G53" s="114">
        <v>1</v>
      </c>
      <c r="H53" s="114">
        <v>4</v>
      </c>
      <c r="I53" s="207" t="s">
        <v>1231</v>
      </c>
      <c r="J53" s="114" t="s">
        <v>246</v>
      </c>
    </row>
    <row r="54" spans="1:10" ht="19.5" customHeight="1">
      <c r="A54" s="114">
        <v>51</v>
      </c>
      <c r="B54" s="123">
        <v>46234</v>
      </c>
      <c r="C54" s="114" t="s">
        <v>261</v>
      </c>
      <c r="D54" s="114" t="s">
        <v>1227</v>
      </c>
      <c r="E54" s="203" t="s">
        <v>701</v>
      </c>
      <c r="F54" s="114" t="s">
        <v>298</v>
      </c>
      <c r="G54" s="114">
        <v>1</v>
      </c>
      <c r="H54" s="114">
        <v>4</v>
      </c>
      <c r="I54" s="115">
        <v>24360</v>
      </c>
      <c r="J54" s="114" t="s">
        <v>246</v>
      </c>
    </row>
    <row r="55" spans="1:10" ht="20.100000000000001" customHeight="1">
      <c r="A55" s="114">
        <v>52</v>
      </c>
      <c r="B55" s="123">
        <v>46234</v>
      </c>
      <c r="C55" s="114" t="s">
        <v>261</v>
      </c>
      <c r="D55" s="114" t="s">
        <v>1225</v>
      </c>
      <c r="E55" s="203" t="s">
        <v>702</v>
      </c>
      <c r="F55" s="114" t="s">
        <v>684</v>
      </c>
      <c r="G55" s="114">
        <v>1</v>
      </c>
      <c r="H55" s="114">
        <v>6</v>
      </c>
      <c r="I55" s="115">
        <v>20210</v>
      </c>
      <c r="J55" s="114" t="s">
        <v>246</v>
      </c>
    </row>
    <row r="56" spans="1:10" ht="19.5" customHeight="1">
      <c r="A56" s="114">
        <v>53</v>
      </c>
      <c r="B56" s="123" t="s">
        <v>1232</v>
      </c>
      <c r="C56" s="114" t="s">
        <v>261</v>
      </c>
      <c r="D56" s="114" t="s">
        <v>1226</v>
      </c>
      <c r="E56" s="203" t="s">
        <v>702</v>
      </c>
      <c r="F56" s="114" t="s">
        <v>684</v>
      </c>
      <c r="G56" s="114">
        <v>1</v>
      </c>
      <c r="H56" s="114">
        <v>6</v>
      </c>
      <c r="I56" s="207" t="s">
        <v>1231</v>
      </c>
      <c r="J56" s="114" t="s">
        <v>246</v>
      </c>
    </row>
    <row r="57" spans="1:10" ht="19.5" customHeight="1">
      <c r="A57" s="114">
        <v>54</v>
      </c>
      <c r="B57" s="123">
        <v>46234</v>
      </c>
      <c r="C57" s="114" t="s">
        <v>261</v>
      </c>
      <c r="D57" s="114" t="s">
        <v>1227</v>
      </c>
      <c r="E57" s="203" t="s">
        <v>702</v>
      </c>
      <c r="F57" s="114" t="s">
        <v>684</v>
      </c>
      <c r="G57" s="114">
        <v>1</v>
      </c>
      <c r="H57" s="114">
        <v>6</v>
      </c>
      <c r="I57" s="115">
        <v>158870</v>
      </c>
      <c r="J57" s="114" t="s">
        <v>246</v>
      </c>
    </row>
    <row r="58" spans="1:10" ht="20.100000000000001" customHeight="1">
      <c r="A58" s="114">
        <v>55</v>
      </c>
      <c r="B58" s="123">
        <v>46234</v>
      </c>
      <c r="C58" s="114" t="s">
        <v>261</v>
      </c>
      <c r="D58" s="114" t="s">
        <v>1225</v>
      </c>
      <c r="E58" s="203" t="s">
        <v>703</v>
      </c>
      <c r="F58" s="114" t="s">
        <v>298</v>
      </c>
      <c r="G58" s="114">
        <v>1</v>
      </c>
      <c r="H58" s="114">
        <v>6</v>
      </c>
      <c r="I58" s="115">
        <v>20240</v>
      </c>
      <c r="J58" s="114" t="s">
        <v>246</v>
      </c>
    </row>
    <row r="59" spans="1:10" ht="19.5" customHeight="1">
      <c r="A59" s="114">
        <v>56</v>
      </c>
      <c r="B59" s="123" t="s">
        <v>1232</v>
      </c>
      <c r="C59" s="114" t="s">
        <v>261</v>
      </c>
      <c r="D59" s="114" t="s">
        <v>1226</v>
      </c>
      <c r="E59" s="203" t="s">
        <v>703</v>
      </c>
      <c r="F59" s="114" t="s">
        <v>298</v>
      </c>
      <c r="G59" s="114">
        <v>1</v>
      </c>
      <c r="H59" s="114">
        <v>6</v>
      </c>
      <c r="I59" s="207" t="s">
        <v>1231</v>
      </c>
      <c r="J59" s="114" t="s">
        <v>246</v>
      </c>
    </row>
    <row r="60" spans="1:10" ht="19.5" customHeight="1">
      <c r="A60" s="114">
        <v>57</v>
      </c>
      <c r="B60" s="123">
        <v>46234</v>
      </c>
      <c r="C60" s="114" t="s">
        <v>261</v>
      </c>
      <c r="D60" s="114" t="s">
        <v>1227</v>
      </c>
      <c r="E60" s="203" t="s">
        <v>703</v>
      </c>
      <c r="F60" s="114" t="s">
        <v>298</v>
      </c>
      <c r="G60" s="114">
        <v>1</v>
      </c>
      <c r="H60" s="114">
        <v>6</v>
      </c>
      <c r="I60" s="115">
        <v>257600</v>
      </c>
      <c r="J60" s="114" t="s">
        <v>246</v>
      </c>
    </row>
    <row r="61" spans="1:10" ht="20.100000000000001" customHeight="1">
      <c r="A61" s="114">
        <v>58</v>
      </c>
      <c r="B61" s="123">
        <v>46234</v>
      </c>
      <c r="C61" s="114" t="s">
        <v>261</v>
      </c>
      <c r="D61" s="114" t="s">
        <v>1225</v>
      </c>
      <c r="E61" s="203" t="s">
        <v>1209</v>
      </c>
      <c r="F61" s="114" t="s">
        <v>683</v>
      </c>
      <c r="G61" s="114">
        <v>1</v>
      </c>
      <c r="H61" s="114">
        <v>6</v>
      </c>
      <c r="I61" s="115">
        <v>1560</v>
      </c>
      <c r="J61" s="114" t="s">
        <v>246</v>
      </c>
    </row>
    <row r="62" spans="1:10" ht="19.5" customHeight="1">
      <c r="A62" s="114">
        <v>59</v>
      </c>
      <c r="B62" s="123" t="s">
        <v>1232</v>
      </c>
      <c r="C62" s="114" t="s">
        <v>261</v>
      </c>
      <c r="D62" s="114" t="s">
        <v>1226</v>
      </c>
      <c r="E62" s="203" t="s">
        <v>1209</v>
      </c>
      <c r="F62" s="114" t="s">
        <v>683</v>
      </c>
      <c r="G62" s="114">
        <v>1</v>
      </c>
      <c r="H62" s="114">
        <v>6</v>
      </c>
      <c r="I62" s="207" t="s">
        <v>1231</v>
      </c>
      <c r="J62" s="114" t="s">
        <v>246</v>
      </c>
    </row>
    <row r="63" spans="1:10" ht="19.5" customHeight="1">
      <c r="A63" s="114">
        <v>60</v>
      </c>
      <c r="B63" s="123">
        <v>46234</v>
      </c>
      <c r="C63" s="114" t="s">
        <v>261</v>
      </c>
      <c r="D63" s="114" t="s">
        <v>1227</v>
      </c>
      <c r="E63" s="203" t="s">
        <v>1209</v>
      </c>
      <c r="F63" s="114" t="s">
        <v>683</v>
      </c>
      <c r="G63" s="114">
        <v>1</v>
      </c>
      <c r="H63" s="114">
        <v>6</v>
      </c>
      <c r="I63" s="115">
        <v>42100</v>
      </c>
      <c r="J63" s="114" t="s">
        <v>246</v>
      </c>
    </row>
    <row r="64" spans="1:10" ht="20.100000000000001" customHeight="1">
      <c r="A64" s="114">
        <v>61</v>
      </c>
      <c r="B64" s="123">
        <v>46234</v>
      </c>
      <c r="C64" s="114" t="s">
        <v>261</v>
      </c>
      <c r="D64" s="114" t="s">
        <v>1225</v>
      </c>
      <c r="E64" s="203" t="s">
        <v>1210</v>
      </c>
      <c r="F64" s="114" t="s">
        <v>684</v>
      </c>
      <c r="G64" s="114">
        <v>1</v>
      </c>
      <c r="H64" s="114">
        <v>6</v>
      </c>
      <c r="I64" s="115">
        <v>20240</v>
      </c>
      <c r="J64" s="114" t="s">
        <v>246</v>
      </c>
    </row>
    <row r="65" spans="1:10" ht="19.5" customHeight="1">
      <c r="A65" s="114">
        <v>62</v>
      </c>
      <c r="B65" s="123" t="s">
        <v>1232</v>
      </c>
      <c r="C65" s="114" t="s">
        <v>261</v>
      </c>
      <c r="D65" s="114" t="s">
        <v>1226</v>
      </c>
      <c r="E65" s="203" t="s">
        <v>1210</v>
      </c>
      <c r="F65" s="114" t="s">
        <v>684</v>
      </c>
      <c r="G65" s="114">
        <v>1</v>
      </c>
      <c r="H65" s="114">
        <v>6</v>
      </c>
      <c r="I65" s="207" t="s">
        <v>1231</v>
      </c>
      <c r="J65" s="114" t="s">
        <v>246</v>
      </c>
    </row>
    <row r="66" spans="1:10" ht="19.5" customHeight="1">
      <c r="A66" s="114">
        <v>63</v>
      </c>
      <c r="B66" s="123">
        <v>46234</v>
      </c>
      <c r="C66" s="114" t="s">
        <v>261</v>
      </c>
      <c r="D66" s="114" t="s">
        <v>1227</v>
      </c>
      <c r="E66" s="203" t="s">
        <v>1210</v>
      </c>
      <c r="F66" s="114" t="s">
        <v>684</v>
      </c>
      <c r="G66" s="114">
        <v>1</v>
      </c>
      <c r="H66" s="114">
        <v>6</v>
      </c>
      <c r="I66" s="115">
        <v>201780</v>
      </c>
      <c r="J66" s="114" t="s">
        <v>246</v>
      </c>
    </row>
    <row r="67" spans="1:10" ht="20.100000000000001" customHeight="1">
      <c r="A67" s="114">
        <v>64</v>
      </c>
      <c r="B67" s="123">
        <v>46234</v>
      </c>
      <c r="C67" s="114" t="s">
        <v>261</v>
      </c>
      <c r="D67" s="114" t="s">
        <v>1225</v>
      </c>
      <c r="E67" s="203" t="s">
        <v>704</v>
      </c>
      <c r="F67" s="114" t="s">
        <v>245</v>
      </c>
      <c r="G67" s="114">
        <v>1</v>
      </c>
      <c r="H67" s="114">
        <v>6</v>
      </c>
      <c r="I67" s="115">
        <v>15020</v>
      </c>
      <c r="J67" s="114" t="s">
        <v>246</v>
      </c>
    </row>
    <row r="68" spans="1:10" ht="19.5" customHeight="1">
      <c r="A68" s="114">
        <v>65</v>
      </c>
      <c r="B68" s="123" t="s">
        <v>1232</v>
      </c>
      <c r="C68" s="114" t="s">
        <v>261</v>
      </c>
      <c r="D68" s="114" t="s">
        <v>1226</v>
      </c>
      <c r="E68" s="203" t="s">
        <v>704</v>
      </c>
      <c r="F68" s="114" t="s">
        <v>245</v>
      </c>
      <c r="G68" s="114">
        <v>1</v>
      </c>
      <c r="H68" s="114">
        <v>6</v>
      </c>
      <c r="I68" s="207" t="s">
        <v>1231</v>
      </c>
      <c r="J68" s="114" t="s">
        <v>246</v>
      </c>
    </row>
    <row r="69" spans="1:10" ht="19.5" customHeight="1">
      <c r="A69" s="114">
        <v>66</v>
      </c>
      <c r="B69" s="123">
        <v>46234</v>
      </c>
      <c r="C69" s="114" t="s">
        <v>261</v>
      </c>
      <c r="D69" s="114" t="s">
        <v>1227</v>
      </c>
      <c r="E69" s="203" t="s">
        <v>704</v>
      </c>
      <c r="F69" s="114" t="s">
        <v>245</v>
      </c>
      <c r="G69" s="114">
        <v>1</v>
      </c>
      <c r="H69" s="114">
        <v>6</v>
      </c>
      <c r="I69" s="115">
        <v>65720</v>
      </c>
      <c r="J69" s="114" t="s">
        <v>246</v>
      </c>
    </row>
    <row r="70" spans="1:10" ht="20.100000000000001" customHeight="1">
      <c r="A70" s="114">
        <v>67</v>
      </c>
      <c r="B70" s="123">
        <v>46234</v>
      </c>
      <c r="C70" s="114" t="s">
        <v>261</v>
      </c>
      <c r="D70" s="114" t="s">
        <v>1225</v>
      </c>
      <c r="E70" s="203" t="s">
        <v>1211</v>
      </c>
      <c r="F70" s="114" t="s">
        <v>684</v>
      </c>
      <c r="G70" s="114">
        <v>1</v>
      </c>
      <c r="H70" s="114">
        <v>6</v>
      </c>
      <c r="I70" s="115">
        <v>8100</v>
      </c>
      <c r="J70" s="114" t="s">
        <v>246</v>
      </c>
    </row>
    <row r="71" spans="1:10" ht="19.5" customHeight="1">
      <c r="A71" s="114">
        <v>68</v>
      </c>
      <c r="B71" s="123" t="s">
        <v>1232</v>
      </c>
      <c r="C71" s="114" t="s">
        <v>261</v>
      </c>
      <c r="D71" s="114" t="s">
        <v>1226</v>
      </c>
      <c r="E71" s="203" t="s">
        <v>1211</v>
      </c>
      <c r="F71" s="114" t="s">
        <v>684</v>
      </c>
      <c r="G71" s="114">
        <v>1</v>
      </c>
      <c r="H71" s="114">
        <v>6</v>
      </c>
      <c r="I71" s="207" t="s">
        <v>1231</v>
      </c>
      <c r="J71" s="114" t="s">
        <v>246</v>
      </c>
    </row>
    <row r="72" spans="1:10" ht="19.5" customHeight="1">
      <c r="A72" s="114">
        <v>69</v>
      </c>
      <c r="B72" s="123">
        <v>46234</v>
      </c>
      <c r="C72" s="114" t="s">
        <v>261</v>
      </c>
      <c r="D72" s="114" t="s">
        <v>1227</v>
      </c>
      <c r="E72" s="203" t="s">
        <v>1211</v>
      </c>
      <c r="F72" s="114" t="s">
        <v>684</v>
      </c>
      <c r="G72" s="114">
        <v>1</v>
      </c>
      <c r="H72" s="114">
        <v>6</v>
      </c>
      <c r="I72" s="115">
        <v>69320</v>
      </c>
      <c r="J72" s="114" t="s">
        <v>246</v>
      </c>
    </row>
    <row r="73" spans="1:10" ht="20.100000000000001" customHeight="1">
      <c r="A73" s="114">
        <v>70</v>
      </c>
      <c r="B73" s="123">
        <v>46234</v>
      </c>
      <c r="C73" s="114" t="s">
        <v>261</v>
      </c>
      <c r="D73" s="114" t="s">
        <v>1225</v>
      </c>
      <c r="E73" s="203" t="s">
        <v>705</v>
      </c>
      <c r="F73" s="114" t="s">
        <v>298</v>
      </c>
      <c r="G73" s="114">
        <v>1</v>
      </c>
      <c r="H73" s="114">
        <v>6</v>
      </c>
      <c r="I73" s="115" t="s">
        <v>1230</v>
      </c>
      <c r="J73" s="114" t="s">
        <v>246</v>
      </c>
    </row>
    <row r="74" spans="1:10" ht="19.5" customHeight="1">
      <c r="A74" s="114">
        <v>71</v>
      </c>
      <c r="B74" s="123" t="s">
        <v>1232</v>
      </c>
      <c r="C74" s="114" t="s">
        <v>261</v>
      </c>
      <c r="D74" s="114" t="s">
        <v>1226</v>
      </c>
      <c r="E74" s="203" t="s">
        <v>705</v>
      </c>
      <c r="F74" s="114" t="s">
        <v>298</v>
      </c>
      <c r="G74" s="114">
        <v>1</v>
      </c>
      <c r="H74" s="114">
        <v>6</v>
      </c>
      <c r="I74" s="207" t="s">
        <v>1231</v>
      </c>
      <c r="J74" s="114" t="s">
        <v>246</v>
      </c>
    </row>
    <row r="75" spans="1:10" ht="19.5" customHeight="1">
      <c r="A75" s="114">
        <v>72</v>
      </c>
      <c r="B75" s="123">
        <v>46234</v>
      </c>
      <c r="C75" s="114" t="s">
        <v>261</v>
      </c>
      <c r="D75" s="114" t="s">
        <v>1227</v>
      </c>
      <c r="E75" s="203" t="s">
        <v>705</v>
      </c>
      <c r="F75" s="114" t="s">
        <v>298</v>
      </c>
      <c r="G75" s="114">
        <v>1</v>
      </c>
      <c r="H75" s="114">
        <v>6</v>
      </c>
      <c r="I75" s="115">
        <v>197100</v>
      </c>
      <c r="J75" s="114" t="s">
        <v>246</v>
      </c>
    </row>
    <row r="76" spans="1:10" ht="20.100000000000001" customHeight="1">
      <c r="A76" s="114">
        <v>73</v>
      </c>
      <c r="B76" s="123">
        <v>46234</v>
      </c>
      <c r="C76" s="114" t="s">
        <v>261</v>
      </c>
      <c r="D76" s="114" t="s">
        <v>1225</v>
      </c>
      <c r="E76" s="203" t="s">
        <v>706</v>
      </c>
      <c r="F76" s="114" t="s">
        <v>245</v>
      </c>
      <c r="G76" s="114">
        <v>1</v>
      </c>
      <c r="H76" s="114">
        <v>6</v>
      </c>
      <c r="I76" s="115">
        <v>15020</v>
      </c>
      <c r="J76" s="114" t="s">
        <v>246</v>
      </c>
    </row>
    <row r="77" spans="1:10" ht="19.5" customHeight="1">
      <c r="A77" s="114">
        <v>74</v>
      </c>
      <c r="B77" s="123" t="s">
        <v>1232</v>
      </c>
      <c r="C77" s="114" t="s">
        <v>261</v>
      </c>
      <c r="D77" s="114" t="s">
        <v>1226</v>
      </c>
      <c r="E77" s="203" t="s">
        <v>706</v>
      </c>
      <c r="F77" s="114" t="s">
        <v>245</v>
      </c>
      <c r="G77" s="114">
        <v>1</v>
      </c>
      <c r="H77" s="114">
        <v>6</v>
      </c>
      <c r="I77" s="207" t="s">
        <v>1231</v>
      </c>
      <c r="J77" s="114" t="s">
        <v>246</v>
      </c>
    </row>
    <row r="78" spans="1:10" ht="19.5" customHeight="1">
      <c r="A78" s="114">
        <v>75</v>
      </c>
      <c r="B78" s="123">
        <v>46234</v>
      </c>
      <c r="C78" s="114" t="s">
        <v>261</v>
      </c>
      <c r="D78" s="114" t="s">
        <v>1227</v>
      </c>
      <c r="E78" s="203" t="s">
        <v>706</v>
      </c>
      <c r="F78" s="114" t="s">
        <v>245</v>
      </c>
      <c r="G78" s="114">
        <v>1</v>
      </c>
      <c r="H78" s="114">
        <v>6</v>
      </c>
      <c r="I78" s="115">
        <v>78300</v>
      </c>
      <c r="J78" s="114" t="s">
        <v>246</v>
      </c>
    </row>
    <row r="79" spans="1:10" ht="20.100000000000001" customHeight="1">
      <c r="A79" s="114">
        <v>76</v>
      </c>
      <c r="B79" s="123">
        <v>46234</v>
      </c>
      <c r="C79" s="114" t="s">
        <v>261</v>
      </c>
      <c r="D79" s="114" t="s">
        <v>1225</v>
      </c>
      <c r="E79" s="203" t="s">
        <v>1212</v>
      </c>
      <c r="F79" s="114" t="s">
        <v>298</v>
      </c>
      <c r="G79" s="114">
        <v>1</v>
      </c>
      <c r="H79" s="114">
        <v>6</v>
      </c>
      <c r="I79" s="115" t="s">
        <v>1230</v>
      </c>
      <c r="J79" s="114" t="s">
        <v>246</v>
      </c>
    </row>
    <row r="80" spans="1:10" ht="19.5" customHeight="1">
      <c r="A80" s="114">
        <v>77</v>
      </c>
      <c r="B80" s="123" t="s">
        <v>1232</v>
      </c>
      <c r="C80" s="114" t="s">
        <v>261</v>
      </c>
      <c r="D80" s="114" t="s">
        <v>1226</v>
      </c>
      <c r="E80" s="203" t="s">
        <v>1212</v>
      </c>
      <c r="F80" s="114" t="s">
        <v>298</v>
      </c>
      <c r="G80" s="114">
        <v>1</v>
      </c>
      <c r="H80" s="114">
        <v>6</v>
      </c>
      <c r="I80" s="207" t="s">
        <v>1231</v>
      </c>
      <c r="J80" s="114" t="s">
        <v>246</v>
      </c>
    </row>
    <row r="81" spans="1:10" ht="19.5" customHeight="1">
      <c r="A81" s="114">
        <v>78</v>
      </c>
      <c r="B81" s="123">
        <v>46234</v>
      </c>
      <c r="C81" s="114" t="s">
        <v>261</v>
      </c>
      <c r="D81" s="114" t="s">
        <v>1227</v>
      </c>
      <c r="E81" s="203" t="s">
        <v>1212</v>
      </c>
      <c r="F81" s="114" t="s">
        <v>298</v>
      </c>
      <c r="G81" s="114">
        <v>1</v>
      </c>
      <c r="H81" s="114">
        <v>6</v>
      </c>
      <c r="I81" s="115">
        <v>22570</v>
      </c>
      <c r="J81" s="114" t="s">
        <v>246</v>
      </c>
    </row>
    <row r="82" spans="1:10" ht="20.100000000000001" customHeight="1">
      <c r="A82" s="114">
        <v>79</v>
      </c>
      <c r="B82" s="123">
        <v>46234</v>
      </c>
      <c r="C82" s="114" t="s">
        <v>261</v>
      </c>
      <c r="D82" s="114" t="s">
        <v>1225</v>
      </c>
      <c r="E82" s="203" t="s">
        <v>1213</v>
      </c>
      <c r="F82" s="114" t="s">
        <v>298</v>
      </c>
      <c r="G82" s="114">
        <v>1</v>
      </c>
      <c r="H82" s="114">
        <v>6</v>
      </c>
      <c r="I82" s="115">
        <v>6380</v>
      </c>
      <c r="J82" s="114" t="s">
        <v>246</v>
      </c>
    </row>
    <row r="83" spans="1:10" ht="19.5" customHeight="1">
      <c r="A83" s="114">
        <v>80</v>
      </c>
      <c r="B83" s="123" t="s">
        <v>1232</v>
      </c>
      <c r="C83" s="114" t="s">
        <v>261</v>
      </c>
      <c r="D83" s="114" t="s">
        <v>1226</v>
      </c>
      <c r="E83" s="203" t="s">
        <v>1213</v>
      </c>
      <c r="F83" s="114" t="s">
        <v>298</v>
      </c>
      <c r="G83" s="114">
        <v>1</v>
      </c>
      <c r="H83" s="114">
        <v>6</v>
      </c>
      <c r="I83" s="207" t="s">
        <v>1231</v>
      </c>
      <c r="J83" s="114" t="s">
        <v>246</v>
      </c>
    </row>
    <row r="84" spans="1:10" ht="19.5" customHeight="1">
      <c r="A84" s="114">
        <v>81</v>
      </c>
      <c r="B84" s="123">
        <v>46234</v>
      </c>
      <c r="C84" s="114" t="s">
        <v>261</v>
      </c>
      <c r="D84" s="114" t="s">
        <v>1227</v>
      </c>
      <c r="E84" s="203" t="s">
        <v>1213</v>
      </c>
      <c r="F84" s="114" t="s">
        <v>298</v>
      </c>
      <c r="G84" s="114">
        <v>1</v>
      </c>
      <c r="H84" s="114">
        <v>6</v>
      </c>
      <c r="I84" s="115">
        <v>57190</v>
      </c>
      <c r="J84" s="114" t="s">
        <v>246</v>
      </c>
    </row>
    <row r="85" spans="1:10" ht="20.100000000000001" customHeight="1">
      <c r="A85" s="114">
        <v>82</v>
      </c>
      <c r="B85" s="123">
        <v>46234</v>
      </c>
      <c r="C85" s="114" t="s">
        <v>261</v>
      </c>
      <c r="D85" s="114" t="s">
        <v>1225</v>
      </c>
      <c r="E85" s="203" t="s">
        <v>1214</v>
      </c>
      <c r="F85" s="114" t="s">
        <v>684</v>
      </c>
      <c r="G85" s="114">
        <v>1</v>
      </c>
      <c r="H85" s="114">
        <v>6</v>
      </c>
      <c r="I85" s="115" t="s">
        <v>1230</v>
      </c>
      <c r="J85" s="114" t="s">
        <v>246</v>
      </c>
    </row>
    <row r="86" spans="1:10" ht="19.5" customHeight="1">
      <c r="A86" s="114">
        <v>83</v>
      </c>
      <c r="B86" s="123" t="s">
        <v>1232</v>
      </c>
      <c r="C86" s="114" t="s">
        <v>261</v>
      </c>
      <c r="D86" s="114" t="s">
        <v>1226</v>
      </c>
      <c r="E86" s="203" t="s">
        <v>1214</v>
      </c>
      <c r="F86" s="114" t="s">
        <v>684</v>
      </c>
      <c r="G86" s="114">
        <v>1</v>
      </c>
      <c r="H86" s="114">
        <v>6</v>
      </c>
      <c r="I86" s="207" t="s">
        <v>1231</v>
      </c>
      <c r="J86" s="114" t="s">
        <v>246</v>
      </c>
    </row>
    <row r="87" spans="1:10" ht="19.5" customHeight="1">
      <c r="A87" s="114">
        <v>84</v>
      </c>
      <c r="B87" s="123">
        <v>46234</v>
      </c>
      <c r="C87" s="114" t="s">
        <v>261</v>
      </c>
      <c r="D87" s="114" t="s">
        <v>1227</v>
      </c>
      <c r="E87" s="203" t="s">
        <v>1214</v>
      </c>
      <c r="F87" s="114" t="s">
        <v>684</v>
      </c>
      <c r="G87" s="114">
        <v>1</v>
      </c>
      <c r="H87" s="114">
        <v>6</v>
      </c>
      <c r="I87" s="115" t="s">
        <v>1230</v>
      </c>
      <c r="J87" s="114" t="s">
        <v>246</v>
      </c>
    </row>
    <row r="88" spans="1:10" ht="20.100000000000001" customHeight="1">
      <c r="A88" s="114">
        <v>85</v>
      </c>
      <c r="B88" s="123">
        <v>46234</v>
      </c>
      <c r="C88" s="114" t="s">
        <v>261</v>
      </c>
      <c r="D88" s="114" t="s">
        <v>1225</v>
      </c>
      <c r="E88" s="203" t="s">
        <v>1215</v>
      </c>
      <c r="F88" s="114" t="s">
        <v>298</v>
      </c>
      <c r="G88" s="114">
        <v>1</v>
      </c>
      <c r="H88" s="114">
        <v>6</v>
      </c>
      <c r="I88" s="115" t="s">
        <v>1230</v>
      </c>
      <c r="J88" s="114" t="s">
        <v>246</v>
      </c>
    </row>
    <row r="89" spans="1:10" ht="19.5" customHeight="1">
      <c r="A89" s="114">
        <v>86</v>
      </c>
      <c r="B89" s="123" t="s">
        <v>1232</v>
      </c>
      <c r="C89" s="114" t="s">
        <v>261</v>
      </c>
      <c r="D89" s="114" t="s">
        <v>1226</v>
      </c>
      <c r="E89" s="203" t="s">
        <v>1215</v>
      </c>
      <c r="F89" s="114" t="s">
        <v>298</v>
      </c>
      <c r="G89" s="114">
        <v>1</v>
      </c>
      <c r="H89" s="114">
        <v>6</v>
      </c>
      <c r="I89" s="207" t="s">
        <v>1231</v>
      </c>
      <c r="J89" s="114" t="s">
        <v>246</v>
      </c>
    </row>
    <row r="90" spans="1:10" ht="19.5" customHeight="1">
      <c r="A90" s="114">
        <v>87</v>
      </c>
      <c r="B90" s="123">
        <v>46234</v>
      </c>
      <c r="C90" s="114" t="s">
        <v>261</v>
      </c>
      <c r="D90" s="114" t="s">
        <v>1227</v>
      </c>
      <c r="E90" s="203" t="s">
        <v>1215</v>
      </c>
      <c r="F90" s="114" t="s">
        <v>298</v>
      </c>
      <c r="G90" s="114">
        <v>1</v>
      </c>
      <c r="H90" s="114">
        <v>6</v>
      </c>
      <c r="I90" s="115">
        <v>25230</v>
      </c>
      <c r="J90" s="114" t="s">
        <v>246</v>
      </c>
    </row>
    <row r="91" spans="1:10" ht="20.100000000000001" customHeight="1">
      <c r="A91" s="114">
        <v>88</v>
      </c>
      <c r="B91" s="123">
        <v>46234</v>
      </c>
      <c r="C91" s="114" t="s">
        <v>261</v>
      </c>
      <c r="D91" s="114" t="s">
        <v>1225</v>
      </c>
      <c r="E91" s="203" t="s">
        <v>1216</v>
      </c>
      <c r="F91" s="114" t="s">
        <v>684</v>
      </c>
      <c r="G91" s="114">
        <v>1</v>
      </c>
      <c r="H91" s="114">
        <v>6</v>
      </c>
      <c r="I91" s="115" t="s">
        <v>1230</v>
      </c>
      <c r="J91" s="114" t="s">
        <v>246</v>
      </c>
    </row>
    <row r="92" spans="1:10" ht="19.5" customHeight="1">
      <c r="A92" s="114">
        <v>89</v>
      </c>
      <c r="B92" s="123" t="s">
        <v>1232</v>
      </c>
      <c r="C92" s="114" t="s">
        <v>261</v>
      </c>
      <c r="D92" s="114" t="s">
        <v>1226</v>
      </c>
      <c r="E92" s="203" t="s">
        <v>1216</v>
      </c>
      <c r="F92" s="114" t="s">
        <v>684</v>
      </c>
      <c r="G92" s="114">
        <v>1</v>
      </c>
      <c r="H92" s="114">
        <v>6</v>
      </c>
      <c r="I92" s="207" t="s">
        <v>1231</v>
      </c>
      <c r="J92" s="114" t="s">
        <v>246</v>
      </c>
    </row>
    <row r="93" spans="1:10" ht="19.5" customHeight="1">
      <c r="A93" s="114">
        <v>90</v>
      </c>
      <c r="B93" s="123">
        <v>46234</v>
      </c>
      <c r="C93" s="114" t="s">
        <v>261</v>
      </c>
      <c r="D93" s="114" t="s">
        <v>1227</v>
      </c>
      <c r="E93" s="203" t="s">
        <v>1216</v>
      </c>
      <c r="F93" s="114" t="s">
        <v>684</v>
      </c>
      <c r="G93" s="114">
        <v>1</v>
      </c>
      <c r="H93" s="114">
        <v>6</v>
      </c>
      <c r="I93" s="115">
        <v>123130</v>
      </c>
      <c r="J93" s="114" t="s">
        <v>246</v>
      </c>
    </row>
    <row r="94" spans="1:10" ht="20.100000000000001" customHeight="1">
      <c r="A94" s="114">
        <v>91</v>
      </c>
      <c r="B94" s="123">
        <v>46234</v>
      </c>
      <c r="C94" s="114" t="s">
        <v>261</v>
      </c>
      <c r="D94" s="114" t="s">
        <v>1225</v>
      </c>
      <c r="E94" s="203" t="s">
        <v>1217</v>
      </c>
      <c r="F94" s="114" t="s">
        <v>245</v>
      </c>
      <c r="G94" s="114">
        <v>1</v>
      </c>
      <c r="H94" s="114">
        <v>6</v>
      </c>
      <c r="I94" s="115" t="s">
        <v>1230</v>
      </c>
      <c r="J94" s="114" t="s">
        <v>246</v>
      </c>
    </row>
    <row r="95" spans="1:10" ht="19.5" customHeight="1">
      <c r="A95" s="114">
        <v>92</v>
      </c>
      <c r="B95" s="123" t="s">
        <v>1232</v>
      </c>
      <c r="C95" s="114" t="s">
        <v>261</v>
      </c>
      <c r="D95" s="114" t="s">
        <v>1226</v>
      </c>
      <c r="E95" s="203" t="s">
        <v>1217</v>
      </c>
      <c r="F95" s="114" t="s">
        <v>245</v>
      </c>
      <c r="G95" s="114">
        <v>1</v>
      </c>
      <c r="H95" s="114">
        <v>6</v>
      </c>
      <c r="I95" s="207" t="s">
        <v>1231</v>
      </c>
      <c r="J95" s="114" t="s">
        <v>246</v>
      </c>
    </row>
    <row r="96" spans="1:10" ht="19.5" customHeight="1">
      <c r="A96" s="114">
        <v>93</v>
      </c>
      <c r="B96" s="123">
        <v>46234</v>
      </c>
      <c r="C96" s="114" t="s">
        <v>261</v>
      </c>
      <c r="D96" s="114" t="s">
        <v>1227</v>
      </c>
      <c r="E96" s="203" t="s">
        <v>1217</v>
      </c>
      <c r="F96" s="114" t="s">
        <v>245</v>
      </c>
      <c r="G96" s="114">
        <v>1</v>
      </c>
      <c r="H96" s="114">
        <v>6</v>
      </c>
      <c r="I96" s="115" t="s">
        <v>1230</v>
      </c>
      <c r="J96" s="114" t="s">
        <v>246</v>
      </c>
    </row>
    <row r="97" spans="1:10" ht="20.100000000000001" customHeight="1">
      <c r="A97" s="114">
        <v>94</v>
      </c>
      <c r="B97" s="123">
        <v>46234</v>
      </c>
      <c r="C97" s="114" t="s">
        <v>261</v>
      </c>
      <c r="D97" s="114" t="s">
        <v>1225</v>
      </c>
      <c r="E97" s="203" t="s">
        <v>1218</v>
      </c>
      <c r="F97" s="114" t="s">
        <v>684</v>
      </c>
      <c r="G97" s="114">
        <v>1</v>
      </c>
      <c r="H97" s="114">
        <v>6</v>
      </c>
      <c r="I97" s="115" t="s">
        <v>1230</v>
      </c>
      <c r="J97" s="114" t="s">
        <v>246</v>
      </c>
    </row>
    <row r="98" spans="1:10" ht="19.5" customHeight="1">
      <c r="A98" s="114">
        <v>95</v>
      </c>
      <c r="B98" s="123" t="s">
        <v>1232</v>
      </c>
      <c r="C98" s="114" t="s">
        <v>261</v>
      </c>
      <c r="D98" s="114" t="s">
        <v>1226</v>
      </c>
      <c r="E98" s="203" t="s">
        <v>1218</v>
      </c>
      <c r="F98" s="114" t="s">
        <v>684</v>
      </c>
      <c r="G98" s="114">
        <v>1</v>
      </c>
      <c r="H98" s="114">
        <v>6</v>
      </c>
      <c r="I98" s="207" t="s">
        <v>1231</v>
      </c>
      <c r="J98" s="114" t="s">
        <v>246</v>
      </c>
    </row>
    <row r="99" spans="1:10" ht="19.5" customHeight="1">
      <c r="A99" s="114">
        <v>96</v>
      </c>
      <c r="B99" s="123">
        <v>46234</v>
      </c>
      <c r="C99" s="114" t="s">
        <v>261</v>
      </c>
      <c r="D99" s="114" t="s">
        <v>1227</v>
      </c>
      <c r="E99" s="203" t="s">
        <v>1218</v>
      </c>
      <c r="F99" s="114" t="s">
        <v>684</v>
      </c>
      <c r="G99" s="114">
        <v>1</v>
      </c>
      <c r="H99" s="114">
        <v>6</v>
      </c>
      <c r="I99" s="115" t="s">
        <v>1230</v>
      </c>
      <c r="J99" s="114" t="s">
        <v>246</v>
      </c>
    </row>
    <row r="100" spans="1:10" ht="20.100000000000001" customHeight="1">
      <c r="A100" s="114">
        <v>97</v>
      </c>
      <c r="B100" s="123">
        <v>46234</v>
      </c>
      <c r="C100" s="114" t="s">
        <v>261</v>
      </c>
      <c r="D100" s="114" t="s">
        <v>1225</v>
      </c>
      <c r="E100" s="203" t="s">
        <v>1219</v>
      </c>
      <c r="F100" s="114" t="s">
        <v>298</v>
      </c>
      <c r="G100" s="114">
        <v>1</v>
      </c>
      <c r="H100" s="114">
        <v>6</v>
      </c>
      <c r="I100" s="115" t="s">
        <v>1230</v>
      </c>
      <c r="J100" s="114" t="s">
        <v>246</v>
      </c>
    </row>
    <row r="101" spans="1:10" ht="19.5" customHeight="1">
      <c r="A101" s="114">
        <v>98</v>
      </c>
      <c r="B101" s="123" t="s">
        <v>1232</v>
      </c>
      <c r="C101" s="114" t="s">
        <v>261</v>
      </c>
      <c r="D101" s="114" t="s">
        <v>1226</v>
      </c>
      <c r="E101" s="203" t="s">
        <v>1219</v>
      </c>
      <c r="F101" s="114" t="s">
        <v>298</v>
      </c>
      <c r="G101" s="114">
        <v>1</v>
      </c>
      <c r="H101" s="114">
        <v>6</v>
      </c>
      <c r="I101" s="207" t="s">
        <v>1231</v>
      </c>
      <c r="J101" s="114" t="s">
        <v>246</v>
      </c>
    </row>
    <row r="102" spans="1:10" ht="19.5" customHeight="1">
      <c r="A102" s="114">
        <v>99</v>
      </c>
      <c r="B102" s="123">
        <v>46234</v>
      </c>
      <c r="C102" s="114" t="s">
        <v>261</v>
      </c>
      <c r="D102" s="114" t="s">
        <v>1227</v>
      </c>
      <c r="E102" s="203" t="s">
        <v>1219</v>
      </c>
      <c r="F102" s="114" t="s">
        <v>298</v>
      </c>
      <c r="G102" s="114">
        <v>1</v>
      </c>
      <c r="H102" s="114">
        <v>6</v>
      </c>
      <c r="I102" s="115" t="s">
        <v>1230</v>
      </c>
      <c r="J102" s="114" t="s">
        <v>246</v>
      </c>
    </row>
    <row r="103" spans="1:10" ht="20.100000000000001" customHeight="1">
      <c r="A103" s="114">
        <v>100</v>
      </c>
      <c r="B103" s="123">
        <v>46234</v>
      </c>
      <c r="C103" s="114" t="s">
        <v>261</v>
      </c>
      <c r="D103" s="114" t="s">
        <v>1225</v>
      </c>
      <c r="E103" s="203" t="s">
        <v>1220</v>
      </c>
      <c r="F103" s="114" t="s">
        <v>684</v>
      </c>
      <c r="G103" s="114">
        <v>1</v>
      </c>
      <c r="H103" s="114">
        <v>6</v>
      </c>
      <c r="I103" s="115" t="s">
        <v>1230</v>
      </c>
      <c r="J103" s="114" t="s">
        <v>246</v>
      </c>
    </row>
    <row r="104" spans="1:10" ht="19.5" customHeight="1">
      <c r="A104" s="114">
        <v>101</v>
      </c>
      <c r="B104" s="123" t="s">
        <v>1232</v>
      </c>
      <c r="C104" s="114" t="s">
        <v>261</v>
      </c>
      <c r="D104" s="114" t="s">
        <v>1226</v>
      </c>
      <c r="E104" s="203" t="s">
        <v>1220</v>
      </c>
      <c r="F104" s="114" t="s">
        <v>684</v>
      </c>
      <c r="G104" s="114">
        <v>1</v>
      </c>
      <c r="H104" s="114">
        <v>6</v>
      </c>
      <c r="I104" s="207" t="s">
        <v>1231</v>
      </c>
      <c r="J104" s="114" t="s">
        <v>246</v>
      </c>
    </row>
    <row r="105" spans="1:10" ht="19.5" customHeight="1">
      <c r="A105" s="114">
        <v>102</v>
      </c>
      <c r="B105" s="123">
        <v>46234</v>
      </c>
      <c r="C105" s="114" t="s">
        <v>261</v>
      </c>
      <c r="D105" s="114" t="s">
        <v>1227</v>
      </c>
      <c r="E105" s="203" t="s">
        <v>1220</v>
      </c>
      <c r="F105" s="114" t="s">
        <v>684</v>
      </c>
      <c r="G105" s="114">
        <v>1</v>
      </c>
      <c r="H105" s="114">
        <v>6</v>
      </c>
      <c r="I105" s="115" t="s">
        <v>1230</v>
      </c>
      <c r="J105" s="114" t="s">
        <v>246</v>
      </c>
    </row>
    <row r="106" spans="1:10" ht="20.100000000000001" customHeight="1">
      <c r="A106" s="114">
        <v>103</v>
      </c>
      <c r="B106" s="123">
        <v>46234</v>
      </c>
      <c r="C106" s="114" t="s">
        <v>261</v>
      </c>
      <c r="D106" s="114" t="s">
        <v>1225</v>
      </c>
      <c r="E106" s="203" t="s">
        <v>1221</v>
      </c>
      <c r="F106" s="114" t="s">
        <v>684</v>
      </c>
      <c r="G106" s="114">
        <v>1</v>
      </c>
      <c r="H106" s="114">
        <v>6</v>
      </c>
      <c r="I106" s="115" t="s">
        <v>1230</v>
      </c>
      <c r="J106" s="114" t="s">
        <v>246</v>
      </c>
    </row>
    <row r="107" spans="1:10" ht="19.5" customHeight="1">
      <c r="A107" s="114">
        <v>104</v>
      </c>
      <c r="B107" s="123" t="s">
        <v>1232</v>
      </c>
      <c r="C107" s="114" t="s">
        <v>261</v>
      </c>
      <c r="D107" s="114" t="s">
        <v>1226</v>
      </c>
      <c r="E107" s="203" t="s">
        <v>1221</v>
      </c>
      <c r="F107" s="114" t="s">
        <v>684</v>
      </c>
      <c r="G107" s="114">
        <v>1</v>
      </c>
      <c r="H107" s="114">
        <v>6</v>
      </c>
      <c r="I107" s="207" t="s">
        <v>1231</v>
      </c>
      <c r="J107" s="114" t="s">
        <v>246</v>
      </c>
    </row>
    <row r="108" spans="1:10" ht="19.5" customHeight="1">
      <c r="A108" s="114">
        <v>105</v>
      </c>
      <c r="B108" s="123">
        <v>46234</v>
      </c>
      <c r="C108" s="114" t="s">
        <v>261</v>
      </c>
      <c r="D108" s="114" t="s">
        <v>1227</v>
      </c>
      <c r="E108" s="203" t="s">
        <v>1221</v>
      </c>
      <c r="F108" s="114" t="s">
        <v>684</v>
      </c>
      <c r="G108" s="114">
        <v>1</v>
      </c>
      <c r="H108" s="114">
        <v>6</v>
      </c>
      <c r="I108" s="115" t="s">
        <v>1230</v>
      </c>
      <c r="J108" s="114" t="s">
        <v>246</v>
      </c>
    </row>
    <row r="109" spans="1:10" ht="20.100000000000001" customHeight="1">
      <c r="A109" s="114">
        <v>106</v>
      </c>
      <c r="B109" s="123">
        <v>46234</v>
      </c>
      <c r="C109" s="114" t="s">
        <v>261</v>
      </c>
      <c r="D109" s="114" t="s">
        <v>1225</v>
      </c>
      <c r="E109" s="203" t="s">
        <v>1222</v>
      </c>
      <c r="F109" s="114" t="s">
        <v>298</v>
      </c>
      <c r="G109" s="114">
        <v>1</v>
      </c>
      <c r="H109" s="114">
        <v>4</v>
      </c>
      <c r="I109" s="115">
        <v>11570</v>
      </c>
      <c r="J109" s="114" t="s">
        <v>246</v>
      </c>
    </row>
    <row r="110" spans="1:10" ht="19.5" customHeight="1">
      <c r="A110" s="114">
        <v>107</v>
      </c>
      <c r="B110" s="123" t="s">
        <v>1232</v>
      </c>
      <c r="C110" s="114" t="s">
        <v>261</v>
      </c>
      <c r="D110" s="114" t="s">
        <v>1226</v>
      </c>
      <c r="E110" s="203" t="s">
        <v>1222</v>
      </c>
      <c r="F110" s="114" t="s">
        <v>298</v>
      </c>
      <c r="G110" s="114">
        <v>1</v>
      </c>
      <c r="H110" s="114">
        <v>4</v>
      </c>
      <c r="I110" s="207" t="s">
        <v>1231</v>
      </c>
      <c r="J110" s="114" t="s">
        <v>246</v>
      </c>
    </row>
    <row r="111" spans="1:10" ht="19.5" customHeight="1">
      <c r="A111" s="114">
        <v>108</v>
      </c>
      <c r="B111" s="123">
        <v>46234</v>
      </c>
      <c r="C111" s="114" t="s">
        <v>261</v>
      </c>
      <c r="D111" s="114" t="s">
        <v>1227</v>
      </c>
      <c r="E111" s="203" t="s">
        <v>1222</v>
      </c>
      <c r="F111" s="114" t="s">
        <v>298</v>
      </c>
      <c r="G111" s="114">
        <v>1</v>
      </c>
      <c r="H111" s="114">
        <v>4</v>
      </c>
      <c r="I111" s="115">
        <v>36270</v>
      </c>
      <c r="J111" s="114" t="s">
        <v>246</v>
      </c>
    </row>
    <row r="112" spans="1:10" ht="20.100000000000001" customHeight="1">
      <c r="A112" s="114">
        <v>109</v>
      </c>
      <c r="B112" s="123">
        <v>46234</v>
      </c>
      <c r="C112" s="114" t="s">
        <v>261</v>
      </c>
      <c r="D112" s="114" t="s">
        <v>1225</v>
      </c>
      <c r="E112" s="203" t="s">
        <v>1223</v>
      </c>
      <c r="F112" s="114" t="s">
        <v>298</v>
      </c>
      <c r="G112" s="114">
        <v>1</v>
      </c>
      <c r="H112" s="114">
        <v>6</v>
      </c>
      <c r="I112" s="115">
        <v>13280</v>
      </c>
      <c r="J112" s="114" t="s">
        <v>246</v>
      </c>
    </row>
    <row r="113" spans="1:10" ht="19.5" customHeight="1">
      <c r="A113" s="114">
        <v>110</v>
      </c>
      <c r="B113" s="123" t="s">
        <v>1232</v>
      </c>
      <c r="C113" s="114" t="s">
        <v>261</v>
      </c>
      <c r="D113" s="114" t="s">
        <v>1226</v>
      </c>
      <c r="E113" s="203" t="s">
        <v>1223</v>
      </c>
      <c r="F113" s="114" t="s">
        <v>298</v>
      </c>
      <c r="G113" s="114">
        <v>1</v>
      </c>
      <c r="H113" s="114">
        <v>6</v>
      </c>
      <c r="I113" s="207" t="s">
        <v>1231</v>
      </c>
      <c r="J113" s="114" t="s">
        <v>246</v>
      </c>
    </row>
    <row r="114" spans="1:10" ht="19.5" customHeight="1">
      <c r="A114" s="114">
        <v>111</v>
      </c>
      <c r="B114" s="123">
        <v>46234</v>
      </c>
      <c r="C114" s="114" t="s">
        <v>261</v>
      </c>
      <c r="D114" s="114" t="s">
        <v>1227</v>
      </c>
      <c r="E114" s="203" t="s">
        <v>1223</v>
      </c>
      <c r="F114" s="114" t="s">
        <v>298</v>
      </c>
      <c r="G114" s="114">
        <v>1</v>
      </c>
      <c r="H114" s="114">
        <v>6</v>
      </c>
      <c r="I114" s="115">
        <v>26470</v>
      </c>
      <c r="J114" s="114" t="s">
        <v>246</v>
      </c>
    </row>
    <row r="115" spans="1:10" ht="20.100000000000001" customHeight="1">
      <c r="A115" s="114">
        <v>112</v>
      </c>
      <c r="B115" s="123">
        <v>46234</v>
      </c>
      <c r="C115" s="114" t="s">
        <v>261</v>
      </c>
      <c r="D115" s="114" t="s">
        <v>1225</v>
      </c>
      <c r="E115" s="203" t="s">
        <v>1224</v>
      </c>
      <c r="F115" s="114" t="s">
        <v>683</v>
      </c>
      <c r="G115" s="114">
        <v>1</v>
      </c>
      <c r="H115" s="114">
        <v>6</v>
      </c>
      <c r="I115" s="115">
        <v>1200</v>
      </c>
      <c r="J115" s="114" t="s">
        <v>246</v>
      </c>
    </row>
    <row r="116" spans="1:10" ht="19.5" customHeight="1">
      <c r="A116" s="114">
        <v>113</v>
      </c>
      <c r="B116" s="123" t="s">
        <v>1232</v>
      </c>
      <c r="C116" s="114" t="s">
        <v>261</v>
      </c>
      <c r="D116" s="114" t="s">
        <v>1226</v>
      </c>
      <c r="E116" s="203" t="s">
        <v>1224</v>
      </c>
      <c r="F116" s="114" t="s">
        <v>683</v>
      </c>
      <c r="G116" s="114">
        <v>1</v>
      </c>
      <c r="H116" s="114">
        <v>6</v>
      </c>
      <c r="I116" s="207" t="s">
        <v>1231</v>
      </c>
      <c r="J116" s="114" t="s">
        <v>246</v>
      </c>
    </row>
    <row r="117" spans="1:10" ht="19.5" customHeight="1">
      <c r="A117" s="114">
        <v>114</v>
      </c>
      <c r="B117" s="123">
        <v>46234</v>
      </c>
      <c r="C117" s="114" t="s">
        <v>261</v>
      </c>
      <c r="D117" s="114" t="s">
        <v>1227</v>
      </c>
      <c r="E117" s="203" t="s">
        <v>1224</v>
      </c>
      <c r="F117" s="114" t="s">
        <v>683</v>
      </c>
      <c r="G117" s="114">
        <v>1</v>
      </c>
      <c r="H117" s="114">
        <v>6</v>
      </c>
      <c r="I117" s="115">
        <v>17110</v>
      </c>
      <c r="J117" s="114" t="s">
        <v>246</v>
      </c>
    </row>
    <row r="118" spans="1:10" ht="20.100000000000001" customHeight="1">
      <c r="A118" s="114">
        <v>115</v>
      </c>
      <c r="B118" s="123">
        <v>46234</v>
      </c>
      <c r="C118" s="114" t="s">
        <v>261</v>
      </c>
      <c r="D118" s="114" t="s">
        <v>1225</v>
      </c>
      <c r="E118" s="205" t="s">
        <v>686</v>
      </c>
      <c r="F118" s="114" t="s">
        <v>683</v>
      </c>
      <c r="G118" s="114">
        <v>1</v>
      </c>
      <c r="H118" s="114">
        <v>4</v>
      </c>
      <c r="I118" s="115">
        <v>2930</v>
      </c>
      <c r="J118" s="114" t="s">
        <v>246</v>
      </c>
    </row>
    <row r="119" spans="1:10" ht="19.5" customHeight="1">
      <c r="A119" s="114">
        <v>116</v>
      </c>
      <c r="B119" s="123" t="s">
        <v>1232</v>
      </c>
      <c r="C119" s="114" t="s">
        <v>261</v>
      </c>
      <c r="D119" s="114" t="s">
        <v>1226</v>
      </c>
      <c r="E119" s="205" t="s">
        <v>686</v>
      </c>
      <c r="F119" s="114" t="s">
        <v>683</v>
      </c>
      <c r="G119" s="114">
        <v>1</v>
      </c>
      <c r="H119" s="114">
        <v>4</v>
      </c>
      <c r="I119" s="207" t="s">
        <v>1231</v>
      </c>
      <c r="J119" s="114" t="s">
        <v>246</v>
      </c>
    </row>
    <row r="120" spans="1:10" ht="19.5" customHeight="1">
      <c r="A120" s="114">
        <v>117</v>
      </c>
      <c r="B120" s="123">
        <v>46234</v>
      </c>
      <c r="C120" s="114" t="s">
        <v>261</v>
      </c>
      <c r="D120" s="114" t="s">
        <v>1227</v>
      </c>
      <c r="E120" s="205" t="s">
        <v>686</v>
      </c>
      <c r="F120" s="114" t="s">
        <v>683</v>
      </c>
      <c r="G120" s="114">
        <v>1</v>
      </c>
      <c r="H120" s="114">
        <v>4</v>
      </c>
      <c r="I120" s="115">
        <v>33090</v>
      </c>
      <c r="J120" s="114" t="s">
        <v>246</v>
      </c>
    </row>
    <row r="121" spans="1:10" ht="20.100000000000001" customHeight="1">
      <c r="A121" s="114">
        <v>118</v>
      </c>
      <c r="B121" s="123">
        <v>46234</v>
      </c>
      <c r="C121" s="114" t="s">
        <v>261</v>
      </c>
      <c r="D121" s="114" t="s">
        <v>1225</v>
      </c>
      <c r="E121" s="205" t="s">
        <v>687</v>
      </c>
      <c r="F121" s="114" t="s">
        <v>245</v>
      </c>
      <c r="G121" s="114">
        <v>1</v>
      </c>
      <c r="H121" s="114">
        <v>6</v>
      </c>
      <c r="I121" s="115">
        <v>37350</v>
      </c>
      <c r="J121" s="114" t="s">
        <v>246</v>
      </c>
    </row>
    <row r="122" spans="1:10" ht="19.5" customHeight="1">
      <c r="A122" s="114">
        <v>119</v>
      </c>
      <c r="B122" s="123" t="s">
        <v>1232</v>
      </c>
      <c r="C122" s="114" t="s">
        <v>261</v>
      </c>
      <c r="D122" s="114" t="s">
        <v>1226</v>
      </c>
      <c r="E122" s="205" t="s">
        <v>687</v>
      </c>
      <c r="F122" s="114" t="s">
        <v>245</v>
      </c>
      <c r="G122" s="114">
        <v>1</v>
      </c>
      <c r="H122" s="114">
        <v>6</v>
      </c>
      <c r="I122" s="207" t="s">
        <v>1231</v>
      </c>
      <c r="J122" s="114" t="s">
        <v>246</v>
      </c>
    </row>
    <row r="123" spans="1:10" ht="19.5" customHeight="1">
      <c r="A123" s="114">
        <v>120</v>
      </c>
      <c r="B123" s="123">
        <v>46234</v>
      </c>
      <c r="C123" s="114" t="s">
        <v>261</v>
      </c>
      <c r="D123" s="114" t="s">
        <v>1227</v>
      </c>
      <c r="E123" s="205" t="s">
        <v>687</v>
      </c>
      <c r="F123" s="114" t="s">
        <v>245</v>
      </c>
      <c r="G123" s="114">
        <v>1</v>
      </c>
      <c r="H123" s="114">
        <v>6</v>
      </c>
      <c r="I123" s="115">
        <v>70320</v>
      </c>
      <c r="J123" s="114" t="s">
        <v>246</v>
      </c>
    </row>
    <row r="124" spans="1:10" ht="20.100000000000001" customHeight="1">
      <c r="A124" s="114">
        <v>121</v>
      </c>
      <c r="B124" s="123">
        <v>46234</v>
      </c>
      <c r="C124" s="114" t="s">
        <v>261</v>
      </c>
      <c r="D124" s="114" t="s">
        <v>1225</v>
      </c>
      <c r="E124" s="206" t="s">
        <v>688</v>
      </c>
      <c r="F124" s="114" t="s">
        <v>298</v>
      </c>
      <c r="G124" s="114">
        <v>1</v>
      </c>
      <c r="H124" s="114">
        <v>4</v>
      </c>
      <c r="I124" s="115">
        <v>40950</v>
      </c>
      <c r="J124" s="114" t="s">
        <v>246</v>
      </c>
    </row>
    <row r="125" spans="1:10" ht="19.5" customHeight="1">
      <c r="A125" s="114">
        <v>122</v>
      </c>
      <c r="B125" s="123" t="s">
        <v>1232</v>
      </c>
      <c r="C125" s="114" t="s">
        <v>261</v>
      </c>
      <c r="D125" s="114" t="s">
        <v>1226</v>
      </c>
      <c r="E125" s="206" t="s">
        <v>688</v>
      </c>
      <c r="F125" s="114" t="s">
        <v>298</v>
      </c>
      <c r="G125" s="114">
        <v>1</v>
      </c>
      <c r="H125" s="114">
        <v>4</v>
      </c>
      <c r="I125" s="207" t="s">
        <v>1231</v>
      </c>
      <c r="J125" s="114" t="s">
        <v>246</v>
      </c>
    </row>
    <row r="126" spans="1:10" ht="19.5" customHeight="1">
      <c r="A126" s="114">
        <v>123</v>
      </c>
      <c r="B126" s="211">
        <v>46234</v>
      </c>
      <c r="C126" s="209" t="s">
        <v>261</v>
      </c>
      <c r="D126" s="209" t="s">
        <v>1227</v>
      </c>
      <c r="E126" s="212" t="s">
        <v>688</v>
      </c>
      <c r="F126" s="209" t="s">
        <v>298</v>
      </c>
      <c r="G126" s="114">
        <v>1</v>
      </c>
      <c r="H126" s="114">
        <v>4</v>
      </c>
      <c r="I126" s="209">
        <v>52410</v>
      </c>
      <c r="J126" s="209" t="s">
        <v>246</v>
      </c>
    </row>
    <row r="127" spans="1:10" ht="19.5" customHeight="1">
      <c r="A127" s="215">
        <v>124</v>
      </c>
      <c r="B127" s="214">
        <v>46234</v>
      </c>
      <c r="C127" s="210" t="s">
        <v>261</v>
      </c>
      <c r="D127" s="210" t="s">
        <v>1289</v>
      </c>
      <c r="E127" s="213" t="s">
        <v>1290</v>
      </c>
      <c r="F127" s="210" t="s">
        <v>1291</v>
      </c>
      <c r="G127" s="210"/>
      <c r="H127" s="210"/>
      <c r="I127" s="210">
        <v>320000</v>
      </c>
      <c r="J127" s="210" t="s">
        <v>246</v>
      </c>
    </row>
  </sheetData>
  <autoFilter ref="A3:L126" xr:uid="{00000000-0001-0000-0700-000000000000}">
    <sortState ref="A5:J126">
      <sortCondition ref="A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56" fitToHeight="3" orientation="landscape" r:id="rId1"/>
  <rowBreaks count="2" manualBreakCount="2">
    <brk id="31" max="9" man="1"/>
    <brk id="63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H14" sqref="H14"/>
    </sheetView>
  </sheetViews>
  <sheetFormatPr defaultRowHeight="16.5"/>
  <cols>
    <col min="1" max="1" width="9" style="52"/>
    <col min="2" max="3" width="12.625" style="52" customWidth="1"/>
    <col min="4" max="4" width="22.875" style="52" bestFit="1" customWidth="1"/>
    <col min="5" max="5" width="31.375" style="52" bestFit="1" customWidth="1"/>
    <col min="6" max="6" width="10.625" style="52" customWidth="1"/>
    <col min="7" max="7" width="8.125" style="52" customWidth="1"/>
    <col min="8" max="8" width="10.5" style="52" bestFit="1" customWidth="1"/>
    <col min="9" max="9" width="13.625" style="52" customWidth="1"/>
    <col min="10" max="10" width="35.625" style="52" customWidth="1"/>
    <col min="11" max="12" width="9" style="52"/>
  </cols>
  <sheetData>
    <row r="1" spans="1:12" ht="35.1" customHeight="1">
      <c r="A1" s="295" t="s">
        <v>263</v>
      </c>
      <c r="B1" s="296"/>
      <c r="C1" s="296"/>
      <c r="D1" s="296"/>
      <c r="E1" s="296"/>
      <c r="F1" s="296"/>
      <c r="G1" s="296"/>
      <c r="H1" s="296"/>
      <c r="I1" s="296"/>
      <c r="J1" s="297"/>
    </row>
    <row r="2" spans="1:12" ht="24.95" customHeight="1">
      <c r="A2" s="298" t="s">
        <v>264</v>
      </c>
      <c r="B2" s="298" t="s">
        <v>265</v>
      </c>
      <c r="C2" s="298" t="s">
        <v>109</v>
      </c>
      <c r="D2" s="298" t="s">
        <v>266</v>
      </c>
      <c r="E2" s="298" t="s">
        <v>267</v>
      </c>
      <c r="F2" s="298" t="s">
        <v>268</v>
      </c>
      <c r="G2" s="298" t="s">
        <v>269</v>
      </c>
      <c r="H2" s="298" t="s">
        <v>270</v>
      </c>
      <c r="I2" s="111" t="s">
        <v>271</v>
      </c>
      <c r="J2" s="298" t="s">
        <v>242</v>
      </c>
    </row>
    <row r="3" spans="1:12" ht="24.95" customHeight="1">
      <c r="A3" s="298"/>
      <c r="B3" s="298"/>
      <c r="C3" s="298"/>
      <c r="D3" s="298"/>
      <c r="E3" s="298"/>
      <c r="F3" s="298"/>
      <c r="G3" s="298"/>
      <c r="H3" s="298"/>
      <c r="I3" s="112">
        <f>SUM(I4:I5)</f>
        <v>65930682</v>
      </c>
      <c r="J3" s="298"/>
      <c r="L3" s="113" t="s">
        <v>272</v>
      </c>
    </row>
    <row r="4" spans="1:12" ht="24.95" customHeight="1">
      <c r="A4" s="114">
        <v>1</v>
      </c>
      <c r="B4" s="125">
        <v>46234</v>
      </c>
      <c r="C4" s="114" t="s">
        <v>273</v>
      </c>
      <c r="D4" s="114" t="s">
        <v>274</v>
      </c>
      <c r="E4" s="114" t="s">
        <v>300</v>
      </c>
      <c r="F4" s="114">
        <v>4151</v>
      </c>
      <c r="G4" s="114">
        <v>132</v>
      </c>
      <c r="H4" s="115">
        <v>6181.82</v>
      </c>
      <c r="I4" s="115">
        <v>25568682</v>
      </c>
      <c r="J4" s="114" t="s">
        <v>246</v>
      </c>
      <c r="L4" s="116" t="s">
        <v>275</v>
      </c>
    </row>
    <row r="5" spans="1:12" ht="24.95" customHeight="1">
      <c r="A5" s="114">
        <v>2</v>
      </c>
      <c r="B5" s="125">
        <v>46228</v>
      </c>
      <c r="C5" s="114" t="s">
        <v>273</v>
      </c>
      <c r="D5" s="114" t="s">
        <v>274</v>
      </c>
      <c r="E5" s="114" t="s">
        <v>303</v>
      </c>
      <c r="F5" s="114">
        <v>5766</v>
      </c>
      <c r="G5" s="114">
        <v>161</v>
      </c>
      <c r="H5" s="115">
        <v>7000</v>
      </c>
      <c r="I5" s="115">
        <f>F5*H5</f>
        <v>40362000</v>
      </c>
      <c r="J5" s="114" t="s">
        <v>246</v>
      </c>
      <c r="L5" s="116" t="s">
        <v>276</v>
      </c>
    </row>
    <row r="6" spans="1:12" ht="24.95" customHeight="1">
      <c r="L6" s="116" t="s">
        <v>277</v>
      </c>
    </row>
    <row r="7" spans="1:12" ht="24.95" customHeight="1">
      <c r="L7" s="116" t="s">
        <v>278</v>
      </c>
    </row>
    <row r="8" spans="1:12" ht="24.95" customHeight="1">
      <c r="L8" s="117" t="s">
        <v>279</v>
      </c>
    </row>
    <row r="9" spans="1:12" ht="24.95" customHeight="1">
      <c r="L9" s="117" t="s">
        <v>280</v>
      </c>
    </row>
    <row r="10" spans="1:12">
      <c r="L10" s="117" t="s">
        <v>281</v>
      </c>
    </row>
    <row r="11" spans="1:12">
      <c r="L11" s="117" t="s">
        <v>282</v>
      </c>
    </row>
    <row r="12" spans="1:12">
      <c r="L12" s="113"/>
    </row>
    <row r="13" spans="1:12">
      <c r="L13" s="52" t="s">
        <v>283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38"/>
  <sheetViews>
    <sheetView view="pageBreakPreview" zoomScale="115" zoomScaleNormal="100" zoomScaleSheetLayoutView="115" workbookViewId="0">
      <selection activeCell="C139" sqref="C139"/>
    </sheetView>
  </sheetViews>
  <sheetFormatPr defaultRowHeight="16.5"/>
  <cols>
    <col min="2" max="2" width="10.875" bestFit="1" customWidth="1"/>
    <col min="3" max="3" width="10.625" bestFit="1" customWidth="1"/>
    <col min="4" max="4" width="52.875" bestFit="1" customWidth="1"/>
    <col min="7" max="7" width="10.5" bestFit="1" customWidth="1"/>
    <col min="8" max="8" width="10.5" customWidth="1"/>
    <col min="9" max="9" width="18" customWidth="1"/>
    <col min="10" max="10" width="10.5" bestFit="1" customWidth="1"/>
    <col min="14" max="14" width="9.375" bestFit="1" customWidth="1"/>
    <col min="15" max="15" width="10.875" bestFit="1" customWidth="1"/>
  </cols>
  <sheetData>
    <row r="1" spans="1:15" ht="35.1" customHeight="1">
      <c r="A1" s="299" t="s">
        <v>284</v>
      </c>
      <c r="B1" s="299"/>
      <c r="C1" s="299"/>
      <c r="D1" s="299"/>
      <c r="E1" s="299"/>
      <c r="F1" s="299"/>
      <c r="G1" s="299"/>
      <c r="H1" s="299"/>
      <c r="I1" s="299"/>
      <c r="J1" s="52"/>
      <c r="K1" s="52"/>
      <c r="L1" s="52"/>
    </row>
    <row r="2" spans="1:15" ht="24.95" customHeight="1">
      <c r="A2" s="298" t="s">
        <v>285</v>
      </c>
      <c r="B2" s="300" t="s">
        <v>286</v>
      </c>
      <c r="C2" s="300" t="s">
        <v>287</v>
      </c>
      <c r="D2" s="301" t="s">
        <v>278</v>
      </c>
      <c r="E2" s="300" t="s">
        <v>279</v>
      </c>
      <c r="F2" s="300" t="s">
        <v>252</v>
      </c>
      <c r="G2" s="302" t="s">
        <v>288</v>
      </c>
      <c r="H2" s="118" t="s">
        <v>289</v>
      </c>
      <c r="I2" s="300" t="s">
        <v>290</v>
      </c>
      <c r="J2" s="52"/>
      <c r="K2" s="52"/>
      <c r="L2" s="52"/>
    </row>
    <row r="3" spans="1:15" ht="24.95" customHeight="1">
      <c r="A3" s="298"/>
      <c r="B3" s="300"/>
      <c r="C3" s="300"/>
      <c r="D3" s="301"/>
      <c r="E3" s="300"/>
      <c r="F3" s="300"/>
      <c r="G3" s="302"/>
      <c r="H3" s="119">
        <f>SUM(H4:H138)</f>
        <v>6415800</v>
      </c>
      <c r="I3" s="300"/>
      <c r="J3" s="208"/>
      <c r="K3" s="113" t="s">
        <v>272</v>
      </c>
      <c r="L3" s="52"/>
      <c r="N3" s="19"/>
      <c r="O3" s="19"/>
    </row>
    <row r="4" spans="1:15" ht="24.95" customHeight="1">
      <c r="A4" s="114">
        <v>1</v>
      </c>
      <c r="B4" s="123">
        <v>46204</v>
      </c>
      <c r="C4" s="114" t="s">
        <v>291</v>
      </c>
      <c r="D4" s="124" t="s">
        <v>437</v>
      </c>
      <c r="E4" s="114" t="s">
        <v>301</v>
      </c>
      <c r="F4" s="114">
        <v>10</v>
      </c>
      <c r="G4" s="115">
        <v>4500</v>
      </c>
      <c r="H4" s="115">
        <f>F4*G4</f>
        <v>45000</v>
      </c>
      <c r="I4" s="115" t="s">
        <v>302</v>
      </c>
      <c r="J4" s="208"/>
      <c r="K4" s="116" t="s">
        <v>275</v>
      </c>
      <c r="L4" s="52"/>
    </row>
    <row r="5" spans="1:15" ht="24.95" customHeight="1">
      <c r="A5" s="114">
        <v>2</v>
      </c>
      <c r="B5" s="123">
        <v>46204</v>
      </c>
      <c r="C5" s="114" t="s">
        <v>291</v>
      </c>
      <c r="D5" s="124" t="s">
        <v>527</v>
      </c>
      <c r="E5" s="114" t="s">
        <v>301</v>
      </c>
      <c r="F5" s="114">
        <v>10</v>
      </c>
      <c r="G5" s="115">
        <v>2100</v>
      </c>
      <c r="H5" s="115">
        <f t="shared" ref="H5:H6" si="0">F5*G5</f>
        <v>21000</v>
      </c>
      <c r="I5" s="115" t="s">
        <v>302</v>
      </c>
      <c r="J5" s="52"/>
      <c r="K5" s="116" t="s">
        <v>276</v>
      </c>
      <c r="L5" s="52"/>
    </row>
    <row r="6" spans="1:15" ht="24.95" customHeight="1">
      <c r="A6" s="114">
        <v>3</v>
      </c>
      <c r="B6" s="123">
        <v>46204</v>
      </c>
      <c r="C6" s="114" t="s">
        <v>291</v>
      </c>
      <c r="D6" s="124" t="s">
        <v>965</v>
      </c>
      <c r="E6" s="114" t="s">
        <v>301</v>
      </c>
      <c r="F6" s="114">
        <v>5</v>
      </c>
      <c r="G6" s="115">
        <v>5700</v>
      </c>
      <c r="H6" s="115">
        <f t="shared" si="0"/>
        <v>28500</v>
      </c>
      <c r="I6" s="115" t="s">
        <v>302</v>
      </c>
      <c r="J6" s="52"/>
      <c r="K6" s="116" t="s">
        <v>277</v>
      </c>
      <c r="L6" s="52"/>
    </row>
    <row r="7" spans="1:15" ht="24.95" customHeight="1">
      <c r="A7" s="114">
        <v>4</v>
      </c>
      <c r="B7" s="123">
        <v>46204</v>
      </c>
      <c r="C7" s="114" t="s">
        <v>291</v>
      </c>
      <c r="D7" s="124" t="s">
        <v>1233</v>
      </c>
      <c r="E7" s="114" t="s">
        <v>301</v>
      </c>
      <c r="F7" s="114">
        <v>5</v>
      </c>
      <c r="G7" s="115">
        <v>6500</v>
      </c>
      <c r="H7" s="115">
        <f>F7*G7</f>
        <v>32500</v>
      </c>
      <c r="I7" s="115" t="s">
        <v>302</v>
      </c>
      <c r="J7" s="52"/>
      <c r="K7" s="116" t="s">
        <v>278</v>
      </c>
      <c r="L7" s="52"/>
    </row>
    <row r="8" spans="1:15" ht="24.95" customHeight="1">
      <c r="A8" s="114">
        <v>5</v>
      </c>
      <c r="B8" s="123">
        <v>46205</v>
      </c>
      <c r="C8" s="114" t="s">
        <v>291</v>
      </c>
      <c r="D8" s="124" t="s">
        <v>1234</v>
      </c>
      <c r="E8" s="114" t="s">
        <v>301</v>
      </c>
      <c r="F8" s="114">
        <v>3</v>
      </c>
      <c r="G8" s="115">
        <v>16000</v>
      </c>
      <c r="H8" s="115">
        <f t="shared" ref="H8:H9" si="1">F8*G8</f>
        <v>48000</v>
      </c>
      <c r="I8" s="115" t="s">
        <v>302</v>
      </c>
      <c r="J8" s="52"/>
      <c r="K8" s="117" t="s">
        <v>279</v>
      </c>
      <c r="L8" s="52"/>
    </row>
    <row r="9" spans="1:15" ht="24.95" customHeight="1">
      <c r="A9" s="114">
        <v>6</v>
      </c>
      <c r="B9" s="123">
        <v>46205</v>
      </c>
      <c r="C9" s="114" t="s">
        <v>291</v>
      </c>
      <c r="D9" s="124" t="s">
        <v>311</v>
      </c>
      <c r="E9" s="114" t="s">
        <v>301</v>
      </c>
      <c r="F9" s="114">
        <v>1</v>
      </c>
      <c r="G9" s="115">
        <v>12000</v>
      </c>
      <c r="H9" s="115">
        <f t="shared" si="1"/>
        <v>12000</v>
      </c>
      <c r="I9" s="115" t="s">
        <v>302</v>
      </c>
      <c r="J9" s="52"/>
      <c r="K9" s="117" t="s">
        <v>280</v>
      </c>
      <c r="L9" s="52"/>
    </row>
    <row r="10" spans="1:15" ht="24.95" customHeight="1">
      <c r="A10" s="114">
        <v>7</v>
      </c>
      <c r="B10" s="123">
        <v>46205</v>
      </c>
      <c r="C10" s="114" t="s">
        <v>291</v>
      </c>
      <c r="D10" s="124" t="s">
        <v>966</v>
      </c>
      <c r="E10" s="114" t="s">
        <v>301</v>
      </c>
      <c r="F10" s="114">
        <v>100</v>
      </c>
      <c r="G10" s="115">
        <v>300</v>
      </c>
      <c r="H10" s="115">
        <f>F10*G10</f>
        <v>30000</v>
      </c>
      <c r="I10" s="115" t="s">
        <v>302</v>
      </c>
      <c r="J10" s="52"/>
      <c r="K10" s="117" t="s">
        <v>281</v>
      </c>
      <c r="L10" s="52"/>
    </row>
    <row r="11" spans="1:15" ht="24.95" customHeight="1">
      <c r="A11" s="114">
        <v>8</v>
      </c>
      <c r="B11" s="123">
        <v>46205</v>
      </c>
      <c r="C11" s="114" t="s">
        <v>291</v>
      </c>
      <c r="D11" s="124" t="s">
        <v>969</v>
      </c>
      <c r="E11" s="114" t="s">
        <v>301</v>
      </c>
      <c r="F11" s="114">
        <v>5</v>
      </c>
      <c r="G11" s="115">
        <v>5400</v>
      </c>
      <c r="H11" s="115">
        <f t="shared" ref="H11:H12" si="2">F11*G11</f>
        <v>27000</v>
      </c>
      <c r="I11" s="115" t="s">
        <v>302</v>
      </c>
      <c r="J11" s="52"/>
      <c r="K11" s="117" t="s">
        <v>282</v>
      </c>
      <c r="L11" s="52"/>
    </row>
    <row r="12" spans="1:15" ht="24.95" customHeight="1">
      <c r="A12" s="114">
        <v>9</v>
      </c>
      <c r="B12" s="123">
        <v>46205</v>
      </c>
      <c r="C12" s="114" t="s">
        <v>291</v>
      </c>
      <c r="D12" s="124" t="s">
        <v>1235</v>
      </c>
      <c r="E12" s="114" t="s">
        <v>301</v>
      </c>
      <c r="F12" s="114">
        <v>4</v>
      </c>
      <c r="G12" s="115">
        <v>24300</v>
      </c>
      <c r="H12" s="115">
        <f t="shared" si="2"/>
        <v>97200</v>
      </c>
      <c r="I12" s="115" t="s">
        <v>302</v>
      </c>
      <c r="J12" s="52"/>
      <c r="K12" s="113"/>
      <c r="L12" s="52"/>
    </row>
    <row r="13" spans="1:15" ht="24.95" customHeight="1">
      <c r="A13" s="114">
        <v>10</v>
      </c>
      <c r="B13" s="123">
        <v>46205</v>
      </c>
      <c r="C13" s="114" t="s">
        <v>291</v>
      </c>
      <c r="D13" s="124" t="s">
        <v>1236</v>
      </c>
      <c r="E13" s="114" t="s">
        <v>301</v>
      </c>
      <c r="F13" s="114">
        <v>4</v>
      </c>
      <c r="G13" s="115">
        <v>1800</v>
      </c>
      <c r="H13" s="115">
        <f>F13*G13</f>
        <v>7200</v>
      </c>
      <c r="I13" s="115" t="s">
        <v>302</v>
      </c>
      <c r="J13" s="52"/>
      <c r="K13" s="52" t="s">
        <v>283</v>
      </c>
      <c r="L13" s="52"/>
    </row>
    <row r="14" spans="1:15" ht="24.95" customHeight="1">
      <c r="A14" s="114">
        <v>11</v>
      </c>
      <c r="B14" s="123">
        <v>46206</v>
      </c>
      <c r="C14" s="114" t="s">
        <v>291</v>
      </c>
      <c r="D14" s="124" t="s">
        <v>1237</v>
      </c>
      <c r="E14" s="114" t="s">
        <v>301</v>
      </c>
      <c r="F14" s="114">
        <v>2</v>
      </c>
      <c r="G14" s="115">
        <v>23200</v>
      </c>
      <c r="H14" s="115">
        <f t="shared" ref="H14:H15" si="3">F14*G14</f>
        <v>46400</v>
      </c>
      <c r="I14" s="115" t="s">
        <v>302</v>
      </c>
    </row>
    <row r="15" spans="1:15" ht="24.95" customHeight="1">
      <c r="A15" s="114">
        <v>12</v>
      </c>
      <c r="B15" s="123">
        <v>46206</v>
      </c>
      <c r="C15" s="114" t="s">
        <v>291</v>
      </c>
      <c r="D15" s="124" t="s">
        <v>530</v>
      </c>
      <c r="E15" s="114" t="s">
        <v>301</v>
      </c>
      <c r="F15" s="114">
        <v>3</v>
      </c>
      <c r="G15" s="115">
        <v>13000</v>
      </c>
      <c r="H15" s="115">
        <f t="shared" si="3"/>
        <v>39000</v>
      </c>
      <c r="I15" s="115" t="s">
        <v>302</v>
      </c>
    </row>
    <row r="16" spans="1:15" ht="24.95" customHeight="1">
      <c r="A16" s="114">
        <v>13</v>
      </c>
      <c r="B16" s="123">
        <v>46206</v>
      </c>
      <c r="C16" s="114" t="s">
        <v>291</v>
      </c>
      <c r="D16" s="124" t="s">
        <v>1238</v>
      </c>
      <c r="E16" s="114" t="s">
        <v>301</v>
      </c>
      <c r="F16" s="114">
        <v>2</v>
      </c>
      <c r="G16" s="115">
        <v>20800</v>
      </c>
      <c r="H16" s="115">
        <f>F16*G16</f>
        <v>41600</v>
      </c>
      <c r="I16" s="115" t="s">
        <v>302</v>
      </c>
    </row>
    <row r="17" spans="1:12" ht="24.95" customHeight="1">
      <c r="A17" s="114">
        <v>14</v>
      </c>
      <c r="B17" s="123">
        <v>46206</v>
      </c>
      <c r="C17" s="114" t="s">
        <v>291</v>
      </c>
      <c r="D17" s="124" t="s">
        <v>1239</v>
      </c>
      <c r="E17" s="114" t="s">
        <v>301</v>
      </c>
      <c r="F17" s="114">
        <v>2</v>
      </c>
      <c r="G17" s="115">
        <v>8600</v>
      </c>
      <c r="H17" s="115">
        <f t="shared" ref="H17:H18" si="4">F17*G17</f>
        <v>17200</v>
      </c>
      <c r="I17" s="115" t="s">
        <v>302</v>
      </c>
    </row>
    <row r="18" spans="1:12" ht="24.95" customHeight="1">
      <c r="A18" s="114">
        <v>15</v>
      </c>
      <c r="B18" s="123">
        <v>46206</v>
      </c>
      <c r="C18" s="114" t="s">
        <v>291</v>
      </c>
      <c r="D18" s="124" t="s">
        <v>1240</v>
      </c>
      <c r="E18" s="114" t="s">
        <v>301</v>
      </c>
      <c r="F18" s="114">
        <v>1</v>
      </c>
      <c r="G18" s="115">
        <v>10300</v>
      </c>
      <c r="H18" s="115">
        <f t="shared" si="4"/>
        <v>10300</v>
      </c>
      <c r="I18" s="115" t="s">
        <v>302</v>
      </c>
    </row>
    <row r="19" spans="1:12" ht="24.95" customHeight="1">
      <c r="A19" s="114">
        <v>16</v>
      </c>
      <c r="B19" s="123">
        <v>46206</v>
      </c>
      <c r="C19" s="114" t="s">
        <v>291</v>
      </c>
      <c r="D19" s="124" t="s">
        <v>959</v>
      </c>
      <c r="E19" s="114" t="s">
        <v>301</v>
      </c>
      <c r="F19" s="114">
        <v>12</v>
      </c>
      <c r="G19" s="115">
        <v>4000</v>
      </c>
      <c r="H19" s="115">
        <f>F19*G19</f>
        <v>48000</v>
      </c>
      <c r="I19" s="115" t="s">
        <v>302</v>
      </c>
    </row>
    <row r="20" spans="1:12" ht="24.95" customHeight="1">
      <c r="A20" s="114">
        <v>17</v>
      </c>
      <c r="B20" s="123">
        <v>46206</v>
      </c>
      <c r="C20" s="114" t="s">
        <v>291</v>
      </c>
      <c r="D20" s="124" t="s">
        <v>1241</v>
      </c>
      <c r="E20" s="114" t="s">
        <v>301</v>
      </c>
      <c r="F20" s="114">
        <v>10</v>
      </c>
      <c r="G20" s="115">
        <v>100</v>
      </c>
      <c r="H20" s="115">
        <f t="shared" ref="H20:H23" si="5">F20*G20</f>
        <v>1000</v>
      </c>
      <c r="I20" s="115" t="s">
        <v>302</v>
      </c>
    </row>
    <row r="21" spans="1:12" ht="24.95" customHeight="1">
      <c r="A21" s="114">
        <v>18</v>
      </c>
      <c r="B21" s="123">
        <v>46209</v>
      </c>
      <c r="C21" s="114" t="s">
        <v>291</v>
      </c>
      <c r="D21" s="124" t="s">
        <v>973</v>
      </c>
      <c r="E21" s="114" t="s">
        <v>301</v>
      </c>
      <c r="F21" s="114">
        <v>74</v>
      </c>
      <c r="G21" s="115">
        <v>4000</v>
      </c>
      <c r="H21" s="115">
        <f t="shared" si="5"/>
        <v>296000</v>
      </c>
      <c r="I21" s="115" t="s">
        <v>302</v>
      </c>
    </row>
    <row r="22" spans="1:12" ht="24.95" customHeight="1">
      <c r="A22" s="114">
        <v>19</v>
      </c>
      <c r="B22" s="123">
        <v>46209</v>
      </c>
      <c r="C22" s="114" t="s">
        <v>291</v>
      </c>
      <c r="D22" s="124" t="s">
        <v>1242</v>
      </c>
      <c r="E22" s="114" t="s">
        <v>301</v>
      </c>
      <c r="F22" s="114">
        <v>1</v>
      </c>
      <c r="G22" s="115">
        <v>11100</v>
      </c>
      <c r="H22" s="115">
        <f t="shared" si="5"/>
        <v>11100</v>
      </c>
      <c r="I22" s="115" t="s">
        <v>302</v>
      </c>
      <c r="J22" s="52"/>
      <c r="K22" s="117"/>
      <c r="L22" s="52"/>
    </row>
    <row r="23" spans="1:12" ht="24.95" customHeight="1">
      <c r="A23" s="114">
        <v>20</v>
      </c>
      <c r="B23" s="123">
        <v>46209</v>
      </c>
      <c r="C23" s="114" t="s">
        <v>291</v>
      </c>
      <c r="D23" s="124" t="s">
        <v>437</v>
      </c>
      <c r="E23" s="114" t="s">
        <v>301</v>
      </c>
      <c r="F23" s="114">
        <v>10</v>
      </c>
      <c r="G23" s="115">
        <v>4500</v>
      </c>
      <c r="H23" s="115">
        <f t="shared" si="5"/>
        <v>45000</v>
      </c>
      <c r="I23" s="115" t="s">
        <v>302</v>
      </c>
      <c r="J23" s="52"/>
      <c r="K23" s="117"/>
      <c r="L23" s="52"/>
    </row>
    <row r="24" spans="1:12" ht="24.95" customHeight="1">
      <c r="A24" s="114">
        <v>21</v>
      </c>
      <c r="B24" s="123">
        <v>46209</v>
      </c>
      <c r="C24" s="114" t="s">
        <v>291</v>
      </c>
      <c r="D24" s="124" t="s">
        <v>527</v>
      </c>
      <c r="E24" s="114" t="s">
        <v>301</v>
      </c>
      <c r="F24" s="114">
        <v>10</v>
      </c>
      <c r="G24" s="115">
        <v>2100</v>
      </c>
      <c r="H24" s="115">
        <f>F24*G24</f>
        <v>21000</v>
      </c>
      <c r="I24" s="115" t="s">
        <v>302</v>
      </c>
      <c r="J24" s="52"/>
      <c r="K24" s="117"/>
      <c r="L24" s="52"/>
    </row>
    <row r="25" spans="1:12" ht="24.95" customHeight="1">
      <c r="A25" s="114">
        <v>22</v>
      </c>
      <c r="B25" s="123">
        <v>46210</v>
      </c>
      <c r="C25" s="114" t="s">
        <v>291</v>
      </c>
      <c r="D25" s="124" t="s">
        <v>1243</v>
      </c>
      <c r="E25" s="114" t="s">
        <v>301</v>
      </c>
      <c r="F25" s="114">
        <v>1</v>
      </c>
      <c r="G25" s="115">
        <v>5400</v>
      </c>
      <c r="H25" s="115">
        <f t="shared" ref="H25:H26" si="6">F25*G25</f>
        <v>5400</v>
      </c>
      <c r="I25" s="115" t="s">
        <v>302</v>
      </c>
      <c r="J25" s="52"/>
      <c r="K25" s="117"/>
      <c r="L25" s="52"/>
    </row>
    <row r="26" spans="1:12" ht="24.95" customHeight="1">
      <c r="A26" s="114">
        <v>23</v>
      </c>
      <c r="B26" s="123">
        <v>46210</v>
      </c>
      <c r="C26" s="114" t="s">
        <v>291</v>
      </c>
      <c r="D26" s="124" t="s">
        <v>1244</v>
      </c>
      <c r="E26" s="114" t="s">
        <v>301</v>
      </c>
      <c r="F26" s="114">
        <v>2</v>
      </c>
      <c r="G26" s="115">
        <v>140400</v>
      </c>
      <c r="H26" s="115">
        <f t="shared" si="6"/>
        <v>280800</v>
      </c>
      <c r="I26" s="115" t="s">
        <v>302</v>
      </c>
      <c r="J26" s="52"/>
      <c r="K26" s="113"/>
      <c r="L26" s="52"/>
    </row>
    <row r="27" spans="1:12" ht="24.95" customHeight="1">
      <c r="A27" s="114">
        <v>24</v>
      </c>
      <c r="B27" s="123">
        <v>46210</v>
      </c>
      <c r="C27" s="114" t="s">
        <v>291</v>
      </c>
      <c r="D27" s="124" t="s">
        <v>1245</v>
      </c>
      <c r="E27" s="114" t="s">
        <v>301</v>
      </c>
      <c r="F27" s="114">
        <v>2</v>
      </c>
      <c r="G27" s="115">
        <v>1500</v>
      </c>
      <c r="H27" s="115">
        <f>F27*G27</f>
        <v>3000</v>
      </c>
      <c r="I27" s="115" t="s">
        <v>302</v>
      </c>
      <c r="J27" s="52"/>
      <c r="K27" s="52"/>
      <c r="L27" s="52"/>
    </row>
    <row r="28" spans="1:12" ht="24.95" customHeight="1">
      <c r="A28" s="114">
        <v>25</v>
      </c>
      <c r="B28" s="123">
        <v>46210</v>
      </c>
      <c r="C28" s="114" t="s">
        <v>291</v>
      </c>
      <c r="D28" s="124" t="s">
        <v>1246</v>
      </c>
      <c r="E28" s="114" t="s">
        <v>301</v>
      </c>
      <c r="F28" s="114">
        <v>10</v>
      </c>
      <c r="G28" s="115">
        <v>4500</v>
      </c>
      <c r="H28" s="115">
        <f t="shared" ref="H28:H29" si="7">F28*G28</f>
        <v>45000</v>
      </c>
      <c r="I28" s="115" t="s">
        <v>302</v>
      </c>
    </row>
    <row r="29" spans="1:12" ht="24.95" customHeight="1">
      <c r="A29" s="114">
        <v>26</v>
      </c>
      <c r="B29" s="123">
        <v>46210</v>
      </c>
      <c r="C29" s="114" t="s">
        <v>291</v>
      </c>
      <c r="D29" s="124" t="s">
        <v>1247</v>
      </c>
      <c r="E29" s="114" t="s">
        <v>301</v>
      </c>
      <c r="F29" s="114">
        <v>5</v>
      </c>
      <c r="G29" s="115">
        <v>5800</v>
      </c>
      <c r="H29" s="115">
        <f t="shared" si="7"/>
        <v>29000</v>
      </c>
      <c r="I29" s="115" t="s">
        <v>302</v>
      </c>
    </row>
    <row r="30" spans="1:12" ht="24.95" customHeight="1">
      <c r="A30" s="114">
        <v>27</v>
      </c>
      <c r="B30" s="123">
        <v>46210</v>
      </c>
      <c r="C30" s="114" t="s">
        <v>291</v>
      </c>
      <c r="D30" s="124" t="s">
        <v>1248</v>
      </c>
      <c r="E30" s="114" t="s">
        <v>301</v>
      </c>
      <c r="F30" s="114">
        <v>1</v>
      </c>
      <c r="G30" s="115">
        <v>5200</v>
      </c>
      <c r="H30" s="115">
        <f>F30*G30</f>
        <v>5200</v>
      </c>
      <c r="I30" s="115" t="s">
        <v>302</v>
      </c>
    </row>
    <row r="31" spans="1:12" ht="24.95" customHeight="1">
      <c r="A31" s="114">
        <v>28</v>
      </c>
      <c r="B31" s="123">
        <v>46210</v>
      </c>
      <c r="C31" s="114" t="s">
        <v>291</v>
      </c>
      <c r="D31" s="124" t="s">
        <v>1249</v>
      </c>
      <c r="E31" s="114" t="s">
        <v>301</v>
      </c>
      <c r="F31" s="114">
        <v>1</v>
      </c>
      <c r="G31" s="115">
        <v>5700</v>
      </c>
      <c r="H31" s="115">
        <f t="shared" ref="H31" si="8">F31*G31</f>
        <v>5700</v>
      </c>
      <c r="I31" s="115" t="s">
        <v>302</v>
      </c>
    </row>
    <row r="32" spans="1:12" ht="24.95" customHeight="1">
      <c r="A32" s="114">
        <v>29</v>
      </c>
      <c r="B32" s="123">
        <v>46210</v>
      </c>
      <c r="C32" s="114" t="s">
        <v>291</v>
      </c>
      <c r="D32" s="124" t="s">
        <v>526</v>
      </c>
      <c r="E32" s="114" t="s">
        <v>301</v>
      </c>
      <c r="F32" s="114">
        <v>1</v>
      </c>
      <c r="G32" s="115">
        <v>43000</v>
      </c>
      <c r="H32" s="115">
        <f>F32*G32</f>
        <v>43000</v>
      </c>
      <c r="I32" s="115" t="s">
        <v>302</v>
      </c>
    </row>
    <row r="33" spans="1:12" ht="24.95" customHeight="1">
      <c r="A33" s="114">
        <v>30</v>
      </c>
      <c r="B33" s="123">
        <v>46211</v>
      </c>
      <c r="C33" s="114" t="s">
        <v>291</v>
      </c>
      <c r="D33" s="124" t="s">
        <v>1250</v>
      </c>
      <c r="E33" s="114" t="s">
        <v>301</v>
      </c>
      <c r="F33" s="114">
        <v>2</v>
      </c>
      <c r="G33" s="115">
        <v>16000</v>
      </c>
      <c r="H33" s="115">
        <f t="shared" ref="H33:H34" si="9">F33*G33</f>
        <v>32000</v>
      </c>
      <c r="I33" s="115" t="s">
        <v>302</v>
      </c>
    </row>
    <row r="34" spans="1:12" ht="24.95" customHeight="1">
      <c r="A34" s="114">
        <v>31</v>
      </c>
      <c r="B34" s="123">
        <v>46211</v>
      </c>
      <c r="C34" s="114" t="s">
        <v>291</v>
      </c>
      <c r="D34" s="124" t="s">
        <v>964</v>
      </c>
      <c r="E34" s="114" t="s">
        <v>301</v>
      </c>
      <c r="F34" s="114">
        <v>100</v>
      </c>
      <c r="G34" s="115">
        <v>500</v>
      </c>
      <c r="H34" s="115">
        <f t="shared" si="9"/>
        <v>50000</v>
      </c>
      <c r="I34" s="115" t="s">
        <v>302</v>
      </c>
    </row>
    <row r="35" spans="1:12" ht="24.95" customHeight="1">
      <c r="A35" s="114">
        <v>32</v>
      </c>
      <c r="B35" s="123">
        <v>46211</v>
      </c>
      <c r="C35" s="114" t="s">
        <v>291</v>
      </c>
      <c r="D35" s="124" t="s">
        <v>1251</v>
      </c>
      <c r="E35" s="114" t="s">
        <v>301</v>
      </c>
      <c r="F35" s="114">
        <v>3</v>
      </c>
      <c r="G35" s="115">
        <v>10000</v>
      </c>
      <c r="H35" s="115">
        <f>F35*G35</f>
        <v>30000</v>
      </c>
      <c r="I35" s="115" t="s">
        <v>302</v>
      </c>
    </row>
    <row r="36" spans="1:12" ht="24.95" customHeight="1">
      <c r="A36" s="114">
        <v>33</v>
      </c>
      <c r="B36" s="123">
        <v>46211</v>
      </c>
      <c r="C36" s="114" t="s">
        <v>291</v>
      </c>
      <c r="D36" s="124" t="s">
        <v>1233</v>
      </c>
      <c r="E36" s="114" t="s">
        <v>301</v>
      </c>
      <c r="F36" s="114">
        <v>10</v>
      </c>
      <c r="G36" s="115">
        <v>6500</v>
      </c>
      <c r="H36" s="115">
        <f t="shared" ref="H36:H37" si="10">F36*G36</f>
        <v>65000</v>
      </c>
      <c r="I36" s="115" t="s">
        <v>302</v>
      </c>
    </row>
    <row r="37" spans="1:12" ht="24.95" customHeight="1">
      <c r="A37" s="114">
        <v>34</v>
      </c>
      <c r="B37" s="123">
        <v>46211</v>
      </c>
      <c r="C37" s="114" t="s">
        <v>291</v>
      </c>
      <c r="D37" s="124" t="s">
        <v>1252</v>
      </c>
      <c r="E37" s="114" t="s">
        <v>301</v>
      </c>
      <c r="F37" s="114">
        <v>5</v>
      </c>
      <c r="G37" s="115">
        <v>4700</v>
      </c>
      <c r="H37" s="115">
        <f t="shared" si="10"/>
        <v>23500</v>
      </c>
      <c r="I37" s="115" t="s">
        <v>302</v>
      </c>
    </row>
    <row r="38" spans="1:12" ht="24.95" customHeight="1">
      <c r="A38" s="114">
        <v>35</v>
      </c>
      <c r="B38" s="123">
        <v>46211</v>
      </c>
      <c r="C38" s="114" t="s">
        <v>291</v>
      </c>
      <c r="D38" s="124" t="s">
        <v>1253</v>
      </c>
      <c r="E38" s="114" t="s">
        <v>301</v>
      </c>
      <c r="F38" s="114">
        <v>5</v>
      </c>
      <c r="G38" s="115">
        <v>4200</v>
      </c>
      <c r="H38" s="115">
        <f>F38*G38</f>
        <v>21000</v>
      </c>
      <c r="I38" s="115" t="s">
        <v>302</v>
      </c>
      <c r="J38" s="52"/>
      <c r="K38" s="52"/>
      <c r="L38" s="52"/>
    </row>
    <row r="39" spans="1:12" ht="24.95" customHeight="1">
      <c r="A39" s="114">
        <v>36</v>
      </c>
      <c r="B39" s="123">
        <v>46212</v>
      </c>
      <c r="C39" s="114" t="s">
        <v>291</v>
      </c>
      <c r="D39" s="124" t="s">
        <v>530</v>
      </c>
      <c r="E39" s="114" t="s">
        <v>301</v>
      </c>
      <c r="F39" s="114">
        <v>3</v>
      </c>
      <c r="G39" s="115">
        <v>13000</v>
      </c>
      <c r="H39" s="115">
        <f t="shared" ref="H39:H40" si="11">F39*G39</f>
        <v>39000</v>
      </c>
      <c r="I39" s="115" t="s">
        <v>302</v>
      </c>
    </row>
    <row r="40" spans="1:12" ht="24.95" customHeight="1">
      <c r="A40" s="114">
        <v>37</v>
      </c>
      <c r="B40" s="123">
        <v>46212</v>
      </c>
      <c r="C40" s="114" t="s">
        <v>291</v>
      </c>
      <c r="D40" s="124" t="s">
        <v>966</v>
      </c>
      <c r="E40" s="114" t="s">
        <v>301</v>
      </c>
      <c r="F40" s="114">
        <v>100</v>
      </c>
      <c r="G40" s="115">
        <v>300</v>
      </c>
      <c r="H40" s="115">
        <f t="shared" si="11"/>
        <v>30000</v>
      </c>
      <c r="I40" s="115" t="s">
        <v>302</v>
      </c>
    </row>
    <row r="41" spans="1:12" ht="24.95" customHeight="1">
      <c r="A41" s="114">
        <v>38</v>
      </c>
      <c r="B41" s="123">
        <v>46212</v>
      </c>
      <c r="C41" s="114" t="s">
        <v>291</v>
      </c>
      <c r="D41" s="124" t="s">
        <v>967</v>
      </c>
      <c r="E41" s="114" t="s">
        <v>301</v>
      </c>
      <c r="F41" s="114">
        <v>1</v>
      </c>
      <c r="G41" s="115">
        <v>7000</v>
      </c>
      <c r="H41" s="115">
        <f>F41*G41</f>
        <v>7000</v>
      </c>
      <c r="I41" s="115" t="s">
        <v>302</v>
      </c>
    </row>
    <row r="42" spans="1:12" ht="24.95" customHeight="1">
      <c r="A42" s="114">
        <v>39</v>
      </c>
      <c r="B42" s="123">
        <v>46212</v>
      </c>
      <c r="C42" s="114" t="s">
        <v>291</v>
      </c>
      <c r="D42" s="124" t="s">
        <v>974</v>
      </c>
      <c r="E42" s="114" t="s">
        <v>301</v>
      </c>
      <c r="F42" s="114">
        <v>5</v>
      </c>
      <c r="G42" s="115">
        <v>1100</v>
      </c>
      <c r="H42" s="115">
        <f t="shared" ref="H42:H43" si="12">F42*G42</f>
        <v>5500</v>
      </c>
      <c r="I42" s="115" t="s">
        <v>302</v>
      </c>
    </row>
    <row r="43" spans="1:12" ht="24.95" customHeight="1">
      <c r="A43" s="114">
        <v>40</v>
      </c>
      <c r="B43" s="123">
        <v>46212</v>
      </c>
      <c r="C43" s="114" t="s">
        <v>291</v>
      </c>
      <c r="D43" s="124" t="s">
        <v>1254</v>
      </c>
      <c r="E43" s="114" t="s">
        <v>301</v>
      </c>
      <c r="F43" s="114">
        <v>8</v>
      </c>
      <c r="G43" s="115">
        <v>6000</v>
      </c>
      <c r="H43" s="115">
        <f t="shared" si="12"/>
        <v>48000</v>
      </c>
      <c r="I43" s="115" t="s">
        <v>302</v>
      </c>
    </row>
    <row r="44" spans="1:12" ht="24.95" customHeight="1">
      <c r="A44" s="114">
        <v>41</v>
      </c>
      <c r="B44" s="123">
        <v>46212</v>
      </c>
      <c r="C44" s="114" t="s">
        <v>291</v>
      </c>
      <c r="D44" s="124" t="s">
        <v>707</v>
      </c>
      <c r="E44" s="114" t="s">
        <v>301</v>
      </c>
      <c r="F44" s="114">
        <v>5</v>
      </c>
      <c r="G44" s="115">
        <v>7800</v>
      </c>
      <c r="H44" s="115">
        <f>F44*G44</f>
        <v>39000</v>
      </c>
      <c r="I44" s="115" t="s">
        <v>302</v>
      </c>
    </row>
    <row r="45" spans="1:12" ht="24.95" customHeight="1">
      <c r="A45" s="114">
        <v>42</v>
      </c>
      <c r="B45" s="123">
        <v>46212</v>
      </c>
      <c r="C45" s="114" t="s">
        <v>291</v>
      </c>
      <c r="D45" s="124" t="s">
        <v>529</v>
      </c>
      <c r="E45" s="114" t="s">
        <v>301</v>
      </c>
      <c r="F45" s="114">
        <v>35</v>
      </c>
      <c r="G45" s="115">
        <v>1400</v>
      </c>
      <c r="H45" s="115">
        <f t="shared" ref="H45:H48" si="13">F45*G45</f>
        <v>49000</v>
      </c>
      <c r="I45" s="115" t="s">
        <v>302</v>
      </c>
    </row>
    <row r="46" spans="1:12" ht="24.95" customHeight="1">
      <c r="A46" s="114">
        <v>43</v>
      </c>
      <c r="B46" s="123">
        <v>46212</v>
      </c>
      <c r="C46" s="114" t="s">
        <v>291</v>
      </c>
      <c r="D46" s="124" t="s">
        <v>968</v>
      </c>
      <c r="E46" s="114" t="s">
        <v>301</v>
      </c>
      <c r="F46" s="114">
        <v>35</v>
      </c>
      <c r="G46" s="115">
        <v>800</v>
      </c>
      <c r="H46" s="115">
        <f t="shared" si="13"/>
        <v>28000</v>
      </c>
      <c r="I46" s="115" t="s">
        <v>302</v>
      </c>
    </row>
    <row r="47" spans="1:12" ht="24.95" customHeight="1">
      <c r="A47" s="114">
        <v>44</v>
      </c>
      <c r="B47" s="123">
        <v>46213</v>
      </c>
      <c r="C47" s="114" t="s">
        <v>291</v>
      </c>
      <c r="D47" s="124" t="s">
        <v>973</v>
      </c>
      <c r="E47" s="114" t="s">
        <v>301</v>
      </c>
      <c r="F47" s="114">
        <v>10</v>
      </c>
      <c r="G47" s="115">
        <v>4000</v>
      </c>
      <c r="H47" s="115">
        <f t="shared" si="13"/>
        <v>40000</v>
      </c>
      <c r="I47" s="115" t="s">
        <v>302</v>
      </c>
      <c r="J47" s="52"/>
      <c r="K47" s="117"/>
      <c r="L47" s="52"/>
    </row>
    <row r="48" spans="1:12" ht="24.95" customHeight="1">
      <c r="A48" s="114">
        <v>45</v>
      </c>
      <c r="B48" s="123">
        <v>46213</v>
      </c>
      <c r="C48" s="114" t="s">
        <v>291</v>
      </c>
      <c r="D48" s="124" t="s">
        <v>1255</v>
      </c>
      <c r="E48" s="114" t="s">
        <v>301</v>
      </c>
      <c r="F48" s="114">
        <v>20</v>
      </c>
      <c r="G48" s="115">
        <v>4500</v>
      </c>
      <c r="H48" s="115">
        <f t="shared" si="13"/>
        <v>90000</v>
      </c>
      <c r="I48" s="115" t="s">
        <v>302</v>
      </c>
      <c r="J48" s="52"/>
      <c r="K48" s="117"/>
      <c r="L48" s="52"/>
    </row>
    <row r="49" spans="1:12" ht="24.95" customHeight="1">
      <c r="A49" s="114">
        <v>46</v>
      </c>
      <c r="B49" s="123">
        <v>46213</v>
      </c>
      <c r="C49" s="114" t="s">
        <v>291</v>
      </c>
      <c r="D49" s="124" t="s">
        <v>1256</v>
      </c>
      <c r="E49" s="114" t="s">
        <v>301</v>
      </c>
      <c r="F49" s="114">
        <v>19</v>
      </c>
      <c r="G49" s="115">
        <v>11800</v>
      </c>
      <c r="H49" s="115">
        <f>F49*G49</f>
        <v>224200</v>
      </c>
      <c r="I49" s="115" t="s">
        <v>302</v>
      </c>
      <c r="J49" s="52"/>
      <c r="K49" s="117"/>
      <c r="L49" s="52"/>
    </row>
    <row r="50" spans="1:12" ht="24.95" customHeight="1">
      <c r="A50" s="114">
        <v>47</v>
      </c>
      <c r="B50" s="123">
        <v>46213</v>
      </c>
      <c r="C50" s="114" t="s">
        <v>291</v>
      </c>
      <c r="D50" s="124" t="s">
        <v>1257</v>
      </c>
      <c r="E50" s="114" t="s">
        <v>301</v>
      </c>
      <c r="F50" s="114">
        <v>5</v>
      </c>
      <c r="G50" s="115">
        <v>3500</v>
      </c>
      <c r="H50" s="115">
        <f t="shared" ref="H50:H51" si="14">F50*G50</f>
        <v>17500</v>
      </c>
      <c r="I50" s="115" t="s">
        <v>302</v>
      </c>
      <c r="J50" s="52"/>
      <c r="K50" s="117"/>
      <c r="L50" s="52"/>
    </row>
    <row r="51" spans="1:12" ht="24.95" customHeight="1">
      <c r="A51" s="114">
        <v>48</v>
      </c>
      <c r="B51" s="123">
        <v>46213</v>
      </c>
      <c r="C51" s="114" t="s">
        <v>291</v>
      </c>
      <c r="D51" s="124" t="s">
        <v>1258</v>
      </c>
      <c r="E51" s="114" t="s">
        <v>301</v>
      </c>
      <c r="F51" s="114">
        <v>5</v>
      </c>
      <c r="G51" s="115">
        <v>6300</v>
      </c>
      <c r="H51" s="115">
        <f t="shared" si="14"/>
        <v>31500</v>
      </c>
      <c r="I51" s="115" t="s">
        <v>302</v>
      </c>
      <c r="J51" s="52"/>
      <c r="K51" s="113"/>
      <c r="L51" s="52"/>
    </row>
    <row r="52" spans="1:12" ht="24.95" customHeight="1">
      <c r="A52" s="114">
        <v>49</v>
      </c>
      <c r="B52" s="123">
        <v>46213</v>
      </c>
      <c r="C52" s="114" t="s">
        <v>291</v>
      </c>
      <c r="D52" s="124" t="s">
        <v>531</v>
      </c>
      <c r="E52" s="114" t="s">
        <v>301</v>
      </c>
      <c r="F52" s="114">
        <v>3</v>
      </c>
      <c r="G52" s="115">
        <v>12400</v>
      </c>
      <c r="H52" s="115">
        <f>F52*G52</f>
        <v>37200</v>
      </c>
      <c r="I52" s="115" t="s">
        <v>302</v>
      </c>
      <c r="J52" s="52"/>
      <c r="K52" s="52"/>
      <c r="L52" s="52"/>
    </row>
    <row r="53" spans="1:12" ht="24.95" customHeight="1">
      <c r="A53" s="114">
        <v>50</v>
      </c>
      <c r="B53" s="123">
        <v>46213</v>
      </c>
      <c r="C53" s="114" t="s">
        <v>291</v>
      </c>
      <c r="D53" s="124" t="s">
        <v>960</v>
      </c>
      <c r="E53" s="114" t="s">
        <v>301</v>
      </c>
      <c r="F53" s="114">
        <v>2</v>
      </c>
      <c r="G53" s="115">
        <v>10000</v>
      </c>
      <c r="H53" s="115">
        <f t="shared" ref="H53:H54" si="15">F53*G53</f>
        <v>20000</v>
      </c>
      <c r="I53" s="115" t="s">
        <v>302</v>
      </c>
    </row>
    <row r="54" spans="1:12" ht="24.95" customHeight="1">
      <c r="A54" s="114">
        <v>51</v>
      </c>
      <c r="B54" s="123">
        <v>46213</v>
      </c>
      <c r="C54" s="114" t="s">
        <v>291</v>
      </c>
      <c r="D54" s="124" t="s">
        <v>1259</v>
      </c>
      <c r="E54" s="114" t="s">
        <v>301</v>
      </c>
      <c r="F54" s="114">
        <v>1</v>
      </c>
      <c r="G54" s="115">
        <v>10300</v>
      </c>
      <c r="H54" s="115">
        <f t="shared" si="15"/>
        <v>10300</v>
      </c>
      <c r="I54" s="115" t="s">
        <v>302</v>
      </c>
    </row>
    <row r="55" spans="1:12" ht="24.95" customHeight="1">
      <c r="A55" s="114">
        <v>52</v>
      </c>
      <c r="B55" s="123">
        <v>46216</v>
      </c>
      <c r="C55" s="114" t="s">
        <v>291</v>
      </c>
      <c r="D55" s="124" t="s">
        <v>710</v>
      </c>
      <c r="E55" s="114" t="s">
        <v>301</v>
      </c>
      <c r="F55" s="114">
        <v>1</v>
      </c>
      <c r="G55" s="115">
        <v>2900</v>
      </c>
      <c r="H55" s="115">
        <f>F55*G55</f>
        <v>2900</v>
      </c>
      <c r="I55" s="115" t="s">
        <v>302</v>
      </c>
    </row>
    <row r="56" spans="1:12" ht="24.95" customHeight="1">
      <c r="A56" s="114">
        <v>53</v>
      </c>
      <c r="B56" s="123">
        <v>46216</v>
      </c>
      <c r="C56" s="114" t="s">
        <v>291</v>
      </c>
      <c r="D56" s="124" t="s">
        <v>1260</v>
      </c>
      <c r="E56" s="114" t="s">
        <v>301</v>
      </c>
      <c r="F56" s="114">
        <v>1</v>
      </c>
      <c r="G56" s="115">
        <v>4200</v>
      </c>
      <c r="H56" s="115">
        <f t="shared" ref="H56" si="16">F56*G56</f>
        <v>4200</v>
      </c>
      <c r="I56" s="115" t="s">
        <v>302</v>
      </c>
    </row>
    <row r="57" spans="1:12" ht="24.95" customHeight="1">
      <c r="A57" s="114">
        <v>54</v>
      </c>
      <c r="B57" s="123">
        <v>46216</v>
      </c>
      <c r="C57" s="114" t="s">
        <v>291</v>
      </c>
      <c r="D57" s="124" t="s">
        <v>970</v>
      </c>
      <c r="E57" s="114" t="s">
        <v>301</v>
      </c>
      <c r="F57" s="114">
        <v>3</v>
      </c>
      <c r="G57" s="115">
        <v>600</v>
      </c>
      <c r="H57" s="115">
        <f>F57*G57</f>
        <v>1800</v>
      </c>
      <c r="I57" s="115" t="s">
        <v>302</v>
      </c>
    </row>
    <row r="58" spans="1:12" ht="24.95" customHeight="1">
      <c r="A58" s="114">
        <v>55</v>
      </c>
      <c r="B58" s="123">
        <v>46216</v>
      </c>
      <c r="C58" s="114" t="s">
        <v>291</v>
      </c>
      <c r="D58" s="124" t="s">
        <v>971</v>
      </c>
      <c r="E58" s="114" t="s">
        <v>301</v>
      </c>
      <c r="F58" s="114">
        <v>3</v>
      </c>
      <c r="G58" s="115">
        <v>600</v>
      </c>
      <c r="H58" s="115">
        <f t="shared" ref="H58:H59" si="17">F58*G58</f>
        <v>1800</v>
      </c>
      <c r="I58" s="115" t="s">
        <v>302</v>
      </c>
    </row>
    <row r="59" spans="1:12" ht="24.95" customHeight="1">
      <c r="A59" s="114">
        <v>56</v>
      </c>
      <c r="B59" s="123">
        <v>46216</v>
      </c>
      <c r="C59" s="114" t="s">
        <v>291</v>
      </c>
      <c r="D59" s="124" t="s">
        <v>1261</v>
      </c>
      <c r="E59" s="114" t="s">
        <v>301</v>
      </c>
      <c r="F59" s="114">
        <v>3</v>
      </c>
      <c r="G59" s="115">
        <v>600</v>
      </c>
      <c r="H59" s="115">
        <f t="shared" si="17"/>
        <v>1800</v>
      </c>
      <c r="I59" s="115" t="s">
        <v>302</v>
      </c>
    </row>
    <row r="60" spans="1:12" ht="24.95" customHeight="1">
      <c r="A60" s="114">
        <v>57</v>
      </c>
      <c r="B60" s="123">
        <v>46216</v>
      </c>
      <c r="C60" s="114" t="s">
        <v>291</v>
      </c>
      <c r="D60" s="124" t="s">
        <v>708</v>
      </c>
      <c r="E60" s="114" t="s">
        <v>301</v>
      </c>
      <c r="F60" s="114">
        <v>1</v>
      </c>
      <c r="G60" s="115">
        <v>78700</v>
      </c>
      <c r="H60" s="115">
        <f>F60*G60</f>
        <v>78700</v>
      </c>
      <c r="I60" s="115" t="s">
        <v>302</v>
      </c>
    </row>
    <row r="61" spans="1:12" ht="24.95" customHeight="1">
      <c r="A61" s="114">
        <v>58</v>
      </c>
      <c r="B61" s="123">
        <v>46216</v>
      </c>
      <c r="C61" s="114" t="s">
        <v>291</v>
      </c>
      <c r="D61" s="124" t="s">
        <v>1262</v>
      </c>
      <c r="E61" s="114" t="s">
        <v>301</v>
      </c>
      <c r="F61" s="114">
        <v>50</v>
      </c>
      <c r="G61" s="115">
        <v>600</v>
      </c>
      <c r="H61" s="115">
        <f t="shared" ref="H61:H62" si="18">F61*G61</f>
        <v>30000</v>
      </c>
      <c r="I61" s="115" t="s">
        <v>302</v>
      </c>
    </row>
    <row r="62" spans="1:12" ht="24.95" customHeight="1">
      <c r="A62" s="114">
        <v>59</v>
      </c>
      <c r="B62" s="123">
        <v>46216</v>
      </c>
      <c r="C62" s="114" t="s">
        <v>291</v>
      </c>
      <c r="D62" s="124" t="s">
        <v>312</v>
      </c>
      <c r="E62" s="114" t="s">
        <v>301</v>
      </c>
      <c r="F62" s="114">
        <v>10</v>
      </c>
      <c r="G62" s="115">
        <v>3600</v>
      </c>
      <c r="H62" s="115">
        <f t="shared" si="18"/>
        <v>36000</v>
      </c>
      <c r="I62" s="115" t="s">
        <v>302</v>
      </c>
    </row>
    <row r="63" spans="1:12" ht="24.95" customHeight="1">
      <c r="A63" s="114">
        <v>60</v>
      </c>
      <c r="B63" s="123">
        <v>46216</v>
      </c>
      <c r="C63" s="114" t="s">
        <v>291</v>
      </c>
      <c r="D63" s="124" t="s">
        <v>528</v>
      </c>
      <c r="E63" s="114" t="s">
        <v>301</v>
      </c>
      <c r="F63" s="114">
        <v>2</v>
      </c>
      <c r="G63" s="115">
        <v>19500</v>
      </c>
      <c r="H63" s="115">
        <f t="shared" ref="H63:H83" si="19">F63*G63</f>
        <v>39000</v>
      </c>
      <c r="I63" s="115" t="s">
        <v>302</v>
      </c>
    </row>
    <row r="64" spans="1:12" ht="24.95" customHeight="1">
      <c r="A64" s="114">
        <v>61</v>
      </c>
      <c r="B64" s="123">
        <v>46216</v>
      </c>
      <c r="C64" s="114" t="s">
        <v>291</v>
      </c>
      <c r="D64" s="124" t="s">
        <v>709</v>
      </c>
      <c r="E64" s="114" t="s">
        <v>301</v>
      </c>
      <c r="F64" s="114">
        <v>1</v>
      </c>
      <c r="G64" s="115">
        <v>15500</v>
      </c>
      <c r="H64" s="115">
        <f t="shared" si="19"/>
        <v>15500</v>
      </c>
      <c r="I64" s="115" t="s">
        <v>302</v>
      </c>
    </row>
    <row r="65" spans="1:9" ht="24.95" customHeight="1">
      <c r="A65" s="114">
        <v>62</v>
      </c>
      <c r="B65" s="123">
        <v>46216</v>
      </c>
      <c r="C65" s="114" t="s">
        <v>291</v>
      </c>
      <c r="D65" s="124" t="s">
        <v>438</v>
      </c>
      <c r="E65" s="114" t="s">
        <v>301</v>
      </c>
      <c r="F65" s="114">
        <v>5</v>
      </c>
      <c r="G65" s="115">
        <v>3500</v>
      </c>
      <c r="H65" s="115">
        <f t="shared" si="19"/>
        <v>17500</v>
      </c>
      <c r="I65" s="115" t="s">
        <v>302</v>
      </c>
    </row>
    <row r="66" spans="1:9" ht="24.95" customHeight="1">
      <c r="A66" s="114">
        <v>63</v>
      </c>
      <c r="B66" s="123">
        <v>46216</v>
      </c>
      <c r="C66" s="114" t="s">
        <v>291</v>
      </c>
      <c r="D66" s="124" t="s">
        <v>437</v>
      </c>
      <c r="E66" s="114" t="s">
        <v>301</v>
      </c>
      <c r="F66" s="114">
        <v>12</v>
      </c>
      <c r="G66" s="115">
        <v>4500</v>
      </c>
      <c r="H66" s="115">
        <f t="shared" si="19"/>
        <v>54000</v>
      </c>
      <c r="I66" s="115" t="s">
        <v>302</v>
      </c>
    </row>
    <row r="67" spans="1:9" ht="24.95" customHeight="1">
      <c r="A67" s="114">
        <v>64</v>
      </c>
      <c r="B67" s="123">
        <v>46216</v>
      </c>
      <c r="C67" s="114" t="s">
        <v>291</v>
      </c>
      <c r="D67" s="124" t="s">
        <v>527</v>
      </c>
      <c r="E67" s="114" t="s">
        <v>301</v>
      </c>
      <c r="F67" s="114">
        <v>12</v>
      </c>
      <c r="G67" s="115">
        <v>2100</v>
      </c>
      <c r="H67" s="115">
        <f t="shared" si="19"/>
        <v>25200</v>
      </c>
      <c r="I67" s="115" t="s">
        <v>302</v>
      </c>
    </row>
    <row r="68" spans="1:9" ht="24.95" customHeight="1">
      <c r="A68" s="114">
        <v>65</v>
      </c>
      <c r="B68" s="123">
        <v>46216</v>
      </c>
      <c r="C68" s="114" t="s">
        <v>291</v>
      </c>
      <c r="D68" s="124" t="s">
        <v>959</v>
      </c>
      <c r="E68" s="114" t="s">
        <v>301</v>
      </c>
      <c r="F68" s="114">
        <v>8</v>
      </c>
      <c r="G68" s="115">
        <v>4000</v>
      </c>
      <c r="H68" s="115">
        <f t="shared" si="19"/>
        <v>32000</v>
      </c>
      <c r="I68" s="115" t="s">
        <v>302</v>
      </c>
    </row>
    <row r="69" spans="1:9" ht="24.95" customHeight="1">
      <c r="A69" s="114">
        <v>66</v>
      </c>
      <c r="B69" s="123">
        <v>46217</v>
      </c>
      <c r="C69" s="114" t="s">
        <v>291</v>
      </c>
      <c r="D69" s="124" t="s">
        <v>437</v>
      </c>
      <c r="E69" s="114" t="s">
        <v>301</v>
      </c>
      <c r="F69" s="114">
        <v>5</v>
      </c>
      <c r="G69" s="115">
        <v>4500</v>
      </c>
      <c r="H69" s="115">
        <f t="shared" si="19"/>
        <v>22500</v>
      </c>
      <c r="I69" s="115" t="s">
        <v>302</v>
      </c>
    </row>
    <row r="70" spans="1:9" ht="24.95" customHeight="1">
      <c r="A70" s="114">
        <v>67</v>
      </c>
      <c r="B70" s="123">
        <v>46217</v>
      </c>
      <c r="C70" s="114" t="s">
        <v>291</v>
      </c>
      <c r="D70" s="124" t="s">
        <v>311</v>
      </c>
      <c r="E70" s="114" t="s">
        <v>301</v>
      </c>
      <c r="F70" s="114">
        <v>5</v>
      </c>
      <c r="G70" s="115">
        <v>12000</v>
      </c>
      <c r="H70" s="115">
        <f t="shared" si="19"/>
        <v>60000</v>
      </c>
      <c r="I70" s="115" t="s">
        <v>302</v>
      </c>
    </row>
    <row r="71" spans="1:9" ht="24.95" customHeight="1">
      <c r="A71" s="114">
        <v>68</v>
      </c>
      <c r="B71" s="123">
        <v>46217</v>
      </c>
      <c r="C71" s="114" t="s">
        <v>291</v>
      </c>
      <c r="D71" s="124" t="s">
        <v>438</v>
      </c>
      <c r="E71" s="114" t="s">
        <v>301</v>
      </c>
      <c r="F71" s="114">
        <v>15</v>
      </c>
      <c r="G71" s="115">
        <v>3500</v>
      </c>
      <c r="H71" s="115">
        <f t="shared" si="19"/>
        <v>52500</v>
      </c>
      <c r="I71" s="115" t="s">
        <v>302</v>
      </c>
    </row>
    <row r="72" spans="1:9" ht="24.95" customHeight="1">
      <c r="A72" s="114">
        <v>69</v>
      </c>
      <c r="B72" s="123">
        <v>46217</v>
      </c>
      <c r="C72" s="114" t="s">
        <v>291</v>
      </c>
      <c r="D72" s="124" t="s">
        <v>960</v>
      </c>
      <c r="E72" s="114" t="s">
        <v>301</v>
      </c>
      <c r="F72" s="114">
        <v>2</v>
      </c>
      <c r="G72" s="115">
        <v>10000</v>
      </c>
      <c r="H72" s="115">
        <f t="shared" si="19"/>
        <v>20000</v>
      </c>
      <c r="I72" s="115" t="s">
        <v>302</v>
      </c>
    </row>
    <row r="73" spans="1:9" ht="24.95" customHeight="1">
      <c r="A73" s="114">
        <v>70</v>
      </c>
      <c r="B73" s="123">
        <v>46217</v>
      </c>
      <c r="C73" s="114" t="s">
        <v>291</v>
      </c>
      <c r="D73" s="124" t="s">
        <v>964</v>
      </c>
      <c r="E73" s="114" t="s">
        <v>301</v>
      </c>
      <c r="F73" s="114">
        <v>30</v>
      </c>
      <c r="G73" s="115">
        <v>500</v>
      </c>
      <c r="H73" s="115">
        <f t="shared" si="19"/>
        <v>15000</v>
      </c>
      <c r="I73" s="115" t="s">
        <v>302</v>
      </c>
    </row>
    <row r="74" spans="1:9" ht="24.95" customHeight="1">
      <c r="A74" s="114">
        <v>71</v>
      </c>
      <c r="B74" s="123">
        <v>46217</v>
      </c>
      <c r="C74" s="114" t="s">
        <v>291</v>
      </c>
      <c r="D74" s="124" t="s">
        <v>312</v>
      </c>
      <c r="E74" s="114" t="s">
        <v>301</v>
      </c>
      <c r="F74" s="114">
        <v>10</v>
      </c>
      <c r="G74" s="115">
        <v>3600</v>
      </c>
      <c r="H74" s="115">
        <f t="shared" si="19"/>
        <v>36000</v>
      </c>
      <c r="I74" s="115" t="s">
        <v>302</v>
      </c>
    </row>
    <row r="75" spans="1:9" ht="24.95" customHeight="1">
      <c r="A75" s="114">
        <v>72</v>
      </c>
      <c r="B75" s="123">
        <v>46217</v>
      </c>
      <c r="C75" s="114" t="s">
        <v>291</v>
      </c>
      <c r="D75" s="124" t="s">
        <v>1263</v>
      </c>
      <c r="E75" s="114" t="s">
        <v>301</v>
      </c>
      <c r="F75" s="114">
        <v>1</v>
      </c>
      <c r="G75" s="115">
        <v>36000</v>
      </c>
      <c r="H75" s="115">
        <f t="shared" si="19"/>
        <v>36000</v>
      </c>
      <c r="I75" s="115" t="s">
        <v>302</v>
      </c>
    </row>
    <row r="76" spans="1:9" ht="24.95" customHeight="1">
      <c r="A76" s="114">
        <v>73</v>
      </c>
      <c r="B76" s="123">
        <v>46217</v>
      </c>
      <c r="C76" s="114" t="s">
        <v>291</v>
      </c>
      <c r="D76" s="124" t="s">
        <v>1264</v>
      </c>
      <c r="E76" s="114" t="s">
        <v>301</v>
      </c>
      <c r="F76" s="114">
        <v>2</v>
      </c>
      <c r="G76" s="115">
        <v>84500</v>
      </c>
      <c r="H76" s="115">
        <f t="shared" si="19"/>
        <v>169000</v>
      </c>
      <c r="I76" s="115" t="s">
        <v>302</v>
      </c>
    </row>
    <row r="77" spans="1:9" ht="24.95" customHeight="1">
      <c r="A77" s="114">
        <v>74</v>
      </c>
      <c r="B77" s="123">
        <v>46217</v>
      </c>
      <c r="C77" s="114" t="s">
        <v>291</v>
      </c>
      <c r="D77" s="124" t="s">
        <v>1265</v>
      </c>
      <c r="E77" s="114" t="s">
        <v>301</v>
      </c>
      <c r="F77" s="114">
        <v>1</v>
      </c>
      <c r="G77" s="115">
        <v>83500</v>
      </c>
      <c r="H77" s="115">
        <f t="shared" si="19"/>
        <v>83500</v>
      </c>
      <c r="I77" s="115" t="s">
        <v>302</v>
      </c>
    </row>
    <row r="78" spans="1:9" ht="24.95" customHeight="1">
      <c r="A78" s="114">
        <v>75</v>
      </c>
      <c r="B78" s="123">
        <v>46218</v>
      </c>
      <c r="C78" s="114" t="s">
        <v>291</v>
      </c>
      <c r="D78" s="124" t="s">
        <v>1266</v>
      </c>
      <c r="E78" s="114" t="s">
        <v>301</v>
      </c>
      <c r="F78" s="114">
        <v>5</v>
      </c>
      <c r="G78" s="115">
        <v>5400</v>
      </c>
      <c r="H78" s="115">
        <f t="shared" si="19"/>
        <v>27000</v>
      </c>
      <c r="I78" s="115" t="s">
        <v>302</v>
      </c>
    </row>
    <row r="79" spans="1:9" ht="24.95" customHeight="1">
      <c r="A79" s="114">
        <v>76</v>
      </c>
      <c r="B79" s="123">
        <v>46218</v>
      </c>
      <c r="C79" s="114" t="s">
        <v>291</v>
      </c>
      <c r="D79" s="124" t="s">
        <v>1267</v>
      </c>
      <c r="E79" s="114" t="s">
        <v>301</v>
      </c>
      <c r="F79" s="114">
        <v>15</v>
      </c>
      <c r="G79" s="115">
        <v>900</v>
      </c>
      <c r="H79" s="115">
        <f t="shared" si="19"/>
        <v>13500</v>
      </c>
      <c r="I79" s="115" t="s">
        <v>302</v>
      </c>
    </row>
    <row r="80" spans="1:9" ht="24.95" customHeight="1">
      <c r="A80" s="114">
        <v>77</v>
      </c>
      <c r="B80" s="123">
        <v>46218</v>
      </c>
      <c r="C80" s="114" t="s">
        <v>291</v>
      </c>
      <c r="D80" s="124" t="s">
        <v>438</v>
      </c>
      <c r="E80" s="114" t="s">
        <v>301</v>
      </c>
      <c r="F80" s="114">
        <v>5</v>
      </c>
      <c r="G80" s="115">
        <v>3500</v>
      </c>
      <c r="H80" s="115">
        <f t="shared" si="19"/>
        <v>17500</v>
      </c>
      <c r="I80" s="115" t="s">
        <v>302</v>
      </c>
    </row>
    <row r="81" spans="1:9" ht="24.95" customHeight="1">
      <c r="A81" s="114">
        <v>78</v>
      </c>
      <c r="B81" s="123">
        <v>46218</v>
      </c>
      <c r="C81" s="114" t="s">
        <v>291</v>
      </c>
      <c r="D81" s="124" t="s">
        <v>974</v>
      </c>
      <c r="E81" s="114" t="s">
        <v>301</v>
      </c>
      <c r="F81" s="114">
        <v>10</v>
      </c>
      <c r="G81" s="115">
        <v>1100</v>
      </c>
      <c r="H81" s="115">
        <f t="shared" si="19"/>
        <v>11000</v>
      </c>
      <c r="I81" s="115" t="s">
        <v>302</v>
      </c>
    </row>
    <row r="82" spans="1:9" ht="24.95" customHeight="1">
      <c r="A82" s="114">
        <v>79</v>
      </c>
      <c r="B82" s="123">
        <v>46218</v>
      </c>
      <c r="C82" s="114" t="s">
        <v>291</v>
      </c>
      <c r="D82" s="124" t="s">
        <v>525</v>
      </c>
      <c r="E82" s="114" t="s">
        <v>301</v>
      </c>
      <c r="F82" s="114">
        <v>5</v>
      </c>
      <c r="G82" s="115">
        <v>7100</v>
      </c>
      <c r="H82" s="115">
        <f t="shared" si="19"/>
        <v>35500</v>
      </c>
      <c r="I82" s="115" t="s">
        <v>302</v>
      </c>
    </row>
    <row r="83" spans="1:9" ht="24.95" customHeight="1">
      <c r="A83" s="114">
        <v>80</v>
      </c>
      <c r="B83" s="123">
        <v>46218</v>
      </c>
      <c r="C83" s="114" t="s">
        <v>291</v>
      </c>
      <c r="D83" s="124" t="s">
        <v>1268</v>
      </c>
      <c r="E83" s="114" t="s">
        <v>301</v>
      </c>
      <c r="F83" s="114">
        <v>1</v>
      </c>
      <c r="G83" s="115">
        <v>40000</v>
      </c>
      <c r="H83" s="115">
        <f t="shared" si="19"/>
        <v>40000</v>
      </c>
      <c r="I83" s="115" t="s">
        <v>302</v>
      </c>
    </row>
    <row r="84" spans="1:9" ht="24.95" customHeight="1">
      <c r="A84" s="114">
        <v>81</v>
      </c>
      <c r="B84" s="123">
        <v>46218</v>
      </c>
      <c r="C84" s="114" t="s">
        <v>291</v>
      </c>
      <c r="D84" s="124" t="s">
        <v>311</v>
      </c>
      <c r="E84" s="114" t="s">
        <v>301</v>
      </c>
      <c r="F84" s="114">
        <v>1</v>
      </c>
      <c r="G84" s="115">
        <v>12000</v>
      </c>
      <c r="H84" s="115">
        <f>F84*G84</f>
        <v>12000</v>
      </c>
      <c r="I84" s="115" t="s">
        <v>302</v>
      </c>
    </row>
    <row r="85" spans="1:9" ht="24.95" customHeight="1">
      <c r="A85" s="114">
        <v>82</v>
      </c>
      <c r="B85" s="123">
        <v>46218</v>
      </c>
      <c r="C85" s="114" t="s">
        <v>291</v>
      </c>
      <c r="D85" s="124" t="s">
        <v>961</v>
      </c>
      <c r="E85" s="114" t="s">
        <v>301</v>
      </c>
      <c r="F85" s="114">
        <v>4</v>
      </c>
      <c r="G85" s="115">
        <v>4100</v>
      </c>
      <c r="H85" s="115">
        <f t="shared" ref="H85:H114" si="20">F85*G85</f>
        <v>16400</v>
      </c>
      <c r="I85" s="115" t="s">
        <v>302</v>
      </c>
    </row>
    <row r="86" spans="1:9" ht="24.95" customHeight="1">
      <c r="A86" s="114">
        <v>83</v>
      </c>
      <c r="B86" s="123">
        <v>46218</v>
      </c>
      <c r="C86" s="114" t="s">
        <v>291</v>
      </c>
      <c r="D86" s="124" t="s">
        <v>1269</v>
      </c>
      <c r="E86" s="114" t="s">
        <v>301</v>
      </c>
      <c r="F86" s="114">
        <v>2</v>
      </c>
      <c r="G86" s="115">
        <v>13000</v>
      </c>
      <c r="H86" s="115">
        <f t="shared" si="20"/>
        <v>26000</v>
      </c>
      <c r="I86" s="115" t="s">
        <v>302</v>
      </c>
    </row>
    <row r="87" spans="1:9" ht="24.95" customHeight="1">
      <c r="A87" s="114">
        <v>84</v>
      </c>
      <c r="B87" s="123">
        <v>46218</v>
      </c>
      <c r="C87" s="114" t="s">
        <v>291</v>
      </c>
      <c r="D87" s="124" t="s">
        <v>438</v>
      </c>
      <c r="E87" s="114" t="s">
        <v>301</v>
      </c>
      <c r="F87" s="114">
        <v>2</v>
      </c>
      <c r="G87" s="115">
        <v>3500</v>
      </c>
      <c r="H87" s="115">
        <f t="shared" si="20"/>
        <v>7000</v>
      </c>
      <c r="I87" s="115" t="s">
        <v>302</v>
      </c>
    </row>
    <row r="88" spans="1:9" ht="24.95" customHeight="1">
      <c r="A88" s="114">
        <v>85</v>
      </c>
      <c r="B88" s="123">
        <v>46218</v>
      </c>
      <c r="C88" s="114" t="s">
        <v>291</v>
      </c>
      <c r="D88" s="124" t="s">
        <v>1267</v>
      </c>
      <c r="E88" s="114" t="s">
        <v>301</v>
      </c>
      <c r="F88" s="114">
        <v>1</v>
      </c>
      <c r="G88" s="115">
        <v>900</v>
      </c>
      <c r="H88" s="115">
        <f t="shared" si="20"/>
        <v>900</v>
      </c>
      <c r="I88" s="115" t="s">
        <v>302</v>
      </c>
    </row>
    <row r="89" spans="1:9" ht="24.95" customHeight="1">
      <c r="A89" s="114">
        <v>86</v>
      </c>
      <c r="B89" s="123">
        <v>46219</v>
      </c>
      <c r="C89" s="114" t="s">
        <v>291</v>
      </c>
      <c r="D89" s="124" t="s">
        <v>1270</v>
      </c>
      <c r="E89" s="114" t="s">
        <v>301</v>
      </c>
      <c r="F89" s="114">
        <v>1</v>
      </c>
      <c r="G89" s="115">
        <v>116000</v>
      </c>
      <c r="H89" s="115">
        <f t="shared" si="20"/>
        <v>116000</v>
      </c>
      <c r="I89" s="115" t="s">
        <v>302</v>
      </c>
    </row>
    <row r="90" spans="1:9" ht="24.95" customHeight="1">
      <c r="A90" s="114">
        <v>87</v>
      </c>
      <c r="B90" s="123">
        <v>46219</v>
      </c>
      <c r="C90" s="114" t="s">
        <v>291</v>
      </c>
      <c r="D90" s="124" t="s">
        <v>1271</v>
      </c>
      <c r="E90" s="114" t="s">
        <v>301</v>
      </c>
      <c r="F90" s="114">
        <v>1</v>
      </c>
      <c r="G90" s="115">
        <v>18900</v>
      </c>
      <c r="H90" s="115">
        <f t="shared" si="20"/>
        <v>18900</v>
      </c>
      <c r="I90" s="115" t="s">
        <v>302</v>
      </c>
    </row>
    <row r="91" spans="1:9" ht="24.95" customHeight="1">
      <c r="A91" s="114">
        <v>88</v>
      </c>
      <c r="B91" s="123">
        <v>46219</v>
      </c>
      <c r="C91" s="114" t="s">
        <v>291</v>
      </c>
      <c r="D91" s="124" t="s">
        <v>967</v>
      </c>
      <c r="E91" s="114" t="s">
        <v>301</v>
      </c>
      <c r="F91" s="114">
        <v>2</v>
      </c>
      <c r="G91" s="115">
        <v>7000</v>
      </c>
      <c r="H91" s="115">
        <f t="shared" si="20"/>
        <v>14000</v>
      </c>
      <c r="I91" s="115" t="s">
        <v>302</v>
      </c>
    </row>
    <row r="92" spans="1:9" ht="24.95" customHeight="1">
      <c r="A92" s="114">
        <v>89</v>
      </c>
      <c r="B92" s="123">
        <v>46219</v>
      </c>
      <c r="C92" s="114" t="s">
        <v>291</v>
      </c>
      <c r="D92" s="124" t="s">
        <v>1272</v>
      </c>
      <c r="E92" s="114" t="s">
        <v>301</v>
      </c>
      <c r="F92" s="114">
        <v>1</v>
      </c>
      <c r="G92" s="115">
        <v>17200</v>
      </c>
      <c r="H92" s="115">
        <f t="shared" si="20"/>
        <v>17200</v>
      </c>
      <c r="I92" s="115" t="s">
        <v>302</v>
      </c>
    </row>
    <row r="93" spans="1:9" ht="24.95" customHeight="1">
      <c r="A93" s="114">
        <v>90</v>
      </c>
      <c r="B93" s="123">
        <v>46219</v>
      </c>
      <c r="C93" s="114" t="s">
        <v>291</v>
      </c>
      <c r="D93" s="124" t="s">
        <v>1273</v>
      </c>
      <c r="E93" s="114" t="s">
        <v>301</v>
      </c>
      <c r="F93" s="114">
        <v>20</v>
      </c>
      <c r="G93" s="115">
        <v>100</v>
      </c>
      <c r="H93" s="115">
        <f t="shared" si="20"/>
        <v>2000</v>
      </c>
      <c r="I93" s="115" t="s">
        <v>302</v>
      </c>
    </row>
    <row r="94" spans="1:9" ht="24.95" customHeight="1">
      <c r="A94" s="114">
        <v>91</v>
      </c>
      <c r="B94" s="123">
        <v>46219</v>
      </c>
      <c r="C94" s="114" t="s">
        <v>291</v>
      </c>
      <c r="D94" s="124" t="s">
        <v>966</v>
      </c>
      <c r="E94" s="114" t="s">
        <v>301</v>
      </c>
      <c r="F94" s="114">
        <v>100</v>
      </c>
      <c r="G94" s="115">
        <v>300</v>
      </c>
      <c r="H94" s="115">
        <f t="shared" si="20"/>
        <v>30000</v>
      </c>
      <c r="I94" s="115" t="s">
        <v>302</v>
      </c>
    </row>
    <row r="95" spans="1:9" ht="24.95" customHeight="1">
      <c r="A95" s="114">
        <v>92</v>
      </c>
      <c r="B95" s="123">
        <v>46223</v>
      </c>
      <c r="C95" s="114" t="s">
        <v>291</v>
      </c>
      <c r="D95" s="124" t="s">
        <v>973</v>
      </c>
      <c r="E95" s="114" t="s">
        <v>301</v>
      </c>
      <c r="F95" s="114">
        <v>23</v>
      </c>
      <c r="G95" s="115">
        <v>4000</v>
      </c>
      <c r="H95" s="115">
        <f t="shared" si="20"/>
        <v>92000</v>
      </c>
      <c r="I95" s="115" t="s">
        <v>302</v>
      </c>
    </row>
    <row r="96" spans="1:9" ht="24.95" customHeight="1">
      <c r="A96" s="114">
        <v>93</v>
      </c>
      <c r="B96" s="123">
        <v>46223</v>
      </c>
      <c r="C96" s="114" t="s">
        <v>291</v>
      </c>
      <c r="D96" s="124" t="s">
        <v>530</v>
      </c>
      <c r="E96" s="114" t="s">
        <v>301</v>
      </c>
      <c r="F96" s="114">
        <v>3</v>
      </c>
      <c r="G96" s="115">
        <v>13000</v>
      </c>
      <c r="H96" s="115">
        <f t="shared" si="20"/>
        <v>39000</v>
      </c>
      <c r="I96" s="115" t="s">
        <v>302</v>
      </c>
    </row>
    <row r="97" spans="1:9" ht="24.95" customHeight="1">
      <c r="A97" s="114">
        <v>94</v>
      </c>
      <c r="B97" s="123">
        <v>46223</v>
      </c>
      <c r="C97" s="114" t="s">
        <v>291</v>
      </c>
      <c r="D97" s="124" t="s">
        <v>962</v>
      </c>
      <c r="E97" s="114" t="s">
        <v>301</v>
      </c>
      <c r="F97" s="114">
        <v>20</v>
      </c>
      <c r="G97" s="115">
        <v>900</v>
      </c>
      <c r="H97" s="115">
        <f t="shared" si="20"/>
        <v>18000</v>
      </c>
      <c r="I97" s="115" t="s">
        <v>302</v>
      </c>
    </row>
    <row r="98" spans="1:9" ht="24.95" customHeight="1">
      <c r="A98" s="114">
        <v>95</v>
      </c>
      <c r="B98" s="123">
        <v>46223</v>
      </c>
      <c r="C98" s="114" t="s">
        <v>291</v>
      </c>
      <c r="D98" s="124" t="s">
        <v>963</v>
      </c>
      <c r="E98" s="114" t="s">
        <v>301</v>
      </c>
      <c r="F98" s="114">
        <v>20</v>
      </c>
      <c r="G98" s="115">
        <v>500</v>
      </c>
      <c r="H98" s="115">
        <f t="shared" si="20"/>
        <v>10000</v>
      </c>
      <c r="I98" s="115" t="s">
        <v>302</v>
      </c>
    </row>
    <row r="99" spans="1:9" ht="24.95" customHeight="1">
      <c r="A99" s="114">
        <v>96</v>
      </c>
      <c r="B99" s="123">
        <v>46223</v>
      </c>
      <c r="C99" s="114" t="s">
        <v>291</v>
      </c>
      <c r="D99" s="124" t="s">
        <v>528</v>
      </c>
      <c r="E99" s="114" t="s">
        <v>301</v>
      </c>
      <c r="F99" s="114">
        <v>2</v>
      </c>
      <c r="G99" s="115">
        <v>19500</v>
      </c>
      <c r="H99" s="115">
        <f t="shared" si="20"/>
        <v>39000</v>
      </c>
      <c r="I99" s="115" t="s">
        <v>302</v>
      </c>
    </row>
    <row r="100" spans="1:9" ht="24.95" customHeight="1">
      <c r="A100" s="114">
        <v>97</v>
      </c>
      <c r="B100" s="123">
        <v>46223</v>
      </c>
      <c r="C100" s="114" t="s">
        <v>291</v>
      </c>
      <c r="D100" s="124" t="s">
        <v>709</v>
      </c>
      <c r="E100" s="114" t="s">
        <v>301</v>
      </c>
      <c r="F100" s="114">
        <v>1</v>
      </c>
      <c r="G100" s="115">
        <v>15500</v>
      </c>
      <c r="H100" s="115">
        <f t="shared" si="20"/>
        <v>15500</v>
      </c>
      <c r="I100" s="115" t="s">
        <v>302</v>
      </c>
    </row>
    <row r="101" spans="1:9" ht="24.95" customHeight="1">
      <c r="A101" s="114">
        <v>98</v>
      </c>
      <c r="B101" s="123">
        <v>46223</v>
      </c>
      <c r="C101" s="114" t="s">
        <v>291</v>
      </c>
      <c r="D101" s="124" t="s">
        <v>1274</v>
      </c>
      <c r="E101" s="114" t="s">
        <v>301</v>
      </c>
      <c r="F101" s="114">
        <v>10</v>
      </c>
      <c r="G101" s="115">
        <v>600</v>
      </c>
      <c r="H101" s="115">
        <f t="shared" si="20"/>
        <v>6000</v>
      </c>
      <c r="I101" s="115" t="s">
        <v>302</v>
      </c>
    </row>
    <row r="102" spans="1:9" ht="24.95" customHeight="1">
      <c r="A102" s="114">
        <v>99</v>
      </c>
      <c r="B102" s="123">
        <v>46224</v>
      </c>
      <c r="C102" s="114" t="s">
        <v>291</v>
      </c>
      <c r="D102" s="124" t="s">
        <v>966</v>
      </c>
      <c r="E102" s="114" t="s">
        <v>301</v>
      </c>
      <c r="F102" s="114">
        <v>100</v>
      </c>
      <c r="G102" s="115">
        <v>300</v>
      </c>
      <c r="H102" s="115">
        <f t="shared" si="20"/>
        <v>30000</v>
      </c>
      <c r="I102" s="115" t="s">
        <v>302</v>
      </c>
    </row>
    <row r="103" spans="1:9" ht="24.95" customHeight="1">
      <c r="A103" s="114">
        <v>100</v>
      </c>
      <c r="B103" s="123">
        <v>46224</v>
      </c>
      <c r="C103" s="114" t="s">
        <v>291</v>
      </c>
      <c r="D103" s="124" t="s">
        <v>1275</v>
      </c>
      <c r="E103" s="114" t="s">
        <v>301</v>
      </c>
      <c r="F103" s="114">
        <v>3</v>
      </c>
      <c r="G103" s="115">
        <v>3300</v>
      </c>
      <c r="H103" s="115">
        <f t="shared" si="20"/>
        <v>9900</v>
      </c>
      <c r="I103" s="115" t="s">
        <v>302</v>
      </c>
    </row>
    <row r="104" spans="1:9" ht="24.95" customHeight="1">
      <c r="A104" s="114">
        <v>101</v>
      </c>
      <c r="B104" s="123">
        <v>46224</v>
      </c>
      <c r="C104" s="114" t="s">
        <v>291</v>
      </c>
      <c r="D104" s="124" t="s">
        <v>1244</v>
      </c>
      <c r="E104" s="114" t="s">
        <v>301</v>
      </c>
      <c r="F104" s="114">
        <v>3</v>
      </c>
      <c r="G104" s="115">
        <v>140400</v>
      </c>
      <c r="H104" s="115">
        <f t="shared" si="20"/>
        <v>421200</v>
      </c>
      <c r="I104" s="115" t="s">
        <v>302</v>
      </c>
    </row>
    <row r="105" spans="1:9" ht="24.95" customHeight="1">
      <c r="A105" s="114">
        <v>102</v>
      </c>
      <c r="B105" s="123">
        <v>46224</v>
      </c>
      <c r="C105" s="114" t="s">
        <v>291</v>
      </c>
      <c r="D105" s="124" t="s">
        <v>1237</v>
      </c>
      <c r="E105" s="114" t="s">
        <v>301</v>
      </c>
      <c r="F105" s="114">
        <v>3</v>
      </c>
      <c r="G105" s="115">
        <v>23200</v>
      </c>
      <c r="H105" s="115">
        <f t="shared" si="20"/>
        <v>69600</v>
      </c>
      <c r="I105" s="115" t="s">
        <v>302</v>
      </c>
    </row>
    <row r="106" spans="1:9" ht="24.95" customHeight="1">
      <c r="A106" s="114">
        <v>103</v>
      </c>
      <c r="B106" s="123">
        <v>46224</v>
      </c>
      <c r="C106" s="114" t="s">
        <v>291</v>
      </c>
      <c r="D106" s="124" t="s">
        <v>1276</v>
      </c>
      <c r="E106" s="114" t="s">
        <v>301</v>
      </c>
      <c r="F106" s="114">
        <v>5</v>
      </c>
      <c r="G106" s="115">
        <v>9800</v>
      </c>
      <c r="H106" s="115">
        <f t="shared" si="20"/>
        <v>49000</v>
      </c>
      <c r="I106" s="115" t="s">
        <v>302</v>
      </c>
    </row>
    <row r="107" spans="1:9" ht="24.95" customHeight="1">
      <c r="A107" s="114">
        <v>104</v>
      </c>
      <c r="B107" s="123">
        <v>46224</v>
      </c>
      <c r="C107" s="114" t="s">
        <v>291</v>
      </c>
      <c r="D107" s="124" t="s">
        <v>1277</v>
      </c>
      <c r="E107" s="114" t="s">
        <v>301</v>
      </c>
      <c r="F107" s="114">
        <v>3</v>
      </c>
      <c r="G107" s="115">
        <v>54000</v>
      </c>
      <c r="H107" s="115">
        <f t="shared" si="20"/>
        <v>162000</v>
      </c>
      <c r="I107" s="115" t="s">
        <v>302</v>
      </c>
    </row>
    <row r="108" spans="1:9" ht="24.95" customHeight="1">
      <c r="A108" s="114">
        <v>105</v>
      </c>
      <c r="B108" s="123">
        <v>46224</v>
      </c>
      <c r="C108" s="114" t="s">
        <v>291</v>
      </c>
      <c r="D108" s="124" t="s">
        <v>311</v>
      </c>
      <c r="E108" s="114" t="s">
        <v>301</v>
      </c>
      <c r="F108" s="114">
        <v>1</v>
      </c>
      <c r="G108" s="115">
        <v>12000</v>
      </c>
      <c r="H108" s="115">
        <f t="shared" si="20"/>
        <v>12000</v>
      </c>
      <c r="I108" s="115" t="s">
        <v>302</v>
      </c>
    </row>
    <row r="109" spans="1:9" ht="24.95" customHeight="1">
      <c r="A109" s="114">
        <v>106</v>
      </c>
      <c r="B109" s="123">
        <v>46226</v>
      </c>
      <c r="C109" s="114" t="s">
        <v>291</v>
      </c>
      <c r="D109" s="124" t="s">
        <v>1246</v>
      </c>
      <c r="E109" s="114" t="s">
        <v>301</v>
      </c>
      <c r="F109" s="114">
        <v>10</v>
      </c>
      <c r="G109" s="115">
        <v>4500</v>
      </c>
      <c r="H109" s="115">
        <f t="shared" si="20"/>
        <v>45000</v>
      </c>
      <c r="I109" s="115" t="s">
        <v>302</v>
      </c>
    </row>
    <row r="110" spans="1:9" ht="24.95" customHeight="1">
      <c r="A110" s="114">
        <v>107</v>
      </c>
      <c r="B110" s="123">
        <v>46226</v>
      </c>
      <c r="C110" s="114" t="s">
        <v>291</v>
      </c>
      <c r="D110" s="124" t="s">
        <v>1278</v>
      </c>
      <c r="E110" s="114" t="s">
        <v>301</v>
      </c>
      <c r="F110" s="114">
        <v>10</v>
      </c>
      <c r="G110" s="115">
        <v>4100</v>
      </c>
      <c r="H110" s="115">
        <f t="shared" si="20"/>
        <v>41000</v>
      </c>
      <c r="I110" s="115" t="s">
        <v>302</v>
      </c>
    </row>
    <row r="111" spans="1:9" ht="24.95" customHeight="1">
      <c r="A111" s="114">
        <v>108</v>
      </c>
      <c r="B111" s="123">
        <v>46227</v>
      </c>
      <c r="C111" s="114" t="s">
        <v>291</v>
      </c>
      <c r="D111" s="124" t="s">
        <v>529</v>
      </c>
      <c r="E111" s="114" t="s">
        <v>301</v>
      </c>
      <c r="F111" s="114">
        <v>10</v>
      </c>
      <c r="G111" s="115">
        <v>1400</v>
      </c>
      <c r="H111" s="115">
        <f t="shared" si="20"/>
        <v>14000</v>
      </c>
      <c r="I111" s="115" t="s">
        <v>302</v>
      </c>
    </row>
    <row r="112" spans="1:9" ht="24.95" customHeight="1">
      <c r="A112" s="114">
        <v>109</v>
      </c>
      <c r="B112" s="123">
        <v>46230</v>
      </c>
      <c r="C112" s="114" t="s">
        <v>291</v>
      </c>
      <c r="D112" s="124" t="s">
        <v>708</v>
      </c>
      <c r="E112" s="114" t="s">
        <v>301</v>
      </c>
      <c r="F112" s="114">
        <v>7</v>
      </c>
      <c r="G112" s="115">
        <v>78700</v>
      </c>
      <c r="H112" s="115">
        <f t="shared" si="20"/>
        <v>550900</v>
      </c>
      <c r="I112" s="115" t="s">
        <v>302</v>
      </c>
    </row>
    <row r="113" spans="1:9" ht="24.95" customHeight="1">
      <c r="A113" s="114">
        <v>110</v>
      </c>
      <c r="B113" s="123">
        <v>46230</v>
      </c>
      <c r="C113" s="114" t="s">
        <v>291</v>
      </c>
      <c r="D113" s="124" t="s">
        <v>1259</v>
      </c>
      <c r="E113" s="114" t="s">
        <v>301</v>
      </c>
      <c r="F113" s="114">
        <v>2</v>
      </c>
      <c r="G113" s="115">
        <v>10300</v>
      </c>
      <c r="H113" s="115">
        <f t="shared" si="20"/>
        <v>20600</v>
      </c>
      <c r="I113" s="115" t="s">
        <v>302</v>
      </c>
    </row>
    <row r="114" spans="1:9" ht="24.95" customHeight="1">
      <c r="A114" s="114">
        <v>111</v>
      </c>
      <c r="B114" s="123">
        <v>46230</v>
      </c>
      <c r="C114" s="114" t="s">
        <v>291</v>
      </c>
      <c r="D114" s="124" t="s">
        <v>1279</v>
      </c>
      <c r="E114" s="114" t="s">
        <v>301</v>
      </c>
      <c r="F114" s="114">
        <v>2</v>
      </c>
      <c r="G114" s="115">
        <v>54300</v>
      </c>
      <c r="H114" s="115">
        <f t="shared" si="20"/>
        <v>108600</v>
      </c>
      <c r="I114" s="115" t="s">
        <v>302</v>
      </c>
    </row>
    <row r="115" spans="1:9" ht="24.95" customHeight="1">
      <c r="A115" s="114">
        <v>112</v>
      </c>
      <c r="B115" s="123">
        <v>46230</v>
      </c>
      <c r="C115" s="114" t="s">
        <v>291</v>
      </c>
      <c r="D115" s="124" t="s">
        <v>528</v>
      </c>
      <c r="E115" s="114" t="s">
        <v>301</v>
      </c>
      <c r="F115" s="114">
        <v>5</v>
      </c>
      <c r="G115" s="115">
        <v>19500</v>
      </c>
      <c r="H115" s="115">
        <f>F115*G115</f>
        <v>97500</v>
      </c>
      <c r="I115" s="115" t="s">
        <v>302</v>
      </c>
    </row>
    <row r="116" spans="1:9" ht="24.95" customHeight="1">
      <c r="A116" s="114">
        <v>113</v>
      </c>
      <c r="B116" s="123">
        <v>46230</v>
      </c>
      <c r="C116" s="114" t="s">
        <v>291</v>
      </c>
      <c r="D116" s="124" t="s">
        <v>709</v>
      </c>
      <c r="E116" s="114" t="s">
        <v>301</v>
      </c>
      <c r="F116" s="114">
        <v>3</v>
      </c>
      <c r="G116" s="115">
        <v>15500</v>
      </c>
      <c r="H116" s="115">
        <f t="shared" ref="H116:H138" si="21">F116*G116</f>
        <v>46500</v>
      </c>
      <c r="I116" s="115" t="s">
        <v>302</v>
      </c>
    </row>
    <row r="117" spans="1:9" ht="24.95" customHeight="1">
      <c r="A117" s="114">
        <v>114</v>
      </c>
      <c r="B117" s="123">
        <v>46230</v>
      </c>
      <c r="C117" s="114" t="s">
        <v>291</v>
      </c>
      <c r="D117" s="124" t="s">
        <v>1280</v>
      </c>
      <c r="E117" s="114" t="s">
        <v>301</v>
      </c>
      <c r="F117" s="114">
        <v>7</v>
      </c>
      <c r="G117" s="115">
        <v>4400</v>
      </c>
      <c r="H117" s="115">
        <f t="shared" si="21"/>
        <v>30800</v>
      </c>
      <c r="I117" s="115" t="s">
        <v>302</v>
      </c>
    </row>
    <row r="118" spans="1:9" ht="24.95" customHeight="1">
      <c r="A118" s="114">
        <v>115</v>
      </c>
      <c r="B118" s="123">
        <v>46231</v>
      </c>
      <c r="C118" s="114" t="s">
        <v>291</v>
      </c>
      <c r="D118" s="124" t="s">
        <v>530</v>
      </c>
      <c r="E118" s="114" t="s">
        <v>301</v>
      </c>
      <c r="F118" s="114">
        <v>5</v>
      </c>
      <c r="G118" s="115">
        <v>13000</v>
      </c>
      <c r="H118" s="115">
        <f t="shared" si="21"/>
        <v>65000</v>
      </c>
      <c r="I118" s="115" t="s">
        <v>302</v>
      </c>
    </row>
    <row r="119" spans="1:9" ht="24.95" customHeight="1">
      <c r="A119" s="114">
        <v>116</v>
      </c>
      <c r="B119" s="123">
        <v>46231</v>
      </c>
      <c r="C119" s="114" t="s">
        <v>291</v>
      </c>
      <c r="D119" s="124" t="s">
        <v>311</v>
      </c>
      <c r="E119" s="114" t="s">
        <v>301</v>
      </c>
      <c r="F119" s="114">
        <v>2</v>
      </c>
      <c r="G119" s="115">
        <v>12000</v>
      </c>
      <c r="H119" s="115">
        <f t="shared" si="21"/>
        <v>24000</v>
      </c>
      <c r="I119" s="115" t="s">
        <v>302</v>
      </c>
    </row>
    <row r="120" spans="1:9" ht="24.95" customHeight="1">
      <c r="A120" s="114">
        <v>117</v>
      </c>
      <c r="B120" s="123">
        <v>46231</v>
      </c>
      <c r="C120" s="114" t="s">
        <v>291</v>
      </c>
      <c r="D120" s="124" t="s">
        <v>960</v>
      </c>
      <c r="E120" s="114" t="s">
        <v>301</v>
      </c>
      <c r="F120" s="114">
        <v>1</v>
      </c>
      <c r="G120" s="115">
        <v>10000</v>
      </c>
      <c r="H120" s="115">
        <f t="shared" si="21"/>
        <v>10000</v>
      </c>
      <c r="I120" s="115" t="s">
        <v>302</v>
      </c>
    </row>
    <row r="121" spans="1:9" ht="24.95" customHeight="1">
      <c r="A121" s="114">
        <v>118</v>
      </c>
      <c r="B121" s="123">
        <v>46231</v>
      </c>
      <c r="C121" s="114" t="s">
        <v>291</v>
      </c>
      <c r="D121" s="124" t="s">
        <v>1281</v>
      </c>
      <c r="E121" s="114" t="s">
        <v>301</v>
      </c>
      <c r="F121" s="114">
        <v>1</v>
      </c>
      <c r="G121" s="115">
        <v>10000</v>
      </c>
      <c r="H121" s="115">
        <f t="shared" si="21"/>
        <v>10000</v>
      </c>
      <c r="I121" s="115" t="s">
        <v>302</v>
      </c>
    </row>
    <row r="122" spans="1:9" ht="24.95" customHeight="1">
      <c r="A122" s="114">
        <v>119</v>
      </c>
      <c r="B122" s="123">
        <v>46231</v>
      </c>
      <c r="C122" s="114" t="s">
        <v>291</v>
      </c>
      <c r="D122" s="124" t="s">
        <v>1282</v>
      </c>
      <c r="E122" s="114" t="s">
        <v>301</v>
      </c>
      <c r="F122" s="114">
        <v>1</v>
      </c>
      <c r="G122" s="115">
        <v>5700</v>
      </c>
      <c r="H122" s="115">
        <f t="shared" si="21"/>
        <v>5700</v>
      </c>
      <c r="I122" s="115" t="s">
        <v>302</v>
      </c>
    </row>
    <row r="123" spans="1:9" ht="24.95" customHeight="1">
      <c r="A123" s="114">
        <v>120</v>
      </c>
      <c r="B123" s="123">
        <v>46231</v>
      </c>
      <c r="C123" s="114" t="s">
        <v>291</v>
      </c>
      <c r="D123" s="124" t="s">
        <v>1255</v>
      </c>
      <c r="E123" s="114" t="s">
        <v>301</v>
      </c>
      <c r="F123" s="114">
        <v>20</v>
      </c>
      <c r="G123" s="115">
        <v>4500</v>
      </c>
      <c r="H123" s="115">
        <f t="shared" si="21"/>
        <v>90000</v>
      </c>
      <c r="I123" s="115" t="s">
        <v>302</v>
      </c>
    </row>
    <row r="124" spans="1:9" ht="24.95" customHeight="1">
      <c r="A124" s="114">
        <v>121</v>
      </c>
      <c r="B124" s="123">
        <v>46231</v>
      </c>
      <c r="C124" s="114" t="s">
        <v>291</v>
      </c>
      <c r="D124" s="124" t="s">
        <v>1283</v>
      </c>
      <c r="E124" s="114" t="s">
        <v>301</v>
      </c>
      <c r="F124" s="114">
        <v>5</v>
      </c>
      <c r="G124" s="115">
        <v>9500</v>
      </c>
      <c r="H124" s="115">
        <f t="shared" si="21"/>
        <v>47500</v>
      </c>
      <c r="I124" s="115" t="s">
        <v>302</v>
      </c>
    </row>
    <row r="125" spans="1:9" ht="24.95" customHeight="1">
      <c r="A125" s="114">
        <v>122</v>
      </c>
      <c r="B125" s="123">
        <v>46231</v>
      </c>
      <c r="C125" s="114" t="s">
        <v>291</v>
      </c>
      <c r="D125" s="124" t="s">
        <v>973</v>
      </c>
      <c r="E125" s="114" t="s">
        <v>301</v>
      </c>
      <c r="F125" s="114">
        <v>30</v>
      </c>
      <c r="G125" s="115">
        <v>4000</v>
      </c>
      <c r="H125" s="115">
        <f t="shared" si="21"/>
        <v>120000</v>
      </c>
      <c r="I125" s="115" t="s">
        <v>302</v>
      </c>
    </row>
    <row r="126" spans="1:9" ht="24.95" customHeight="1">
      <c r="A126" s="114">
        <v>123</v>
      </c>
      <c r="B126" s="123">
        <v>46232</v>
      </c>
      <c r="C126" s="114" t="s">
        <v>291</v>
      </c>
      <c r="D126" s="124" t="s">
        <v>526</v>
      </c>
      <c r="E126" s="114" t="s">
        <v>301</v>
      </c>
      <c r="F126" s="114">
        <v>1</v>
      </c>
      <c r="G126" s="115">
        <v>40000</v>
      </c>
      <c r="H126" s="115">
        <f t="shared" si="21"/>
        <v>40000</v>
      </c>
      <c r="I126" s="115" t="s">
        <v>302</v>
      </c>
    </row>
    <row r="127" spans="1:9" ht="24.95" customHeight="1">
      <c r="A127" s="114">
        <v>124</v>
      </c>
      <c r="B127" s="123">
        <v>46232</v>
      </c>
      <c r="C127" s="114" t="s">
        <v>291</v>
      </c>
      <c r="D127" s="124" t="s">
        <v>966</v>
      </c>
      <c r="E127" s="114" t="s">
        <v>301</v>
      </c>
      <c r="F127" s="114">
        <v>100</v>
      </c>
      <c r="G127" s="115">
        <v>300</v>
      </c>
      <c r="H127" s="115">
        <f t="shared" si="21"/>
        <v>30000</v>
      </c>
      <c r="I127" s="115" t="s">
        <v>302</v>
      </c>
    </row>
    <row r="128" spans="1:9" ht="24.95" customHeight="1">
      <c r="A128" s="114">
        <v>125</v>
      </c>
      <c r="B128" s="123">
        <v>46232</v>
      </c>
      <c r="C128" s="114" t="s">
        <v>291</v>
      </c>
      <c r="D128" s="124" t="s">
        <v>1284</v>
      </c>
      <c r="E128" s="114" t="s">
        <v>301</v>
      </c>
      <c r="F128" s="114">
        <v>6</v>
      </c>
      <c r="G128" s="115">
        <v>1700</v>
      </c>
      <c r="H128" s="115">
        <f t="shared" si="21"/>
        <v>10200</v>
      </c>
      <c r="I128" s="115" t="s">
        <v>302</v>
      </c>
    </row>
    <row r="129" spans="1:9" ht="24.95" customHeight="1">
      <c r="A129" s="114">
        <v>126</v>
      </c>
      <c r="B129" s="123">
        <v>46232</v>
      </c>
      <c r="C129" s="114" t="s">
        <v>291</v>
      </c>
      <c r="D129" s="124" t="s">
        <v>1285</v>
      </c>
      <c r="E129" s="114" t="s">
        <v>301</v>
      </c>
      <c r="F129" s="114">
        <v>6</v>
      </c>
      <c r="G129" s="115">
        <v>1700</v>
      </c>
      <c r="H129" s="115">
        <f t="shared" si="21"/>
        <v>10200</v>
      </c>
      <c r="I129" s="115" t="s">
        <v>302</v>
      </c>
    </row>
    <row r="130" spans="1:9" ht="24.95" customHeight="1">
      <c r="A130" s="114">
        <v>127</v>
      </c>
      <c r="B130" s="123">
        <v>46232</v>
      </c>
      <c r="C130" s="114" t="s">
        <v>291</v>
      </c>
      <c r="D130" s="124" t="s">
        <v>1268</v>
      </c>
      <c r="E130" s="114" t="s">
        <v>301</v>
      </c>
      <c r="F130" s="114">
        <v>3</v>
      </c>
      <c r="G130" s="115">
        <v>40000</v>
      </c>
      <c r="H130" s="115">
        <f t="shared" si="21"/>
        <v>120000</v>
      </c>
      <c r="I130" s="115" t="s">
        <v>302</v>
      </c>
    </row>
    <row r="131" spans="1:9" ht="24.95" customHeight="1">
      <c r="A131" s="114">
        <v>128</v>
      </c>
      <c r="B131" s="123">
        <v>46232</v>
      </c>
      <c r="C131" s="114" t="s">
        <v>291</v>
      </c>
      <c r="D131" s="124" t="s">
        <v>957</v>
      </c>
      <c r="E131" s="114" t="s">
        <v>301</v>
      </c>
      <c r="F131" s="114">
        <v>1</v>
      </c>
      <c r="G131" s="115">
        <v>23400</v>
      </c>
      <c r="H131" s="115">
        <f t="shared" si="21"/>
        <v>23400</v>
      </c>
      <c r="I131" s="115" t="s">
        <v>302</v>
      </c>
    </row>
    <row r="132" spans="1:9" ht="24.95" customHeight="1">
      <c r="A132" s="114">
        <v>129</v>
      </c>
      <c r="B132" s="123">
        <v>46232</v>
      </c>
      <c r="C132" s="114" t="s">
        <v>291</v>
      </c>
      <c r="D132" s="124" t="s">
        <v>958</v>
      </c>
      <c r="E132" s="114" t="s">
        <v>301</v>
      </c>
      <c r="F132" s="114">
        <v>1</v>
      </c>
      <c r="G132" s="115">
        <v>23400</v>
      </c>
      <c r="H132" s="115">
        <f t="shared" si="21"/>
        <v>23400</v>
      </c>
      <c r="I132" s="115" t="s">
        <v>302</v>
      </c>
    </row>
    <row r="133" spans="1:9" ht="24.95" customHeight="1">
      <c r="A133" s="114">
        <v>130</v>
      </c>
      <c r="B133" s="123">
        <v>46233</v>
      </c>
      <c r="C133" s="114" t="s">
        <v>291</v>
      </c>
      <c r="D133" s="124" t="s">
        <v>1286</v>
      </c>
      <c r="E133" s="114" t="s">
        <v>301</v>
      </c>
      <c r="F133" s="114">
        <v>2</v>
      </c>
      <c r="G133" s="115">
        <v>1500</v>
      </c>
      <c r="H133" s="115">
        <f t="shared" si="21"/>
        <v>3000</v>
      </c>
      <c r="I133" s="115" t="s">
        <v>302</v>
      </c>
    </row>
    <row r="134" spans="1:9" ht="24.95" customHeight="1">
      <c r="A134" s="114">
        <v>131</v>
      </c>
      <c r="B134" s="123">
        <v>46233</v>
      </c>
      <c r="C134" s="114" t="s">
        <v>291</v>
      </c>
      <c r="D134" s="124" t="s">
        <v>1287</v>
      </c>
      <c r="E134" s="114" t="s">
        <v>301</v>
      </c>
      <c r="F134" s="114">
        <v>2</v>
      </c>
      <c r="G134" s="115">
        <v>38000</v>
      </c>
      <c r="H134" s="115">
        <f t="shared" si="21"/>
        <v>76000</v>
      </c>
      <c r="I134" s="115" t="s">
        <v>302</v>
      </c>
    </row>
    <row r="135" spans="1:9" ht="24.95" customHeight="1">
      <c r="A135" s="114">
        <v>132</v>
      </c>
      <c r="B135" s="123">
        <v>46233</v>
      </c>
      <c r="C135" s="114" t="s">
        <v>291</v>
      </c>
      <c r="D135" s="124" t="s">
        <v>1251</v>
      </c>
      <c r="E135" s="114" t="s">
        <v>301</v>
      </c>
      <c r="F135" s="114">
        <v>1</v>
      </c>
      <c r="G135" s="115">
        <v>10000</v>
      </c>
      <c r="H135" s="115">
        <f t="shared" si="21"/>
        <v>10000</v>
      </c>
      <c r="I135" s="115" t="s">
        <v>302</v>
      </c>
    </row>
    <row r="136" spans="1:9" ht="24.95" customHeight="1">
      <c r="A136" s="114">
        <v>133</v>
      </c>
      <c r="B136" s="123">
        <v>46233</v>
      </c>
      <c r="C136" s="114" t="s">
        <v>291</v>
      </c>
      <c r="D136" s="124" t="s">
        <v>972</v>
      </c>
      <c r="E136" s="114" t="s">
        <v>301</v>
      </c>
      <c r="F136" s="114">
        <v>2</v>
      </c>
      <c r="G136" s="115">
        <v>73400</v>
      </c>
      <c r="H136" s="115">
        <f t="shared" si="21"/>
        <v>146800</v>
      </c>
      <c r="I136" s="115" t="s">
        <v>302</v>
      </c>
    </row>
    <row r="137" spans="1:9" ht="24.95" customHeight="1">
      <c r="A137" s="114">
        <v>134</v>
      </c>
      <c r="B137" s="123">
        <v>46234</v>
      </c>
      <c r="C137" s="114" t="s">
        <v>291</v>
      </c>
      <c r="D137" s="124" t="s">
        <v>1288</v>
      </c>
      <c r="E137" s="114" t="s">
        <v>301</v>
      </c>
      <c r="F137" s="114">
        <v>5</v>
      </c>
      <c r="G137" s="115">
        <v>18100</v>
      </c>
      <c r="H137" s="115">
        <f t="shared" si="21"/>
        <v>90500</v>
      </c>
      <c r="I137" s="115" t="s">
        <v>302</v>
      </c>
    </row>
    <row r="138" spans="1:9" ht="24.95" customHeight="1">
      <c r="A138" s="114">
        <v>135</v>
      </c>
      <c r="B138" s="123">
        <v>46234</v>
      </c>
      <c r="C138" s="114" t="s">
        <v>291</v>
      </c>
      <c r="D138" s="124" t="s">
        <v>531</v>
      </c>
      <c r="E138" s="114" t="s">
        <v>301</v>
      </c>
      <c r="F138" s="114">
        <v>1</v>
      </c>
      <c r="G138" s="115">
        <v>12400</v>
      </c>
      <c r="H138" s="115">
        <f t="shared" si="21"/>
        <v>12400</v>
      </c>
      <c r="I138" s="115" t="s">
        <v>302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303" t="s">
        <v>40</v>
      </c>
      <c r="C2" s="36" t="s">
        <v>36</v>
      </c>
      <c r="D2" s="36"/>
      <c r="E2" s="36" t="s">
        <v>39</v>
      </c>
    </row>
    <row r="3" spans="2:18" ht="30" customHeight="1">
      <c r="B3" s="304"/>
      <c r="C3" s="36" t="s">
        <v>37</v>
      </c>
      <c r="D3" s="36"/>
      <c r="E3" s="36" t="s">
        <v>39</v>
      </c>
    </row>
    <row r="4" spans="2:18" ht="30" customHeight="1">
      <c r="B4" s="304"/>
      <c r="C4" s="36" t="s">
        <v>38</v>
      </c>
      <c r="D4" s="36"/>
      <c r="E4" s="36" t="s">
        <v>39</v>
      </c>
    </row>
    <row r="6" spans="2:18" ht="48.95" customHeight="1">
      <c r="G6" s="303" t="s">
        <v>48</v>
      </c>
      <c r="H6" s="37" t="s">
        <v>41</v>
      </c>
      <c r="I6" s="37" t="s">
        <v>42</v>
      </c>
      <c r="J6" s="37" t="s">
        <v>46</v>
      </c>
      <c r="K6" s="35"/>
      <c r="L6" s="35"/>
      <c r="M6" s="35"/>
      <c r="N6" s="35"/>
      <c r="O6" s="35"/>
    </row>
    <row r="7" spans="2:18" ht="54.95" customHeight="1">
      <c r="G7" s="303"/>
      <c r="H7" s="36"/>
      <c r="I7" s="36"/>
      <c r="J7" s="36"/>
      <c r="K7" s="35"/>
      <c r="L7" s="35"/>
      <c r="M7" s="35"/>
      <c r="N7" s="35"/>
      <c r="O7" s="35"/>
    </row>
    <row r="8" spans="2:18" ht="24.95" customHeight="1">
      <c r="G8" s="35"/>
      <c r="H8" s="35"/>
      <c r="I8" s="35"/>
      <c r="J8" s="35"/>
      <c r="K8" s="35"/>
      <c r="L8" s="305" t="s">
        <v>47</v>
      </c>
      <c r="M8" s="36" t="s">
        <v>43</v>
      </c>
      <c r="N8" s="36" t="s">
        <v>44</v>
      </c>
      <c r="O8" s="36" t="s">
        <v>45</v>
      </c>
    </row>
    <row r="9" spans="2:18" ht="39.950000000000003" customHeight="1">
      <c r="G9" s="35"/>
      <c r="H9" s="35"/>
      <c r="I9" s="35"/>
      <c r="J9" s="35"/>
      <c r="K9" s="35"/>
      <c r="L9" s="306"/>
      <c r="M9" s="36"/>
      <c r="N9" s="36"/>
      <c r="O9" s="36"/>
    </row>
    <row r="11" spans="2:18" ht="24.95" customHeight="1">
      <c r="Q11" s="36" t="s">
        <v>49</v>
      </c>
      <c r="R11" s="36" t="s">
        <v>52</v>
      </c>
    </row>
    <row r="12" spans="2:18" ht="24.95" customHeight="1">
      <c r="Q12" s="36" t="s">
        <v>50</v>
      </c>
      <c r="R12" s="36" t="s">
        <v>53</v>
      </c>
    </row>
    <row r="13" spans="2:18" ht="24.95" customHeight="1">
      <c r="Q13" s="36" t="s">
        <v>51</v>
      </c>
      <c r="R13" s="36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H20" sqref="H20"/>
    </sheetView>
  </sheetViews>
  <sheetFormatPr defaultRowHeight="16.5"/>
  <sheetData>
    <row r="3" spans="2:3">
      <c r="B3" s="307" t="s">
        <v>54</v>
      </c>
      <c r="C3" s="308"/>
    </row>
    <row r="4" spans="2:3">
      <c r="B4" s="38" t="s">
        <v>55</v>
      </c>
      <c r="C4" s="38" t="s">
        <v>56</v>
      </c>
    </row>
    <row r="5" spans="2:3">
      <c r="B5" s="36" t="s">
        <v>57</v>
      </c>
      <c r="C5" s="36">
        <v>0.25</v>
      </c>
    </row>
    <row r="6" spans="2:3">
      <c r="B6" s="36" t="s">
        <v>58</v>
      </c>
      <c r="C6" s="36">
        <v>0.5</v>
      </c>
    </row>
    <row r="7" spans="2:3">
      <c r="B7" s="36" t="s">
        <v>59</v>
      </c>
      <c r="C7" s="36">
        <v>0.75</v>
      </c>
    </row>
    <row r="8" spans="2:3">
      <c r="B8" s="36" t="s">
        <v>60</v>
      </c>
      <c r="C8" s="36">
        <v>1</v>
      </c>
    </row>
    <row r="9" spans="2:3">
      <c r="B9" s="36" t="s">
        <v>61</v>
      </c>
      <c r="C9" s="36">
        <v>1.25</v>
      </c>
    </row>
    <row r="10" spans="2:3">
      <c r="B10" s="36" t="s">
        <v>62</v>
      </c>
      <c r="C10" s="36">
        <v>1.5</v>
      </c>
    </row>
    <row r="11" spans="2:3">
      <c r="B11" s="36" t="s">
        <v>63</v>
      </c>
      <c r="C11" s="36">
        <v>2</v>
      </c>
    </row>
    <row r="12" spans="2:3">
      <c r="B12" s="36" t="s">
        <v>64</v>
      </c>
      <c r="C12" s="36">
        <v>2.5</v>
      </c>
    </row>
    <row r="13" spans="2:3">
      <c r="B13" s="36" t="s">
        <v>65</v>
      </c>
      <c r="C13" s="36">
        <v>3</v>
      </c>
    </row>
    <row r="14" spans="2:3">
      <c r="B14" s="36" t="s">
        <v>66</v>
      </c>
      <c r="C14" s="36">
        <v>4</v>
      </c>
    </row>
    <row r="15" spans="2:3">
      <c r="B15" s="36" t="s">
        <v>67</v>
      </c>
      <c r="C15" s="36">
        <v>4</v>
      </c>
    </row>
    <row r="16" spans="2:3">
      <c r="B16" s="36" t="s">
        <v>68</v>
      </c>
      <c r="C16" s="36">
        <v>5</v>
      </c>
    </row>
    <row r="17" spans="2:3">
      <c r="B17" s="36" t="s">
        <v>69</v>
      </c>
      <c r="C17" s="36">
        <v>6</v>
      </c>
    </row>
    <row r="18" spans="2:3">
      <c r="B18" s="36" t="s">
        <v>70</v>
      </c>
      <c r="C18" s="36">
        <v>7</v>
      </c>
    </row>
    <row r="19" spans="2:3">
      <c r="B19" s="36" t="s">
        <v>71</v>
      </c>
      <c r="C19" s="36">
        <v>8</v>
      </c>
    </row>
    <row r="20" spans="2:3">
      <c r="B20" s="36" t="s">
        <v>72</v>
      </c>
      <c r="C20" s="36">
        <v>9</v>
      </c>
    </row>
    <row r="21" spans="2:3">
      <c r="B21" s="36" t="s">
        <v>73</v>
      </c>
      <c r="C21" s="36">
        <v>10</v>
      </c>
    </row>
    <row r="22" spans="2:3">
      <c r="B22" s="36" t="s">
        <v>74</v>
      </c>
      <c r="C22" s="36">
        <v>12</v>
      </c>
    </row>
    <row r="23" spans="2:3">
      <c r="B23" s="36" t="s">
        <v>75</v>
      </c>
      <c r="C23" s="36">
        <v>14</v>
      </c>
    </row>
    <row r="24" spans="2:3">
      <c r="B24" s="36" t="s">
        <v>76</v>
      </c>
      <c r="C24" s="36">
        <v>16</v>
      </c>
    </row>
    <row r="25" spans="2:3">
      <c r="B25" s="36" t="s">
        <v>77</v>
      </c>
      <c r="C25" s="36">
        <v>18</v>
      </c>
    </row>
    <row r="26" spans="2:3">
      <c r="B26" s="36" t="s">
        <v>78</v>
      </c>
      <c r="C26" s="36">
        <v>20</v>
      </c>
    </row>
    <row r="27" spans="2:3">
      <c r="B27" s="36" t="s">
        <v>79</v>
      </c>
      <c r="C27" s="36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5</vt:i4>
      </vt:variant>
    </vt:vector>
  </HeadingPairs>
  <TitlesOfParts>
    <vt:vector size="18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(07월)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숙소관리비!Print_Area</vt:lpstr>
      <vt:lpstr>숙소임차료!Print_Area</vt:lpstr>
      <vt:lpstr>식대비용!Print_Area</vt:lpstr>
      <vt:lpstr>집계장!Print_Area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KCENC</cp:lastModifiedBy>
  <cp:lastPrinted>2026-07-06T02:42:10Z</cp:lastPrinted>
  <dcterms:created xsi:type="dcterms:W3CDTF">2025-09-12T00:04:15Z</dcterms:created>
  <dcterms:modified xsi:type="dcterms:W3CDTF">2026-08-07T05:31:37Z</dcterms:modified>
</cp:coreProperties>
</file>