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7월\S25-004\"/>
    </mc:Choice>
  </mc:AlternateContent>
  <xr:revisionPtr revIDLastSave="0" documentId="13_ncr:1_{CCA15D64-966B-4C1E-8C51-DA8BAC0D22F7}" xr6:coauthVersionLast="36" xr6:coauthVersionMax="36" xr10:uidLastSave="{00000000-0000-0000-0000-000000000000}"/>
  <bookViews>
    <workbookView xWindow="0" yWindow="0" windowWidth="28800" windowHeight="12288" activeTab="3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7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6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 localSheetId="11">#REF!</definedName>
    <definedName name="_" localSheetId="3">#REF!</definedName>
    <definedName name="_">#REF!</definedName>
    <definedName name="_??_??_?C?g??" localSheetId="11">#REF!</definedName>
    <definedName name="_??_??_?C?g??" localSheetId="3">#REF!</definedName>
    <definedName name="_??_??_?C?g??">#REF!</definedName>
    <definedName name="___DAT1" localSheetId="11">[1]원본!#REF!</definedName>
    <definedName name="___DAT1" localSheetId="3">[1]원본!#REF!</definedName>
    <definedName name="___DAT1">[1]원본!#REF!</definedName>
    <definedName name="___DAT10" localSheetId="11">[1]원본!#REF!</definedName>
    <definedName name="___DAT10" localSheetId="3">[1]원본!#REF!</definedName>
    <definedName name="___DAT10">[1]원본!#REF!</definedName>
    <definedName name="___DAT12" localSheetId="11">[1]원본!#REF!</definedName>
    <definedName name="___DAT12" localSheetId="3">[1]원본!#REF!</definedName>
    <definedName name="___DAT12">[1]원본!#REF!</definedName>
    <definedName name="___DAT13" localSheetId="11">[1]원본!#REF!</definedName>
    <definedName name="___DAT13" localSheetId="3">[1]원본!#REF!</definedName>
    <definedName name="___DAT13">[1]원본!#REF!</definedName>
    <definedName name="___DAT14" localSheetId="11">[1]원본!#REF!</definedName>
    <definedName name="___DAT14" localSheetId="3">[1]원본!#REF!</definedName>
    <definedName name="___DAT14">[1]원본!#REF!</definedName>
    <definedName name="___DAT15" localSheetId="11">[1]원본!#REF!</definedName>
    <definedName name="___DAT15" localSheetId="3">[1]원본!#REF!</definedName>
    <definedName name="___DAT15">[1]원본!#REF!</definedName>
    <definedName name="___DAT16" localSheetId="11">[1]원본!#REF!</definedName>
    <definedName name="___DAT16" localSheetId="3">[1]원본!#REF!</definedName>
    <definedName name="___DAT16">[1]원본!#REF!</definedName>
    <definedName name="___DAT17" localSheetId="11">[1]원본!#REF!</definedName>
    <definedName name="___DAT17" localSheetId="3">[1]원본!#REF!</definedName>
    <definedName name="___DAT17">[1]원본!#REF!</definedName>
    <definedName name="___DAT18" localSheetId="11">[1]원본!#REF!</definedName>
    <definedName name="___DAT18" localSheetId="3">[1]원본!#REF!</definedName>
    <definedName name="___DAT18">[1]원본!#REF!</definedName>
    <definedName name="___DAT19" localSheetId="11">[1]원본!#REF!</definedName>
    <definedName name="___DAT19" localSheetId="3">[1]원본!#REF!</definedName>
    <definedName name="___DAT19">[1]원본!#REF!</definedName>
    <definedName name="___DAT2" localSheetId="11">[1]원본!#REF!</definedName>
    <definedName name="___DAT2" localSheetId="3">[1]원본!#REF!</definedName>
    <definedName name="___DAT2">[1]원본!#REF!</definedName>
    <definedName name="___DAT20" localSheetId="11">[1]원본!#REF!</definedName>
    <definedName name="___DAT20" localSheetId="3">[1]원본!#REF!</definedName>
    <definedName name="___DAT20">[1]원본!#REF!</definedName>
    <definedName name="___DAT3" localSheetId="11">[1]원본!#REF!</definedName>
    <definedName name="___DAT3" localSheetId="3">[1]원본!#REF!</definedName>
    <definedName name="___DAT3">[1]원본!#REF!</definedName>
    <definedName name="___DAT4" localSheetId="11">[1]원본!#REF!</definedName>
    <definedName name="___DAT4" localSheetId="3">[1]원본!#REF!</definedName>
    <definedName name="___DAT4">[1]원본!#REF!</definedName>
    <definedName name="___DAT5" localSheetId="11">#REF!</definedName>
    <definedName name="___DAT5" localSheetId="3">#REF!</definedName>
    <definedName name="___DAT5">#REF!</definedName>
    <definedName name="___DAT6" localSheetId="11">[1]원본!#REF!</definedName>
    <definedName name="___DAT6" localSheetId="3">[1]원본!#REF!</definedName>
    <definedName name="___DAT6">[1]원본!#REF!</definedName>
    <definedName name="___DAT7" localSheetId="11">[1]원본!#REF!</definedName>
    <definedName name="___DAT7" localSheetId="3">[1]원본!#REF!</definedName>
    <definedName name="___DAT7">[1]원본!#REF!</definedName>
    <definedName name="___DAT8" localSheetId="11">[1]원본!#REF!</definedName>
    <definedName name="___DAT8" localSheetId="3">[1]원본!#REF!</definedName>
    <definedName name="___DAT8">[1]원본!#REF!</definedName>
    <definedName name="___DAT9" localSheetId="11">[1]원본!#REF!</definedName>
    <definedName name="___DAT9" localSheetId="3">[1]원본!#REF!</definedName>
    <definedName name="___DAT9">[1]원본!#REF!</definedName>
    <definedName name="___FAB4" localSheetId="11" hidden="1">'[2]F4-F7'!#REF!</definedName>
    <definedName name="___FAB4" localSheetId="3" hidden="1">'[2]F4-F7'!#REF!</definedName>
    <definedName name="___FAB4" hidden="1">'[2]F4-F7'!#REF!</definedName>
    <definedName name="___QQ123" localSheetId="11">#REF!</definedName>
    <definedName name="___QQ123" localSheetId="3">#REF!</definedName>
    <definedName name="___QQ123">#REF!</definedName>
    <definedName name="__123Graph_A" hidden="1">#N/A</definedName>
    <definedName name="__123Graph_ACHART1" localSheetId="11" hidden="1">'[3]입찰내역 발주처 양식'!#REF!</definedName>
    <definedName name="__123Graph_ACHART1" localSheetId="3" hidden="1">'[3]입찰내역 발주처 양식'!#REF!</definedName>
    <definedName name="__123Graph_ACHART1" hidden="1">'[3]입찰내역 발주처 양식'!#REF!</definedName>
    <definedName name="__123Graph_ACURRENT" localSheetId="11" hidden="1">'[3]입찰내역 발주처 양식'!#REF!</definedName>
    <definedName name="__123Graph_ACURRENT" localSheetId="3" hidden="1">'[3]입찰내역 발주처 양식'!#REF!</definedName>
    <definedName name="__123Graph_ACURRENT" hidden="1">'[3]입찰내역 발주처 양식'!#REF!</definedName>
    <definedName name="__123Graph_B" localSheetId="11" hidden="1">'[4]입찰내역 발주처 양식'!#REF!</definedName>
    <definedName name="__123Graph_B" localSheetId="3" hidden="1">'[4]입찰내역 발주처 양식'!#REF!</definedName>
    <definedName name="__123Graph_B" hidden="1">'[4]입찰내역 발주처 양식'!#REF!</definedName>
    <definedName name="__123Graph_D" localSheetId="11" hidden="1">'[5]0226'!#REF!</definedName>
    <definedName name="__123Graph_D" localSheetId="3" hidden="1">'[5]0226'!#REF!</definedName>
    <definedName name="__123Graph_D" hidden="1">'[5]0226'!#REF!</definedName>
    <definedName name="__123Graph_X" hidden="1">#N/A</definedName>
    <definedName name="__123Graph_XCHART1" localSheetId="11" hidden="1">'[3]입찰내역 발주처 양식'!#REF!</definedName>
    <definedName name="__123Graph_XCHART1" localSheetId="3" hidden="1">'[3]입찰내역 발주처 양식'!#REF!</definedName>
    <definedName name="__123Graph_XCHART1" hidden="1">'[3]입찰내역 발주처 양식'!#REF!</definedName>
    <definedName name="__123Graph_XCURRENT" localSheetId="11" hidden="1">'[3]입찰내역 발주처 양식'!#REF!</definedName>
    <definedName name="__123Graph_XCURRENT" localSheetId="3" hidden="1">'[3]입찰내역 발주처 양식'!#REF!</definedName>
    <definedName name="__123Graph_XCURRENT" hidden="1">'[3]입찰내역 발주처 양식'!#REF!</definedName>
    <definedName name="__72" localSheetId="11" hidden="1">'[3]입찰내역 발주처 양식'!#REF!</definedName>
    <definedName name="__72" localSheetId="3" hidden="1">'[3]입찰내역 발주처 양식'!#REF!</definedName>
    <definedName name="__72" hidden="1">'[3]입찰내역 발주처 양식'!#REF!</definedName>
    <definedName name="__DAT11" localSheetId="11">#REF!</definedName>
    <definedName name="__DAT11" localSheetId="3">#REF!</definedName>
    <definedName name="__DAT11">#REF!</definedName>
    <definedName name="__DAT21" localSheetId="11">#REF!</definedName>
    <definedName name="__DAT21" localSheetId="3">#REF!</definedName>
    <definedName name="__DAT21">#REF!</definedName>
    <definedName name="__DAT22" localSheetId="11">#REF!</definedName>
    <definedName name="__DAT22" localSheetId="3">#REF!</definedName>
    <definedName name="__DAT22">#REF!</definedName>
    <definedName name="__DAT23" localSheetId="11">#REF!</definedName>
    <definedName name="__DAT23" localSheetId="3">#REF!</definedName>
    <definedName name="__DAT23">#REF!</definedName>
    <definedName name="__DAT24" localSheetId="11">#REF!</definedName>
    <definedName name="__DAT24" localSheetId="3">#REF!</definedName>
    <definedName name="__DAT24">#REF!</definedName>
    <definedName name="__DAT25" localSheetId="11">#REF!</definedName>
    <definedName name="__DAT25" localSheetId="3">#REF!</definedName>
    <definedName name="__DAT25">#REF!</definedName>
    <definedName name="__DAT26" localSheetId="11">#REF!</definedName>
    <definedName name="__DAT26" localSheetId="3">#REF!</definedName>
    <definedName name="__DAT26">#REF!</definedName>
    <definedName name="__DAT27" localSheetId="11">#REF!</definedName>
    <definedName name="__DAT27" localSheetId="3">#REF!</definedName>
    <definedName name="__DAT27">#REF!</definedName>
    <definedName name="__DAT28" localSheetId="11">#REF!</definedName>
    <definedName name="__DAT28" localSheetId="3">#REF!</definedName>
    <definedName name="__DAT28">#REF!</definedName>
    <definedName name="__IntlFixup" hidden="1">TRUE</definedName>
    <definedName name="__P3" localSheetId="11">#REF!</definedName>
    <definedName name="__P3" localSheetId="3">#REF!</definedName>
    <definedName name="__P3">#REF!</definedName>
    <definedName name="__P4" localSheetId="11">#REF!</definedName>
    <definedName name="__P4" localSheetId="3">#REF!</definedName>
    <definedName name="__P4">#REF!</definedName>
    <definedName name="__P5" localSheetId="11">#REF!</definedName>
    <definedName name="__P5" localSheetId="3">#REF!</definedName>
    <definedName name="__P5">#REF!</definedName>
    <definedName name="__P6" localSheetId="11">#REF!</definedName>
    <definedName name="__P6" localSheetId="3">#REF!</definedName>
    <definedName name="__P6">#REF!</definedName>
    <definedName name="__PP1" localSheetId="11">#REF!</definedName>
    <definedName name="__PP1" localSheetId="3">#REF!</definedName>
    <definedName name="__PP1">#REF!</definedName>
    <definedName name="_01" localSheetId="11" hidden="1">'[3]입찰내역 발주처 양식'!#REF!</definedName>
    <definedName name="_01" localSheetId="3" hidden="1">'[3]입찰내역 발주처 양식'!#REF!</definedName>
    <definedName name="_01" hidden="1">'[3]입찰내역 발주처 양식'!#REF!</definedName>
    <definedName name="_0101__장비_설치공사" localSheetId="11">#REF!</definedName>
    <definedName name="_0101__장비_설치공사" localSheetId="3">#REF!</definedName>
    <definedName name="_0101__장비_설치공사">#REF!</definedName>
    <definedName name="_0201__소화_장비설치공사" localSheetId="11">#REF!</definedName>
    <definedName name="_0201__소화_장비설치공사" localSheetId="3">#REF!</definedName>
    <definedName name="_0201__소화_장비설치공사">#REF!</definedName>
    <definedName name="_1" localSheetId="11">#REF!</definedName>
    <definedName name="_1" localSheetId="3">#REF!</definedName>
    <definedName name="_1">#REF!</definedName>
    <definedName name="_1._PANEL_BD.__LP___1" localSheetId="11">#REF!</definedName>
    <definedName name="_1._PANEL_BD.__LP___1" localSheetId="3">#REF!</definedName>
    <definedName name="_1._PANEL_BD.__LP___1">#REF!</definedName>
    <definedName name="_1._옥외배관및장비설치공사" localSheetId="11">#REF!</definedName>
    <definedName name="_1._옥외배관및장비설치공사" localSheetId="3">#REF!</definedName>
    <definedName name="_1._옥외배관및장비설치공사">#REF!</definedName>
    <definedName name="_1_3_0Crite" localSheetId="11">#REF!</definedName>
    <definedName name="_1_3_0Crite" localSheetId="3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11">#REF!</definedName>
    <definedName name="_10P6_" localSheetId="3">#REF!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11">#REF!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11">#REF!</definedName>
    <definedName name="_13G_0Extr" localSheetId="3">#REF!</definedName>
    <definedName name="_13G_0Extr">#REF!</definedName>
    <definedName name="_14">#N/A</definedName>
    <definedName name="_140709만회공정" localSheetId="11" hidden="1">'[3]입찰내역 발주처 양식'!#REF!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11">#REF!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11">#REF!</definedName>
    <definedName name="_15G__Extr" localSheetId="3">#REF!</definedName>
    <definedName name="_15G__Extr">#REF!</definedName>
    <definedName name="_16">#N/A</definedName>
    <definedName name="_16A_10" localSheetId="11">#REF!</definedName>
    <definedName name="_16A_10" localSheetId="3">#REF!</definedName>
    <definedName name="_16A_10">#REF!</definedName>
    <definedName name="_16A_11" localSheetId="11">#REF!</definedName>
    <definedName name="_16A_11" localSheetId="3">#REF!</definedName>
    <definedName name="_16A_11">#REF!</definedName>
    <definedName name="_16A_12" localSheetId="11">#REF!</definedName>
    <definedName name="_16A_12" localSheetId="3">#REF!</definedName>
    <definedName name="_16A_12">#REF!</definedName>
    <definedName name="_16A_13" localSheetId="11">#REF!</definedName>
    <definedName name="_16A_13" localSheetId="3">#REF!</definedName>
    <definedName name="_16A_13">#REF!</definedName>
    <definedName name="_16A_14" localSheetId="11">#REF!</definedName>
    <definedName name="_16A_14" localSheetId="3">#REF!</definedName>
    <definedName name="_16A_14">#REF!</definedName>
    <definedName name="_16A_15" localSheetId="11">#REF!</definedName>
    <definedName name="_16A_15" localSheetId="3">#REF!</definedName>
    <definedName name="_16A_15">#REF!</definedName>
    <definedName name="_16A_8" localSheetId="11">#REF!</definedName>
    <definedName name="_16A_8" localSheetId="3">#REF!</definedName>
    <definedName name="_16A_8">#REF!</definedName>
    <definedName name="_16A_9" localSheetId="11">#REF!</definedName>
    <definedName name="_16A_9" localSheetId="3">#REF!</definedName>
    <definedName name="_16A_9">#REF!</definedName>
    <definedName name="_16B_10" localSheetId="11">#REF!</definedName>
    <definedName name="_16B_10" localSheetId="3">#REF!</definedName>
    <definedName name="_16B_10">#REF!</definedName>
    <definedName name="_16B_11" localSheetId="11">#REF!</definedName>
    <definedName name="_16B_11" localSheetId="3">#REF!</definedName>
    <definedName name="_16B_11">#REF!</definedName>
    <definedName name="_16B_12" localSheetId="11">#REF!</definedName>
    <definedName name="_16B_12" localSheetId="3">#REF!</definedName>
    <definedName name="_16B_12">#REF!</definedName>
    <definedName name="_16B_13" localSheetId="11">#REF!</definedName>
    <definedName name="_16B_13" localSheetId="3">#REF!</definedName>
    <definedName name="_16B_13">#REF!</definedName>
    <definedName name="_16B_14" localSheetId="11">#REF!</definedName>
    <definedName name="_16B_14" localSheetId="3">#REF!</definedName>
    <definedName name="_16B_14">#REF!</definedName>
    <definedName name="_16B_15" localSheetId="11">#REF!</definedName>
    <definedName name="_16B_15" localSheetId="3">#REF!</definedName>
    <definedName name="_16B_15">#REF!</definedName>
    <definedName name="_16B_8" localSheetId="11">#REF!</definedName>
    <definedName name="_16B_8" localSheetId="3">#REF!</definedName>
    <definedName name="_16B_8">#REF!</definedName>
    <definedName name="_16B_9" localSheetId="11">#REF!</definedName>
    <definedName name="_16B_9" localSheetId="3">#REF!</definedName>
    <definedName name="_16B_9">#REF!</definedName>
    <definedName name="_16C_10" localSheetId="11">#REF!</definedName>
    <definedName name="_16C_10" localSheetId="3">#REF!</definedName>
    <definedName name="_16C_10">#REF!</definedName>
    <definedName name="_16C_11" localSheetId="11">#REF!</definedName>
    <definedName name="_16C_11" localSheetId="3">#REF!</definedName>
    <definedName name="_16C_11">#REF!</definedName>
    <definedName name="_16C_12" localSheetId="11">#REF!</definedName>
    <definedName name="_16C_12" localSheetId="3">#REF!</definedName>
    <definedName name="_16C_12">#REF!</definedName>
    <definedName name="_16C_13" localSheetId="11">#REF!</definedName>
    <definedName name="_16C_13" localSheetId="3">#REF!</definedName>
    <definedName name="_16C_13">#REF!</definedName>
    <definedName name="_16C_14" localSheetId="11">#REF!</definedName>
    <definedName name="_16C_14" localSheetId="3">#REF!</definedName>
    <definedName name="_16C_14">#REF!</definedName>
    <definedName name="_16C_15" localSheetId="11">#REF!</definedName>
    <definedName name="_16C_15" localSheetId="3">#REF!</definedName>
    <definedName name="_16C_15">#REF!</definedName>
    <definedName name="_16C_8" localSheetId="11">#REF!</definedName>
    <definedName name="_16C_8" localSheetId="3">#REF!</definedName>
    <definedName name="_16C_8">#REF!</definedName>
    <definedName name="_16C_9" localSheetId="11">#REF!</definedName>
    <definedName name="_16C_9" localSheetId="3">#REF!</definedName>
    <definedName name="_16C_9">#REF!</definedName>
    <definedName name="_16G__Extract" localSheetId="11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11">#REF!</definedName>
    <definedName name="_1auto" localSheetId="3">#REF!</definedName>
    <definedName name="_1auto">#REF!</definedName>
    <definedName name="_1p11_" localSheetId="11">#REF!</definedName>
    <definedName name="_1p11_" localSheetId="3">#REF!</definedName>
    <definedName name="_1p11_">#REF!</definedName>
    <definedName name="_2" localSheetId="11">#REF!</definedName>
    <definedName name="_2" localSheetId="3">#REF!</definedName>
    <definedName name="_2">#REF!</definedName>
    <definedName name="_2__123Graph_ACHART_1A" localSheetId="11" hidden="1">'[3]입찰내역 발주처 양식'!#REF!</definedName>
    <definedName name="_2__123Graph_ACHART_1A" localSheetId="3" hidden="1">'[3]입찰내역 발주처 양식'!#REF!</definedName>
    <definedName name="_2__123Graph_ACHART_1A" hidden="1">'[3]입찰내역 발주처 양식'!#REF!</definedName>
    <definedName name="_2_0__123Grap" hidden="1">#N/A</definedName>
    <definedName name="_2_3_0Criteria" localSheetId="11">#REF!</definedName>
    <definedName name="_2_3_0Criteria" localSheetId="3">#REF!</definedName>
    <definedName name="_2_3_0Criteria">#REF!</definedName>
    <definedName name="_2_401K" localSheetId="11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11">#REF!</definedName>
    <definedName name="_21P1_" localSheetId="3">#REF!</definedName>
    <definedName name="_21P1_">#REF!</definedName>
    <definedName name="_22">#N/A</definedName>
    <definedName name="_22P10_" localSheetId="11">#REF!</definedName>
    <definedName name="_22P10_" localSheetId="3">#REF!</definedName>
    <definedName name="_22P10_">#REF!</definedName>
    <definedName name="_23">#N/A</definedName>
    <definedName name="_24">#N/A</definedName>
    <definedName name="_24p11_" localSheetId="11">#REF!</definedName>
    <definedName name="_24p11_" localSheetId="3">#REF!</definedName>
    <definedName name="_24p11_">#REF!</definedName>
    <definedName name="_25">#N/A</definedName>
    <definedName name="_25P12_" localSheetId="11">#REF!</definedName>
    <definedName name="_25P12_" localSheetId="3">#REF!</definedName>
    <definedName name="_25P12_">#REF!</definedName>
    <definedName name="_26">#N/A</definedName>
    <definedName name="_26P13_" localSheetId="11">#REF!</definedName>
    <definedName name="_26P13_" localSheetId="3">#REF!</definedName>
    <definedName name="_26P13_">#REF!</definedName>
    <definedName name="_27">#N/A</definedName>
    <definedName name="_27P14_" localSheetId="11">#REF!</definedName>
    <definedName name="_27P14_" localSheetId="3">#REF!</definedName>
    <definedName name="_27P14_">#REF!</definedName>
    <definedName name="_28">#N/A</definedName>
    <definedName name="_28P15_" localSheetId="11">#REF!</definedName>
    <definedName name="_28P15_" localSheetId="3">#REF!</definedName>
    <definedName name="_28P15_">#REF!</definedName>
    <definedName name="_29">#N/A</definedName>
    <definedName name="_29P16_" localSheetId="11">#REF!</definedName>
    <definedName name="_29P16_" localSheetId="3">#REF!</definedName>
    <definedName name="_29P16_">#REF!</definedName>
    <definedName name="_2auto" localSheetId="11">#REF!</definedName>
    <definedName name="_2auto" localSheetId="3">#REF!</definedName>
    <definedName name="_2auto">#REF!</definedName>
    <definedName name="_2dental" localSheetId="11">#REF!</definedName>
    <definedName name="_2dental" localSheetId="3">#REF!</definedName>
    <definedName name="_2dental">#REF!</definedName>
    <definedName name="_2health" localSheetId="11">#REF!</definedName>
    <definedName name="_2health" localSheetId="3">#REF!</definedName>
    <definedName name="_2health">#REF!</definedName>
    <definedName name="_2ldd" localSheetId="11">#REF!</definedName>
    <definedName name="_2ldd" localSheetId="3">#REF!</definedName>
    <definedName name="_2ldd">#REF!</definedName>
    <definedName name="_2life" localSheetId="11">#REF!</definedName>
    <definedName name="_2life" localSheetId="3">#REF!</definedName>
    <definedName name="_2life">#REF!</definedName>
    <definedName name="_2p2_" localSheetId="11">#REF!</definedName>
    <definedName name="_2p2_" localSheetId="3">#REF!</definedName>
    <definedName name="_2p2_">#REF!</definedName>
    <definedName name="_2vision" localSheetId="11">#REF!</definedName>
    <definedName name="_2vision" localSheetId="3">#REF!</definedName>
    <definedName name="_2vision">#REF!</definedName>
    <definedName name="_2well" localSheetId="11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11">#REF!</definedName>
    <definedName name="_3_3__Crite" localSheetId="3">#REF!</definedName>
    <definedName name="_3_3__Crite">#REF!</definedName>
    <definedName name="_3_401K" localSheetId="11">#REF!</definedName>
    <definedName name="_3_401K" localSheetId="3">#REF!</definedName>
    <definedName name="_3_401K">#REF!</definedName>
    <definedName name="_30">#N/A</definedName>
    <definedName name="_30P17_" localSheetId="11">#REF!</definedName>
    <definedName name="_30P17_" localSheetId="3">#REF!</definedName>
    <definedName name="_30P17_">#REF!</definedName>
    <definedName name="_31">#N/A</definedName>
    <definedName name="_32">#N/A</definedName>
    <definedName name="_32p2_" localSheetId="11">#REF!</definedName>
    <definedName name="_32p2_" localSheetId="3">#REF!</definedName>
    <definedName name="_32p2_">#REF!</definedName>
    <definedName name="_33">#N/A</definedName>
    <definedName name="_34">#N/A</definedName>
    <definedName name="_34P3_" localSheetId="11">#REF!</definedName>
    <definedName name="_34P3_" localSheetId="3">#REF!</definedName>
    <definedName name="_34P3_">#REF!</definedName>
    <definedName name="_35">#N/A</definedName>
    <definedName name="_36">#N/A</definedName>
    <definedName name="_36P4_" localSheetId="11">#REF!</definedName>
    <definedName name="_36P4_" localSheetId="3">#REF!</definedName>
    <definedName name="_36P4_">#REF!</definedName>
    <definedName name="_37">#N/A</definedName>
    <definedName name="_38">#N/A</definedName>
    <definedName name="_38P5_" localSheetId="11">#REF!</definedName>
    <definedName name="_38P5_" localSheetId="3">#REF!</definedName>
    <definedName name="_38P5_">#REF!</definedName>
    <definedName name="_39">#N/A</definedName>
    <definedName name="_3dental" localSheetId="11">#REF!</definedName>
    <definedName name="_3dental" localSheetId="3">#REF!</definedName>
    <definedName name="_3dental">#REF!</definedName>
    <definedName name="_3health" localSheetId="11">#REF!</definedName>
    <definedName name="_3health" localSheetId="3">#REF!</definedName>
    <definedName name="_3health">#REF!</definedName>
    <definedName name="_3ldd" localSheetId="11">#REF!</definedName>
    <definedName name="_3ldd" localSheetId="3">#REF!</definedName>
    <definedName name="_3ldd">#REF!</definedName>
    <definedName name="_3life" localSheetId="11">#REF!</definedName>
    <definedName name="_3life" localSheetId="3">#REF!</definedName>
    <definedName name="_3life">#REF!</definedName>
    <definedName name="_3vision" localSheetId="11">#REF!</definedName>
    <definedName name="_3vision" localSheetId="3">#REF!</definedName>
    <definedName name="_3vision">#REF!</definedName>
    <definedName name="_3well" localSheetId="11">#REF!</definedName>
    <definedName name="_3well" localSheetId="3">#REF!</definedName>
    <definedName name="_3well">#REF!</definedName>
    <definedName name="_4">[6]고정1!$A$146:$L$188</definedName>
    <definedName name="_4__123Graph_XCHART_1A" localSheetId="11" hidden="1">'[3]입찰내역 발주처 양식'!#REF!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 localSheetId="11">#REF!</definedName>
    <definedName name="_4_3__Criteria" localSheetId="3">#REF!</definedName>
    <definedName name="_4_3__Criteria">#REF!</definedName>
    <definedName name="_40">#N/A</definedName>
    <definedName name="_40P6_" localSheetId="11">#REF!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11">#REF!</definedName>
    <definedName name="_43P8_" localSheetId="3">#REF!</definedName>
    <definedName name="_43P8_">#REF!</definedName>
    <definedName name="_44">#N/A</definedName>
    <definedName name="_44P9_" localSheetId="11">#REF!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11">#REF!</definedName>
    <definedName name="_4P3_" localSheetId="3">#REF!</definedName>
    <definedName name="_4P3_">#REF!</definedName>
    <definedName name="_5">[6]고정1!$A$191:$L$233</definedName>
    <definedName name="_5_401K" localSheetId="11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11">#REF!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11">#REF!</definedName>
    <definedName name="_5dental" localSheetId="3">#REF!</definedName>
    <definedName name="_5dental">#REF!</definedName>
    <definedName name="_5health" localSheetId="11">#REF!</definedName>
    <definedName name="_5health" localSheetId="3">#REF!</definedName>
    <definedName name="_5health">#REF!</definedName>
    <definedName name="_5ldd" localSheetId="11">#REF!</definedName>
    <definedName name="_5ldd" localSheetId="3">#REF!</definedName>
    <definedName name="_5ldd">#REF!</definedName>
    <definedName name="_5life" localSheetId="11">#REF!</definedName>
    <definedName name="_5life" localSheetId="3">#REF!</definedName>
    <definedName name="_5life">#REF!</definedName>
    <definedName name="_5vision" localSheetId="11">#REF!</definedName>
    <definedName name="_5vision" localSheetId="3">#REF!</definedName>
    <definedName name="_5vision">#REF!</definedName>
    <definedName name="_5well" localSheetId="11">#REF!</definedName>
    <definedName name="_5well" localSheetId="3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11">#REF!</definedName>
    <definedName name="_6P4_" localSheetId="3">#REF!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 localSheetId="11">#REF!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11">#REF!</definedName>
    <definedName name="_8P5_" localSheetId="3">#REF!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11">#REF!</definedName>
    <definedName name="_A" localSheetId="3">#REF!</definedName>
    <definedName name="_A">#REF!</definedName>
    <definedName name="_alm1" localSheetId="11">#REF!</definedName>
    <definedName name="_alm1" localSheetId="3">#REF!</definedName>
    <definedName name="_alm1">#REF!</definedName>
    <definedName name="_alm2" localSheetId="11">#REF!</definedName>
    <definedName name="_alm2" localSheetId="3">#REF!</definedName>
    <definedName name="_alm2">#REF!</definedName>
    <definedName name="_DAT1" localSheetId="11">[1]원본!#REF!</definedName>
    <definedName name="_DAT1" localSheetId="3">[1]원본!#REF!</definedName>
    <definedName name="_DAT1">[1]원본!#REF!</definedName>
    <definedName name="_DAT10" localSheetId="11">[1]원본!#REF!</definedName>
    <definedName name="_DAT10" localSheetId="3">[1]원본!#REF!</definedName>
    <definedName name="_DAT10">[1]원본!#REF!</definedName>
    <definedName name="_DAT11" localSheetId="11">#REF!</definedName>
    <definedName name="_DAT11" localSheetId="3">#REF!</definedName>
    <definedName name="_DAT11">#REF!</definedName>
    <definedName name="_DAT12" localSheetId="11">[1]원본!#REF!</definedName>
    <definedName name="_DAT12" localSheetId="3">[1]원본!#REF!</definedName>
    <definedName name="_DAT12">[1]원본!#REF!</definedName>
    <definedName name="_DAT13" localSheetId="11">[1]원본!#REF!</definedName>
    <definedName name="_DAT13" localSheetId="3">[1]원본!#REF!</definedName>
    <definedName name="_DAT13">[1]원본!#REF!</definedName>
    <definedName name="_DAT14" localSheetId="11">[1]원본!#REF!</definedName>
    <definedName name="_DAT14" localSheetId="3">[1]원본!#REF!</definedName>
    <definedName name="_DAT14">[1]원본!#REF!</definedName>
    <definedName name="_DAT15" localSheetId="11">[1]원본!#REF!</definedName>
    <definedName name="_DAT15" localSheetId="3">[1]원본!#REF!</definedName>
    <definedName name="_DAT15">[1]원본!#REF!</definedName>
    <definedName name="_DAT16" localSheetId="11">[1]원본!#REF!</definedName>
    <definedName name="_DAT16" localSheetId="3">[1]원본!#REF!</definedName>
    <definedName name="_DAT16">[1]원본!#REF!</definedName>
    <definedName name="_DAT17" localSheetId="11">[1]원본!#REF!</definedName>
    <definedName name="_DAT17" localSheetId="3">[1]원본!#REF!</definedName>
    <definedName name="_DAT17">[1]원본!#REF!</definedName>
    <definedName name="_DAT18" localSheetId="11">[1]원본!#REF!</definedName>
    <definedName name="_DAT18" localSheetId="3">[1]원본!#REF!</definedName>
    <definedName name="_DAT18">[1]원본!#REF!</definedName>
    <definedName name="_DAT19" localSheetId="11">[1]원본!#REF!</definedName>
    <definedName name="_DAT19" localSheetId="3">[1]원본!#REF!</definedName>
    <definedName name="_DAT19">[1]원본!#REF!</definedName>
    <definedName name="_DAT2" localSheetId="11">[1]원본!#REF!</definedName>
    <definedName name="_DAT2" localSheetId="3">[1]원본!#REF!</definedName>
    <definedName name="_DAT2">[1]원본!#REF!</definedName>
    <definedName name="_DAT20" localSheetId="11">[1]원본!#REF!</definedName>
    <definedName name="_DAT20" localSheetId="3">[1]원본!#REF!</definedName>
    <definedName name="_DAT20">[1]원본!#REF!</definedName>
    <definedName name="_DAT21" localSheetId="11">#REF!</definedName>
    <definedName name="_DAT21" localSheetId="3">#REF!</definedName>
    <definedName name="_DAT21">#REF!</definedName>
    <definedName name="_DAT22" localSheetId="11">#REF!</definedName>
    <definedName name="_DAT22" localSheetId="3">#REF!</definedName>
    <definedName name="_DAT22">#REF!</definedName>
    <definedName name="_DAT23" localSheetId="11">#REF!</definedName>
    <definedName name="_DAT23" localSheetId="3">#REF!</definedName>
    <definedName name="_DAT23">#REF!</definedName>
    <definedName name="_DAT24" localSheetId="11">#REF!</definedName>
    <definedName name="_DAT24" localSheetId="3">#REF!</definedName>
    <definedName name="_DAT24">#REF!</definedName>
    <definedName name="_DAT25" localSheetId="11">#REF!</definedName>
    <definedName name="_DAT25" localSheetId="3">#REF!</definedName>
    <definedName name="_DAT25">#REF!</definedName>
    <definedName name="_DAT26" localSheetId="11">#REF!</definedName>
    <definedName name="_DAT26" localSheetId="3">#REF!</definedName>
    <definedName name="_DAT26">#REF!</definedName>
    <definedName name="_DAT27" localSheetId="11">#REF!</definedName>
    <definedName name="_DAT27" localSheetId="3">#REF!</definedName>
    <definedName name="_DAT27">#REF!</definedName>
    <definedName name="_DAT28" localSheetId="11">#REF!</definedName>
    <definedName name="_DAT28" localSheetId="3">#REF!</definedName>
    <definedName name="_DAT28">#REF!</definedName>
    <definedName name="_DAT3" localSheetId="11">[1]원본!#REF!</definedName>
    <definedName name="_DAT3" localSheetId="3">[1]원본!#REF!</definedName>
    <definedName name="_DAT3">[1]원본!#REF!</definedName>
    <definedName name="_DAT4" localSheetId="11">[1]원본!#REF!</definedName>
    <definedName name="_DAT4" localSheetId="3">[1]원본!#REF!</definedName>
    <definedName name="_DAT4">[1]원본!#REF!</definedName>
    <definedName name="_DAT5" localSheetId="11">#REF!</definedName>
    <definedName name="_DAT5" localSheetId="3">#REF!</definedName>
    <definedName name="_DAT5">#REF!</definedName>
    <definedName name="_DAT6" localSheetId="11">[1]원본!#REF!</definedName>
    <definedName name="_DAT6" localSheetId="3">[1]원본!#REF!</definedName>
    <definedName name="_DAT6">[1]원본!#REF!</definedName>
    <definedName name="_DAT7" localSheetId="11">[1]원본!#REF!</definedName>
    <definedName name="_DAT7" localSheetId="3">[1]원본!#REF!</definedName>
    <definedName name="_DAT7">[1]원본!#REF!</definedName>
    <definedName name="_DAT8" localSheetId="11">[1]원본!#REF!</definedName>
    <definedName name="_DAT8" localSheetId="3">[1]원본!#REF!</definedName>
    <definedName name="_DAT8">[1]원본!#REF!</definedName>
    <definedName name="_DAT9" localSheetId="11">[1]원본!#REF!</definedName>
    <definedName name="_DAT9" localSheetId="3">[1]원본!#REF!</definedName>
    <definedName name="_DAT9">[1]원본!#REF!</definedName>
    <definedName name="_Dist_Bin" hidden="1">#N/A</definedName>
    <definedName name="_FAB4" localSheetId="11" hidden="1">'[8]F4-F7'!#REF!</definedName>
    <definedName name="_FAB4" localSheetId="3" hidden="1">'[8]F4-F7'!#REF!</definedName>
    <definedName name="_FAB4" hidden="1">'[8]F4-F7'!#REF!</definedName>
    <definedName name="_Fill" hidden="1">#N/A</definedName>
    <definedName name="_xlnm._FilterDatabase" localSheetId="11" hidden="1">LOSS!$A$7:$Z$16</definedName>
    <definedName name="_xlnm._FilterDatabase" localSheetId="3" hidden="1">#REF!</definedName>
    <definedName name="_xlnm._FilterDatabase" hidden="1">#REF!</definedName>
    <definedName name="_k" localSheetId="11" hidden="1">[9]프랜트면허!#REF!</definedName>
    <definedName name="_k" localSheetId="3" hidden="1">[9]프랜트면허!#REF!</definedName>
    <definedName name="_k" hidden="1">[9]프랜트면허!#REF!</definedName>
    <definedName name="_Key1" localSheetId="11" hidden="1">#REF!</definedName>
    <definedName name="_Key1" localSheetId="3" hidden="1">#REF!</definedName>
    <definedName name="_Key1" hidden="1">#REF!</definedName>
    <definedName name="_Key2" hidden="1">#N/A</definedName>
    <definedName name="_LP1" localSheetId="11">#REF!</definedName>
    <definedName name="_LP1" localSheetId="3">#REF!</definedName>
    <definedName name="_LP1">#REF!</definedName>
    <definedName name="_LP2" localSheetId="11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11">#REF!</definedName>
    <definedName name="_p11" localSheetId="3">#REF!</definedName>
    <definedName name="_p11">#REF!</definedName>
    <definedName name="_p2" localSheetId="11">#REF!</definedName>
    <definedName name="_p2" localSheetId="3">#REF!</definedName>
    <definedName name="_p2">#REF!</definedName>
    <definedName name="_P7">'[7]118.세금과공과'!$A$46:$H$60</definedName>
    <definedName name="_Parse_In" localSheetId="11" hidden="1">[10]PriceSummary!#REF!</definedName>
    <definedName name="_Parse_In" localSheetId="3" hidden="1">[10]PriceSummary!#REF!</definedName>
    <definedName name="_Parse_In" hidden="1">[10]PriceSummary!#REF!</definedName>
    <definedName name="_Parse_Out" hidden="1">#N/A</definedName>
    <definedName name="_PH1" localSheetId="11">#REF!</definedName>
    <definedName name="_PH1" localSheetId="3">#REF!</definedName>
    <definedName name="_PH1">#REF!</definedName>
    <definedName name="_PP1" localSheetId="11">#REF!</definedName>
    <definedName name="_PP1" localSheetId="3">#REF!</definedName>
    <definedName name="_PP1">#REF!</definedName>
    <definedName name="_QQ123" localSheetId="11">#REF!</definedName>
    <definedName name="_QQ123" localSheetId="3">#REF!</definedName>
    <definedName name="_QQ123">#REF!</definedName>
    <definedName name="_Regression_Int" hidden="1">1</definedName>
    <definedName name="_Regression_Out" localSheetId="11" hidden="1">#REF!</definedName>
    <definedName name="_Regression_Out" localSheetId="3" hidden="1">#REF!</definedName>
    <definedName name="_Regression_Out" hidden="1">#REF!</definedName>
    <definedName name="_Regression_X" localSheetId="11" hidden="1">#REF!</definedName>
    <definedName name="_Regression_X" localSheetId="3" hidden="1">#REF!</definedName>
    <definedName name="_Regression_X" hidden="1">#REF!</definedName>
    <definedName name="_Regression_Y" localSheetId="11" hidden="1">#REF!</definedName>
    <definedName name="_Regression_Y" localSheetId="3" hidden="1">#REF!</definedName>
    <definedName name="_Regression_Y" hidden="1">#REF!</definedName>
    <definedName name="_s" localSheetId="11" hidden="1">[9]토목주소!#REF!</definedName>
    <definedName name="_s" localSheetId="3" hidden="1">[9]토목주소!#REF!</definedName>
    <definedName name="_s" hidden="1">[9]토목주소!#REF!</definedName>
    <definedName name="_Sort" localSheetId="11" hidden="1">#REF!</definedName>
    <definedName name="_Sort" localSheetId="3" hidden="1">#REF!</definedName>
    <definedName name="_Sort" hidden="1">#REF!</definedName>
    <definedName name="_ST1">#N/A</definedName>
    <definedName name="\0" localSheetId="11">#REF!</definedName>
    <definedName name="\0" localSheetId="3">#REF!</definedName>
    <definedName name="\0">#REF!</definedName>
    <definedName name="\a" localSheetId="11">#REF!</definedName>
    <definedName name="\a" localSheetId="3">#REF!</definedName>
    <definedName name="\a">#REF!</definedName>
    <definedName name="\b" localSheetId="11">#REF!</definedName>
    <definedName name="\b" localSheetId="3">#REF!</definedName>
    <definedName name="\b">#REF!</definedName>
    <definedName name="\C" localSheetId="11">#REF!</definedName>
    <definedName name="\C" localSheetId="3">#REF!</definedName>
    <definedName name="\C">#REF!</definedName>
    <definedName name="\e">#N/A</definedName>
    <definedName name="\F" localSheetId="11">#REF!</definedName>
    <definedName name="\F" localSheetId="3">#REF!</definedName>
    <definedName name="\F">#REF!</definedName>
    <definedName name="\g">#N/A</definedName>
    <definedName name="\H" localSheetId="11">#REF!</definedName>
    <definedName name="\H" localSheetId="3">#REF!</definedName>
    <definedName name="\H">#REF!</definedName>
    <definedName name="\j">#N/A</definedName>
    <definedName name="\k" localSheetId="11">#REF!</definedName>
    <definedName name="\k" localSheetId="3">#REF!</definedName>
    <definedName name="\k">#REF!</definedName>
    <definedName name="\l" localSheetId="11">#REF!</definedName>
    <definedName name="\l" localSheetId="3">#REF!</definedName>
    <definedName name="\l">#REF!</definedName>
    <definedName name="\m" localSheetId="11">[11]매출원가_회사제시!#REF!</definedName>
    <definedName name="\m" localSheetId="3">[11]매출원가_회사제시!#REF!</definedName>
    <definedName name="\m">[11]매출원가_회사제시!#REF!</definedName>
    <definedName name="\n" localSheetId="11">#REF!</definedName>
    <definedName name="\n" localSheetId="3">#REF!</definedName>
    <definedName name="\n">#REF!</definedName>
    <definedName name="\o" localSheetId="11">#REF!</definedName>
    <definedName name="\o" localSheetId="3">#REF!</definedName>
    <definedName name="\o">#REF!</definedName>
    <definedName name="\p">#N/A</definedName>
    <definedName name="\q" localSheetId="11">#REF!</definedName>
    <definedName name="\q" localSheetId="3">#REF!</definedName>
    <definedName name="\q">#REF!</definedName>
    <definedName name="\R" localSheetId="11">#REF!</definedName>
    <definedName name="\R" localSheetId="3">#REF!</definedName>
    <definedName name="\R">#REF!</definedName>
    <definedName name="\s">#N/A</definedName>
    <definedName name="\t" localSheetId="11">#REF!</definedName>
    <definedName name="\t" localSheetId="3">#REF!</definedName>
    <definedName name="\t">#REF!</definedName>
    <definedName name="\u">#N/A</definedName>
    <definedName name="\W" localSheetId="11">#REF!</definedName>
    <definedName name="\W" localSheetId="3">#REF!</definedName>
    <definedName name="\W">#REF!</definedName>
    <definedName name="\x" localSheetId="11">#REF!</definedName>
    <definedName name="\x" localSheetId="3">#REF!</definedName>
    <definedName name="\x">#REF!</definedName>
    <definedName name="\y">#N/A</definedName>
    <definedName name="\z" localSheetId="11">#REF!</definedName>
    <definedName name="\z" localSheetId="3">#REF!</definedName>
    <definedName name="\z">#REF!</definedName>
    <definedName name="\주수">#N/A</definedName>
    <definedName name="①" localSheetId="11">[12]현재!#REF!</definedName>
    <definedName name="①" localSheetId="3">[12]현재!#REF!</definedName>
    <definedName name="①">[12]현재!#REF!</definedName>
    <definedName name="Ⅱ" localSheetId="11" hidden="1">{#N/A,#N/A,FALSE,"정공"}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11">[0]!BlankMacro1</definedName>
    <definedName name="AA" localSheetId="3">[0]!BlankMacro1</definedName>
    <definedName name="AA">[0]!BlankMacro1</definedName>
    <definedName name="AAA" localSheetId="11">[0]!BlankMacro1</definedName>
    <definedName name="AAA" localSheetId="3">[0]!BlankMacro1</definedName>
    <definedName name="AAA">[0]!BlankMacro1</definedName>
    <definedName name="AAAAA" localSheetId="11">[0]!BlankMacro1</definedName>
    <definedName name="AAAAA" localSheetId="3">[0]!BlankMacro1</definedName>
    <definedName name="AAAAA">[0]!BlankMacro1</definedName>
    <definedName name="AAAAAAAA" localSheetId="11">[0]!BlankMacro1</definedName>
    <definedName name="AAAAAAAA" localSheetId="3">[0]!BlankMacro1</definedName>
    <definedName name="AAAAAAAA">[0]!BlankMacro1</definedName>
    <definedName name="AAAAS" localSheetId="11" hidden="1">{#N/A,#N/A,FALSE,"정공"}</definedName>
    <definedName name="AAAAS" localSheetId="3" hidden="1">{#N/A,#N/A,FALSE,"정공"}</definedName>
    <definedName name="AAAAS" hidden="1">{#N/A,#N/A,FALSE,"정공"}</definedName>
    <definedName name="AAAWERT" localSheetId="11">[0]!BlankMacro1</definedName>
    <definedName name="AAAWERT" localSheetId="3">[0]!BlankMacro1</definedName>
    <definedName name="AAAWERT">[0]!BlankMacro1</definedName>
    <definedName name="abc" localSheetId="11">[0]!BlankMacro1</definedName>
    <definedName name="abc" localSheetId="3">[0]!BlankMacro1</definedName>
    <definedName name="abc">[0]!BlankMacro1</definedName>
    <definedName name="ABCDEF" localSheetId="11" hidden="1">{#N/A,#N/A,FALSE,"정공"}</definedName>
    <definedName name="ABCDEF" localSheetId="3" hidden="1">{#N/A,#N/A,FALSE,"정공"}</definedName>
    <definedName name="ABCDEF" hidden="1">{#N/A,#N/A,FALSE,"정공"}</definedName>
    <definedName name="ABCD관리" localSheetId="11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 localSheetId="11">#REF!</definedName>
    <definedName name="acct_deal" localSheetId="3">#REF!</definedName>
    <definedName name="acct_deal">#REF!</definedName>
    <definedName name="acct_reg" localSheetId="11">#REF!</definedName>
    <definedName name="acct_reg" localSheetId="3">#REF!</definedName>
    <definedName name="acct_reg">#REF!</definedName>
    <definedName name="ACDA" hidden="1">#N/A</definedName>
    <definedName name="Acount">[14]Configuration!$M$3</definedName>
    <definedName name="ACPERD" localSheetId="11">[14]Configuration!#REF!</definedName>
    <definedName name="ACPERD" localSheetId="3">[14]Configuration!#REF!</definedName>
    <definedName name="ACPERD">[14]Configuration!#REF!</definedName>
    <definedName name="ADC" hidden="1">#N/A</definedName>
    <definedName name="adv" localSheetId="11">#REF!</definedName>
    <definedName name="adv" localSheetId="3">#REF!</definedName>
    <definedName name="adv">#REF!</definedName>
    <definedName name="adv_board" localSheetId="11">#REF!</definedName>
    <definedName name="adv_board" localSheetId="3">#REF!</definedName>
    <definedName name="adv_board">#REF!</definedName>
    <definedName name="all" localSheetId="11">#REF!</definedName>
    <definedName name="all" localSheetId="3">#REF!</definedName>
    <definedName name="all">#REF!</definedName>
    <definedName name="AOCNFTHSDLR" localSheetId="11" hidden="1">{#N/A,#N/A,FALSE,"정공"}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11">[0]!BlankMacro1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11" hidden="1">{#N/A,#N/A,FALSE,"정공"}</definedName>
    <definedName name="asdf" localSheetId="3" hidden="1">{#N/A,#N/A,FALSE,"정공"}</definedName>
    <definedName name="asdf" hidden="1">{#N/A,#N/A,FALSE,"정공"}</definedName>
    <definedName name="asdfg" localSheetId="11">[0]!BlankMacro1</definedName>
    <definedName name="asdfg" localSheetId="3">[0]!BlankMacro1</definedName>
    <definedName name="asdfg">[0]!BlankMacro1</definedName>
    <definedName name="ass" hidden="1">#N/A</definedName>
    <definedName name="aut" localSheetId="11">#REF!</definedName>
    <definedName name="aut" localSheetId="3">#REF!</definedName>
    <definedName name="aut">#REF!</definedName>
    <definedName name="AV" localSheetId="11">#REF!</definedName>
    <definedName name="AV" localSheetId="3">#REF!</definedName>
    <definedName name="AV">#REF!</definedName>
    <definedName name="Avg.__calls_per_user" localSheetId="11">[15]Assumptions!#REF!</definedName>
    <definedName name="Avg.__calls_per_user" localSheetId="3">[15]Assumptions!#REF!</definedName>
    <definedName name="Avg.__calls_per_user">[15]Assumptions!#REF!</definedName>
    <definedName name="AWLBSRTDK" localSheetId="11">#REF!</definedName>
    <definedName name="AWLBSRTDK" localSheetId="3">#REF!</definedName>
    <definedName name="AWLBSRTDK">#REF!</definedName>
    <definedName name="axcdf" localSheetId="11" hidden="1">{#N/A,#N/A,FALSE,"정공"}</definedName>
    <definedName name="axcdf" localSheetId="3" hidden="1">{#N/A,#N/A,FALSE,"정공"}</definedName>
    <definedName name="axcdf" hidden="1">{#N/A,#N/A,FALSE,"정공"}</definedName>
    <definedName name="Aㅁ1505" localSheetId="11">#REF!</definedName>
    <definedName name="Aㅁ1505" localSheetId="3">#REF!</definedName>
    <definedName name="Aㅁ1505">#REF!</definedName>
    <definedName name="B" localSheetId="11">[16]BM_NEW2!#REF!</definedName>
    <definedName name="B" localSheetId="3">[16]BM_NEW2!#REF!</definedName>
    <definedName name="B">[16]BM_NEW2!#REF!</definedName>
    <definedName name="BALWOL">[14]DATA!$BF$1:$BF$970</definedName>
    <definedName name="BASE" localSheetId="11">#REF!</definedName>
    <definedName name="BASE" localSheetId="3">#REF!</definedName>
    <definedName name="BASE">#REF!</definedName>
    <definedName name="BASE_열" localSheetId="11">#REF!</definedName>
    <definedName name="BASE_열" localSheetId="3">#REF!</definedName>
    <definedName name="BASE_열">#REF!</definedName>
    <definedName name="bb" localSheetId="11">[0]!BlankMacro1</definedName>
    <definedName name="bb" localSheetId="3">[0]!BlankMacro1</definedName>
    <definedName name="bb">[0]!BlankMacro1</definedName>
    <definedName name="bbb" localSheetId="11">[0]!BlankMacro1</definedName>
    <definedName name="bbb" localSheetId="3">[0]!BlankMacro1</definedName>
    <definedName name="bbb">[0]!BlankMacro1</definedName>
    <definedName name="Bcount">[14]Configuration!$M$4</definedName>
    <definedName name="bcrclcl100rt" localSheetId="11">'[17]9-1차이내역'!#REF!</definedName>
    <definedName name="bcrclcl100rt" localSheetId="3">'[17]9-1차이내역'!#REF!</definedName>
    <definedName name="bcrclcl100rt">'[17]9-1차이내역'!#REF!</definedName>
    <definedName name="bcrclcl100rtrkrk" localSheetId="11">'[17]9-1차이내역'!#REF!</definedName>
    <definedName name="bcrclcl100rtrkrk" localSheetId="3">'[17]9-1차이내역'!#REF!</definedName>
    <definedName name="bcrclcl100rtrkrk">'[17]9-1차이내역'!#REF!</definedName>
    <definedName name="benef_tot" localSheetId="11">#REF!</definedName>
    <definedName name="benef_tot" localSheetId="3">#REF!</definedName>
    <definedName name="benef_tot">#REF!</definedName>
    <definedName name="Benefit_sub" localSheetId="11">#REF!</definedName>
    <definedName name="Benefit_sub" localSheetId="3">#REF!</definedName>
    <definedName name="Benefit_sub">#REF!</definedName>
    <definedName name="beta" localSheetId="11">#REF!</definedName>
    <definedName name="beta" localSheetId="3">#REF!</definedName>
    <definedName name="beta">#REF!</definedName>
    <definedName name="betas" localSheetId="11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11">#REF!</definedName>
    <definedName name="BMI_CARD68926." localSheetId="3">#REF!</definedName>
    <definedName name="BMI_CARD68926.">#REF!</definedName>
    <definedName name="BS차이내역" localSheetId="11" hidden="1">{#N/A,#N/A,FALSE,"정공"}</definedName>
    <definedName name="BS차이내역" localSheetId="3" hidden="1">{#N/A,#N/A,FALSE,"정공"}</definedName>
    <definedName name="BS차이내역" hidden="1">{#N/A,#N/A,FALSE,"정공"}</definedName>
    <definedName name="C_D" localSheetId="11">#REF!</definedName>
    <definedName name="C_D" localSheetId="3">#REF!</definedName>
    <definedName name="C_D">#REF!</definedName>
    <definedName name="C_S" localSheetId="11">#REF!</definedName>
    <definedName name="C_S" localSheetId="3">#REF!</definedName>
    <definedName name="C_S">#REF!</definedName>
    <definedName name="C_SECL" localSheetId="11">#REF!</definedName>
    <definedName name="C_SECL" localSheetId="3">#REF!</definedName>
    <definedName name="C_SECL">#REF!</definedName>
    <definedName name="Calls_per_Month__Actuals" localSheetId="11">[15]Assumptions!#REF!</definedName>
    <definedName name="Calls_per_Month__Actuals" localSheetId="3">[15]Assumptions!#REF!</definedName>
    <definedName name="Calls_per_Month__Actuals">[15]Assumptions!#REF!</definedName>
    <definedName name="Calls_per_Month__estimated" localSheetId="11">[15]Assumptions!#REF!</definedName>
    <definedName name="Calls_per_Month__estimated" localSheetId="3">[15]Assumptions!#REF!</definedName>
    <definedName name="Calls_per_Month__estimated">[15]Assumptions!#REF!</definedName>
    <definedName name="CC" localSheetId="11">#REF!</definedName>
    <definedName name="CC" localSheetId="3">#REF!</definedName>
    <definedName name="CC">#REF!</definedName>
    <definedName name="ccc" localSheetId="11" hidden="1">{#N/A,#N/A,FALSE,"정공"}</definedName>
    <definedName name="ccc" localSheetId="3" hidden="1">{#N/A,#N/A,FALSE,"정공"}</definedName>
    <definedName name="ccc" hidden="1">{#N/A,#N/A,FALSE,"정공"}</definedName>
    <definedName name="CCCC" localSheetId="11">[0]!BlankMacro1</definedName>
    <definedName name="CCCC" localSheetId="3">[0]!BlankMacro1</definedName>
    <definedName name="CCCC">[0]!BlankMacro1</definedName>
    <definedName name="CD" localSheetId="11">#REF!</definedName>
    <definedName name="CD" localSheetId="3">#REF!</definedName>
    <definedName name="CD">#REF!</definedName>
    <definedName name="Cday">[14]Configuration!$K$2</definedName>
    <definedName name="CHDDOR" localSheetId="11">#REF!</definedName>
    <definedName name="CHDDOR" localSheetId="3">#REF!</definedName>
    <definedName name="CHDDOR">#REF!</definedName>
    <definedName name="CHK" localSheetId="11">[14]JournalSummary!#REF!</definedName>
    <definedName name="CHK" localSheetId="3">[14]JournalSummary!#REF!</definedName>
    <definedName name="CHK">[14]JournalSummary!#REF!</definedName>
    <definedName name="cho" localSheetId="11">[0]!BlankMacro1</definedName>
    <definedName name="cho" localSheetId="3">[0]!BlankMacro1</definedName>
    <definedName name="cho">[0]!BlankMacro1</definedName>
    <definedName name="Churn_Rate_of_New_Users" localSheetId="11">[15]Assumptions!#REF!</definedName>
    <definedName name="Churn_Rate_of_New_Users" localSheetId="3">[15]Assumptions!#REF!</definedName>
    <definedName name="Churn_Rate_of_New_Users">[15]Assumptions!#REF!</definedName>
    <definedName name="CKFKFL" localSheetId="11">[0]!BlankMacro1</definedName>
    <definedName name="CKFKFL" localSheetId="3">[0]!BlankMacro1</definedName>
    <definedName name="CKFKFL">[0]!BlankMacro1</definedName>
    <definedName name="Client" localSheetId="11">#REF!</definedName>
    <definedName name="Client" localSheetId="3">#REF!</definedName>
    <definedName name="Client">#REF!</definedName>
    <definedName name="CLIENT_NAME" localSheetId="11">#REF!</definedName>
    <definedName name="CLIENT_NAME" localSheetId="3">#REF!</definedName>
    <definedName name="CLIENT_NAME">#REF!</definedName>
    <definedName name="CM" localSheetId="11">#REF!</definedName>
    <definedName name="CM" localSheetId="3">#REF!</definedName>
    <definedName name="CM">#REF!</definedName>
    <definedName name="CMO">[18]F9804!$A$3:$K$6641</definedName>
    <definedName name="Cmonth">[14]Configuration!$I$2</definedName>
    <definedName name="COA_10" localSheetId="11">#REF!</definedName>
    <definedName name="COA_10" localSheetId="3">#REF!</definedName>
    <definedName name="COA_10">#REF!</definedName>
    <definedName name="COA_11" localSheetId="11">#REF!</definedName>
    <definedName name="COA_11" localSheetId="3">#REF!</definedName>
    <definedName name="COA_11">#REF!</definedName>
    <definedName name="COA_12" localSheetId="11">#REF!</definedName>
    <definedName name="COA_12" localSheetId="3">#REF!</definedName>
    <definedName name="COA_12">#REF!</definedName>
    <definedName name="COA_13" localSheetId="11">#REF!</definedName>
    <definedName name="COA_13" localSheetId="3">#REF!</definedName>
    <definedName name="COA_13">#REF!</definedName>
    <definedName name="COA_14" localSheetId="11">#REF!</definedName>
    <definedName name="COA_14" localSheetId="3">#REF!</definedName>
    <definedName name="COA_14">#REF!</definedName>
    <definedName name="COA_15" localSheetId="11">#REF!</definedName>
    <definedName name="COA_15" localSheetId="3">#REF!</definedName>
    <definedName name="COA_15">#REF!</definedName>
    <definedName name="COA_16" localSheetId="11">#REF!</definedName>
    <definedName name="COA_16" localSheetId="3">#REF!</definedName>
    <definedName name="COA_16">#REF!</definedName>
    <definedName name="COA_17" localSheetId="11">#REF!</definedName>
    <definedName name="COA_17" localSheetId="3">#REF!</definedName>
    <definedName name="COA_17">#REF!</definedName>
    <definedName name="COA_18" localSheetId="11">#REF!</definedName>
    <definedName name="COA_18" localSheetId="3">#REF!</definedName>
    <definedName name="COA_18">#REF!</definedName>
    <definedName name="COA_19" localSheetId="11">#REF!</definedName>
    <definedName name="COA_19" localSheetId="3">#REF!</definedName>
    <definedName name="COA_19">#REF!</definedName>
    <definedName name="COA_20" localSheetId="11">#REF!</definedName>
    <definedName name="COA_20" localSheetId="3">#REF!</definedName>
    <definedName name="COA_20">#REF!</definedName>
    <definedName name="COA_30" localSheetId="11">#REF!</definedName>
    <definedName name="COA_30" localSheetId="3">#REF!</definedName>
    <definedName name="COA_30">#REF!</definedName>
    <definedName name="COA_40" localSheetId="11">#REF!</definedName>
    <definedName name="COA_40" localSheetId="3">#REF!</definedName>
    <definedName name="COA_40">#REF!</definedName>
    <definedName name="COA_51" localSheetId="11">#REF!</definedName>
    <definedName name="COA_51" localSheetId="3">#REF!</definedName>
    <definedName name="COA_51">#REF!</definedName>
    <definedName name="COA_52" localSheetId="11">#REF!</definedName>
    <definedName name="COA_52" localSheetId="3">#REF!</definedName>
    <definedName name="COA_52">#REF!</definedName>
    <definedName name="COA_53" localSheetId="11">#REF!</definedName>
    <definedName name="COA_53" localSheetId="3">#REF!</definedName>
    <definedName name="COA_53">#REF!</definedName>
    <definedName name="COA_54" localSheetId="11">#REF!</definedName>
    <definedName name="COA_54" localSheetId="3">#REF!</definedName>
    <definedName name="COA_54">#REF!</definedName>
    <definedName name="COA_55" localSheetId="11">#REF!</definedName>
    <definedName name="COA_55" localSheetId="3">#REF!</definedName>
    <definedName name="COA_55">#REF!</definedName>
    <definedName name="COA_60" localSheetId="11">#REF!</definedName>
    <definedName name="COA_60" localSheetId="3">#REF!</definedName>
    <definedName name="COA_60">#REF!</definedName>
    <definedName name="COA_70" localSheetId="11">#REF!</definedName>
    <definedName name="COA_70" localSheetId="3">#REF!</definedName>
    <definedName name="COA_70">#REF!</definedName>
    <definedName name="COA_80" localSheetId="11">#REF!</definedName>
    <definedName name="COA_80" localSheetId="3">#REF!</definedName>
    <definedName name="COA_80">#REF!</definedName>
    <definedName name="COA_90" localSheetId="11">#REF!</definedName>
    <definedName name="COA_90" localSheetId="3">#REF!</definedName>
    <definedName name="COA_90">#REF!</definedName>
    <definedName name="COA50A" localSheetId="11">#REF!</definedName>
    <definedName name="COA50A" localSheetId="3">#REF!</definedName>
    <definedName name="COA50A">#REF!</definedName>
    <definedName name="COA50B" localSheetId="11">#REF!</definedName>
    <definedName name="COA50B" localSheetId="3">#REF!</definedName>
    <definedName name="COA50B">#REF!</definedName>
    <definedName name="COMPANY">#N/A</definedName>
    <definedName name="con" localSheetId="11">#REF!</definedName>
    <definedName name="con" localSheetId="3">#REF!</definedName>
    <definedName name="con">#REF!</definedName>
    <definedName name="CONC">#N/A</definedName>
    <definedName name="COND_D" localSheetId="11">#REF!</definedName>
    <definedName name="COND_D" localSheetId="3">#REF!</definedName>
    <definedName name="COND_D">#REF!</definedName>
    <definedName name="conf" localSheetId="11">#REF!</definedName>
    <definedName name="conf" localSheetId="3">#REF!</definedName>
    <definedName name="conf">#REF!</definedName>
    <definedName name="CONSUM" localSheetId="11">#REF!</definedName>
    <definedName name="CONSUM" localSheetId="3">#REF!</definedName>
    <definedName name="CONSUM">#REF!</definedName>
    <definedName name="Cont_sub" localSheetId="11">#REF!</definedName>
    <definedName name="Cont_sub" localSheetId="3">#REF!</definedName>
    <definedName name="Cont_sub">#REF!</definedName>
    <definedName name="cont_tot" localSheetId="11">#REF!</definedName>
    <definedName name="cont_tot" localSheetId="3">#REF!</definedName>
    <definedName name="cont_tot">#REF!</definedName>
    <definedName name="Contractor" localSheetId="11">#REF!</definedName>
    <definedName name="Contractor" localSheetId="3">#REF!</definedName>
    <definedName name="Contractor">#REF!</definedName>
    <definedName name="CR">[14]DATA!$AP$1:$AP$950</definedName>
    <definedName name="CREDIT_MEMOS" localSheetId="11">#REF!</definedName>
    <definedName name="CREDIT_MEMOS" localSheetId="3">#REF!</definedName>
    <definedName name="CREDIT_MEMOS">#REF!</definedName>
    <definedName name="_xlnm.Criteria" localSheetId="11">#REF!</definedName>
    <definedName name="_xlnm.Criteria" localSheetId="3">#REF!</definedName>
    <definedName name="_xlnm.Criteria">#REF!</definedName>
    <definedName name="Currency" localSheetId="11">#REF!</definedName>
    <definedName name="Currency" localSheetId="3">#REF!</definedName>
    <definedName name="Currency">#REF!</definedName>
    <definedName name="CV_1" localSheetId="11">#REF!</definedName>
    <definedName name="CV_1" localSheetId="3">#REF!</definedName>
    <definedName name="CV_1">#REF!</definedName>
    <definedName name="CV_11" localSheetId="11">#REF!</definedName>
    <definedName name="CV_11" localSheetId="3">#REF!</definedName>
    <definedName name="CV_11">#REF!</definedName>
    <definedName name="CV_12" localSheetId="11">#REF!</definedName>
    <definedName name="CV_12" localSheetId="3">#REF!</definedName>
    <definedName name="CV_12">#REF!</definedName>
    <definedName name="CV_13" localSheetId="11">#REF!</definedName>
    <definedName name="CV_13" localSheetId="3">#REF!</definedName>
    <definedName name="CV_13">#REF!</definedName>
    <definedName name="CV_14" localSheetId="11">#REF!</definedName>
    <definedName name="CV_14" localSheetId="3">#REF!</definedName>
    <definedName name="CV_14">#REF!</definedName>
    <definedName name="CV_15" localSheetId="11">#REF!</definedName>
    <definedName name="CV_15" localSheetId="3">#REF!</definedName>
    <definedName name="CV_15">#REF!</definedName>
    <definedName name="CV_16" localSheetId="11">#REF!</definedName>
    <definedName name="CV_16" localSheetId="3">#REF!</definedName>
    <definedName name="CV_16">#REF!</definedName>
    <definedName name="CV_17" localSheetId="11">#REF!</definedName>
    <definedName name="CV_17" localSheetId="3">#REF!</definedName>
    <definedName name="CV_17">#REF!</definedName>
    <definedName name="CV_18" localSheetId="11">#REF!</definedName>
    <definedName name="CV_18" localSheetId="3">#REF!</definedName>
    <definedName name="CV_18">#REF!</definedName>
    <definedName name="CV_19" localSheetId="11">#REF!</definedName>
    <definedName name="CV_19" localSheetId="3">#REF!</definedName>
    <definedName name="CV_19">#REF!</definedName>
    <definedName name="CV_20" localSheetId="11">#REF!</definedName>
    <definedName name="CV_20" localSheetId="3">#REF!</definedName>
    <definedName name="CV_20">#REF!</definedName>
    <definedName name="CV_30" localSheetId="11">#REF!</definedName>
    <definedName name="CV_30" localSheetId="3">#REF!</definedName>
    <definedName name="CV_30">#REF!</definedName>
    <definedName name="CV_40" localSheetId="11">#REF!</definedName>
    <definedName name="CV_40" localSheetId="3">#REF!</definedName>
    <definedName name="CV_40">#REF!</definedName>
    <definedName name="CV_50" localSheetId="11">#REF!</definedName>
    <definedName name="CV_50" localSheetId="3">#REF!</definedName>
    <definedName name="CV_50">#REF!</definedName>
    <definedName name="CV_60" localSheetId="11">#REF!</definedName>
    <definedName name="CV_60" localSheetId="3">#REF!</definedName>
    <definedName name="CV_60">#REF!</definedName>
    <definedName name="CV_70" localSheetId="11">#REF!</definedName>
    <definedName name="CV_70" localSheetId="3">#REF!</definedName>
    <definedName name="CV_70">#REF!</definedName>
    <definedName name="CV_80" localSheetId="11">#REF!</definedName>
    <definedName name="CV_80" localSheetId="3">#REF!</definedName>
    <definedName name="CV_80">#REF!</definedName>
    <definedName name="Cyear">[14]Configuration!$H$2</definedName>
    <definedName name="d">[19]뒤차축소!$G$380:$S$381</definedName>
    <definedName name="DANGA" localSheetId="11">#REF!,#REF!</definedName>
    <definedName name="DANGA" localSheetId="3">#REF!,#REF!</definedName>
    <definedName name="DANGA">#REF!,#REF!</definedName>
    <definedName name="datab">[20]고정자산원본!$A$1:$S$236</definedName>
    <definedName name="DATABAS" localSheetId="11">#REF!</definedName>
    <definedName name="DATABAS" localSheetId="3">#REF!</definedName>
    <definedName name="DATABAS">#REF!</definedName>
    <definedName name="_xlnm.Database" localSheetId="11">#REF!</definedName>
    <definedName name="_xlnm.Database" localSheetId="3">#REF!</definedName>
    <definedName name="_xlnm.Database">#REF!</definedName>
    <definedName name="Database_MI" localSheetId="11">#REF!</definedName>
    <definedName name="Database_MI" localSheetId="3">#REF!</definedName>
    <definedName name="Database_MI">#REF!</definedName>
    <definedName name="database2" localSheetId="11">#REF!</definedName>
    <definedName name="database2" localSheetId="3">#REF!</definedName>
    <definedName name="database2">#REF!</definedName>
    <definedName name="Date_Bidding" localSheetId="11">#REF!</definedName>
    <definedName name="Date_Bidding" localSheetId="3">#REF!</definedName>
    <definedName name="Date_Bidding">#REF!</definedName>
    <definedName name="DAY">#N/A</definedName>
    <definedName name="dbsal" localSheetId="11">#REF!</definedName>
    <definedName name="dbsal" localSheetId="3">#REF!</definedName>
    <definedName name="dbsal">#REF!</definedName>
    <definedName name="DD" localSheetId="11">#REF!</definedName>
    <definedName name="DD" localSheetId="3">#REF!</definedName>
    <definedName name="DD">#REF!</definedName>
    <definedName name="ddd" localSheetId="11">#REF!</definedName>
    <definedName name="ddd" localSheetId="3">#REF!</definedName>
    <definedName name="ddd">#REF!</definedName>
    <definedName name="DDDD" localSheetId="11">[0]!BlankMacro1</definedName>
    <definedName name="DDDD" localSheetId="3">[0]!BlankMacro1</definedName>
    <definedName name="DDDD">[0]!BlankMacro1</definedName>
    <definedName name="DDDDFGH" localSheetId="11">[0]!BlankMacro1</definedName>
    <definedName name="DDDDFGH" localSheetId="3">[0]!BlankMacro1</definedName>
    <definedName name="DDDDFGH">[0]!BlankMacro1</definedName>
    <definedName name="dddfg" localSheetId="11" hidden="1">{#N/A,#N/A,FALSE,"정공"}</definedName>
    <definedName name="dddfg" localSheetId="3" hidden="1">{#N/A,#N/A,FALSE,"정공"}</definedName>
    <definedName name="dddfg" hidden="1">{#N/A,#N/A,FALSE,"정공"}</definedName>
    <definedName name="dek" localSheetId="11">#REF!</definedName>
    <definedName name="dek" localSheetId="3">#REF!</definedName>
    <definedName name="dek">#REF!</definedName>
    <definedName name="dfdfdfd" localSheetId="11">[0]!BlankMacro1</definedName>
    <definedName name="dfdfdfd" localSheetId="3">[0]!BlankMacro1</definedName>
    <definedName name="dfdfdfd">[0]!BlankMacro1</definedName>
    <definedName name="DJHD" localSheetId="11">BlankMacro1</definedName>
    <definedName name="DJHD" localSheetId="3">BlankMacro1</definedName>
    <definedName name="DJHD">BlankMacro1</definedName>
    <definedName name="DJQAN" localSheetId="11">[0]!BlankMacro1</definedName>
    <definedName name="DJQAN" localSheetId="3">[0]!BlankMacro1</definedName>
    <definedName name="DJQAN">[0]!BlankMacro1</definedName>
    <definedName name="DR">[14]DATA!$AA$1:$AA$950</definedName>
    <definedName name="drsg" localSheetId="11">#REF!</definedName>
    <definedName name="drsg" localSheetId="3">#REF!</definedName>
    <definedName name="drsg">#REF!</definedName>
    <definedName name="DWGL_AREA" localSheetId="11">#REF!</definedName>
    <definedName name="DWGL_AREA" localSheetId="3">#REF!</definedName>
    <definedName name="DWGL_AREA">#REF!</definedName>
    <definedName name="E" localSheetId="11">#REF!</definedName>
    <definedName name="E" localSheetId="3">#REF!</definedName>
    <definedName name="E">#REF!</definedName>
    <definedName name="E5625RTDK" localSheetId="11">#REF!</definedName>
    <definedName name="E5625RTDK" localSheetId="3">#REF!</definedName>
    <definedName name="E5625RTDK">#REF!</definedName>
    <definedName name="edgh" localSheetId="11">#REF!</definedName>
    <definedName name="edgh" localSheetId="3">#REF!</definedName>
    <definedName name="edgh">#REF!</definedName>
    <definedName name="edtgh" localSheetId="11">#REF!</definedName>
    <definedName name="edtgh" localSheetId="3">#REF!</definedName>
    <definedName name="edtgh">#REF!</definedName>
    <definedName name="EEEEEE" localSheetId="11">[0]!BlankMacro1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11">'[21]118.세금과공과'!#REF!</definedName>
    <definedName name="EOCK" localSheetId="3">'[21]118.세금과공과'!#REF!</definedName>
    <definedName name="EOCK">'[21]118.세금과공과'!#REF!</definedName>
    <definedName name="EQPT_Rate" localSheetId="11">#REF!</definedName>
    <definedName name="EQPT_Rate" localSheetId="3">#REF!</definedName>
    <definedName name="EQPT_Rate">#REF!</definedName>
    <definedName name="er" localSheetId="11">#REF!</definedName>
    <definedName name="er" localSheetId="3">#REF!</definedName>
    <definedName name="er">#REF!</definedName>
    <definedName name="Exchange_Rate" localSheetId="11">#REF!</definedName>
    <definedName name="Exchange_Rate" localSheetId="3">#REF!</definedName>
    <definedName name="Exchange_Rate">#REF!</definedName>
    <definedName name="EXE">#N/A</definedName>
    <definedName name="exp_assoc" localSheetId="11">#REF!</definedName>
    <definedName name="exp_assoc" localSheetId="3">#REF!</definedName>
    <definedName name="exp_assoc">#REF!</definedName>
    <definedName name="exp_partn" localSheetId="11">#REF!</definedName>
    <definedName name="exp_partn" localSheetId="3">#REF!</definedName>
    <definedName name="exp_partn">#REF!</definedName>
    <definedName name="exp_princ" localSheetId="11">#REF!</definedName>
    <definedName name="exp_princ" localSheetId="3">#REF!</definedName>
    <definedName name="exp_princ">#REF!</definedName>
    <definedName name="Exp_sub" localSheetId="11">#REF!</definedName>
    <definedName name="Exp_sub" localSheetId="3">#REF!</definedName>
    <definedName name="Exp_sub">#REF!</definedName>
    <definedName name="exp_tot" localSheetId="11">#REF!</definedName>
    <definedName name="exp_tot" localSheetId="3">#REF!</definedName>
    <definedName name="exp_tot">#REF!</definedName>
    <definedName name="EXPAC" localSheetId="11">[14]WorkFile!#REF!</definedName>
    <definedName name="EXPAC" localSheetId="3">[14]WorkFile!#REF!</definedName>
    <definedName name="EXPAC">[14]WorkFile!#REF!</definedName>
    <definedName name="_xlnm.Extract" localSheetId="11">#REF!</definedName>
    <definedName name="_xlnm.Extract" localSheetId="3">#REF!</definedName>
    <definedName name="_xlnm.Extract">#REF!</definedName>
    <definedName name="Extract_MI" localSheetId="11">#REF!</definedName>
    <definedName name="Extract_MI" localSheetId="3">#REF!</definedName>
    <definedName name="Extract_MI">#REF!</definedName>
    <definedName name="f" localSheetId="11">#REF!</definedName>
    <definedName name="f" localSheetId="3">#REF!</definedName>
    <definedName name="f">#REF!</definedName>
    <definedName name="F5TF" localSheetId="11" hidden="1">[2]FAB별!#REF!</definedName>
    <definedName name="F5TF" localSheetId="3" hidden="1">[2]FAB별!#REF!</definedName>
    <definedName name="F5TF" hidden="1">[2]FAB별!#REF!</definedName>
    <definedName name="fdgz" localSheetId="11">#REF!</definedName>
    <definedName name="fdgz" localSheetId="3">#REF!</definedName>
    <definedName name="fdgz">#REF!</definedName>
    <definedName name="FEEL" localSheetId="11">#REF!</definedName>
    <definedName name="FEEL" localSheetId="3">#REF!</definedName>
    <definedName name="FEEL">#REF!</definedName>
    <definedName name="ff" localSheetId="11">#REF!</definedName>
    <definedName name="ff" localSheetId="3">#REF!</definedName>
    <definedName name="ff">#REF!</definedName>
    <definedName name="fff" localSheetId="11">[0]!BlankMacro1</definedName>
    <definedName name="fff" localSheetId="3">[0]!BlankMacro1</definedName>
    <definedName name="fff">[0]!BlankMacro1</definedName>
    <definedName name="FFFFFWRRQW" localSheetId="11">#REF!</definedName>
    <definedName name="FFFFFWRRQW" localSheetId="3">#REF!</definedName>
    <definedName name="FFFFFWRRQW">#REF!</definedName>
    <definedName name="FG22TBTB3RTDKDKDK" localSheetId="11">[22]차수!#REF!</definedName>
    <definedName name="FG22TBTB3RTDKDKDK" localSheetId="3">[22]차수!#REF!</definedName>
    <definedName name="FG22TBTB3RTDKDKDK">[22]차수!#REF!</definedName>
    <definedName name="FG46TBTB4RTDKDK" localSheetId="11">#REF!</definedName>
    <definedName name="FG46TBTB4RTDKDK" localSheetId="3">#REF!</definedName>
    <definedName name="FG46TBTB4RTDKDK">#REF!</definedName>
    <definedName name="fgfgggg" localSheetId="11">[0]!BlankMacro1</definedName>
    <definedName name="fgfgggg" localSheetId="3">[0]!BlankMacro1</definedName>
    <definedName name="fgfgggg">[0]!BlankMacro1</definedName>
    <definedName name="FOR">#N/A</definedName>
    <definedName name="fy" localSheetId="11">#REF!</definedName>
    <definedName name="fy" localSheetId="3">#REF!</definedName>
    <definedName name="fy">#REF!</definedName>
    <definedName name="g" localSheetId="11">[0]!BlankMacro1</definedName>
    <definedName name="g" localSheetId="3">[0]!BlankMacro1</definedName>
    <definedName name="g">[0]!BlankMacro1</definedName>
    <definedName name="gbe" localSheetId="11">[0]!BlankMacro1</definedName>
    <definedName name="gbe" localSheetId="3">[0]!BlankMacro1</definedName>
    <definedName name="gbe">[0]!BlankMacro1</definedName>
    <definedName name="GCONS" localSheetId="11">#REF!</definedName>
    <definedName name="GCONS" localSheetId="3">#REF!</definedName>
    <definedName name="GCONS">#REF!</definedName>
    <definedName name="GEMCO" localSheetId="11" hidden="1">#REF!</definedName>
    <definedName name="GEMCO" localSheetId="3" hidden="1">#REF!</definedName>
    <definedName name="GEMCO" hidden="1">#REF!</definedName>
    <definedName name="GG" localSheetId="11">#REF!</definedName>
    <definedName name="GG" localSheetId="3">#REF!</definedName>
    <definedName name="GG">#REF!</definedName>
    <definedName name="GONGJONG" localSheetId="11">#REF!</definedName>
    <definedName name="GONGJONG" localSheetId="3">#REF!</definedName>
    <definedName name="GONGJONG">#REF!</definedName>
    <definedName name="GRDS" localSheetId="11">#REF!</definedName>
    <definedName name="GRDS" localSheetId="3">#REF!</definedName>
    <definedName name="GRDS">#REF!</definedName>
    <definedName name="greg" localSheetId="11">[0]!BlankMacro1</definedName>
    <definedName name="greg" localSheetId="3">[0]!BlankMacro1</definedName>
    <definedName name="greg">[0]!BlankMacro1</definedName>
    <definedName name="grg" localSheetId="11">[0]!BlankMacro1</definedName>
    <definedName name="grg" localSheetId="3">[0]!BlankMacro1</definedName>
    <definedName name="grg">[0]!BlankMacro1</definedName>
    <definedName name="gt" localSheetId="11">[0]!BlankMacro1</definedName>
    <definedName name="gt" localSheetId="3">[0]!BlankMacro1</definedName>
    <definedName name="gt">[0]!BlankMacro1</definedName>
    <definedName name="gtr" localSheetId="11">[0]!BlankMacro1</definedName>
    <definedName name="gtr" localSheetId="3">[0]!BlankMacro1</definedName>
    <definedName name="gtr">[0]!BlankMacro1</definedName>
    <definedName name="H" localSheetId="11">#REF!</definedName>
    <definedName name="H" localSheetId="3">#REF!</definedName>
    <definedName name="H">#REF!</definedName>
    <definedName name="h.sys" localSheetId="11">#REF!</definedName>
    <definedName name="h.sys" localSheetId="3">#REF!</definedName>
    <definedName name="h.sys">#REF!</definedName>
    <definedName name="han" localSheetId="11" hidden="1">#REF!</definedName>
    <definedName name="han" localSheetId="3" hidden="1">#REF!</definedName>
    <definedName name="han" hidden="1">#REF!</definedName>
    <definedName name="hardwar" localSheetId="11" hidden="1">#REF!</definedName>
    <definedName name="hardwar" localSheetId="3" hidden="1">#REF!</definedName>
    <definedName name="hardwar" hidden="1">#REF!</definedName>
    <definedName name="HEADER" localSheetId="11">#REF!</definedName>
    <definedName name="HEADER" localSheetId="3">#REF!</definedName>
    <definedName name="HEADER">#REF!</definedName>
    <definedName name="HIGH" localSheetId="11" hidden="1">[23]FAB별!#REF!</definedName>
    <definedName name="HIGH" localSheetId="3" hidden="1">[23]FAB별!#REF!</definedName>
    <definedName name="HIGH" hidden="1">[23]FAB별!#REF!</definedName>
    <definedName name="HIP6400KA___91428_53429" localSheetId="11">#REF!</definedName>
    <definedName name="HIP6400KA___91428_53429" localSheetId="3">#REF!</definedName>
    <definedName name="HIP6400KA___91428_53429">#REF!</definedName>
    <definedName name="hrg" localSheetId="11">[0]!BlankMacro1</definedName>
    <definedName name="hrg" localSheetId="3">[0]!BlankMacro1</definedName>
    <definedName name="hrg">[0]!BlankMacro1</definedName>
    <definedName name="HTML_CodePage" hidden="1">949</definedName>
    <definedName name="HTML_Control" localSheetId="11" hidden="1">{"'보고양식'!$A$58:$K$111"}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11">#REF!,#REF!</definedName>
    <definedName name="ID" localSheetId="3">#REF!,#REF!</definedName>
    <definedName name="ID">#REF!,#REF!</definedName>
    <definedName name="IL" localSheetId="11">[11]매출원가_회사제시!#REF!</definedName>
    <definedName name="IL" localSheetId="3">[11]매출원가_회사제시!#REF!</definedName>
    <definedName name="IL">[11]매출원가_회사제시!#REF!</definedName>
    <definedName name="INPUT" localSheetId="11">#REF!</definedName>
    <definedName name="INPUT" localSheetId="3">#REF!</definedName>
    <definedName name="INPUT">#REF!</definedName>
    <definedName name="INSTDKADU" localSheetId="11">#REF!</definedName>
    <definedName name="INSTDKADU" localSheetId="3">#REF!</definedName>
    <definedName name="INSTDKADU">#REF!</definedName>
    <definedName name="INSTNFGP" localSheetId="11">#REF!</definedName>
    <definedName name="INSTNFGP" localSheetId="3">#REF!</definedName>
    <definedName name="INSTNFGP">#REF!</definedName>
    <definedName name="INSTNGL4" localSheetId="11">#REF!</definedName>
    <definedName name="INSTNGL4" localSheetId="3">#REF!</definedName>
    <definedName name="INSTNGL4">#REF!</definedName>
    <definedName name="INSTPGM" localSheetId="11">#REF!</definedName>
    <definedName name="INSTPGM" localSheetId="3">#REF!</definedName>
    <definedName name="INSTPGM">#REF!</definedName>
    <definedName name="INSTPIPELINE" localSheetId="11">#REF!</definedName>
    <definedName name="INSTPIPELINE" localSheetId="3">#REF!</definedName>
    <definedName name="INSTPIPELINE">#REF!</definedName>
    <definedName name="INSTTANK" localSheetId="11">#REF!</definedName>
    <definedName name="INSTTANK" localSheetId="3">#REF!</definedName>
    <definedName name="INSTTANK">#REF!</definedName>
    <definedName name="insur" localSheetId="11">#REF!</definedName>
    <definedName name="insur" localSheetId="3">#REF!</definedName>
    <definedName name="insur">#REF!</definedName>
    <definedName name="ir_d3" localSheetId="11">#REF!</definedName>
    <definedName name="ir_d3" localSheetId="3">#REF!</definedName>
    <definedName name="ir_d3">#REF!</definedName>
    <definedName name="it_new" localSheetId="11">#REF!</definedName>
    <definedName name="it_new" localSheetId="3">#REF!</definedName>
    <definedName name="it_new">#REF!</definedName>
    <definedName name="it_reg" localSheetId="11">#REF!</definedName>
    <definedName name="it_reg" localSheetId="3">#REF!</definedName>
    <definedName name="it_reg">#REF!</definedName>
    <definedName name="J" localSheetId="11">#REF!</definedName>
    <definedName name="J" localSheetId="3">#REF!</definedName>
    <definedName name="J">#REF!</definedName>
    <definedName name="jj" localSheetId="11">[0]!BlankMacro1</definedName>
    <definedName name="jj" localSheetId="3">[0]!BlankMacro1</definedName>
    <definedName name="jj">[0]!BlankMacro1</definedName>
    <definedName name="JJJ" localSheetId="11">#REF!</definedName>
    <definedName name="JJJ" localSheetId="3">#REF!</definedName>
    <definedName name="JJJ">#REF!</definedName>
    <definedName name="JK" localSheetId="11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11">#REF!</definedName>
    <definedName name="K" localSheetId="3">#REF!</definedName>
    <definedName name="K">#REF!</definedName>
    <definedName name="K1053791" localSheetId="11">#REF!</definedName>
    <definedName name="K1053791" localSheetId="3">#REF!</definedName>
    <definedName name="K1053791">#REF!</definedName>
    <definedName name="kkkk" localSheetId="11">#REF!</definedName>
    <definedName name="kkkk" localSheetId="3">#REF!</definedName>
    <definedName name="kkkk">#REF!</definedName>
    <definedName name="ks_awg" localSheetId="11">#REF!</definedName>
    <definedName name="ks_awg" localSheetId="3">#REF!</definedName>
    <definedName name="ks_awg">#REF!</definedName>
    <definedName name="l" localSheetId="11">[0]!BlankMacro1</definedName>
    <definedName name="l" localSheetId="3">[0]!BlankMacro1</definedName>
    <definedName name="l">[0]!BlankMacro1</definedName>
    <definedName name="labor_admin" localSheetId="11">#REF!</definedName>
    <definedName name="labor_admin" localSheetId="3">#REF!</definedName>
    <definedName name="labor_admin">#REF!</definedName>
    <definedName name="labor_jen" localSheetId="11">#REF!</definedName>
    <definedName name="labor_jen" localSheetId="3">#REF!</definedName>
    <definedName name="labor_jen">#REF!</definedName>
    <definedName name="labor_kck" localSheetId="11">#REF!</definedName>
    <definedName name="labor_kck" localSheetId="3">#REF!</definedName>
    <definedName name="labor_kck">#REF!</definedName>
    <definedName name="labor_klim" localSheetId="11">#REF!</definedName>
    <definedName name="labor_klim" localSheetId="3">#REF!</definedName>
    <definedName name="labor_klim">#REF!</definedName>
    <definedName name="labor_ksc" localSheetId="11">#REF!</definedName>
    <definedName name="labor_ksc" localSheetId="3">#REF!</definedName>
    <definedName name="labor_ksc">#REF!</definedName>
    <definedName name="labor_new" localSheetId="11">#REF!</definedName>
    <definedName name="labor_new" localSheetId="3">#REF!</definedName>
    <definedName name="labor_new">#REF!</definedName>
    <definedName name="Labor_Rate" localSheetId="11">#REF!</definedName>
    <definedName name="Labor_Rate" localSheetId="3">#REF!</definedName>
    <definedName name="Labor_Rate">#REF!</definedName>
    <definedName name="Labor_sub" localSheetId="11">#REF!</definedName>
    <definedName name="Labor_sub" localSheetId="3">#REF!</definedName>
    <definedName name="Labor_sub">#REF!</definedName>
    <definedName name="labor_tot" localSheetId="11">#REF!</definedName>
    <definedName name="labor_tot" localSheetId="3">#REF!</definedName>
    <definedName name="labor_tot">#REF!</definedName>
    <definedName name="LAST" localSheetId="11">#REF!</definedName>
    <definedName name="LAST" localSheetId="3">#REF!</definedName>
    <definedName name="LAST">#REF!</definedName>
    <definedName name="Lease_sub" localSheetId="11">#REF!</definedName>
    <definedName name="Lease_sub" localSheetId="3">#REF!</definedName>
    <definedName name="Lease_sub">#REF!</definedName>
    <definedName name="lease_tot" localSheetId="11">#REF!</definedName>
    <definedName name="lease_tot" localSheetId="3">#REF!</definedName>
    <definedName name="lease_tot">#REF!</definedName>
    <definedName name="legal_deal" localSheetId="11">#REF!</definedName>
    <definedName name="legal_deal" localSheetId="3">#REF!</definedName>
    <definedName name="legal_deal">#REF!</definedName>
    <definedName name="legal_reg" localSheetId="11">#REF!</definedName>
    <definedName name="legal_reg" localSheetId="3">#REF!</definedName>
    <definedName name="legal_reg">#REF!</definedName>
    <definedName name="light">"Picture 1"</definedName>
    <definedName name="LINE검토2" localSheetId="11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11">#REF!</definedName>
    <definedName name="LINKEDCELL" localSheetId="3">#REF!</definedName>
    <definedName name="LINKEDCELL">#REF!</definedName>
    <definedName name="lkhhfyt" localSheetId="11">#REF!</definedName>
    <definedName name="lkhhfyt" localSheetId="3">#REF!</definedName>
    <definedName name="lkhhfyt">#REF!</definedName>
    <definedName name="LLL" localSheetId="11">#REF!</definedName>
    <definedName name="LLL" localSheetId="3">#REF!</definedName>
    <definedName name="LLL">#REF!</definedName>
    <definedName name="lnl" localSheetId="11">#REF!</definedName>
    <definedName name="lnl" localSheetId="3">#REF!</definedName>
    <definedName name="lnl">#REF!</definedName>
    <definedName name="lns" localSheetId="11">#REF!</definedName>
    <definedName name="lns" localSheetId="3">#REF!</definedName>
    <definedName name="lns">#REF!</definedName>
    <definedName name="LPG" localSheetId="11">#REF!</definedName>
    <definedName name="LPG" localSheetId="3">#REF!</definedName>
    <definedName name="LPG">#REF!</definedName>
    <definedName name="mail" localSheetId="11">#REF!</definedName>
    <definedName name="mail" localSheetId="3">#REF!</definedName>
    <definedName name="mail">#REF!</definedName>
    <definedName name="Main" localSheetId="11">#REF!</definedName>
    <definedName name="Main" localSheetId="3">#REF!</definedName>
    <definedName name="Main">#REF!</definedName>
    <definedName name="MAINPART" localSheetId="11">#REF!</definedName>
    <definedName name="MAINPART" localSheetId="3">#REF!</definedName>
    <definedName name="MAINPART">#REF!</definedName>
    <definedName name="MATL_Rate" localSheetId="11">#REF!</definedName>
    <definedName name="MATL_Rate" localSheetId="3">#REF!</definedName>
    <definedName name="MATL_Rate">#REF!</definedName>
    <definedName name="MCCB_SIZE" localSheetId="11">#REF!</definedName>
    <definedName name="MCCB_SIZE" localSheetId="3">#REF!</definedName>
    <definedName name="MCCB_SIZE">#REF!</definedName>
    <definedName name="MCONSOL" hidden="1">#N/A</definedName>
    <definedName name="misc" localSheetId="11">#REF!</definedName>
    <definedName name="misc" localSheetId="3">#REF!</definedName>
    <definedName name="misc">#REF!</definedName>
    <definedName name="mm" localSheetId="11">#REF!</definedName>
    <definedName name="mm" localSheetId="3">#REF!</definedName>
    <definedName name="mm">#REF!</definedName>
    <definedName name="MONEY" localSheetId="11">#REF!,#REF!</definedName>
    <definedName name="MONEY" localSheetId="3">#REF!,#REF!</definedName>
    <definedName name="MONEY">#REF!,#REF!</definedName>
    <definedName name="MOTOR" localSheetId="11">#REF!</definedName>
    <definedName name="MOTOR" localSheetId="3">#REF!</definedName>
    <definedName name="MOTOR">#REF!</definedName>
    <definedName name="MRB" localSheetId="11">[0]!BlankMacro1</definedName>
    <definedName name="MRB" localSheetId="3">[0]!BlankMacro1</definedName>
    <definedName name="MRB">[0]!BlankMacro1</definedName>
    <definedName name="MZ" localSheetId="11">#REF!</definedName>
    <definedName name="MZ" localSheetId="3">#REF!</definedName>
    <definedName name="MZ">#REF!</definedName>
    <definedName name="n" localSheetId="11">[0]!BlankMacro1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11">[0]!BlankMacro1</definedName>
    <definedName name="nbg" localSheetId="3">[0]!BlankMacro1</definedName>
    <definedName name="nbg">[0]!BlankMacro1</definedName>
    <definedName name="nego2" localSheetId="11">#REF!</definedName>
    <definedName name="nego2" localSheetId="3">#REF!</definedName>
    <definedName name="nego2">#REF!</definedName>
    <definedName name="New_Users" localSheetId="11">[15]Assumptions!#REF!</definedName>
    <definedName name="New_Users" localSheetId="3">[15]Assumptions!#REF!</definedName>
    <definedName name="New_Users">[15]Assumptions!#REF!</definedName>
    <definedName name="NUMBER" localSheetId="11">#REF!</definedName>
    <definedName name="NUMBER" localSheetId="3">#REF!</definedName>
    <definedName name="NUMBER">#REF!</definedName>
    <definedName name="OFFER" hidden="1">#N/A</definedName>
    <definedName name="ooo" localSheetId="11">#REF!</definedName>
    <definedName name="ooo" localSheetId="3">#REF!</definedName>
    <definedName name="ooo">#REF!</definedName>
    <definedName name="Other_sub" localSheetId="11">#REF!</definedName>
    <definedName name="Other_sub" localSheetId="3">#REF!</definedName>
    <definedName name="Other_sub">#REF!</definedName>
    <definedName name="other_tot" localSheetId="11">#REF!</definedName>
    <definedName name="other_tot" localSheetId="3">#REF!</definedName>
    <definedName name="other_tot">#REF!</definedName>
    <definedName name="Out_of_Scope" localSheetId="11">#REF!</definedName>
    <definedName name="Out_of_Scope" localSheetId="3">#REF!</definedName>
    <definedName name="Out_of_Scope">#REF!</definedName>
    <definedName name="OUTPUT" localSheetId="11">#REF!</definedName>
    <definedName name="OUTPUT" localSheetId="3">#REF!</definedName>
    <definedName name="OUTPUT">#REF!</definedName>
    <definedName name="P" localSheetId="11">[16]BM_NEW2!#REF!</definedName>
    <definedName name="P" localSheetId="3">[16]BM_NEW2!#REF!</definedName>
    <definedName name="P">[16]BM_NEW2!#REF!</definedName>
    <definedName name="Period_Const" localSheetId="11">#REF!</definedName>
    <definedName name="Period_Const" localSheetId="3">#REF!</definedName>
    <definedName name="Period_Const">#REF!</definedName>
    <definedName name="PERIOD_END" localSheetId="11">#REF!</definedName>
    <definedName name="PERIOD_END" localSheetId="3">#REF!</definedName>
    <definedName name="PERIOD_END">#REF!</definedName>
    <definedName name="PHOTO" localSheetId="11" hidden="1">[24]FAB별!#REF!</definedName>
    <definedName name="PHOTO" localSheetId="3" hidden="1">[24]FAB별!#REF!</definedName>
    <definedName name="PHOTO" hidden="1">[24]FAB별!#REF!</definedName>
    <definedName name="pihkj" localSheetId="11">#REF!</definedName>
    <definedName name="pihkj" localSheetId="3">#REF!</definedName>
    <definedName name="pihkj">#REF!</definedName>
    <definedName name="PIPE40" localSheetId="11">#REF!</definedName>
    <definedName name="PIPE40" localSheetId="3">#REF!</definedName>
    <definedName name="PIPE40">#REF!</definedName>
    <definedName name="PJT">#N/A</definedName>
    <definedName name="PL" localSheetId="11">[25]현재!#REF!</definedName>
    <definedName name="PL" localSheetId="3">[25]현재!#REF!</definedName>
    <definedName name="PL">[25]현재!#REF!</definedName>
    <definedName name="PPK" localSheetId="11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1">#REF!</definedName>
    <definedName name="PPP" localSheetId="3">#REF!</definedName>
    <definedName name="PPP">#REF!</definedName>
    <definedName name="prcs1" localSheetId="11" hidden="1">{#N/A,#N/A,FALSE,"정공"}</definedName>
    <definedName name="prcs1" localSheetId="3" hidden="1">{#N/A,#N/A,FALSE,"정공"}</definedName>
    <definedName name="prcs1" hidden="1">{#N/A,#N/A,FALSE,"정공"}</definedName>
    <definedName name="PREPARED_BY" localSheetId="11">#REF!</definedName>
    <definedName name="PREPARED_BY" localSheetId="3">#REF!</definedName>
    <definedName name="PREPARED_BY">#REF!</definedName>
    <definedName name="PREPARED_DATE" localSheetId="11">#REF!</definedName>
    <definedName name="PREPARED_DATE" localSheetId="3">#REF!</definedName>
    <definedName name="PREPARED_DATE">#REF!</definedName>
    <definedName name="Print" localSheetId="11">#REF!</definedName>
    <definedName name="Print" localSheetId="3">#REF!</definedName>
    <definedName name="Print">#REF!</definedName>
    <definedName name="_xlnm.Print_Area" localSheetId="11">LOSS!$B$5:$P$17</definedName>
    <definedName name="_xlnm.Print_Area" localSheetId="10">기타비용!$A$1:$I$7</definedName>
    <definedName name="_xlnm.Print_Area" localSheetId="3">'내역서(을지)'!$A$1:$I$21</definedName>
    <definedName name="_xlnm.Print_Area" localSheetId="5">'물량 내역서'!$A$1:$N$62</definedName>
    <definedName name="_xlnm.Print_Area" localSheetId="8">숙소관리비!$A$1:$J$17</definedName>
    <definedName name="_xlnm.Print_Area" localSheetId="7">숙소임차료!$A$1:$J$13</definedName>
    <definedName name="_xlnm.Print_Area" localSheetId="9">식대비용!$A$1:$J$9</definedName>
    <definedName name="_xlnm.Print_Area" localSheetId="1">'용역 청구서(갑지)'!$A$1:$L$26</definedName>
    <definedName name="_xlnm.Print_Area">#REF!</definedName>
    <definedName name="Print_Area_MI" localSheetId="11">#REF!</definedName>
    <definedName name="Print_Area_MI" localSheetId="3">#REF!</definedName>
    <definedName name="Print_Area_MI">#REF!</definedName>
    <definedName name="PRINT_AREA_MI1" localSheetId="11">#REF!</definedName>
    <definedName name="PRINT_AREA_MI1" localSheetId="3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 localSheetId="3">#REF!</definedName>
    <definedName name="_xlnm.Print_Titles">#REF!</definedName>
    <definedName name="PRINT_TITLES_MI" localSheetId="11">#REF!</definedName>
    <definedName name="PRINT_TITLES_MI" localSheetId="3">#REF!</definedName>
    <definedName name="PRINT_TITLES_MI">#REF!</definedName>
    <definedName name="PRINT_TITLES_MI1" localSheetId="11">#REF!</definedName>
    <definedName name="PRINT_TITLES_MI1" localSheetId="3">#REF!</definedName>
    <definedName name="PRINT_TITLES_MI1">#REF!</definedName>
    <definedName name="Prof_sub" localSheetId="11">#REF!</definedName>
    <definedName name="Prof_sub" localSheetId="3">#REF!</definedName>
    <definedName name="Prof_sub">#REF!</definedName>
    <definedName name="prof_tot" localSheetId="11">#REF!</definedName>
    <definedName name="prof_tot" localSheetId="3">#REF!</definedName>
    <definedName name="prof_tot">#REF!</definedName>
    <definedName name="promo_high" localSheetId="11">#REF!</definedName>
    <definedName name="promo_high" localSheetId="3">#REF!</definedName>
    <definedName name="promo_high">#REF!</definedName>
    <definedName name="promo_reg" localSheetId="11">#REF!</definedName>
    <definedName name="promo_reg" localSheetId="3">#REF!</definedName>
    <definedName name="promo_reg">#REF!</definedName>
    <definedName name="Q">[27]부문손익!$D$7:$L$33</definedName>
    <definedName name="q1u" localSheetId="11">#REF!</definedName>
    <definedName name="q1u" localSheetId="3">#REF!</definedName>
    <definedName name="q1u">#REF!</definedName>
    <definedName name="QLQL" localSheetId="11">#REF!</definedName>
    <definedName name="QLQL" localSheetId="3">#REF!</definedName>
    <definedName name="QLQL">#REF!</definedName>
    <definedName name="qq" localSheetId="11" hidden="1">{#N/A,#N/A,FALSE,"정공"}</definedName>
    <definedName name="qq" localSheetId="3" hidden="1">{#N/A,#N/A,FALSE,"정공"}</definedName>
    <definedName name="qq" hidden="1">{#N/A,#N/A,FALSE,"정공"}</definedName>
    <definedName name="QQQ" localSheetId="11">[0]!BlankMacro1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 localSheetId="11">#REF!</definedName>
    <definedName name="_xlnm.Recorder" localSheetId="3">#REF!</definedName>
    <definedName name="_xlnm.Recorder">#REF!</definedName>
    <definedName name="REFER_AREA" localSheetId="11">#REF!</definedName>
    <definedName name="REFER_AREA" localSheetId="3">#REF!</definedName>
    <definedName name="REFER_AREA">#REF!</definedName>
    <definedName name="reg" localSheetId="11">[0]!BlankMacro1</definedName>
    <definedName name="reg" localSheetId="3">[0]!BlankMacro1</definedName>
    <definedName name="reg">[0]!BlankMacro1</definedName>
    <definedName name="REM">#N/A</definedName>
    <definedName name="rent_early" localSheetId="11">#REF!</definedName>
    <definedName name="rent_early" localSheetId="3">#REF!</definedName>
    <definedName name="rent_early">#REF!</definedName>
    <definedName name="rent_new" localSheetId="11">#REF!</definedName>
    <definedName name="rent_new" localSheetId="3">#REF!</definedName>
    <definedName name="rent_new">#REF!</definedName>
    <definedName name="rent_reg" localSheetId="11">#REF!</definedName>
    <definedName name="rent_reg" localSheetId="3">#REF!</definedName>
    <definedName name="rent_reg">#REF!</definedName>
    <definedName name="Rent_sub" localSheetId="11">#REF!</definedName>
    <definedName name="Rent_sub" localSheetId="3">#REF!</definedName>
    <definedName name="Rent_sub">#REF!</definedName>
    <definedName name="rent_tot" localSheetId="11">#REF!</definedName>
    <definedName name="rent_tot" localSheetId="3">#REF!</definedName>
    <definedName name="rent_tot">#REF!</definedName>
    <definedName name="RESULT" localSheetId="11">#REF!</definedName>
    <definedName name="RESULT" localSheetId="3">#REF!</definedName>
    <definedName name="RESULT">#REF!</definedName>
    <definedName name="RESULT2" localSheetId="11">#REF!</definedName>
    <definedName name="RESULT2" localSheetId="3">#REF!</definedName>
    <definedName name="RESULT2">#REF!</definedName>
    <definedName name="RHD" localSheetId="11">[29]BM_NEW2!#REF!</definedName>
    <definedName name="RHD" localSheetId="3">[29]BM_NEW2!#REF!</definedName>
    <definedName name="RHD">[29]BM_NEW2!#REF!</definedName>
    <definedName name="rkdjf" localSheetId="11">[0]!BlankMacro1</definedName>
    <definedName name="rkdjf" localSheetId="3">[0]!BlankMacro1</definedName>
    <definedName name="rkdjf">[0]!BlankMacro1</definedName>
    <definedName name="rkdrmsqo" localSheetId="11">[0]!BlankMacro1</definedName>
    <definedName name="rkdrmsqo" localSheetId="3">[0]!BlankMacro1</definedName>
    <definedName name="rkdrmsqo">[0]!BlankMacro1</definedName>
    <definedName name="rlr" localSheetId="11">#REF!</definedName>
    <definedName name="rlr" localSheetId="3">#REF!</definedName>
    <definedName name="rlr">#REF!</definedName>
    <definedName name="round" localSheetId="11">#REF!</definedName>
    <definedName name="round" localSheetId="3">#REF!</definedName>
    <definedName name="round">#REF!</definedName>
    <definedName name="rrr" localSheetId="11">[0]!BlankMacro1</definedName>
    <definedName name="rrr" localSheetId="3">[0]!BlankMacro1</definedName>
    <definedName name="rrr">[0]!BlankMacro1</definedName>
    <definedName name="RRRRRRR" localSheetId="11">[0]!BlankMacro1</definedName>
    <definedName name="RRRRRRR" localSheetId="3">[0]!BlankMacro1</definedName>
    <definedName name="RRRRRRR">[0]!BlankMacro1</definedName>
    <definedName name="s" localSheetId="11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 localSheetId="11">#REF!</definedName>
    <definedName name="SCODE" localSheetId="3">#REF!</definedName>
    <definedName name="SCODE">#REF!</definedName>
    <definedName name="SD" localSheetId="11">#REF!</definedName>
    <definedName name="SD" localSheetId="3">#REF!</definedName>
    <definedName name="SD">#REF!</definedName>
    <definedName name="SDASDASDA" localSheetId="11" hidden="1">#REF!</definedName>
    <definedName name="SDASDASDA" localSheetId="3" hidden="1">#REF!</definedName>
    <definedName name="SDASDASDA" hidden="1">#REF!</definedName>
    <definedName name="SDF" localSheetId="11" hidden="1">[30]CTEMCOST!#REF!</definedName>
    <definedName name="SDF" localSheetId="3" hidden="1">[30]CTEMCOST!#REF!</definedName>
    <definedName name="SDF" hidden="1">[30]CTEMCOST!#REF!</definedName>
    <definedName name="SEJIN" localSheetId="11">[0]!BlankMacro1</definedName>
    <definedName name="SEJIN" localSheetId="3">[0]!BlankMacro1</definedName>
    <definedName name="SEJIN">[0]!BlankMacro1</definedName>
    <definedName name="SEJINBS" localSheetId="11" hidden="1">{#N/A,#N/A,FALSE,"정공"}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11">#REF!</definedName>
    <definedName name="SMLTOOLS" localSheetId="3">#REF!</definedName>
    <definedName name="SMLTOOLS">#REF!</definedName>
    <definedName name="sp.sys" localSheetId="11">#REF!</definedName>
    <definedName name="sp.sys" localSheetId="3">#REF!</definedName>
    <definedName name="sp.sys">#REF!</definedName>
    <definedName name="ss" localSheetId="11">#REF!</definedName>
    <definedName name="ss" localSheetId="3">#REF!</definedName>
    <definedName name="ss">#REF!</definedName>
    <definedName name="SSS" localSheetId="11">#REF!</definedName>
    <definedName name="SSS" localSheetId="3">#REF!</definedName>
    <definedName name="SSS">#REF!</definedName>
    <definedName name="Story_Total" localSheetId="11">#REF!</definedName>
    <definedName name="Story_Total" localSheetId="3">#REF!</definedName>
    <definedName name="Story_Total">#REF!</definedName>
    <definedName name="Struct_Type" localSheetId="11">#REF!</definedName>
    <definedName name="Struct_Type" localSheetId="3">#REF!</definedName>
    <definedName name="Struct_Type">#REF!</definedName>
    <definedName name="SubDic" localSheetId="11">#REF!</definedName>
    <definedName name="SubDic" localSheetId="3">#REF!</definedName>
    <definedName name="SubDic">#REF!</definedName>
    <definedName name="Sup_MATL_Rate" localSheetId="11">#REF!</definedName>
    <definedName name="Sup_MATL_Rate" localSheetId="3">#REF!</definedName>
    <definedName name="Sup_MATL_Rate">#REF!</definedName>
    <definedName name="Sup_MD_Rate" localSheetId="11">#REF!</definedName>
    <definedName name="Sup_MD_Rate" localSheetId="3">#REF!</definedName>
    <definedName name="Sup_MD_Rate">#REF!</definedName>
    <definedName name="SUYO">#N/A</definedName>
    <definedName name="S방수" localSheetId="11">#REF!</definedName>
    <definedName name="S방수" localSheetId="3">#REF!</definedName>
    <definedName name="S방수">#REF!</definedName>
    <definedName name="tab.도금" localSheetId="11">#REF!</definedName>
    <definedName name="tab.도금" localSheetId="3">#REF!</definedName>
    <definedName name="tab.도금">#REF!</definedName>
    <definedName name="tel_cell" localSheetId="11">#REF!</definedName>
    <definedName name="tel_cell" localSheetId="3">#REF!</definedName>
    <definedName name="tel_cell">#REF!</definedName>
    <definedName name="tel_LD" localSheetId="11">#REF!</definedName>
    <definedName name="tel_LD" localSheetId="3">#REF!</definedName>
    <definedName name="tel_LD">#REF!</definedName>
    <definedName name="tel_local" localSheetId="11">#REF!</definedName>
    <definedName name="tel_local" localSheetId="3">#REF!</definedName>
    <definedName name="tel_local">#REF!</definedName>
    <definedName name="tel_tot" localSheetId="11">#REF!</definedName>
    <definedName name="tel_tot" localSheetId="3">#REF!</definedName>
    <definedName name="tel_tot">#REF!</definedName>
    <definedName name="Tele_sub" localSheetId="11">#REF!</definedName>
    <definedName name="Tele_sub" localSheetId="3">#REF!</definedName>
    <definedName name="Tele_sub">#REF!</definedName>
    <definedName name="teleph" localSheetId="11">#REF!</definedName>
    <definedName name="teleph" localSheetId="3">#REF!</definedName>
    <definedName name="teleph">#REF!</definedName>
    <definedName name="temp" localSheetId="11" hidden="1">{"'Break down'!$A$4"}</definedName>
    <definedName name="temp" localSheetId="3" hidden="1">{"'Break down'!$A$4"}</definedName>
    <definedName name="temp" hidden="1">{"'Break down'!$A$4"}</definedName>
    <definedName name="TEST0" localSheetId="11">#REF!</definedName>
    <definedName name="TEST0" localSheetId="3">#REF!</definedName>
    <definedName name="TEST0">#REF!</definedName>
    <definedName name="TESTHKEY" localSheetId="11">[1]원본!#REF!</definedName>
    <definedName name="TESTHKEY" localSheetId="3">[1]원본!#REF!</definedName>
    <definedName name="TESTHKEY">[1]원본!#REF!</definedName>
    <definedName name="TESTKEYS" localSheetId="11">#REF!</definedName>
    <definedName name="TESTKEYS" localSheetId="3">#REF!</definedName>
    <definedName name="TESTKEYS">#REF!</definedName>
    <definedName name="TESTVKEY" localSheetId="11">[1]원본!#REF!</definedName>
    <definedName name="TESTVKEY" localSheetId="3">[1]원본!#REF!</definedName>
    <definedName name="TESTVKEY">[1]원본!#REF!</definedName>
    <definedName name="TextRefCopyRangeCount">1</definedName>
    <definedName name="THEME2" localSheetId="11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11">#REF!</definedName>
    <definedName name="TIT" localSheetId="3">#REF!</definedName>
    <definedName name="TIT">#REF!</definedName>
    <definedName name="TK" localSheetId="11">[0]!BlankMacro1</definedName>
    <definedName name="TK" localSheetId="3">[0]!BlankMacro1</definedName>
    <definedName name="TK">[0]!BlankMacro1</definedName>
    <definedName name="TNSQJS" localSheetId="11">#REF!</definedName>
    <definedName name="TNSQJS" localSheetId="3">#REF!</definedName>
    <definedName name="TNSQJS">#REF!</definedName>
    <definedName name="TON_TRT_FR" localSheetId="11">#REF!</definedName>
    <definedName name="TON_TRT_FR" localSheetId="3">#REF!</definedName>
    <definedName name="TON_TRT_FR">#REF!</definedName>
    <definedName name="TOO">#N/A</definedName>
    <definedName name="total" localSheetId="11">[0]!BlankMacro1</definedName>
    <definedName name="total" localSheetId="3">[0]!BlankMacro1</definedName>
    <definedName name="total">[0]!BlankMacro1</definedName>
    <definedName name="Total_Floor_Area" localSheetId="11">#REF!</definedName>
    <definedName name="Total_Floor_Area" localSheetId="3">#REF!</definedName>
    <definedName name="Total_Floor_Area">#REF!</definedName>
    <definedName name="Total_sub" localSheetId="11">#REF!</definedName>
    <definedName name="Total_sub" localSheetId="3">#REF!</definedName>
    <definedName name="Total_sub">#REF!</definedName>
    <definedName name="Total_Users" localSheetId="11">[15]Assumptions!#REF!</definedName>
    <definedName name="Total_Users" localSheetId="3">[15]Assumptions!#REF!</definedName>
    <definedName name="Total_Users">[15]Assumptions!#REF!</definedName>
    <definedName name="travel_Int" localSheetId="11">#REF!</definedName>
    <definedName name="travel_Int" localSheetId="3">#REF!</definedName>
    <definedName name="travel_Int">#REF!</definedName>
    <definedName name="travel_local" localSheetId="11">#REF!</definedName>
    <definedName name="travel_local" localSheetId="3">#REF!</definedName>
    <definedName name="travel_local">#REF!</definedName>
    <definedName name="Travel_sub" localSheetId="11">#REF!</definedName>
    <definedName name="Travel_sub" localSheetId="3">#REF!</definedName>
    <definedName name="Travel_sub">#REF!</definedName>
    <definedName name="travel_tot" localSheetId="11">#REF!</definedName>
    <definedName name="travel_tot" localSheetId="3">#REF!</definedName>
    <definedName name="travel_tot">#REF!</definedName>
    <definedName name="travel_US" localSheetId="11">#REF!</definedName>
    <definedName name="travel_US" localSheetId="3">#REF!</definedName>
    <definedName name="travel_US">#REF!</definedName>
    <definedName name="TRAY_D" localSheetId="11">#REF!</definedName>
    <definedName name="TRAY_D" localSheetId="3">#REF!</definedName>
    <definedName name="TRAY_D">#REF!</definedName>
    <definedName name="TT" localSheetId="11">#REF!</definedName>
    <definedName name="TT" localSheetId="3">#REF!</definedName>
    <definedName name="TT">#REF!</definedName>
    <definedName name="ttt" localSheetId="11">#REF!</definedName>
    <definedName name="ttt" localSheetId="3">#REF!</definedName>
    <definedName name="ttt">#REF!</definedName>
    <definedName name="TTTTTTT" localSheetId="11">[0]!BlankMacro1</definedName>
    <definedName name="TTTTTTT" localSheetId="3">[0]!BlankMacro1</definedName>
    <definedName name="TTTTTTT">[0]!BlankMacro1</definedName>
    <definedName name="UPW할증" localSheetId="11">#REF!</definedName>
    <definedName name="UPW할증" localSheetId="3">#REF!</definedName>
    <definedName name="UPW할증">#REF!</definedName>
    <definedName name="VVV" localSheetId="11">#REF!</definedName>
    <definedName name="VVV" localSheetId="3">#REF!</definedName>
    <definedName name="VVV">#REF!</definedName>
    <definedName name="w" localSheetId="11">[0]!BlankMacro1</definedName>
    <definedName name="w" localSheetId="3">[0]!BlankMacro1</definedName>
    <definedName name="w">[0]!BlankMacro1</definedName>
    <definedName name="wc" localSheetId="11">'[31]시산표(매출조정전)'!#REF!</definedName>
    <definedName name="wc" localSheetId="3">'[31]시산표(매출조정전)'!#REF!</definedName>
    <definedName name="wc">'[31]시산표(매출조정전)'!#REF!</definedName>
    <definedName name="wd" localSheetId="11">#REF!</definedName>
    <definedName name="wd" localSheetId="3">#REF!</definedName>
    <definedName name="wd">#REF!</definedName>
    <definedName name="wessdd" localSheetId="11">#REF!</definedName>
    <definedName name="wessdd" localSheetId="3">#REF!</definedName>
    <definedName name="wessdd">#REF!</definedName>
    <definedName name="WKSEKFMZM" localSheetId="11">[0]!BlankMacro1</definedName>
    <definedName name="WKSEKFMZM" localSheetId="3">[0]!BlankMacro1</definedName>
    <definedName name="WKSEKFMZM">[0]!BlankMacro1</definedName>
    <definedName name="wl" localSheetId="11">#REF!</definedName>
    <definedName name="wl" localSheetId="3">#REF!</definedName>
    <definedName name="wl">#REF!</definedName>
    <definedName name="workcomp" localSheetId="11">#REF!</definedName>
    <definedName name="workcomp" localSheetId="3">#REF!</definedName>
    <definedName name="workcomp">#REF!</definedName>
    <definedName name="wrn.345." localSheetId="11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11" hidden="1">{#N/A,#N/A,FALSE,"Tower &amp; Car Park"}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11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11" hidden="1">{#N/A,#N/A,FALSE,"전력간선"}</definedName>
    <definedName name="wrn.교육청." localSheetId="3" hidden="1">{#N/A,#N/A,FALSE,"전력간선"}</definedName>
    <definedName name="wrn.교육청." hidden="1">{#N/A,#N/A,FALSE,"전력간선"}</definedName>
    <definedName name="wrn.구조2." localSheetId="11" hidden="1">{#N/A,#N/A,FALSE,"구조2"}</definedName>
    <definedName name="wrn.구조2." localSheetId="3" hidden="1">{#N/A,#N/A,FALSE,"구조2"}</definedName>
    <definedName name="wrn.구조2." hidden="1">{#N/A,#N/A,FALSE,"구조2"}</definedName>
    <definedName name="wrn.배수1." localSheetId="11" hidden="1">{#N/A,#N/A,FALSE,"배수1"}</definedName>
    <definedName name="wrn.배수1." localSheetId="3" hidden="1">{#N/A,#N/A,FALSE,"배수1"}</definedName>
    <definedName name="wrn.배수1." hidden="1">{#N/A,#N/A,FALSE,"배수1"}</definedName>
    <definedName name="wrn.배수2." localSheetId="11" hidden="1">{#N/A,#N/A,FALSE,"배수2"}</definedName>
    <definedName name="wrn.배수2." localSheetId="3" hidden="1">{#N/A,#N/A,FALSE,"배수2"}</definedName>
    <definedName name="wrn.배수2." hidden="1">{#N/A,#N/A,FALSE,"배수2"}</definedName>
    <definedName name="wrn.변경예산." localSheetId="11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11" hidden="1">{#N/A,#N/A,FALSE,"부대1"}</definedName>
    <definedName name="wrn.부대1." localSheetId="3" hidden="1">{#N/A,#N/A,FALSE,"부대1"}</definedName>
    <definedName name="wrn.부대1." hidden="1">{#N/A,#N/A,FALSE,"부대1"}</definedName>
    <definedName name="wrn.부대2." localSheetId="11" hidden="1">{#N/A,#N/A,FALSE,"부대2"}</definedName>
    <definedName name="wrn.부대2." localSheetId="3" hidden="1">{#N/A,#N/A,FALSE,"부대2"}</definedName>
    <definedName name="wrn.부대2." hidden="1">{#N/A,#N/A,FALSE,"부대2"}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1" hidden="1">{#N/A,#N/A,FALSE,"속도"}</definedName>
    <definedName name="wrn.속도." localSheetId="3" hidden="1">{#N/A,#N/A,FALSE,"속도"}</definedName>
    <definedName name="wrn.속도." hidden="1">{#N/A,#N/A,FALSE,"속도"}</definedName>
    <definedName name="wrn.손익보고.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11" hidden="1">{#N/A,#N/A,FALSE,"견적조건";#N/A,#N/A,FALSE,"산출근거"}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11" hidden="1">{#N/A,#N/A,FALSE,"이정표"}</definedName>
    <definedName name="wrn.이정표." localSheetId="3" hidden="1">{#N/A,#N/A,FALSE,"이정표"}</definedName>
    <definedName name="wrn.이정표." hidden="1">{#N/A,#N/A,FALSE,"이정표"}</definedName>
    <definedName name="wrn.토공1." localSheetId="11" hidden="1">{#N/A,#N/A,FALSE,"구조1"}</definedName>
    <definedName name="wrn.토공1." localSheetId="3" hidden="1">{#N/A,#N/A,FALSE,"구조1"}</definedName>
    <definedName name="wrn.토공1." hidden="1">{#N/A,#N/A,FALSE,"구조1"}</definedName>
    <definedName name="wrn.토공2." localSheetId="11" hidden="1">{#N/A,#N/A,FALSE,"토공2"}</definedName>
    <definedName name="wrn.토공2." localSheetId="3" hidden="1">{#N/A,#N/A,FALSE,"토공2"}</definedName>
    <definedName name="wrn.토공2." hidden="1">{#N/A,#N/A,FALSE,"토공2"}</definedName>
    <definedName name="wrn.포장1." localSheetId="11" hidden="1">{#N/A,#N/A,FALSE,"포장1";#N/A,#N/A,FALSE,"포장1"}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11" hidden="1">{#N/A,#N/A,FALSE,"포장2"}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11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11">#REF!</definedName>
    <definedName name="WW" localSheetId="3">#REF!</definedName>
    <definedName name="WW">#REF!</definedName>
    <definedName name="WWWW" localSheetId="11">[0]!BlankMacro1</definedName>
    <definedName name="WWWW" localSheetId="3">[0]!BlankMacro1</definedName>
    <definedName name="WWWW">[0]!BlankMacro1</definedName>
    <definedName name="XDDXX" localSheetId="11">[0]!BlankMacro1</definedName>
    <definedName name="XDDXX" localSheetId="3">[0]!BlankMacro1</definedName>
    <definedName name="XDDXX">[0]!BlankMacro1</definedName>
    <definedName name="xmrrlwhrjs" localSheetId="11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11">#REF!</definedName>
    <definedName name="xxx" localSheetId="3">#REF!</definedName>
    <definedName name="xxx">#REF!</definedName>
    <definedName name="YE">#N/A</definedName>
    <definedName name="YEAREND" localSheetId="11">#REF!</definedName>
    <definedName name="YEAREND" localSheetId="3">#REF!</definedName>
    <definedName name="YEAREND">#REF!</definedName>
    <definedName name="YEKA">#N/A</definedName>
    <definedName name="YYYYYYYYY" localSheetId="11">[0]!BlankMacro1</definedName>
    <definedName name="YYYYYYYYY" localSheetId="3">[0]!BlankMacro1</definedName>
    <definedName name="YYYYYYYYY">[0]!BlankMacro1</definedName>
    <definedName name="z" localSheetId="11">#REF!</definedName>
    <definedName name="z" localSheetId="3">#REF!</definedName>
    <definedName name="z">#REF!</definedName>
    <definedName name="ZXCV" localSheetId="11">[0]!BlankMacro1</definedName>
    <definedName name="ZXCV" localSheetId="3">[0]!BlankMacro1</definedName>
    <definedName name="ZXCV">[0]!BlankMacro1</definedName>
    <definedName name="ㄱ" localSheetId="11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11">#REF!</definedName>
    <definedName name="ㄱㄱㄱ" localSheetId="3">#REF!</definedName>
    <definedName name="ㄱㄱㄱ">#REF!</definedName>
    <definedName name="ㄱㄱㄱㄱ" localSheetId="11">#REF!</definedName>
    <definedName name="ㄱㄱㄱㄱ" localSheetId="3">#REF!</definedName>
    <definedName name="ㄱㄱㄱㄱ">#REF!</definedName>
    <definedName name="ㄱ홍" localSheetId="11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11">#REF!</definedName>
    <definedName name="가" localSheetId="3">#REF!</definedName>
    <definedName name="가">#REF!</definedName>
    <definedName name="가1" localSheetId="11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11" hidden="1">{#N/A,#N/A,FALSE,"정공"}</definedName>
    <definedName name="가나다오" localSheetId="3" hidden="1">{#N/A,#N/A,FALSE,"정공"}</definedName>
    <definedName name="가나다오" hidden="1">{#N/A,#N/A,FALSE,"정공"}</definedName>
    <definedName name="가사" localSheetId="11">#REF!</definedName>
    <definedName name="가사" localSheetId="3">#REF!</definedName>
    <definedName name="가사">#REF!</definedName>
    <definedName name="간선특성" localSheetId="11">#REF!</definedName>
    <definedName name="간선특성" localSheetId="3">#REF!</definedName>
    <definedName name="간선특성">#REF!</definedName>
    <definedName name="간접노무비" localSheetId="11">#REF!</definedName>
    <definedName name="간접노무비" localSheetId="3">#REF!</definedName>
    <definedName name="간접노무비">#REF!</definedName>
    <definedName name="간접노무비율" localSheetId="11">#REF!</definedName>
    <definedName name="간접노무비율" localSheetId="3">#REF!</definedName>
    <definedName name="간접노무비율">#REF!</definedName>
    <definedName name="간접원가" localSheetId="11">[0]!BlankMacro1</definedName>
    <definedName name="간접원가" localSheetId="3">[0]!BlankMacro1</definedName>
    <definedName name="간접원가">[0]!BlankMacro1</definedName>
    <definedName name="간지" localSheetId="11">BlankMacro1</definedName>
    <definedName name="간지" localSheetId="3">BlankMacro1</definedName>
    <definedName name="간지">BlankMacro1</definedName>
    <definedName name="감나무" localSheetId="11">#REF!</definedName>
    <definedName name="감나무" localSheetId="3">#REF!</definedName>
    <definedName name="감나무">#REF!</definedName>
    <definedName name="갑근세" localSheetId="11">#REF!</definedName>
    <definedName name="갑근세" localSheetId="3">#REF!</definedName>
    <definedName name="갑근세">#REF!</definedName>
    <definedName name="갑지" localSheetId="11">#REF!</definedName>
    <definedName name="갑지" localSheetId="3">#REF!</definedName>
    <definedName name="갑지">#REF!</definedName>
    <definedName name="강" localSheetId="11">[0]!BlankMacro1</definedName>
    <definedName name="강" localSheetId="3">[0]!BlankMacro1</definedName>
    <definedName name="강">[0]!BlankMacro1</definedName>
    <definedName name="강현구" localSheetId="11">#REF!</definedName>
    <definedName name="강현구" localSheetId="3">#REF!</definedName>
    <definedName name="강현구">#REF!</definedName>
    <definedName name="개나리" localSheetId="11">#REF!</definedName>
    <definedName name="개나리" localSheetId="3">#REF!</definedName>
    <definedName name="개나리">#REF!</definedName>
    <definedName name="개요" localSheetId="11" hidden="1">[32]기안!#REF!</definedName>
    <definedName name="개요" localSheetId="3" hidden="1">[32]기안!#REF!</definedName>
    <definedName name="개요" hidden="1">[32]기안!#REF!</definedName>
    <definedName name="개요1" localSheetId="11" hidden="1">[32]기안!#REF!</definedName>
    <definedName name="개요1" localSheetId="3" hidden="1">[32]기안!#REF!</definedName>
    <definedName name="개요1" hidden="1">[32]기안!#REF!</definedName>
    <definedName name="개요2" localSheetId="11" hidden="1">[33]개산공사비!#REF!</definedName>
    <definedName name="개요2" localSheetId="3" hidden="1">[33]개산공사비!#REF!</definedName>
    <definedName name="개요2" hidden="1">[33]개산공사비!#REF!</definedName>
    <definedName name="갤로" localSheetId="11" hidden="1">{#N/A,#N/A,FALSE,"정공"}</definedName>
    <definedName name="갤로" localSheetId="3" hidden="1">{#N/A,#N/A,FALSE,"정공"}</definedName>
    <definedName name="갤로" hidden="1">{#N/A,#N/A,FALSE,"정공"}</definedName>
    <definedName name="거리" localSheetId="11">#REF!</definedName>
    <definedName name="거리" localSheetId="3">#REF!</definedName>
    <definedName name="거리">#REF!</definedName>
    <definedName name="검ㄴ" localSheetId="11" hidden="1">{#N/A,#N/A,FALSE,"이정표"}</definedName>
    <definedName name="검ㄴ" localSheetId="3" hidden="1">{#N/A,#N/A,FALSE,"이정표"}</definedName>
    <definedName name="검ㄴ" hidden="1">{#N/A,#N/A,FALSE,"이정표"}</definedName>
    <definedName name="견적" localSheetId="11">#REF!</definedName>
    <definedName name="견적" localSheetId="3">#REF!</definedName>
    <definedName name="견적">#REF!</definedName>
    <definedName name="견적2" localSheetId="11">#REF!</definedName>
    <definedName name="견적2" localSheetId="3">#REF!</definedName>
    <definedName name="견적2">#REF!</definedName>
    <definedName name="견적2001" localSheetId="11">#REF!</definedName>
    <definedName name="견적2001" localSheetId="3">#REF!</definedName>
    <definedName name="견적2001">#REF!</definedName>
    <definedName name="견적서" localSheetId="11">BlankMacro1</definedName>
    <definedName name="견적서" localSheetId="3">BlankMacro1</definedName>
    <definedName name="견적서">BlankMacro1</definedName>
    <definedName name="견적서제출1" localSheetId="11">#REF!</definedName>
    <definedName name="견적서제출1" localSheetId="3">#REF!</definedName>
    <definedName name="견적서제출1">#REF!</definedName>
    <definedName name="견적조건" localSheetId="11">#REF!</definedName>
    <definedName name="견적조건" localSheetId="3">#REF!</definedName>
    <definedName name="견적조건">#REF!</definedName>
    <definedName name="견적총액" localSheetId="11">#REF!</definedName>
    <definedName name="견적총액" localSheetId="3">#REF!</definedName>
    <definedName name="견적총액">#REF!</definedName>
    <definedName name="견적총액2001" localSheetId="11">#REF!</definedName>
    <definedName name="견적총액2001" localSheetId="3">#REF!</definedName>
    <definedName name="견적총액2001">#REF!</definedName>
    <definedName name="견적총액2002" localSheetId="11">#REF!</definedName>
    <definedName name="견적총액2002" localSheetId="3">#REF!</definedName>
    <definedName name="견적총액2002">#REF!</definedName>
    <definedName name="견적총액22" localSheetId="11">#REF!</definedName>
    <definedName name="견적총액22" localSheetId="3">#REF!</definedName>
    <definedName name="견적총액22">#REF!</definedName>
    <definedName name="견적탱크" localSheetId="11">#REF!</definedName>
    <definedName name="견적탱크" localSheetId="3">#REF!</definedName>
    <definedName name="견적탱크">#REF!</definedName>
    <definedName name="견적특기사항" localSheetId="11">BlankMacro1</definedName>
    <definedName name="견적특기사항" localSheetId="3">BlankMacro1</definedName>
    <definedName name="견적특기사항">BlankMacro1</definedName>
    <definedName name="결사명세" localSheetId="11">#REF!</definedName>
    <definedName name="결사명세" localSheetId="3">#REF!</definedName>
    <definedName name="결사명세">#REF!</definedName>
    <definedName name="경리손익" localSheetId="11" hidden="1">{#N/A,#N/A,FALSE,"정공"}</definedName>
    <definedName name="경리손익" localSheetId="3" hidden="1">{#N/A,#N/A,FALSE,"정공"}</definedName>
    <definedName name="경리손익" hidden="1">{#N/A,#N/A,FALSE,"정공"}</definedName>
    <definedName name="경비" localSheetId="11">[34]수입2!#REF!</definedName>
    <definedName name="경비" localSheetId="3">[34]수입2!#REF!</definedName>
    <definedName name="경비">[34]수입2!#REF!</definedName>
    <definedName name="경비실적" localSheetId="11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 localSheetId="11">#REF!</definedName>
    <definedName name="경비율" localSheetId="3">#REF!</definedName>
    <definedName name="경비율">#REF!</definedName>
    <definedName name="계" localSheetId="11">#REF!</definedName>
    <definedName name="계" localSheetId="3">#REF!</definedName>
    <definedName name="계">#REF!</definedName>
    <definedName name="계약내역" localSheetId="11">#REF!</definedName>
    <definedName name="계약내역" localSheetId="3">#REF!</definedName>
    <definedName name="계약내역">#REF!</definedName>
    <definedName name="계약총" localSheetId="11">#REF!</definedName>
    <definedName name="계약총" localSheetId="3">#REF!</definedName>
    <definedName name="계약총">#REF!</definedName>
    <definedName name="계약총액" localSheetId="11">#REF!</definedName>
    <definedName name="계약총액" localSheetId="3">#REF!</definedName>
    <definedName name="계약총액">#REF!</definedName>
    <definedName name="계약총액2001" localSheetId="11">#REF!</definedName>
    <definedName name="계약총액2001" localSheetId="3">#REF!</definedName>
    <definedName name="계약총액2001">#REF!</definedName>
    <definedName name="계약총액2002" localSheetId="11">#REF!</definedName>
    <definedName name="계약총액2002" localSheetId="3">#REF!</definedName>
    <definedName name="계약총액2002">#REF!</definedName>
    <definedName name="계약총액2222" localSheetId="11">#REF!</definedName>
    <definedName name="계약총액2222" localSheetId="3">#REF!</definedName>
    <definedName name="계약총액2222">#REF!</definedName>
    <definedName name="계장" localSheetId="11">#REF!</definedName>
    <definedName name="계장" localSheetId="3">#REF!</definedName>
    <definedName name="계장">#REF!</definedName>
    <definedName name="計定明細.書2.A" localSheetId="11">'[35]24.보증금(전신전화가입권)'!#REF!</definedName>
    <definedName name="計定明細.書2.A" localSheetId="3">'[35]24.보증금(전신전화가입권)'!#REF!</definedName>
    <definedName name="計定明細.書2.A">'[35]24.보증금(전신전화가입권)'!#REF!</definedName>
    <definedName name="計定明細.書2.B" localSheetId="11">'[35]24.보증금(전신전화가입권)'!#REF!</definedName>
    <definedName name="計定明細.書2.B" localSheetId="3">'[35]24.보증금(전신전화가입권)'!#REF!</definedName>
    <definedName name="計定明細.書2.B">'[35]24.보증금(전신전화가입권)'!#REF!</definedName>
    <definedName name="計定明細.書2.D" localSheetId="11">'[35]24.보증금(전신전화가입권)'!#REF!</definedName>
    <definedName name="計定明細.書2.D" localSheetId="3">'[35]24.보증금(전신전화가입권)'!#REF!</definedName>
    <definedName name="計定明細.書2.D">'[35]24.보증금(전신전화가입권)'!#REF!</definedName>
    <definedName name="계획" localSheetId="11" hidden="1">{#N/A,#N/A,FALSE,"정공"}</definedName>
    <definedName name="계획" localSheetId="3" hidden="1">{#N/A,#N/A,FALSE,"정공"}</definedName>
    <definedName name="계획" hidden="1">{#N/A,#N/A,FALSE,"정공"}</definedName>
    <definedName name="계획2" localSheetId="11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11">[0]!BlankMacro1</definedName>
    <definedName name="고" localSheetId="3">[0]!BlankMacro1</definedName>
    <definedName name="고">[0]!BlankMacro1</definedName>
    <definedName name="고용보험료율" localSheetId="11">#REF!</definedName>
    <definedName name="고용보험료율" localSheetId="3">#REF!</definedName>
    <definedName name="고용보험료율">#REF!</definedName>
    <definedName name="곤ㅇ" localSheetId="11" hidden="1">{#N/A,#N/A,FALSE,"전력간선"}</definedName>
    <definedName name="곤ㅇ" localSheetId="3" hidden="1">{#N/A,#N/A,FALSE,"전력간선"}</definedName>
    <definedName name="곤ㅇ" hidden="1">{#N/A,#N/A,FALSE,"전력간선"}</definedName>
    <definedName name="골조사이클" localSheetId="11" hidden="1">'[3]입찰내역 발주처 양식'!#REF!</definedName>
    <definedName name="골조사이클" localSheetId="3" hidden="1">'[3]입찰내역 발주처 양식'!#REF!</definedName>
    <definedName name="골조사이클" hidden="1">'[3]입찰내역 발주처 양식'!#REF!</definedName>
    <definedName name="곰" localSheetId="11" hidden="1">{#N/A,#N/A,FALSE,"구조1"}</definedName>
    <definedName name="곰" localSheetId="3" hidden="1">{#N/A,#N/A,FALSE,"구조1"}</definedName>
    <definedName name="곰" hidden="1">{#N/A,#N/A,FALSE,"구조1"}</definedName>
    <definedName name="공___종" localSheetId="11">#REF!</definedName>
    <definedName name="공___종" localSheetId="3">#REF!</definedName>
    <definedName name="공___종">#REF!</definedName>
    <definedName name="공관" localSheetId="11">[0]!BlankMacro1</definedName>
    <definedName name="공관" localSheetId="3">[0]!BlankMacro1</definedName>
    <definedName name="공관">[0]!BlankMacro1</definedName>
    <definedName name="공급가액" localSheetId="11">#REF!</definedName>
    <definedName name="공급가액" localSheetId="3">#REF!</definedName>
    <definedName name="공급가액">#REF!</definedName>
    <definedName name="공내역서2" localSheetId="11">#REF!</definedName>
    <definedName name="공내역서2" localSheetId="3">#REF!</definedName>
    <definedName name="공내역서2">#REF!</definedName>
    <definedName name="공사개요1" localSheetId="11">#REF!</definedName>
    <definedName name="공사개요1" localSheetId="3">#REF!</definedName>
    <definedName name="공사개요1">#REF!</definedName>
    <definedName name="공사개요2" localSheetId="11">#REF!</definedName>
    <definedName name="공사개요2" localSheetId="3">#REF!</definedName>
    <definedName name="공사개요2">#REF!</definedName>
    <definedName name="공사개요3" localSheetId="11">#REF!</definedName>
    <definedName name="공사개요3" localSheetId="3">#REF!</definedName>
    <definedName name="공사개요3">#REF!</definedName>
    <definedName name="공사개요4" localSheetId="11">#REF!</definedName>
    <definedName name="공사개요4" localSheetId="3">#REF!</definedName>
    <definedName name="공사개요4">#REF!</definedName>
    <definedName name="공사명" localSheetId="11">#REF!</definedName>
    <definedName name="공사명" localSheetId="3">#REF!</definedName>
    <definedName name="공사명">#REF!</definedName>
    <definedName name="공사비" localSheetId="11">#REF!</definedName>
    <definedName name="공사비" localSheetId="3">#REF!</definedName>
    <definedName name="공사비">#REF!</definedName>
    <definedName name="공사원가" localSheetId="11">#REF!</definedName>
    <definedName name="공사원가" localSheetId="3">#REF!</definedName>
    <definedName name="공사원가">#REF!</definedName>
    <definedName name="공수투입" localSheetId="11" hidden="1">{#N/A,#N/A,FALSE,"정공"}</definedName>
    <definedName name="공수투입" localSheetId="3" hidden="1">{#N/A,#N/A,FALSE,"정공"}</definedName>
    <definedName name="공수투입" hidden="1">{#N/A,#N/A,FALSE,"정공"}</definedName>
    <definedName name="공용" localSheetId="11">#REF!</definedName>
    <definedName name="공용" localSheetId="3">#REF!</definedName>
    <definedName name="공용">#REF!</definedName>
    <definedName name="공일" localSheetId="11">#REF!</definedName>
    <definedName name="공일" localSheetId="3">#REF!</definedName>
    <definedName name="공일">#REF!</definedName>
    <definedName name="공정" localSheetId="11">[0]!BlankMacro1</definedName>
    <definedName name="공정" localSheetId="3">[0]!BlankMacro1</definedName>
    <definedName name="공정">[0]!BlankMacro1</definedName>
    <definedName name="공정1" localSheetId="11">[0]!BlankMacro1</definedName>
    <definedName name="공정1" localSheetId="3">[0]!BlankMacro1</definedName>
    <definedName name="공정1">[0]!BlankMacro1</definedName>
    <definedName name="공정2" localSheetId="11">[0]!BlankMacro1</definedName>
    <definedName name="공정2" localSheetId="3">[0]!BlankMacro1</definedName>
    <definedName name="공정2">[0]!BlankMacro1</definedName>
    <definedName name="공정3" localSheetId="11">[0]!BlankMacro1</definedName>
    <definedName name="공정3" localSheetId="3">[0]!BlankMacro1</definedName>
    <definedName name="공정3">[0]!BlankMacro1</definedName>
    <definedName name="공정관리" localSheetId="11">[0]!BlankMacro1</definedName>
    <definedName name="공정관리" localSheetId="3">[0]!BlankMacro1</definedName>
    <definedName name="공정관리">[0]!BlankMacro1</definedName>
    <definedName name="공조실급수2" localSheetId="11">#REF!</definedName>
    <definedName name="공조실급수2" localSheetId="3">#REF!</definedName>
    <definedName name="공조실급수2">#REF!</definedName>
    <definedName name="과학" localSheetId="11">#REF!</definedName>
    <definedName name="과학" localSheetId="3">#REF!</definedName>
    <definedName name="과학">#REF!</definedName>
    <definedName name="과학실" localSheetId="11">#REF!</definedName>
    <definedName name="과학실" localSheetId="3">#REF!</definedName>
    <definedName name="과학실">#REF!</definedName>
    <definedName name="관급" localSheetId="11">#REF!,#REF!,#REF!</definedName>
    <definedName name="관급" localSheetId="3">#REF!,#REF!,#REF!</definedName>
    <definedName name="관급">#REF!,#REF!,#REF!</definedName>
    <definedName name="관급자재대" localSheetId="11">#REF!</definedName>
    <definedName name="관급자재대" localSheetId="3">#REF!</definedName>
    <definedName name="관급자재대">#REF!</definedName>
    <definedName name="관급자재비" localSheetId="11">#REF!</definedName>
    <definedName name="관급자재비" localSheetId="3">#REF!</definedName>
    <definedName name="관급자재비">#REF!</definedName>
    <definedName name="관목계" localSheetId="11">#REF!</definedName>
    <definedName name="관목계" localSheetId="3">#REF!</definedName>
    <definedName name="관목계">#REF!</definedName>
    <definedName name="광명" localSheetId="11">#REF!</definedName>
    <definedName name="광명" localSheetId="3">#REF!</definedName>
    <definedName name="광명">#REF!</definedName>
    <definedName name="교과" localSheetId="11">#REF!</definedName>
    <definedName name="교과" localSheetId="3">#REF!</definedName>
    <definedName name="교과">#REF!</definedName>
    <definedName name="교목계" localSheetId="11">#REF!</definedName>
    <definedName name="교목계" localSheetId="3">#REF!</definedName>
    <definedName name="교목계">#REF!</definedName>
    <definedName name="교무" localSheetId="11">#REF!</definedName>
    <definedName name="교무" localSheetId="3">#REF!</definedName>
    <definedName name="교무">#REF!</definedName>
    <definedName name="교사" localSheetId="11">#REF!</definedName>
    <definedName name="교사" localSheetId="3">#REF!</definedName>
    <definedName name="교사">#REF!</definedName>
    <definedName name="교장" localSheetId="11">#REF!</definedName>
    <definedName name="교장" localSheetId="3">#REF!</definedName>
    <definedName name="교장">#REF!</definedName>
    <definedName name="구분" localSheetId="11">BlankMacro1</definedName>
    <definedName name="구분" localSheetId="3">BlankMacro1</definedName>
    <definedName name="구분">BlankMacro1</definedName>
    <definedName name="구분1" localSheetId="11">BlankMacro1</definedName>
    <definedName name="구분1" localSheetId="3">BlankMacro1</definedName>
    <definedName name="구분1">BlankMacro1</definedName>
    <definedName name="구조물공" localSheetId="11" hidden="1">{#N/A,#N/A,FALSE,"이정표"}</definedName>
    <definedName name="구조물공" localSheetId="3" hidden="1">{#N/A,#N/A,FALSE,"이정표"}</definedName>
    <definedName name="구조물공" hidden="1">{#N/A,#N/A,FALSE,"이정표"}</definedName>
    <definedName name="국가명" localSheetId="11">#REF!</definedName>
    <definedName name="국가명" localSheetId="3">#REF!</definedName>
    <definedName name="국가명">#REF!</definedName>
    <definedName name="국내abs" localSheetId="11">#REF!</definedName>
    <definedName name="국내abs" localSheetId="3">#REF!</definedName>
    <definedName name="국내abs">#REF!</definedName>
    <definedName name="국어" localSheetId="11">#REF!</definedName>
    <definedName name="국어" localSheetId="3">#REF!</definedName>
    <definedName name="국어">#REF!</definedName>
    <definedName name="국퇴전">'[36]25.보증금(임차보증금외)'!$A$2:$D$30</definedName>
    <definedName name="권" localSheetId="11">[0]!BlankMacro1</definedName>
    <definedName name="권" localSheetId="3">[0]!BlankMacro1</definedName>
    <definedName name="권">[0]!BlankMacro1</definedName>
    <definedName name="궘규한" localSheetId="11">[0]!BlankMacro1</definedName>
    <definedName name="궘규한" localSheetId="3">[0]!BlankMacro1</definedName>
    <definedName name="궘규한">[0]!BlankMacro1</definedName>
    <definedName name="균" localSheetId="11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11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11">#REF!</definedName>
    <definedName name="금마타리" localSheetId="3">#REF!</definedName>
    <definedName name="금마타리">#REF!</definedName>
    <definedName name="금변금간접노무비" localSheetId="11">#REF!</definedName>
    <definedName name="금변금간접노무비" localSheetId="3">#REF!</definedName>
    <definedName name="금변금간접노무비">#REF!</definedName>
    <definedName name="금변금고용보험료" localSheetId="11">#REF!</definedName>
    <definedName name="금변금고용보험료" localSheetId="3">#REF!</definedName>
    <definedName name="금변금고용보험료">#REF!</definedName>
    <definedName name="금변금공급가액" localSheetId="11">#REF!</definedName>
    <definedName name="금변금공급가액" localSheetId="3">#REF!</definedName>
    <definedName name="금변금공급가액">#REF!</definedName>
    <definedName name="금변금공사원가" localSheetId="11">#REF!</definedName>
    <definedName name="금변금공사원가" localSheetId="3">#REF!</definedName>
    <definedName name="금변금공사원가">#REF!</definedName>
    <definedName name="금변금기타경비" localSheetId="11">#REF!</definedName>
    <definedName name="금변금기타경비" localSheetId="3">#REF!</definedName>
    <definedName name="금변금기타경비">#REF!</definedName>
    <definedName name="금변금도급액" localSheetId="11">#REF!</definedName>
    <definedName name="금변금도급액" localSheetId="3">#REF!</definedName>
    <definedName name="금변금도급액">#REF!</definedName>
    <definedName name="금변금부가가치세" localSheetId="11">#REF!</definedName>
    <definedName name="금변금부가가치세" localSheetId="3">#REF!</definedName>
    <definedName name="금변금부가가치세">#REF!</definedName>
    <definedName name="금변금산재보험료" localSheetId="11">#REF!</definedName>
    <definedName name="금변금산재보험료" localSheetId="3">#REF!</definedName>
    <definedName name="금변금산재보험료">#REF!</definedName>
    <definedName name="금변금순공사원가" localSheetId="11">#REF!</definedName>
    <definedName name="금변금순공사원가" localSheetId="3">#REF!</definedName>
    <definedName name="금변금순공사원가">#REF!</definedName>
    <definedName name="금변금안전관리비" localSheetId="11">#REF!</definedName>
    <definedName name="금변금안전관리비" localSheetId="3">#REF!</definedName>
    <definedName name="금변금안전관리비">#REF!</definedName>
    <definedName name="금변금이윤" localSheetId="11">#REF!</definedName>
    <definedName name="금변금이윤" localSheetId="3">#REF!</definedName>
    <definedName name="금변금이윤">#REF!</definedName>
    <definedName name="금변금일반관리비" localSheetId="11">#REF!</definedName>
    <definedName name="금변금일반관리비" localSheetId="3">#REF!</definedName>
    <definedName name="금변금일반관리비">#REF!</definedName>
    <definedName name="금변금폐기물처리비" localSheetId="11">#REF!</definedName>
    <definedName name="금변금폐기물처리비" localSheetId="3">#REF!</definedName>
    <definedName name="금변금폐기물처리비">#REF!</definedName>
    <definedName name="금변전간접노무비" localSheetId="11">#REF!</definedName>
    <definedName name="금변전간접노무비" localSheetId="3">#REF!</definedName>
    <definedName name="금변전간접노무비">#REF!</definedName>
    <definedName name="금변전고용보험료" localSheetId="11">#REF!</definedName>
    <definedName name="금변전고용보험료" localSheetId="3">#REF!</definedName>
    <definedName name="금변전고용보험료">#REF!</definedName>
    <definedName name="금변전공급가액" localSheetId="11">#REF!</definedName>
    <definedName name="금변전공급가액" localSheetId="3">#REF!</definedName>
    <definedName name="금변전공급가액">#REF!</definedName>
    <definedName name="금변전공사원가" localSheetId="11">#REF!</definedName>
    <definedName name="금변전공사원가" localSheetId="3">#REF!</definedName>
    <definedName name="금변전공사원가">#REF!</definedName>
    <definedName name="금변전기타경비" localSheetId="11">#REF!</definedName>
    <definedName name="금변전기타경비" localSheetId="3">#REF!</definedName>
    <definedName name="금변전기타경비">#REF!</definedName>
    <definedName name="금변전도급액" localSheetId="11">#REF!</definedName>
    <definedName name="금변전도급액" localSheetId="3">#REF!</definedName>
    <definedName name="금변전도급액">#REF!</definedName>
    <definedName name="금변전부가가치세" localSheetId="11">#REF!</definedName>
    <definedName name="금변전부가가치세" localSheetId="3">#REF!</definedName>
    <definedName name="금변전부가가치세">#REF!</definedName>
    <definedName name="금변전산재보험료" localSheetId="11">#REF!</definedName>
    <definedName name="금변전산재보험료" localSheetId="3">#REF!</definedName>
    <definedName name="금변전산재보험료">#REF!</definedName>
    <definedName name="금변전순공사원가" localSheetId="11">#REF!</definedName>
    <definedName name="금변전순공사원가" localSheetId="3">#REF!</definedName>
    <definedName name="금변전순공사원가">#REF!</definedName>
    <definedName name="금변전안전관리비" localSheetId="11">#REF!</definedName>
    <definedName name="금변전안전관리비" localSheetId="3">#REF!</definedName>
    <definedName name="금변전안전관리비">#REF!</definedName>
    <definedName name="금변전이윤" localSheetId="11">#REF!</definedName>
    <definedName name="금변전이윤" localSheetId="3">#REF!</definedName>
    <definedName name="금변전이윤">#REF!</definedName>
    <definedName name="금변전일반관리비" localSheetId="11">#REF!</definedName>
    <definedName name="금변전일반관리비" localSheetId="3">#REF!</definedName>
    <definedName name="금변전일반관리비">#REF!</definedName>
    <definedName name="금변전폐기물처리비" localSheetId="11">#REF!</definedName>
    <definedName name="금변전폐기물처리비" localSheetId="3">#REF!</definedName>
    <definedName name="금변전폐기물처리비">#REF!</definedName>
    <definedName name="금속서강" localSheetId="11" hidden="1">{"'별표'!$N$220"}</definedName>
    <definedName name="금속서강" localSheetId="3" hidden="1">{"'별표'!$N$220"}</definedName>
    <definedName name="금속서강" hidden="1">{"'별표'!$N$220"}</definedName>
    <definedName name="금월" localSheetId="11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11">#REF!</definedName>
    <definedName name="금회공사원가금회" localSheetId="3">#REF!</definedName>
    <definedName name="금회공사원가금회">#REF!</definedName>
    <definedName name="금회공사원가기시행" localSheetId="11">#REF!</definedName>
    <definedName name="금회공사원가기시행" localSheetId="3">#REF!</definedName>
    <definedName name="금회공사원가기시행">#REF!</definedName>
    <definedName name="금회공사원가전체" localSheetId="11">#REF!</definedName>
    <definedName name="금회공사원가전체" localSheetId="3">#REF!</definedName>
    <definedName name="금회공사원가전체">#REF!</definedName>
    <definedName name="금회금간접노무비" localSheetId="11">#REF!</definedName>
    <definedName name="금회금간접노무비" localSheetId="3">#REF!</definedName>
    <definedName name="금회금간접노무비">#REF!</definedName>
    <definedName name="금회금고용보험료" localSheetId="11">#REF!</definedName>
    <definedName name="금회금고용보험료" localSheetId="3">#REF!</definedName>
    <definedName name="금회금고용보험료">#REF!</definedName>
    <definedName name="금회금공사원가" localSheetId="11">#REF!</definedName>
    <definedName name="금회금공사원가" localSheetId="3">#REF!</definedName>
    <definedName name="금회금공사원가">#REF!</definedName>
    <definedName name="금회금기타경비" localSheetId="11">#REF!</definedName>
    <definedName name="금회금기타경비" localSheetId="3">#REF!</definedName>
    <definedName name="금회금기타경비">#REF!</definedName>
    <definedName name="금회금산재보험료" localSheetId="11">#REF!</definedName>
    <definedName name="금회금산재보험료" localSheetId="3">#REF!</definedName>
    <definedName name="금회금산재보험료">#REF!</definedName>
    <definedName name="금회금안전관리비" localSheetId="11">#REF!</definedName>
    <definedName name="금회금안전관리비" localSheetId="3">#REF!</definedName>
    <definedName name="금회금안전관리비">#REF!</definedName>
    <definedName name="금회금이윤" localSheetId="11">#REF!</definedName>
    <definedName name="금회금이윤" localSheetId="3">#REF!</definedName>
    <definedName name="금회금이윤">#REF!</definedName>
    <definedName name="금회금일반관리비" localSheetId="11">#REF!</definedName>
    <definedName name="금회금일반관리비" localSheetId="3">#REF!</definedName>
    <definedName name="금회금일반관리비">#REF!</definedName>
    <definedName name="금회금제이윤" localSheetId="11">#REF!</definedName>
    <definedName name="금회금제이윤" localSheetId="3">#REF!</definedName>
    <definedName name="금회금제이윤">#REF!</definedName>
    <definedName name="금회금폐기물처리비" localSheetId="11">#REF!</definedName>
    <definedName name="금회금폐기물처리비" localSheetId="3">#REF!</definedName>
    <definedName name="금회금폐기물처리비">#REF!</definedName>
    <definedName name="금회기공사원가" localSheetId="11">#REF!</definedName>
    <definedName name="금회기공사원가" localSheetId="3">#REF!</definedName>
    <definedName name="금회기공사원가">#REF!</definedName>
    <definedName name="금회장공사원가" localSheetId="11">#REF!</definedName>
    <definedName name="금회장공사원가" localSheetId="3">#REF!</definedName>
    <definedName name="금회장공사원가">#REF!</definedName>
    <definedName name="금회전공사원가" localSheetId="11">#REF!</definedName>
    <definedName name="금회전공사원가" localSheetId="3">#REF!</definedName>
    <definedName name="금회전공사원가">#REF!</definedName>
    <definedName name="급식" localSheetId="11">#REF!</definedName>
    <definedName name="급식" localSheetId="3">#REF!</definedName>
    <definedName name="급식">#REF!</definedName>
    <definedName name="기">#N/A</definedName>
    <definedName name="기계" localSheetId="11">#REF!</definedName>
    <definedName name="기계" localSheetId="3">#REF!</definedName>
    <definedName name="기계">#REF!</definedName>
    <definedName name="기계3" localSheetId="11">BlankMacro1</definedName>
    <definedName name="기계3" localSheetId="3">BlankMacro1</definedName>
    <definedName name="기계3">BlankMacro1</definedName>
    <definedName name="기관명" localSheetId="11">#REF!</definedName>
    <definedName name="기관명" localSheetId="3">#REF!</definedName>
    <definedName name="기관명">#REF!</definedName>
    <definedName name="기명기" localSheetId="11">'[37]24.보증금(전신전화가입권)'!#REF!</definedName>
    <definedName name="기명기" localSheetId="3">'[37]24.보증금(전신전화가입권)'!#REF!</definedName>
    <definedName name="기명기">'[37]24.보증금(전신전화가입권)'!#REF!</definedName>
    <definedName name="기술" localSheetId="11">#REF!</definedName>
    <definedName name="기술" localSheetId="3">#REF!</definedName>
    <definedName name="기술">#REF!</definedName>
    <definedName name="기아모텍" localSheetId="11" hidden="1">{#N/A,#N/A,FALSE,"정공"}</definedName>
    <definedName name="기아모텍" localSheetId="3" hidden="1">{#N/A,#N/A,FALSE,"정공"}</definedName>
    <definedName name="기아모텍" hidden="1">{#N/A,#N/A,FALSE,"정공"}</definedName>
    <definedName name="기아전자" localSheetId="11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11">#REF!</definedName>
    <definedName name="기초단가" localSheetId="3">#REF!</definedName>
    <definedName name="기초단가">#REF!</definedName>
    <definedName name="기초단가1" localSheetId="11">#REF!</definedName>
    <definedName name="기초단가1" localSheetId="3">#REF!</definedName>
    <definedName name="기초단가1">#REF!</definedName>
    <definedName name="기타경비" localSheetId="11">#REF!</definedName>
    <definedName name="기타경비" localSheetId="3">#REF!</definedName>
    <definedName name="기타경비">#REF!</definedName>
    <definedName name="기타경비율" localSheetId="11">#REF!</definedName>
    <definedName name="기타경비율" localSheetId="3">#REF!</definedName>
    <definedName name="기타경비율">#REF!</definedName>
    <definedName name="김" localSheetId="11" hidden="1">[38]대비!#REF!</definedName>
    <definedName name="김" localSheetId="3" hidden="1">[38]대비!#REF!</definedName>
    <definedName name="김" hidden="1">[38]대비!#REF!</definedName>
    <definedName name="김상구" localSheetId="11">[0]!BlankMacro1</definedName>
    <definedName name="김상구" localSheetId="3">[0]!BlankMacro1</definedName>
    <definedName name="김상구">[0]!BlankMacro1</definedName>
    <definedName name="꽃창포" localSheetId="11">#REF!</definedName>
    <definedName name="꽃창포" localSheetId="3">#REF!</definedName>
    <definedName name="꽃창포">#REF!</definedName>
    <definedName name="꽃향유" localSheetId="11">#REF!</definedName>
    <definedName name="꽃향유" localSheetId="3">#REF!</definedName>
    <definedName name="꽃향유">#REF!</definedName>
    <definedName name="ㄴ" localSheetId="11">[0]!BlankMacro1</definedName>
    <definedName name="ㄴ" localSheetId="3">[0]!BlankMacro1</definedName>
    <definedName name="ㄴ">[0]!BlankMacro1</definedName>
    <definedName name="ㄴㄴ" localSheetId="11">#REF!</definedName>
    <definedName name="ㄴㄴ" localSheetId="3">#REF!</definedName>
    <definedName name="ㄴㄴ">#REF!</definedName>
    <definedName name="ㄴㄴㄴ" localSheetId="11">#REF!</definedName>
    <definedName name="ㄴㄴㄴ" localSheetId="3">#REF!</definedName>
    <definedName name="ㄴㄴㄴ">#REF!</definedName>
    <definedName name="ㄴㄴㄴㄴㄴ" localSheetId="11" hidden="1">{"'별표'!$N$220"}</definedName>
    <definedName name="ㄴㄴㄴㄴㄴ" localSheetId="3" hidden="1">{"'별표'!$N$220"}</definedName>
    <definedName name="ㄴㄴㄴㄴㄴ" hidden="1">{"'별표'!$N$220"}</definedName>
    <definedName name="ㄴㄺㄷ" localSheetId="11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11" hidden="1">[30]CTEMCOST!#REF!</definedName>
    <definedName name="ㄴㅁㅇㄻㄴㅇㄹ" localSheetId="3" hidden="1">[30]CTEMCOST!#REF!</definedName>
    <definedName name="ㄴㅁㅇㄻㄴㅇㄹ" hidden="1">[30]CTEMCOST!#REF!</definedName>
    <definedName name="ㄴㅇ" localSheetId="11">#REF!</definedName>
    <definedName name="ㄴㅇ" localSheetId="3">#REF!</definedName>
    <definedName name="ㄴㅇ">#REF!</definedName>
    <definedName name="ㄴㅇㄴㄹㅇㄴㅁ" localSheetId="11" hidden="1">#REF!</definedName>
    <definedName name="ㄴㅇㄴㄹㅇㄴㅁ" localSheetId="3" hidden="1">#REF!</definedName>
    <definedName name="ㄴㅇㄴㄹㅇㄴㅁ" hidden="1">#REF!</definedName>
    <definedName name="ㄴㅇㄹ" localSheetId="11" hidden="1">{#N/A,#N/A,FALSE,"전력간선"}</definedName>
    <definedName name="ㄴㅇㄹ" localSheetId="3" hidden="1">{#N/A,#N/A,FALSE,"전력간선"}</definedName>
    <definedName name="ㄴㅇㄹ" hidden="1">{#N/A,#N/A,FALSE,"전력간선"}</definedName>
    <definedName name="ㄴㅇ란ㅇ" localSheetId="11">[0]!BlankMacro1</definedName>
    <definedName name="ㄴㅇ란ㅇ" localSheetId="3">[0]!BlankMacro1</definedName>
    <definedName name="ㄴㅇ란ㅇ">[0]!BlankMacro1</definedName>
    <definedName name="ㄴㅇㅀㅁㅇㅎㄴㅇㅁㅀㅇㅀㄴㅇㅀ" localSheetId="11" hidden="1">{#N/A,#N/A,FALSE,"정공"}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11">[0]!BlankMacro1</definedName>
    <definedName name="ㄴㅇㅎ" localSheetId="3">[0]!BlankMacro1</definedName>
    <definedName name="ㄴㅇㅎ">[0]!BlankMacro1</definedName>
    <definedName name="나." localSheetId="11">#REF!</definedName>
    <definedName name="나." localSheetId="3">#REF!</definedName>
    <definedName name="나.">#REF!</definedName>
    <definedName name="나라사랑" localSheetId="11" hidden="1">{#N/A,#N/A,FALSE,"정공"}</definedName>
    <definedName name="나라사랑" localSheetId="3" hidden="1">{#N/A,#N/A,FALSE,"정공"}</definedName>
    <definedName name="나라사랑" hidden="1">{#N/A,#N/A,FALSE,"정공"}</definedName>
    <definedName name="나무라오" localSheetId="11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11">[0]!BlankMacro1</definedName>
    <definedName name="나오시오" localSheetId="3">[0]!BlankMacro1</definedName>
    <definedName name="나오시오">[0]!BlankMacro1</definedName>
    <definedName name="난데어이" localSheetId="11">[0]!BlankMacro1</definedName>
    <definedName name="난데어이" localSheetId="3">[0]!BlankMacro1</definedName>
    <definedName name="난데어이">[0]!BlankMacro1</definedName>
    <definedName name="남덕" localSheetId="11">BlankMacro1</definedName>
    <definedName name="남덕" localSheetId="3">BlankMacro1</definedName>
    <definedName name="남덕">BlankMacro1</definedName>
    <definedName name="남덕1" localSheetId="11">BlankMacro1</definedName>
    <definedName name="남덕1" localSheetId="3">BlankMacro1</definedName>
    <definedName name="남덕1">BlankMacro1</definedName>
    <definedName name="남의나라" localSheetId="11" hidden="1">{#N/A,#N/A,FALSE,"정공"}</definedName>
    <definedName name="남의나라" localSheetId="3" hidden="1">{#N/A,#N/A,FALSE,"정공"}</definedName>
    <definedName name="남의나라" hidden="1">{#N/A,#N/A,FALSE,"정공"}</definedName>
    <definedName name="낭" localSheetId="11">[0]!BlankMacro1</definedName>
    <definedName name="낭" localSheetId="3">[0]!BlankMacro1</definedName>
    <definedName name="낭">[0]!BlankMacro1</definedName>
    <definedName name="내">#N/A</definedName>
    <definedName name="내맘" localSheetId="11">#REF!</definedName>
    <definedName name="내맘" localSheetId="3">#REF!</definedName>
    <definedName name="내맘">#REF!</definedName>
    <definedName name="내선" localSheetId="11">#REF!</definedName>
    <definedName name="내선" localSheetId="3">#REF!</definedName>
    <definedName name="내선">#REF!</definedName>
    <definedName name="내역" localSheetId="11">#REF!</definedName>
    <definedName name="내역" localSheetId="3">#REF!</definedName>
    <definedName name="내역">#REF!</definedName>
    <definedName name="내역서" localSheetId="11">#REF!</definedName>
    <definedName name="내역서" localSheetId="3">#REF!</definedName>
    <definedName name="내역서">#REF!</definedName>
    <definedName name="내장" localSheetId="11">#REF!</definedName>
    <definedName name="내장" localSheetId="3">#REF!</definedName>
    <definedName name="내장">#REF!</definedName>
    <definedName name="낵역4" localSheetId="11">#REF!</definedName>
    <definedName name="낵역4" localSheetId="3">#REF!</definedName>
    <definedName name="낵역4">#REF!</definedName>
    <definedName name="년___월___일_까지" localSheetId="11">[7]수선비!#REF!</definedName>
    <definedName name="년___월___일_까지" localSheetId="3">[7]수선비!#REF!</definedName>
    <definedName name="년___월___일_까지">[7]수선비!#REF!</definedName>
    <definedName name="노무" localSheetId="11">#REF!</definedName>
    <definedName name="노무" localSheetId="3">#REF!</definedName>
    <definedName name="노무">#REF!</definedName>
    <definedName name="노무단가할증" localSheetId="11">#REF!</definedName>
    <definedName name="노무단가할증" localSheetId="3">#REF!</definedName>
    <definedName name="노무단가할증">#REF!</definedName>
    <definedName name="노무비총액" localSheetId="11">#REF!</definedName>
    <definedName name="노무비총액" localSheetId="3">#REF!</definedName>
    <definedName name="노무비총액">#REF!</definedName>
    <definedName name="노무수량할증" localSheetId="11">#REF!</definedName>
    <definedName name="노무수량할증" localSheetId="3">#REF!</definedName>
    <definedName name="노무수량할증">#REF!</definedName>
    <definedName name="노임" localSheetId="11">BlankMacro1</definedName>
    <definedName name="노임" localSheetId="3">BlankMacro1</definedName>
    <definedName name="노임">BlankMacro1</definedName>
    <definedName name="노임1" localSheetId="11">BlankMacro1</definedName>
    <definedName name="노임1" localSheetId="3">BlankMacro1</definedName>
    <definedName name="노임1">BlankMacro1</definedName>
    <definedName name="노출직부" localSheetId="11">#REF!</definedName>
    <definedName name="노출직부" localSheetId="3">#REF!</definedName>
    <definedName name="노출직부">#REF!</definedName>
    <definedName name="눈주목" localSheetId="11">#REF!</definedName>
    <definedName name="눈주목" localSheetId="3">#REF!</definedName>
    <definedName name="눈주목">#REF!</definedName>
    <definedName name="느티나무" localSheetId="11">#REF!</definedName>
    <definedName name="느티나무" localSheetId="3">#REF!</definedName>
    <definedName name="느티나무">#REF!</definedName>
    <definedName name="ㄶㅇ" localSheetId="11">[0]!BlankMacro1</definedName>
    <definedName name="ㄶㅇ" localSheetId="3">[0]!BlankMacro1</definedName>
    <definedName name="ㄶㅇ">[0]!BlankMacro1</definedName>
    <definedName name="ㄷ" localSheetId="11">[0]!BlankMacro1</definedName>
    <definedName name="ㄷ" localSheetId="3">[0]!BlankMacro1</definedName>
    <definedName name="ㄷ">[0]!BlankMacro1</definedName>
    <definedName name="ㄷㄱ" localSheetId="11" hidden="1">{#N/A,#N/A,FALSE,"포장2"}</definedName>
    <definedName name="ㄷㄱ" localSheetId="3" hidden="1">{#N/A,#N/A,FALSE,"포장2"}</definedName>
    <definedName name="ㄷㄱ" hidden="1">{#N/A,#N/A,FALSE,"포장2"}</definedName>
    <definedName name="ㄷㄷ" localSheetId="11">BlankMacro1</definedName>
    <definedName name="ㄷㄷ" localSheetId="3">BlankMacro1</definedName>
    <definedName name="ㄷㄷ">BlankMacro1</definedName>
    <definedName name="ㄷㄷㄷㄷ" localSheetId="11">[0]!BlankMacro1</definedName>
    <definedName name="ㄷㄷㄷㄷ" localSheetId="3">[0]!BlankMacro1</definedName>
    <definedName name="ㄷㄷㄷㄷ">[0]!BlankMacro1</definedName>
    <definedName name="ㄷㄷㄷㄷㄷ" localSheetId="11">[0]!BlankMacro1</definedName>
    <definedName name="ㄷㄷㄷㄷㄷ" localSheetId="3">[0]!BlankMacro1</definedName>
    <definedName name="ㄷㄷㄷㄷㄷ">[0]!BlankMacro1</definedName>
    <definedName name="ㄷㅇ" localSheetId="11">#REF!</definedName>
    <definedName name="ㄷㅇ" localSheetId="3">#REF!</definedName>
    <definedName name="ㄷㅇ">#REF!</definedName>
    <definedName name="ㄷㅌㅇㅇ" localSheetId="11">[0]!BlankMacro1</definedName>
    <definedName name="ㄷㅌㅇㅇ" localSheetId="3">[0]!BlankMacro1</definedName>
    <definedName name="ㄷㅌㅇㅇ">[0]!BlankMacro1</definedName>
    <definedName name="다." localSheetId="11">#REF!</definedName>
    <definedName name="다." localSheetId="3">#REF!</definedName>
    <definedName name="다.">#REF!</definedName>
    <definedName name="다나가라" localSheetId="11" hidden="1">{#N/A,#N/A,FALSE,"정공"}</definedName>
    <definedName name="다나가라" localSheetId="3" hidden="1">{#N/A,#N/A,FALSE,"정공"}</definedName>
    <definedName name="다나가라" hidden="1">{#N/A,#N/A,FALSE,"정공"}</definedName>
    <definedName name="다니오오" localSheetId="11">[0]!BlankMacro1</definedName>
    <definedName name="다니오오" localSheetId="3">[0]!BlankMacro1</definedName>
    <definedName name="다니오오">[0]!BlankMacro1</definedName>
    <definedName name="다다" localSheetId="11" hidden="1">{#N/A,#N/A,FALSE,"정공"}</definedName>
    <definedName name="다다" localSheetId="3" hidden="1">{#N/A,#N/A,FALSE,"정공"}</definedName>
    <definedName name="다다" hidden="1">{#N/A,#N/A,FALSE,"정공"}</definedName>
    <definedName name="다다익선" localSheetId="11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11">[0]!BlankMacro1</definedName>
    <definedName name="다닫이" localSheetId="3">[0]!BlankMacro1</definedName>
    <definedName name="다닫이">[0]!BlankMacro1</definedName>
    <definedName name="다달이" localSheetId="11" hidden="1">{#N/A,#N/A,FALSE,"정공"}</definedName>
    <definedName name="다달이" localSheetId="3" hidden="1">{#N/A,#N/A,FALSE,"정공"}</definedName>
    <definedName name="다달이" hidden="1">{#N/A,#N/A,FALSE,"정공"}</definedName>
    <definedName name="다라니경" localSheetId="11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11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11">#REF!</definedName>
    <definedName name="단가" localSheetId="3">#REF!</definedName>
    <definedName name="단가">#REF!</definedName>
    <definedName name="단가비교표" localSheetId="11">#REF!,#REF!</definedName>
    <definedName name="단가비교표" localSheetId="3">#REF!,#REF!</definedName>
    <definedName name="단가비교표">#REF!,#REF!</definedName>
    <definedName name="단가적용표" localSheetId="11">#REF!</definedName>
    <definedName name="단가적용표" localSheetId="3">#REF!</definedName>
    <definedName name="단가적용표">#REF!</definedName>
    <definedName name="단기대여금">[39]배서어음명세서!$A$2:$F$31</definedName>
    <definedName name="단말기" localSheetId="11" hidden="1">{#N/A,#N/A,FALSE,"정공"}</definedName>
    <definedName name="단말기" localSheetId="3" hidden="1">{#N/A,#N/A,FALSE,"정공"}</definedName>
    <definedName name="단말기" hidden="1">{#N/A,#N/A,FALSE,"정공"}</definedName>
    <definedName name="단말기번호" localSheetId="11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11">[0]!BlankMacro1</definedName>
    <definedName name="단아라" localSheetId="3">[0]!BlankMacro1</definedName>
    <definedName name="단아라">[0]!BlankMacro1</definedName>
    <definedName name="단아리다" localSheetId="11">[0]!BlankMacro1</definedName>
    <definedName name="단아리다" localSheetId="3">[0]!BlankMacro1</definedName>
    <definedName name="단아리다">[0]!BlankMacro1</definedName>
    <definedName name="단알기" localSheetId="11" hidden="1">{#N/A,#N/A,FALSE,"정공"}</definedName>
    <definedName name="단알기" localSheetId="3" hidden="1">{#N/A,#N/A,FALSE,"정공"}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 localSheetId="11">#REF!</definedName>
    <definedName name="당초구조물공계" localSheetId="3">#REF!</definedName>
    <definedName name="당초구조물공계">#REF!</definedName>
    <definedName name="당초기준손이" localSheetId="11" hidden="1">{#N/A,#N/A,FALSE,"정공"}</definedName>
    <definedName name="당초기준손이" localSheetId="3" hidden="1">{#N/A,#N/A,FALSE,"정공"}</definedName>
    <definedName name="당초기준손이" hidden="1">{#N/A,#N/A,FALSE,"정공"}</definedName>
    <definedName name="당초부대공계" localSheetId="11">#REF!</definedName>
    <definedName name="당초부대공계" localSheetId="3">#REF!</definedName>
    <definedName name="당초부대공계">#REF!</definedName>
    <definedName name="당초손익표" localSheetId="11" hidden="1">{#N/A,#N/A,FALSE,"정공"}</definedName>
    <definedName name="당초손익표" localSheetId="3" hidden="1">{#N/A,#N/A,FALSE,"정공"}</definedName>
    <definedName name="당초손익표" hidden="1">{#N/A,#N/A,FALSE,"정공"}</definedName>
    <definedName name="당초토공계" localSheetId="11">#REF!</definedName>
    <definedName name="당초토공계" localSheetId="3">#REF!</definedName>
    <definedName name="당초토공계">#REF!</definedName>
    <definedName name="당초포장공계" localSheetId="11">#REF!</definedName>
    <definedName name="당초포장공계" localSheetId="3">#REF!</definedName>
    <definedName name="당초포장공계">#REF!</definedName>
    <definedName name="대" hidden="1">'[41]#REF'!$A$45:$A$73</definedName>
    <definedName name="대경갑지" localSheetId="11">#REF!</definedName>
    <definedName name="대경갑지" localSheetId="3">#REF!</definedName>
    <definedName name="대경갑지">#REF!</definedName>
    <definedName name="대나무" localSheetId="11">#REF!</definedName>
    <definedName name="대나무" localSheetId="3">#REF!</definedName>
    <definedName name="대나무">#REF!</definedName>
    <definedName name="대리님" localSheetId="11" hidden="1">{#N/A,#N/A,FALSE,"정공"}</definedName>
    <definedName name="대리님" localSheetId="3" hidden="1">{#N/A,#N/A,FALSE,"정공"}</definedName>
    <definedName name="대리님" hidden="1">{#N/A,#N/A,FALSE,"정공"}</definedName>
    <definedName name="대변합계" localSheetId="11">#REF!</definedName>
    <definedName name="대변합계" localSheetId="3">#REF!</definedName>
    <definedName name="대변합계">#REF!</definedName>
    <definedName name="대비" localSheetId="11">#REF!</definedName>
    <definedName name="대비" localSheetId="3">#REF!</definedName>
    <definedName name="대비">#REF!</definedName>
    <definedName name="대상시트" localSheetId="11" hidden="1">{#N/A,#N/A,FALSE,"정공"}</definedName>
    <definedName name="대상시트" localSheetId="3" hidden="1">{#N/A,#N/A,FALSE,"정공"}</definedName>
    <definedName name="대상시트" hidden="1">{#N/A,#N/A,FALSE,"정공"}</definedName>
    <definedName name="대표회의" localSheetId="11" hidden="1">{#N/A,#N/A,FALSE,"현장 NCR 분석";#N/A,#N/A,FALSE,"현장품질감사";#N/A,#N/A,FALSE,"현장품질감사"}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11">[0]!BlankMacro1</definedName>
    <definedName name="대하하시오" localSheetId="3">[0]!BlankMacro1</definedName>
    <definedName name="대하하시오">[0]!BlankMacro1</definedName>
    <definedName name="덕트" localSheetId="11">#REF!</definedName>
    <definedName name="덕트" localSheetId="3">#REF!</definedName>
    <definedName name="덕트">#REF!</definedName>
    <definedName name="도" localSheetId="11">#REF!</definedName>
    <definedName name="도" localSheetId="3">#REF!</definedName>
    <definedName name="도">#REF!</definedName>
    <definedName name="도급공사" localSheetId="11">#REF!</definedName>
    <definedName name="도급공사" localSheetId="3">#REF!</definedName>
    <definedName name="도급공사">#REF!</definedName>
    <definedName name="도급예산액" localSheetId="11">#REF!</definedName>
    <definedName name="도급예산액" localSheetId="3">#REF!</definedName>
    <definedName name="도급예산액">#REF!</definedName>
    <definedName name="도급예상액" localSheetId="11">#REF!</definedName>
    <definedName name="도급예상액" localSheetId="3">#REF!</definedName>
    <definedName name="도급예상액">#REF!</definedName>
    <definedName name="도급예정액" localSheetId="11">#REF!</definedName>
    <definedName name="도급예정액" localSheetId="3">#REF!</definedName>
    <definedName name="도급예정액">#REF!</definedName>
    <definedName name="도서" localSheetId="11">#REF!</definedName>
    <definedName name="도서" localSheetId="3">#REF!</definedName>
    <definedName name="도서">#REF!</definedName>
    <definedName name="도장" localSheetId="11">#REF!</definedName>
    <definedName name="도장" localSheetId="3">#REF!</definedName>
    <definedName name="도장">#REF!</definedName>
    <definedName name="돌단풍" localSheetId="11">#REF!</definedName>
    <definedName name="돌단풍" localSheetId="3">#REF!</definedName>
    <definedName name="돌단풍">#REF!</definedName>
    <definedName name="동국대불교병원" localSheetId="11">#REF!</definedName>
    <definedName name="동국대불교병원" localSheetId="3">#REF!</definedName>
    <definedName name="동국대불교병원">#REF!</definedName>
    <definedName name="두번째" localSheetId="11" hidden="1">{#N/A,#N/A,FALSE,"정공"}</definedName>
    <definedName name="두번째" localSheetId="3" hidden="1">{#N/A,#N/A,FALSE,"정공"}</definedName>
    <definedName name="두번째" hidden="1">{#N/A,#N/A,FALSE,"정공"}</definedName>
    <definedName name="따" localSheetId="11">BlankMacro1</definedName>
    <definedName name="따" localSheetId="3">BlankMacro1</definedName>
    <definedName name="따">BlankMacro1</definedName>
    <definedName name="ㄹ" localSheetId="11">#REF!</definedName>
    <definedName name="ㄹ" localSheetId="3">#REF!</definedName>
    <definedName name="ㄹ">#REF!</definedName>
    <definedName name="ㄹ2" localSheetId="11">#REF!</definedName>
    <definedName name="ㄹ2" localSheetId="3">#REF!</definedName>
    <definedName name="ㄹ2">#REF!</definedName>
    <definedName name="ㄹㄹㄹ" hidden="1">#N/A</definedName>
    <definedName name="ㄹㅇㅎㄴㅇ" localSheetId="11">[0]!BlankMacro1</definedName>
    <definedName name="ㄹㅇㅎㄴㅇ" localSheetId="3">[0]!BlankMacro1</definedName>
    <definedName name="ㄹㅇㅎㄴㅇ">[0]!BlankMacro1</definedName>
    <definedName name="란다리아" localSheetId="11" hidden="1">{#N/A,#N/A,FALSE,"정공"}</definedName>
    <definedName name="란다리아" localSheetId="3" hidden="1">{#N/A,#N/A,FALSE,"정공"}</definedName>
    <definedName name="란다리아" hidden="1">{#N/A,#N/A,FALSE,"정공"}</definedName>
    <definedName name="레180" localSheetId="11">#REF!</definedName>
    <definedName name="레180" localSheetId="3">#REF!</definedName>
    <definedName name="레180">#REF!</definedName>
    <definedName name="레210" localSheetId="11">#REF!</definedName>
    <definedName name="레210" localSheetId="3">#REF!</definedName>
    <definedName name="레210">#REF!</definedName>
    <definedName name="로6" localSheetId="11">[0]!BlankMacro1</definedName>
    <definedName name="로6" localSheetId="3">[0]!BlankMacro1</definedName>
    <definedName name="로6">[0]!BlankMacro1</definedName>
    <definedName name="ㄻ" localSheetId="11" hidden="1">{#N/A,#N/A,FALSE,"포장2"}</definedName>
    <definedName name="ㄻ" localSheetId="3" hidden="1">{#N/A,#N/A,FALSE,"포장2"}</definedName>
    <definedName name="ㄻ" hidden="1">{#N/A,#N/A,FALSE,"포장2"}</definedName>
    <definedName name="ㅀ" localSheetId="11">#REF!</definedName>
    <definedName name="ㅀ" localSheetId="3">#REF!</definedName>
    <definedName name="ㅀ">#REF!</definedName>
    <definedName name="ㅀㅇ" localSheetId="11">[0]!BlankMacro1</definedName>
    <definedName name="ㅀㅇ" localSheetId="3">[0]!BlankMacro1</definedName>
    <definedName name="ㅀㅇ">[0]!BlankMacro1</definedName>
    <definedName name="ㅁ" localSheetId="11">[0]!BlankMacro1</definedName>
    <definedName name="ㅁ" localSheetId="3">[0]!BlankMacro1</definedName>
    <definedName name="ㅁ">[0]!BlankMacro1</definedName>
    <definedName name="ㅁ1" localSheetId="11">#REF!</definedName>
    <definedName name="ㅁ1" localSheetId="3">#REF!</definedName>
    <definedName name="ㅁ1">#REF!</definedName>
    <definedName name="ㅁ1180" localSheetId="11">#REF!</definedName>
    <definedName name="ㅁ1180" localSheetId="3">#REF!</definedName>
    <definedName name="ㅁ1180">#REF!</definedName>
    <definedName name="ㅁ139" localSheetId="11">#REF!</definedName>
    <definedName name="ㅁ139" localSheetId="3">#REF!</definedName>
    <definedName name="ㅁ139">#REF!</definedName>
    <definedName name="ㅁ1510." localSheetId="11">#REF!</definedName>
    <definedName name="ㅁ1510." localSheetId="3">#REF!</definedName>
    <definedName name="ㅁ1510.">#REF!</definedName>
    <definedName name="ㅁ169" localSheetId="11">[42]승용!#REF!</definedName>
    <definedName name="ㅁ169" localSheetId="3">[42]승용!#REF!</definedName>
    <definedName name="ㅁ169">[42]승용!#REF!</definedName>
    <definedName name="ㅁ2923" localSheetId="11">#REF!</definedName>
    <definedName name="ㅁ2923" localSheetId="3">#REF!</definedName>
    <definedName name="ㅁ2923">#REF!</definedName>
    <definedName name="ㅁㄴ" localSheetId="11">#REF!</definedName>
    <definedName name="ㅁㄴ" localSheetId="3">#REF!</definedName>
    <definedName name="ㅁㄴ">#REF!</definedName>
    <definedName name="ㅁㄴㄴ" localSheetId="11">[0]!BlankMacro1</definedName>
    <definedName name="ㅁㄴㄴ" localSheetId="3">[0]!BlankMacro1</definedName>
    <definedName name="ㅁㄴㄴ">[0]!BlankMacro1</definedName>
    <definedName name="ㅁㄴㅇㄻㄴ" localSheetId="11" hidden="1">[43]금융비용!#REF!</definedName>
    <definedName name="ㅁㄴㅇㄻㄴ" localSheetId="3" hidden="1">[43]금융비용!#REF!</definedName>
    <definedName name="ㅁㄴㅇㄻㄴ" hidden="1">[43]금융비용!#REF!</definedName>
    <definedName name="ㅁㅁㅁ" localSheetId="11">[0]!BlankMacro1</definedName>
    <definedName name="ㅁㅁㅁ" localSheetId="3">[0]!BlankMacro1</definedName>
    <definedName name="ㅁㅁㅁ">[0]!BlankMacro1</definedName>
    <definedName name="ㅁㅁㅁㅁ" localSheetId="11">[0]!BlankMacro1</definedName>
    <definedName name="ㅁㅁㅁㅁ" localSheetId="3">[0]!BlankMacro1</definedName>
    <definedName name="ㅁㅁㅁㅁ">[0]!BlankMacro1</definedName>
    <definedName name="ㅁㅁㅁㅁㅁ" localSheetId="11">[0]!BlankMacro1</definedName>
    <definedName name="ㅁㅁㅁㅁㅁ" localSheetId="3">[0]!BlankMacro1</definedName>
    <definedName name="ㅁㅁㅁㅁㅁ">[0]!BlankMacro1</definedName>
    <definedName name="ㅁㅁㅁㅁㅁㅁ" localSheetId="11" hidden="1">#REF!</definedName>
    <definedName name="ㅁㅁㅁㅁㅁㅁ" localSheetId="3" hidden="1">#REF!</definedName>
    <definedName name="ㅁㅁㅁㅁㅁㅁ" hidden="1">#REF!</definedName>
    <definedName name="ㅁㅈㄷ" localSheetId="11" hidden="1">{#N/A,#N/A,FALSE,"배수1"}</definedName>
    <definedName name="ㅁㅈㄷ" localSheetId="3" hidden="1">{#N/A,#N/A,FALSE,"배수1"}</definedName>
    <definedName name="ㅁㅈㄷ" hidden="1">{#N/A,#N/A,FALSE,"배수1"}</definedName>
    <definedName name="마감" localSheetId="11" hidden="1">{#N/A,#N/A,FALSE,"견적조건";#N/A,#N/A,FALSE,"산출근거"}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11">[0]!BlankMacro1</definedName>
    <definedName name="마나맘" localSheetId="3">[0]!BlankMacro1</definedName>
    <definedName name="마나맘">[0]!BlankMacro1</definedName>
    <definedName name="마라앙" localSheetId="11">[0]!BlankMacro1</definedName>
    <definedName name="마라앙" localSheetId="3">[0]!BlankMacro1</definedName>
    <definedName name="마라앙">[0]!BlankMacro1</definedName>
    <definedName name="마마보이" localSheetId="11" hidden="1">{#N/A,#N/A,FALSE,"정공"}</definedName>
    <definedName name="마마보이" localSheetId="3" hidden="1">{#N/A,#N/A,FALSE,"정공"}</definedName>
    <definedName name="마마보이" hidden="1">{#N/A,#N/A,FALSE,"정공"}</definedName>
    <definedName name="만나리아" localSheetId="11">[0]!BlankMacro1</definedName>
    <definedName name="만나리아" localSheetId="3">[0]!BlankMacro1</definedName>
    <definedName name="만나리아">[0]!BlankMacro1</definedName>
    <definedName name="만다라" localSheetId="11">[0]!BlankMacro1</definedName>
    <definedName name="만다라" localSheetId="3">[0]!BlankMacro1</definedName>
    <definedName name="만다라">[0]!BlankMacro1</definedName>
    <definedName name="만아오오" localSheetId="11">[0]!BlankMacro1</definedName>
    <definedName name="만아오오" localSheetId="3">[0]!BlankMacro1</definedName>
    <definedName name="만아오오">[0]!BlankMacro1</definedName>
    <definedName name="맘모스" localSheetId="11">[0]!BlankMacro1</definedName>
    <definedName name="맘모스" localSheetId="3">[0]!BlankMacro1</definedName>
    <definedName name="맘모스">[0]!BlankMacro1</definedName>
    <definedName name="매출" localSheetId="11">#REF!</definedName>
    <definedName name="매출" localSheetId="3">#REF!</definedName>
    <definedName name="매출">#REF!</definedName>
    <definedName name="매출기준" localSheetId="11" hidden="1">{#N/A,#N/A,FALSE,"정공"}</definedName>
    <definedName name="매출기준" localSheetId="3" hidden="1">{#N/A,#N/A,FALSE,"정공"}</definedName>
    <definedName name="매출기준" hidden="1">{#N/A,#N/A,FALSE,"정공"}</definedName>
    <definedName name="매출손익" localSheetId="11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11">[0]!BlankMacro1</definedName>
    <definedName name="매출손익계산" localSheetId="3">[0]!BlankMacro1</definedName>
    <definedName name="매출손익계산">[0]!BlankMacro1</definedName>
    <definedName name="매출이익율" localSheetId="11">[0]!BlankMacro1</definedName>
    <definedName name="매출이익율" localSheetId="3">[0]!BlankMacro1</definedName>
    <definedName name="매출이익율">[0]!BlankMacro1</definedName>
    <definedName name="매출전환손익" localSheetId="11" hidden="1">{#N/A,#N/A,FALSE,"정공"}</definedName>
    <definedName name="매출전환손익" localSheetId="3" hidden="1">{#N/A,#N/A,FALSE,"정공"}</definedName>
    <definedName name="매출전환손익" hidden="1">{#N/A,#N/A,FALSE,"정공"}</definedName>
    <definedName name="매출채권" localSheetId="11">#REF!</definedName>
    <definedName name="매출채권" localSheetId="3">#REF!</definedName>
    <definedName name="매출채권">#REF!</definedName>
    <definedName name="매출추1" localSheetId="11" hidden="1">{#N/A,#N/A,FALSE,"정공"}</definedName>
    <definedName name="매출추1" localSheetId="3" hidden="1">{#N/A,#N/A,FALSE,"정공"}</definedName>
    <definedName name="매출추1" hidden="1">{#N/A,#N/A,FALSE,"정공"}</definedName>
    <definedName name="매출추정" localSheetId="1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11">#REF!</definedName>
    <definedName name="맥문동" localSheetId="3">#REF!</definedName>
    <definedName name="맥문동">#REF!</definedName>
    <definedName name="면제부다오" localSheetId="11">[0]!BlankMacro1</definedName>
    <definedName name="면제부다오" localSheetId="3">[0]!BlankMacro1</definedName>
    <definedName name="면제부다오">[0]!BlankMacro1</definedName>
    <definedName name="명칭" localSheetId="11">#REF!</definedName>
    <definedName name="명칭" localSheetId="3">#REF!</definedName>
    <definedName name="명칭">#REF!</definedName>
    <definedName name="모과나무" localSheetId="11">#REF!</definedName>
    <definedName name="모과나무" localSheetId="3">#REF!</definedName>
    <definedName name="모과나무">#REF!</definedName>
    <definedName name="모나리자아" localSheetId="11" hidden="1">{#N/A,#N/A,FALSE,"정공"}</definedName>
    <definedName name="모나리자아" localSheetId="3" hidden="1">{#N/A,#N/A,FALSE,"정공"}</definedName>
    <definedName name="모나리자아" hidden="1">{#N/A,#N/A,FALSE,"정공"}</definedName>
    <definedName name="목백합" localSheetId="11">#REF!</definedName>
    <definedName name="목백합" localSheetId="3">#REF!</definedName>
    <definedName name="목백합">#REF!</definedName>
    <definedName name="목적" localSheetId="11">[0]!BlankMacro1</definedName>
    <definedName name="목적" localSheetId="3">[0]!BlankMacro1</definedName>
    <definedName name="목적">[0]!BlankMacro1</definedName>
    <definedName name="목차도" localSheetId="11" hidden="1">{#N/A,#N/A,FALSE,"정공"}</definedName>
    <definedName name="목차도" localSheetId="3" hidden="1">{#N/A,#N/A,FALSE,"정공"}</definedName>
    <definedName name="목차도" hidden="1">{#N/A,#N/A,FALSE,"정공"}</definedName>
    <definedName name="몰라" localSheetId="11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11">#REF!</definedName>
    <definedName name="무궁화" localSheetId="3">#REF!</definedName>
    <definedName name="무궁화">#REF!</definedName>
    <definedName name="무형" localSheetId="11">#REF!</definedName>
    <definedName name="무형" localSheetId="3">#REF!</definedName>
    <definedName name="무형">#REF!</definedName>
    <definedName name="무형자산" localSheetId="11">#REF!</definedName>
    <definedName name="무형자산" localSheetId="3">#REF!</definedName>
    <definedName name="무형자산">#REF!</definedName>
    <definedName name="무형자산상각" localSheetId="11">#REF!</definedName>
    <definedName name="무형자산상각" localSheetId="3">#REF!</definedName>
    <definedName name="무형자산상각">#REF!</definedName>
    <definedName name="물가자료" localSheetId="11">#REF!</definedName>
    <definedName name="물가자료" localSheetId="3">#REF!</definedName>
    <definedName name="물가자료">#REF!</definedName>
    <definedName name="물가정보" localSheetId="11">#REF!</definedName>
    <definedName name="물가정보" localSheetId="3">#REF!</definedName>
    <definedName name="물가정보">#REF!</definedName>
    <definedName name="뭐야" hidden="1">#N/A</definedName>
    <definedName name="미미미아" localSheetId="11" hidden="1">{#N/A,#N/A,FALSE,"정공"}</definedName>
    <definedName name="미미미아" localSheetId="3" hidden="1">{#N/A,#N/A,FALSE,"정공"}</definedName>
    <definedName name="미미미아" hidden="1">{#N/A,#N/A,FALSE,"정공"}</definedName>
    <definedName name="미석" localSheetId="11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11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술" localSheetId="11">#REF!</definedName>
    <definedName name="미술" localSheetId="3">#REF!</definedName>
    <definedName name="미술">#REF!</definedName>
    <definedName name="미일초등" localSheetId="11">#REF!</definedName>
    <definedName name="미일초등" localSheetId="3">#REF!</definedName>
    <definedName name="미일초등">#REF!</definedName>
    <definedName name="미지급금" localSheetId="11">#REF!</definedName>
    <definedName name="미지급금" localSheetId="3">#REF!</definedName>
    <definedName name="미지급금">#REF!</definedName>
    <definedName name="ㅂ" localSheetId="11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11">#REF!</definedName>
    <definedName name="ㅂㅁ" localSheetId="3">#REF!</definedName>
    <definedName name="ㅂㅁ">#REF!</definedName>
    <definedName name="ㅂㅂ">[39]배서어음명세서!$A$34:$F$55</definedName>
    <definedName name="ㅂㅂㅂㅂ" localSheetId="11">[0]!BlankMacro1</definedName>
    <definedName name="ㅂㅂㅂㅂ" localSheetId="3">[0]!BlankMacro1</definedName>
    <definedName name="ㅂㅂㅂㅂ">[0]!BlankMacro1</definedName>
    <definedName name="ㅂㅈㄷㄱ" localSheetId="11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11">[0]!BlankMacro1</definedName>
    <definedName name="바다나라" localSheetId="3">[0]!BlankMacro1</definedName>
    <definedName name="바다나라">[0]!BlankMacro1</definedName>
    <definedName name="바랑라" localSheetId="11" hidden="1">{#N/A,#N/A,FALSE,"정공"}</definedName>
    <definedName name="바랑라" localSheetId="3" hidden="1">{#N/A,#N/A,FALSE,"정공"}</definedName>
    <definedName name="바랑라" hidden="1">{#N/A,#N/A,FALSE,"정공"}</definedName>
    <definedName name="바보" localSheetId="11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11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11">[0]!BlankMacro1</definedName>
    <definedName name="박재규" localSheetId="3">[0]!BlankMacro1</definedName>
    <definedName name="박재규">[0]!BlankMacro1</definedName>
    <definedName name="박태기" localSheetId="11">#REF!</definedName>
    <definedName name="박태기" localSheetId="3">#REF!</definedName>
    <definedName name="박태기">#REF!</definedName>
    <definedName name="반출0507" localSheetId="11">[44]BM_NEW2!#REF!</definedName>
    <definedName name="반출0507" localSheetId="3">[44]BM_NEW2!#REF!</definedName>
    <definedName name="반출0507">[44]BM_NEW2!#REF!</definedName>
    <definedName name="방송" localSheetId="11">#REF!</definedName>
    <definedName name="방송" localSheetId="3">#REF!</definedName>
    <definedName name="방송">#REF!</definedName>
    <definedName name="방수" localSheetId="11">#REF!</definedName>
    <definedName name="방수" localSheetId="3">#REF!</definedName>
    <definedName name="방수">#REF!</definedName>
    <definedName name="방수시방1" localSheetId="11" hidden="1">{#N/A,#N/A,FALSE,"현장 NCR 분석";#N/A,#N/A,FALSE,"현장품질감사";#N/A,#N/A,FALSE,"현장품질감사"}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11">#REF!</definedName>
    <definedName name="방진.도금" localSheetId="3">#REF!</definedName>
    <definedName name="방진.도금">#REF!</definedName>
    <definedName name="배관" localSheetId="11">#REF!</definedName>
    <definedName name="배관" localSheetId="3">#REF!</definedName>
    <definedName name="배관">#REF!</definedName>
    <definedName name="배관공" localSheetId="11">#REF!</definedName>
    <definedName name="배관공" localSheetId="3">#REF!</definedName>
    <definedName name="배관공">#REF!</definedName>
    <definedName name="배롱나무" localSheetId="11">#REF!</definedName>
    <definedName name="배롱나무" localSheetId="3">#REF!</definedName>
    <definedName name="배롱나무">#REF!</definedName>
    <definedName name="배부내역서2월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11" hidden="1">{#N/A,#N/A,FALSE,"부대1"}</definedName>
    <definedName name="배수공" localSheetId="3" hidden="1">{#N/A,#N/A,FALSE,"부대1"}</definedName>
    <definedName name="배수공" hidden="1">{#N/A,#N/A,FALSE,"부대1"}</definedName>
    <definedName name="변간접노무비" localSheetId="11">#REF!</definedName>
    <definedName name="변간접노무비" localSheetId="3">#REF!</definedName>
    <definedName name="변간접노무비">#REF!</definedName>
    <definedName name="변경개요" localSheetId="11" hidden="1">[33]개산공사비!#REF!</definedName>
    <definedName name="변경개요" localSheetId="3" hidden="1">[33]개산공사비!#REF!</definedName>
    <definedName name="변경개요" hidden="1">[33]개산공사비!#REF!</definedName>
    <definedName name="변경개요1" localSheetId="11">#REF!</definedName>
    <definedName name="변경개요1" localSheetId="3">#REF!</definedName>
    <definedName name="변경개요1">#REF!</definedName>
    <definedName name="변경개요2" localSheetId="11">#REF!</definedName>
    <definedName name="변경개요2" localSheetId="3">#REF!</definedName>
    <definedName name="변경개요2">#REF!</definedName>
    <definedName name="변경개요3" localSheetId="11">#REF!</definedName>
    <definedName name="변경개요3" localSheetId="3">#REF!</definedName>
    <definedName name="변경개요3">#REF!</definedName>
    <definedName name="변경개요4" localSheetId="11">#REF!</definedName>
    <definedName name="변경개요4" localSheetId="3">#REF!</definedName>
    <definedName name="변경개요4">#REF!</definedName>
    <definedName name="변경공사원가" localSheetId="11">#REF!</definedName>
    <definedName name="변경공사원가" localSheetId="3">#REF!</definedName>
    <definedName name="변경공사원가">#REF!</definedName>
    <definedName name="변경구조물공계" localSheetId="11">#REF!</definedName>
    <definedName name="변경구조물공계" localSheetId="3">#REF!</definedName>
    <definedName name="변경구조물공계">#REF!</definedName>
    <definedName name="변경부대공계" localSheetId="11">#REF!</definedName>
    <definedName name="변경부대공계" localSheetId="3">#REF!</definedName>
    <definedName name="변경부대공계">#REF!</definedName>
    <definedName name="변경비" localSheetId="11">#REF!</definedName>
    <definedName name="변경비" localSheetId="3">#REF!</definedName>
    <definedName name="변경비">#REF!</definedName>
    <definedName name="변경토공계" localSheetId="11">#REF!</definedName>
    <definedName name="변경토공계" localSheetId="3">#REF!</definedName>
    <definedName name="변경토공계">#REF!</definedName>
    <definedName name="변경포장공계" localSheetId="11">#REF!</definedName>
    <definedName name="변경포장공계" localSheetId="3">#REF!</definedName>
    <definedName name="변경포장공계">#REF!</definedName>
    <definedName name="변경후개요" localSheetId="11" hidden="1">[45]개산공사비!#REF!</definedName>
    <definedName name="변경후개요" localSheetId="3" hidden="1">[45]개산공사비!#REF!</definedName>
    <definedName name="변경후개요" hidden="1">[45]개산공사비!#REF!</definedName>
    <definedName name="변고용보험료" localSheetId="11">#REF!</definedName>
    <definedName name="변고용보험료" localSheetId="3">#REF!</definedName>
    <definedName name="변고용보험료">#REF!</definedName>
    <definedName name="변공급가액" localSheetId="11">#REF!</definedName>
    <definedName name="변공급가액" localSheetId="3">#REF!</definedName>
    <definedName name="변공급가액">#REF!</definedName>
    <definedName name="변공사개요1" localSheetId="11">#REF!</definedName>
    <definedName name="변공사개요1" localSheetId="3">#REF!</definedName>
    <definedName name="변공사개요1">#REF!</definedName>
    <definedName name="변공사개요2" localSheetId="11">#REF!</definedName>
    <definedName name="변공사개요2" localSheetId="3">#REF!</definedName>
    <definedName name="변공사개요2">#REF!</definedName>
    <definedName name="변공사개요3" localSheetId="11">#REF!</definedName>
    <definedName name="변공사개요3" localSheetId="3">#REF!</definedName>
    <definedName name="변공사개요3">#REF!</definedName>
    <definedName name="변공사개요4" localSheetId="11">#REF!</definedName>
    <definedName name="변공사개요4" localSheetId="3">#REF!</definedName>
    <definedName name="변공사개요4">#REF!</definedName>
    <definedName name="변관급자재대" localSheetId="11">#REF!</definedName>
    <definedName name="변관급자재대" localSheetId="3">#REF!</definedName>
    <definedName name="변관급자재대">#REF!</definedName>
    <definedName name="변기타경비" localSheetId="11">#REF!</definedName>
    <definedName name="변기타경비" localSheetId="3">#REF!</definedName>
    <definedName name="변기타경비">#REF!</definedName>
    <definedName name="변노무비" localSheetId="11">#REF!</definedName>
    <definedName name="변노무비" localSheetId="3">#REF!</definedName>
    <definedName name="변노무비">#REF!</definedName>
    <definedName name="변도급액" localSheetId="11">#REF!</definedName>
    <definedName name="변도급액" localSheetId="3">#REF!</definedName>
    <definedName name="변도급액">#REF!</definedName>
    <definedName name="변보상비" localSheetId="11">#REF!</definedName>
    <definedName name="변보상비" localSheetId="3">#REF!</definedName>
    <definedName name="변보상비">#REF!</definedName>
    <definedName name="변부가가치세" localSheetId="11">#REF!</definedName>
    <definedName name="변부가가치세" localSheetId="3">#REF!</definedName>
    <definedName name="변부가가치세">#REF!</definedName>
    <definedName name="변산재보험료" localSheetId="11">#REF!</definedName>
    <definedName name="변산재보험료" localSheetId="3">#REF!</definedName>
    <definedName name="변산재보험료">#REF!</definedName>
    <definedName name="변소기" localSheetId="11">[0]!BlankMacro1</definedName>
    <definedName name="변소기" localSheetId="3">[0]!BlankMacro1</definedName>
    <definedName name="변소기">[0]!BlankMacro1</definedName>
    <definedName name="변송익" localSheetId="11">[0]!BlankMacro1</definedName>
    <definedName name="변송익" localSheetId="3">[0]!BlankMacro1</definedName>
    <definedName name="변송익">[0]!BlankMacro1</definedName>
    <definedName name="변수수료" localSheetId="11">#REF!</definedName>
    <definedName name="변수수료" localSheetId="3">#REF!</definedName>
    <definedName name="변수수료">#REF!</definedName>
    <definedName name="변순공사원가" localSheetId="11">#REF!</definedName>
    <definedName name="변순공사원가" localSheetId="3">#REF!</definedName>
    <definedName name="변순공사원가">#REF!</definedName>
    <definedName name="변안전관리비" localSheetId="11">#REF!</definedName>
    <definedName name="변안전관리비" localSheetId="3">#REF!</definedName>
    <definedName name="변안전관리비">#REF!</definedName>
    <definedName name="변이윤" localSheetId="11">#REF!</definedName>
    <definedName name="변이윤" localSheetId="3">#REF!</definedName>
    <definedName name="변이윤">#REF!</definedName>
    <definedName name="변일반관리비" localSheetId="11">#REF!</definedName>
    <definedName name="변일반관리비" localSheetId="3">#REF!</definedName>
    <definedName name="변일반관리비">#REF!</definedName>
    <definedName name="변재료비" localSheetId="11">#REF!</definedName>
    <definedName name="변재료비" localSheetId="3">#REF!</definedName>
    <definedName name="변재료비">#REF!</definedName>
    <definedName name="변제간접노무비" localSheetId="11">#REF!</definedName>
    <definedName name="변제간접노무비" localSheetId="3">#REF!</definedName>
    <definedName name="변제간접노무비">#REF!</definedName>
    <definedName name="변제공급가액" localSheetId="11">#REF!</definedName>
    <definedName name="변제공급가액" localSheetId="3">#REF!</definedName>
    <definedName name="변제공급가액">#REF!</definedName>
    <definedName name="변제기타경비" localSheetId="11">#REF!</definedName>
    <definedName name="변제기타경비" localSheetId="3">#REF!</definedName>
    <definedName name="변제기타경비">#REF!</definedName>
    <definedName name="변제도급액" localSheetId="11">#REF!</definedName>
    <definedName name="변제도급액" localSheetId="3">#REF!</definedName>
    <definedName name="변제도급액">#REF!</definedName>
    <definedName name="변제부가가치세" localSheetId="11">#REF!</definedName>
    <definedName name="변제부가가치세" localSheetId="3">#REF!</definedName>
    <definedName name="변제부가가치세">#REF!</definedName>
    <definedName name="변제산재보험료" localSheetId="11">#REF!</definedName>
    <definedName name="변제산재보험료" localSheetId="3">#REF!</definedName>
    <definedName name="변제산재보험료">#REF!</definedName>
    <definedName name="변제순공사원가" localSheetId="11">#REF!</definedName>
    <definedName name="변제순공사원가" localSheetId="3">#REF!</definedName>
    <definedName name="변제순공사원가">#REF!</definedName>
    <definedName name="변제안전관리비" localSheetId="11">#REF!</definedName>
    <definedName name="변제안전관리비" localSheetId="3">#REF!</definedName>
    <definedName name="변제안전관리비">#REF!</definedName>
    <definedName name="변제이윤" localSheetId="11">#REF!</definedName>
    <definedName name="변제이윤" localSheetId="3">#REF!</definedName>
    <definedName name="변제이윤">#REF!</definedName>
    <definedName name="변제일반관리비" localSheetId="11">#REF!</definedName>
    <definedName name="변제일반관리비" localSheetId="3">#REF!</definedName>
    <definedName name="변제일반관리비">#REF!</definedName>
    <definedName name="변폐기물처리비" localSheetId="11">#REF!</definedName>
    <definedName name="변폐기물처리비" localSheetId="3">#REF!</definedName>
    <definedName name="변폐기물처리비">#REF!</definedName>
    <definedName name="보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11">#REF!</definedName>
    <definedName name="보루지" localSheetId="3">#REF!</definedName>
    <definedName name="보루지">#REF!</definedName>
    <definedName name="보상비" localSheetId="11">#REF!</definedName>
    <definedName name="보상비" localSheetId="3">#REF!</definedName>
    <definedName name="보상비">#REF!</definedName>
    <definedName name="보온" localSheetId="11">#REF!</definedName>
    <definedName name="보온" localSheetId="3">#REF!</definedName>
    <definedName name="보온">#REF!</definedName>
    <definedName name="보온공" localSheetId="11">#REF!</definedName>
    <definedName name="보온공" localSheetId="3">#REF!</definedName>
    <definedName name="보온공">#REF!</definedName>
    <definedName name="보일" localSheetId="11">#REF!</definedName>
    <definedName name="보일" localSheetId="3">#REF!</definedName>
    <definedName name="보일">#REF!</definedName>
    <definedName name="보증금" localSheetId="11">#REF!</definedName>
    <definedName name="보증금" localSheetId="3">#REF!</definedName>
    <definedName name="보증금">#REF!</definedName>
    <definedName name="보통" localSheetId="11">#REF!</definedName>
    <definedName name="보통" localSheetId="3">#REF!</definedName>
    <definedName name="보통">#REF!</definedName>
    <definedName name="보통인부" localSheetId="11">#REF!</definedName>
    <definedName name="보통인부" localSheetId="3">#REF!</definedName>
    <definedName name="보통인부">#REF!</definedName>
    <definedName name="복ㅇ" localSheetId="11" hidden="1">{#N/A,#N/A,FALSE,"부대2"}</definedName>
    <definedName name="복ㅇ" localSheetId="3" hidden="1">{#N/A,#N/A,FALSE,"부대2"}</definedName>
    <definedName name="복ㅇ" hidden="1">{#N/A,#N/A,FALSE,"부대2"}</definedName>
    <definedName name="봉식결재란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11">#REF!</definedName>
    <definedName name="부___문" localSheetId="3">#REF!</definedName>
    <definedName name="부___문">#REF!</definedName>
    <definedName name="부가가치세" localSheetId="11">#REF!</definedName>
    <definedName name="부가가치세" localSheetId="3">#REF!</definedName>
    <definedName name="부가가치세">#REF!</definedName>
    <definedName name="부손익" localSheetId="1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11">[0]!BlankMacro1</definedName>
    <definedName name="부자지" localSheetId="3">[0]!BlankMacro1</definedName>
    <definedName name="부자지">[0]!BlankMacro1</definedName>
    <definedName name="부자지간" localSheetId="11">[0]!BlankMacro1</definedName>
    <definedName name="부자지간" localSheetId="3">[0]!BlankMacro1</definedName>
    <definedName name="부자지간">[0]!BlankMacro1</definedName>
    <definedName name="부장님" localSheetId="11">[0]!BlankMacro1</definedName>
    <definedName name="부장님" localSheetId="3">[0]!BlankMacro1</definedName>
    <definedName name="부장님">[0]!BlankMacro1</definedName>
    <definedName name="분기">[46]뒤차축소!$G$380:$S$381</definedName>
    <definedName name="분당내역서" localSheetId="11" hidden="1">#REF!</definedName>
    <definedName name="분당내역서" localSheetId="3" hidden="1">#REF!</definedName>
    <definedName name="분당내역서" hidden="1">#REF!</definedName>
    <definedName name="분당아파트" localSheetId="11">#REF!</definedName>
    <definedName name="분당아파트" localSheetId="3">#REF!</definedName>
    <definedName name="분당아파트">#REF!</definedName>
    <definedName name="분석변경" localSheetId="11" hidden="1">{#N/A,#N/A,FALSE,"변경관리예산";#N/A,#N/A,FALSE,"변경장비예산";#N/A,#N/A,FALSE,"변경준설예산";#N/A,#N/A,FALSE,"변경철구예산"}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11">BlankMacro1</definedName>
    <definedName name="분전반" localSheetId="3">BlankMacro1</definedName>
    <definedName name="분전반">BlankMacro1</definedName>
    <definedName name="비" localSheetId="11">#REF!</definedName>
    <definedName name="비" localSheetId="3">#REF!</definedName>
    <definedName name="비">#REF!</definedName>
    <definedName name="비계" localSheetId="11">#REF!</definedName>
    <definedName name="비계" localSheetId="3">#REF!</definedName>
    <definedName name="비계">#REF!</definedName>
    <definedName name="비계공" localSheetId="11">#REF!</definedName>
    <definedName name="비계공" localSheetId="3">#REF!</definedName>
    <definedName name="비계공">#REF!</definedName>
    <definedName name="비교" localSheetId="11">#REF!</definedName>
    <definedName name="비교" localSheetId="3">#REF!</definedName>
    <definedName name="비교">#REF!</definedName>
    <definedName name="비교손익당초" localSheetId="11" hidden="1">{#N/A,#N/A,FALSE,"정공"}</definedName>
    <definedName name="비교손익당초" localSheetId="3" hidden="1">{#N/A,#N/A,FALSE,"정공"}</definedName>
    <definedName name="비교손익당초" hidden="1">{#N/A,#N/A,FALSE,"정공"}</definedName>
    <definedName name="비목1" localSheetId="11">#REF!</definedName>
    <definedName name="비목1" localSheetId="3">#REF!</definedName>
    <definedName name="비목1">#REF!</definedName>
    <definedName name="비목2" localSheetId="11">#REF!</definedName>
    <definedName name="비목2" localSheetId="3">#REF!</definedName>
    <definedName name="비목2">#REF!</definedName>
    <definedName name="비목3" localSheetId="11">#REF!</definedName>
    <definedName name="비목3" localSheetId="3">#REF!</definedName>
    <definedName name="비목3">#REF!</definedName>
    <definedName name="비목4" localSheetId="11">#REF!</definedName>
    <definedName name="비목4" localSheetId="3">#REF!</definedName>
    <definedName name="비목4">#REF!</definedName>
    <definedName name="비비추" localSheetId="11">#REF!</definedName>
    <definedName name="비비추" localSheetId="3">#REF!</definedName>
    <definedName name="비비추">#REF!</definedName>
    <definedName name="비율" localSheetId="11">#REF!</definedName>
    <definedName name="비율" localSheetId="3">#REF!</definedName>
    <definedName name="비율">#REF!</definedName>
    <definedName name="ㅅㄱㄷ" localSheetId="11">#REF!</definedName>
    <definedName name="ㅅㄱㄷ" localSheetId="3">#REF!</definedName>
    <definedName name="ㅅㄱㄷ">#REF!</definedName>
    <definedName name="ㅅㅅ" localSheetId="11">[0]!BlankMacro1</definedName>
    <definedName name="ㅅㅅ" localSheetId="3">[0]!BlankMacro1</definedName>
    <definedName name="ㅅㅅ">[0]!BlankMacro1</definedName>
    <definedName name="ㅅㅅㅅ" localSheetId="11">[0]!BlankMacro1</definedName>
    <definedName name="ㅅㅅㅅ" localSheetId="3">[0]!BlankMacro1</definedName>
    <definedName name="ㅅㅅㅅ">[0]!BlankMacro1</definedName>
    <definedName name="사">[47]유형!$D$31:$D$32</definedName>
    <definedName name="사급" localSheetId="11">#REF!</definedName>
    <definedName name="사급" localSheetId="3">#REF!</definedName>
    <definedName name="사급">#REF!</definedName>
    <definedName name="사다함이" localSheetId="11" hidden="1">{#N/A,#N/A,FALSE,"정공"}</definedName>
    <definedName name="사다함이" localSheetId="3" hidden="1">{#N/A,#N/A,FALSE,"정공"}</definedName>
    <definedName name="사다함이" hidden="1">{#N/A,#N/A,FALSE,"정공"}</definedName>
    <definedName name="사라미이은" localSheetId="11">[0]!BlankMacro1</definedName>
    <definedName name="사라미이은" localSheetId="3">[0]!BlankMacro1</definedName>
    <definedName name="사라미이은">[0]!BlankMacro1</definedName>
    <definedName name="사람이름" localSheetId="11">[0]!BlankMacro1</definedName>
    <definedName name="사람이름" localSheetId="3">[0]!BlankMacro1</definedName>
    <definedName name="사람이름">[0]!BlankMacro1</definedName>
    <definedName name="사람이야" localSheetId="11" hidden="1">{#N/A,#N/A,FALSE,"정공"}</definedName>
    <definedName name="사람이야" localSheetId="3" hidden="1">{#N/A,#N/A,FALSE,"정공"}</definedName>
    <definedName name="사람이야" hidden="1">{#N/A,#N/A,FALSE,"정공"}</definedName>
    <definedName name="사랑하오" localSheetId="11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11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11">[0]!BlankMacro1</definedName>
    <definedName name="사업렬" localSheetId="3">[0]!BlankMacro1</definedName>
    <definedName name="사업렬">[0]!BlankMacro1</definedName>
    <definedName name="사업별" localSheetId="11">[0]!BlankMacro1</definedName>
    <definedName name="사업별" localSheetId="3">[0]!BlankMacro1</definedName>
    <definedName name="사업별">[0]!BlankMacro1</definedName>
    <definedName name="사업부문" localSheetId="11">#REF!</definedName>
    <definedName name="사업부문" localSheetId="3">#REF!</definedName>
    <definedName name="사업부문">#REF!</definedName>
    <definedName name="사업비교표" localSheetId="11" hidden="1">{#N/A,#N/A,FALSE,"정공"}</definedName>
    <definedName name="사업비교표" localSheetId="3" hidden="1">{#N/A,#N/A,FALSE,"정공"}</definedName>
    <definedName name="사업비교표" hidden="1">{#N/A,#N/A,FALSE,"정공"}</definedName>
    <definedName name="사업추진" localSheetId="11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11">#REF!</definedName>
    <definedName name="사우나.도금" localSheetId="3">#REF!</definedName>
    <definedName name="사우나.도금">#REF!</definedName>
    <definedName name="사회" localSheetId="11">#REF!</definedName>
    <definedName name="사회" localSheetId="3">#REF!</definedName>
    <definedName name="사회">#REF!</definedName>
    <definedName name="산소" localSheetId="11">#REF!</definedName>
    <definedName name="산소" localSheetId="3">#REF!</definedName>
    <definedName name="산소">#REF!</definedName>
    <definedName name="산재보험료" localSheetId="11">#REF!</definedName>
    <definedName name="산재보험료" localSheetId="3">#REF!</definedName>
    <definedName name="산재보험료">#REF!</definedName>
    <definedName name="산재보험료율" localSheetId="11">#REF!</definedName>
    <definedName name="산재보험료율" localSheetId="3">#REF!</definedName>
    <definedName name="산재보험료율">#REF!</definedName>
    <definedName name="산철쭉" localSheetId="11">#REF!</definedName>
    <definedName name="산철쭉" localSheetId="3">#REF!</definedName>
    <definedName name="산철쭉">#REF!</definedName>
    <definedName name="산출근거" localSheetId="11">BlankMacro1</definedName>
    <definedName name="산출근거" localSheetId="3">BlankMacro1</definedName>
    <definedName name="산출근거">BlankMacro1</definedName>
    <definedName name="산출내역" localSheetId="11">#REF!</definedName>
    <definedName name="산출내역" localSheetId="3">#REF!</definedName>
    <definedName name="산출내역">#REF!</definedName>
    <definedName name="산출냐역" localSheetId="11">#REF!</definedName>
    <definedName name="산출냐역" localSheetId="3">#REF!</definedName>
    <definedName name="산출냐역">#REF!</definedName>
    <definedName name="삼">[47]유형!$D$28:$D$30</definedName>
    <definedName name="삼성" localSheetId="11" hidden="1">{#N/A,#N/A,FALSE,"정공"}</definedName>
    <definedName name="삼성" localSheetId="3" hidden="1">{#N/A,#N/A,FALSE,"정공"}</definedName>
    <definedName name="삼성" hidden="1">{#N/A,#N/A,FALSE,"정공"}</definedName>
    <definedName name="삼성2" localSheetId="11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11">#REF!</definedName>
    <definedName name="상" localSheetId="3">#REF!</definedName>
    <definedName name="상">#REF!</definedName>
    <definedName name="상각" localSheetId="11">#REF!</definedName>
    <definedName name="상각" localSheetId="3">#REF!</definedName>
    <definedName name="상각">#REF!</definedName>
    <definedName name="상담" localSheetId="11">#REF!</definedName>
    <definedName name="상담" localSheetId="3">#REF!</definedName>
    <definedName name="상담">#REF!</definedName>
    <definedName name="상로허호" localSheetId="11" hidden="1">{#N/A,#N/A,FALSE,"정공"}</definedName>
    <definedName name="상로허호" localSheetId="3" hidden="1">{#N/A,#N/A,FALSE,"정공"}</definedName>
    <definedName name="상로허호" hidden="1">{#N/A,#N/A,FALSE,"정공"}</definedName>
    <definedName name="상수" localSheetId="11">#REF!</definedName>
    <definedName name="상수" localSheetId="3">#REF!</definedName>
    <definedName name="상수">#REF!</definedName>
    <definedName name="상용">[48]뒤차축소!$G$380:$S$381</definedName>
    <definedName name="새무형" localSheetId="11">#REF!</definedName>
    <definedName name="새무형" localSheetId="3">#REF!</definedName>
    <definedName name="새무형">#REF!</definedName>
    <definedName name="새파일편집" localSheetId="11" hidden="1">{#N/A,#N/A,FALSE,"정공"}</definedName>
    <definedName name="새파일편집" localSheetId="3" hidden="1">{#N/A,#N/A,FALSE,"정공"}</definedName>
    <definedName name="새파일편집" hidden="1">{#N/A,#N/A,FALSE,"정공"}</definedName>
    <definedName name="생계" localSheetId="11">#REF!</definedName>
    <definedName name="생계" localSheetId="3">#REF!</definedName>
    <definedName name="생계">#REF!</definedName>
    <definedName name="생산능력" localSheetId="11" hidden="1">{#N/A,#N/A,FALSE,"정공"}</definedName>
    <definedName name="생산능력" localSheetId="3" hidden="1">{#N/A,#N/A,FALSE,"정공"}</definedName>
    <definedName name="생산능력" hidden="1">{#N/A,#N/A,FALSE,"정공"}</definedName>
    <definedName name="생산손익" localSheetId="11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11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11">#REF!</definedName>
    <definedName name="샤워" localSheetId="3">#REF!</definedName>
    <definedName name="샤워">#REF!</definedName>
    <definedName name="서울공동" localSheetId="11">#REF!</definedName>
    <definedName name="서울공동" localSheetId="3">#REF!</definedName>
    <definedName name="서울공동">#REF!</definedName>
    <definedName name="서울낙찰율" localSheetId="11">#REF!</definedName>
    <definedName name="서울낙찰율" localSheetId="3">#REF!</definedName>
    <definedName name="서울낙찰율">#REF!</definedName>
    <definedName name="서울신용" localSheetId="11">#REF!</definedName>
    <definedName name="서울신용" localSheetId="3">#REF!</definedName>
    <definedName name="서울신용">#REF!</definedName>
    <definedName name="석2" localSheetId="11" hidden="1">{"'별표'!$N$220"}</definedName>
    <definedName name="석2" localSheetId="3" hidden="1">{"'별표'!$N$220"}</definedName>
    <definedName name="석2" hidden="1">{"'별표'!$N$220"}</definedName>
    <definedName name="석공" localSheetId="11">#REF!</definedName>
    <definedName name="석공" localSheetId="3">#REF!</definedName>
    <definedName name="석공">#REF!</definedName>
    <definedName name="설계내역서" localSheetId="11" hidden="1">{"'별표'!$N$220"}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localSheetId="11" hidden="1">{#N/A,#N/A,FALSE,"정공"}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 localSheetId="11">#REF!</definedName>
    <definedName name="설집" localSheetId="3">#REF!</definedName>
    <definedName name="설집">#REF!</definedName>
    <definedName name="성과분석용" localSheetId="11">[0]!BlankMacro1</definedName>
    <definedName name="성과분석용" localSheetId="3">[0]!BlankMacro1</definedName>
    <definedName name="성과분석용">[0]!BlankMacro1</definedName>
    <definedName name="성적" localSheetId="11">#REF!</definedName>
    <definedName name="성적" localSheetId="3">#REF!</definedName>
    <definedName name="성적">#REF!</definedName>
    <definedName name="세보1_2" localSheetId="11" hidden="1">'[3]입찰내역 발주처 양식'!#REF!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11" hidden="1">'[5]0226'!#REF!</definedName>
    <definedName name="세보2" localSheetId="3" hidden="1">'[5]0226'!#REF!</definedName>
    <definedName name="세보2" hidden="1">'[5]0226'!#REF!</definedName>
    <definedName name="세부실적" localSheetId="11">[0]!BlankMacro1</definedName>
    <definedName name="세부실적" localSheetId="3">[0]!BlankMacro1</definedName>
    <definedName name="세부실적">[0]!BlankMacro1</definedName>
    <definedName name="세부자료">[49]부문손익!$D$7:$L$33</definedName>
    <definedName name="소계" localSheetId="11">#REF!</definedName>
    <definedName name="소계" localSheetId="3">#REF!</definedName>
    <definedName name="소계">#REF!</definedName>
    <definedName name="소공" comment="소방설비 공장검사">[47]정보!$I$2:$I$9</definedName>
    <definedName name="소나무" localSheetId="11">#REF!</definedName>
    <definedName name="소나무" localSheetId="3">#REF!</definedName>
    <definedName name="소나무">#REF!</definedName>
    <definedName name="소방" localSheetId="11">#REF!</definedName>
    <definedName name="소방" localSheetId="3">#REF!</definedName>
    <definedName name="소방">#REF!</definedName>
    <definedName name="소방시설공사" localSheetId="11">#REF!</definedName>
    <definedName name="소방시설공사" localSheetId="3">#REF!</definedName>
    <definedName name="소방시설공사">#REF!</definedName>
    <definedName name="소시" comment="소방설비 시공품질 관리">[47]정보!$I$38:$I$50</definedName>
    <definedName name="소요기간" localSheetId="11" hidden="1">{#N/A,#N/A,FALSE,"정공"}</definedName>
    <definedName name="소요기간" localSheetId="3" hidden="1">{#N/A,#N/A,FALSE,"정공"}</definedName>
    <definedName name="소요기간" hidden="1">{#N/A,#N/A,FALSE,"정공"}</definedName>
    <definedName name="소요약" localSheetId="11">[0]!BlankMacro1</definedName>
    <definedName name="소요약" localSheetId="3">[0]!BlankMacro1</definedName>
    <definedName name="소요약">[0]!BlankMacro1</definedName>
    <definedName name="소입" comment="소방설비 입고검사">[47]정보!$I$10:$I$37</definedName>
    <definedName name="소형차축부" localSheetId="11">#REF!</definedName>
    <definedName name="소형차축부" localSheetId="3">#REF!</definedName>
    <definedName name="소형차축부">#REF!</definedName>
    <definedName name="소ㅑ104" localSheetId="11" hidden="1">[50]FAB별!#REF!</definedName>
    <definedName name="소ㅑ104" localSheetId="3" hidden="1">[50]FAB별!#REF!</definedName>
    <definedName name="소ㅑ104" hidden="1">[50]FAB별!#REF!</definedName>
    <definedName name="손익계산" localSheetId="11" hidden="1">{#N/A,#N/A,FALSE,"정공"}</definedName>
    <definedName name="손익계산" localSheetId="3" hidden="1">{#N/A,#N/A,FALSE,"정공"}</definedName>
    <definedName name="손익계산" hidden="1">{#N/A,#N/A,FALSE,"정공"}</definedName>
    <definedName name="송" localSheetId="11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11" hidden="1">{#N/A,#N/A,FALSE,"정공"}</definedName>
    <definedName name="송익" localSheetId="3" hidden="1">{#N/A,#N/A,FALSE,"정공"}</definedName>
    <definedName name="송익" hidden="1">{#N/A,#N/A,FALSE,"정공"}</definedName>
    <definedName name="송창기" localSheetId="11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11" hidden="1">{#N/A,#N/A,FALSE,"포장1";#N/A,#N/A,FALSE,"포장1"}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11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11">#REF!</definedName>
    <definedName name="수____종" localSheetId="3">#REF!</definedName>
    <definedName name="수____종">#REF!</definedName>
    <definedName name="수경단가" localSheetId="11">#REF!</definedName>
    <definedName name="수경단가" localSheetId="3">#REF!</definedName>
    <definedName name="수경단가">#REF!</definedName>
    <definedName name="수경단가1" localSheetId="11">#REF!</definedName>
    <definedName name="수경단가1" localSheetId="3">#REF!</definedName>
    <definedName name="수경단가1">#REF!</definedName>
    <definedName name="수경일위" localSheetId="11">#REF!</definedName>
    <definedName name="수경일위" localSheetId="3">#REF!</definedName>
    <definedName name="수경일위">#REF!</definedName>
    <definedName name="수량" localSheetId="11">#REF!</definedName>
    <definedName name="수량" localSheetId="3">#REF!</definedName>
    <definedName name="수량">#REF!</definedName>
    <definedName name="수량산출" localSheetId="11">BlankMacro1</definedName>
    <definedName name="수량산출" localSheetId="3">BlankMacro1</definedName>
    <definedName name="수량산출">BlankMacro1</definedName>
    <definedName name="수량산출2" localSheetId="11">BlankMacro1</definedName>
    <definedName name="수량산출2" localSheetId="3">BlankMacro1</definedName>
    <definedName name="수량산출2">BlankMacro1</definedName>
    <definedName name="수량산출5" localSheetId="11">BlankMacro1</definedName>
    <definedName name="수량산출5" localSheetId="3">BlankMacro1</definedName>
    <definedName name="수량산출5">BlankMacro1</definedName>
    <definedName name="수량추정" localSheetId="11" hidden="1">{#N/A,#N/A,FALSE,"정공"}</definedName>
    <definedName name="수량추정" localSheetId="3" hidden="1">{#N/A,#N/A,FALSE,"정공"}</definedName>
    <definedName name="수량추정" hidden="1">{#N/A,#N/A,FALSE,"정공"}</definedName>
    <definedName name="수목수량" localSheetId="11">#REF!</definedName>
    <definedName name="수목수량" localSheetId="3">#REF!</definedName>
    <definedName name="수목수량">#REF!</definedName>
    <definedName name="수수꽃다리" localSheetId="11">#REF!</definedName>
    <definedName name="수수꽃다리" localSheetId="3">#REF!</definedName>
    <definedName name="수수꽃다리">#REF!</definedName>
    <definedName name="수입금액조정며엣서" localSheetId="11">'[51]108.수선비'!#REF!</definedName>
    <definedName name="수입금액조정며엣서" localSheetId="3">'[51]108.수선비'!#REF!</definedName>
    <definedName name="수입금액조정며엣서">'[51]108.수선비'!#REF!</definedName>
    <definedName name="수정사항2" localSheetId="11">#REF!</definedName>
    <definedName name="수정사항2" localSheetId="3">#REF!</definedName>
    <definedName name="수정사항2">#REF!</definedName>
    <definedName name="수정손익" localSheetId="11" hidden="1">{#N/A,#N/A,FALSE,"정공"}</definedName>
    <definedName name="수정손익" localSheetId="3" hidden="1">{#N/A,#N/A,FALSE,"정공"}</definedName>
    <definedName name="수정손익" hidden="1">{#N/A,#N/A,FALSE,"정공"}</definedName>
    <definedName name="수주목표" localSheetId="11">#REF!</definedName>
    <definedName name="수주목표" localSheetId="3">#REF!</definedName>
    <definedName name="수주목표">#REF!</definedName>
    <definedName name="수주목표2001" localSheetId="11">#REF!</definedName>
    <definedName name="수주목표2001" localSheetId="3">#REF!</definedName>
    <definedName name="수주목표2001">#REF!</definedName>
    <definedName name="수주목표2002" localSheetId="11">#REF!</definedName>
    <definedName name="수주목표2002" localSheetId="3">#REF!</definedName>
    <definedName name="수주목표2002">#REF!</definedName>
    <definedName name="수주목표액" localSheetId="11">#REF!</definedName>
    <definedName name="수주목표액" localSheetId="3">#REF!</definedName>
    <definedName name="수주목표액">#REF!</definedName>
    <definedName name="수주목표액1111" localSheetId="11">#REF!</definedName>
    <definedName name="수주목표액1111" localSheetId="3">#REF!</definedName>
    <definedName name="수주목표액1111">#REF!</definedName>
    <definedName name="수주목표액2001" localSheetId="11">#REF!</definedName>
    <definedName name="수주목표액2001" localSheetId="3">#REF!</definedName>
    <definedName name="수주목표액2001">#REF!</definedName>
    <definedName name="수주목표액2002" localSheetId="11">#REF!</definedName>
    <definedName name="수주목표액2002" localSheetId="3">#REF!</definedName>
    <definedName name="수주목표액2002">#REF!</definedName>
    <definedName name="수주목표액22" localSheetId="11">#REF!</definedName>
    <definedName name="수주목표액22" localSheetId="3">#REF!</definedName>
    <definedName name="수주목표액22">#REF!</definedName>
    <definedName name="수주목표액22222" localSheetId="11">#REF!</definedName>
    <definedName name="수주목표액22222" localSheetId="3">#REF!</definedName>
    <definedName name="수주목표액22222">#REF!</definedName>
    <definedName name="수주액" localSheetId="11">#REF!</definedName>
    <definedName name="수주액" localSheetId="3">#REF!</definedName>
    <definedName name="수주액">#REF!</definedName>
    <definedName name="수학" localSheetId="11">#REF!</definedName>
    <definedName name="수학" localSheetId="3">#REF!</definedName>
    <definedName name="수학">#REF!</definedName>
    <definedName name="수ㅠㅁ" localSheetId="11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11">#REF!</definedName>
    <definedName name="숙직" localSheetId="3">#REF!</definedName>
    <definedName name="숙직">#REF!</definedName>
    <definedName name="순공사비" localSheetId="11">#REF!</definedName>
    <definedName name="순공사비" localSheetId="3">#REF!</definedName>
    <definedName name="순공사비">#REF!</definedName>
    <definedName name="순공사원가" localSheetId="11">#REF!</definedName>
    <definedName name="순공사원가" localSheetId="3">#REF!</definedName>
    <definedName name="순공사원가">#REF!</definedName>
    <definedName name="숱" localSheetId="11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11">#REF!</definedName>
    <definedName name="시" localSheetId="3">#REF!</definedName>
    <definedName name="시">#REF!</definedName>
    <definedName name="시설수량" localSheetId="11">#REF!</definedName>
    <definedName name="시설수량" localSheetId="3">#REF!</definedName>
    <definedName name="시설수량">#REF!</definedName>
    <definedName name="시설일위" localSheetId="11">#REF!</definedName>
    <definedName name="시설일위" localSheetId="3">#REF!</definedName>
    <definedName name="시설일위">#REF!</definedName>
    <definedName name="시설일위1" localSheetId="11">#REF!</definedName>
    <definedName name="시설일위1" localSheetId="3">#REF!</definedName>
    <definedName name="시설일위1">#REF!</definedName>
    <definedName name="시설일위금액" localSheetId="11">#REF!</definedName>
    <definedName name="시설일위금액" localSheetId="3">#REF!</definedName>
    <definedName name="시설일위금액">#REF!</definedName>
    <definedName name="시운전.도금" localSheetId="11">#REF!</definedName>
    <definedName name="시운전.도금" localSheetId="3">#REF!</definedName>
    <definedName name="시운전.도금">#REF!</definedName>
    <definedName name="시청" localSheetId="11">#REF!</definedName>
    <definedName name="시청" localSheetId="3">#REF!</definedName>
    <definedName name="시청">#REF!</definedName>
    <definedName name="시트선택후" localSheetId="11">[0]!BlankMacro1</definedName>
    <definedName name="시트선택후" localSheetId="3">[0]!BlankMacro1</definedName>
    <definedName name="시트선택후">[0]!BlankMacro1</definedName>
    <definedName name="식당" localSheetId="11">#REF!</definedName>
    <definedName name="식당" localSheetId="3">#REF!</definedName>
    <definedName name="식당">#REF!</definedName>
    <definedName name="식재단가" localSheetId="11">#REF!</definedName>
    <definedName name="식재단가" localSheetId="3">#REF!</definedName>
    <definedName name="식재단가">#REF!</definedName>
    <definedName name="식재단가1" localSheetId="11">#REF!</definedName>
    <definedName name="식재단가1" localSheetId="3">#REF!</definedName>
    <definedName name="식재단가1">#REF!</definedName>
    <definedName name="식재일위" localSheetId="11">#REF!</definedName>
    <definedName name="식재일위" localSheetId="3">#REF!</definedName>
    <definedName name="식재일위">#REF!</definedName>
    <definedName name="신상명세">'[52]신상기록(지우지 말것)'!$C$2:$F$35</definedName>
    <definedName name="신안" localSheetId="11" hidden="1">{#N/A,#N/A,FALSE,"현장 NCR 분석";#N/A,#N/A,FALSE,"현장품질감사";#N/A,#N/A,FALSE,"현장품질감사"}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11">BlankMacro1</definedName>
    <definedName name="실" localSheetId="3">BlankMacro1</definedName>
    <definedName name="실">BlankMacro1</definedName>
    <definedName name="실내" localSheetId="11">BlankMacro1</definedName>
    <definedName name="실내" localSheetId="3">BlankMacro1</definedName>
    <definedName name="실내">BlankMacro1</definedName>
    <definedName name="실비적용" localSheetId="11">#REF!</definedName>
    <definedName name="실비적용" localSheetId="3">#REF!</definedName>
    <definedName name="실비적용">#REF!</definedName>
    <definedName name="실행" localSheetId="11">#REF!</definedName>
    <definedName name="실행" localSheetId="3">#REF!</definedName>
    <definedName name="실행">#REF!</definedName>
    <definedName name="실행검토" hidden="1">#N/A</definedName>
    <definedName name="십이월" localSheetId="11">#REF!</definedName>
    <definedName name="십이월" localSheetId="3">#REF!</definedName>
    <definedName name="십이월">#REF!</definedName>
    <definedName name="ㅇ" localSheetId="11">#REF!</definedName>
    <definedName name="ㅇ" localSheetId="3">#REF!</definedName>
    <definedName name="ㅇ">#REF!</definedName>
    <definedName name="ㅇㄴㄹㄴㅁㄹ" hidden="1">0</definedName>
    <definedName name="ㅇㄴㄹㄴㅁㅇㄻ" localSheetId="11">#REF!</definedName>
    <definedName name="ㅇㄴㄹㄴㅁㅇㄻ" localSheetId="3">#REF!</definedName>
    <definedName name="ㅇㄴㄹㄴㅁㅇㄻ">#REF!</definedName>
    <definedName name="ㅇㄹ" localSheetId="11">#REF!</definedName>
    <definedName name="ㅇㄹ" localSheetId="3">#REF!</definedName>
    <definedName name="ㅇㄹ">#REF!</definedName>
    <definedName name="ㅇㄹㄹ" hidden="1">#N/A</definedName>
    <definedName name="ㅇㄹㅇㄹㅇ" localSheetId="11" hidden="1">{#N/A,#N/A,FALSE,"정공"}</definedName>
    <definedName name="ㅇㄹㅇㄹㅇ" localSheetId="3" hidden="1">{#N/A,#N/A,FALSE,"정공"}</definedName>
    <definedName name="ㅇㄹㅇㄹㅇ" hidden="1">{#N/A,#N/A,FALSE,"정공"}</definedName>
    <definedName name="ㅇㅀ" localSheetId="11">[0]!BlankMacro1</definedName>
    <definedName name="ㅇㅀ" localSheetId="3">[0]!BlankMacro1</definedName>
    <definedName name="ㅇㅀ">[0]!BlankMacro1</definedName>
    <definedName name="ㅇㅇ" localSheetId="11">#REF!</definedName>
    <definedName name="ㅇㅇ" localSheetId="3">#REF!</definedName>
    <definedName name="ㅇㅇ">#REF!</definedName>
    <definedName name="ㅇㅇㅇ" localSheetId="11" hidden="1">{#N/A,#N/A,FALSE,"정공"}</definedName>
    <definedName name="ㅇㅇㅇ" localSheetId="3" hidden="1">{#N/A,#N/A,FALSE,"정공"}</definedName>
    <definedName name="ㅇㅇㅇ" hidden="1">{#N/A,#N/A,FALSE,"정공"}</definedName>
    <definedName name="ㅇㅎ" localSheetId="11" hidden="1">{#N/A,#N/A,FALSE,"부대1"}</definedName>
    <definedName name="ㅇㅎ" localSheetId="3" hidden="1">{#N/A,#N/A,FALSE,"부대1"}</definedName>
    <definedName name="ㅇㅎ" hidden="1">{#N/A,#N/A,FALSE,"부대1"}</definedName>
    <definedName name="ㅇ호" localSheetId="11">[0]!BlankMacro1</definedName>
    <definedName name="ㅇ호" localSheetId="3">[0]!BlankMacro1</definedName>
    <definedName name="ㅇ호">[0]!BlankMacro1</definedName>
    <definedName name="아" localSheetId="11">#REF!</definedName>
    <definedName name="아" localSheetId="3">#REF!</definedName>
    <definedName name="아">#REF!</definedName>
    <definedName name="아나나" localSheetId="11" hidden="1">{#N/A,#N/A,FALSE,"정공"}</definedName>
    <definedName name="아나나" localSheetId="3" hidden="1">{#N/A,#N/A,FALSE,"정공"}</definedName>
    <definedName name="아나나" hidden="1">{#N/A,#N/A,FALSE,"정공"}</definedName>
    <definedName name="아나마오" localSheetId="11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11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11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11">[0]!BlankMacro1</definedName>
    <definedName name="아니오오오" localSheetId="3">[0]!BlankMacro1</definedName>
    <definedName name="아니오오오">[0]!BlankMacro1</definedName>
    <definedName name="아닙니다" localSheetId="11" hidden="1">{#N/A,#N/A,FALSE,"정공"}</definedName>
    <definedName name="아닙니다" localSheetId="3" hidden="1">{#N/A,#N/A,FALSE,"정공"}</definedName>
    <definedName name="아닙니다" hidden="1">{#N/A,#N/A,FALSE,"정공"}</definedName>
    <definedName name="아라리오" localSheetId="11">[0]!BlankMacro1</definedName>
    <definedName name="아라리오" localSheetId="3">[0]!BlankMacro1</definedName>
    <definedName name="아라리오">[0]!BlankMacro1</definedName>
    <definedName name="아리" localSheetId="11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11">#REF!</definedName>
    <definedName name="아이" localSheetId="3">#REF!</definedName>
    <definedName name="아이">#REF!</definedName>
    <definedName name="안" localSheetId="11">#REF!</definedName>
    <definedName name="안" localSheetId="3">#REF!</definedName>
    <definedName name="안">#REF!</definedName>
    <definedName name="안녕" localSheetId="11">#REF!</definedName>
    <definedName name="안녕" localSheetId="3">#REF!</definedName>
    <definedName name="안녕">#REF!</definedName>
    <definedName name="안영ㅇㅇ" localSheetId="11">[0]!BlankMacro1</definedName>
    <definedName name="안영ㅇㅇ" localSheetId="3">[0]!BlankMacro1</definedName>
    <definedName name="안영ㅇㅇ">[0]!BlankMacro1</definedName>
    <definedName name="안전관리비기초액" localSheetId="11">#REF!</definedName>
    <definedName name="안전관리비기초액" localSheetId="3">#REF!</definedName>
    <definedName name="안전관리비기초액">#REF!</definedName>
    <definedName name="안전관리비율" localSheetId="11">#REF!</definedName>
    <definedName name="안전관리비율" localSheetId="3">#REF!</definedName>
    <definedName name="안전관리비율">#REF!</definedName>
    <definedName name="알" localSheetId="11">#REF!</definedName>
    <definedName name="알" localSheetId="3">#REF!</definedName>
    <definedName name="알">#REF!</definedName>
    <definedName name="알미뉴" localSheetId="11">#REF!</definedName>
    <definedName name="알미뉴" localSheetId="3">#REF!</definedName>
    <definedName name="알미뉴">#REF!</definedName>
    <definedName name="알미늄" localSheetId="11">#REF!</definedName>
    <definedName name="알미늄" localSheetId="3">#REF!</definedName>
    <definedName name="알미늄">#REF!</definedName>
    <definedName name="앗서" localSheetId="11" hidden="1">{#N/A,#N/A,FALSE,"정공"}</definedName>
    <definedName name="앗서" localSheetId="3" hidden="1">{#N/A,#N/A,FALSE,"정공"}</definedName>
    <definedName name="앗서" hidden="1">{#N/A,#N/A,FALSE,"정공"}</definedName>
    <definedName name="앙" localSheetId="11">[0]!BlankMacro1</definedName>
    <definedName name="앙" localSheetId="3">[0]!BlankMacro1</definedName>
    <definedName name="앙">[0]!BlankMacro1</definedName>
    <definedName name="약식손익" localSheetId="11" hidden="1">{#N/A,#N/A,FALSE,"정공"}</definedName>
    <definedName name="약식손익" localSheetId="3" hidden="1">{#N/A,#N/A,FALSE,"정공"}</definedName>
    <definedName name="약식손익" hidden="1">{#N/A,#N/A,FALSE,"정공"}</definedName>
    <definedName name="약정분임" localSheetId="11">[0]!BlankMacro1</definedName>
    <definedName name="약정분임" localSheetId="3">[0]!BlankMacro1</definedName>
    <definedName name="약정분임">[0]!BlankMacro1</definedName>
    <definedName name="약정이이자율" localSheetId="11">[0]!BlankMacro1</definedName>
    <definedName name="약정이이자율" localSheetId="3">[0]!BlankMacro1</definedName>
    <definedName name="약정이이자율">[0]!BlankMacro1</definedName>
    <definedName name="약정잉자" localSheetId="11" hidden="1">{#N/A,#N/A,FALSE,"정공"}</definedName>
    <definedName name="약정잉자" localSheetId="3" hidden="1">{#N/A,#N/A,FALSE,"정공"}</definedName>
    <definedName name="약정잉자" hidden="1">{#N/A,#N/A,FALSE,"정공"}</definedName>
    <definedName name="양식" localSheetId="11">[0]!BlankMacro1</definedName>
    <definedName name="양식" localSheetId="3">[0]!BlankMacro1</definedName>
    <definedName name="양식">[0]!BlankMacro1</definedName>
    <definedName name="양호" localSheetId="11">#REF!</definedName>
    <definedName name="양호" localSheetId="3">#REF!</definedName>
    <definedName name="양호">#REF!</definedName>
    <definedName name="어" localSheetId="11">[0]!BlankMacro1</definedName>
    <definedName name="어" localSheetId="3">[0]!BlankMacro1</definedName>
    <definedName name="어">[0]!BlankMacro1</definedName>
    <definedName name="어학" localSheetId="11">#REF!</definedName>
    <definedName name="어학" localSheetId="3">#REF!</definedName>
    <definedName name="어학">#REF!</definedName>
    <definedName name="어ㅏㄹ" localSheetId="11">BlankMacro1</definedName>
    <definedName name="어ㅏㄹ" localSheetId="3">BlankMacro1</definedName>
    <definedName name="어ㅏㄹ">BlankMacro1</definedName>
    <definedName name="업무" localSheetId="11">[0]!BlankMacro1</definedName>
    <definedName name="업무" localSheetId="3">[0]!BlankMacro1</definedName>
    <definedName name="업무">[0]!BlankMacro1</definedName>
    <definedName name="업무2" localSheetId="11">[0]!BlankMacro1</definedName>
    <definedName name="업무2" localSheetId="3">[0]!BlankMacro1</definedName>
    <definedName name="업무2">[0]!BlankMacro1</definedName>
    <definedName name="업무3" localSheetId="11">[0]!BlankMacro1</definedName>
    <definedName name="업무3" localSheetId="3">[0]!BlankMacro1</definedName>
    <definedName name="업무3">[0]!BlankMacro1</definedName>
    <definedName name="업무목표" localSheetId="11" hidden="1">{#N/A,#N/A,FALSE,"정공"}</definedName>
    <definedName name="업무목표" localSheetId="3" hidden="1">{#N/A,#N/A,FALSE,"정공"}</definedName>
    <definedName name="업무목표" hidden="1">{#N/A,#N/A,FALSE,"정공"}</definedName>
    <definedName name="업무보고용" localSheetId="11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11" hidden="1">#REF!</definedName>
    <definedName name="업체" localSheetId="3" hidden="1">#REF!</definedName>
    <definedName name="업체" hidden="1">#REF!</definedName>
    <definedName name="에이비" localSheetId="11">[53]BM_NEW2!#REF!</definedName>
    <definedName name="에이비" localSheetId="3">[53]BM_NEW2!#REF!</definedName>
    <definedName name="에이비">[53]BM_NEW2!#REF!</definedName>
    <definedName name="에이씨" localSheetId="11">[53]BM_NEW2!#REF!</definedName>
    <definedName name="에이씨" localSheetId="3">[53]BM_NEW2!#REF!</definedName>
    <definedName name="에이씨">[53]BM_NEW2!#REF!</definedName>
    <definedName name="연결부하" localSheetId="11">#REF!</definedName>
    <definedName name="연결부하" localSheetId="3">#REF!</definedName>
    <definedName name="연결부하">#REF!</definedName>
    <definedName name="연도.도금" localSheetId="11">#REF!</definedName>
    <definedName name="연도.도금" localSheetId="3">#REF!</definedName>
    <definedName name="연도.도금">#REF!</definedName>
    <definedName name="연습" localSheetId="11">#REF!</definedName>
    <definedName name="연습" localSheetId="3">#REF!</definedName>
    <definedName name="연습">#REF!</definedName>
    <definedName name="연습2" localSheetId="11" hidden="1">[54]금융비용!#REF!</definedName>
    <definedName name="연습2" localSheetId="3" hidden="1">[54]금융비용!#REF!</definedName>
    <definedName name="연습2" hidden="1">[54]금융비용!#REF!</definedName>
    <definedName name="연주얀" localSheetId="11" hidden="1">{#N/A,#N/A,FALSE,"정공"}</definedName>
    <definedName name="연주얀" localSheetId="3" hidden="1">{#N/A,#N/A,FALSE,"정공"}</definedName>
    <definedName name="연주얀" hidden="1">{#N/A,#N/A,FALSE,"정공"}</definedName>
    <definedName name="영1팀" localSheetId="11">[0]!BlankMacro1</definedName>
    <definedName name="영1팀" localSheetId="3">[0]!BlankMacro1</definedName>
    <definedName name="영1팀">[0]!BlankMacro1</definedName>
    <definedName name="영산홍" localSheetId="11">#REF!</definedName>
    <definedName name="영산홍" localSheetId="3">#REF!</definedName>
    <definedName name="영산홍">#REF!</definedName>
    <definedName name="영어" localSheetId="11">#REF!</definedName>
    <definedName name="영어" localSheetId="3">#REF!</definedName>
    <definedName name="영어">#REF!</definedName>
    <definedName name="영업외비용" localSheetId="11">[0]!BlankMacro1</definedName>
    <definedName name="영업외비용" localSheetId="3">[0]!BlankMacro1</definedName>
    <definedName name="영업외비용">[0]!BlankMacro1</definedName>
    <definedName name="영역별매출" localSheetId="11">[55]영역별수주!#REF!</definedName>
    <definedName name="영역별매출" localSheetId="3">[55]영역별수주!#REF!</definedName>
    <definedName name="영역별매출">[55]영역별수주!#REF!</definedName>
    <definedName name="영역별수주" localSheetId="11">#REF!</definedName>
    <definedName name="영역별수주" localSheetId="3">#REF!</definedName>
    <definedName name="영역별수주">#REF!</definedName>
    <definedName name="예" localSheetId="11">[0]!BlankMacro1</definedName>
    <definedName name="예" localSheetId="3">[0]!BlankMacro1</definedName>
    <definedName name="예">[0]!BlankMacro1</definedName>
    <definedName name="예1" localSheetId="11" hidden="1">{#N/A,#N/A,FALSE,"정공"}</definedName>
    <definedName name="예1" localSheetId="3" hidden="1">{#N/A,#N/A,FALSE,"정공"}</definedName>
    <definedName name="예1" hidden="1">{#N/A,#N/A,FALSE,"정공"}</definedName>
    <definedName name="예2" localSheetId="11" hidden="1">{#N/A,#N/A,FALSE,"정공"}</definedName>
    <definedName name="예2" localSheetId="3" hidden="1">{#N/A,#N/A,FALSE,"정공"}</definedName>
    <definedName name="예2" hidden="1">{#N/A,#N/A,FALSE,"정공"}</definedName>
    <definedName name="예3" localSheetId="11" hidden="1">{#N/A,#N/A,FALSE,"정공"}</definedName>
    <definedName name="예3" localSheetId="3" hidden="1">{#N/A,#N/A,FALSE,"정공"}</definedName>
    <definedName name="예3" hidden="1">{#N/A,#N/A,FALSE,"정공"}</definedName>
    <definedName name="예절" localSheetId="11">#REF!</definedName>
    <definedName name="예절" localSheetId="3">#REF!</definedName>
    <definedName name="예절">#REF!</definedName>
    <definedName name="오">[47]유형!$D$33:$D$34</definedName>
    <definedName name="오성협" localSheetId="11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11">#REF!</definedName>
    <definedName name="왕벚나무" localSheetId="3">#REF!</definedName>
    <definedName name="왕벚나무">#REF!</definedName>
    <definedName name="왜성도라지" localSheetId="11">#REF!</definedName>
    <definedName name="왜성도라지" localSheetId="3">#REF!</definedName>
    <definedName name="왜성도라지">#REF!</definedName>
    <definedName name="외국" localSheetId="11">#REF!</definedName>
    <definedName name="외국" localSheetId="3">#REF!</definedName>
    <definedName name="외국">#REF!</definedName>
    <definedName name="외상매입금" localSheetId="11">#REF!</definedName>
    <definedName name="외상매입금" localSheetId="3">#REF!</definedName>
    <definedName name="외상매입금">#REF!</definedName>
    <definedName name="외화환차" localSheetId="11" hidden="1">{#N/A,#N/A,FALSE,"정공"}</definedName>
    <definedName name="외화환차" localSheetId="3" hidden="1">{#N/A,#N/A,FALSE,"정공"}</definedName>
    <definedName name="외화환차" hidden="1">{#N/A,#N/A,FALSE,"정공"}</definedName>
    <definedName name="외화환차1" localSheetId="11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1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11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11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11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11">[0]!BlankMacro1</definedName>
    <definedName name="요약표5" localSheetId="3">[0]!BlankMacro1</definedName>
    <definedName name="요약표5">[0]!BlankMacro1</definedName>
    <definedName name="요율" localSheetId="11">#REF!</definedName>
    <definedName name="요율" localSheetId="3">#REF!</definedName>
    <definedName name="요율">#REF!</definedName>
    <definedName name="요율인쇄" localSheetId="11">#REF!</definedName>
    <definedName name="요율인쇄" localSheetId="3">#REF!</definedName>
    <definedName name="요율인쇄">#REF!</definedName>
    <definedName name="용접" localSheetId="11">#REF!</definedName>
    <definedName name="용접" localSheetId="3">#REF!</definedName>
    <definedName name="용접">#REF!</definedName>
    <definedName name="용접공" localSheetId="11">#REF!</definedName>
    <definedName name="용접공" localSheetId="3">#REF!</definedName>
    <definedName name="용접공">#REF!</definedName>
    <definedName name="용접보" localSheetId="11">#REF!</definedName>
    <definedName name="용접보" localSheetId="3">#REF!</definedName>
    <definedName name="용접보">#REF!</definedName>
    <definedName name="용접봉" localSheetId="11">#REF!</definedName>
    <definedName name="용접봉" localSheetId="3">#REF!</definedName>
    <definedName name="용접봉">#REF!</definedName>
    <definedName name="원" localSheetId="11">#REF!</definedName>
    <definedName name="원" localSheetId="3">#REF!</definedName>
    <definedName name="원">#REF!</definedName>
    <definedName name="원가" localSheetId="11">BlankMacro1</definedName>
    <definedName name="원가" localSheetId="3">BlankMacro1</definedName>
    <definedName name="원가">BlankMacro1</definedName>
    <definedName name="원가개선" localSheetId="11">[0]!BlankMacro1</definedName>
    <definedName name="원가개선" localSheetId="3">[0]!BlankMacro1</definedName>
    <definedName name="원가개선">[0]!BlankMacro1</definedName>
    <definedName name="원가관리라" localSheetId="11" hidden="1">{#N/A,#N/A,FALSE,"정공"}</definedName>
    <definedName name="원가관리라" localSheetId="3" hidden="1">{#N/A,#N/A,FALSE,"정공"}</definedName>
    <definedName name="원가관리라" hidden="1">{#N/A,#N/A,FALSE,"정공"}</definedName>
    <definedName name="원가적용" localSheetId="11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 localSheetId="11">#REF!</definedName>
    <definedName name="원천징수합계" localSheetId="3">#REF!</definedName>
    <definedName name="원천징수합계">#REF!</definedName>
    <definedName name="월별원가절감상세" localSheetId="11" hidden="1">{#N/A,#N/A,FALSE,"정공"}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11">#REF!</definedName>
    <definedName name="위병면회소" localSheetId="3">#REF!</definedName>
    <definedName name="위병면회소">#REF!</definedName>
    <definedName name="위생" localSheetId="11">#REF!</definedName>
    <definedName name="위생" localSheetId="3">#REF!</definedName>
    <definedName name="위생">#REF!</definedName>
    <definedName name="유가" localSheetId="11">#REF!</definedName>
    <definedName name="유가" localSheetId="3">#REF!</definedName>
    <definedName name="유가">#REF!</definedName>
    <definedName name="유가증권명세서" localSheetId="11">#REF!</definedName>
    <definedName name="유가증권명세서" localSheetId="3">#REF!</definedName>
    <definedName name="유가증권명세서">#REF!</definedName>
    <definedName name="유치원" localSheetId="11">#REF!</definedName>
    <definedName name="유치원" localSheetId="3">#REF!</definedName>
    <definedName name="유치원">#REF!</definedName>
    <definedName name="은행나무" localSheetId="11">#REF!</definedName>
    <definedName name="은행나무" localSheetId="3">#REF!</definedName>
    <definedName name="은행나무">#REF!</definedName>
    <definedName name="을지1" localSheetId="11">#REF!</definedName>
    <definedName name="을지1" localSheetId="3">#REF!</definedName>
    <definedName name="을지1">#REF!</definedName>
    <definedName name="음악" localSheetId="11">#REF!</definedName>
    <definedName name="음악" localSheetId="3">#REF!</definedName>
    <definedName name="음악">#REF!</definedName>
    <definedName name="이" localSheetId="11">[0]!BlankMacro1</definedName>
    <definedName name="이" localSheetId="3">[0]!BlankMacro1</definedName>
    <definedName name="이">[0]!BlankMacro1</definedName>
    <definedName name="이공구가설비" localSheetId="11">#REF!</definedName>
    <definedName name="이공구가설비" localSheetId="3">#REF!</definedName>
    <definedName name="이공구가설비">#REF!</definedName>
    <definedName name="이공구간접노무비" localSheetId="11">#REF!</definedName>
    <definedName name="이공구간접노무비" localSheetId="3">#REF!</definedName>
    <definedName name="이공구간접노무비">#REF!</definedName>
    <definedName name="이공구공사원가" localSheetId="11">#REF!</definedName>
    <definedName name="이공구공사원가" localSheetId="3">#REF!</definedName>
    <definedName name="이공구공사원가">#REF!</definedName>
    <definedName name="이공구기타경비" localSheetId="11">#REF!</definedName>
    <definedName name="이공구기타경비" localSheetId="3">#REF!</definedName>
    <definedName name="이공구기타경비">#REF!</definedName>
    <definedName name="이공구산재보험료" localSheetId="11">#REF!</definedName>
    <definedName name="이공구산재보험료" localSheetId="3">#REF!</definedName>
    <definedName name="이공구산재보험료">#REF!</definedName>
    <definedName name="이공구안전관리비" localSheetId="11">#REF!</definedName>
    <definedName name="이공구안전관리비" localSheetId="3">#REF!</definedName>
    <definedName name="이공구안전관리비">#REF!</definedName>
    <definedName name="이공구이윤" localSheetId="11">#REF!</definedName>
    <definedName name="이공구이윤" localSheetId="3">#REF!</definedName>
    <definedName name="이공구이윤">#REF!</definedName>
    <definedName name="이공구일반관리비" localSheetId="11">#REF!</definedName>
    <definedName name="이공구일반관리비" localSheetId="3">#REF!</definedName>
    <definedName name="이공구일반관리비">#REF!</definedName>
    <definedName name="이름충돌" localSheetId="11">[0]!BlankMacro1</definedName>
    <definedName name="이름충돌" localSheetId="3">[0]!BlankMacro1</definedName>
    <definedName name="이름충돌">[0]!BlankMacro1</definedName>
    <definedName name="이식단가" localSheetId="11">#REF!</definedName>
    <definedName name="이식단가" localSheetId="3">#REF!</definedName>
    <definedName name="이식단가">#REF!</definedName>
    <definedName name="이식단가1" localSheetId="11">#REF!</definedName>
    <definedName name="이식단가1" localSheetId="3">#REF!</definedName>
    <definedName name="이식단가1">#REF!</definedName>
    <definedName name="이식일위" localSheetId="11">#REF!</definedName>
    <definedName name="이식일위" localSheetId="3">#REF!</definedName>
    <definedName name="이식일위">#REF!</definedName>
    <definedName name="이월" localSheetId="11">[11]매출원가_회사제시!#REF!</definedName>
    <definedName name="이월" localSheetId="3">[11]매출원가_회사제시!#REF!</definedName>
    <definedName name="이월">[11]매출원가_회사제시!#REF!</definedName>
    <definedName name="이윤율" localSheetId="11">#REF!</definedName>
    <definedName name="이윤율" localSheetId="3">#REF!</definedName>
    <definedName name="이윤율">#REF!</definedName>
    <definedName name="인동덩쿨" localSheetId="11">#REF!</definedName>
    <definedName name="인동덩쿨" localSheetId="3">#REF!</definedName>
    <definedName name="인동덩쿨">#REF!</definedName>
    <definedName name="인소">[47]정보!$J$2:$J$16</definedName>
    <definedName name="인쇄영역" localSheetId="11">#REF!</definedName>
    <definedName name="인쇄영역" localSheetId="3">#REF!</definedName>
    <definedName name="인쇄영역">#REF!</definedName>
    <definedName name="인쇄제목" localSheetId="11">#REF!</definedName>
    <definedName name="인쇄제목" localSheetId="3">#REF!</definedName>
    <definedName name="인쇄제목">#REF!</definedName>
    <definedName name="인할" localSheetId="11">#REF!</definedName>
    <definedName name="인할" localSheetId="3">#REF!</definedName>
    <definedName name="인할">#REF!</definedName>
    <definedName name="일" localSheetId="11">[0]!BlankMacro1</definedName>
    <definedName name="일" localSheetId="3">[0]!BlankMacro1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 localSheetId="11">#REF!</definedName>
    <definedName name="일공구직영비" localSheetId="3">#REF!</definedName>
    <definedName name="일공구직영비">#REF!</definedName>
    <definedName name="일반관리비" localSheetId="11">#REF!</definedName>
    <definedName name="일반관리비" localSheetId="3">#REF!</definedName>
    <definedName name="일반관리비">#REF!</definedName>
    <definedName name="일반관리비율" localSheetId="11">#REF!</definedName>
    <definedName name="일반관리비율" localSheetId="3">#REF!</definedName>
    <definedName name="일반관리비율">#REF!</definedName>
    <definedName name="일반교실" localSheetId="11">#REF!</definedName>
    <definedName name="일반교실" localSheetId="3">#REF!</definedName>
    <definedName name="일반교실">#REF!</definedName>
    <definedName name="일반퇴충" localSheetId="11">#REF!</definedName>
    <definedName name="일반퇴충" localSheetId="3">#REF!</definedName>
    <definedName name="일반퇴충">#REF!</definedName>
    <definedName name="일위" localSheetId="11">#REF!,#REF!</definedName>
    <definedName name="일위" localSheetId="3">#REF!,#REF!</definedName>
    <definedName name="일위">#REF!,#REF!</definedName>
    <definedName name="일위단가" localSheetId="11">#REF!</definedName>
    <definedName name="일위단가" localSheetId="3">#REF!</definedName>
    <definedName name="일위단가">#REF!</definedName>
    <definedName name="일위대가목록_2" localSheetId="11">#REF!</definedName>
    <definedName name="일위대가목록_2" localSheetId="3">#REF!</definedName>
    <definedName name="일위대가목록_2">#REF!</definedName>
    <definedName name="일위대가목록_2_1" localSheetId="11">#REF!</definedName>
    <definedName name="일위대가목록_2_1" localSheetId="3">#REF!</definedName>
    <definedName name="일위대가목록_2_1">#REF!</definedName>
    <definedName name="일위대가목록_2_2" localSheetId="11">#REF!</definedName>
    <definedName name="일위대가목록_2_2" localSheetId="3">#REF!</definedName>
    <definedName name="일위대가목록_2_2">#REF!</definedName>
    <definedName name="일위대가목록_3" localSheetId="11">#REF!</definedName>
    <definedName name="일위대가목록_3" localSheetId="3">#REF!</definedName>
    <definedName name="일위대가목록_3">#REF!</definedName>
    <definedName name="일위대가표" localSheetId="11">#REF!</definedName>
    <definedName name="일위대가표" localSheetId="3">#REF!</definedName>
    <definedName name="일위대가표">#REF!</definedName>
    <definedName name="임동원" localSheetId="11" hidden="1">{#N/A,#N/A,FALSE,"정공"}</definedName>
    <definedName name="임동원" localSheetId="3" hidden="1">{#N/A,#N/A,FALSE,"정공"}</definedName>
    <definedName name="임동원" hidden="1">{#N/A,#N/A,FALSE,"정공"}</definedName>
    <definedName name="임형진" localSheetId="11">#REF!</definedName>
    <definedName name="임형진" localSheetId="3">#REF!</definedName>
    <definedName name="임형진">#REF!</definedName>
    <definedName name="입력" localSheetId="11">#REF!,#REF!,#REF!,#REF!,#REF!,#REF!,#REF!,#REF!,#REF!,#REF!,#REF!,#REF!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11">#REF!</definedName>
    <definedName name="ㅈ" localSheetId="3">#REF!</definedName>
    <definedName name="ㅈ">#REF!</definedName>
    <definedName name="ㅈㅈㅈㅈ" localSheetId="11">BlankMacro1</definedName>
    <definedName name="ㅈㅈㅈㅈ" localSheetId="3">BlankMacro1</definedName>
    <definedName name="ㅈㅈㅈㅈ">BlankMacro1</definedName>
    <definedName name="자귀나무" localSheetId="11">#REF!</definedName>
    <definedName name="자귀나무" localSheetId="3">#REF!</definedName>
    <definedName name="자귀나무">#REF!</definedName>
    <definedName name="자본금" localSheetId="11" hidden="1">{#N/A,#N/A,FALSE,"정공"}</definedName>
    <definedName name="자본금" localSheetId="3" hidden="1">{#N/A,#N/A,FALSE,"정공"}</definedName>
    <definedName name="자본금" hidden="1">{#N/A,#N/A,FALSE,"정공"}</definedName>
    <definedName name="자재" localSheetId="11">#REF!</definedName>
    <definedName name="자재" localSheetId="3">#REF!</definedName>
    <definedName name="자재">#REF!</definedName>
    <definedName name="자재단가할증" localSheetId="11">#REF!</definedName>
    <definedName name="자재단가할증" localSheetId="3">#REF!</definedName>
    <definedName name="자재단가할증">#REF!</definedName>
    <definedName name="자재단가할증04" localSheetId="11">#REF!</definedName>
    <definedName name="자재단가할증04" localSheetId="3">#REF!</definedName>
    <definedName name="자재단가할증04">#REF!</definedName>
    <definedName name="자재수량할증" localSheetId="11">#REF!</definedName>
    <definedName name="자재수량할증" localSheetId="3">#REF!</definedName>
    <definedName name="자재수량할증">#REF!</definedName>
    <definedName name="작성표" localSheetId="11">#REF!</definedName>
    <definedName name="작성표" localSheetId="3">#REF!</definedName>
    <definedName name="작성표">#REF!</definedName>
    <definedName name="작업반장" localSheetId="11">#REF!</definedName>
    <definedName name="작업반장" localSheetId="3">#REF!</definedName>
    <definedName name="작업반장">#REF!</definedName>
    <definedName name="잔다니아" localSheetId="11">[0]!BlankMacro1</definedName>
    <definedName name="잔다니아" localSheetId="3">[0]!BlankMacro1</definedName>
    <definedName name="잔다니아">[0]!BlankMacro1</definedName>
    <definedName name="잔다르크" localSheetId="11" hidden="1">{#N/A,#N/A,FALSE,"정공"}</definedName>
    <definedName name="잔다르크" localSheetId="3" hidden="1">{#N/A,#N/A,FALSE,"정공"}</definedName>
    <definedName name="잔다르크" hidden="1">{#N/A,#N/A,FALSE,"정공"}</definedName>
    <definedName name="잔디_평떼" localSheetId="11">#REF!</definedName>
    <definedName name="잔디_평떼" localSheetId="3">#REF!</definedName>
    <definedName name="잔디_평떼">#REF!</definedName>
    <definedName name="잔디구해" localSheetId="11">[0]!BlankMacro1</definedName>
    <definedName name="잔디구해" localSheetId="3">[0]!BlankMacro1</definedName>
    <definedName name="잔디구해">[0]!BlankMacro1</definedName>
    <definedName name="잣나무" localSheetId="11">#REF!</definedName>
    <definedName name="잣나무" localSheetId="3">#REF!</definedName>
    <definedName name="잣나무">#REF!</definedName>
    <definedName name="장비단가할증" localSheetId="11">#REF!</definedName>
    <definedName name="장비단가할증" localSheetId="3">#REF!</definedName>
    <definedName name="장비단가할증">#REF!</definedName>
    <definedName name="장비입고현황_품명별_List" localSheetId="11">#REF!</definedName>
    <definedName name="장비입고현황_품명별_List" localSheetId="3">#REF!</definedName>
    <definedName name="장비입고현황_품명별_List">#REF!</definedName>
    <definedName name="재량" localSheetId="11">#REF!</definedName>
    <definedName name="재량" localSheetId="3">#REF!</definedName>
    <definedName name="재량">#REF!</definedName>
    <definedName name="재료비" localSheetId="11">#REF!</definedName>
    <definedName name="재료비" localSheetId="3">#REF!</definedName>
    <definedName name="재료비">#REF!</definedName>
    <definedName name="저1" localSheetId="11" hidden="1">{#N/A,#N/A,FALSE,"정공"}</definedName>
    <definedName name="저1" localSheetId="3" hidden="1">{#N/A,#N/A,FALSE,"정공"}</definedName>
    <definedName name="저1" hidden="1">{#N/A,#N/A,FALSE,"정공"}</definedName>
    <definedName name="저2" localSheetId="11" hidden="1">{#N/A,#N/A,FALSE,"정공"}</definedName>
    <definedName name="저2" localSheetId="3" hidden="1">{#N/A,#N/A,FALSE,"정공"}</definedName>
    <definedName name="저2" hidden="1">{#N/A,#N/A,FALSE,"정공"}</definedName>
    <definedName name="전" localSheetId="11">[0]!BlankMacro1</definedName>
    <definedName name="전" localSheetId="3">[0]!BlankMacro1</definedName>
    <definedName name="전">[0]!BlankMacro1</definedName>
    <definedName name="전2" localSheetId="11" hidden="1">{#N/A,#N/A,FALSE,"정공"}</definedName>
    <definedName name="전2" localSheetId="3" hidden="1">{#N/A,#N/A,FALSE,"정공"}</definedName>
    <definedName name="전2" hidden="1">{#N/A,#N/A,FALSE,"정공"}</definedName>
    <definedName name="전기공사" localSheetId="11">#REF!</definedName>
    <definedName name="전기공사" localSheetId="3">#REF!</definedName>
    <definedName name="전기공사">#REF!</definedName>
    <definedName name="전기공사원가" localSheetId="11">BlankMacro1</definedName>
    <definedName name="전기공사원가" localSheetId="3">BlankMacro1</definedName>
    <definedName name="전기공사원가">BlankMacro1</definedName>
    <definedName name="전기공사원가내역" localSheetId="11">BlankMacro1</definedName>
    <definedName name="전기공사원가내역" localSheetId="3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localSheetId="11" hidden="1">{#N/A,#N/A,FALSE,"현장 NCR 분석";#N/A,#N/A,FALSE,"현장품질감사";#N/A,#N/A,FALSE,"현장품질감사"}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11" hidden="1">{#N/A,#N/A,FALSE,"정공"}</definedName>
    <definedName name="전략" localSheetId="3" hidden="1">{#N/A,#N/A,FALSE,"정공"}</definedName>
    <definedName name="전략" hidden="1">{#N/A,#N/A,FALSE,"정공"}</definedName>
    <definedName name="전략2" localSheetId="11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11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11">#REF!</definedName>
    <definedName name="전류승수" localSheetId="3">#REF!</definedName>
    <definedName name="전류승수">#REF!</definedName>
    <definedName name="전선UP_DOWN" localSheetId="11">#REF!</definedName>
    <definedName name="전선UP_DOWN" localSheetId="3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 localSheetId="11">[0]!BlankMacro1</definedName>
    <definedName name="전체조직3" localSheetId="3">[0]!BlankMacro1</definedName>
    <definedName name="전체조직3">[0]!BlankMacro1</definedName>
    <definedName name="절" localSheetId="11">#REF!</definedName>
    <definedName name="절" localSheetId="3">#REF!</definedName>
    <definedName name="절">#REF!</definedName>
    <definedName name="절감" localSheetId="11">[0]!BlankMacro1</definedName>
    <definedName name="절감" localSheetId="3">[0]!BlankMacro1</definedName>
    <definedName name="절감">[0]!BlankMacro1</definedName>
    <definedName name="절감내역상세" localSheetId="11" hidden="1">{#N/A,#N/A,FALSE,"정공"}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11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11">#REF!</definedName>
    <definedName name="절삭" localSheetId="3">#REF!</definedName>
    <definedName name="절삭">#REF!</definedName>
    <definedName name="절삭2" localSheetId="11">#REF!</definedName>
    <definedName name="절삭2" localSheetId="3">#REF!</definedName>
    <definedName name="절삭2">#REF!</definedName>
    <definedName name="점수표" localSheetId="11">#REF!</definedName>
    <definedName name="점수표" localSheetId="3">#REF!</definedName>
    <definedName name="점수표">#REF!</definedName>
    <definedName name="정리용" localSheetId="11" hidden="1">{#N/A,#N/A,FALSE,"Tower &amp; Car Park"}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11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11">#REF!</definedName>
    <definedName name="정산액" localSheetId="3">#REF!</definedName>
    <definedName name="정산액">#REF!</definedName>
    <definedName name="정산액2001" localSheetId="11">#REF!</definedName>
    <definedName name="정산액2001" localSheetId="3">#REF!</definedName>
    <definedName name="정산액2001">#REF!</definedName>
    <definedName name="정산액2002" localSheetId="11">#REF!</definedName>
    <definedName name="정산액2002" localSheetId="3">#REF!</definedName>
    <definedName name="정산액2002">#REF!</definedName>
    <definedName name="정산총액" localSheetId="11">#REF!</definedName>
    <definedName name="정산총액" localSheetId="3">#REF!</definedName>
    <definedName name="정산총액">#REF!</definedName>
    <definedName name="정산총액2001" localSheetId="11">#REF!</definedName>
    <definedName name="정산총액2001" localSheetId="3">#REF!</definedName>
    <definedName name="정산총액2001">#REF!</definedName>
    <definedName name="정산총액2002" localSheetId="11">#REF!</definedName>
    <definedName name="정산총액2002" localSheetId="3">#REF!</definedName>
    <definedName name="정산총액2002">#REF!</definedName>
    <definedName name="정산총액22001" localSheetId="11">#REF!</definedName>
    <definedName name="정산총액22001" localSheetId="3">#REF!</definedName>
    <definedName name="정산총액22001">#REF!</definedName>
    <definedName name="정산총액2211" localSheetId="11">#REF!</definedName>
    <definedName name="정산총액2211" localSheetId="3">#REF!</definedName>
    <definedName name="정산총액2211">#REF!</definedName>
    <definedName name="정산총액2222222" localSheetId="11">#REF!</definedName>
    <definedName name="정산총액2222222" localSheetId="3">#REF!</definedName>
    <definedName name="정산총액2222222">#REF!</definedName>
    <definedName name="정산표" localSheetId="11" hidden="1">{#N/A,#N/A,FALSE,"현장 NCR 분석";#N/A,#N/A,FALSE,"현장품질감사";#N/A,#N/A,FALSE,"현장품질감사"}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11">#REF!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11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11">#REF!</definedName>
    <definedName name="제1호표" localSheetId="3">#REF!</definedName>
    <definedName name="제1호표">#REF!</definedName>
    <definedName name="제2호표" localSheetId="11">#REF!</definedName>
    <definedName name="제2호표" localSheetId="3">#REF!</definedName>
    <definedName name="제2호표">#REF!</definedName>
    <definedName name="제3호표" localSheetId="11">#REF!</definedName>
    <definedName name="제3호표" localSheetId="3">#REF!</definedName>
    <definedName name="제3호표">#REF!</definedName>
    <definedName name="제4호표" localSheetId="11">#REF!</definedName>
    <definedName name="제4호표" localSheetId="3">#REF!</definedName>
    <definedName name="제4호표">#REF!</definedName>
    <definedName name="제5호표" localSheetId="11">#REF!</definedName>
    <definedName name="제5호표" localSheetId="3">#REF!</definedName>
    <definedName name="제5호표">#REF!</definedName>
    <definedName name="제6호표" localSheetId="11">#REF!</definedName>
    <definedName name="제6호표" localSheetId="3">#REF!</definedName>
    <definedName name="제6호표">#REF!</definedName>
    <definedName name="제잡비" localSheetId="11">#REF!</definedName>
    <definedName name="제잡비" localSheetId="3">#REF!</definedName>
    <definedName name="제잡비">#REF!</definedName>
    <definedName name="조달수수료" localSheetId="11">#REF!</definedName>
    <definedName name="조달수수료" localSheetId="3">#REF!</definedName>
    <definedName name="조달수수료">#REF!</definedName>
    <definedName name="조적공" localSheetId="11">#REF!</definedName>
    <definedName name="조적공" localSheetId="3">#REF!</definedName>
    <definedName name="조적공">#REF!</definedName>
    <definedName name="조정시산" localSheetId="11">[0]!BlankMacro1</definedName>
    <definedName name="조정시산" localSheetId="3">[0]!BlankMacro1</definedName>
    <definedName name="조정시산">[0]!BlankMacro1</definedName>
    <definedName name="조정후손익" localSheetId="11" hidden="1">{#N/A,#N/A,FALSE,"정공"}</definedName>
    <definedName name="조정후손익" localSheetId="3" hidden="1">{#N/A,#N/A,FALSE,"정공"}</definedName>
    <definedName name="조정후손익" hidden="1">{#N/A,#N/A,FALSE,"정공"}</definedName>
    <definedName name="조직" localSheetId="11">[0]!BlankMacro1</definedName>
    <definedName name="조직" localSheetId="3">[0]!BlankMacro1</definedName>
    <definedName name="조직">[0]!BlankMacro1</definedName>
    <definedName name="조직3" localSheetId="11" hidden="1">{#N/A,#N/A,FALSE,"정공"}</definedName>
    <definedName name="조직3" localSheetId="3" hidden="1">{#N/A,#N/A,FALSE,"정공"}</definedName>
    <definedName name="조직3" hidden="1">{#N/A,#N/A,FALSE,"정공"}</definedName>
    <definedName name="종가">[57]종가!$A$2:$C$25</definedName>
    <definedName name="종산총액" localSheetId="11">#REF!</definedName>
    <definedName name="종산총액" localSheetId="3">#REF!</definedName>
    <definedName name="종산총액">#REF!</definedName>
    <definedName name="종합2" localSheetId="11" hidden="1">{#N/A,#N/A,FALSE,"정공"}</definedName>
    <definedName name="종합2" localSheetId="3" hidden="1">{#N/A,#N/A,FALSE,"정공"}</definedName>
    <definedName name="종합2" hidden="1">{#N/A,#N/A,FALSE,"정공"}</definedName>
    <definedName name="종합미래2" localSheetId="11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11">[0]!BlankMacro1</definedName>
    <definedName name="종합추이" localSheetId="3">[0]!BlankMacro1</definedName>
    <definedName name="종합추이">[0]!BlankMacro1</definedName>
    <definedName name="주목" localSheetId="11">#REF!</definedName>
    <definedName name="주목" localSheetId="3">#REF!</definedName>
    <definedName name="주목">#REF!</definedName>
    <definedName name="주민세율" localSheetId="11">#REF!</definedName>
    <definedName name="주민세율" localSheetId="3">#REF!</definedName>
    <definedName name="주민세율">#REF!</definedName>
    <definedName name="주방기구.도금" localSheetId="11">#REF!</definedName>
    <definedName name="주방기구.도금" localSheetId="3">#REF!</definedName>
    <definedName name="주방기구.도금">#REF!</definedName>
    <definedName name="주요" localSheetId="11">[0]!BlankMacro1</definedName>
    <definedName name="주요" localSheetId="3">[0]!BlankMacro1</definedName>
    <definedName name="주요">[0]!BlankMacro1</definedName>
    <definedName name="주요업무2" localSheetId="11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1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11">[0]!BlankMacro1</definedName>
    <definedName name="준호" localSheetId="3">[0]!BlankMacro1</definedName>
    <definedName name="준호">[0]!BlankMacro1</definedName>
    <definedName name="줄사철" localSheetId="11">#REF!</definedName>
    <definedName name="줄사철" localSheetId="3">#REF!</definedName>
    <definedName name="줄사철">#REF!</definedName>
    <definedName name="중기" localSheetId="11" hidden="1">{#N/A,#N/A,FALSE,"정공"}</definedName>
    <definedName name="중기" localSheetId="3" hidden="1">{#N/A,#N/A,FALSE,"정공"}</definedName>
    <definedName name="중기" hidden="1">{#N/A,#N/A,FALSE,"정공"}</definedName>
    <definedName name="중기변속기" localSheetId="11">[0]!BlankMacro1</definedName>
    <definedName name="중기변속기" localSheetId="3">[0]!BlankMacro1</definedName>
    <definedName name="중기변속기">[0]!BlankMacro1</definedName>
    <definedName name="지급어음" localSheetId="11">#REF!</definedName>
    <definedName name="지급어음" localSheetId="3">#REF!</definedName>
    <definedName name="지급어음">#REF!</definedName>
    <definedName name="지급어음명세" localSheetId="11">[0]!BlankMacro1</definedName>
    <definedName name="지급어음명세" localSheetId="3">[0]!BlankMacro1</definedName>
    <definedName name="지급어음명세">[0]!BlankMacro1</definedName>
    <definedName name="지급어음명세서3" localSheetId="11" hidden="1">{#N/A,#N/A,FALSE,"정공"}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11">#REF!</definedName>
    <definedName name="직접경비" localSheetId="3">#REF!</definedName>
    <definedName name="직접경비">#REF!</definedName>
    <definedName name="직접노무비" localSheetId="11">#REF!</definedName>
    <definedName name="직접노무비" localSheetId="3">#REF!</definedName>
    <definedName name="직접노무비">#REF!</definedName>
    <definedName name="직종" localSheetId="11">#REF!</definedName>
    <definedName name="직종" localSheetId="3">#REF!</definedName>
    <definedName name="직종">#REF!</definedName>
    <definedName name="집계1" localSheetId="11">#REF!</definedName>
    <definedName name="집계1" localSheetId="3">#REF!</definedName>
    <definedName name="집계1">#REF!</definedName>
    <definedName name="집계2" localSheetId="11">#REF!</definedName>
    <definedName name="집계2" localSheetId="3">#REF!</definedName>
    <definedName name="집계2">#REF!</definedName>
    <definedName name="ㅊ3030" localSheetId="11">#REF!</definedName>
    <definedName name="ㅊ3030" localSheetId="3">#REF!</definedName>
    <definedName name="ㅊ3030">#REF!</definedName>
    <definedName name="ㅊㅇ" localSheetId="11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11">#REF!</definedName>
    <definedName name="차단기UP_DOWN" localSheetId="3">#REF!</definedName>
    <definedName name="차단기UP_DOWN">#REF!</definedName>
    <definedName name="차라리라" localSheetId="11">[0]!BlankMacro1</definedName>
    <definedName name="차라리라" localSheetId="3">[0]!BlankMacro1</definedName>
    <definedName name="차라리라">[0]!BlankMacro1</definedName>
    <definedName name="차라이" localSheetId="11">[0]!BlankMacro1</definedName>
    <definedName name="차라이" localSheetId="3">[0]!BlankMacro1</definedName>
    <definedName name="차라이">[0]!BlankMacro1</definedName>
    <definedName name="차명고래" localSheetId="11">[0]!BlankMacro1</definedName>
    <definedName name="차명고래" localSheetId="3">[0]!BlankMacro1</definedName>
    <definedName name="차명고래">[0]!BlankMacro1</definedName>
    <definedName name="차변합계" localSheetId="11">#REF!</definedName>
    <definedName name="차변합계" localSheetId="3">#REF!</definedName>
    <definedName name="차변합계">#REF!</definedName>
    <definedName name="차익거래" localSheetId="11">[0]!BlankMacro1</definedName>
    <definedName name="차익거래" localSheetId="3">[0]!BlankMacro1</definedName>
    <definedName name="차익거래">[0]!BlankMacro1</definedName>
    <definedName name="차트" localSheetId="11" hidden="1">{#N/A,#N/A,FALSE,"정공"}</definedName>
    <definedName name="차트" localSheetId="3" hidden="1">{#N/A,#N/A,FALSE,"정공"}</definedName>
    <definedName name="차트" hidden="1">{#N/A,#N/A,FALSE,"정공"}</definedName>
    <definedName name="참석자" localSheetId="11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11">[0]!BlankMacro1</definedName>
    <definedName name="창" localSheetId="3">[0]!BlankMacro1</definedName>
    <definedName name="창">[0]!BlankMacro1</definedName>
    <definedName name="창고" localSheetId="11">#REF!</definedName>
    <definedName name="창고" localSheetId="3">#REF!</definedName>
    <definedName name="창고">#REF!</definedName>
    <definedName name="철공" localSheetId="11">#REF!</definedName>
    <definedName name="철공" localSheetId="3">#REF!</definedName>
    <definedName name="철공">#REF!</definedName>
    <definedName name="철근13" localSheetId="11">#REF!</definedName>
    <definedName name="철근13" localSheetId="3">#REF!</definedName>
    <definedName name="철근13">#REF!</definedName>
    <definedName name="청단풍" localSheetId="11">#REF!</definedName>
    <definedName name="청단풍" localSheetId="3">#REF!</definedName>
    <definedName name="청단풍">#REF!</definedName>
    <definedName name="총계" localSheetId="11">#REF!</definedName>
    <definedName name="총계" localSheetId="3">#REF!</definedName>
    <definedName name="총계">#REF!</definedName>
    <definedName name="총괄" localSheetId="11">#REF!</definedName>
    <definedName name="총괄" localSheetId="3">#REF!</definedName>
    <definedName name="총괄">#REF!</definedName>
    <definedName name="총괄_신세대" localSheetId="11" hidden="1">{#N/A,#N/A,FALSE,"정공"}</definedName>
    <definedName name="총괄_신세대" localSheetId="3" hidden="1">{#N/A,#N/A,FALSE,"정공"}</definedName>
    <definedName name="총괄_신세대" hidden="1">{#N/A,#N/A,FALSE,"정공"}</definedName>
    <definedName name="총괄내역" localSheetId="11" hidden="1">#REF!</definedName>
    <definedName name="총괄내역" localSheetId="3" hidden="1">#REF!</definedName>
    <definedName name="총괄내역" hidden="1">#REF!</definedName>
    <definedName name="총괄실행" localSheetId="11">#REF!</definedName>
    <definedName name="총괄실행" localSheetId="3">#REF!</definedName>
    <definedName name="총괄실행">#REF!</definedName>
    <definedName name="총괄표" localSheetId="11">#REF!</definedName>
    <definedName name="총괄표" localSheetId="3">#REF!</definedName>
    <definedName name="총괄표">#REF!</definedName>
    <definedName name="총액" localSheetId="11">#REF!</definedName>
    <definedName name="총액" localSheetId="3">#REF!</definedName>
    <definedName name="총액">#REF!</definedName>
    <definedName name="총토탈" localSheetId="11">#REF!</definedName>
    <definedName name="총토탈" localSheetId="3">#REF!</definedName>
    <definedName name="총토탈">#REF!</definedName>
    <definedName name="총토탈1" localSheetId="11">#REF!</definedName>
    <definedName name="총토탈1" localSheetId="3">#REF!</definedName>
    <definedName name="총토탈1">#REF!</definedName>
    <definedName name="총토탈2" localSheetId="11">#REF!</definedName>
    <definedName name="총토탈2" localSheetId="3">#REF!</definedName>
    <definedName name="총토탈2">#REF!</definedName>
    <definedName name="최영" localSheetId="11" hidden="1">{#N/A,#N/A,FALSE,"정공"}</definedName>
    <definedName name="최영" localSheetId="3" hidden="1">{#N/A,#N/A,FALSE,"정공"}</definedName>
    <definedName name="최영" hidden="1">{#N/A,#N/A,FALSE,"정공"}</definedName>
    <definedName name="추진" localSheetId="11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11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11">#REF!</definedName>
    <definedName name="출원명" localSheetId="3">#REF!</definedName>
    <definedName name="출원명">#REF!</definedName>
    <definedName name="출원품목" localSheetId="11">#REF!</definedName>
    <definedName name="출원품목" localSheetId="3">#REF!</definedName>
    <definedName name="출원품목">#REF!</definedName>
    <definedName name="출처" localSheetId="11">#REF!</definedName>
    <definedName name="출처" localSheetId="3">#REF!</definedName>
    <definedName name="출처">#REF!</definedName>
    <definedName name="출처2" localSheetId="11">#REF!</definedName>
    <definedName name="출처2" localSheetId="3">#REF!</definedName>
    <definedName name="출처2">#REF!</definedName>
    <definedName name="춤추는아이" localSheetId="11">[0]!BlankMacro1</definedName>
    <definedName name="춤추는아이" localSheetId="3">[0]!BlankMacro1</definedName>
    <definedName name="춤추는아이">[0]!BlankMacro1</definedName>
    <definedName name="치장벽돌공" localSheetId="11">#REF!</definedName>
    <definedName name="치장벽돌공" localSheetId="3">#REF!</definedName>
    <definedName name="치장벽돌공">#REF!</definedName>
    <definedName name="ㅋ" localSheetId="11">[0]!BlankMacro1</definedName>
    <definedName name="ㅋ" localSheetId="3">[0]!BlankMacro1</definedName>
    <definedName name="ㅋ">[0]!BlankMacro1</definedName>
    <definedName name="ㅋㅋ" localSheetId="11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11" hidden="1">{#N/A,#N/A,FALSE,"구조1"}</definedName>
    <definedName name="ㅋㅌ" localSheetId="3" hidden="1">{#N/A,#N/A,FALSE,"구조1"}</definedName>
    <definedName name="ㅋㅌ" hidden="1">{#N/A,#N/A,FALSE,"구조1"}</definedName>
    <definedName name="컴" localSheetId="11">#REF!</definedName>
    <definedName name="컴" localSheetId="3">#REF!</definedName>
    <definedName name="컴">#REF!</definedName>
    <definedName name="컴퓨" localSheetId="11">#REF!</definedName>
    <definedName name="컴퓨" localSheetId="3">#REF!</definedName>
    <definedName name="컴퓨">#REF!</definedName>
    <definedName name="콩" localSheetId="11" hidden="1">{#N/A,#N/A,FALSE,"구조1"}</definedName>
    <definedName name="콩" localSheetId="3" hidden="1">{#N/A,#N/A,FALSE,"구조1"}</definedName>
    <definedName name="콩" hidden="1">{#N/A,#N/A,FALSE,"구조1"}</definedName>
    <definedName name="크레인" localSheetId="11">#REF!</definedName>
    <definedName name="크레인" localSheetId="3">#REF!</definedName>
    <definedName name="크레인">#REF!</definedName>
    <definedName name="ㅌㅍ" localSheetId="11" hidden="1">{#N/A,#N/A,FALSE,"부대2"}</definedName>
    <definedName name="ㅌㅍ" localSheetId="3" hidden="1">{#N/A,#N/A,FALSE,"부대2"}</definedName>
    <definedName name="ㅌㅍ" hidden="1">{#N/A,#N/A,FALSE,"부대2"}</definedName>
    <definedName name="탈의" localSheetId="11">#REF!</definedName>
    <definedName name="탈의" localSheetId="3">#REF!</definedName>
    <definedName name="탈의">#REF!</definedName>
    <definedName name="태양열.도금" localSheetId="11">#REF!</definedName>
    <definedName name="태양열.도금" localSheetId="3">#REF!</definedName>
    <definedName name="태양열.도금">#REF!</definedName>
    <definedName name="터널" localSheetId="11" hidden="1">{#N/A,#N/A,FALSE,"부대1"}</definedName>
    <definedName name="터널" localSheetId="3" hidden="1">{#N/A,#N/A,FALSE,"부대1"}</definedName>
    <definedName name="터널" hidden="1">{#N/A,#N/A,FALSE,"부대1"}</definedName>
    <definedName name="터라기2" localSheetId="11">#REF!</definedName>
    <definedName name="터라기2" localSheetId="3">#REF!</definedName>
    <definedName name="터라기2">#REF!</definedName>
    <definedName name="터파기1" localSheetId="11">#REF!</definedName>
    <definedName name="터파기1" localSheetId="3">#REF!</definedName>
    <definedName name="터파기1">#REF!</definedName>
    <definedName name="터파기2" localSheetId="11">#REF!</definedName>
    <definedName name="터파기2" localSheetId="3">#REF!</definedName>
    <definedName name="터파기2">#REF!</definedName>
    <definedName name="템플리트모듈1" localSheetId="11">[0]!BlankMacro1</definedName>
    <definedName name="템플리트모듈1" localSheetId="3">[0]!BlankMacro1</definedName>
    <definedName name="템플리트모듈1">[0]!BlankMacro1</definedName>
    <definedName name="템플리트모듈2" localSheetId="11">[0]!BlankMacro1</definedName>
    <definedName name="템플리트모듈2" localSheetId="3">[0]!BlankMacro1</definedName>
    <definedName name="템플리트모듈2">[0]!BlankMacro1</definedName>
    <definedName name="템플리트모듈3" localSheetId="11">[0]!BlankMacro1</definedName>
    <definedName name="템플리트모듈3" localSheetId="3">[0]!BlankMacro1</definedName>
    <definedName name="템플리트모듈3">[0]!BlankMacro1</definedName>
    <definedName name="템플리트모듈4" localSheetId="11">[0]!BlankMacro1</definedName>
    <definedName name="템플리트모듈4" localSheetId="3">[0]!BlankMacro1</definedName>
    <definedName name="템플리트모듈4">[0]!BlankMacro1</definedName>
    <definedName name="템플리트모듈5" localSheetId="11">[0]!BlankMacro1</definedName>
    <definedName name="템플리트모듈5" localSheetId="3">[0]!BlankMacro1</definedName>
    <definedName name="템플리트모듈5">[0]!BlankMacro1</definedName>
    <definedName name="템플리트모듈6" localSheetId="11">[0]!BlankMacro1</definedName>
    <definedName name="템플리트모듈6" localSheetId="3">[0]!BlankMacro1</definedName>
    <definedName name="템플리트모듈6">[0]!BlankMacro1</definedName>
    <definedName name="토" localSheetId="11" hidden="1">#REF!</definedName>
    <definedName name="토" localSheetId="3" hidden="1">#REF!</definedName>
    <definedName name="토" hidden="1">#REF!</definedName>
    <definedName name="토목내역" localSheetId="11">#REF!</definedName>
    <definedName name="토목내역" localSheetId="3">#REF!</definedName>
    <definedName name="토목내역">#REF!</definedName>
    <definedName name="통신집계" localSheetId="11">BlankMacro1</definedName>
    <definedName name="통신집계" localSheetId="3">BlankMacro1</definedName>
    <definedName name="통신집계">BlankMacro1</definedName>
    <definedName name="투간접노무비" localSheetId="11">#REF!</definedName>
    <definedName name="투간접노무비" localSheetId="3">#REF!</definedName>
    <definedName name="투간접노무비">#REF!</definedName>
    <definedName name="투경비" localSheetId="11">#REF!</definedName>
    <definedName name="투경비" localSheetId="3">#REF!</definedName>
    <definedName name="투경비">#REF!</definedName>
    <definedName name="투고용보험료" localSheetId="11">#REF!</definedName>
    <definedName name="투고용보험료" localSheetId="3">#REF!</definedName>
    <definedName name="투고용보험료">#REF!</definedName>
    <definedName name="투공급가액" localSheetId="11">#REF!</definedName>
    <definedName name="투공급가액" localSheetId="3">#REF!</definedName>
    <definedName name="투공급가액">#REF!</definedName>
    <definedName name="투공사원가" localSheetId="11">#REF!</definedName>
    <definedName name="투공사원가" localSheetId="3">#REF!</definedName>
    <definedName name="투공사원가">#REF!</definedName>
    <definedName name="투기타경비" localSheetId="11">#REF!</definedName>
    <definedName name="투기타경비" localSheetId="3">#REF!</definedName>
    <definedName name="투기타경비">#REF!</definedName>
    <definedName name="투노무비" localSheetId="11">#REF!</definedName>
    <definedName name="투노무비" localSheetId="3">#REF!</definedName>
    <definedName name="투노무비">#REF!</definedName>
    <definedName name="투도급액" localSheetId="11">#REF!</definedName>
    <definedName name="투도급액" localSheetId="3">#REF!</definedName>
    <definedName name="투도급액">#REF!</definedName>
    <definedName name="투부가가치세" localSheetId="11">#REF!</definedName>
    <definedName name="투부가가치세" localSheetId="3">#REF!</definedName>
    <definedName name="투부가가치세">#REF!</definedName>
    <definedName name="투산재보험료" localSheetId="11">#REF!</definedName>
    <definedName name="투산재보험료" localSheetId="3">#REF!</definedName>
    <definedName name="투산재보험료">#REF!</definedName>
    <definedName name="투순공사원가" localSheetId="11">#REF!</definedName>
    <definedName name="투순공사원가" localSheetId="3">#REF!</definedName>
    <definedName name="투순공사원가">#REF!</definedName>
    <definedName name="투안전관리비" localSheetId="11">#REF!</definedName>
    <definedName name="투안전관리비" localSheetId="3">#REF!</definedName>
    <definedName name="투안전관리비">#REF!</definedName>
    <definedName name="투이윤" localSheetId="11">#REF!</definedName>
    <definedName name="투이윤" localSheetId="3">#REF!</definedName>
    <definedName name="투이윤">#REF!</definedName>
    <definedName name="투일반관리비" localSheetId="11">#REF!</definedName>
    <definedName name="투일반관리비" localSheetId="3">#REF!</definedName>
    <definedName name="투일반관리비">#REF!</definedName>
    <definedName name="투재료비" localSheetId="11">#REF!</definedName>
    <definedName name="투재료비" localSheetId="3">#REF!</definedName>
    <definedName name="투재료비">#REF!</definedName>
    <definedName name="투찰가대비표현장" localSheetId="11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11">#REF!</definedName>
    <definedName name="투폐기물처리비" localSheetId="3">#REF!</definedName>
    <definedName name="투폐기물처리비">#REF!</definedName>
    <definedName name="특별" localSheetId="11">[58]집연95!#REF!</definedName>
    <definedName name="특별" localSheetId="3">[58]집연95!#REF!</definedName>
    <definedName name="특별">[58]집연95!#REF!</definedName>
    <definedName name="특수" localSheetId="11">#REF!</definedName>
    <definedName name="특수" localSheetId="3">#REF!</definedName>
    <definedName name="특수">#REF!</definedName>
    <definedName name="특수비계공" localSheetId="11">#REF!</definedName>
    <definedName name="특수비계공" localSheetId="3">#REF!</definedName>
    <definedName name="특수비계공">#REF!</definedName>
    <definedName name="파라이다" localSheetId="11">[0]!BlankMacro1</definedName>
    <definedName name="파라이다" localSheetId="3">[0]!BlankMacro1</definedName>
    <definedName name="파라이다">[0]!BlankMacro1</definedName>
    <definedName name="판다다" localSheetId="11">[0]!BlankMacro1</definedName>
    <definedName name="판다다" localSheetId="3">[0]!BlankMacro1</definedName>
    <definedName name="판다다">[0]!BlankMacro1</definedName>
    <definedName name="판도라상자" localSheetId="11" hidden="1">{#N/A,#N/A,FALSE,"정공"}</definedName>
    <definedName name="판도라상자" localSheetId="3" hidden="1">{#N/A,#N/A,FALSE,"정공"}</definedName>
    <definedName name="판도라상자" hidden="1">{#N/A,#N/A,FALSE,"정공"}</definedName>
    <definedName name="평당" localSheetId="11">#REF!</definedName>
    <definedName name="평당" localSheetId="3">#REF!</definedName>
    <definedName name="평당">#REF!</definedName>
    <definedName name="평당비교전체" localSheetId="11" hidden="1">#REF!</definedName>
    <definedName name="평당비교전체" localSheetId="3" hidden="1">#REF!</definedName>
    <definedName name="평당비교전체" hidden="1">#REF!</definedName>
    <definedName name="평의자" localSheetId="11">#REF!</definedName>
    <definedName name="평의자" localSheetId="3">#REF!</definedName>
    <definedName name="평의자">#REF!</definedName>
    <definedName name="폐기물처리비" localSheetId="11">#REF!</definedName>
    <definedName name="폐기물처리비" localSheetId="3">#REF!</definedName>
    <definedName name="폐기물처리비">#REF!</definedName>
    <definedName name="포리" localSheetId="11">#REF!</definedName>
    <definedName name="포리" localSheetId="3">#REF!</definedName>
    <definedName name="포리">#REF!</definedName>
    <definedName name="포리마" localSheetId="11">#REF!</definedName>
    <definedName name="포리마" localSheetId="3">#REF!</definedName>
    <definedName name="포리마">#REF!</definedName>
    <definedName name="포리미" localSheetId="11">#REF!</definedName>
    <definedName name="포리미" localSheetId="3">#REF!</definedName>
    <definedName name="포리미">#REF!</definedName>
    <definedName name="표준안전관리비" localSheetId="11">#REF!</definedName>
    <definedName name="표준안전관리비" localSheetId="3">#REF!</definedName>
    <definedName name="표준안전관리비">#REF!</definedName>
    <definedName name="표준원가" localSheetId="11">#REF!</definedName>
    <definedName name="표준원가" localSheetId="3">#REF!</definedName>
    <definedName name="표준원가">#REF!</definedName>
    <definedName name="표지" localSheetId="11" hidden="1">#REF!</definedName>
    <definedName name="표지" localSheetId="3" hidden="1">#REF!</definedName>
    <definedName name="표지" hidden="1">#REF!</definedName>
    <definedName name="표지2" localSheetId="11" hidden="1">#REF!</definedName>
    <definedName name="표지2" localSheetId="3" hidden="1">#REF!</definedName>
    <definedName name="표지2" hidden="1">#REF!</definedName>
    <definedName name="표지3" localSheetId="11">#REF!</definedName>
    <definedName name="표지3" localSheetId="3">#REF!</definedName>
    <definedName name="표지3">#REF!</definedName>
    <definedName name="품" localSheetId="11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11">#REF!</definedName>
    <definedName name="품100경" localSheetId="3">#REF!</definedName>
    <definedName name="품100경">#REF!</definedName>
    <definedName name="품100노" localSheetId="11">#REF!</definedName>
    <definedName name="품100노" localSheetId="3">#REF!</definedName>
    <definedName name="품100노">#REF!</definedName>
    <definedName name="품100재" localSheetId="11">#REF!</definedName>
    <definedName name="품100재" localSheetId="3">#REF!</definedName>
    <definedName name="품100재">#REF!</definedName>
    <definedName name="품101경" localSheetId="11">#REF!</definedName>
    <definedName name="품101경" localSheetId="3">#REF!</definedName>
    <definedName name="품101경">#REF!</definedName>
    <definedName name="품101노" localSheetId="11">#REF!</definedName>
    <definedName name="품101노" localSheetId="3">#REF!</definedName>
    <definedName name="품101노">#REF!</definedName>
    <definedName name="품101재" localSheetId="11">#REF!</definedName>
    <definedName name="품101재" localSheetId="3">#REF!</definedName>
    <definedName name="품101재">#REF!</definedName>
    <definedName name="품102경" localSheetId="11">#REF!</definedName>
    <definedName name="품102경" localSheetId="3">#REF!</definedName>
    <definedName name="품102경">#REF!</definedName>
    <definedName name="품102노" localSheetId="11">#REF!</definedName>
    <definedName name="품102노" localSheetId="3">#REF!</definedName>
    <definedName name="품102노">#REF!</definedName>
    <definedName name="품102재" localSheetId="11">#REF!</definedName>
    <definedName name="품102재" localSheetId="3">#REF!</definedName>
    <definedName name="품102재">#REF!</definedName>
    <definedName name="품103경" localSheetId="11">#REF!</definedName>
    <definedName name="품103경" localSheetId="3">#REF!</definedName>
    <definedName name="품103경">#REF!</definedName>
    <definedName name="품103노" localSheetId="11">#REF!</definedName>
    <definedName name="품103노" localSheetId="3">#REF!</definedName>
    <definedName name="품103노">#REF!</definedName>
    <definedName name="품103재" localSheetId="11">#REF!</definedName>
    <definedName name="품103재" localSheetId="3">#REF!</definedName>
    <definedName name="품103재">#REF!</definedName>
    <definedName name="품104경" localSheetId="11">#REF!</definedName>
    <definedName name="품104경" localSheetId="3">#REF!</definedName>
    <definedName name="품104경">#REF!</definedName>
    <definedName name="품104노" localSheetId="11">#REF!</definedName>
    <definedName name="품104노" localSheetId="3">#REF!</definedName>
    <definedName name="품104노">#REF!</definedName>
    <definedName name="품104재" localSheetId="11">#REF!</definedName>
    <definedName name="품104재" localSheetId="3">#REF!</definedName>
    <definedName name="품104재">#REF!</definedName>
    <definedName name="품105경" localSheetId="11">#REF!</definedName>
    <definedName name="품105경" localSheetId="3">#REF!</definedName>
    <definedName name="품105경">#REF!</definedName>
    <definedName name="품105노" localSheetId="11">#REF!</definedName>
    <definedName name="품105노" localSheetId="3">#REF!</definedName>
    <definedName name="품105노">#REF!</definedName>
    <definedName name="품105재" localSheetId="11">#REF!</definedName>
    <definedName name="품105재" localSheetId="3">#REF!</definedName>
    <definedName name="품105재">#REF!</definedName>
    <definedName name="품106경" localSheetId="11">#REF!</definedName>
    <definedName name="품106경" localSheetId="3">#REF!</definedName>
    <definedName name="품106경">#REF!</definedName>
    <definedName name="품106노" localSheetId="11">#REF!</definedName>
    <definedName name="품106노" localSheetId="3">#REF!</definedName>
    <definedName name="품106노">#REF!</definedName>
    <definedName name="품106재" localSheetId="11">#REF!</definedName>
    <definedName name="품106재" localSheetId="3">#REF!</definedName>
    <definedName name="품106재">#REF!</definedName>
    <definedName name="품107경" localSheetId="11">#REF!</definedName>
    <definedName name="품107경" localSheetId="3">#REF!</definedName>
    <definedName name="품107경">#REF!</definedName>
    <definedName name="품107노" localSheetId="11">#REF!</definedName>
    <definedName name="품107노" localSheetId="3">#REF!</definedName>
    <definedName name="품107노">#REF!</definedName>
    <definedName name="품107재" localSheetId="11">#REF!</definedName>
    <definedName name="품107재" localSheetId="3">#REF!</definedName>
    <definedName name="품107재">#REF!</definedName>
    <definedName name="품108경" localSheetId="11">#REF!</definedName>
    <definedName name="품108경" localSheetId="3">#REF!</definedName>
    <definedName name="품108경">#REF!</definedName>
    <definedName name="품108노" localSheetId="11">#REF!</definedName>
    <definedName name="품108노" localSheetId="3">#REF!</definedName>
    <definedName name="품108노">#REF!</definedName>
    <definedName name="품108재" localSheetId="11">#REF!</definedName>
    <definedName name="품108재" localSheetId="3">#REF!</definedName>
    <definedName name="품108재">#REF!</definedName>
    <definedName name="품109노" localSheetId="11">#REF!</definedName>
    <definedName name="품109노" localSheetId="3">#REF!</definedName>
    <definedName name="품109노">#REF!</definedName>
    <definedName name="품10노" localSheetId="11">#REF!</definedName>
    <definedName name="품10노" localSheetId="3">#REF!</definedName>
    <definedName name="품10노">#REF!</definedName>
    <definedName name="품10재" localSheetId="11">#REF!</definedName>
    <definedName name="품10재" localSheetId="3">#REF!</definedName>
    <definedName name="품10재">#REF!</definedName>
    <definedName name="품110노" localSheetId="11">#REF!</definedName>
    <definedName name="품110노" localSheetId="3">#REF!</definedName>
    <definedName name="품110노">#REF!</definedName>
    <definedName name="품111노" localSheetId="11">#REF!</definedName>
    <definedName name="품111노" localSheetId="3">#REF!</definedName>
    <definedName name="품111노">#REF!</definedName>
    <definedName name="품112노" localSheetId="11">#REF!</definedName>
    <definedName name="품112노" localSheetId="3">#REF!</definedName>
    <definedName name="품112노">#REF!</definedName>
    <definedName name="품113노" localSheetId="11">#REF!</definedName>
    <definedName name="품113노" localSheetId="3">#REF!</definedName>
    <definedName name="품113노">#REF!</definedName>
    <definedName name="품113재" localSheetId="11">#REF!</definedName>
    <definedName name="품113재" localSheetId="3">#REF!</definedName>
    <definedName name="품113재">#REF!</definedName>
    <definedName name="품114노" localSheetId="11">#REF!</definedName>
    <definedName name="품114노" localSheetId="3">#REF!</definedName>
    <definedName name="품114노">#REF!</definedName>
    <definedName name="품115노" localSheetId="11">#REF!</definedName>
    <definedName name="품115노" localSheetId="3">#REF!</definedName>
    <definedName name="품115노">#REF!</definedName>
    <definedName name="품116노" localSheetId="11">#REF!</definedName>
    <definedName name="품116노" localSheetId="3">#REF!</definedName>
    <definedName name="품116노">#REF!</definedName>
    <definedName name="품117노" localSheetId="11">#REF!</definedName>
    <definedName name="품117노" localSheetId="3">#REF!</definedName>
    <definedName name="품117노">#REF!</definedName>
    <definedName name="품118노" localSheetId="11">#REF!</definedName>
    <definedName name="품118노" localSheetId="3">#REF!</definedName>
    <definedName name="품118노">#REF!</definedName>
    <definedName name="품119노" localSheetId="11">#REF!</definedName>
    <definedName name="품119노" localSheetId="3">#REF!</definedName>
    <definedName name="품119노">#REF!</definedName>
    <definedName name="품11노" localSheetId="11">#REF!</definedName>
    <definedName name="품11노" localSheetId="3">#REF!</definedName>
    <definedName name="품11노">#REF!</definedName>
    <definedName name="품11재" localSheetId="11">#REF!</definedName>
    <definedName name="품11재" localSheetId="3">#REF!</definedName>
    <definedName name="품11재">#REF!</definedName>
    <definedName name="품120노" localSheetId="11">#REF!</definedName>
    <definedName name="품120노" localSheetId="3">#REF!</definedName>
    <definedName name="품120노">#REF!</definedName>
    <definedName name="품120재" localSheetId="11">#REF!</definedName>
    <definedName name="품120재" localSheetId="3">#REF!</definedName>
    <definedName name="품120재">#REF!</definedName>
    <definedName name="품121재" localSheetId="11">#REF!</definedName>
    <definedName name="품121재" localSheetId="3">#REF!</definedName>
    <definedName name="품121재">#REF!</definedName>
    <definedName name="품122재" localSheetId="11">#REF!</definedName>
    <definedName name="품122재" localSheetId="3">#REF!</definedName>
    <definedName name="품122재">#REF!</definedName>
    <definedName name="품123노" localSheetId="11">#REF!</definedName>
    <definedName name="품123노" localSheetId="3">#REF!</definedName>
    <definedName name="품123노">#REF!</definedName>
    <definedName name="품123재" localSheetId="11">#REF!</definedName>
    <definedName name="품123재" localSheetId="3">#REF!</definedName>
    <definedName name="품123재">#REF!</definedName>
    <definedName name="품124노" localSheetId="11">#REF!</definedName>
    <definedName name="품124노" localSheetId="3">#REF!</definedName>
    <definedName name="품124노">#REF!</definedName>
    <definedName name="품124재" localSheetId="11">#REF!</definedName>
    <definedName name="품124재" localSheetId="3">#REF!</definedName>
    <definedName name="품124재">#REF!</definedName>
    <definedName name="품125노" localSheetId="11">#REF!</definedName>
    <definedName name="품125노" localSheetId="3">#REF!</definedName>
    <definedName name="품125노">#REF!</definedName>
    <definedName name="품125재" localSheetId="11">#REF!</definedName>
    <definedName name="품125재" localSheetId="3">#REF!</definedName>
    <definedName name="품125재">#REF!</definedName>
    <definedName name="품126노" localSheetId="11">#REF!</definedName>
    <definedName name="품126노" localSheetId="3">#REF!</definedName>
    <definedName name="품126노">#REF!</definedName>
    <definedName name="품126재" localSheetId="11">#REF!</definedName>
    <definedName name="품126재" localSheetId="3">#REF!</definedName>
    <definedName name="품126재">#REF!</definedName>
    <definedName name="품127노" localSheetId="11">#REF!</definedName>
    <definedName name="품127노" localSheetId="3">#REF!</definedName>
    <definedName name="품127노">#REF!</definedName>
    <definedName name="품127재" localSheetId="11">#REF!</definedName>
    <definedName name="품127재" localSheetId="3">#REF!</definedName>
    <definedName name="품127재">#REF!</definedName>
    <definedName name="품128노" localSheetId="11">#REF!</definedName>
    <definedName name="품128노" localSheetId="3">#REF!</definedName>
    <definedName name="품128노">#REF!</definedName>
    <definedName name="품128재" localSheetId="11">#REF!</definedName>
    <definedName name="품128재" localSheetId="3">#REF!</definedName>
    <definedName name="품128재">#REF!</definedName>
    <definedName name="품129노" localSheetId="11">#REF!</definedName>
    <definedName name="품129노" localSheetId="3">#REF!</definedName>
    <definedName name="품129노">#REF!</definedName>
    <definedName name="품129재" localSheetId="11">#REF!</definedName>
    <definedName name="품129재" localSheetId="3">#REF!</definedName>
    <definedName name="품129재">#REF!</definedName>
    <definedName name="품12노" localSheetId="11">#REF!</definedName>
    <definedName name="품12노" localSheetId="3">#REF!</definedName>
    <definedName name="품12노">#REF!</definedName>
    <definedName name="품12재" localSheetId="11">#REF!</definedName>
    <definedName name="품12재" localSheetId="3">#REF!</definedName>
    <definedName name="품12재">#REF!</definedName>
    <definedName name="품130노" localSheetId="11">#REF!</definedName>
    <definedName name="품130노" localSheetId="3">#REF!</definedName>
    <definedName name="품130노">#REF!</definedName>
    <definedName name="품130재" localSheetId="11">#REF!</definedName>
    <definedName name="품130재" localSheetId="3">#REF!</definedName>
    <definedName name="품130재">#REF!</definedName>
    <definedName name="품131재" localSheetId="11">#REF!</definedName>
    <definedName name="품131재" localSheetId="3">#REF!</definedName>
    <definedName name="품131재">#REF!</definedName>
    <definedName name="품132노" localSheetId="11">#REF!</definedName>
    <definedName name="품132노" localSheetId="3">#REF!</definedName>
    <definedName name="품132노">#REF!</definedName>
    <definedName name="품132재" localSheetId="11">#REF!</definedName>
    <definedName name="품132재" localSheetId="3">#REF!</definedName>
    <definedName name="품132재">#REF!</definedName>
    <definedName name="품133재" localSheetId="11">#REF!</definedName>
    <definedName name="품133재" localSheetId="3">#REF!</definedName>
    <definedName name="품133재">#REF!</definedName>
    <definedName name="품134재" localSheetId="11">#REF!</definedName>
    <definedName name="품134재" localSheetId="3">#REF!</definedName>
    <definedName name="품134재">#REF!</definedName>
    <definedName name="품135재" localSheetId="11">#REF!</definedName>
    <definedName name="품135재" localSheetId="3">#REF!</definedName>
    <definedName name="품135재">#REF!</definedName>
    <definedName name="품136노" localSheetId="11">#REF!</definedName>
    <definedName name="품136노" localSheetId="3">#REF!</definedName>
    <definedName name="품136노">#REF!</definedName>
    <definedName name="품136재" localSheetId="11">#REF!</definedName>
    <definedName name="품136재" localSheetId="3">#REF!</definedName>
    <definedName name="품136재">#REF!</definedName>
    <definedName name="품137노" localSheetId="11">#REF!</definedName>
    <definedName name="품137노" localSheetId="3">#REF!</definedName>
    <definedName name="품137노">#REF!</definedName>
    <definedName name="품137재" localSheetId="11">#REF!</definedName>
    <definedName name="품137재" localSheetId="3">#REF!</definedName>
    <definedName name="품137재">#REF!</definedName>
    <definedName name="품138노" localSheetId="11">#REF!</definedName>
    <definedName name="품138노" localSheetId="3">#REF!</definedName>
    <definedName name="품138노">#REF!</definedName>
    <definedName name="품138재" localSheetId="11">#REF!</definedName>
    <definedName name="품138재" localSheetId="3">#REF!</definedName>
    <definedName name="품138재">#REF!</definedName>
    <definedName name="품139노" localSheetId="11">#REF!</definedName>
    <definedName name="품139노" localSheetId="3">#REF!</definedName>
    <definedName name="품139노">#REF!</definedName>
    <definedName name="품139재" localSheetId="11">#REF!</definedName>
    <definedName name="품139재" localSheetId="3">#REF!</definedName>
    <definedName name="품139재">#REF!</definedName>
    <definedName name="품13노" localSheetId="11">#REF!</definedName>
    <definedName name="품13노" localSheetId="3">#REF!</definedName>
    <definedName name="품13노">#REF!</definedName>
    <definedName name="품140노" localSheetId="11">#REF!</definedName>
    <definedName name="품140노" localSheetId="3">#REF!</definedName>
    <definedName name="품140노">#REF!</definedName>
    <definedName name="품140재" localSheetId="11">#REF!</definedName>
    <definedName name="품140재" localSheetId="3">#REF!</definedName>
    <definedName name="품140재">#REF!</definedName>
    <definedName name="품141노" localSheetId="11">#REF!</definedName>
    <definedName name="품141노" localSheetId="3">#REF!</definedName>
    <definedName name="품141노">#REF!</definedName>
    <definedName name="품141재" localSheetId="11">#REF!</definedName>
    <definedName name="품141재" localSheetId="3">#REF!</definedName>
    <definedName name="품141재">#REF!</definedName>
    <definedName name="품142노" localSheetId="11">#REF!</definedName>
    <definedName name="품142노" localSheetId="3">#REF!</definedName>
    <definedName name="품142노">#REF!</definedName>
    <definedName name="품142재" localSheetId="11">#REF!</definedName>
    <definedName name="품142재" localSheetId="3">#REF!</definedName>
    <definedName name="품142재">#REF!</definedName>
    <definedName name="품143노" localSheetId="11">#REF!</definedName>
    <definedName name="품143노" localSheetId="3">#REF!</definedName>
    <definedName name="품143노">#REF!</definedName>
    <definedName name="품143재" localSheetId="11">#REF!</definedName>
    <definedName name="품143재" localSheetId="3">#REF!</definedName>
    <definedName name="품143재">#REF!</definedName>
    <definedName name="품144노" localSheetId="11">#REF!</definedName>
    <definedName name="품144노" localSheetId="3">#REF!</definedName>
    <definedName name="품144노">#REF!</definedName>
    <definedName name="품144재" localSheetId="11">#REF!</definedName>
    <definedName name="품144재" localSheetId="3">#REF!</definedName>
    <definedName name="품144재">#REF!</definedName>
    <definedName name="품145노" localSheetId="11">#REF!</definedName>
    <definedName name="품145노" localSheetId="3">#REF!</definedName>
    <definedName name="품145노">#REF!</definedName>
    <definedName name="품145재" localSheetId="11">#REF!</definedName>
    <definedName name="품145재" localSheetId="3">#REF!</definedName>
    <definedName name="품145재">#REF!</definedName>
    <definedName name="품146노" localSheetId="11">#REF!</definedName>
    <definedName name="품146노" localSheetId="3">#REF!</definedName>
    <definedName name="품146노">#REF!</definedName>
    <definedName name="품146재" localSheetId="11">#REF!</definedName>
    <definedName name="품146재" localSheetId="3">#REF!</definedName>
    <definedName name="품146재">#REF!</definedName>
    <definedName name="품147노" localSheetId="11">#REF!</definedName>
    <definedName name="품147노" localSheetId="3">#REF!</definedName>
    <definedName name="품147노">#REF!</definedName>
    <definedName name="품147재" localSheetId="11">#REF!</definedName>
    <definedName name="품147재" localSheetId="3">#REF!</definedName>
    <definedName name="품147재">#REF!</definedName>
    <definedName name="품148노" localSheetId="11">#REF!</definedName>
    <definedName name="품148노" localSheetId="3">#REF!</definedName>
    <definedName name="품148노">#REF!</definedName>
    <definedName name="품148재" localSheetId="11">#REF!</definedName>
    <definedName name="품148재" localSheetId="3">#REF!</definedName>
    <definedName name="품148재">#REF!</definedName>
    <definedName name="품149노" localSheetId="11">#REF!</definedName>
    <definedName name="품149노" localSheetId="3">#REF!</definedName>
    <definedName name="품149노">#REF!</definedName>
    <definedName name="품149재" localSheetId="11">#REF!</definedName>
    <definedName name="품149재" localSheetId="3">#REF!</definedName>
    <definedName name="품149재">#REF!</definedName>
    <definedName name="품14노" localSheetId="11">#REF!</definedName>
    <definedName name="품14노" localSheetId="3">#REF!</definedName>
    <definedName name="품14노">#REF!</definedName>
    <definedName name="품14재" localSheetId="11">#REF!</definedName>
    <definedName name="품14재" localSheetId="3">#REF!</definedName>
    <definedName name="품14재">#REF!</definedName>
    <definedName name="품150노" localSheetId="11">#REF!</definedName>
    <definedName name="품150노" localSheetId="3">#REF!</definedName>
    <definedName name="품150노">#REF!</definedName>
    <definedName name="품150재" localSheetId="11">#REF!</definedName>
    <definedName name="품150재" localSheetId="3">#REF!</definedName>
    <definedName name="품150재">#REF!</definedName>
    <definedName name="품151노" localSheetId="11">#REF!</definedName>
    <definedName name="품151노" localSheetId="3">#REF!</definedName>
    <definedName name="품151노">#REF!</definedName>
    <definedName name="품151재" localSheetId="11">#REF!</definedName>
    <definedName name="품151재" localSheetId="3">#REF!</definedName>
    <definedName name="품151재">#REF!</definedName>
    <definedName name="품152노" localSheetId="11">#REF!</definedName>
    <definedName name="품152노" localSheetId="3">#REF!</definedName>
    <definedName name="품152노">#REF!</definedName>
    <definedName name="품152재" localSheetId="11">#REF!</definedName>
    <definedName name="품152재" localSheetId="3">#REF!</definedName>
    <definedName name="품152재">#REF!</definedName>
    <definedName name="품153노" localSheetId="11">#REF!</definedName>
    <definedName name="품153노" localSheetId="3">#REF!</definedName>
    <definedName name="품153노">#REF!</definedName>
    <definedName name="품153재" localSheetId="11">#REF!</definedName>
    <definedName name="품153재" localSheetId="3">#REF!</definedName>
    <definedName name="품153재">#REF!</definedName>
    <definedName name="품154노" localSheetId="11">#REF!</definedName>
    <definedName name="품154노" localSheetId="3">#REF!</definedName>
    <definedName name="품154노">#REF!</definedName>
    <definedName name="품154재" localSheetId="11">#REF!</definedName>
    <definedName name="품154재" localSheetId="3">#REF!</definedName>
    <definedName name="품154재">#REF!</definedName>
    <definedName name="품155노" localSheetId="11">#REF!</definedName>
    <definedName name="품155노" localSheetId="3">#REF!</definedName>
    <definedName name="품155노">#REF!</definedName>
    <definedName name="품155재" localSheetId="11">#REF!</definedName>
    <definedName name="품155재" localSheetId="3">#REF!</definedName>
    <definedName name="품155재">#REF!</definedName>
    <definedName name="품156재" localSheetId="11">#REF!</definedName>
    <definedName name="품156재" localSheetId="3">#REF!</definedName>
    <definedName name="품156재">#REF!</definedName>
    <definedName name="품157노" localSheetId="11">#REF!</definedName>
    <definedName name="품157노" localSheetId="3">#REF!</definedName>
    <definedName name="품157노">#REF!</definedName>
    <definedName name="품157재" localSheetId="11">#REF!</definedName>
    <definedName name="품157재" localSheetId="3">#REF!</definedName>
    <definedName name="품157재">#REF!</definedName>
    <definedName name="품158노" localSheetId="11">#REF!</definedName>
    <definedName name="품158노" localSheetId="3">#REF!</definedName>
    <definedName name="품158노">#REF!</definedName>
    <definedName name="품158재" localSheetId="11">#REF!</definedName>
    <definedName name="품158재" localSheetId="3">#REF!</definedName>
    <definedName name="품158재">#REF!</definedName>
    <definedName name="품159노" localSheetId="11">#REF!</definedName>
    <definedName name="품159노" localSheetId="3">#REF!</definedName>
    <definedName name="품159노">#REF!</definedName>
    <definedName name="품159재" localSheetId="11">#REF!</definedName>
    <definedName name="품159재" localSheetId="3">#REF!</definedName>
    <definedName name="품159재">#REF!</definedName>
    <definedName name="품15노" localSheetId="11">#REF!</definedName>
    <definedName name="품15노" localSheetId="3">#REF!</definedName>
    <definedName name="품15노">#REF!</definedName>
    <definedName name="품15재" localSheetId="11">#REF!</definedName>
    <definedName name="품15재" localSheetId="3">#REF!</definedName>
    <definedName name="품15재">#REF!</definedName>
    <definedName name="품160재" localSheetId="11">#REF!</definedName>
    <definedName name="품160재" localSheetId="3">#REF!</definedName>
    <definedName name="품160재">#REF!</definedName>
    <definedName name="품161노" localSheetId="11">#REF!</definedName>
    <definedName name="품161노" localSheetId="3">#REF!</definedName>
    <definedName name="품161노">#REF!</definedName>
    <definedName name="품161재" localSheetId="11">#REF!</definedName>
    <definedName name="품161재" localSheetId="3">#REF!</definedName>
    <definedName name="품161재">#REF!</definedName>
    <definedName name="품162노" localSheetId="11">#REF!</definedName>
    <definedName name="품162노" localSheetId="3">#REF!</definedName>
    <definedName name="품162노">#REF!</definedName>
    <definedName name="품162재" localSheetId="11">#REF!</definedName>
    <definedName name="품162재" localSheetId="3">#REF!</definedName>
    <definedName name="품162재">#REF!</definedName>
    <definedName name="품163노" localSheetId="11">#REF!</definedName>
    <definedName name="품163노" localSheetId="3">#REF!</definedName>
    <definedName name="품163노">#REF!</definedName>
    <definedName name="품163재" localSheetId="11">#REF!</definedName>
    <definedName name="품163재" localSheetId="3">#REF!</definedName>
    <definedName name="품163재">#REF!</definedName>
    <definedName name="품164노" localSheetId="11">#REF!</definedName>
    <definedName name="품164노" localSheetId="3">#REF!</definedName>
    <definedName name="품164노">#REF!</definedName>
    <definedName name="품164재" localSheetId="11">#REF!</definedName>
    <definedName name="품164재" localSheetId="3">#REF!</definedName>
    <definedName name="품164재">#REF!</definedName>
    <definedName name="품165노" localSheetId="11">#REF!</definedName>
    <definedName name="품165노" localSheetId="3">#REF!</definedName>
    <definedName name="품165노">#REF!</definedName>
    <definedName name="품165재" localSheetId="11">#REF!</definedName>
    <definedName name="품165재" localSheetId="3">#REF!</definedName>
    <definedName name="품165재">#REF!</definedName>
    <definedName name="품166노" localSheetId="11">#REF!</definedName>
    <definedName name="품166노" localSheetId="3">#REF!</definedName>
    <definedName name="품166노">#REF!</definedName>
    <definedName name="품166재" localSheetId="11">#REF!</definedName>
    <definedName name="품166재" localSheetId="3">#REF!</definedName>
    <definedName name="품166재">#REF!</definedName>
    <definedName name="품167노" localSheetId="11">#REF!</definedName>
    <definedName name="품167노" localSheetId="3">#REF!</definedName>
    <definedName name="품167노">#REF!</definedName>
    <definedName name="품167재" localSheetId="11">#REF!</definedName>
    <definedName name="품167재" localSheetId="3">#REF!</definedName>
    <definedName name="품167재">#REF!</definedName>
    <definedName name="품168경" localSheetId="11">#REF!</definedName>
    <definedName name="품168경" localSheetId="3">#REF!</definedName>
    <definedName name="품168경">#REF!</definedName>
    <definedName name="품168노" localSheetId="11">#REF!</definedName>
    <definedName name="품168노" localSheetId="3">#REF!</definedName>
    <definedName name="품168노">#REF!</definedName>
    <definedName name="품168재" localSheetId="11">#REF!</definedName>
    <definedName name="품168재" localSheetId="3">#REF!</definedName>
    <definedName name="품168재">#REF!</definedName>
    <definedName name="품169경" localSheetId="11">#REF!</definedName>
    <definedName name="품169경" localSheetId="3">#REF!</definedName>
    <definedName name="품169경">#REF!</definedName>
    <definedName name="품169노" localSheetId="11">#REF!</definedName>
    <definedName name="품169노" localSheetId="3">#REF!</definedName>
    <definedName name="품169노">#REF!</definedName>
    <definedName name="품169재" localSheetId="11">#REF!</definedName>
    <definedName name="품169재" localSheetId="3">#REF!</definedName>
    <definedName name="품169재">#REF!</definedName>
    <definedName name="품16노" localSheetId="11">#REF!</definedName>
    <definedName name="품16노" localSheetId="3">#REF!</definedName>
    <definedName name="품16노">#REF!</definedName>
    <definedName name="품170경" localSheetId="11">#REF!</definedName>
    <definedName name="품170경" localSheetId="3">#REF!</definedName>
    <definedName name="품170경">#REF!</definedName>
    <definedName name="품170노" localSheetId="11">#REF!</definedName>
    <definedName name="품170노" localSheetId="3">#REF!</definedName>
    <definedName name="품170노">#REF!</definedName>
    <definedName name="품170재" localSheetId="11">#REF!</definedName>
    <definedName name="품170재" localSheetId="3">#REF!</definedName>
    <definedName name="품170재">#REF!</definedName>
    <definedName name="품171경" localSheetId="11">#REF!</definedName>
    <definedName name="품171경" localSheetId="3">#REF!</definedName>
    <definedName name="품171경">#REF!</definedName>
    <definedName name="품171노" localSheetId="11">#REF!</definedName>
    <definedName name="품171노" localSheetId="3">#REF!</definedName>
    <definedName name="품171노">#REF!</definedName>
    <definedName name="품171재" localSheetId="11">#REF!</definedName>
    <definedName name="품171재" localSheetId="3">#REF!</definedName>
    <definedName name="품171재">#REF!</definedName>
    <definedName name="품172노" localSheetId="11">#REF!</definedName>
    <definedName name="품172노" localSheetId="3">#REF!</definedName>
    <definedName name="품172노">#REF!</definedName>
    <definedName name="품172재" localSheetId="11">#REF!</definedName>
    <definedName name="품172재" localSheetId="3">#REF!</definedName>
    <definedName name="품172재">#REF!</definedName>
    <definedName name="품173노" localSheetId="11">#REF!</definedName>
    <definedName name="품173노" localSheetId="3">#REF!</definedName>
    <definedName name="품173노">#REF!</definedName>
    <definedName name="품173재" localSheetId="11">#REF!</definedName>
    <definedName name="품173재" localSheetId="3">#REF!</definedName>
    <definedName name="품173재">#REF!</definedName>
    <definedName name="품174경" localSheetId="11">#REF!</definedName>
    <definedName name="품174경" localSheetId="3">#REF!</definedName>
    <definedName name="품174경">#REF!</definedName>
    <definedName name="품174노" localSheetId="11">#REF!</definedName>
    <definedName name="품174노" localSheetId="3">#REF!</definedName>
    <definedName name="품174노">#REF!</definedName>
    <definedName name="품174재" localSheetId="11">#REF!</definedName>
    <definedName name="품174재" localSheetId="3">#REF!</definedName>
    <definedName name="품174재">#REF!</definedName>
    <definedName name="품175경" localSheetId="11">#REF!</definedName>
    <definedName name="품175경" localSheetId="3">#REF!</definedName>
    <definedName name="품175경">#REF!</definedName>
    <definedName name="품175노" localSheetId="11">#REF!</definedName>
    <definedName name="품175노" localSheetId="3">#REF!</definedName>
    <definedName name="품175노">#REF!</definedName>
    <definedName name="품175재" localSheetId="11">#REF!</definedName>
    <definedName name="품175재" localSheetId="3">#REF!</definedName>
    <definedName name="품175재">#REF!</definedName>
    <definedName name="품176경" localSheetId="11">#REF!</definedName>
    <definedName name="품176경" localSheetId="3">#REF!</definedName>
    <definedName name="품176경">#REF!</definedName>
    <definedName name="품176노" localSheetId="11">#REF!</definedName>
    <definedName name="품176노" localSheetId="3">#REF!</definedName>
    <definedName name="품176노">#REF!</definedName>
    <definedName name="품176재" localSheetId="11">#REF!</definedName>
    <definedName name="품176재" localSheetId="3">#REF!</definedName>
    <definedName name="품176재">#REF!</definedName>
    <definedName name="품177노" localSheetId="11">#REF!</definedName>
    <definedName name="품177노" localSheetId="3">#REF!</definedName>
    <definedName name="품177노">#REF!</definedName>
    <definedName name="품177재" localSheetId="11">#REF!</definedName>
    <definedName name="품177재" localSheetId="3">#REF!</definedName>
    <definedName name="품177재">#REF!</definedName>
    <definedName name="품178경" localSheetId="11">#REF!</definedName>
    <definedName name="품178경" localSheetId="3">#REF!</definedName>
    <definedName name="품178경">#REF!</definedName>
    <definedName name="품178경1" localSheetId="11">#REF!</definedName>
    <definedName name="품178경1" localSheetId="3">#REF!</definedName>
    <definedName name="품178경1">#REF!</definedName>
    <definedName name="품178노" localSheetId="11">#REF!</definedName>
    <definedName name="품178노" localSheetId="3">#REF!</definedName>
    <definedName name="품178노">#REF!</definedName>
    <definedName name="품178노1" localSheetId="11">#REF!</definedName>
    <definedName name="품178노1" localSheetId="3">#REF!</definedName>
    <definedName name="품178노1">#REF!</definedName>
    <definedName name="품178재" localSheetId="11">#REF!</definedName>
    <definedName name="품178재" localSheetId="3">#REF!</definedName>
    <definedName name="품178재">#REF!</definedName>
    <definedName name="품178재1" localSheetId="11">#REF!</definedName>
    <definedName name="품178재1" localSheetId="3">#REF!</definedName>
    <definedName name="품178재1">#REF!</definedName>
    <definedName name="품179경" localSheetId="11">#REF!</definedName>
    <definedName name="품179경" localSheetId="3">#REF!</definedName>
    <definedName name="품179경">#REF!</definedName>
    <definedName name="품179노" localSheetId="11">#REF!</definedName>
    <definedName name="품179노" localSheetId="3">#REF!</definedName>
    <definedName name="품179노">#REF!</definedName>
    <definedName name="품179재" localSheetId="11">#REF!</definedName>
    <definedName name="품179재" localSheetId="3">#REF!</definedName>
    <definedName name="품179재">#REF!</definedName>
    <definedName name="품17노" localSheetId="11">#REF!</definedName>
    <definedName name="품17노" localSheetId="3">#REF!</definedName>
    <definedName name="품17노">#REF!</definedName>
    <definedName name="품17재" localSheetId="11">#REF!</definedName>
    <definedName name="품17재" localSheetId="3">#REF!</definedName>
    <definedName name="품17재">#REF!</definedName>
    <definedName name="품180경" localSheetId="11">#REF!</definedName>
    <definedName name="품180경" localSheetId="3">#REF!</definedName>
    <definedName name="품180경">#REF!</definedName>
    <definedName name="품180노" localSheetId="11">#REF!</definedName>
    <definedName name="품180노" localSheetId="3">#REF!</definedName>
    <definedName name="품180노">#REF!</definedName>
    <definedName name="품180재" localSheetId="11">#REF!</definedName>
    <definedName name="품180재" localSheetId="3">#REF!</definedName>
    <definedName name="품180재">#REF!</definedName>
    <definedName name="품181노" localSheetId="11">#REF!</definedName>
    <definedName name="품181노" localSheetId="3">#REF!</definedName>
    <definedName name="품181노">#REF!</definedName>
    <definedName name="품182노" localSheetId="11">#REF!</definedName>
    <definedName name="품182노" localSheetId="3">#REF!</definedName>
    <definedName name="품182노">#REF!</definedName>
    <definedName name="품182재" localSheetId="11">#REF!</definedName>
    <definedName name="품182재" localSheetId="3">#REF!</definedName>
    <definedName name="품182재">#REF!</definedName>
    <definedName name="품183경" localSheetId="11">#REF!</definedName>
    <definedName name="품183경" localSheetId="3">#REF!</definedName>
    <definedName name="품183경">#REF!</definedName>
    <definedName name="품183노" localSheetId="11">#REF!</definedName>
    <definedName name="품183노" localSheetId="3">#REF!</definedName>
    <definedName name="품183노">#REF!</definedName>
    <definedName name="품183재" localSheetId="11">#REF!</definedName>
    <definedName name="품183재" localSheetId="3">#REF!</definedName>
    <definedName name="품183재">#REF!</definedName>
    <definedName name="품184경" localSheetId="11">#REF!</definedName>
    <definedName name="품184경" localSheetId="3">#REF!</definedName>
    <definedName name="품184경">#REF!</definedName>
    <definedName name="품184노" localSheetId="11">#REF!</definedName>
    <definedName name="품184노" localSheetId="3">#REF!</definedName>
    <definedName name="품184노">#REF!</definedName>
    <definedName name="품184재" localSheetId="11">#REF!</definedName>
    <definedName name="품184재" localSheetId="3">#REF!</definedName>
    <definedName name="품184재">#REF!</definedName>
    <definedName name="품18노" localSheetId="11">#REF!</definedName>
    <definedName name="품18노" localSheetId="3">#REF!</definedName>
    <definedName name="품18노">#REF!</definedName>
    <definedName name="품19노" localSheetId="11">#REF!</definedName>
    <definedName name="품19노" localSheetId="3">#REF!</definedName>
    <definedName name="품19노">#REF!</definedName>
    <definedName name="품19재" localSheetId="11">#REF!</definedName>
    <definedName name="품19재" localSheetId="3">#REF!</definedName>
    <definedName name="품19재">#REF!</definedName>
    <definedName name="품1노" localSheetId="11">#REF!</definedName>
    <definedName name="품1노" localSheetId="3">#REF!</definedName>
    <definedName name="품1노">#REF!</definedName>
    <definedName name="품1재" localSheetId="11">#REF!</definedName>
    <definedName name="품1재" localSheetId="3">#REF!</definedName>
    <definedName name="품1재">#REF!</definedName>
    <definedName name="품20노" localSheetId="11">#REF!</definedName>
    <definedName name="품20노" localSheetId="3">#REF!</definedName>
    <definedName name="품20노">#REF!</definedName>
    <definedName name="품21노" localSheetId="11">#REF!</definedName>
    <definedName name="품21노" localSheetId="3">#REF!</definedName>
    <definedName name="품21노">#REF!</definedName>
    <definedName name="품21재" localSheetId="11">#REF!</definedName>
    <definedName name="품21재" localSheetId="3">#REF!</definedName>
    <definedName name="품21재">#REF!</definedName>
    <definedName name="품22경" localSheetId="11">#REF!</definedName>
    <definedName name="품22경" localSheetId="3">#REF!</definedName>
    <definedName name="품22경">#REF!</definedName>
    <definedName name="품22노" localSheetId="11">#REF!</definedName>
    <definedName name="품22노" localSheetId="3">#REF!</definedName>
    <definedName name="품22노">#REF!</definedName>
    <definedName name="품22재" localSheetId="11">#REF!</definedName>
    <definedName name="품22재" localSheetId="3">#REF!</definedName>
    <definedName name="품22재">#REF!</definedName>
    <definedName name="품23경" localSheetId="11">#REF!</definedName>
    <definedName name="품23경" localSheetId="3">#REF!</definedName>
    <definedName name="품23경">#REF!</definedName>
    <definedName name="품23노" localSheetId="11">#REF!</definedName>
    <definedName name="품23노" localSheetId="3">#REF!</definedName>
    <definedName name="품23노">#REF!</definedName>
    <definedName name="품23재" localSheetId="11">#REF!</definedName>
    <definedName name="품23재" localSheetId="3">#REF!</definedName>
    <definedName name="품23재">#REF!</definedName>
    <definedName name="품24경" localSheetId="11">#REF!</definedName>
    <definedName name="품24경" localSheetId="3">#REF!</definedName>
    <definedName name="품24경">#REF!</definedName>
    <definedName name="품24노" localSheetId="11">#REF!</definedName>
    <definedName name="품24노" localSheetId="3">#REF!</definedName>
    <definedName name="품24노">#REF!</definedName>
    <definedName name="품24재" localSheetId="11">#REF!</definedName>
    <definedName name="품24재" localSheetId="3">#REF!</definedName>
    <definedName name="품24재">#REF!</definedName>
    <definedName name="품25노" localSheetId="11">#REF!</definedName>
    <definedName name="품25노" localSheetId="3">#REF!</definedName>
    <definedName name="품25노">#REF!</definedName>
    <definedName name="품26노" localSheetId="11">#REF!</definedName>
    <definedName name="품26노" localSheetId="3">#REF!</definedName>
    <definedName name="품26노">#REF!</definedName>
    <definedName name="품27노" localSheetId="11">#REF!</definedName>
    <definedName name="품27노" localSheetId="3">#REF!</definedName>
    <definedName name="품27노">#REF!</definedName>
    <definedName name="품27재" localSheetId="11">#REF!</definedName>
    <definedName name="품27재" localSheetId="3">#REF!</definedName>
    <definedName name="품27재">#REF!</definedName>
    <definedName name="품283경" localSheetId="11">#REF!</definedName>
    <definedName name="품283경" localSheetId="3">#REF!</definedName>
    <definedName name="품283경">#REF!</definedName>
    <definedName name="품283노" localSheetId="11">#REF!</definedName>
    <definedName name="품283노" localSheetId="3">#REF!</definedName>
    <definedName name="품283노">#REF!</definedName>
    <definedName name="품283재" localSheetId="11">#REF!</definedName>
    <definedName name="품283재" localSheetId="3">#REF!</definedName>
    <definedName name="품283재">#REF!</definedName>
    <definedName name="품28노" localSheetId="11">#REF!</definedName>
    <definedName name="품28노" localSheetId="3">#REF!</definedName>
    <definedName name="품28노">#REF!</definedName>
    <definedName name="품28재" localSheetId="11">#REF!</definedName>
    <definedName name="품28재" localSheetId="3">#REF!</definedName>
    <definedName name="품28재">#REF!</definedName>
    <definedName name="품29노" localSheetId="11">#REF!</definedName>
    <definedName name="품29노" localSheetId="3">#REF!</definedName>
    <definedName name="품29노">#REF!</definedName>
    <definedName name="품29재" localSheetId="11">#REF!</definedName>
    <definedName name="품29재" localSheetId="3">#REF!</definedName>
    <definedName name="품29재">#REF!</definedName>
    <definedName name="품2노" localSheetId="11">#REF!</definedName>
    <definedName name="품2노" localSheetId="3">#REF!</definedName>
    <definedName name="품2노">#REF!</definedName>
    <definedName name="품2재" localSheetId="11">#REF!</definedName>
    <definedName name="품2재" localSheetId="3">#REF!</definedName>
    <definedName name="품2재">#REF!</definedName>
    <definedName name="품30노" localSheetId="11">#REF!</definedName>
    <definedName name="품30노" localSheetId="3">#REF!</definedName>
    <definedName name="품30노">#REF!</definedName>
    <definedName name="품30재" localSheetId="11">#REF!</definedName>
    <definedName name="품30재" localSheetId="3">#REF!</definedName>
    <definedName name="품30재">#REF!</definedName>
    <definedName name="품31노" localSheetId="11">#REF!</definedName>
    <definedName name="품31노" localSheetId="3">#REF!</definedName>
    <definedName name="품31노">#REF!</definedName>
    <definedName name="품31재" localSheetId="11">#REF!</definedName>
    <definedName name="품31재" localSheetId="3">#REF!</definedName>
    <definedName name="품31재">#REF!</definedName>
    <definedName name="품32노" localSheetId="11">#REF!</definedName>
    <definedName name="품32노" localSheetId="3">#REF!</definedName>
    <definedName name="품32노">#REF!</definedName>
    <definedName name="품32재" localSheetId="11">#REF!</definedName>
    <definedName name="품32재" localSheetId="3">#REF!</definedName>
    <definedName name="품32재">#REF!</definedName>
    <definedName name="품33노" localSheetId="11">#REF!</definedName>
    <definedName name="품33노" localSheetId="3">#REF!</definedName>
    <definedName name="품33노">#REF!</definedName>
    <definedName name="품33재" localSheetId="11">#REF!</definedName>
    <definedName name="품33재" localSheetId="3">#REF!</definedName>
    <definedName name="품33재">#REF!</definedName>
    <definedName name="품34경" localSheetId="11">#REF!</definedName>
    <definedName name="품34경" localSheetId="3">#REF!</definedName>
    <definedName name="품34경">#REF!</definedName>
    <definedName name="품34재" localSheetId="11">#REF!</definedName>
    <definedName name="품34재" localSheetId="3">#REF!</definedName>
    <definedName name="품34재">#REF!</definedName>
    <definedName name="품35노" localSheetId="11">#REF!</definedName>
    <definedName name="품35노" localSheetId="3">#REF!</definedName>
    <definedName name="품35노">#REF!</definedName>
    <definedName name="품36노" localSheetId="11">#REF!</definedName>
    <definedName name="품36노" localSheetId="3">#REF!</definedName>
    <definedName name="품36노">#REF!</definedName>
    <definedName name="품37노" localSheetId="11">#REF!</definedName>
    <definedName name="품37노" localSheetId="3">#REF!</definedName>
    <definedName name="품37노">#REF!</definedName>
    <definedName name="품38노" localSheetId="11">#REF!</definedName>
    <definedName name="품38노" localSheetId="3">#REF!</definedName>
    <definedName name="품38노">#REF!</definedName>
    <definedName name="품39노" localSheetId="11">#REF!</definedName>
    <definedName name="품39노" localSheetId="3">#REF!</definedName>
    <definedName name="품39노">#REF!</definedName>
    <definedName name="품3노" localSheetId="11">#REF!</definedName>
    <definedName name="품3노" localSheetId="3">#REF!</definedName>
    <definedName name="품3노">#REF!</definedName>
    <definedName name="품3재" localSheetId="11">#REF!</definedName>
    <definedName name="품3재" localSheetId="3">#REF!</definedName>
    <definedName name="품3재">#REF!</definedName>
    <definedName name="품40노" localSheetId="11">#REF!</definedName>
    <definedName name="품40노" localSheetId="3">#REF!</definedName>
    <definedName name="품40노">#REF!</definedName>
    <definedName name="품41노" localSheetId="11">#REF!</definedName>
    <definedName name="품41노" localSheetId="3">#REF!</definedName>
    <definedName name="품41노">#REF!</definedName>
    <definedName name="품42노" localSheetId="11">#REF!</definedName>
    <definedName name="품42노" localSheetId="3">#REF!</definedName>
    <definedName name="품42노">#REF!</definedName>
    <definedName name="품43노" localSheetId="11">#REF!</definedName>
    <definedName name="품43노" localSheetId="3">#REF!</definedName>
    <definedName name="품43노">#REF!</definedName>
    <definedName name="품44노" localSheetId="11">#REF!</definedName>
    <definedName name="품44노" localSheetId="3">#REF!</definedName>
    <definedName name="품44노">#REF!</definedName>
    <definedName name="품44재" localSheetId="11">#REF!</definedName>
    <definedName name="품44재" localSheetId="3">#REF!</definedName>
    <definedName name="품44재">#REF!</definedName>
    <definedName name="품45노" localSheetId="11">#REF!</definedName>
    <definedName name="품45노" localSheetId="3">#REF!</definedName>
    <definedName name="품45노">#REF!</definedName>
    <definedName name="품46노" localSheetId="11">#REF!</definedName>
    <definedName name="품46노" localSheetId="3">#REF!</definedName>
    <definedName name="품46노">#REF!</definedName>
    <definedName name="품46재" localSheetId="11">#REF!</definedName>
    <definedName name="품46재" localSheetId="3">#REF!</definedName>
    <definedName name="품46재">#REF!</definedName>
    <definedName name="품47노" localSheetId="11">#REF!</definedName>
    <definedName name="품47노" localSheetId="3">#REF!</definedName>
    <definedName name="품47노">#REF!</definedName>
    <definedName name="품47재" localSheetId="11">#REF!</definedName>
    <definedName name="품47재" localSheetId="3">#REF!</definedName>
    <definedName name="품47재">#REF!</definedName>
    <definedName name="품48노" localSheetId="11">#REF!</definedName>
    <definedName name="품48노" localSheetId="3">#REF!</definedName>
    <definedName name="품48노">#REF!</definedName>
    <definedName name="품48재" localSheetId="11">#REF!</definedName>
    <definedName name="품48재" localSheetId="3">#REF!</definedName>
    <definedName name="품48재">#REF!</definedName>
    <definedName name="품49재" localSheetId="11">#REF!</definedName>
    <definedName name="품49재" localSheetId="3">#REF!</definedName>
    <definedName name="품49재">#REF!</definedName>
    <definedName name="품4노" localSheetId="11">#REF!</definedName>
    <definedName name="품4노" localSheetId="3">#REF!</definedName>
    <definedName name="품4노">#REF!</definedName>
    <definedName name="품4재" localSheetId="11">#REF!</definedName>
    <definedName name="품4재" localSheetId="3">#REF!</definedName>
    <definedName name="품4재">#REF!</definedName>
    <definedName name="품50노" localSheetId="11">#REF!</definedName>
    <definedName name="품50노" localSheetId="3">#REF!</definedName>
    <definedName name="품50노">#REF!</definedName>
    <definedName name="품50재" localSheetId="11">#REF!</definedName>
    <definedName name="품50재" localSheetId="3">#REF!</definedName>
    <definedName name="품50재">#REF!</definedName>
    <definedName name="품51노" localSheetId="11">#REF!</definedName>
    <definedName name="품51노" localSheetId="3">#REF!</definedName>
    <definedName name="품51노">#REF!</definedName>
    <definedName name="품51재" localSheetId="11">#REF!</definedName>
    <definedName name="품51재" localSheetId="3">#REF!</definedName>
    <definedName name="품51재">#REF!</definedName>
    <definedName name="품52노" localSheetId="11">#REF!</definedName>
    <definedName name="품52노" localSheetId="3">#REF!</definedName>
    <definedName name="품52노">#REF!</definedName>
    <definedName name="품52재" localSheetId="11">#REF!</definedName>
    <definedName name="품52재" localSheetId="3">#REF!</definedName>
    <definedName name="품52재">#REF!</definedName>
    <definedName name="품53노" localSheetId="11">#REF!</definedName>
    <definedName name="품53노" localSheetId="3">#REF!</definedName>
    <definedName name="품53노">#REF!</definedName>
    <definedName name="품53재" localSheetId="11">#REF!</definedName>
    <definedName name="품53재" localSheetId="3">#REF!</definedName>
    <definedName name="품53재">#REF!</definedName>
    <definedName name="품54노" localSheetId="11">#REF!</definedName>
    <definedName name="품54노" localSheetId="3">#REF!</definedName>
    <definedName name="품54노">#REF!</definedName>
    <definedName name="품54재" localSheetId="11">#REF!</definedName>
    <definedName name="품54재" localSheetId="3">#REF!</definedName>
    <definedName name="품54재">#REF!</definedName>
    <definedName name="품55노" localSheetId="11">#REF!</definedName>
    <definedName name="품55노" localSheetId="3">#REF!</definedName>
    <definedName name="품55노">#REF!</definedName>
    <definedName name="품55노1" localSheetId="11">#REF!</definedName>
    <definedName name="품55노1" localSheetId="3">#REF!</definedName>
    <definedName name="품55노1">#REF!</definedName>
    <definedName name="품55재" localSheetId="11">#REF!</definedName>
    <definedName name="품55재" localSheetId="3">#REF!</definedName>
    <definedName name="품55재">#REF!</definedName>
    <definedName name="품55재1" localSheetId="11">#REF!</definedName>
    <definedName name="품55재1" localSheetId="3">#REF!</definedName>
    <definedName name="품55재1">#REF!</definedName>
    <definedName name="품56노" localSheetId="11">#REF!</definedName>
    <definedName name="품56노" localSheetId="3">#REF!</definedName>
    <definedName name="품56노">#REF!</definedName>
    <definedName name="품56재" localSheetId="11">#REF!</definedName>
    <definedName name="품56재" localSheetId="3">#REF!</definedName>
    <definedName name="품56재">#REF!</definedName>
    <definedName name="품57노" localSheetId="11">#REF!</definedName>
    <definedName name="품57노" localSheetId="3">#REF!</definedName>
    <definedName name="품57노">#REF!</definedName>
    <definedName name="품57재" localSheetId="11">#REF!</definedName>
    <definedName name="품57재" localSheetId="3">#REF!</definedName>
    <definedName name="품57재">#REF!</definedName>
    <definedName name="품58노" localSheetId="11">#REF!</definedName>
    <definedName name="품58노" localSheetId="3">#REF!</definedName>
    <definedName name="품58노">#REF!</definedName>
    <definedName name="품58재" localSheetId="11">#REF!</definedName>
    <definedName name="품58재" localSheetId="3">#REF!</definedName>
    <definedName name="품58재">#REF!</definedName>
    <definedName name="품59노" localSheetId="11">#REF!</definedName>
    <definedName name="품59노" localSheetId="3">#REF!</definedName>
    <definedName name="품59노">#REF!</definedName>
    <definedName name="품59재" localSheetId="11">#REF!</definedName>
    <definedName name="품59재" localSheetId="3">#REF!</definedName>
    <definedName name="품59재">#REF!</definedName>
    <definedName name="품5노" localSheetId="11">#REF!</definedName>
    <definedName name="품5노" localSheetId="3">#REF!</definedName>
    <definedName name="품5노">#REF!</definedName>
    <definedName name="품5재" localSheetId="11">#REF!</definedName>
    <definedName name="품5재" localSheetId="3">#REF!</definedName>
    <definedName name="품5재">#REF!</definedName>
    <definedName name="품60노" localSheetId="11">#REF!</definedName>
    <definedName name="품60노" localSheetId="3">#REF!</definedName>
    <definedName name="품60노">#REF!</definedName>
    <definedName name="품60재" localSheetId="11">#REF!</definedName>
    <definedName name="품60재" localSheetId="3">#REF!</definedName>
    <definedName name="품60재">#REF!</definedName>
    <definedName name="품61노" localSheetId="11">#REF!</definedName>
    <definedName name="품61노" localSheetId="3">#REF!</definedName>
    <definedName name="품61노">#REF!</definedName>
    <definedName name="품61재" localSheetId="11">#REF!</definedName>
    <definedName name="품61재" localSheetId="3">#REF!</definedName>
    <definedName name="품61재">#REF!</definedName>
    <definedName name="품62노" localSheetId="11">#REF!</definedName>
    <definedName name="품62노" localSheetId="3">#REF!</definedName>
    <definedName name="품62노">#REF!</definedName>
    <definedName name="품62재" localSheetId="11">#REF!</definedName>
    <definedName name="품62재" localSheetId="3">#REF!</definedName>
    <definedName name="품62재">#REF!</definedName>
    <definedName name="품63노" localSheetId="11">#REF!</definedName>
    <definedName name="품63노" localSheetId="3">#REF!</definedName>
    <definedName name="품63노">#REF!</definedName>
    <definedName name="품63재" localSheetId="11">#REF!</definedName>
    <definedName name="품63재" localSheetId="3">#REF!</definedName>
    <definedName name="품63재">#REF!</definedName>
    <definedName name="품64노" localSheetId="11">#REF!</definedName>
    <definedName name="품64노" localSheetId="3">#REF!</definedName>
    <definedName name="품64노">#REF!</definedName>
    <definedName name="품64재" localSheetId="11">#REF!</definedName>
    <definedName name="품64재" localSheetId="3">#REF!</definedName>
    <definedName name="품64재">#REF!</definedName>
    <definedName name="품65노" localSheetId="11">#REF!</definedName>
    <definedName name="품65노" localSheetId="3">#REF!</definedName>
    <definedName name="품65노">#REF!</definedName>
    <definedName name="품65재" localSheetId="11">#REF!</definedName>
    <definedName name="품65재" localSheetId="3">#REF!</definedName>
    <definedName name="품65재">#REF!</definedName>
    <definedName name="품66노" localSheetId="11">#REF!</definedName>
    <definedName name="품66노" localSheetId="3">#REF!</definedName>
    <definedName name="품66노">#REF!</definedName>
    <definedName name="품66재" localSheetId="11">#REF!</definedName>
    <definedName name="품66재" localSheetId="3">#REF!</definedName>
    <definedName name="품66재">#REF!</definedName>
    <definedName name="품67노" localSheetId="11">#REF!</definedName>
    <definedName name="품67노" localSheetId="3">#REF!</definedName>
    <definedName name="품67노">#REF!</definedName>
    <definedName name="품67재" localSheetId="11">#REF!</definedName>
    <definedName name="품67재" localSheetId="3">#REF!</definedName>
    <definedName name="품67재">#REF!</definedName>
    <definedName name="품68노" localSheetId="11">#REF!</definedName>
    <definedName name="품68노" localSheetId="3">#REF!</definedName>
    <definedName name="품68노">#REF!</definedName>
    <definedName name="품68재" localSheetId="11">#REF!</definedName>
    <definedName name="품68재" localSheetId="3">#REF!</definedName>
    <definedName name="품68재">#REF!</definedName>
    <definedName name="품69노" localSheetId="11">#REF!</definedName>
    <definedName name="품69노" localSheetId="3">#REF!</definedName>
    <definedName name="품69노">#REF!</definedName>
    <definedName name="품69재" localSheetId="11">#REF!</definedName>
    <definedName name="품69재" localSheetId="3">#REF!</definedName>
    <definedName name="품69재">#REF!</definedName>
    <definedName name="품6노" localSheetId="11">#REF!</definedName>
    <definedName name="품6노" localSheetId="3">#REF!</definedName>
    <definedName name="품6노">#REF!</definedName>
    <definedName name="품6재" localSheetId="11">#REF!</definedName>
    <definedName name="품6재" localSheetId="3">#REF!</definedName>
    <definedName name="품6재">#REF!</definedName>
    <definedName name="품70노" localSheetId="11">#REF!</definedName>
    <definedName name="품70노" localSheetId="3">#REF!</definedName>
    <definedName name="품70노">#REF!</definedName>
    <definedName name="품70재" localSheetId="11">#REF!</definedName>
    <definedName name="품70재" localSheetId="3">#REF!</definedName>
    <definedName name="품70재">#REF!</definedName>
    <definedName name="품71노" localSheetId="11">#REF!</definedName>
    <definedName name="품71노" localSheetId="3">#REF!</definedName>
    <definedName name="품71노">#REF!</definedName>
    <definedName name="품71재" localSheetId="11">#REF!</definedName>
    <definedName name="품71재" localSheetId="3">#REF!</definedName>
    <definedName name="품71재">#REF!</definedName>
    <definedName name="품72노" localSheetId="11">#REF!</definedName>
    <definedName name="품72노" localSheetId="3">#REF!</definedName>
    <definedName name="품72노">#REF!</definedName>
    <definedName name="품72노1" localSheetId="11">#REF!</definedName>
    <definedName name="품72노1" localSheetId="3">#REF!</definedName>
    <definedName name="품72노1">#REF!</definedName>
    <definedName name="품73경" localSheetId="11">#REF!</definedName>
    <definedName name="품73경" localSheetId="3">#REF!</definedName>
    <definedName name="품73경">#REF!</definedName>
    <definedName name="품73노" localSheetId="11">#REF!</definedName>
    <definedName name="품73노" localSheetId="3">#REF!</definedName>
    <definedName name="품73노">#REF!</definedName>
    <definedName name="품73재" localSheetId="11">#REF!</definedName>
    <definedName name="품73재" localSheetId="3">#REF!</definedName>
    <definedName name="품73재">#REF!</definedName>
    <definedName name="품74노" localSheetId="11">#REF!</definedName>
    <definedName name="품74노" localSheetId="3">#REF!</definedName>
    <definedName name="품74노">#REF!</definedName>
    <definedName name="품74재" localSheetId="11">#REF!</definedName>
    <definedName name="품74재" localSheetId="3">#REF!</definedName>
    <definedName name="품74재">#REF!</definedName>
    <definedName name="품75재" localSheetId="11">#REF!</definedName>
    <definedName name="품75재" localSheetId="3">#REF!</definedName>
    <definedName name="품75재">#REF!</definedName>
    <definedName name="품76경" localSheetId="11">#REF!</definedName>
    <definedName name="품76경" localSheetId="3">#REF!</definedName>
    <definedName name="품76경">#REF!</definedName>
    <definedName name="품76노" localSheetId="11">#REF!</definedName>
    <definedName name="품76노" localSheetId="3">#REF!</definedName>
    <definedName name="품76노">#REF!</definedName>
    <definedName name="품76재" localSheetId="11">#REF!</definedName>
    <definedName name="품76재" localSheetId="3">#REF!</definedName>
    <definedName name="품76재">#REF!</definedName>
    <definedName name="품77경" localSheetId="11">#REF!</definedName>
    <definedName name="품77경" localSheetId="3">#REF!</definedName>
    <definedName name="품77경">#REF!</definedName>
    <definedName name="품77노" localSheetId="11">#REF!</definedName>
    <definedName name="품77노" localSheetId="3">#REF!</definedName>
    <definedName name="품77노">#REF!</definedName>
    <definedName name="품77재" localSheetId="11">#REF!</definedName>
    <definedName name="품77재" localSheetId="3">#REF!</definedName>
    <definedName name="품77재">#REF!</definedName>
    <definedName name="품78경" localSheetId="11">#REF!</definedName>
    <definedName name="품78경" localSheetId="3">#REF!</definedName>
    <definedName name="품78경">#REF!</definedName>
    <definedName name="품78노" localSheetId="11">#REF!</definedName>
    <definedName name="품78노" localSheetId="3">#REF!</definedName>
    <definedName name="품78노">#REF!</definedName>
    <definedName name="품78재" localSheetId="11">#REF!</definedName>
    <definedName name="품78재" localSheetId="3">#REF!</definedName>
    <definedName name="품78재">#REF!</definedName>
    <definedName name="품79경" localSheetId="11">#REF!</definedName>
    <definedName name="품79경" localSheetId="3">#REF!</definedName>
    <definedName name="품79경">#REF!</definedName>
    <definedName name="품79노" localSheetId="11">#REF!</definedName>
    <definedName name="품79노" localSheetId="3">#REF!</definedName>
    <definedName name="품79노">#REF!</definedName>
    <definedName name="품79재" localSheetId="11">#REF!</definedName>
    <definedName name="품79재" localSheetId="3">#REF!</definedName>
    <definedName name="품79재">#REF!</definedName>
    <definedName name="품7노" localSheetId="11">#REF!</definedName>
    <definedName name="품7노" localSheetId="3">#REF!</definedName>
    <definedName name="품7노">#REF!</definedName>
    <definedName name="품7재" localSheetId="11">#REF!</definedName>
    <definedName name="품7재" localSheetId="3">#REF!</definedName>
    <definedName name="품7재">#REF!</definedName>
    <definedName name="품80경" localSheetId="11">#REF!</definedName>
    <definedName name="품80경" localSheetId="3">#REF!</definedName>
    <definedName name="품80경">#REF!</definedName>
    <definedName name="품80노" localSheetId="11">#REF!</definedName>
    <definedName name="품80노" localSheetId="3">#REF!</definedName>
    <definedName name="품80노">#REF!</definedName>
    <definedName name="품80재" localSheetId="11">#REF!</definedName>
    <definedName name="품80재" localSheetId="3">#REF!</definedName>
    <definedName name="품80재">#REF!</definedName>
    <definedName name="품81경" localSheetId="11">#REF!</definedName>
    <definedName name="품81경" localSheetId="3">#REF!</definedName>
    <definedName name="품81경">#REF!</definedName>
    <definedName name="품81노" localSheetId="11">#REF!</definedName>
    <definedName name="품81노" localSheetId="3">#REF!</definedName>
    <definedName name="품81노">#REF!</definedName>
    <definedName name="품81재" localSheetId="11">#REF!</definedName>
    <definedName name="품81재" localSheetId="3">#REF!</definedName>
    <definedName name="품81재">#REF!</definedName>
    <definedName name="품82경" localSheetId="11">#REF!</definedName>
    <definedName name="품82경" localSheetId="3">#REF!</definedName>
    <definedName name="품82경">#REF!</definedName>
    <definedName name="품82노" localSheetId="11">#REF!</definedName>
    <definedName name="품82노" localSheetId="3">#REF!</definedName>
    <definedName name="품82노">#REF!</definedName>
    <definedName name="품82재" localSheetId="11">#REF!</definedName>
    <definedName name="품82재" localSheetId="3">#REF!</definedName>
    <definedName name="품82재">#REF!</definedName>
    <definedName name="품83경" localSheetId="11">#REF!</definedName>
    <definedName name="품83경" localSheetId="3">#REF!</definedName>
    <definedName name="품83경">#REF!</definedName>
    <definedName name="품83노" localSheetId="11">#REF!</definedName>
    <definedName name="품83노" localSheetId="3">#REF!</definedName>
    <definedName name="품83노">#REF!</definedName>
    <definedName name="품83재" localSheetId="11">#REF!</definedName>
    <definedName name="품83재" localSheetId="3">#REF!</definedName>
    <definedName name="품83재">#REF!</definedName>
    <definedName name="품84경" localSheetId="11">#REF!</definedName>
    <definedName name="품84경" localSheetId="3">#REF!</definedName>
    <definedName name="품84경">#REF!</definedName>
    <definedName name="품84노" localSheetId="11">#REF!</definedName>
    <definedName name="품84노" localSheetId="3">#REF!</definedName>
    <definedName name="품84노">#REF!</definedName>
    <definedName name="품84재" localSheetId="11">#REF!</definedName>
    <definedName name="품84재" localSheetId="3">#REF!</definedName>
    <definedName name="품84재">#REF!</definedName>
    <definedName name="품85경" localSheetId="11">#REF!</definedName>
    <definedName name="품85경" localSheetId="3">#REF!</definedName>
    <definedName name="품85경">#REF!</definedName>
    <definedName name="품85노" localSheetId="11">#REF!</definedName>
    <definedName name="품85노" localSheetId="3">#REF!</definedName>
    <definedName name="품85노">#REF!</definedName>
    <definedName name="품85재" localSheetId="11">#REF!</definedName>
    <definedName name="품85재" localSheetId="3">#REF!</definedName>
    <definedName name="품85재">#REF!</definedName>
    <definedName name="품86경" localSheetId="11">#REF!</definedName>
    <definedName name="품86경" localSheetId="3">#REF!</definedName>
    <definedName name="품86경">#REF!</definedName>
    <definedName name="품86노" localSheetId="11">#REF!</definedName>
    <definedName name="품86노" localSheetId="3">#REF!</definedName>
    <definedName name="품86노">#REF!</definedName>
    <definedName name="품86재" localSheetId="11">#REF!</definedName>
    <definedName name="품86재" localSheetId="3">#REF!</definedName>
    <definedName name="품86재">#REF!</definedName>
    <definedName name="품87경" localSheetId="11">#REF!</definedName>
    <definedName name="품87경" localSheetId="3">#REF!</definedName>
    <definedName name="품87경">#REF!</definedName>
    <definedName name="품87노" localSheetId="11">#REF!</definedName>
    <definedName name="품87노" localSheetId="3">#REF!</definedName>
    <definedName name="품87노">#REF!</definedName>
    <definedName name="품87재" localSheetId="11">#REF!</definedName>
    <definedName name="품87재" localSheetId="3">#REF!</definedName>
    <definedName name="품87재">#REF!</definedName>
    <definedName name="품88경" localSheetId="11">#REF!</definedName>
    <definedName name="품88경" localSheetId="3">#REF!</definedName>
    <definedName name="품88경">#REF!</definedName>
    <definedName name="품88노" localSheetId="11">#REF!</definedName>
    <definedName name="품88노" localSheetId="3">#REF!</definedName>
    <definedName name="품88노">#REF!</definedName>
    <definedName name="품88재" localSheetId="11">#REF!</definedName>
    <definedName name="품88재" localSheetId="3">#REF!</definedName>
    <definedName name="품88재">#REF!</definedName>
    <definedName name="품89경" localSheetId="11">#REF!</definedName>
    <definedName name="품89경" localSheetId="3">#REF!</definedName>
    <definedName name="품89경">#REF!</definedName>
    <definedName name="품89노" localSheetId="11">#REF!</definedName>
    <definedName name="품89노" localSheetId="3">#REF!</definedName>
    <definedName name="품89노">#REF!</definedName>
    <definedName name="품89재" localSheetId="11">#REF!</definedName>
    <definedName name="품89재" localSheetId="3">#REF!</definedName>
    <definedName name="품89재">#REF!</definedName>
    <definedName name="품8노" localSheetId="11">#REF!</definedName>
    <definedName name="품8노" localSheetId="3">#REF!</definedName>
    <definedName name="품8노">#REF!</definedName>
    <definedName name="품8재" localSheetId="11">#REF!</definedName>
    <definedName name="품8재" localSheetId="3">#REF!</definedName>
    <definedName name="품8재">#REF!</definedName>
    <definedName name="품90경" localSheetId="11">#REF!</definedName>
    <definedName name="품90경" localSheetId="3">#REF!</definedName>
    <definedName name="품90경">#REF!</definedName>
    <definedName name="품90노" localSheetId="11">#REF!</definedName>
    <definedName name="품90노" localSheetId="3">#REF!</definedName>
    <definedName name="품90노">#REF!</definedName>
    <definedName name="품90재" localSheetId="11">#REF!</definedName>
    <definedName name="품90재" localSheetId="3">#REF!</definedName>
    <definedName name="품90재">#REF!</definedName>
    <definedName name="품91경" localSheetId="11">#REF!</definedName>
    <definedName name="품91경" localSheetId="3">#REF!</definedName>
    <definedName name="품91경">#REF!</definedName>
    <definedName name="품91노" localSheetId="11">#REF!</definedName>
    <definedName name="품91노" localSheetId="3">#REF!</definedName>
    <definedName name="품91노">#REF!</definedName>
    <definedName name="품91재" localSheetId="11">#REF!</definedName>
    <definedName name="품91재" localSheetId="3">#REF!</definedName>
    <definedName name="품91재">#REF!</definedName>
    <definedName name="품92경" localSheetId="11">#REF!</definedName>
    <definedName name="품92경" localSheetId="3">#REF!</definedName>
    <definedName name="품92경">#REF!</definedName>
    <definedName name="품92경1" localSheetId="11">#REF!</definedName>
    <definedName name="품92경1" localSheetId="3">#REF!</definedName>
    <definedName name="품92경1">#REF!</definedName>
    <definedName name="품92노" localSheetId="11">#REF!</definedName>
    <definedName name="품92노" localSheetId="3">#REF!</definedName>
    <definedName name="품92노">#REF!</definedName>
    <definedName name="품92노1" localSheetId="11">#REF!</definedName>
    <definedName name="품92노1" localSheetId="3">#REF!</definedName>
    <definedName name="품92노1">#REF!</definedName>
    <definedName name="품92재" localSheetId="11">#REF!</definedName>
    <definedName name="품92재" localSheetId="3">#REF!</definedName>
    <definedName name="품92재">#REF!</definedName>
    <definedName name="품92재1" localSheetId="11">#REF!</definedName>
    <definedName name="품92재1" localSheetId="3">#REF!</definedName>
    <definedName name="품92재1">#REF!</definedName>
    <definedName name="품93경" localSheetId="11">#REF!</definedName>
    <definedName name="품93경" localSheetId="3">#REF!</definedName>
    <definedName name="품93경">#REF!</definedName>
    <definedName name="품93노" localSheetId="11">#REF!</definedName>
    <definedName name="품93노" localSheetId="3">#REF!</definedName>
    <definedName name="품93노">#REF!</definedName>
    <definedName name="품93재" localSheetId="11">#REF!</definedName>
    <definedName name="품93재" localSheetId="3">#REF!</definedName>
    <definedName name="품93재">#REF!</definedName>
    <definedName name="품94경" localSheetId="11">#REF!</definedName>
    <definedName name="품94경" localSheetId="3">#REF!</definedName>
    <definedName name="품94경">#REF!</definedName>
    <definedName name="품94노" localSheetId="11">#REF!</definedName>
    <definedName name="품94노" localSheetId="3">#REF!</definedName>
    <definedName name="품94노">#REF!</definedName>
    <definedName name="품94재" localSheetId="11">#REF!</definedName>
    <definedName name="품94재" localSheetId="3">#REF!</definedName>
    <definedName name="품94재">#REF!</definedName>
    <definedName name="품95경" localSheetId="11">#REF!</definedName>
    <definedName name="품95경" localSheetId="3">#REF!</definedName>
    <definedName name="품95경">#REF!</definedName>
    <definedName name="품95노" localSheetId="11">#REF!</definedName>
    <definedName name="품95노" localSheetId="3">#REF!</definedName>
    <definedName name="품95노">#REF!</definedName>
    <definedName name="품95재" localSheetId="11">#REF!</definedName>
    <definedName name="품95재" localSheetId="3">#REF!</definedName>
    <definedName name="품95재">#REF!</definedName>
    <definedName name="품96경" localSheetId="11">#REF!</definedName>
    <definedName name="품96경" localSheetId="3">#REF!</definedName>
    <definedName name="품96경">#REF!</definedName>
    <definedName name="품96노" localSheetId="11">#REF!</definedName>
    <definedName name="품96노" localSheetId="3">#REF!</definedName>
    <definedName name="품96노">#REF!</definedName>
    <definedName name="품96재" localSheetId="11">#REF!</definedName>
    <definedName name="품96재" localSheetId="3">#REF!</definedName>
    <definedName name="품96재">#REF!</definedName>
    <definedName name="품97경" localSheetId="11">#REF!</definedName>
    <definedName name="품97경" localSheetId="3">#REF!</definedName>
    <definedName name="품97경">#REF!</definedName>
    <definedName name="품97노" localSheetId="11">#REF!</definedName>
    <definedName name="품97노" localSheetId="3">#REF!</definedName>
    <definedName name="품97노">#REF!</definedName>
    <definedName name="품97재" localSheetId="11">#REF!</definedName>
    <definedName name="품97재" localSheetId="3">#REF!</definedName>
    <definedName name="품97재">#REF!</definedName>
    <definedName name="품98경" localSheetId="11">#REF!</definedName>
    <definedName name="품98경" localSheetId="3">#REF!</definedName>
    <definedName name="품98경">#REF!</definedName>
    <definedName name="품98노" localSheetId="11">#REF!</definedName>
    <definedName name="품98노" localSheetId="3">#REF!</definedName>
    <definedName name="품98노">#REF!</definedName>
    <definedName name="품98재" localSheetId="11">#REF!</definedName>
    <definedName name="품98재" localSheetId="3">#REF!</definedName>
    <definedName name="품98재">#REF!</definedName>
    <definedName name="품99경" localSheetId="11">#REF!</definedName>
    <definedName name="품99경" localSheetId="3">#REF!</definedName>
    <definedName name="품99경">#REF!</definedName>
    <definedName name="품99노" localSheetId="11">#REF!</definedName>
    <definedName name="품99노" localSheetId="3">#REF!</definedName>
    <definedName name="품99노">#REF!</definedName>
    <definedName name="품99재" localSheetId="11">#REF!</definedName>
    <definedName name="품99재" localSheetId="3">#REF!</definedName>
    <definedName name="품99재">#REF!</definedName>
    <definedName name="품9노" localSheetId="11">#REF!</definedName>
    <definedName name="품9노" localSheetId="3">#REF!</definedName>
    <definedName name="품9노">#REF!</definedName>
    <definedName name="품9재" localSheetId="11">#REF!</definedName>
    <definedName name="품9재" localSheetId="3">#REF!</definedName>
    <definedName name="품9재">#REF!</definedName>
    <definedName name="품실행" localSheetId="11">#REF!</definedName>
    <definedName name="품실행" localSheetId="3">#REF!</definedName>
    <definedName name="품실행">#REF!</definedName>
    <definedName name="품의서참조영역" localSheetId="11">[59]분개장·원장!#REF!</definedName>
    <definedName name="품의서참조영역" localSheetId="3">[59]분개장·원장!#REF!</definedName>
    <definedName name="품의서참조영역">[59]분개장·원장!#REF!</definedName>
    <definedName name="프" localSheetId="11">#REF!</definedName>
    <definedName name="프" localSheetId="3">#REF!</definedName>
    <definedName name="프">#REF!</definedName>
    <definedName name="ㅎ" localSheetId="11">#REF!</definedName>
    <definedName name="ㅎ" localSheetId="3">#REF!</definedName>
    <definedName name="ㅎ">#REF!</definedName>
    <definedName name="ㅎ384" localSheetId="11">#REF!</definedName>
    <definedName name="ㅎ384" localSheetId="3">#REF!</definedName>
    <definedName name="ㅎ384">#REF!</definedName>
    <definedName name="ㅎㄴㅇㅎㄹ" localSheetId="11">[0]!BlankMacro1</definedName>
    <definedName name="ㅎㄴㅇㅎㄹ" localSheetId="3">[0]!BlankMacro1</definedName>
    <definedName name="ㅎㄴㅇㅎㄹ">[0]!BlankMacro1</definedName>
    <definedName name="ㅎㅇㄴ" localSheetId="11">[0]!BlankMacro1</definedName>
    <definedName name="ㅎㅇㄴ" localSheetId="3">[0]!BlankMacro1</definedName>
    <definedName name="ㅎㅇㄴ">[0]!BlankMacro1</definedName>
    <definedName name="ㅎㅎ" localSheetId="11">[11]매출원가_회사제시!#REF!</definedName>
    <definedName name="ㅎㅎ" localSheetId="3">[11]매출원가_회사제시!#REF!</definedName>
    <definedName name="ㅎㅎ">[11]매출원가_회사제시!#REF!</definedName>
    <definedName name="하나하나" localSheetId="11">[0]!BlankMacro1</definedName>
    <definedName name="하나하나" localSheetId="3">[0]!BlankMacro1</definedName>
    <definedName name="하나하나">[0]!BlankMacro1</definedName>
    <definedName name="하하" localSheetId="11">#REF!</definedName>
    <definedName name="하하" localSheetId="3">#REF!</definedName>
    <definedName name="하하">#REF!</definedName>
    <definedName name="학생" localSheetId="11">#REF!</definedName>
    <definedName name="학생" localSheetId="3">#REF!</definedName>
    <definedName name="학생">#REF!</definedName>
    <definedName name="한" localSheetId="11" hidden="1">#REF!</definedName>
    <definedName name="한" localSheetId="3" hidden="1">#REF!</definedName>
    <definedName name="한" hidden="1">#REF!</definedName>
    <definedName name="한라구절초" localSheetId="11">#REF!</definedName>
    <definedName name="한라구절초" localSheetId="3">#REF!</definedName>
    <definedName name="한라구절초">#REF!</definedName>
    <definedName name="한맥" localSheetId="11">#REF!</definedName>
    <definedName name="한맥" localSheetId="3">#REF!</definedName>
    <definedName name="한맥">#REF!</definedName>
    <definedName name="한번" localSheetId="11">[0]!BlankMacro1</definedName>
    <definedName name="한번" localSheetId="3">[0]!BlankMacro1</definedName>
    <definedName name="한번">[0]!BlankMacro1</definedName>
    <definedName name="한울" localSheetId="11" hidden="1">[60]토목주소!#REF!</definedName>
    <definedName name="한울" localSheetId="3" hidden="1">[60]토목주소!#REF!</definedName>
    <definedName name="한울" hidden="1">[60]토목주소!#REF!</definedName>
    <definedName name="한울11" localSheetId="11" hidden="1">[60]프랜트면허!#REF!</definedName>
    <definedName name="한울11" localSheetId="3" hidden="1">[60]프랜트면허!#REF!</definedName>
    <definedName name="한울11" hidden="1">[60]프랜트면허!#REF!</definedName>
    <definedName name="한전수탁비" localSheetId="11">#REF!</definedName>
    <definedName name="한전수탁비" localSheetId="3">#REF!</definedName>
    <definedName name="한전수탁비">#REF!</definedName>
    <definedName name="할석공" localSheetId="11">#REF!</definedName>
    <definedName name="할석공" localSheetId="3">#REF!</definedName>
    <definedName name="할석공">#REF!</definedName>
    <definedName name="합_________계" localSheetId="11">#REF!</definedName>
    <definedName name="합_________계" localSheetId="3">#REF!</definedName>
    <definedName name="합_________계">#REF!</definedName>
    <definedName name="합_______계" localSheetId="11">#REF!</definedName>
    <definedName name="합_______계" localSheetId="3">#REF!</definedName>
    <definedName name="합_______계">#REF!</definedName>
    <definedName name="항공생산부문인력" localSheetId="11">[0]!BlankMacro1</definedName>
    <definedName name="항공생산부문인력" localSheetId="3">[0]!BlankMacro1</definedName>
    <definedName name="항공생산부문인력">[0]!BlankMacro1</definedName>
    <definedName name="해당화" localSheetId="11">#REF!</definedName>
    <definedName name="해당화" localSheetId="3">#REF!</definedName>
    <definedName name="해당화">#REF!</definedName>
    <definedName name="현대" localSheetId="11" hidden="1">{#N/A,#N/A,FALSE,"정공"}</definedName>
    <definedName name="현대" localSheetId="3" hidden="1">{#N/A,#N/A,FALSE,"정공"}</definedName>
    <definedName name="현대" hidden="1">{#N/A,#N/A,FALSE,"정공"}</definedName>
    <definedName name="現代綜合商事經由分" localSheetId="11">[61]수입!#REF!</definedName>
    <definedName name="現代綜合商事經由分" localSheetId="3">[61]수입!#REF!</definedName>
    <definedName name="現代綜合商事經由分">[61]수입!#REF!</definedName>
    <definedName name="현장설명" localSheetId="11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11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11">#REF!</definedName>
    <definedName name="호박" localSheetId="3">#REF!</definedName>
    <definedName name="호박">#REF!</definedName>
    <definedName name="홈" localSheetId="11">#REF!</definedName>
    <definedName name="홈" localSheetId="3">#REF!</definedName>
    <definedName name="홈">#REF!</definedName>
    <definedName name="홍단풍" localSheetId="11">#REF!</definedName>
    <definedName name="홍단풍" localSheetId="3">#REF!</definedName>
    <definedName name="홍단풍">#REF!</definedName>
    <definedName name="확인" localSheetId="11">[0]!BlankMacro1</definedName>
    <definedName name="확인" localSheetId="3">[0]!BlankMacro1</definedName>
    <definedName name="확인">[0]!BlankMacro1</definedName>
    <definedName name="환율" localSheetId="11">#REF!</definedName>
    <definedName name="환율" localSheetId="3">#REF!</definedName>
    <definedName name="환율">#REF!</definedName>
    <definedName name="황" localSheetId="11">#REF!</definedName>
    <definedName name="황" localSheetId="3">#REF!</definedName>
    <definedName name="황">#REF!</definedName>
    <definedName name="휴게" localSheetId="11">#REF!</definedName>
    <definedName name="휴게" localSheetId="3">#REF!</definedName>
    <definedName name="휴게">#REF!</definedName>
    <definedName name="흄_____관" localSheetId="11">#REF!</definedName>
    <definedName name="흄_____관" localSheetId="3">#REF!</definedName>
    <definedName name="흄_____관">#REF!</definedName>
    <definedName name="힌울" localSheetId="11" hidden="1">[60]토목주소!#REF!</definedName>
    <definedName name="힌울" localSheetId="3" hidden="1">[60]토목주소!#REF!</definedName>
    <definedName name="힌울" hidden="1">[60]토목주소!#REF!</definedName>
    <definedName name="ㅏㅏ" localSheetId="11">[0]!BlankMacro1</definedName>
    <definedName name="ㅏㅏ" localSheetId="3">[0]!BlankMacro1</definedName>
    <definedName name="ㅏㅏ">[0]!BlankMacro1</definedName>
    <definedName name="ㅏㅓ" localSheetId="11" hidden="1">{#N/A,#N/A,FALSE,"구조2"}</definedName>
    <definedName name="ㅏㅓ" localSheetId="3" hidden="1">{#N/A,#N/A,FALSE,"구조2"}</definedName>
    <definedName name="ㅏㅓ" hidden="1">{#N/A,#N/A,FALSE,"구조2"}</definedName>
    <definedName name="ㅐ" localSheetId="11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11">[0]!BlankMacro1</definedName>
    <definedName name="ㅐㅐㅐㅐ" localSheetId="3">[0]!BlankMacro1</definedName>
    <definedName name="ㅐㅐㅐㅐ">[0]!BlankMacro1</definedName>
    <definedName name="ㅑ3081" localSheetId="11">#REF!</definedName>
    <definedName name="ㅑ3081" localSheetId="3">#REF!</definedName>
    <definedName name="ㅑ3081">#REF!</definedName>
    <definedName name="ㅑㅕ" localSheetId="11" hidden="1">{#N/A,#N/A,FALSE,"이정표"}</definedName>
    <definedName name="ㅑㅕ" localSheetId="3" hidden="1">{#N/A,#N/A,FALSE,"이정표"}</definedName>
    <definedName name="ㅑㅕ" hidden="1">{#N/A,#N/A,FALSE,"이정표"}</definedName>
    <definedName name="ㅓ" localSheetId="11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11">[0]!BlankMacro1</definedName>
    <definedName name="ㅓㅓ" localSheetId="3">[0]!BlankMacro1</definedName>
    <definedName name="ㅓㅓ">[0]!BlankMacro1</definedName>
    <definedName name="ㅓㅗ" localSheetId="11">[0]!BlankMacro1</definedName>
    <definedName name="ㅓㅗ" localSheetId="3">[0]!BlankMacro1</definedName>
    <definedName name="ㅓㅗ">[0]!BlankMacro1</definedName>
    <definedName name="ㅔ" localSheetId="11">#REF!</definedName>
    <definedName name="ㅔ" localSheetId="3">#REF!</definedName>
    <definedName name="ㅔ">#REF!</definedName>
    <definedName name="ㅔㅔㅔㅔ" localSheetId="11">[0]!BlankMacro1</definedName>
    <definedName name="ㅔㅔㅔㅔ" localSheetId="3">[0]!BlankMacro1</definedName>
    <definedName name="ㅔㅔㅔㅔ">[0]!BlankMacro1</definedName>
    <definedName name="ㅕㅛㅕㅛㅏ" localSheetId="11">BlankMacro1</definedName>
    <definedName name="ㅕㅛㅕㅛㅏ" localSheetId="3">BlankMacro1</definedName>
    <definedName name="ㅕㅛㅕㅛㅏ">BlankMacro1</definedName>
    <definedName name="ㅗ" localSheetId="11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11" hidden="1">{#N/A,#N/A,FALSE,"부대2"}</definedName>
    <definedName name="ㅗㅓ" localSheetId="3" hidden="1">{#N/A,#N/A,FALSE,"부대2"}</definedName>
    <definedName name="ㅗㅓ" hidden="1">{#N/A,#N/A,FALSE,"부대2"}</definedName>
    <definedName name="ㅗㅕ" localSheetId="11" hidden="1">{#N/A,#N/A,FALSE,"배수2"}</definedName>
    <definedName name="ㅗㅕ" localSheetId="3" hidden="1">{#N/A,#N/A,FALSE,"배수2"}</definedName>
    <definedName name="ㅗㅕ" hidden="1">{#N/A,#N/A,FALSE,"배수2"}</definedName>
    <definedName name="ㅗㅕㅓ" localSheetId="11">[0]!BlankMacro1</definedName>
    <definedName name="ㅗㅕㅓ" localSheetId="3">[0]!BlankMacro1</definedName>
    <definedName name="ㅗㅕㅓ">[0]!BlankMacro1</definedName>
    <definedName name="ㅛㅅ" localSheetId="11" hidden="1">{#N/A,#N/A,FALSE,"속도"}</definedName>
    <definedName name="ㅛㅅ" localSheetId="3" hidden="1">{#N/A,#N/A,FALSE,"속도"}</definedName>
    <definedName name="ㅛㅅ" hidden="1">{#N/A,#N/A,FALSE,"속도"}</definedName>
    <definedName name="ㅛㅑㅐ" localSheetId="11" hidden="1">{#N/A,#N/A,FALSE,"구조1"}</definedName>
    <definedName name="ㅛㅑㅐ" localSheetId="3" hidden="1">{#N/A,#N/A,FALSE,"구조1"}</definedName>
    <definedName name="ㅛㅑㅐ" hidden="1">{#N/A,#N/A,FALSE,"구조1"}</definedName>
    <definedName name="ㅛㅛㅛㅛ" localSheetId="11">[0]!BlankMacro1</definedName>
    <definedName name="ㅛㅛㅛㅛ" localSheetId="3">[0]!BlankMacro1</definedName>
    <definedName name="ㅛㅛㅛㅛ">[0]!BlankMacro1</definedName>
    <definedName name="ㅜ" localSheetId="11">'[17]9-1차이내역'!#REF!</definedName>
    <definedName name="ㅜ" localSheetId="3">'[17]9-1차이내역'!#REF!</definedName>
    <definedName name="ㅜ">'[17]9-1차이내역'!#REF!</definedName>
    <definedName name="ㅜㅎㄹ" localSheetId="11" hidden="1">{#N/A,#N/A,FALSE,"부대2"}</definedName>
    <definedName name="ㅜㅎㄹ" localSheetId="3" hidden="1">{#N/A,#N/A,FALSE,"부대2"}</definedName>
    <definedName name="ㅜㅎㄹ" hidden="1">{#N/A,#N/A,FALSE,"부대2"}</definedName>
    <definedName name="ㅜㅜ" localSheetId="11">BlankMacro1</definedName>
    <definedName name="ㅜㅜ" localSheetId="3">BlankMacro1</definedName>
    <definedName name="ㅜㅜ">BlankMacro1</definedName>
    <definedName name="ㅜㅠ" localSheetId="11" hidden="1">{#N/A,#N/A,FALSE,"토공2"}</definedName>
    <definedName name="ㅜㅠ" localSheetId="3" hidden="1">{#N/A,#N/A,FALSE,"토공2"}</definedName>
    <definedName name="ㅜㅠ" hidden="1">{#N/A,#N/A,FALSE,"토공2"}</definedName>
    <definedName name="ㅜㅠㅍ" localSheetId="11" hidden="1">{#N/A,#N/A,FALSE,"전력간선"}</definedName>
    <definedName name="ㅜㅠㅍ" localSheetId="3" hidden="1">{#N/A,#N/A,FALSE,"전력간선"}</definedName>
    <definedName name="ㅜㅠㅍ" hidden="1">{#N/A,#N/A,FALSE,"전력간선"}</definedName>
    <definedName name="ㅠ" localSheetId="11">#REF!</definedName>
    <definedName name="ㅠ" localSheetId="3">#REF!</definedName>
    <definedName name="ㅠ">#REF!</definedName>
    <definedName name="ㅡ" localSheetId="11">#REF!</definedName>
    <definedName name="ㅡ" localSheetId="3">#REF!</definedName>
    <definedName name="ㅡ">#REF!</definedName>
    <definedName name="ㅡㅡㅡ" localSheetId="11">[0]!BlankMacro1</definedName>
    <definedName name="ㅡㅡㅡ" localSheetId="3">[0]!BlankMacro1</definedName>
    <definedName name="ㅡㅡㅡ">[0]!BlankMacro1</definedName>
    <definedName name="ㅣ" localSheetId="11" hidden="1">{#N/A,#N/A,FALSE,"정공"}</definedName>
    <definedName name="ㅣ" localSheetId="3" hidden="1">{#N/A,#N/A,FALSE,"정공"}</definedName>
    <definedName name="ㅣ" hidden="1">{#N/A,#N/A,FALSE,"정공"}</definedName>
    <definedName name="ㅣ275" localSheetId="11">#REF!</definedName>
    <definedName name="ㅣ275" localSheetId="3">#REF!</definedName>
    <definedName name="ㅣ275">#REF!</definedName>
    <definedName name="ㅣ81" localSheetId="11">#REF!</definedName>
    <definedName name="ㅣ81" localSheetId="3">#REF!</definedName>
    <definedName name="ㅣ81">#REF!</definedName>
    <definedName name="ㅣㅓㅏ" localSheetId="11" hidden="1">{#N/A,#N/A,FALSE,"전력간선"}</definedName>
    <definedName name="ㅣㅓㅏ" localSheetId="3" hidden="1">{#N/A,#N/A,FALSE,"전력간선"}</definedName>
    <definedName name="ㅣㅓㅏ" hidden="1">{#N/A,#N/A,FALSE,"전력간선"}</definedName>
    <definedName name="ㅣㅔ" localSheetId="11">#REF!</definedName>
    <definedName name="ㅣㅔ" localSheetId="3">#REF!</definedName>
    <definedName name="ㅣㅔ">#REF!</definedName>
    <definedName name="ㅣㅣㅣㅣ" localSheetId="11">[0]!BlankMacro1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6" l="1"/>
  <c r="G22" i="6"/>
  <c r="G19" i="6"/>
  <c r="I3" i="10" l="1"/>
  <c r="I3" i="9" l="1"/>
  <c r="AP25" i="8" l="1"/>
  <c r="AP26" i="8"/>
  <c r="AP27" i="8"/>
  <c r="AP45" i="8"/>
  <c r="AP46" i="8"/>
  <c r="AP47" i="8"/>
  <c r="AP65" i="8"/>
  <c r="AP66" i="8"/>
  <c r="AP67" i="8"/>
  <c r="AP85" i="8"/>
  <c r="AP86" i="8"/>
  <c r="AP87" i="8"/>
  <c r="AN89" i="8"/>
  <c r="AP89" i="8" s="1"/>
  <c r="AN8" i="8"/>
  <c r="AP8" i="8" s="1"/>
  <c r="AN9" i="8"/>
  <c r="AP9" i="8" s="1"/>
  <c r="AN10" i="8"/>
  <c r="AP10" i="8" s="1"/>
  <c r="AN11" i="8"/>
  <c r="AP11" i="8" s="1"/>
  <c r="AN12" i="8"/>
  <c r="AP12" i="8" s="1"/>
  <c r="AN13" i="8"/>
  <c r="AP13" i="8" s="1"/>
  <c r="AN14" i="8"/>
  <c r="AP14" i="8" s="1"/>
  <c r="AN15" i="8"/>
  <c r="AP15" i="8" s="1"/>
  <c r="AN16" i="8"/>
  <c r="AP16" i="8" s="1"/>
  <c r="AN17" i="8"/>
  <c r="AP17" i="8" s="1"/>
  <c r="AN18" i="8"/>
  <c r="AP18" i="8" s="1"/>
  <c r="AN19" i="8"/>
  <c r="AP19" i="8" s="1"/>
  <c r="AN20" i="8"/>
  <c r="AP20" i="8" s="1"/>
  <c r="AN21" i="8"/>
  <c r="AP21" i="8" s="1"/>
  <c r="AN22" i="8"/>
  <c r="AP22" i="8" s="1"/>
  <c r="AN23" i="8"/>
  <c r="AP23" i="8" s="1"/>
  <c r="AN24" i="8"/>
  <c r="AP24" i="8" s="1"/>
  <c r="AN25" i="8"/>
  <c r="AN26" i="8"/>
  <c r="AN27" i="8"/>
  <c r="AN28" i="8"/>
  <c r="AP28" i="8" s="1"/>
  <c r="AN29" i="8"/>
  <c r="AP29" i="8" s="1"/>
  <c r="AN30" i="8"/>
  <c r="AP30" i="8" s="1"/>
  <c r="AN31" i="8"/>
  <c r="AP31" i="8" s="1"/>
  <c r="AN32" i="8"/>
  <c r="AP32" i="8" s="1"/>
  <c r="AN33" i="8"/>
  <c r="AP33" i="8" s="1"/>
  <c r="AN34" i="8"/>
  <c r="AP34" i="8" s="1"/>
  <c r="AN35" i="8"/>
  <c r="AP35" i="8" s="1"/>
  <c r="AN36" i="8"/>
  <c r="AP36" i="8" s="1"/>
  <c r="AN37" i="8"/>
  <c r="AP37" i="8" s="1"/>
  <c r="AN38" i="8"/>
  <c r="AP38" i="8" s="1"/>
  <c r="AN39" i="8"/>
  <c r="AP39" i="8" s="1"/>
  <c r="AN40" i="8"/>
  <c r="AP40" i="8" s="1"/>
  <c r="AN41" i="8"/>
  <c r="AP41" i="8" s="1"/>
  <c r="AN42" i="8"/>
  <c r="AP42" i="8" s="1"/>
  <c r="AN43" i="8"/>
  <c r="AP43" i="8" s="1"/>
  <c r="AN44" i="8"/>
  <c r="AP44" i="8" s="1"/>
  <c r="AN45" i="8"/>
  <c r="AN46" i="8"/>
  <c r="AN47" i="8"/>
  <c r="AN48" i="8"/>
  <c r="AP48" i="8" s="1"/>
  <c r="AN49" i="8"/>
  <c r="AP49" i="8" s="1"/>
  <c r="AN50" i="8"/>
  <c r="AP50" i="8" s="1"/>
  <c r="AN51" i="8"/>
  <c r="AP51" i="8" s="1"/>
  <c r="AN52" i="8"/>
  <c r="AP52" i="8" s="1"/>
  <c r="AN53" i="8"/>
  <c r="AP53" i="8" s="1"/>
  <c r="AN54" i="8"/>
  <c r="AP54" i="8" s="1"/>
  <c r="AN55" i="8"/>
  <c r="AP55" i="8" s="1"/>
  <c r="AN56" i="8"/>
  <c r="AP56" i="8" s="1"/>
  <c r="AN57" i="8"/>
  <c r="AP57" i="8" s="1"/>
  <c r="AN58" i="8"/>
  <c r="AP58" i="8" s="1"/>
  <c r="AN59" i="8"/>
  <c r="AP59" i="8" s="1"/>
  <c r="AN60" i="8"/>
  <c r="AP60" i="8" s="1"/>
  <c r="AN61" i="8"/>
  <c r="AP61" i="8" s="1"/>
  <c r="AN62" i="8"/>
  <c r="AP62" i="8" s="1"/>
  <c r="AN63" i="8"/>
  <c r="AP63" i="8" s="1"/>
  <c r="AN64" i="8"/>
  <c r="AP64" i="8" s="1"/>
  <c r="AN65" i="8"/>
  <c r="AN66" i="8"/>
  <c r="AN67" i="8"/>
  <c r="AN68" i="8"/>
  <c r="AP68" i="8" s="1"/>
  <c r="AN69" i="8"/>
  <c r="AP69" i="8" s="1"/>
  <c r="AN70" i="8"/>
  <c r="AP70" i="8" s="1"/>
  <c r="AN71" i="8"/>
  <c r="AP71" i="8" s="1"/>
  <c r="AN72" i="8"/>
  <c r="AP72" i="8" s="1"/>
  <c r="AN73" i="8"/>
  <c r="AP73" i="8" s="1"/>
  <c r="AN74" i="8"/>
  <c r="AP74" i="8" s="1"/>
  <c r="AN75" i="8"/>
  <c r="AP75" i="8" s="1"/>
  <c r="AN76" i="8"/>
  <c r="AP76" i="8" s="1"/>
  <c r="AN77" i="8"/>
  <c r="AP77" i="8" s="1"/>
  <c r="AN78" i="8"/>
  <c r="AP78" i="8" s="1"/>
  <c r="AN79" i="8"/>
  <c r="AP79" i="8" s="1"/>
  <c r="AN80" i="8"/>
  <c r="AP80" i="8" s="1"/>
  <c r="AN81" i="8"/>
  <c r="AP81" i="8" s="1"/>
  <c r="AN82" i="8"/>
  <c r="AP82" i="8" s="1"/>
  <c r="AN83" i="8"/>
  <c r="AP83" i="8" s="1"/>
  <c r="AN84" i="8"/>
  <c r="AP84" i="8" s="1"/>
  <c r="AN85" i="8"/>
  <c r="AN86" i="8"/>
  <c r="AN87" i="8"/>
  <c r="AN88" i="8"/>
  <c r="AP88" i="8" s="1"/>
  <c r="AN7" i="8"/>
  <c r="AP7" i="8" s="1"/>
  <c r="AN6" i="8"/>
  <c r="AN90" i="8" l="1"/>
  <c r="AP6" i="8"/>
  <c r="H8" i="6"/>
  <c r="I90" i="8" l="1"/>
  <c r="I8" i="6" l="1"/>
  <c r="I4" i="11" l="1"/>
  <c r="M9" i="16" l="1"/>
  <c r="M8" i="16"/>
  <c r="O8" i="16" s="1"/>
  <c r="M16" i="16" l="1"/>
  <c r="M17" i="16" s="1"/>
  <c r="O9" i="16"/>
  <c r="O16" i="16" s="1"/>
  <c r="F20" i="15"/>
  <c r="G11" i="15"/>
  <c r="G10" i="15"/>
  <c r="G9" i="15"/>
  <c r="G8" i="15"/>
  <c r="G7" i="15"/>
  <c r="G6" i="15"/>
  <c r="G5" i="15"/>
  <c r="O17" i="16" l="1"/>
  <c r="G13" i="15"/>
  <c r="G20" i="15" s="1"/>
  <c r="H7" i="6"/>
  <c r="E7" i="2" l="1"/>
  <c r="E9" i="2" l="1"/>
  <c r="E12" i="2" l="1"/>
  <c r="E10" i="2" l="1"/>
  <c r="H17" i="6" l="1"/>
  <c r="AM1" i="8" l="1"/>
  <c r="AM3" i="8"/>
  <c r="AK90" i="8"/>
  <c r="AL90" i="8"/>
  <c r="AM90" i="8"/>
  <c r="AK106" i="8"/>
  <c r="AL106" i="8"/>
  <c r="AM106" i="8"/>
  <c r="AM107" i="8" l="1"/>
  <c r="AL107" i="8"/>
  <c r="AK107" i="8"/>
  <c r="I7" i="6" l="1"/>
  <c r="D11" i="6" l="1"/>
  <c r="G14" i="6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1" i="7"/>
  <c r="I5" i="7"/>
  <c r="I3" i="11" l="1"/>
  <c r="G9" i="6" l="1"/>
  <c r="G15" i="6" s="1"/>
  <c r="H7" i="12" l="1"/>
  <c r="H6" i="12"/>
  <c r="H5" i="12"/>
  <c r="H4" i="12"/>
  <c r="H3" i="12" l="1"/>
  <c r="D12" i="6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F12" i="6" l="1"/>
  <c r="E12" i="6" s="1"/>
  <c r="F11" i="6"/>
  <c r="AJ106" i="8" l="1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AP106" i="8" l="1"/>
  <c r="AN106" i="8"/>
  <c r="AN107" i="8" s="1"/>
  <c r="AD107" i="8"/>
  <c r="Y107" i="8"/>
  <c r="R107" i="8"/>
  <c r="K107" i="8"/>
  <c r="Z107" i="8"/>
  <c r="L107" i="8"/>
  <c r="X107" i="8"/>
  <c r="AE107" i="8"/>
  <c r="AA107" i="8"/>
  <c r="J107" i="8"/>
  <c r="AG107" i="8"/>
  <c r="AF107" i="8"/>
  <c r="AH107" i="8"/>
  <c r="N107" i="8"/>
  <c r="O107" i="8"/>
  <c r="P107" i="8"/>
  <c r="Q107" i="8"/>
  <c r="I107" i="8"/>
  <c r="AB107" i="8"/>
  <c r="AI107" i="8"/>
  <c r="T107" i="8"/>
  <c r="AJ107" i="8"/>
  <c r="S107" i="8"/>
  <c r="U107" i="8"/>
  <c r="V107" i="8"/>
  <c r="W107" i="8"/>
  <c r="M107" i="8"/>
  <c r="AC107" i="8"/>
  <c r="AP90" i="8"/>
  <c r="E50" i="7"/>
  <c r="E49" i="7"/>
  <c r="E48" i="7"/>
  <c r="E47" i="7"/>
  <c r="E46" i="7"/>
  <c r="E45" i="7"/>
  <c r="E44" i="7"/>
  <c r="E43" i="7"/>
  <c r="E42" i="7"/>
  <c r="I42" i="7" s="1"/>
  <c r="E41" i="7"/>
  <c r="I41" i="7" s="1"/>
  <c r="E40" i="7"/>
  <c r="I40" i="7" s="1"/>
  <c r="E39" i="7"/>
  <c r="I39" i="7" s="1"/>
  <c r="E38" i="7"/>
  <c r="I38" i="7" s="1"/>
  <c r="E37" i="7"/>
  <c r="I37" i="7" s="1"/>
  <c r="E36" i="7"/>
  <c r="I36" i="7" s="1"/>
  <c r="E35" i="7"/>
  <c r="I35" i="7" s="1"/>
  <c r="E34" i="7"/>
  <c r="E33" i="7"/>
  <c r="E32" i="7"/>
  <c r="E30" i="7"/>
  <c r="I30" i="7" s="1"/>
  <c r="E29" i="7"/>
  <c r="E28" i="7"/>
  <c r="I28" i="7" s="1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J10" i="7"/>
  <c r="L10" i="7" s="1"/>
  <c r="F10" i="7" s="1"/>
  <c r="J9" i="7"/>
  <c r="L9" i="7" s="1"/>
  <c r="F9" i="7" s="1"/>
  <c r="J8" i="7"/>
  <c r="J7" i="7"/>
  <c r="L7" i="7" s="1"/>
  <c r="F7" i="7" s="1"/>
  <c r="J6" i="7"/>
  <c r="L6" i="7" s="1"/>
  <c r="F6" i="7" s="1"/>
  <c r="J5" i="7"/>
  <c r="K5" i="7" s="1"/>
  <c r="A2" i="7"/>
  <c r="H51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L2" i="6"/>
  <c r="AP107" i="8" l="1"/>
  <c r="D10" i="6"/>
  <c r="AO106" i="8"/>
  <c r="D4" i="6"/>
  <c r="K8" i="7"/>
  <c r="M8" i="7" s="1"/>
  <c r="G8" i="7" s="1"/>
  <c r="L8" i="7"/>
  <c r="F8" i="7" s="1"/>
  <c r="AO90" i="8"/>
  <c r="K18" i="7"/>
  <c r="M18" i="7" s="1"/>
  <c r="G18" i="7" s="1"/>
  <c r="L16" i="7"/>
  <c r="F16" i="7" s="1"/>
  <c r="K23" i="7"/>
  <c r="M23" i="7" s="1"/>
  <c r="G23" i="7" s="1"/>
  <c r="K34" i="7"/>
  <c r="I34" i="7"/>
  <c r="K47" i="7"/>
  <c r="I47" i="7"/>
  <c r="K32" i="7"/>
  <c r="I32" i="7"/>
  <c r="K33" i="7"/>
  <c r="I33" i="7"/>
  <c r="K48" i="7"/>
  <c r="I48" i="7"/>
  <c r="K49" i="7"/>
  <c r="I49" i="7"/>
  <c r="K44" i="7"/>
  <c r="I44" i="7"/>
  <c r="K45" i="7"/>
  <c r="I45" i="7"/>
  <c r="K50" i="7"/>
  <c r="I50" i="7"/>
  <c r="K29" i="7"/>
  <c r="I29" i="7"/>
  <c r="K46" i="7"/>
  <c r="I46" i="7"/>
  <c r="K43" i="7"/>
  <c r="I43" i="7"/>
  <c r="L11" i="7"/>
  <c r="F11" i="7" s="1"/>
  <c r="K11" i="7"/>
  <c r="M11" i="7" s="1"/>
  <c r="G11" i="7" s="1"/>
  <c r="K26" i="7"/>
  <c r="M26" i="7" s="1"/>
  <c r="G26" i="7" s="1"/>
  <c r="F6" i="6"/>
  <c r="H6" i="6" s="1"/>
  <c r="I6" i="6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K7" i="7"/>
  <c r="M7" i="7" s="1"/>
  <c r="G7" i="7" s="1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9" i="7"/>
  <c r="M19" i="7" s="1"/>
  <c r="G19" i="7" s="1"/>
  <c r="K27" i="7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20" i="6"/>
  <c r="I20" i="6" s="1"/>
  <c r="H18" i="6"/>
  <c r="I18" i="6" s="1"/>
  <c r="H16" i="6"/>
  <c r="I16" i="6" s="1"/>
  <c r="AO107" i="8" l="1"/>
  <c r="F10" i="6"/>
  <c r="F14" i="6" s="1"/>
  <c r="M34" i="7"/>
  <c r="G34" i="7" s="1"/>
  <c r="M29" i="7"/>
  <c r="G29" i="7" s="1"/>
  <c r="M49" i="7"/>
  <c r="G49" i="7" s="1"/>
  <c r="M46" i="7"/>
  <c r="G46" i="7" s="1"/>
  <c r="M48" i="7"/>
  <c r="G48" i="7" s="1"/>
  <c r="I51" i="7"/>
  <c r="M33" i="7"/>
  <c r="G33" i="7" s="1"/>
  <c r="M47" i="7"/>
  <c r="G47" i="7" s="1"/>
  <c r="M32" i="7"/>
  <c r="G32" i="7" s="1"/>
  <c r="M45" i="7"/>
  <c r="G45" i="7" s="1"/>
  <c r="M50" i="7"/>
  <c r="G50" i="7" s="1"/>
  <c r="M43" i="7"/>
  <c r="G43" i="7" s="1"/>
  <c r="M44" i="7"/>
  <c r="G44" i="7" s="1"/>
  <c r="H21" i="6"/>
  <c r="I21" i="6" s="1"/>
  <c r="E11" i="2"/>
  <c r="F5" i="6"/>
  <c r="M38" i="7"/>
  <c r="G38" i="7" s="1"/>
  <c r="M27" i="7"/>
  <c r="G27" i="7" s="1"/>
  <c r="F4" i="6"/>
  <c r="L51" i="7"/>
  <c r="F5" i="7"/>
  <c r="F51" i="7" s="1"/>
  <c r="K51" i="7"/>
  <c r="M5" i="7"/>
  <c r="J51" i="7"/>
  <c r="H12" i="6"/>
  <c r="I12" i="6" s="1"/>
  <c r="E11" i="6"/>
  <c r="H11" i="6"/>
  <c r="I11" i="6" s="1"/>
  <c r="F6" i="5"/>
  <c r="F7" i="5"/>
  <c r="F8" i="5"/>
  <c r="F9" i="5"/>
  <c r="F10" i="5"/>
  <c r="F11" i="5"/>
  <c r="F5" i="5"/>
  <c r="E15" i="5"/>
  <c r="E3" i="2"/>
  <c r="D3" i="2"/>
  <c r="F9" i="6" l="1"/>
  <c r="F15" i="6" s="1"/>
  <c r="F19" i="6" s="1"/>
  <c r="E4" i="6"/>
  <c r="E5" i="6"/>
  <c r="H5" i="6"/>
  <c r="I5" i="6" s="1"/>
  <c r="H10" i="6"/>
  <c r="E10" i="6"/>
  <c r="H4" i="6"/>
  <c r="M51" i="7"/>
  <c r="G5" i="7"/>
  <c r="G51" i="7" s="1"/>
  <c r="F13" i="5"/>
  <c r="F15" i="5" s="1"/>
  <c r="D14" i="2"/>
  <c r="D12" i="2"/>
  <c r="D11" i="2"/>
  <c r="D10" i="2"/>
  <c r="D9" i="2"/>
  <c r="D7" i="2"/>
  <c r="H9" i="6" l="1"/>
  <c r="I10" i="6"/>
  <c r="I14" i="6" s="1"/>
  <c r="H14" i="6"/>
  <c r="I4" i="6"/>
  <c r="I9" i="6" s="1"/>
  <c r="H15" i="6" l="1"/>
  <c r="H19" i="6" s="1"/>
  <c r="H22" i="6" s="1"/>
  <c r="F22" i="6"/>
  <c r="I15" i="6"/>
  <c r="I19" i="6" s="1"/>
  <c r="H23" i="6" l="1"/>
  <c r="I23" i="6" s="1"/>
  <c r="I22" i="6"/>
  <c r="F23" i="6"/>
  <c r="E13" i="2" l="1"/>
  <c r="E8" i="2"/>
  <c r="D8" i="2" s="1"/>
  <c r="E5" i="2"/>
  <c r="E6" i="2"/>
  <c r="D13" i="2" l="1"/>
  <c r="D5" i="2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00000000-0006-0000-0700-000001000000}">
      <text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퇴실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31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퇴실</t>
        </r>
      </text>
    </comment>
    <comment ref="B8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31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퇴실</t>
        </r>
      </text>
    </comment>
  </commentList>
</comments>
</file>

<file path=xl/sharedStrings.xml><?xml version="1.0" encoding="utf-8"?>
<sst xmlns="http://schemas.openxmlformats.org/spreadsheetml/2006/main" count="1301" uniqueCount="806">
  <si>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</si>
  <si>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</si>
  <si>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</si>
  <si>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</si>
  <si>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</si>
  <si>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</si>
  <si>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</si>
  <si>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</si>
  <si>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</si>
  <si>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</si>
  <si>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</si>
  <si>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</si>
  <si>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</si>
  <si>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</si>
  <si>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</si>
  <si>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</si>
  <si>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</si>
  <si>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</si>
  <si>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</si>
  <si>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</si>
  <si>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</si>
  <si>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</si>
  <si>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</si>
  <si>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</si>
  <si>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</si>
  <si>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</si>
  <si>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</si>
  <si>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</si>
  <si>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</si>
  <si>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</si>
  <si>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</si>
  <si>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</si>
  <si>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</si>
  <si>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</si>
  <si>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</si>
  <si>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</si>
  <si>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</si>
  <si>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</si>
  <si>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</si>
  <si>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</si>
  <si>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</si>
  <si>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</si>
  <si>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</si>
  <si>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</si>
  <si>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</si>
  <si>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</si>
  <si>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</si>
  <si>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</si>
  <si>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</si>
  <si>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</si>
  <si>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</si>
  <si>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</si>
  <si>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</si>
  <si>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</si>
  <si>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</si>
  <si>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</si>
  <si>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</si>
  <si>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</si>
  <si>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</si>
  <si>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</si>
  <si>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</si>
  <si>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</si>
  <si>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</si>
  <si>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</si>
  <si>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</si>
  <si>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</si>
  <si>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</si>
  <si>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</si>
  <si>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</si>
  <si>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</si>
  <si>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</si>
  <si>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</si>
  <si>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</si>
  <si>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</si>
  <si>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</si>
  <si>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</si>
  <si>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</si>
  <si>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</si>
  <si>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</si>
  <si>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</si>
  <si>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</si>
  <si>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</si>
  <si>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</si>
  <si>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</si>
  <si>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</si>
  <si>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</si>
  <si>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</si>
  <si>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</si>
  <si>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</si>
  <si>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</si>
  <si>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</si>
  <si>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</si>
  <si>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</si>
  <si>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</si>
  <si>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</si>
  <si>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</si>
  <si>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</si>
  <si>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</si>
  <si>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</si>
  <si>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</si>
  <si>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</si>
  <si>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</si>
  <si>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</si>
  <si>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</si>
  <si>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</si>
  <si>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</si>
  <si>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</si>
  <si>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</si>
  <si>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</si>
  <si>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</si>
  <si>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</si>
  <si>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</si>
  <si>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</si>
  <si>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</si>
  <si>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</si>
  <si>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</si>
  <si>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</si>
  <si>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</si>
  <si>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</si>
  <si>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</si>
  <si>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</si>
  <si>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</si>
  <si>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</si>
  <si>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</si>
  <si>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</si>
  <si>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</si>
  <si>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</si>
  <si>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</si>
  <si>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</si>
  <si>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</si>
  <si>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</si>
  <si>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</si>
  <si>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</si>
  <si>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</si>
  <si>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</si>
  <si>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</si>
  <si>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</si>
  <si>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</si>
  <si>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</si>
  <si>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</si>
  <si>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</si>
  <si>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</si>
  <si>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</si>
  <si>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</si>
  <si>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</si>
  <si>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</si>
  <si>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</si>
  <si>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</si>
  <si>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</si>
  <si>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</si>
  <si>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</si>
  <si>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</si>
  <si>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</si>
  <si>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</si>
  <si>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</si>
  <si>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</si>
  <si>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</si>
  <si>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</si>
  <si>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</si>
  <si>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</si>
  <si>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</si>
  <si>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</si>
  <si>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</si>
  <si>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</si>
  <si>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</si>
  <si>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</si>
  <si>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</si>
  <si>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</si>
  <si>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</si>
  <si>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</si>
  <si>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</si>
  <si>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</si>
  <si>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</si>
  <si>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</si>
  <si>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</si>
  <si>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</si>
  <si>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</si>
  <si>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</si>
  <si>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</si>
  <si>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</si>
  <si>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</si>
  <si>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</si>
  <si>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</si>
  <si>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</si>
  <si>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</si>
  <si>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</si>
  <si>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</si>
  <si>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</si>
  <si>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</si>
  <si>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</si>
  <si>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</si>
  <si>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</si>
  <si>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</si>
  <si>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</si>
  <si>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</si>
  <si>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</si>
  <si>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</si>
  <si>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</si>
  <si>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</si>
  <si>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</si>
  <si>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</si>
  <si>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</si>
  <si>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</si>
  <si>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</si>
  <si>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</si>
  <si>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</si>
  <si>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</si>
  <si>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</si>
  <si>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</si>
  <si>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</si>
  <si>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</si>
  <si>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</si>
  <si>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</si>
  <si>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</si>
  <si>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</si>
  <si>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</si>
  <si>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</si>
  <si>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</si>
  <si>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</si>
  <si>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</si>
  <si>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</si>
  <si>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</si>
  <si>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</si>
  <si>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</si>
  <si>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</si>
  <si>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</si>
  <si>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</si>
  <si>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</si>
  <si>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</si>
  <si>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</si>
  <si>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</si>
  <si>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</si>
  <si>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</si>
  <si>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</si>
  <si>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케이뱅크</t>
  </si>
  <si>
    <t>배관공</t>
  </si>
  <si>
    <t>농협</t>
  </si>
  <si>
    <t>신한</t>
  </si>
  <si>
    <t>카카오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</si>
  <si>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</si>
  <si>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</si>
  <si>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</si>
  <si>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</si>
  <si>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</si>
  <si>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</si>
  <si>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</si>
  <si>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</si>
  <si>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</si>
  <si>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</si>
  <si>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</si>
  <si>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</si>
  <si>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</si>
  <si>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</si>
  <si>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</si>
  <si>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</si>
  <si>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</si>
  <si>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</si>
  <si>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</si>
  <si>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</si>
  <si>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</si>
  <si>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</si>
  <si>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</si>
  <si>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</si>
  <si>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</si>
  <si>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</si>
  <si>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</si>
  <si>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</si>
  <si>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</si>
  <si>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</si>
  <si>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</si>
  <si>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</si>
  <si>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</si>
  <si>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</si>
  <si>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</si>
  <si>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</si>
  <si>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</si>
  <si>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</si>
  <si>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</si>
  <si>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</si>
  <si>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</si>
  <si>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</si>
  <si>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</si>
  <si>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</si>
  <si>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</si>
  <si>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</si>
  <si>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</si>
  <si>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</si>
  <si>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</si>
  <si>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</si>
  <si>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</si>
  <si>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</si>
  <si>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</si>
  <si>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</si>
  <si>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</si>
  <si>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</si>
  <si>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</si>
  <si>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</si>
  <si>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</si>
  <si>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</si>
  <si>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</si>
  <si>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</si>
  <si>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</si>
  <si>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</si>
  <si>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</si>
  <si>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</si>
  <si>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</si>
  <si>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</si>
  <si>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</si>
  <si>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</si>
  <si>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</si>
  <si>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</si>
  <si>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</si>
  <si>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</si>
  <si>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</si>
  <si>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</si>
  <si>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</si>
  <si>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</si>
  <si>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</si>
  <si>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임대료</t>
    <phoneticPr fontId="3" type="noConversion"/>
  </si>
  <si>
    <t>경기도 평택시 모곡동 447-1</t>
    <phoneticPr fontId="5" type="noConversion"/>
  </si>
  <si>
    <t>806,807호</t>
    <phoneticPr fontId="5" type="noConversion"/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</si>
  <si>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</si>
  <si>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</si>
  <si>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</si>
  <si>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</si>
  <si>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</si>
  <si>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</si>
  <si>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</si>
  <si>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</si>
  <si>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</si>
  <si>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KC대납 관리비</t>
  </si>
  <si>
    <t>경기도 평택시 고덕여염12길 12 201호</t>
    <phoneticPr fontId="3" type="noConversion"/>
  </si>
  <si>
    <t>KC대납</t>
    <phoneticPr fontId="3" type="noConversion"/>
  </si>
  <si>
    <t>301호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</si>
  <si>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</si>
  <si>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</si>
  <si>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25년12월</t>
  </si>
  <si>
    <t>26년02월</t>
  </si>
  <si>
    <t>26년03월</t>
  </si>
  <si>
    <t>26년04월</t>
  </si>
  <si>
    <t>26년05월</t>
  </si>
  <si>
    <t>26년06월</t>
  </si>
  <si>
    <t>26년07월</t>
  </si>
  <si>
    <t>중대재해발생으로 인한 발주처 요청으로 자체 특별교육 및 
작업 중단으로 인한 양중 차대 비용</t>
  </si>
  <si>
    <t>기타지급 운영비</t>
    <phoneticPr fontId="3" type="noConversion"/>
  </si>
  <si>
    <t>선수공제</t>
    <phoneticPr fontId="3" type="noConversion"/>
  </si>
  <si>
    <t>단수정리</t>
    <phoneticPr fontId="3" type="noConversion"/>
  </si>
  <si>
    <t>용 역 내 역 서</t>
    <phoneticPr fontId="5" type="noConversion"/>
  </si>
  <si>
    <t>P4 Ph4 GAS 1공구 마감공사</t>
    <phoneticPr fontId="3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</si>
  <si>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</si>
  <si>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</si>
  <si>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</si>
  <si>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</si>
  <si>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</si>
  <si>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</si>
  <si>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1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</si>
  <si>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</si>
  <si>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</si>
  <si>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</si>
  <si>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</si>
  <si>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</si>
  <si>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</si>
  <si>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</si>
  <si>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</si>
  <si>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</si>
  <si>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</si>
  <si>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</si>
  <si>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</si>
  <si>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</si>
  <si>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</si>
  <si>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인센티브</t>
    <phoneticPr fontId="3" type="noConversion"/>
  </si>
  <si>
    <t>총   계</t>
    <phoneticPr fontId="5" type="noConversion"/>
  </si>
  <si>
    <t>경기도 평택시 고덕면 방축리 671-5 1동</t>
    <phoneticPr fontId="5" type="noConversion"/>
  </si>
  <si>
    <t>1동</t>
    <phoneticPr fontId="3" type="noConversion"/>
  </si>
  <si>
    <t>■ 평택 P4_Ph4 GAS 1공구_FAB LOSS 기록대장_리도</t>
    <phoneticPr fontId="3" type="noConversion"/>
  </si>
  <si>
    <t>25년10월</t>
    <phoneticPr fontId="3" type="noConversion"/>
  </si>
  <si>
    <t>25년11월</t>
    <phoneticPr fontId="3" type="noConversion"/>
  </si>
  <si>
    <t>26년01월</t>
    <phoneticPr fontId="3" type="noConversion"/>
  </si>
  <si>
    <t>작성일 : 2025-12--18</t>
    <phoneticPr fontId="3" type="noConversion"/>
  </si>
  <si>
    <t>No.</t>
    <phoneticPr fontId="3" type="noConversion"/>
  </si>
  <si>
    <t>공구</t>
    <phoneticPr fontId="3" type="noConversion"/>
  </si>
  <si>
    <t>업체</t>
    <phoneticPr fontId="3" type="noConversion"/>
  </si>
  <si>
    <t>구분</t>
    <phoneticPr fontId="3" type="noConversion"/>
  </si>
  <si>
    <t>내용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</si>
  <si>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</si>
  <si>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</si>
  <si>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</si>
  <si>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</si>
  <si>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</si>
  <si>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</si>
  <si>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</si>
  <si>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</si>
  <si>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</si>
  <si>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비   고</t>
    <phoneticPr fontId="3" type="noConversion"/>
  </si>
  <si>
    <t>FAB</t>
    <phoneticPr fontId="3" type="noConversion"/>
  </si>
  <si>
    <t>리도</t>
    <phoneticPr fontId="3" type="noConversion"/>
  </si>
  <si>
    <t>발주처 요청사항</t>
    <phoneticPr fontId="3" type="noConversion"/>
  </si>
  <si>
    <t>현장 전 구간</t>
    <phoneticPr fontId="3" type="noConversion"/>
  </si>
  <si>
    <t>09:00~11:00</t>
    <phoneticPr fontId="3" type="noConversion"/>
  </si>
  <si>
    <t>25년 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</si>
  <si>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</si>
  <si>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</si>
  <si>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</si>
  <si>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</si>
  <si>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공법변경</t>
    <phoneticPr fontId="3" type="noConversion"/>
  </si>
  <si>
    <t>MODULE 배관설치용 컨베이어 시범 도입으로 인한 시녕회 관련 준비 및 진행</t>
    <phoneticPr fontId="3" type="noConversion"/>
  </si>
  <si>
    <t>KCENC 공도 외부 SHOP</t>
    <phoneticPr fontId="3" type="noConversion"/>
  </si>
  <si>
    <t>26-02-20~26</t>
    <phoneticPr fontId="3" type="noConversion"/>
  </si>
  <si>
    <t>07:00~17:00</t>
    <phoneticPr fontId="3" type="noConversion"/>
  </si>
  <si>
    <t>26년 03월</t>
    <phoneticPr fontId="3" type="noConversion"/>
  </si>
  <si>
    <t>현장 내 컨베이어 도입 준비 작업 및 시연회</t>
    <phoneticPr fontId="3" type="noConversion"/>
  </si>
  <si>
    <t>현장 FAB 구간</t>
    <phoneticPr fontId="3" type="noConversion"/>
  </si>
  <si>
    <t>07:40~10:30,13:50~18:10</t>
    <phoneticPr fontId="3" type="noConversion"/>
  </si>
  <si>
    <t>리도</t>
    <phoneticPr fontId="3" type="noConversion"/>
  </si>
  <si>
    <t>현장 FAB 구간</t>
    <phoneticPr fontId="3" type="noConversion"/>
  </si>
  <si>
    <t>07:40~10:50,13:10~15:50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</si>
  <si>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</si>
  <si>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</si>
  <si>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</si>
  <si>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SPOOL(배관) 품질 관련하여 용접 TEST 및 시연회</t>
    <phoneticPr fontId="3" type="noConversion"/>
  </si>
  <si>
    <t>KCENC 동항 샵장</t>
    <phoneticPr fontId="3" type="noConversion"/>
  </si>
  <si>
    <t>07:00~11:00</t>
    <phoneticPr fontId="3" type="noConversion"/>
  </si>
  <si>
    <t>미탑제 된 MODULE 내 탑제용 SPOOL 제작</t>
    <phoneticPr fontId="3" type="noConversion"/>
  </si>
  <si>
    <t>KCENC 동항 외부 샵장</t>
    <phoneticPr fontId="3" type="noConversion"/>
  </si>
  <si>
    <t>2026-03-24
~2026-03-27</t>
    <phoneticPr fontId="3" type="noConversion"/>
  </si>
  <si>
    <t>21:00~07:00 (철야)</t>
    <phoneticPr fontId="3" type="noConversion"/>
  </si>
  <si>
    <t>26년 05월</t>
    <phoneticPr fontId="3" type="noConversion"/>
  </si>
  <si>
    <t>경기도 평택시 고덕갈평10길 145, 301호</t>
    <phoneticPr fontId="3" type="noConversion"/>
  </si>
  <si>
    <t>경기도 평택시 고덕갈평7길 19, 302호</t>
    <phoneticPr fontId="3" type="noConversion"/>
  </si>
  <si>
    <t>납기준수비 지급</t>
    <phoneticPr fontId="3" type="noConversion"/>
  </si>
  <si>
    <t>숙소 퇴실</t>
    <phoneticPr fontId="3" type="noConversion"/>
  </si>
  <si>
    <t>KC대납 퇴실정산비</t>
    <phoneticPr fontId="3" type="noConversion"/>
  </si>
  <si>
    <t>국관호</t>
  </si>
  <si>
    <t>860809-1085219</t>
  </si>
  <si>
    <t>010-4121-9703</t>
  </si>
  <si>
    <t>하나</t>
  </si>
  <si>
    <t>265-891181-88607</t>
  </si>
  <si>
    <t>김기수</t>
  </si>
  <si>
    <t>670925-1788311</t>
  </si>
  <si>
    <t>010-8748-6402</t>
  </si>
  <si>
    <t>110-395-269363</t>
  </si>
  <si>
    <t>김기열</t>
  </si>
  <si>
    <t>980624-1020013</t>
  </si>
  <si>
    <t>010-5801-1602</t>
  </si>
  <si>
    <t>우리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</si>
  <si>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</si>
  <si>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</si>
  <si>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</si>
  <si>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</si>
  <si>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</si>
  <si>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</si>
  <si>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</si>
  <si>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</si>
  <si>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</si>
  <si>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김동성</t>
  </si>
  <si>
    <t>801129-1670913</t>
  </si>
  <si>
    <t>010-6479-6009</t>
  </si>
  <si>
    <t>645901-04-120115</t>
  </si>
  <si>
    <t>김동현</t>
  </si>
  <si>
    <t>940909-1158612</t>
  </si>
  <si>
    <t>010-2576-5831</t>
  </si>
  <si>
    <t>3333-09-0796-912</t>
  </si>
  <si>
    <t>김민준</t>
  </si>
  <si>
    <t>750121-1923111</t>
  </si>
  <si>
    <t>010-3144-7011</t>
  </si>
  <si>
    <t>1002-346-022419</t>
  </si>
  <si>
    <t>김민환</t>
  </si>
  <si>
    <t>750913-1633014</t>
  </si>
  <si>
    <t>010-4603-8523</t>
  </si>
  <si>
    <t>1002-152-759347</t>
  </si>
  <si>
    <t>김상진</t>
  </si>
  <si>
    <t>681128-1001110</t>
  </si>
  <si>
    <t>010-9027-0494</t>
  </si>
  <si>
    <t>011-12-089996</t>
  </si>
  <si>
    <t>김선우</t>
  </si>
  <si>
    <t>851017-1063211</t>
  </si>
  <si>
    <t>010-2290-6800</t>
  </si>
  <si>
    <t>110-478-054318</t>
  </si>
  <si>
    <t>김세훈</t>
  </si>
  <si>
    <t>760320-1249920</t>
  </si>
  <si>
    <t>010-4798-5262</t>
  </si>
  <si>
    <t>새마을</t>
  </si>
  <si>
    <t>9003-2663-8104-5</t>
  </si>
  <si>
    <t>김슬기</t>
  </si>
  <si>
    <t>860203-1051819</t>
  </si>
  <si>
    <t>010-2200-4561</t>
  </si>
  <si>
    <t>100-188-670019</t>
  </si>
  <si>
    <t>김용호</t>
  </si>
  <si>
    <t>800821-1823911</t>
  </si>
  <si>
    <t>010-8661-3999</t>
  </si>
  <si>
    <t>기업</t>
  </si>
  <si>
    <t>175-057885-01-012</t>
  </si>
  <si>
    <t>김은규</t>
  </si>
  <si>
    <t>681105-1788311</t>
  </si>
  <si>
    <t>도비공</t>
  </si>
  <si>
    <t>010-3505-9062</t>
  </si>
  <si>
    <t>351-0941-0263-23</t>
  </si>
  <si>
    <t>김재홍</t>
  </si>
  <si>
    <t>900222-1069719</t>
  </si>
  <si>
    <t>010-4345-0747</t>
  </si>
  <si>
    <t>354-910259-36007</t>
  </si>
  <si>
    <t>김정자</t>
  </si>
  <si>
    <t>691109-2581611</t>
  </si>
  <si>
    <t>010-8347-1457</t>
  </si>
  <si>
    <t>352-0865-6722-63</t>
  </si>
  <si>
    <t>노원근</t>
  </si>
  <si>
    <t>820805-1079718</t>
  </si>
  <si>
    <t>010-4125-3419</t>
  </si>
  <si>
    <t>1002-533-431855</t>
  </si>
  <si>
    <t>민충기</t>
  </si>
  <si>
    <t>890114-1064910</t>
  </si>
  <si>
    <t>010-9418-9998</t>
  </si>
  <si>
    <t>074-066516-01-021</t>
  </si>
  <si>
    <t>박재형</t>
  </si>
  <si>
    <t>770621-1645910</t>
  </si>
  <si>
    <t>010-7763-2808</t>
  </si>
  <si>
    <t>565-077418-01-011</t>
  </si>
  <si>
    <t>780518-1114329</t>
  </si>
  <si>
    <t>010-3849-5386</t>
  </si>
  <si>
    <t>669502-04-161746</t>
  </si>
  <si>
    <t>배정인</t>
  </si>
  <si>
    <t>721210-2804318</t>
  </si>
  <si>
    <t>010-9931-1244</t>
  </si>
  <si>
    <t>825114-51-173269</t>
  </si>
  <si>
    <t>백승환</t>
  </si>
  <si>
    <t>881116-1169113</t>
  </si>
  <si>
    <t>010-8295-2124</t>
  </si>
  <si>
    <t>507-050714-01-015</t>
  </si>
  <si>
    <t>서종우</t>
  </si>
  <si>
    <t>870720-1231413</t>
  </si>
  <si>
    <t>010-3385-1756</t>
  </si>
  <si>
    <t>543001-01-444969</t>
  </si>
  <si>
    <t>서지원</t>
  </si>
  <si>
    <t>691219-2347938</t>
  </si>
  <si>
    <t>010-8926-1379</t>
  </si>
  <si>
    <t>신협</t>
  </si>
  <si>
    <t>132-144-773776</t>
  </si>
  <si>
    <t>서혁재</t>
  </si>
  <si>
    <t>950114-1533115</t>
  </si>
  <si>
    <t>010-4352-0652</t>
  </si>
  <si>
    <t>3333-05-4978116</t>
  </si>
  <si>
    <t>신상오</t>
  </si>
  <si>
    <t>670328-1010118</t>
  </si>
  <si>
    <t>010-4946-2704</t>
  </si>
  <si>
    <t>110-177-897619</t>
  </si>
  <si>
    <t>심지웅</t>
  </si>
  <si>
    <t>890309-1057416</t>
  </si>
  <si>
    <t>010-5432-3705</t>
  </si>
  <si>
    <t>682-040341-01-012</t>
  </si>
  <si>
    <t>어혜선</t>
  </si>
  <si>
    <t>690329-2224718</t>
  </si>
  <si>
    <t>010-4725-2377</t>
  </si>
  <si>
    <t>302-0915-7202-11</t>
  </si>
  <si>
    <t>우종철</t>
  </si>
  <si>
    <t>691020-1525026</t>
  </si>
  <si>
    <t>010-2255-0873</t>
  </si>
  <si>
    <t>866-910189-95607</t>
  </si>
  <si>
    <t>유준석</t>
  </si>
  <si>
    <t>931119-1082814</t>
  </si>
  <si>
    <t>010-2266-9274</t>
  </si>
  <si>
    <t>110-357-707377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</si>
  <si>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</si>
  <si>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</si>
  <si>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</si>
  <si>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</si>
  <si>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</si>
  <si>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</si>
  <si>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</si>
  <si>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</si>
  <si>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</si>
  <si>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</si>
  <si>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</si>
  <si>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</si>
  <si>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이관우</t>
  </si>
  <si>
    <t>681228-1326210</t>
  </si>
  <si>
    <t>010-9142-9649</t>
  </si>
  <si>
    <t>399102-04-091289</t>
  </si>
  <si>
    <t>이광춘</t>
  </si>
  <si>
    <t>780331-1921616</t>
  </si>
  <si>
    <t>010-2555-6555</t>
  </si>
  <si>
    <t>120-21-0508-650</t>
  </si>
  <si>
    <t>이근우</t>
  </si>
  <si>
    <t>860607-1123315</t>
  </si>
  <si>
    <t>010-4627-6327</t>
  </si>
  <si>
    <t>969802-01-197903</t>
  </si>
  <si>
    <t>이민휘</t>
  </si>
  <si>
    <t>950425-1419511</t>
  </si>
  <si>
    <t>010-3932-0627</t>
  </si>
  <si>
    <t>662001-01-158668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</si>
  <si>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</si>
  <si>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</si>
  <si>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</si>
  <si>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</si>
  <si>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</si>
  <si>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</si>
  <si>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</si>
  <si>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</si>
  <si>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</si>
  <si>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이원석</t>
  </si>
  <si>
    <t>840926-1623626</t>
  </si>
  <si>
    <t>010-6484-0926</t>
  </si>
  <si>
    <t>142-001-364644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</si>
  <si>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</si>
  <si>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</si>
  <si>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</si>
  <si>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</si>
  <si>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</si>
  <si>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</si>
  <si>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</si>
  <si>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</si>
  <si>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이주찬</t>
  </si>
  <si>
    <t>990604-1861934</t>
  </si>
  <si>
    <t>010-4450-2936</t>
  </si>
  <si>
    <t>3333-05-3458052</t>
  </si>
  <si>
    <t>이해원</t>
  </si>
  <si>
    <t>070312-4912710</t>
  </si>
  <si>
    <t>010-6783-6857</t>
  </si>
  <si>
    <t>110-0150-71990</t>
  </si>
  <si>
    <t>이현석</t>
  </si>
  <si>
    <t>960118-1029412</t>
  </si>
  <si>
    <t>010-8121-2529</t>
  </si>
  <si>
    <t>694702-01-304780</t>
  </si>
  <si>
    <t>임세화</t>
  </si>
  <si>
    <t>850525-2639318</t>
  </si>
  <si>
    <t>010-7184-8536</t>
  </si>
  <si>
    <t>302-0298-4771-11</t>
  </si>
  <si>
    <t>임형택</t>
  </si>
  <si>
    <t>820507-1850225</t>
  </si>
  <si>
    <t>010-5686-9930</t>
  </si>
  <si>
    <t>172-109521-01-011</t>
  </si>
  <si>
    <t>장금숙</t>
  </si>
  <si>
    <t>701103-2630134</t>
  </si>
  <si>
    <t>010-5811-4645</t>
  </si>
  <si>
    <t>110-555-576697</t>
  </si>
  <si>
    <t>장지윤</t>
  </si>
  <si>
    <t>810902-1798514</t>
  </si>
  <si>
    <t>010-6655-9570</t>
  </si>
  <si>
    <t>3333-04-4587331</t>
  </si>
  <si>
    <t>전근우</t>
  </si>
  <si>
    <t>781011-1109817</t>
  </si>
  <si>
    <t>010-6546-4371</t>
  </si>
  <si>
    <t>110-345-317552</t>
  </si>
  <si>
    <t>전승리</t>
  </si>
  <si>
    <t>830202-1580414</t>
  </si>
  <si>
    <t>010-4191-7984</t>
  </si>
  <si>
    <t>132-094-612519</t>
  </si>
  <si>
    <t>정인철</t>
  </si>
  <si>
    <t>911125-1652613</t>
  </si>
  <si>
    <t>010-6344-9135</t>
  </si>
  <si>
    <t xml:space="preserve"> 1002-650-749757</t>
  </si>
  <si>
    <t>조훈일</t>
  </si>
  <si>
    <t>790707-1093213</t>
  </si>
  <si>
    <t>010-5644-4655</t>
  </si>
  <si>
    <t>부산</t>
  </si>
  <si>
    <t>073-02-033733-0</t>
  </si>
  <si>
    <t>차재경</t>
  </si>
  <si>
    <t>710610-1025515</t>
  </si>
  <si>
    <t>010-6204-5058</t>
  </si>
  <si>
    <t>129-910886-16007</t>
  </si>
  <si>
    <t>천의현</t>
  </si>
  <si>
    <t>930116-1155821</t>
  </si>
  <si>
    <t>010-2295-7767</t>
  </si>
  <si>
    <t>1002-361-507614</t>
  </si>
  <si>
    <t>최건우</t>
  </si>
  <si>
    <t>950206-1188615</t>
  </si>
  <si>
    <t>010-4630-2622</t>
  </si>
  <si>
    <t>110-0063-61143</t>
  </si>
  <si>
    <t>최두환</t>
  </si>
  <si>
    <t>820802-1065725</t>
  </si>
  <si>
    <t>010-2029-4004</t>
  </si>
  <si>
    <t>3333-12-2873223</t>
  </si>
  <si>
    <t>최명호</t>
  </si>
  <si>
    <t>950615-1064012</t>
  </si>
  <si>
    <t>010-8777-6020</t>
  </si>
  <si>
    <t>808802-04-198853</t>
  </si>
  <si>
    <t>최시욱</t>
  </si>
  <si>
    <t>900203-1184630</t>
  </si>
  <si>
    <t>010-8820-1440</t>
  </si>
  <si>
    <t>3333-01-8433350</t>
  </si>
  <si>
    <t>최영훈</t>
  </si>
  <si>
    <t>070614-3226811</t>
  </si>
  <si>
    <t>010-8408-1589</t>
  </si>
  <si>
    <t>추연국</t>
  </si>
  <si>
    <t>850105-1118311</t>
  </si>
  <si>
    <t>010-2659-1532</t>
  </si>
  <si>
    <t>110-259-188530</t>
  </si>
  <si>
    <t>한경수</t>
  </si>
  <si>
    <t>731023-1235121</t>
  </si>
  <si>
    <t>010-5264-6878</t>
  </si>
  <si>
    <t>810701-01-287419</t>
  </si>
  <si>
    <t>한정숙</t>
  </si>
  <si>
    <t>821101-2659313</t>
  </si>
  <si>
    <t>010-8682-4492</t>
  </si>
  <si>
    <t>166-076750-02-010</t>
  </si>
  <si>
    <t>홍정자</t>
  </si>
  <si>
    <t>690104-2226618</t>
  </si>
  <si>
    <t>010-8945-3325</t>
  </si>
  <si>
    <t>1002-545-218053</t>
  </si>
  <si>
    <t>26년 06월</t>
    <phoneticPr fontId="3" type="noConversion"/>
  </si>
  <si>
    <t>FAB</t>
    <phoneticPr fontId="3" type="noConversion"/>
  </si>
  <si>
    <t>발주처 요청사항</t>
    <phoneticPr fontId="3" type="noConversion"/>
  </si>
  <si>
    <t>세보 북확장 지원) LATERAL ,2차 브릿지 배관 자동용접</t>
    <phoneticPr fontId="3" type="noConversion"/>
  </si>
  <si>
    <t>6F N~M/53열</t>
    <phoneticPr fontId="3" type="noConversion"/>
  </si>
  <si>
    <t>N/A</t>
    <phoneticPr fontId="3" type="noConversion"/>
  </si>
  <si>
    <t>2026년 07월</t>
    <phoneticPr fontId="5" type="noConversion"/>
  </si>
  <si>
    <t>2026. 07. 01 ~ 2026. 07. 31</t>
    <phoneticPr fontId="3" type="noConversion"/>
  </si>
  <si>
    <t>작 성 일 :   2026년  07월  31일</t>
    <phoneticPr fontId="9" type="noConversion"/>
  </si>
  <si>
    <t>2026년 (07)월 물량 내역서</t>
    <phoneticPr fontId="3" type="noConversion"/>
  </si>
  <si>
    <t>2026년 (    07   )월 일용 노무비명세서</t>
    <phoneticPr fontId="3" type="noConversion"/>
  </si>
  <si>
    <t>김경택</t>
  </si>
  <si>
    <t>720611-1031034</t>
  </si>
  <si>
    <t>010-3284-5703</t>
  </si>
  <si>
    <t>139-08-042914</t>
  </si>
  <si>
    <t>811123-1847011</t>
  </si>
  <si>
    <t>010-2780-2424</t>
  </si>
  <si>
    <t>3333-03-0267267</t>
  </si>
  <si>
    <t>안전보조</t>
    <phoneticPr fontId="3" type="noConversion"/>
  </si>
  <si>
    <t>공사보조</t>
    <phoneticPr fontId="3" type="noConversion"/>
  </si>
  <si>
    <t>김선환</t>
  </si>
  <si>
    <t>850509-1952012</t>
  </si>
  <si>
    <t>010-7920-3744</t>
  </si>
  <si>
    <t>378-890980-95007</t>
  </si>
  <si>
    <t>김세광</t>
  </si>
  <si>
    <t>810301-1469515</t>
  </si>
  <si>
    <t>010-5690-6691</t>
  </si>
  <si>
    <t>104968-02-139365</t>
  </si>
  <si>
    <t>김종현</t>
  </si>
  <si>
    <t>890726-1840614</t>
  </si>
  <si>
    <t>010-9043-1270</t>
  </si>
  <si>
    <t>302-0263-4416-11</t>
  </si>
  <si>
    <t>손동섭</t>
  </si>
  <si>
    <t>700908-1108719</t>
  </si>
  <si>
    <t>010-3842-1987</t>
  </si>
  <si>
    <t>067-12-025943-0</t>
  </si>
  <si>
    <t>송성준</t>
  </si>
  <si>
    <t>960508-1580519</t>
  </si>
  <si>
    <t>010-3928-7599</t>
  </si>
  <si>
    <t>351-0768-8014-63</t>
  </si>
  <si>
    <t>신희철</t>
  </si>
  <si>
    <t>750521-1668918</t>
  </si>
  <si>
    <t>010-9142-6672</t>
  </si>
  <si>
    <t>352-1712-6057-53</t>
  </si>
  <si>
    <t>안형진</t>
  </si>
  <si>
    <t>931117-1169813</t>
  </si>
  <si>
    <t>010-8532-9147</t>
  </si>
  <si>
    <t>302-1790-0413-31</t>
  </si>
  <si>
    <t>윤성옥</t>
  </si>
  <si>
    <t>711005-1057116</t>
  </si>
  <si>
    <t>010-4857-2844</t>
  </si>
  <si>
    <t>1002-228-799655</t>
  </si>
  <si>
    <t>이석왕</t>
  </si>
  <si>
    <t>701125-1056010</t>
  </si>
  <si>
    <t>010-9502-8102</t>
  </si>
  <si>
    <t>110-0080-84923</t>
  </si>
  <si>
    <t>이창훈</t>
  </si>
  <si>
    <t>850109-1473517</t>
  </si>
  <si>
    <t>010-4455-6669</t>
  </si>
  <si>
    <t>742501-01-262612</t>
  </si>
  <si>
    <t>이태엽</t>
  </si>
  <si>
    <t>840120-1540618</t>
  </si>
  <si>
    <t>010-2121-9484</t>
  </si>
  <si>
    <t>501015-52-100279</t>
  </si>
  <si>
    <t>공무보조</t>
    <phoneticPr fontId="3" type="noConversion"/>
  </si>
  <si>
    <t>조운도</t>
  </si>
  <si>
    <t>711117-1792112</t>
  </si>
  <si>
    <t>010-9533-5211</t>
  </si>
  <si>
    <t>3333-20-5901574</t>
  </si>
  <si>
    <t>조윤기</t>
  </si>
  <si>
    <t>921001-1082412</t>
  </si>
  <si>
    <t>010-8056-3869</t>
  </si>
  <si>
    <t>359301-04-066686</t>
  </si>
  <si>
    <t>조현주</t>
  </si>
  <si>
    <t>940517-1533111</t>
  </si>
  <si>
    <t>010-6370-1771</t>
  </si>
  <si>
    <t>110-403-874603</t>
  </si>
  <si>
    <t>최성욱</t>
  </si>
  <si>
    <t>781118-1119629</t>
  </si>
  <si>
    <t>010-3097-5773</t>
  </si>
  <si>
    <t>416-040-85601-011</t>
  </si>
  <si>
    <t>468601-04-335101</t>
  </si>
  <si>
    <t>최인석</t>
  </si>
  <si>
    <t>950524-1318417</t>
  </si>
  <si>
    <t>010-3193-6472</t>
  </si>
  <si>
    <t>110-420-995580</t>
  </si>
  <si>
    <t>허태조</t>
  </si>
  <si>
    <t>800302-1821016</t>
  </si>
  <si>
    <t>010-4671-1145</t>
  </si>
  <si>
    <t>9003-2681-2574-4</t>
  </si>
  <si>
    <t>숙소임대료(7월분)</t>
    <phoneticPr fontId="3" type="noConversion"/>
  </si>
  <si>
    <t xml:space="preserve">창고임대료(7월분) </t>
    <phoneticPr fontId="3" type="noConversion"/>
  </si>
  <si>
    <t xml:space="preserve">사무실임대료(7월분) </t>
    <phoneticPr fontId="3" type="noConversion"/>
  </si>
  <si>
    <t>경기도 평택시 고덕여염12길 12 201호</t>
    <phoneticPr fontId="3" type="noConversion"/>
  </si>
  <si>
    <t>경기도 평택시 고덕여염8길 71 302호</t>
    <phoneticPr fontId="3" type="noConversion"/>
  </si>
  <si>
    <t>302호</t>
    <phoneticPr fontId="3" type="noConversion"/>
  </si>
  <si>
    <t>경기도 평택시 함박산4길 13 202호</t>
    <phoneticPr fontId="3" type="noConversion"/>
  </si>
  <si>
    <t>경기도 평택시 고덕여염9길 51 814호</t>
    <phoneticPr fontId="3" type="noConversion"/>
  </si>
  <si>
    <t>202호</t>
    <phoneticPr fontId="3" type="noConversion"/>
  </si>
  <si>
    <t>숙소수도세(7월분)</t>
    <phoneticPr fontId="3" type="noConversion"/>
  </si>
  <si>
    <t>숙소관리비(7월분)</t>
    <phoneticPr fontId="3" type="noConversion"/>
  </si>
  <si>
    <t>숙소전기료(7월분)</t>
    <phoneticPr fontId="3" type="noConversion"/>
  </si>
  <si>
    <t>사무실관리비(7월분)</t>
    <phoneticPr fontId="5" type="noConversion"/>
  </si>
  <si>
    <t>사무실관리비(7월분)</t>
    <phoneticPr fontId="5" type="noConversion"/>
  </si>
  <si>
    <t>2026-06-18
~2026-06-29</t>
    <phoneticPr fontId="3" type="noConversion"/>
  </si>
  <si>
    <t>기타 ISSUE</t>
    <phoneticPr fontId="3" type="noConversion"/>
  </si>
  <si>
    <t>추가정산 ITEM 지급</t>
    <phoneticPr fontId="3" type="noConversion"/>
  </si>
  <si>
    <t>경기도 평택시 고덕여염16길 71 302호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</si>
</sst>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_-* #,##0_-;\-* #,##0_-;_-* &quot;-&quot;??_-;_-@_-"/>
    <numFmt numFmtId="188" formatCode="#,##0.0000_ "/>
    <numFmt numFmtId="189" formatCode="_-* #,##0_-;&quot;₩&quot;\!\-* #,##0_-;_-* &quot;-&quot;_-;_-@_-"/>
    <numFmt numFmtId="190" formatCode="_-* #,##0.0_-;\-* #,##0.0_-;_-* &quot;-&quot;_-;_-@_-"/>
    <numFmt numFmtId="191" formatCode="0.000_ "/>
    <numFmt numFmtId="192" formatCode="0.0000"/>
  </numFmts>
  <fonts count="6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FF0000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9" fillId="0" borderId="0"/>
    <xf numFmtId="0" fontId="55" fillId="0" borderId="0">
      <alignment vertical="center"/>
    </xf>
    <xf numFmtId="188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40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0" borderId="11" xfId="6" applyFont="1" applyFill="1" applyBorder="1" applyAlignment="1">
      <alignment horizontal="center" vertical="center"/>
    </xf>
    <xf numFmtId="181" fontId="14" fillId="0" borderId="48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41" fontId="37" fillId="9" borderId="9" xfId="0" applyNumberFormat="1" applyFont="1" applyFill="1" applyBorder="1">
      <alignment vertical="center"/>
    </xf>
    <xf numFmtId="0" fontId="38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1" fontId="42" fillId="10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41" fillId="0" borderId="9" xfId="0" applyFont="1" applyFill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37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1" fillId="0" borderId="9" xfId="0" applyNumberFormat="1" applyFont="1" applyFill="1" applyBorder="1" applyAlignment="1">
      <alignment horizontal="center" vertical="center"/>
    </xf>
    <xf numFmtId="49" fontId="41" fillId="0" borderId="9" xfId="0" applyNumberFormat="1" applyFont="1" applyFill="1" applyBorder="1" applyAlignment="1">
      <alignment horizontal="center" vertical="center" shrinkToFit="1"/>
    </xf>
    <xf numFmtId="182" fontId="41" fillId="0" borderId="9" xfId="10" applyNumberFormat="1" applyFont="1" applyFill="1" applyBorder="1" applyAlignment="1">
      <alignment horizontal="center" vertical="center"/>
    </xf>
    <xf numFmtId="41" fontId="41" fillId="0" borderId="9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1" fillId="0" borderId="9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7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3" fillId="6" borderId="9" xfId="0" applyNumberFormat="1" applyFont="1" applyFill="1" applyBorder="1" applyAlignment="1">
      <alignment horizontal="center" vertical="center"/>
    </xf>
    <xf numFmtId="42" fontId="43" fillId="6" borderId="9" xfId="8" applyFont="1" applyFill="1" applyBorder="1" applyAlignment="1">
      <alignment horizontal="center" vertical="center"/>
    </xf>
    <xf numFmtId="41" fontId="43" fillId="6" borderId="13" xfId="6" applyFont="1" applyFill="1" applyBorder="1" applyAlignment="1">
      <alignment horizontal="center" vertical="center"/>
    </xf>
    <xf numFmtId="0" fontId="43" fillId="6" borderId="0" xfId="0" applyFont="1" applyFill="1">
      <alignment vertical="center"/>
    </xf>
    <xf numFmtId="185" fontId="43" fillId="2" borderId="9" xfId="6" applyNumberFormat="1" applyFont="1" applyFill="1" applyBorder="1" applyAlignment="1">
      <alignment horizontal="center" vertical="center"/>
    </xf>
    <xf numFmtId="41" fontId="43" fillId="2" borderId="9" xfId="6" applyFont="1" applyFill="1" applyBorder="1" applyAlignment="1">
      <alignment horizontal="center" vertical="center"/>
    </xf>
    <xf numFmtId="41" fontId="43" fillId="2" borderId="13" xfId="6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0" fillId="0" borderId="0" xfId="0" applyNumberFormat="1">
      <alignment vertical="center"/>
    </xf>
    <xf numFmtId="0" fontId="35" fillId="0" borderId="52" xfId="0" applyFont="1" applyFill="1" applyBorder="1" applyAlignment="1">
      <alignment horizontal="center" vertical="center"/>
    </xf>
    <xf numFmtId="0" fontId="34" fillId="0" borderId="5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NumberFormat="1" applyFont="1" applyFill="1" applyBorder="1" applyAlignment="1">
      <alignment horizontal="center" vertical="center" shrinkToFit="1"/>
    </xf>
    <xf numFmtId="41" fontId="14" fillId="6" borderId="44" xfId="6" applyNumberFormat="1" applyFont="1" applyFill="1" applyBorder="1" applyAlignment="1">
      <alignment horizontal="center" vertical="center" shrinkToFit="1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41" fontId="14" fillId="2" borderId="43" xfId="6" applyNumberFormat="1" applyFont="1" applyFill="1" applyBorder="1" applyAlignment="1">
      <alignment horizontal="center" vertical="center" shrinkToFit="1"/>
    </xf>
    <xf numFmtId="41" fontId="14" fillId="2" borderId="44" xfId="6" applyNumberFormat="1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14" xfId="6" applyNumberFormat="1" applyFont="1" applyFill="1" applyBorder="1" applyAlignment="1">
      <alignment horizontal="center" vertical="center"/>
    </xf>
    <xf numFmtId="181" fontId="41" fillId="0" borderId="14" xfId="6" applyNumberFormat="1" applyFont="1" applyFill="1" applyBorder="1" applyAlignment="1">
      <alignment horizontal="center" vertical="center"/>
    </xf>
    <xf numFmtId="184" fontId="41" fillId="0" borderId="16" xfId="0" applyNumberFormat="1" applyFont="1" applyFill="1" applyBorder="1">
      <alignment vertical="center"/>
    </xf>
    <xf numFmtId="0" fontId="41" fillId="0" borderId="17" xfId="6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" fillId="0" borderId="0" xfId="2">
      <alignment vertical="center"/>
    </xf>
    <xf numFmtId="41" fontId="47" fillId="2" borderId="0" xfId="2" applyNumberFormat="1" applyFont="1" applyFill="1">
      <alignment vertical="center"/>
    </xf>
    <xf numFmtId="0" fontId="47" fillId="0" borderId="0" xfId="2" quotePrefix="1" applyFont="1">
      <alignment vertical="center"/>
    </xf>
    <xf numFmtId="0" fontId="48" fillId="0" borderId="0" xfId="2" quotePrefix="1" applyFont="1">
      <alignment vertical="center"/>
    </xf>
    <xf numFmtId="0" fontId="48" fillId="0" borderId="0" xfId="2" applyFont="1" applyAlignment="1">
      <alignment horizontal="right" vertical="center"/>
    </xf>
    <xf numFmtId="41" fontId="47" fillId="12" borderId="9" xfId="4" applyFont="1" applyFill="1" applyBorder="1" applyAlignment="1">
      <alignment horizontal="center" vertical="center"/>
    </xf>
    <xf numFmtId="41" fontId="52" fillId="0" borderId="17" xfId="2" applyNumberFormat="1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/>
    </xf>
    <xf numFmtId="41" fontId="52" fillId="0" borderId="9" xfId="10" applyFont="1" applyBorder="1" applyAlignment="1">
      <alignment horizontal="center" vertical="center"/>
    </xf>
    <xf numFmtId="41" fontId="52" fillId="0" borderId="9" xfId="4" applyFont="1" applyFill="1" applyBorder="1" applyAlignment="1">
      <alignment vertical="center" shrinkToFit="1"/>
    </xf>
    <xf numFmtId="184" fontId="53" fillId="0" borderId="18" xfId="2" applyNumberFormat="1" applyFont="1" applyBorder="1" applyAlignment="1">
      <alignment vertical="center" shrinkToFit="1"/>
    </xf>
    <xf numFmtId="184" fontId="53" fillId="0" borderId="18" xfId="2" quotePrefix="1" applyNumberFormat="1" applyFont="1" applyBorder="1" applyAlignment="1">
      <alignment vertical="center" shrinkToFit="1"/>
    </xf>
    <xf numFmtId="184" fontId="54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4" fillId="0" borderId="18" xfId="2" applyFont="1" applyBorder="1">
      <alignment vertical="center"/>
    </xf>
    <xf numFmtId="0" fontId="52" fillId="0" borderId="17" xfId="16" applyFont="1" applyBorder="1" applyAlignment="1">
      <alignment horizontal="left" vertical="center" wrapText="1"/>
    </xf>
    <xf numFmtId="0" fontId="52" fillId="0" borderId="9" xfId="16" applyFont="1" applyBorder="1" applyAlignment="1">
      <alignment horizontal="center" vertical="center"/>
    </xf>
    <xf numFmtId="0" fontId="52" fillId="0" borderId="17" xfId="16" applyFont="1" applyBorder="1" applyAlignment="1">
      <alignment horizontal="center" vertical="center" wrapText="1"/>
    </xf>
    <xf numFmtId="189" fontId="52" fillId="0" borderId="9" xfId="17" applyNumberFormat="1" applyFont="1" applyFill="1" applyBorder="1" applyAlignment="1">
      <alignment horizontal="center" vertical="center"/>
    </xf>
    <xf numFmtId="9" fontId="52" fillId="0" borderId="9" xfId="18" applyFont="1" applyFill="1" applyBorder="1" applyAlignment="1">
      <alignment vertical="center" shrinkToFit="1"/>
    </xf>
    <xf numFmtId="187" fontId="52" fillId="0" borderId="9" xfId="4" applyNumberFormat="1" applyFont="1" applyFill="1" applyBorder="1" applyAlignment="1">
      <alignment vertical="center" shrinkToFit="1"/>
    </xf>
    <xf numFmtId="0" fontId="52" fillId="0" borderId="9" xfId="16" applyFont="1" applyBorder="1" applyAlignment="1">
      <alignment horizontal="center" vertical="center" wrapText="1"/>
    </xf>
    <xf numFmtId="0" fontId="52" fillId="0" borderId="9" xfId="2" applyFont="1" applyBorder="1" applyAlignment="1">
      <alignment horizontal="center" vertical="center" shrinkToFit="1"/>
    </xf>
    <xf numFmtId="41" fontId="52" fillId="0" borderId="9" xfId="4" applyFont="1" applyBorder="1" applyAlignment="1">
      <alignment horizontal="center" vertical="center"/>
    </xf>
    <xf numFmtId="41" fontId="52" fillId="0" borderId="9" xfId="4" applyFont="1" applyBorder="1" applyAlignment="1">
      <alignment vertical="center"/>
    </xf>
    <xf numFmtId="0" fontId="52" fillId="0" borderId="17" xfId="16" applyFont="1" applyBorder="1" applyAlignment="1">
      <alignment horizontal="left" vertical="center" wrapText="1" indent="1"/>
    </xf>
    <xf numFmtId="0" fontId="52" fillId="0" borderId="17" xfId="2" applyFont="1" applyBorder="1" applyAlignment="1">
      <alignment horizontal="left" vertical="center" indent="1"/>
    </xf>
    <xf numFmtId="0" fontId="56" fillId="0" borderId="17" xfId="2" applyFont="1" applyBorder="1" applyAlignment="1">
      <alignment horizontal="left" vertical="center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56" fillId="0" borderId="19" xfId="2" applyFont="1" applyBorder="1" applyAlignment="1">
      <alignment horizontal="center" vertical="center"/>
    </xf>
    <xf numFmtId="0" fontId="52" fillId="0" borderId="20" xfId="2" applyFont="1" applyBorder="1" applyAlignment="1">
      <alignment horizontal="center" vertical="center" shrinkToFit="1"/>
    </xf>
    <xf numFmtId="0" fontId="52" fillId="0" borderId="20" xfId="2" applyFont="1" applyBorder="1" applyAlignment="1">
      <alignment horizontal="center" vertical="center"/>
    </xf>
    <xf numFmtId="41" fontId="52" fillId="0" borderId="20" xfId="2" applyNumberFormat="1" applyFont="1" applyBorder="1" applyAlignment="1">
      <alignment horizontal="center" vertical="center"/>
    </xf>
    <xf numFmtId="190" fontId="52" fillId="0" borderId="20" xfId="2" applyNumberFormat="1" applyFont="1" applyBorder="1" applyAlignment="1">
      <alignment horizontal="center" vertical="center"/>
    </xf>
    <xf numFmtId="41" fontId="52" fillId="0" borderId="20" xfId="2" applyNumberFormat="1" applyFont="1" applyBorder="1" applyAlignment="1">
      <alignment vertical="center" shrinkToFit="1"/>
    </xf>
    <xf numFmtId="0" fontId="54" fillId="0" borderId="21" xfId="2" applyFont="1" applyBorder="1">
      <alignment vertical="center"/>
    </xf>
    <xf numFmtId="0" fontId="53" fillId="0" borderId="0" xfId="2" applyFont="1" applyAlignment="1">
      <alignment horizontal="center" vertical="center"/>
    </xf>
    <xf numFmtId="0" fontId="54" fillId="0" borderId="0" xfId="2" applyFont="1" applyAlignment="1">
      <alignment horizontal="center" vertical="center" shrinkToFit="1"/>
    </xf>
    <xf numFmtId="0" fontId="5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57" fillId="0" borderId="52" xfId="0" applyFont="1" applyFill="1" applyBorder="1" applyAlignment="1">
      <alignment horizontal="center" vertical="center"/>
    </xf>
    <xf numFmtId="181" fontId="41" fillId="0" borderId="17" xfId="6" applyNumberFormat="1" applyFont="1" applyFill="1" applyBorder="1" applyAlignment="1">
      <alignment horizontal="center" vertical="center"/>
    </xf>
    <xf numFmtId="184" fontId="41" fillId="0" borderId="18" xfId="0" applyNumberFormat="1" applyFont="1" applyFill="1" applyBorder="1">
      <alignment vertical="center"/>
    </xf>
    <xf numFmtId="20" fontId="31" fillId="0" borderId="9" xfId="0" applyNumberFormat="1" applyFont="1" applyFill="1" applyBorder="1" applyAlignment="1">
      <alignment horizontal="center" vertical="center" wrapText="1"/>
    </xf>
    <xf numFmtId="0" fontId="58" fillId="0" borderId="9" xfId="0" applyFont="1" applyFill="1" applyBorder="1" applyAlignment="1">
      <alignment horizontal="center" vertical="center"/>
    </xf>
    <xf numFmtId="14" fontId="58" fillId="0" borderId="9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31" fillId="0" borderId="9" xfId="6" applyFont="1" applyFill="1" applyBorder="1" applyAlignment="1">
      <alignment horizontal="center" vertical="center"/>
    </xf>
    <xf numFmtId="41" fontId="14" fillId="5" borderId="55" xfId="6" applyFont="1" applyFill="1" applyBorder="1" applyAlignment="1">
      <alignment horizontal="center" vertical="center"/>
    </xf>
    <xf numFmtId="41" fontId="14" fillId="5" borderId="52" xfId="6" applyFont="1" applyFill="1" applyBorder="1" applyAlignment="1">
      <alignment horizontal="center" vertical="center"/>
    </xf>
    <xf numFmtId="182" fontId="14" fillId="5" borderId="52" xfId="6" applyNumberFormat="1" applyFont="1" applyFill="1" applyBorder="1" applyAlignment="1">
      <alignment horizontal="center" vertical="center"/>
    </xf>
    <xf numFmtId="182" fontId="14" fillId="5" borderId="56" xfId="6" applyNumberFormat="1" applyFont="1" applyFill="1" applyBorder="1" applyAlignment="1">
      <alignment horizontal="center" vertical="center"/>
    </xf>
    <xf numFmtId="181" fontId="14" fillId="5" borderId="55" xfId="6" applyNumberFormat="1" applyFont="1" applyFill="1" applyBorder="1" applyAlignment="1">
      <alignment horizontal="center" vertical="center"/>
    </xf>
    <xf numFmtId="181" fontId="14" fillId="5" borderId="56" xfId="6" applyNumberFormat="1" applyFont="1" applyFill="1" applyBorder="1" applyAlignment="1">
      <alignment horizontal="center" vertical="center"/>
    </xf>
    <xf numFmtId="41" fontId="41" fillId="0" borderId="11" xfId="6" applyFont="1" applyFill="1" applyBorder="1" applyAlignment="1">
      <alignment horizontal="right" vertical="center"/>
    </xf>
    <xf numFmtId="41" fontId="41" fillId="0" borderId="9" xfId="6" applyFont="1" applyFill="1" applyBorder="1" applyAlignment="1">
      <alignment horizontal="right" vertical="center"/>
    </xf>
    <xf numFmtId="41" fontId="41" fillId="0" borderId="11" xfId="0" applyNumberFormat="1" applyFont="1" applyFill="1" applyBorder="1" applyAlignment="1">
      <alignment horizontal="center" vertical="center"/>
    </xf>
    <xf numFmtId="182" fontId="24" fillId="0" borderId="58" xfId="10" applyNumberFormat="1" applyFont="1" applyFill="1" applyBorder="1" applyAlignment="1">
      <alignment horizontal="center" vertical="center"/>
    </xf>
    <xf numFmtId="182" fontId="24" fillId="0" borderId="9" xfId="10" applyNumberFormat="1" applyFont="1" applyFill="1" applyBorder="1" applyAlignment="1">
      <alignment horizontal="center" vertical="center"/>
    </xf>
    <xf numFmtId="41" fontId="13" fillId="0" borderId="9" xfId="6" applyFont="1" applyFill="1" applyBorder="1" applyAlignment="1">
      <alignment horizontal="center" vertical="center"/>
    </xf>
    <xf numFmtId="41" fontId="23" fillId="0" borderId="0" xfId="0" applyNumberFormat="1" applyFont="1" applyBorder="1">
      <alignment vertical="center"/>
    </xf>
    <xf numFmtId="0" fontId="41" fillId="0" borderId="9" xfId="0" applyFont="1" applyFill="1" applyBorder="1" applyAlignment="1">
      <alignment horizontal="left" vertical="center"/>
    </xf>
    <xf numFmtId="0" fontId="41" fillId="0" borderId="58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41" fontId="13" fillId="0" borderId="11" xfId="6" applyFont="1" applyFill="1" applyBorder="1" applyAlignment="1">
      <alignment horizontal="center" vertical="center"/>
    </xf>
    <xf numFmtId="14" fontId="31" fillId="0" borderId="9" xfId="0" applyNumberFormat="1" applyFont="1" applyFill="1" applyBorder="1" applyAlignment="1">
      <alignment horizontal="center" vertical="center" wrapText="1"/>
    </xf>
    <xf numFmtId="183" fontId="13" fillId="0" borderId="11" xfId="6" applyNumberFormat="1" applyFont="1" applyFill="1" applyBorder="1" applyAlignment="1">
      <alignment horizontal="center" vertical="center"/>
    </xf>
    <xf numFmtId="182" fontId="13" fillId="0" borderId="11" xfId="6" applyNumberFormat="1" applyFont="1" applyFill="1" applyBorder="1" applyAlignment="1">
      <alignment horizontal="center" vertical="center"/>
    </xf>
    <xf numFmtId="182" fontId="13" fillId="0" borderId="47" xfId="6" applyNumberFormat="1" applyFont="1" applyFill="1" applyBorder="1" applyAlignment="1">
      <alignment horizontal="center" vertical="center"/>
    </xf>
    <xf numFmtId="183" fontId="13" fillId="0" borderId="9" xfId="6" applyNumberFormat="1" applyFont="1" applyFill="1" applyBorder="1" applyAlignment="1">
      <alignment horizontal="center" vertical="center"/>
    </xf>
    <xf numFmtId="183" fontId="13" fillId="0" borderId="10" xfId="6" applyNumberFormat="1" applyFont="1" applyFill="1" applyBorder="1" applyAlignment="1">
      <alignment horizontal="center" vertical="center"/>
    </xf>
    <xf numFmtId="41" fontId="13" fillId="0" borderId="10" xfId="6" applyFont="1" applyFill="1" applyBorder="1" applyAlignment="1">
      <alignment horizontal="center" vertical="center"/>
    </xf>
    <xf numFmtId="0" fontId="13" fillId="0" borderId="11" xfId="6" applyNumberFormat="1" applyFont="1" applyFill="1" applyBorder="1" applyAlignment="1">
      <alignment horizontal="center" vertical="center"/>
    </xf>
    <xf numFmtId="0" fontId="13" fillId="0" borderId="9" xfId="6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9" fontId="13" fillId="0" borderId="18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21" xfId="0" applyNumberFormat="1" applyFont="1" applyFill="1" applyBorder="1" applyAlignment="1">
      <alignment horizontal="center" vertical="center"/>
    </xf>
    <xf numFmtId="188" fontId="14" fillId="6" borderId="42" xfId="6" applyNumberFormat="1" applyFont="1" applyFill="1" applyBorder="1" applyAlignment="1">
      <alignment horizontal="center" vertical="center" shrinkToFit="1"/>
    </xf>
    <xf numFmtId="188" fontId="14" fillId="2" borderId="42" xfId="6" applyNumberFormat="1" applyFont="1" applyFill="1" applyBorder="1" applyAlignment="1">
      <alignment horizontal="center" vertical="center" shrinkToFit="1"/>
    </xf>
    <xf numFmtId="0" fontId="57" fillId="0" borderId="57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83" fontId="13" fillId="0" borderId="15" xfId="6" applyNumberFormat="1" applyFont="1" applyFill="1" applyBorder="1" applyAlignment="1">
      <alignment horizontal="center" vertical="center"/>
    </xf>
    <xf numFmtId="41" fontId="13" fillId="0" borderId="15" xfId="6" applyFont="1" applyFill="1" applyBorder="1" applyAlignment="1">
      <alignment horizontal="center" vertical="center"/>
    </xf>
    <xf numFmtId="182" fontId="13" fillId="0" borderId="16" xfId="6" applyNumberFormat="1" applyFont="1" applyFill="1" applyBorder="1" applyAlignment="1">
      <alignment horizontal="center" vertical="center"/>
    </xf>
    <xf numFmtId="182" fontId="13" fillId="0" borderId="18" xfId="6" applyNumberFormat="1" applyFont="1" applyFill="1" applyBorder="1" applyAlignment="1">
      <alignment horizontal="center" vertical="center"/>
    </xf>
    <xf numFmtId="0" fontId="41" fillId="0" borderId="19" xfId="6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83" fontId="13" fillId="0" borderId="20" xfId="6" applyNumberFormat="1" applyFont="1" applyFill="1" applyBorder="1" applyAlignment="1">
      <alignment horizontal="center" vertical="center"/>
    </xf>
    <xf numFmtId="41" fontId="13" fillId="0" borderId="20" xfId="6" applyFont="1" applyFill="1" applyBorder="1" applyAlignment="1">
      <alignment horizontal="center" vertical="center"/>
    </xf>
    <xf numFmtId="182" fontId="13" fillId="0" borderId="21" xfId="6" applyNumberFormat="1" applyFont="1" applyFill="1" applyBorder="1" applyAlignment="1">
      <alignment horizontal="center" vertical="center"/>
    </xf>
    <xf numFmtId="191" fontId="13" fillId="0" borderId="14" xfId="0" applyNumberFormat="1" applyFont="1" applyFill="1" applyBorder="1" applyAlignment="1">
      <alignment horizontal="center" vertical="center"/>
    </xf>
    <xf numFmtId="191" fontId="13" fillId="0" borderId="15" xfId="0" applyNumberFormat="1" applyFont="1" applyFill="1" applyBorder="1" applyAlignment="1">
      <alignment horizontal="center" vertical="center"/>
    </xf>
    <xf numFmtId="191" fontId="13" fillId="0" borderId="16" xfId="0" applyNumberFormat="1" applyFont="1" applyFill="1" applyBorder="1" applyAlignment="1">
      <alignment horizontal="center" vertical="center"/>
    </xf>
    <xf numFmtId="191" fontId="13" fillId="0" borderId="17" xfId="0" applyNumberFormat="1" applyFont="1" applyFill="1" applyBorder="1" applyAlignment="1">
      <alignment horizontal="center" vertical="center"/>
    </xf>
    <xf numFmtId="191" fontId="13" fillId="0" borderId="9" xfId="0" applyNumberFormat="1" applyFont="1" applyFill="1" applyBorder="1" applyAlignment="1">
      <alignment horizontal="center" vertical="center"/>
    </xf>
    <xf numFmtId="191" fontId="13" fillId="0" borderId="18" xfId="0" applyNumberFormat="1" applyFont="1" applyFill="1" applyBorder="1" applyAlignment="1">
      <alignment horizontal="center" vertical="center"/>
    </xf>
    <xf numFmtId="191" fontId="13" fillId="0" borderId="19" xfId="0" applyNumberFormat="1" applyFont="1" applyFill="1" applyBorder="1" applyAlignment="1">
      <alignment horizontal="center" vertical="center"/>
    </xf>
    <xf numFmtId="191" fontId="13" fillId="0" borderId="20" xfId="0" applyNumberFormat="1" applyFont="1" applyFill="1" applyBorder="1" applyAlignment="1">
      <alignment horizontal="center" vertical="center"/>
    </xf>
    <xf numFmtId="191" fontId="13" fillId="0" borderId="21" xfId="0" applyNumberFormat="1" applyFont="1" applyFill="1" applyBorder="1" applyAlignment="1">
      <alignment horizontal="center" vertical="center"/>
    </xf>
    <xf numFmtId="41" fontId="41" fillId="0" borderId="15" xfId="6" applyFont="1" applyFill="1" applyBorder="1" applyAlignment="1">
      <alignment horizontal="right" vertical="center"/>
    </xf>
    <xf numFmtId="181" fontId="41" fillId="0" borderId="19" xfId="6" applyNumberFormat="1" applyFont="1" applyFill="1" applyBorder="1" applyAlignment="1">
      <alignment horizontal="center" vertical="center"/>
    </xf>
    <xf numFmtId="41" fontId="41" fillId="0" borderId="59" xfId="6" applyFont="1" applyFill="1" applyBorder="1" applyAlignment="1">
      <alignment horizontal="right" vertical="center"/>
    </xf>
    <xf numFmtId="184" fontId="41" fillId="0" borderId="21" xfId="0" applyNumberFormat="1" applyFont="1" applyFill="1" applyBorder="1">
      <alignment vertical="center"/>
    </xf>
    <xf numFmtId="14" fontId="63" fillId="0" borderId="9" xfId="0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46" fillId="2" borderId="0" xfId="2" applyFont="1" applyFill="1" applyAlignment="1">
      <alignment horizontal="center" vertical="center"/>
    </xf>
    <xf numFmtId="184" fontId="47" fillId="12" borderId="14" xfId="2" applyNumberFormat="1" applyFont="1" applyFill="1" applyBorder="1" applyAlignment="1">
      <alignment horizontal="center" vertical="center"/>
    </xf>
    <xf numFmtId="184" fontId="47" fillId="12" borderId="17" xfId="2" applyNumberFormat="1" applyFont="1" applyFill="1" applyBorder="1" applyAlignment="1">
      <alignment horizontal="center" vertical="center"/>
    </xf>
    <xf numFmtId="184" fontId="47" fillId="12" borderId="15" xfId="2" applyNumberFormat="1" applyFont="1" applyFill="1" applyBorder="1" applyAlignment="1">
      <alignment horizontal="center" vertical="center"/>
    </xf>
    <xf numFmtId="184" fontId="47" fillId="12" borderId="9" xfId="2" applyNumberFormat="1" applyFont="1" applyFill="1" applyBorder="1" applyAlignment="1">
      <alignment horizontal="center" vertical="center"/>
    </xf>
    <xf numFmtId="41" fontId="47" fillId="12" borderId="15" xfId="4" applyFont="1" applyFill="1" applyBorder="1" applyAlignment="1">
      <alignment horizontal="center" vertical="center"/>
    </xf>
    <xf numFmtId="41" fontId="47" fillId="12" borderId="9" xfId="4" applyFont="1" applyFill="1" applyBorder="1" applyAlignment="1">
      <alignment horizontal="center" vertical="center"/>
    </xf>
    <xf numFmtId="41" fontId="50" fillId="12" borderId="16" xfId="15" applyNumberFormat="1" applyFont="1" applyFill="1" applyBorder="1" applyAlignment="1">
      <alignment horizontal="center" vertical="center" shrinkToFit="1"/>
    </xf>
    <xf numFmtId="41" fontId="50" fillId="12" borderId="18" xfId="15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0" fontId="14" fillId="0" borderId="54" xfId="0" applyFont="1" applyBorder="1" applyAlignment="1">
      <alignment horizontal="left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4" fillId="6" borderId="49" xfId="6" applyNumberFormat="1" applyFont="1" applyFill="1" applyBorder="1" applyAlignment="1">
      <alignment horizontal="center" vertical="center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2" borderId="49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49" fontId="41" fillId="8" borderId="9" xfId="0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43" fillId="6" borderId="12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3" fillId="6" borderId="13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27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92" fontId="13" fillId="0" borderId="9" xfId="0" applyNumberFormat="1" applyFont="1" applyBorder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8" xr:uid="{00000000-0005-0000-0000-000002000000}"/>
    <cellStyle name="쉼표 [0]" xfId="6" builtinId="6"/>
    <cellStyle name="쉼표 [0] 108" xfId="13" xr:uid="{00000000-0005-0000-0000-000004000000}"/>
    <cellStyle name="쉼표 [0] 2" xfId="4" xr:uid="{00000000-0005-0000-0000-000005000000}"/>
    <cellStyle name="쉼표 [0] 2 2 8" xfId="10" xr:uid="{00000000-0005-0000-0000-000006000000}"/>
    <cellStyle name="쉼표 [0] 3" xfId="11" xr:uid="{00000000-0005-0000-0000-000007000000}"/>
    <cellStyle name="쉼표 [0]_태준제약 기성청구서(3회)050219" xfId="17" xr:uid="{00000000-0005-0000-0000-000008000000}"/>
    <cellStyle name="통화 [0]" xfId="8" builtinId="7"/>
    <cellStyle name="표준" xfId="0" builtinId="0"/>
    <cellStyle name="표준 104" xfId="12" xr:uid="{00000000-0005-0000-0000-00000B000000}"/>
    <cellStyle name="표준 2" xfId="3" xr:uid="{00000000-0005-0000-0000-00000C000000}"/>
    <cellStyle name="표준 2 2" xfId="2" xr:uid="{00000000-0005-0000-0000-00000D000000}"/>
    <cellStyle name="표준 2 3 2" xfId="16" xr:uid="{00000000-0005-0000-0000-00000E000000}"/>
    <cellStyle name="표준 4" xfId="14" xr:uid="{00000000-0005-0000-0000-00000F000000}"/>
    <cellStyle name="표준_QF-0402-25_일용직_노무비명세서_V1.0(07.07.12) - 7월" xfId="9" xr:uid="{00000000-0005-0000-0000-000010000000}"/>
    <cellStyle name="표준_설계 변경 내역서-1" xfId="15" xr:uid="{00000000-0005-0000-0000-000011000000}"/>
    <cellStyle name="표준_외주기성청구서_기성금청구양식" xfId="1" xr:uid="{00000000-0005-0000-0000-000012000000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0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26893</xdr:rowOff>
    </xdr:from>
    <xdr:to>
      <xdr:col>11</xdr:col>
      <xdr:colOff>0</xdr:colOff>
      <xdr:row>14</xdr:row>
      <xdr:rowOff>26894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3017743"/>
          <a:ext cx="3686175" cy="1104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  <xdr:twoCellAnchor editAs="oneCell">
    <xdr:from>
      <xdr:col>6</xdr:col>
      <xdr:colOff>388326</xdr:colOff>
      <xdr:row>5</xdr:row>
      <xdr:rowOff>61546</xdr:rowOff>
    </xdr:from>
    <xdr:to>
      <xdr:col>11</xdr:col>
      <xdr:colOff>6365</xdr:colOff>
      <xdr:row>9</xdr:row>
      <xdr:rowOff>244057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C934F38-9513-48E2-A3FE-805731F51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47538" y="1680796"/>
          <a:ext cx="3699135" cy="12962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604318</xdr:colOff>
      <xdr:row>51</xdr:row>
      <xdr:rowOff>106455</xdr:rowOff>
    </xdr:from>
    <xdr:to>
      <xdr:col>12</xdr:col>
      <xdr:colOff>1564821</xdr:colOff>
      <xdr:row>61</xdr:row>
      <xdr:rowOff>95250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961" y="8583705"/>
          <a:ext cx="4471146" cy="20298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시산표(매출조정전)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Normal="100" zoomScaleSheetLayoutView="100" workbookViewId="0">
      <selection activeCell="C15" sqref="C15:D15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97" t="s">
        <v>0</v>
      </c>
      <c r="C4" s="297"/>
      <c r="D4" s="297"/>
      <c r="E4" s="297"/>
      <c r="F4" s="7"/>
    </row>
    <row r="5" spans="1:6" ht="21.9" customHeight="1" x14ac:dyDescent="0.4">
      <c r="A5" s="8"/>
      <c r="B5" s="297"/>
      <c r="C5" s="297"/>
      <c r="D5" s="297"/>
      <c r="E5" s="297"/>
      <c r="F5" s="9"/>
    </row>
    <row r="6" spans="1:6" ht="21.9" customHeight="1" x14ac:dyDescent="0.4">
      <c r="A6" s="10"/>
      <c r="B6" s="297"/>
      <c r="C6" s="297"/>
      <c r="D6" s="297"/>
      <c r="E6" s="297"/>
      <c r="F6" s="11"/>
    </row>
    <row r="7" spans="1:6" ht="36.9" customHeight="1" x14ac:dyDescent="0.4">
      <c r="A7" s="12"/>
      <c r="B7" s="298" t="s">
        <v>1</v>
      </c>
      <c r="C7" s="298"/>
      <c r="D7" s="298"/>
      <c r="E7" s="298"/>
      <c r="F7" s="11"/>
    </row>
    <row r="8" spans="1:6" ht="29.1" customHeight="1" x14ac:dyDescent="0.4">
      <c r="A8" s="8"/>
      <c r="B8" s="13"/>
      <c r="C8" s="299" t="s">
        <v>304</v>
      </c>
      <c r="D8" s="300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301" t="s">
        <v>704</v>
      </c>
      <c r="D14" s="301"/>
      <c r="E14" s="13"/>
      <c r="F14" s="9"/>
    </row>
    <row r="15" spans="1:6" ht="21.9" customHeight="1" x14ac:dyDescent="0.4">
      <c r="A15" s="8"/>
      <c r="B15" s="13"/>
      <c r="C15" s="302" t="s">
        <v>305</v>
      </c>
      <c r="D15" s="302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96"/>
      <c r="D19" s="296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topLeftCell="B1" zoomScale="130" zoomScaleNormal="100" zoomScaleSheetLayoutView="130" workbookViewId="0">
      <selection activeCell="E12" sqref="E12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303" t="s">
        <v>2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</row>
    <row r="2" spans="1:12" ht="21.9" customHeight="1" x14ac:dyDescent="0.25">
      <c r="A2" s="121"/>
      <c r="B2" s="121"/>
      <c r="C2" s="121"/>
      <c r="D2" s="121"/>
      <c r="E2" s="18"/>
      <c r="F2" s="121"/>
      <c r="G2" s="121"/>
      <c r="H2" s="121"/>
      <c r="I2" s="121"/>
      <c r="J2" s="121"/>
      <c r="K2" s="121"/>
    </row>
    <row r="3" spans="1:12" ht="21.9" customHeight="1" x14ac:dyDescent="0.25">
      <c r="A3" s="19">
        <v>1</v>
      </c>
      <c r="B3" s="120" t="s">
        <v>3</v>
      </c>
      <c r="C3" s="120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21"/>
      <c r="H3" s="121"/>
      <c r="I3" s="121"/>
      <c r="J3" s="121"/>
      <c r="K3" s="121"/>
    </row>
    <row r="4" spans="1:12" ht="21.9" customHeight="1" x14ac:dyDescent="0.25">
      <c r="A4" s="19">
        <v>2</v>
      </c>
      <c r="B4" s="120" t="s">
        <v>5</v>
      </c>
      <c r="C4" s="120" t="s">
        <v>4</v>
      </c>
      <c r="D4" s="122" t="s">
        <v>6</v>
      </c>
      <c r="E4" s="20"/>
      <c r="F4" s="120"/>
      <c r="G4" s="121"/>
      <c r="H4" s="121"/>
      <c r="I4" s="121"/>
      <c r="J4" s="121"/>
      <c r="K4" s="121"/>
    </row>
    <row r="5" spans="1:12" ht="21.9" customHeight="1" x14ac:dyDescent="0.25">
      <c r="A5" s="19">
        <v>3</v>
      </c>
      <c r="B5" s="120" t="s">
        <v>7</v>
      </c>
      <c r="C5" s="120" t="s">
        <v>4</v>
      </c>
      <c r="D5" s="22">
        <f>ROUNDUP(E5,0)</f>
        <v>510000000</v>
      </c>
      <c r="E5" s="20">
        <f>집계장!I23</f>
        <v>510000000</v>
      </c>
      <c r="F5" s="23" t="s">
        <v>8</v>
      </c>
      <c r="G5" s="121"/>
      <c r="H5" s="121"/>
      <c r="I5" s="121"/>
      <c r="J5" s="121"/>
      <c r="K5" s="121"/>
    </row>
    <row r="6" spans="1:12" ht="21.9" customHeight="1" x14ac:dyDescent="0.4">
      <c r="A6" s="19">
        <v>4</v>
      </c>
      <c r="B6" s="24" t="s">
        <v>9</v>
      </c>
      <c r="C6" s="120" t="s">
        <v>4</v>
      </c>
      <c r="D6" s="22">
        <f t="shared" ref="D6:D14" si="0">ROUNDUP(E6,0)</f>
        <v>510000000</v>
      </c>
      <c r="E6" s="20">
        <f>E7+E13</f>
        <v>510000000</v>
      </c>
      <c r="F6" s="23" t="s">
        <v>10</v>
      </c>
      <c r="G6" s="121"/>
      <c r="H6" s="121"/>
      <c r="I6" s="121"/>
      <c r="J6" s="121"/>
      <c r="K6" s="121"/>
      <c r="L6" s="121"/>
    </row>
    <row r="7" spans="1:12" ht="21.9" customHeight="1" x14ac:dyDescent="0.4">
      <c r="A7" s="19">
        <v>5</v>
      </c>
      <c r="B7" s="120" t="s">
        <v>11</v>
      </c>
      <c r="C7" s="120" t="s">
        <v>12</v>
      </c>
      <c r="D7" s="22">
        <f t="shared" si="0"/>
        <v>360000000</v>
      </c>
      <c r="E7" s="20">
        <f>집계장!G23</f>
        <v>360000000</v>
      </c>
      <c r="F7" s="23" t="s">
        <v>13</v>
      </c>
      <c r="G7" s="121"/>
      <c r="H7" s="121"/>
      <c r="I7" s="121"/>
      <c r="J7" s="121"/>
      <c r="K7" s="121"/>
      <c r="L7" s="121"/>
    </row>
    <row r="8" spans="1:12" ht="21.9" customHeight="1" x14ac:dyDescent="0.4">
      <c r="A8" s="19">
        <v>6</v>
      </c>
      <c r="B8" s="120" t="s">
        <v>14</v>
      </c>
      <c r="C8" s="120" t="s">
        <v>4</v>
      </c>
      <c r="D8" s="22">
        <f t="shared" si="0"/>
        <v>150000000</v>
      </c>
      <c r="E8" s="20">
        <f>집계장!F23</f>
        <v>150000000</v>
      </c>
      <c r="F8" s="23" t="s">
        <v>15</v>
      </c>
      <c r="G8" s="121"/>
      <c r="H8" s="121"/>
      <c r="I8" s="121"/>
      <c r="J8" s="121"/>
      <c r="K8" s="121"/>
      <c r="L8" s="25"/>
    </row>
    <row r="9" spans="1:12" ht="21.9" customHeight="1" x14ac:dyDescent="0.4">
      <c r="A9" s="19">
        <v>7</v>
      </c>
      <c r="B9" s="120" t="s">
        <v>16</v>
      </c>
      <c r="C9" s="120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21"/>
      <c r="H9" s="121"/>
      <c r="I9" s="121"/>
      <c r="J9" s="121"/>
      <c r="K9" s="121"/>
      <c r="L9" s="25"/>
    </row>
    <row r="10" spans="1:12" ht="21.9" customHeight="1" x14ac:dyDescent="0.4">
      <c r="A10" s="19">
        <v>8</v>
      </c>
      <c r="B10" s="120" t="s">
        <v>18</v>
      </c>
      <c r="C10" s="120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21"/>
      <c r="H10" s="121"/>
      <c r="I10" s="121"/>
      <c r="J10" s="121"/>
      <c r="K10" s="121"/>
      <c r="L10" s="121"/>
    </row>
    <row r="11" spans="1:12" ht="21.9" customHeight="1" x14ac:dyDescent="0.4">
      <c r="A11" s="19">
        <v>9</v>
      </c>
      <c r="B11" s="120" t="s">
        <v>20</v>
      </c>
      <c r="C11" s="120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21"/>
      <c r="H11" s="121"/>
      <c r="I11" s="121"/>
      <c r="J11" s="121"/>
      <c r="K11" s="121"/>
      <c r="L11" s="26"/>
    </row>
    <row r="12" spans="1:12" ht="21.9" customHeight="1" x14ac:dyDescent="0.4">
      <c r="A12" s="19">
        <v>10</v>
      </c>
      <c r="B12" s="120" t="s">
        <v>21</v>
      </c>
      <c r="C12" s="120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21"/>
      <c r="H12" s="121"/>
      <c r="I12" s="121"/>
      <c r="J12" s="121"/>
      <c r="K12" s="121"/>
      <c r="L12" s="27"/>
    </row>
    <row r="13" spans="1:12" ht="21.9" customHeight="1" x14ac:dyDescent="0.4">
      <c r="A13" s="19">
        <v>11</v>
      </c>
      <c r="B13" s="122" t="s">
        <v>22</v>
      </c>
      <c r="C13" s="120" t="s">
        <v>23</v>
      </c>
      <c r="D13" s="28">
        <f>ROUNDUP(E13,0)</f>
        <v>150000000</v>
      </c>
      <c r="E13" s="29">
        <f>집계장!F23</f>
        <v>150000000</v>
      </c>
      <c r="F13" s="23" t="s">
        <v>13</v>
      </c>
      <c r="G13" s="121"/>
      <c r="H13" s="121"/>
      <c r="I13" s="121"/>
      <c r="J13" s="121"/>
      <c r="K13" s="121"/>
      <c r="L13" s="121"/>
    </row>
    <row r="14" spans="1:12" ht="21.9" customHeight="1" x14ac:dyDescent="0.4">
      <c r="A14" s="19">
        <v>12</v>
      </c>
      <c r="B14" s="120" t="s">
        <v>24</v>
      </c>
      <c r="C14" s="120" t="s">
        <v>23</v>
      </c>
      <c r="D14" s="22">
        <f t="shared" si="0"/>
        <v>0</v>
      </c>
      <c r="E14" s="20">
        <v>0</v>
      </c>
      <c r="F14" s="23" t="s">
        <v>8</v>
      </c>
      <c r="G14" s="121"/>
      <c r="H14" s="121"/>
      <c r="I14" s="121"/>
      <c r="J14" s="121"/>
      <c r="K14" s="121"/>
      <c r="L14" s="121"/>
    </row>
    <row r="15" spans="1:12" ht="21.9" customHeight="1" x14ac:dyDescent="0.4">
      <c r="A15" s="19">
        <v>13</v>
      </c>
      <c r="B15" s="120" t="s">
        <v>25</v>
      </c>
      <c r="C15" s="120" t="s">
        <v>26</v>
      </c>
      <c r="D15" s="30">
        <v>1</v>
      </c>
      <c r="E15" s="31"/>
      <c r="F15" s="120"/>
      <c r="G15" s="120"/>
      <c r="H15" s="120"/>
      <c r="I15" s="120"/>
      <c r="J15" s="120"/>
      <c r="K15" s="120"/>
      <c r="L15" s="121"/>
    </row>
    <row r="16" spans="1:12" ht="21.9" customHeight="1" x14ac:dyDescent="0.25">
      <c r="A16" s="19">
        <v>14</v>
      </c>
      <c r="B16" s="120" t="s">
        <v>27</v>
      </c>
      <c r="C16" s="120" t="s">
        <v>28</v>
      </c>
      <c r="D16" s="30" t="s">
        <v>705</v>
      </c>
      <c r="E16" s="31"/>
      <c r="F16" s="120"/>
      <c r="G16" s="120"/>
      <c r="H16" s="120"/>
      <c r="I16" s="120"/>
      <c r="J16" s="120"/>
      <c r="K16" s="120"/>
    </row>
    <row r="17" spans="1:11" ht="21.9" customHeight="1" x14ac:dyDescent="0.25">
      <c r="A17" s="19"/>
      <c r="B17" s="120"/>
      <c r="C17" s="120"/>
      <c r="D17" s="30"/>
      <c r="E17" s="31"/>
      <c r="F17" s="120"/>
      <c r="G17" s="120"/>
      <c r="H17" s="120"/>
      <c r="I17" s="120"/>
      <c r="J17" s="120"/>
      <c r="K17" s="120"/>
    </row>
    <row r="18" spans="1:11" ht="21.9" customHeight="1" x14ac:dyDescent="0.25">
      <c r="A18" s="19"/>
      <c r="B18" s="304" t="s">
        <v>29</v>
      </c>
      <c r="C18" s="304"/>
      <c r="D18" s="304"/>
      <c r="E18" s="304"/>
      <c r="F18" s="304"/>
      <c r="G18" s="304"/>
      <c r="H18" s="304"/>
      <c r="I18" s="304"/>
      <c r="J18" s="305"/>
      <c r="K18" s="120"/>
    </row>
    <row r="19" spans="1:11" ht="21.9" customHeight="1" x14ac:dyDescent="0.25">
      <c r="A19" s="19"/>
      <c r="B19" s="120" t="s">
        <v>30</v>
      </c>
      <c r="C19" s="120"/>
      <c r="D19" s="120"/>
      <c r="E19" s="31"/>
      <c r="F19" s="120"/>
      <c r="G19" s="120"/>
      <c r="H19" s="120"/>
      <c r="I19" s="120"/>
      <c r="J19" s="120"/>
      <c r="K19" s="120"/>
    </row>
    <row r="20" spans="1:11" ht="21.9" customHeight="1" x14ac:dyDescent="0.25">
      <c r="A20" s="19"/>
      <c r="B20" s="120" t="s">
        <v>31</v>
      </c>
      <c r="C20" s="120"/>
      <c r="D20" s="120"/>
      <c r="E20" s="31"/>
      <c r="F20" s="120"/>
      <c r="G20" s="120"/>
      <c r="H20" s="120"/>
      <c r="I20" s="120"/>
      <c r="J20" s="120"/>
      <c r="K20" s="120"/>
    </row>
    <row r="21" spans="1:11" ht="21.9" customHeight="1" x14ac:dyDescent="0.25">
      <c r="A21" s="32"/>
      <c r="B21" s="120"/>
      <c r="C21" s="120"/>
      <c r="D21" s="120"/>
      <c r="E21" s="31"/>
      <c r="F21" s="122" t="s">
        <v>706</v>
      </c>
      <c r="G21" s="122"/>
      <c r="H21" s="122"/>
      <c r="I21" s="122"/>
      <c r="J21" s="120"/>
      <c r="K21" s="120"/>
    </row>
    <row r="22" spans="1:11" ht="21.9" customHeight="1" x14ac:dyDescent="0.25">
      <c r="A22" s="32"/>
      <c r="B22" s="120"/>
      <c r="C22" s="120"/>
      <c r="D22" s="120"/>
      <c r="E22" s="31"/>
      <c r="F22" s="120"/>
      <c r="G22" s="120"/>
      <c r="H22" s="120"/>
      <c r="I22" s="120"/>
      <c r="J22" s="120"/>
      <c r="K22" s="120"/>
    </row>
    <row r="23" spans="1:11" ht="21.9" customHeight="1" x14ac:dyDescent="0.25">
      <c r="A23" s="32"/>
      <c r="B23" s="120"/>
      <c r="C23" s="120"/>
      <c r="D23" s="120"/>
      <c r="E23" s="31"/>
      <c r="F23" s="123" t="s">
        <v>32</v>
      </c>
      <c r="G23" s="306" t="s">
        <v>308</v>
      </c>
      <c r="H23" s="306"/>
      <c r="I23" s="306"/>
      <c r="J23" s="306"/>
      <c r="K23" s="306"/>
    </row>
    <row r="24" spans="1:11" ht="21.9" customHeight="1" x14ac:dyDescent="0.25">
      <c r="A24" s="32"/>
      <c r="B24" s="120" t="s">
        <v>33</v>
      </c>
      <c r="C24" s="120"/>
      <c r="D24" s="120"/>
      <c r="E24" s="31"/>
      <c r="F24" s="123" t="s">
        <v>309</v>
      </c>
      <c r="G24" s="306" t="s">
        <v>306</v>
      </c>
      <c r="H24" s="306"/>
      <c r="I24" s="306"/>
      <c r="J24" s="306"/>
      <c r="K24" s="306"/>
    </row>
    <row r="25" spans="1:11" ht="21.9" customHeight="1" x14ac:dyDescent="0.25">
      <c r="A25" s="121"/>
      <c r="B25" s="120"/>
      <c r="C25" s="120"/>
      <c r="D25" s="120"/>
      <c r="E25" s="31"/>
      <c r="F25" s="123" t="s">
        <v>310</v>
      </c>
      <c r="G25" s="306" t="s">
        <v>307</v>
      </c>
      <c r="H25" s="306"/>
      <c r="I25" s="124" t="s">
        <v>34</v>
      </c>
      <c r="J25" s="125"/>
      <c r="K25" s="125"/>
    </row>
    <row r="26" spans="1:11" ht="21.9" customHeight="1" x14ac:dyDescent="0.25">
      <c r="A26" s="121"/>
      <c r="B26" s="121"/>
      <c r="C26" s="121"/>
      <c r="D26" s="33" t="s">
        <v>35</v>
      </c>
      <c r="E26" s="27"/>
      <c r="F26" s="126"/>
      <c r="G26" s="126"/>
      <c r="H26" s="126"/>
      <c r="I26" s="126"/>
      <c r="J26" s="126"/>
      <c r="K26" s="126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7.399999999999999" x14ac:dyDescent="0.4"/>
  <cols>
    <col min="1" max="1" width="29.19921875" style="34" bestFit="1" customWidth="1"/>
    <col min="2" max="2" width="18.59765625" style="34" customWidth="1"/>
    <col min="3" max="3" width="9" style="34"/>
    <col min="4" max="4" width="12.3984375" style="34" bestFit="1" customWidth="1"/>
    <col min="5" max="5" width="8.59765625" style="34" customWidth="1"/>
    <col min="6" max="6" width="15.59765625" style="34" customWidth="1"/>
    <col min="7" max="7" width="13.59765625" style="34" customWidth="1"/>
  </cols>
  <sheetData>
    <row r="1" spans="1:7" ht="69.900000000000006" customHeight="1" x14ac:dyDescent="0.4">
      <c r="A1" s="307" t="s">
        <v>80</v>
      </c>
      <c r="B1" s="308"/>
      <c r="C1" s="308"/>
      <c r="D1" s="308"/>
      <c r="E1" s="308"/>
      <c r="F1" s="308"/>
      <c r="G1" s="308"/>
    </row>
    <row r="2" spans="1:7" ht="39.9" customHeight="1" thickBot="1" x14ac:dyDescent="0.45">
      <c r="A2" s="38" t="s">
        <v>81</v>
      </c>
      <c r="G2" s="39" t="s">
        <v>82</v>
      </c>
    </row>
    <row r="3" spans="1:7" ht="27.9" customHeight="1" x14ac:dyDescent="0.4">
      <c r="A3" s="309" t="s">
        <v>83</v>
      </c>
      <c r="B3" s="311" t="s">
        <v>84</v>
      </c>
      <c r="C3" s="311" t="s">
        <v>85</v>
      </c>
      <c r="D3" s="311" t="s">
        <v>86</v>
      </c>
      <c r="E3" s="311" t="s">
        <v>87</v>
      </c>
      <c r="F3" s="311"/>
      <c r="G3" s="313"/>
    </row>
    <row r="4" spans="1:7" ht="27.9" customHeight="1" x14ac:dyDescent="0.4">
      <c r="A4" s="310"/>
      <c r="B4" s="312"/>
      <c r="C4" s="312"/>
      <c r="D4" s="312"/>
      <c r="E4" s="40" t="s">
        <v>88</v>
      </c>
      <c r="F4" s="40" t="s">
        <v>89</v>
      </c>
      <c r="G4" s="41" t="s">
        <v>90</v>
      </c>
    </row>
    <row r="5" spans="1:7" ht="27.9" customHeight="1" x14ac:dyDescent="0.4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" customHeight="1" x14ac:dyDescent="0.4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" customHeight="1" x14ac:dyDescent="0.4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" customHeight="1" x14ac:dyDescent="0.4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" customHeight="1" x14ac:dyDescent="0.4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" customHeight="1" x14ac:dyDescent="0.4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" customHeight="1" x14ac:dyDescent="0.4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" customHeight="1" x14ac:dyDescent="0.4">
      <c r="A12" s="42"/>
      <c r="B12" s="43"/>
      <c r="C12" s="43"/>
      <c r="D12" s="45"/>
      <c r="E12" s="45"/>
      <c r="F12" s="45"/>
      <c r="G12" s="46"/>
    </row>
    <row r="13" spans="1:7" ht="27.9" customHeight="1" x14ac:dyDescent="0.4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" customHeight="1" x14ac:dyDescent="0.4">
      <c r="A14" s="42"/>
      <c r="B14" s="43"/>
      <c r="C14" s="43"/>
      <c r="D14" s="43"/>
      <c r="E14" s="43"/>
      <c r="F14" s="43"/>
      <c r="G14" s="46"/>
    </row>
    <row r="15" spans="1:7" ht="27.9" customHeight="1" thickBot="1" x14ac:dyDescent="0.4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39"/>
  <sheetViews>
    <sheetView tabSelected="1" view="pageBreakPreview" topLeftCell="A7" zoomScale="115" zoomScaleNormal="130" zoomScaleSheetLayoutView="115" workbookViewId="0">
      <selection activeCell="K13" sqref="K13"/>
    </sheetView>
  </sheetViews>
  <sheetFormatPr defaultRowHeight="17.399999999999999" x14ac:dyDescent="0.4"/>
  <cols>
    <col min="1" max="1" width="2.59765625" customWidth="1"/>
    <col min="2" max="2" width="25.59765625" style="184" customWidth="1"/>
    <col min="3" max="3" width="20.19921875" style="184" customWidth="1"/>
    <col min="4" max="4" width="7.3984375" style="184" customWidth="1"/>
    <col min="5" max="5" width="10.59765625" style="225" customWidth="1"/>
    <col min="6" max="6" width="9.8984375" style="184" customWidth="1"/>
    <col min="7" max="7" width="17.69921875" style="184" customWidth="1"/>
    <col min="8" max="8" width="15.59765625" style="184" customWidth="1"/>
    <col min="9" max="9" width="2.59765625" customWidth="1"/>
  </cols>
  <sheetData>
    <row r="1" spans="2:8" ht="30" customHeight="1" x14ac:dyDescent="0.4">
      <c r="B1" s="314" t="s">
        <v>347</v>
      </c>
      <c r="C1" s="314"/>
      <c r="D1" s="314"/>
      <c r="E1" s="314"/>
      <c r="F1" s="314"/>
      <c r="G1" s="314"/>
      <c r="H1" s="314"/>
    </row>
    <row r="2" spans="2:8" ht="30" customHeight="1" thickBot="1" x14ac:dyDescent="0.45">
      <c r="B2" s="185" t="s">
        <v>348</v>
      </c>
      <c r="C2" s="186"/>
      <c r="D2" s="186"/>
      <c r="E2" s="186"/>
      <c r="F2" s="187"/>
      <c r="G2" s="188"/>
      <c r="H2" s="188" t="s">
        <v>349</v>
      </c>
    </row>
    <row r="3" spans="2:8" ht="30" customHeight="1" x14ac:dyDescent="0.4">
      <c r="B3" s="315" t="s">
        <v>350</v>
      </c>
      <c r="C3" s="317" t="s">
        <v>351</v>
      </c>
      <c r="D3" s="317" t="s">
        <v>352</v>
      </c>
      <c r="E3" s="319" t="s">
        <v>353</v>
      </c>
      <c r="F3" s="319" t="s">
        <v>354</v>
      </c>
      <c r="G3" s="319"/>
      <c r="H3" s="321" t="s">
        <v>355</v>
      </c>
    </row>
    <row r="4" spans="2:8" ht="30" customHeight="1" x14ac:dyDescent="0.4">
      <c r="B4" s="316"/>
      <c r="C4" s="318"/>
      <c r="D4" s="318"/>
      <c r="E4" s="320"/>
      <c r="F4" s="189" t="s">
        <v>356</v>
      </c>
      <c r="G4" s="189" t="s">
        <v>357</v>
      </c>
      <c r="H4" s="322"/>
    </row>
    <row r="5" spans="2:8" ht="30" customHeight="1" x14ac:dyDescent="0.4">
      <c r="B5" s="190" t="s">
        <v>358</v>
      </c>
      <c r="C5" s="191" t="s">
        <v>359</v>
      </c>
      <c r="D5" s="191" t="s">
        <v>360</v>
      </c>
      <c r="E5" s="192">
        <v>1400000</v>
      </c>
      <c r="F5" s="193">
        <v>25</v>
      </c>
      <c r="G5" s="193">
        <f>E5*F5</f>
        <v>35000000</v>
      </c>
      <c r="H5" s="194"/>
    </row>
    <row r="6" spans="2:8" ht="30" customHeight="1" x14ac:dyDescent="0.4">
      <c r="B6" s="190" t="s">
        <v>358</v>
      </c>
      <c r="C6" s="191" t="s">
        <v>361</v>
      </c>
      <c r="D6" s="191" t="s">
        <v>360</v>
      </c>
      <c r="E6" s="192">
        <v>1200000</v>
      </c>
      <c r="F6" s="193">
        <v>25</v>
      </c>
      <c r="G6" s="193">
        <f t="shared" ref="G6:G11" si="0">E6*F6</f>
        <v>30000000</v>
      </c>
      <c r="H6" s="195" t="s">
        <v>362</v>
      </c>
    </row>
    <row r="7" spans="2:8" ht="30" customHeight="1" x14ac:dyDescent="0.4">
      <c r="B7" s="190" t="s">
        <v>363</v>
      </c>
      <c r="C7" s="191" t="s">
        <v>364</v>
      </c>
      <c r="D7" s="191" t="s">
        <v>360</v>
      </c>
      <c r="E7" s="192">
        <v>1000000</v>
      </c>
      <c r="F7" s="193">
        <v>25</v>
      </c>
      <c r="G7" s="193">
        <f t="shared" si="0"/>
        <v>25000000</v>
      </c>
      <c r="H7" s="196" t="s">
        <v>362</v>
      </c>
    </row>
    <row r="8" spans="2:8" ht="30" customHeight="1" x14ac:dyDescent="0.4">
      <c r="B8" s="190" t="s">
        <v>363</v>
      </c>
      <c r="C8" s="191" t="s">
        <v>365</v>
      </c>
      <c r="D8" s="191" t="s">
        <v>360</v>
      </c>
      <c r="E8" s="192">
        <v>900000</v>
      </c>
      <c r="F8" s="193">
        <v>20</v>
      </c>
      <c r="G8" s="193">
        <f t="shared" si="0"/>
        <v>18000000</v>
      </c>
      <c r="H8" s="196" t="s">
        <v>362</v>
      </c>
    </row>
    <row r="9" spans="2:8" ht="30" customHeight="1" x14ac:dyDescent="0.4">
      <c r="B9" s="190" t="s">
        <v>363</v>
      </c>
      <c r="C9" s="191" t="s">
        <v>366</v>
      </c>
      <c r="D9" s="191" t="s">
        <v>360</v>
      </c>
      <c r="E9" s="192">
        <v>800000</v>
      </c>
      <c r="F9" s="193">
        <v>20</v>
      </c>
      <c r="G9" s="193">
        <f t="shared" si="0"/>
        <v>16000000</v>
      </c>
      <c r="H9" s="197"/>
    </row>
    <row r="10" spans="2:8" ht="30" customHeight="1" x14ac:dyDescent="0.4">
      <c r="B10" s="190" t="s">
        <v>363</v>
      </c>
      <c r="C10" s="191" t="s">
        <v>367</v>
      </c>
      <c r="D10" s="191" t="s">
        <v>360</v>
      </c>
      <c r="E10" s="192">
        <v>700000</v>
      </c>
      <c r="F10" s="193">
        <v>20</v>
      </c>
      <c r="G10" s="193">
        <f t="shared" si="0"/>
        <v>14000000</v>
      </c>
      <c r="H10" s="196"/>
    </row>
    <row r="11" spans="2:8" ht="30" customHeight="1" x14ac:dyDescent="0.4">
      <c r="B11" s="190" t="s">
        <v>368</v>
      </c>
      <c r="C11" s="191" t="s">
        <v>369</v>
      </c>
      <c r="D11" s="191" t="s">
        <v>360</v>
      </c>
      <c r="E11" s="192">
        <v>600000</v>
      </c>
      <c r="F11" s="193">
        <v>20</v>
      </c>
      <c r="G11" s="193">
        <f t="shared" si="0"/>
        <v>12000000</v>
      </c>
      <c r="H11" s="198"/>
    </row>
    <row r="12" spans="2:8" ht="30" customHeight="1" x14ac:dyDescent="0.4">
      <c r="B12" s="199"/>
      <c r="C12" s="191"/>
      <c r="D12" s="200"/>
      <c r="E12" s="192"/>
      <c r="F12" s="193"/>
      <c r="G12" s="193"/>
      <c r="H12" s="198"/>
    </row>
    <row r="13" spans="2:8" ht="30" customHeight="1" x14ac:dyDescent="0.4">
      <c r="B13" s="201" t="s">
        <v>370</v>
      </c>
      <c r="C13" s="191"/>
      <c r="D13" s="200"/>
      <c r="E13" s="202"/>
      <c r="F13" s="203">
        <v>0</v>
      </c>
      <c r="G13" s="204">
        <f>SUM(G5:G11)*F13</f>
        <v>0</v>
      </c>
      <c r="H13" s="198"/>
    </row>
    <row r="14" spans="2:8" ht="30" customHeight="1" x14ac:dyDescent="0.4">
      <c r="B14" s="199"/>
      <c r="C14" s="191"/>
      <c r="D14" s="200"/>
      <c r="E14" s="202"/>
      <c r="F14" s="193"/>
      <c r="G14" s="193"/>
      <c r="H14" s="198"/>
    </row>
    <row r="15" spans="2:8" ht="30" customHeight="1" x14ac:dyDescent="0.4">
      <c r="B15" s="209"/>
      <c r="C15" s="205"/>
      <c r="D15" s="200"/>
      <c r="E15" s="208"/>
      <c r="F15" s="193"/>
      <c r="G15" s="193"/>
      <c r="H15" s="198"/>
    </row>
    <row r="16" spans="2:8" ht="30" customHeight="1" x14ac:dyDescent="0.4">
      <c r="B16" s="210"/>
      <c r="C16" s="206"/>
      <c r="D16" s="207"/>
      <c r="E16" s="208"/>
      <c r="F16" s="193"/>
      <c r="G16" s="193"/>
      <c r="H16" s="198"/>
    </row>
    <row r="17" spans="2:8" ht="30" customHeight="1" x14ac:dyDescent="0.4">
      <c r="B17" s="209"/>
      <c r="C17" s="205"/>
      <c r="D17" s="200"/>
      <c r="E17" s="208"/>
      <c r="F17" s="193"/>
      <c r="G17" s="193"/>
      <c r="H17" s="198"/>
    </row>
    <row r="18" spans="2:8" ht="30" customHeight="1" x14ac:dyDescent="0.4">
      <c r="B18" s="210"/>
      <c r="C18" s="206"/>
      <c r="D18" s="207"/>
      <c r="E18" s="208"/>
      <c r="F18" s="193"/>
      <c r="G18" s="193"/>
      <c r="H18" s="198"/>
    </row>
    <row r="19" spans="2:8" ht="30" customHeight="1" x14ac:dyDescent="0.4">
      <c r="B19" s="211"/>
      <c r="C19" s="212"/>
      <c r="D19" s="213"/>
      <c r="E19" s="213"/>
      <c r="F19" s="193"/>
      <c r="G19" s="193"/>
      <c r="H19" s="198"/>
    </row>
    <row r="20" spans="2:8" ht="30" customHeight="1" thickBot="1" x14ac:dyDescent="0.45">
      <c r="B20" s="214" t="s">
        <v>371</v>
      </c>
      <c r="C20" s="215"/>
      <c r="D20" s="216"/>
      <c r="E20" s="217"/>
      <c r="F20" s="218">
        <f>SUM(F5:F11)</f>
        <v>155</v>
      </c>
      <c r="G20" s="219">
        <f>SUM(G5:G19)</f>
        <v>150000000</v>
      </c>
      <c r="H20" s="220"/>
    </row>
    <row r="21" spans="2:8" x14ac:dyDescent="0.4">
      <c r="B21" s="221"/>
      <c r="C21" s="222"/>
      <c r="D21" s="223"/>
      <c r="E21" s="223"/>
    </row>
    <row r="22" spans="2:8" x14ac:dyDescent="0.4">
      <c r="B22" s="223"/>
      <c r="C22" s="223"/>
      <c r="D22" s="223"/>
      <c r="E22" s="223"/>
    </row>
    <row r="23" spans="2:8" x14ac:dyDescent="0.4">
      <c r="B23" s="223"/>
      <c r="C23" s="223"/>
      <c r="D23" s="223"/>
      <c r="E23" s="223"/>
    </row>
    <row r="24" spans="2:8" x14ac:dyDescent="0.4">
      <c r="B24" s="223"/>
      <c r="C24" s="223"/>
      <c r="D24" s="223"/>
      <c r="E24" s="223"/>
    </row>
    <row r="25" spans="2:8" x14ac:dyDescent="0.4">
      <c r="B25" s="223"/>
      <c r="C25" s="223"/>
      <c r="D25" s="223"/>
      <c r="E25" s="223"/>
    </row>
    <row r="26" spans="2:8" x14ac:dyDescent="0.4">
      <c r="B26" s="224"/>
      <c r="C26" s="224"/>
      <c r="D26" s="224"/>
      <c r="E26" s="224"/>
    </row>
    <row r="27" spans="2:8" x14ac:dyDescent="0.4">
      <c r="B27" s="224"/>
      <c r="C27" s="224"/>
      <c r="D27" s="224"/>
      <c r="E27" s="224"/>
    </row>
    <row r="28" spans="2:8" x14ac:dyDescent="0.4">
      <c r="B28" s="224"/>
      <c r="C28" s="224"/>
      <c r="D28" s="224"/>
      <c r="E28" s="224"/>
    </row>
    <row r="29" spans="2:8" x14ac:dyDescent="0.4">
      <c r="B29" s="224"/>
      <c r="C29" s="224"/>
      <c r="D29" s="224"/>
      <c r="E29" s="224"/>
    </row>
    <row r="30" spans="2:8" x14ac:dyDescent="0.4">
      <c r="B30" s="224"/>
      <c r="C30" s="224"/>
      <c r="D30" s="224"/>
      <c r="E30" s="224"/>
    </row>
    <row r="31" spans="2:8" x14ac:dyDescent="0.4">
      <c r="B31" s="224"/>
      <c r="C31" s="224"/>
      <c r="D31" s="224"/>
      <c r="E31" s="224"/>
    </row>
    <row r="32" spans="2:8" x14ac:dyDescent="0.4">
      <c r="B32" s="224"/>
      <c r="D32" s="224"/>
      <c r="E32" s="224"/>
    </row>
    <row r="33" spans="2:5" x14ac:dyDescent="0.4">
      <c r="B33" s="224"/>
      <c r="D33" s="224"/>
      <c r="E33" s="224"/>
    </row>
    <row r="34" spans="2:5" x14ac:dyDescent="0.4">
      <c r="B34" s="224"/>
      <c r="D34" s="224"/>
      <c r="E34" s="224"/>
    </row>
    <row r="35" spans="2:5" x14ac:dyDescent="0.4">
      <c r="B35" s="224"/>
      <c r="D35" s="224"/>
      <c r="E35" s="224"/>
    </row>
    <row r="36" spans="2:5" x14ac:dyDescent="0.4">
      <c r="B36" s="224"/>
      <c r="D36" s="224"/>
      <c r="E36" s="224"/>
    </row>
    <row r="37" spans="2:5" x14ac:dyDescent="0.4">
      <c r="D37" s="224"/>
      <c r="E37" s="224"/>
    </row>
    <row r="38" spans="2:5" x14ac:dyDescent="0.4">
      <c r="D38" s="224"/>
    </row>
    <row r="39" spans="2:5" x14ac:dyDescent="0.4">
      <c r="D39" s="224"/>
    </row>
  </sheetData>
  <mergeCells count="7">
    <mergeCell ref="B1:H1"/>
    <mergeCell ref="B3:B4"/>
    <mergeCell ref="C3:C4"/>
    <mergeCell ref="D3:D4"/>
    <mergeCell ref="E3:E4"/>
    <mergeCell ref="F3:G3"/>
    <mergeCell ref="H3:H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86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8"/>
  <sheetViews>
    <sheetView view="pageBreakPreview" topLeftCell="A4" zoomScaleNormal="100" zoomScaleSheetLayoutView="100" workbookViewId="0">
      <selection activeCell="H10" sqref="H10:H12"/>
    </sheetView>
  </sheetViews>
  <sheetFormatPr defaultRowHeight="17.399999999999999" x14ac:dyDescent="0.4"/>
  <cols>
    <col min="1" max="1" width="21.59765625" style="87" customWidth="1"/>
    <col min="2" max="2" width="20.59765625" style="87" customWidth="1"/>
    <col min="3" max="3" width="6.59765625" style="87" customWidth="1"/>
    <col min="4" max="4" width="12.09765625" style="87" customWidth="1"/>
    <col min="5" max="5" width="16.59765625" style="87" customWidth="1"/>
    <col min="6" max="9" width="19.59765625" style="87" customWidth="1"/>
    <col min="10" max="10" width="15.59765625" style="87" customWidth="1"/>
    <col min="11" max="12" width="11.59765625" style="87" customWidth="1"/>
  </cols>
  <sheetData>
    <row r="1" spans="1:12" ht="39.9" customHeight="1" thickTop="1" x14ac:dyDescent="0.4">
      <c r="A1" s="345" t="str">
        <f>'용역청구서 표지'!$B$7</f>
        <v>P4 Ph4 GAS 1공구 마감공사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7"/>
    </row>
    <row r="2" spans="1:12" ht="20.100000000000001" customHeight="1" x14ac:dyDescent="0.35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2" ht="30" customHeight="1" x14ac:dyDescent="0.4">
      <c r="A3" s="57" t="s">
        <v>109</v>
      </c>
      <c r="B3" s="175" t="s">
        <v>110</v>
      </c>
      <c r="C3" s="175" t="s">
        <v>111</v>
      </c>
      <c r="D3" s="175" t="s">
        <v>112</v>
      </c>
      <c r="E3" s="175" t="s">
        <v>113</v>
      </c>
      <c r="F3" s="176" t="s">
        <v>114</v>
      </c>
      <c r="G3" s="58" t="s">
        <v>115</v>
      </c>
      <c r="H3" s="175" t="s">
        <v>116</v>
      </c>
      <c r="I3" s="59" t="s">
        <v>117</v>
      </c>
      <c r="J3" s="348" t="s">
        <v>118</v>
      </c>
      <c r="K3" s="348"/>
      <c r="L3" s="349"/>
    </row>
    <row r="4" spans="1:12" ht="30" customHeight="1" x14ac:dyDescent="0.4">
      <c r="A4" s="60" t="s">
        <v>119</v>
      </c>
      <c r="B4" s="61" t="s">
        <v>120</v>
      </c>
      <c r="C4" s="43" t="s">
        <v>121</v>
      </c>
      <c r="D4" s="118">
        <f>SUM('물량 내역서'!$J$5:$J$27)</f>
        <v>298</v>
      </c>
      <c r="E4" s="44">
        <f>F4/D4</f>
        <v>435000</v>
      </c>
      <c r="F4" s="62">
        <f>SUM('물량 내역서'!$K$5:$K$27)</f>
        <v>129630000</v>
      </c>
      <c r="G4" s="63">
        <v>3241402500</v>
      </c>
      <c r="H4" s="44">
        <f t="shared" ref="H4:H21" si="0">F4</f>
        <v>129630000</v>
      </c>
      <c r="I4" s="64">
        <f>G4+H4</f>
        <v>3371032500</v>
      </c>
      <c r="J4" s="327"/>
      <c r="K4" s="328"/>
      <c r="L4" s="329"/>
    </row>
    <row r="5" spans="1:12" ht="30" customHeight="1" x14ac:dyDescent="0.4">
      <c r="A5" s="65"/>
      <c r="B5" s="61" t="s">
        <v>122</v>
      </c>
      <c r="C5" s="43" t="s">
        <v>123</v>
      </c>
      <c r="D5" s="117">
        <f>SUM('물량 내역서'!$J$28:$J$50)</f>
        <v>168</v>
      </c>
      <c r="E5" s="44">
        <f>F5/D5</f>
        <v>68500</v>
      </c>
      <c r="F5" s="62">
        <f>SUM('물량 내역서'!$K$28:$K$50)</f>
        <v>11508000</v>
      </c>
      <c r="G5" s="63">
        <v>24043500</v>
      </c>
      <c r="H5" s="44">
        <f t="shared" si="0"/>
        <v>11508000</v>
      </c>
      <c r="I5" s="64">
        <f t="shared" ref="I5:I7" si="1">G5+H5</f>
        <v>35551500</v>
      </c>
      <c r="J5" s="327"/>
      <c r="K5" s="328"/>
      <c r="L5" s="329"/>
    </row>
    <row r="6" spans="1:12" ht="30" customHeight="1" x14ac:dyDescent="0.4">
      <c r="A6" s="65"/>
      <c r="B6" s="61" t="s">
        <v>124</v>
      </c>
      <c r="C6" s="43" t="s">
        <v>125</v>
      </c>
      <c r="D6" s="66"/>
      <c r="E6" s="44"/>
      <c r="F6" s="62">
        <f>'근로내역 (7월)'!AP106</f>
        <v>0</v>
      </c>
      <c r="G6" s="63"/>
      <c r="H6" s="44">
        <f t="shared" si="0"/>
        <v>0</v>
      </c>
      <c r="I6" s="64">
        <f t="shared" si="1"/>
        <v>0</v>
      </c>
      <c r="J6" s="327"/>
      <c r="K6" s="328"/>
      <c r="L6" s="329"/>
    </row>
    <row r="7" spans="1:12" ht="30" customHeight="1" x14ac:dyDescent="0.4">
      <c r="A7" s="350" t="s">
        <v>126</v>
      </c>
      <c r="B7" s="61" t="s">
        <v>803</v>
      </c>
      <c r="C7" s="43" t="s">
        <v>127</v>
      </c>
      <c r="D7" s="66">
        <v>2</v>
      </c>
      <c r="E7" s="44"/>
      <c r="F7" s="62">
        <v>623565119</v>
      </c>
      <c r="G7" s="63">
        <v>16188351</v>
      </c>
      <c r="H7" s="44">
        <f>F7</f>
        <v>623565119</v>
      </c>
      <c r="I7" s="64">
        <f t="shared" si="1"/>
        <v>639753470</v>
      </c>
      <c r="J7" s="327" t="s">
        <v>804</v>
      </c>
      <c r="K7" s="328"/>
      <c r="L7" s="329"/>
    </row>
    <row r="8" spans="1:12" ht="30" customHeight="1" x14ac:dyDescent="0.4">
      <c r="A8" s="351"/>
      <c r="B8" s="61" t="s">
        <v>344</v>
      </c>
      <c r="C8" s="43" t="s">
        <v>127</v>
      </c>
      <c r="D8" s="43">
        <v>336.375</v>
      </c>
      <c r="E8" s="44">
        <v>187981</v>
      </c>
      <c r="F8" s="62">
        <f>ROUND(D8*E8,0)</f>
        <v>63232109</v>
      </c>
      <c r="G8" s="63">
        <v>440434784</v>
      </c>
      <c r="H8" s="44">
        <f>F8</f>
        <v>63232109</v>
      </c>
      <c r="I8" s="64">
        <f>G8+H8</f>
        <v>503666893</v>
      </c>
      <c r="J8" s="327" t="s">
        <v>429</v>
      </c>
      <c r="K8" s="328"/>
      <c r="L8" s="329"/>
    </row>
    <row r="9" spans="1:12" ht="30" customHeight="1" x14ac:dyDescent="0.4">
      <c r="A9" s="67" t="s">
        <v>128</v>
      </c>
      <c r="B9" s="330" t="s">
        <v>129</v>
      </c>
      <c r="C9" s="331"/>
      <c r="D9" s="68"/>
      <c r="E9" s="69"/>
      <c r="F9" s="70">
        <f>SUM(F4:F8)</f>
        <v>827935228</v>
      </c>
      <c r="G9" s="71">
        <f>SUM(G4:G8)</f>
        <v>3722069135</v>
      </c>
      <c r="H9" s="71">
        <f>SUM(H4:H8)</f>
        <v>827935228</v>
      </c>
      <c r="I9" s="71">
        <f t="shared" ref="I9" si="2">SUM(I4:I8)</f>
        <v>4550004363</v>
      </c>
      <c r="J9" s="344"/>
      <c r="K9" s="332"/>
      <c r="L9" s="333"/>
    </row>
    <row r="10" spans="1:12" ht="30" customHeight="1" x14ac:dyDescent="0.4">
      <c r="A10" s="60" t="s">
        <v>130</v>
      </c>
      <c r="B10" s="61" t="s">
        <v>131</v>
      </c>
      <c r="C10" s="43" t="s">
        <v>132</v>
      </c>
      <c r="D10" s="401">
        <f>'근로내역 (7월)'!AN107</f>
        <v>2074.6875</v>
      </c>
      <c r="E10" s="73">
        <f>F10/D10</f>
        <v>187280.31330019582</v>
      </c>
      <c r="F10" s="62">
        <f>'근로내역 (7월)'!AP107</f>
        <v>388548125</v>
      </c>
      <c r="G10" s="63">
        <v>2985246875</v>
      </c>
      <c r="H10" s="44">
        <f t="shared" si="0"/>
        <v>388548125</v>
      </c>
      <c r="I10" s="64">
        <f>G10+H10</f>
        <v>3373795000</v>
      </c>
      <c r="J10" s="327"/>
      <c r="K10" s="328"/>
      <c r="L10" s="329"/>
    </row>
    <row r="11" spans="1:12" ht="30" customHeight="1" x14ac:dyDescent="0.4">
      <c r="A11" s="60" t="s">
        <v>133</v>
      </c>
      <c r="B11" s="61" t="s">
        <v>134</v>
      </c>
      <c r="C11" s="43" t="s">
        <v>127</v>
      </c>
      <c r="D11" s="43">
        <f>SUM(숙소임차료!H4:H11)+SUM(숙소관리비!H4:H17)</f>
        <v>41</v>
      </c>
      <c r="E11" s="44">
        <f>F11/D11</f>
        <v>279687.39024390245</v>
      </c>
      <c r="F11" s="62">
        <f>숙소임차료!I3+숙소관리비!I3</f>
        <v>11467183</v>
      </c>
      <c r="G11" s="63">
        <v>52055358</v>
      </c>
      <c r="H11" s="44">
        <f t="shared" si="0"/>
        <v>11467183</v>
      </c>
      <c r="I11" s="64">
        <f t="shared" ref="I11:I12" si="3">G11+H11</f>
        <v>63522541</v>
      </c>
      <c r="J11" s="327"/>
      <c r="K11" s="328"/>
      <c r="L11" s="329"/>
    </row>
    <row r="12" spans="1:12" ht="30" customHeight="1" x14ac:dyDescent="0.4">
      <c r="A12" s="60"/>
      <c r="B12" s="61" t="s">
        <v>135</v>
      </c>
      <c r="C12" s="43" t="s">
        <v>136</v>
      </c>
      <c r="D12" s="43">
        <f>SUM(식대비용!G4:G7)</f>
        <v>84</v>
      </c>
      <c r="E12" s="44">
        <f>F12/D12</f>
        <v>408190.47619047621</v>
      </c>
      <c r="F12" s="62">
        <f>식대비용!I3</f>
        <v>34288000</v>
      </c>
      <c r="G12" s="63">
        <v>269359818</v>
      </c>
      <c r="H12" s="44">
        <f t="shared" si="0"/>
        <v>34288000</v>
      </c>
      <c r="I12" s="64">
        <f t="shared" si="3"/>
        <v>303647818</v>
      </c>
      <c r="J12" s="327"/>
      <c r="K12" s="328"/>
      <c r="L12" s="329"/>
    </row>
    <row r="13" spans="1:12" ht="30" customHeight="1" x14ac:dyDescent="0.4">
      <c r="A13" s="60" t="s">
        <v>137</v>
      </c>
      <c r="B13" s="61"/>
      <c r="C13" s="43" t="s">
        <v>127</v>
      </c>
      <c r="D13" s="43"/>
      <c r="E13" s="44"/>
      <c r="F13" s="62"/>
      <c r="G13" s="63"/>
      <c r="H13" s="44"/>
      <c r="I13" s="64"/>
      <c r="J13" s="327"/>
      <c r="K13" s="328"/>
      <c r="L13" s="329"/>
    </row>
    <row r="14" spans="1:12" ht="30" customHeight="1" x14ac:dyDescent="0.4">
      <c r="A14" s="67" t="s">
        <v>138</v>
      </c>
      <c r="B14" s="330" t="s">
        <v>139</v>
      </c>
      <c r="C14" s="331"/>
      <c r="D14" s="68"/>
      <c r="E14" s="69"/>
      <c r="F14" s="70">
        <f>SUM(F10:F12)</f>
        <v>434303308</v>
      </c>
      <c r="G14" s="71">
        <f>SUM(G10:G13)</f>
        <v>3306662051</v>
      </c>
      <c r="H14" s="71">
        <f>SUM(H10:H13)</f>
        <v>434303308</v>
      </c>
      <c r="I14" s="71">
        <f>SUM(I10:I13)</f>
        <v>3740965359</v>
      </c>
      <c r="J14" s="344"/>
      <c r="K14" s="332"/>
      <c r="L14" s="333"/>
    </row>
    <row r="15" spans="1:12" ht="30" customHeight="1" x14ac:dyDescent="0.4">
      <c r="A15" s="67" t="s">
        <v>140</v>
      </c>
      <c r="B15" s="330" t="s">
        <v>141</v>
      </c>
      <c r="C15" s="331"/>
      <c r="D15" s="68"/>
      <c r="E15" s="69"/>
      <c r="F15" s="70">
        <f>F9-F14</f>
        <v>393631920</v>
      </c>
      <c r="G15" s="71">
        <f>G9-G14</f>
        <v>415407084</v>
      </c>
      <c r="H15" s="71">
        <f>H9-H14</f>
        <v>393631920</v>
      </c>
      <c r="I15" s="71">
        <f>I9-I14</f>
        <v>809039004</v>
      </c>
      <c r="J15" s="344"/>
      <c r="K15" s="332"/>
      <c r="L15" s="333"/>
    </row>
    <row r="16" spans="1:12" ht="30" customHeight="1" x14ac:dyDescent="0.4">
      <c r="A16" s="60" t="s">
        <v>142</v>
      </c>
      <c r="B16" s="61" t="s">
        <v>143</v>
      </c>
      <c r="C16" s="43" t="s">
        <v>127</v>
      </c>
      <c r="D16" s="43"/>
      <c r="E16" s="45"/>
      <c r="F16" s="62">
        <v>243600000</v>
      </c>
      <c r="G16" s="63">
        <v>55300000</v>
      </c>
      <c r="H16" s="44">
        <f t="shared" si="0"/>
        <v>243600000</v>
      </c>
      <c r="I16" s="64">
        <f>G16+H16</f>
        <v>298900000</v>
      </c>
      <c r="J16" s="327"/>
      <c r="K16" s="328"/>
      <c r="L16" s="329"/>
    </row>
    <row r="17" spans="1:12" ht="30" customHeight="1" x14ac:dyDescent="0.4">
      <c r="A17" s="60" t="s">
        <v>144</v>
      </c>
      <c r="B17" s="74" t="s">
        <v>145</v>
      </c>
      <c r="C17" s="43" t="s">
        <v>146</v>
      </c>
      <c r="D17" s="43"/>
      <c r="E17" s="45"/>
      <c r="F17" s="62"/>
      <c r="G17" s="63"/>
      <c r="H17" s="44">
        <f>F17</f>
        <v>0</v>
      </c>
      <c r="I17" s="64"/>
      <c r="J17" s="327"/>
      <c r="K17" s="328"/>
      <c r="L17" s="329"/>
    </row>
    <row r="18" spans="1:12" ht="30" customHeight="1" x14ac:dyDescent="0.4">
      <c r="A18" s="60" t="s">
        <v>147</v>
      </c>
      <c r="B18" s="61" t="s">
        <v>148</v>
      </c>
      <c r="C18" s="43" t="s">
        <v>149</v>
      </c>
      <c r="D18" s="43"/>
      <c r="E18" s="45"/>
      <c r="F18" s="62"/>
      <c r="G18" s="63"/>
      <c r="H18" s="44">
        <f t="shared" si="0"/>
        <v>0</v>
      </c>
      <c r="I18" s="64">
        <f t="shared" ref="I18" si="4">G18+H18</f>
        <v>0</v>
      </c>
      <c r="J18" s="327"/>
      <c r="K18" s="328"/>
      <c r="L18" s="329"/>
    </row>
    <row r="19" spans="1:12" ht="30" customHeight="1" x14ac:dyDescent="0.4">
      <c r="A19" s="67" t="s">
        <v>150</v>
      </c>
      <c r="B19" s="330" t="s">
        <v>151</v>
      </c>
      <c r="C19" s="331"/>
      <c r="D19" s="68"/>
      <c r="E19" s="69"/>
      <c r="F19" s="70">
        <f>F15-F16+F17+F18</f>
        <v>150031920</v>
      </c>
      <c r="G19" s="72">
        <f>G15-G16+G17+G18</f>
        <v>360107084</v>
      </c>
      <c r="H19" s="72">
        <f>H15-H16+H17+H18</f>
        <v>150031920</v>
      </c>
      <c r="I19" s="72">
        <f>I15-I16+I17+I18</f>
        <v>510139004</v>
      </c>
      <c r="J19" s="332"/>
      <c r="K19" s="332"/>
      <c r="L19" s="333"/>
    </row>
    <row r="20" spans="1:12" ht="30" customHeight="1" x14ac:dyDescent="0.4">
      <c r="A20" s="334" t="s">
        <v>152</v>
      </c>
      <c r="B20" s="61" t="s">
        <v>345</v>
      </c>
      <c r="C20" s="43" t="s">
        <v>146</v>
      </c>
      <c r="D20" s="43"/>
      <c r="E20" s="45"/>
      <c r="F20" s="62"/>
      <c r="G20" s="63"/>
      <c r="H20" s="44">
        <f t="shared" si="0"/>
        <v>0</v>
      </c>
      <c r="I20" s="64">
        <f>G20+H20</f>
        <v>0</v>
      </c>
      <c r="J20" s="43"/>
      <c r="K20" s="75" t="s">
        <v>153</v>
      </c>
      <c r="L20" s="76" t="s">
        <v>154</v>
      </c>
    </row>
    <row r="21" spans="1:12" ht="30" customHeight="1" x14ac:dyDescent="0.4">
      <c r="A21" s="334"/>
      <c r="B21" s="61" t="s">
        <v>346</v>
      </c>
      <c r="C21" s="43" t="s">
        <v>146</v>
      </c>
      <c r="D21" s="43"/>
      <c r="E21" s="45"/>
      <c r="F21" s="62"/>
      <c r="G21" s="63"/>
      <c r="H21" s="44">
        <f t="shared" si="0"/>
        <v>0</v>
      </c>
      <c r="I21" s="64">
        <f>G21+H21</f>
        <v>0</v>
      </c>
      <c r="J21" s="61" t="s">
        <v>155</v>
      </c>
      <c r="K21" s="335"/>
      <c r="L21" s="338"/>
    </row>
    <row r="22" spans="1:12" ht="30" customHeight="1" x14ac:dyDescent="0.4">
      <c r="A22" s="341" t="s">
        <v>156</v>
      </c>
      <c r="B22" s="342"/>
      <c r="C22" s="343"/>
      <c r="D22" s="77"/>
      <c r="E22" s="78"/>
      <c r="F22" s="79">
        <f>F19</f>
        <v>150031920</v>
      </c>
      <c r="G22" s="80">
        <f>G19</f>
        <v>360107084</v>
      </c>
      <c r="H22" s="81">
        <f>H19</f>
        <v>150031920</v>
      </c>
      <c r="I22" s="81">
        <f>G22+H22</f>
        <v>510139004</v>
      </c>
      <c r="J22" s="77"/>
      <c r="K22" s="336"/>
      <c r="L22" s="339"/>
    </row>
    <row r="23" spans="1:12" ht="30" customHeight="1" x14ac:dyDescent="0.4">
      <c r="A23" s="341" t="s">
        <v>157</v>
      </c>
      <c r="B23" s="342"/>
      <c r="C23" s="343"/>
      <c r="D23" s="77"/>
      <c r="E23" s="78"/>
      <c r="F23" s="79">
        <f>ROUNDDOWN(F22,-5)</f>
        <v>150000000</v>
      </c>
      <c r="G23" s="173">
        <v>360000000</v>
      </c>
      <c r="H23" s="81">
        <f t="shared" ref="H23" si="5">ROUNDDOWN(H22,-5)</f>
        <v>150000000</v>
      </c>
      <c r="I23" s="81">
        <f>G23+H23</f>
        <v>510000000</v>
      </c>
      <c r="J23" s="174" t="s">
        <v>155</v>
      </c>
      <c r="K23" s="337"/>
      <c r="L23" s="340"/>
    </row>
    <row r="24" spans="1:12" ht="30" customHeight="1" x14ac:dyDescent="0.4">
      <c r="A24" s="323" t="s">
        <v>158</v>
      </c>
      <c r="B24" s="324"/>
      <c r="C24" s="325"/>
      <c r="D24" s="324" t="s">
        <v>159</v>
      </c>
      <c r="E24" s="324"/>
      <c r="F24" s="324"/>
      <c r="G24" s="324"/>
      <c r="H24" s="324"/>
      <c r="I24" s="324"/>
      <c r="J24" s="324"/>
      <c r="K24" s="324"/>
      <c r="L24" s="326"/>
    </row>
    <row r="25" spans="1:12" ht="21" customHeight="1" x14ac:dyDescent="0.4">
      <c r="A25" s="82" t="s">
        <v>160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3"/>
    </row>
    <row r="26" spans="1:12" ht="21" customHeight="1" x14ac:dyDescent="0.4">
      <c r="A26" s="82" t="s">
        <v>161</v>
      </c>
      <c r="B26" s="54"/>
      <c r="C26" s="54"/>
      <c r="D26" s="54"/>
      <c r="E26" s="54"/>
      <c r="F26" s="54"/>
      <c r="G26" s="54"/>
      <c r="H26" s="246"/>
      <c r="I26" s="54"/>
      <c r="J26" s="54"/>
      <c r="K26" s="54"/>
      <c r="L26" s="83"/>
    </row>
    <row r="27" spans="1:12" ht="21" customHeight="1" thickBot="1" x14ac:dyDescent="0.45">
      <c r="A27" s="84" t="s">
        <v>162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18" thickTop="1" x14ac:dyDescent="0.4">
      <c r="A28" s="54"/>
      <c r="B28" s="54"/>
      <c r="C28" s="54"/>
      <c r="D28" s="54"/>
      <c r="E28" s="54"/>
      <c r="F28" s="54"/>
      <c r="G28" s="54"/>
      <c r="H28" s="54"/>
      <c r="I28" s="54"/>
      <c r="J28" s="54"/>
    </row>
  </sheetData>
  <mergeCells count="30">
    <mergeCell ref="J8:L8"/>
    <mergeCell ref="A1:L1"/>
    <mergeCell ref="J3:L3"/>
    <mergeCell ref="J4:L4"/>
    <mergeCell ref="J5:L5"/>
    <mergeCell ref="J6:L6"/>
    <mergeCell ref="A7:A8"/>
    <mergeCell ref="J7:L7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</mergeCells>
  <phoneticPr fontId="3" type="noConversion"/>
  <pageMargins left="0.7" right="0.7" top="0.75" bottom="0.75" header="0.3" footer="0.3"/>
  <pageSetup paperSize="9" scale="62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55"/>
  <sheetViews>
    <sheetView view="pageBreakPreview" zoomScale="85" zoomScaleNormal="70" zoomScaleSheetLayoutView="85" workbookViewId="0">
      <pane ySplit="4" topLeftCell="A5" activePane="bottomLeft" state="frozen"/>
      <selection activeCell="C15" sqref="C15:D15"/>
      <selection pane="bottomLeft" activeCell="J31" sqref="J31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2.59765625" customWidth="1"/>
    <col min="7" max="7" width="20.59765625" customWidth="1"/>
    <col min="8" max="8" width="12.59765625" customWidth="1"/>
    <col min="9" max="9" width="20.59765625" customWidth="1"/>
    <col min="10" max="10" width="12.59765625" customWidth="1"/>
    <col min="11" max="11" width="20.59765625" customWidth="1"/>
    <col min="12" max="12" width="12.59765625" customWidth="1"/>
    <col min="13" max="13" width="20.59765625" customWidth="1"/>
    <col min="14" max="14" width="2.59765625" customWidth="1"/>
  </cols>
  <sheetData>
    <row r="1" spans="1:13" ht="37.799999999999997" x14ac:dyDescent="0.4">
      <c r="A1" s="355" t="s">
        <v>707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</row>
    <row r="2" spans="1:13" ht="19.2" x14ac:dyDescent="0.4">
      <c r="A2" s="88" t="str">
        <f>'용역청구서 표지'!$B$7</f>
        <v>P4 Ph4 GAS 1공구 마감공사</v>
      </c>
      <c r="M2" s="39" t="s">
        <v>163</v>
      </c>
    </row>
    <row r="3" spans="1:13" ht="27.9" customHeight="1" x14ac:dyDescent="0.4">
      <c r="A3" s="356" t="s">
        <v>164</v>
      </c>
      <c r="B3" s="356" t="s">
        <v>165</v>
      </c>
      <c r="C3" s="356" t="s">
        <v>166</v>
      </c>
      <c r="D3" s="357" t="s">
        <v>167</v>
      </c>
      <c r="E3" s="356" t="s">
        <v>168</v>
      </c>
      <c r="F3" s="356" t="s">
        <v>169</v>
      </c>
      <c r="G3" s="356"/>
      <c r="H3" s="356" t="s">
        <v>170</v>
      </c>
      <c r="I3" s="356"/>
      <c r="J3" s="356" t="s">
        <v>171</v>
      </c>
      <c r="K3" s="356"/>
      <c r="L3" s="356" t="s">
        <v>172</v>
      </c>
      <c r="M3" s="356"/>
    </row>
    <row r="4" spans="1:13" ht="27.9" customHeight="1" x14ac:dyDescent="0.4">
      <c r="A4" s="356"/>
      <c r="B4" s="356"/>
      <c r="C4" s="356"/>
      <c r="D4" s="357"/>
      <c r="E4" s="356"/>
      <c r="F4" s="89" t="s">
        <v>173</v>
      </c>
      <c r="G4" s="89" t="s">
        <v>174</v>
      </c>
      <c r="H4" s="89" t="s">
        <v>173</v>
      </c>
      <c r="I4" s="89" t="s">
        <v>174</v>
      </c>
      <c r="J4" s="89" t="s">
        <v>173</v>
      </c>
      <c r="K4" s="89" t="s">
        <v>175</v>
      </c>
      <c r="L4" s="89" t="s">
        <v>173</v>
      </c>
      <c r="M4" s="89" t="s">
        <v>175</v>
      </c>
    </row>
    <row r="5" spans="1:13" ht="27.9" hidden="1" customHeight="1" x14ac:dyDescent="0.4">
      <c r="A5" s="90" t="s">
        <v>176</v>
      </c>
      <c r="B5" s="52" t="s">
        <v>177</v>
      </c>
      <c r="C5" s="52" t="s">
        <v>178</v>
      </c>
      <c r="D5" s="91">
        <v>0</v>
      </c>
      <c r="E5" s="92">
        <v>435000</v>
      </c>
      <c r="F5" s="95">
        <f>L5</f>
        <v>0</v>
      </c>
      <c r="G5" s="93">
        <f>M5</f>
        <v>0</v>
      </c>
      <c r="H5" s="95"/>
      <c r="I5" s="92">
        <f>E5*H5</f>
        <v>0</v>
      </c>
      <c r="J5" s="95">
        <f>$D5*'DIA-INCH'!$C5</f>
        <v>0</v>
      </c>
      <c r="K5" s="93">
        <f>$E5*$J5</f>
        <v>0</v>
      </c>
      <c r="L5" s="95">
        <f>H5+J5</f>
        <v>0</v>
      </c>
      <c r="M5" s="93">
        <f>I5+K5</f>
        <v>0</v>
      </c>
    </row>
    <row r="6" spans="1:13" ht="27.9" hidden="1" customHeight="1" x14ac:dyDescent="0.4">
      <c r="A6" s="90" t="s">
        <v>179</v>
      </c>
      <c r="B6" s="52" t="s">
        <v>180</v>
      </c>
      <c r="C6" s="52" t="s">
        <v>181</v>
      </c>
      <c r="D6" s="91">
        <v>0</v>
      </c>
      <c r="E6" s="92">
        <v>435000</v>
      </c>
      <c r="F6" s="95">
        <f t="shared" ref="F6:G50" si="0">L6</f>
        <v>0</v>
      </c>
      <c r="G6" s="93">
        <f t="shared" si="0"/>
        <v>0</v>
      </c>
      <c r="H6" s="95"/>
      <c r="I6" s="92">
        <f t="shared" ref="I6:I50" si="1">E6*H6</f>
        <v>0</v>
      </c>
      <c r="J6" s="95">
        <f>$D6*'DIA-INCH'!$C6</f>
        <v>0</v>
      </c>
      <c r="K6" s="93">
        <f t="shared" ref="K6:K27" si="2">$E6*$J6</f>
        <v>0</v>
      </c>
      <c r="L6" s="95">
        <f t="shared" ref="L6:M50" si="3">H6+J6</f>
        <v>0</v>
      </c>
      <c r="M6" s="93">
        <f t="shared" si="3"/>
        <v>0</v>
      </c>
    </row>
    <row r="7" spans="1:13" ht="27.9" hidden="1" customHeight="1" x14ac:dyDescent="0.4">
      <c r="A7" s="90" t="s">
        <v>176</v>
      </c>
      <c r="B7" s="52" t="s">
        <v>182</v>
      </c>
      <c r="C7" s="52" t="s">
        <v>178</v>
      </c>
      <c r="D7" s="91">
        <v>0</v>
      </c>
      <c r="E7" s="92">
        <v>435000</v>
      </c>
      <c r="F7" s="95">
        <f t="shared" si="0"/>
        <v>0</v>
      </c>
      <c r="G7" s="93">
        <f t="shared" si="0"/>
        <v>0</v>
      </c>
      <c r="H7" s="95"/>
      <c r="I7" s="92">
        <f t="shared" si="1"/>
        <v>0</v>
      </c>
      <c r="J7" s="95">
        <f>$D7*'DIA-INCH'!$C7</f>
        <v>0</v>
      </c>
      <c r="K7" s="93">
        <f t="shared" si="2"/>
        <v>0</v>
      </c>
      <c r="L7" s="95">
        <f t="shared" si="3"/>
        <v>0</v>
      </c>
      <c r="M7" s="93">
        <f t="shared" si="3"/>
        <v>0</v>
      </c>
    </row>
    <row r="8" spans="1:13" ht="27.9" customHeight="1" x14ac:dyDescent="0.4">
      <c r="A8" s="90" t="s">
        <v>176</v>
      </c>
      <c r="B8" s="52" t="s">
        <v>183</v>
      </c>
      <c r="C8" s="52" t="s">
        <v>178</v>
      </c>
      <c r="D8" s="91">
        <v>274</v>
      </c>
      <c r="E8" s="92">
        <v>435000</v>
      </c>
      <c r="F8" s="95">
        <f>L8</f>
        <v>707</v>
      </c>
      <c r="G8" s="93">
        <f t="shared" si="0"/>
        <v>307545000</v>
      </c>
      <c r="H8" s="95">
        <v>433</v>
      </c>
      <c r="I8" s="92">
        <f t="shared" si="1"/>
        <v>188355000</v>
      </c>
      <c r="J8" s="95">
        <f>$D8*'DIA-INCH'!$C8</f>
        <v>274</v>
      </c>
      <c r="K8" s="93">
        <f t="shared" si="2"/>
        <v>119190000</v>
      </c>
      <c r="L8" s="95">
        <f>H8+J8</f>
        <v>707</v>
      </c>
      <c r="M8" s="93">
        <f t="shared" si="3"/>
        <v>307545000</v>
      </c>
    </row>
    <row r="9" spans="1:13" ht="27.9" hidden="1" customHeight="1" x14ac:dyDescent="0.4">
      <c r="A9" s="90" t="s">
        <v>176</v>
      </c>
      <c r="B9" s="52" t="s">
        <v>184</v>
      </c>
      <c r="C9" s="52" t="s">
        <v>178</v>
      </c>
      <c r="D9" s="91"/>
      <c r="E9" s="92">
        <v>435000</v>
      </c>
      <c r="F9" s="95">
        <f t="shared" si="0"/>
        <v>0</v>
      </c>
      <c r="G9" s="93">
        <f t="shared" si="0"/>
        <v>0</v>
      </c>
      <c r="H9" s="95"/>
      <c r="I9" s="92">
        <f t="shared" si="1"/>
        <v>0</v>
      </c>
      <c r="J9" s="95">
        <f>$D9*'DIA-INCH'!$C9</f>
        <v>0</v>
      </c>
      <c r="K9" s="93">
        <f t="shared" si="2"/>
        <v>0</v>
      </c>
      <c r="L9" s="95">
        <f t="shared" si="3"/>
        <v>0</v>
      </c>
      <c r="M9" s="93">
        <f t="shared" si="3"/>
        <v>0</v>
      </c>
    </row>
    <row r="10" spans="1:13" ht="27.9" customHeight="1" x14ac:dyDescent="0.4">
      <c r="A10" s="90" t="s">
        <v>176</v>
      </c>
      <c r="B10" s="52" t="s">
        <v>185</v>
      </c>
      <c r="C10" s="52" t="s">
        <v>181</v>
      </c>
      <c r="D10" s="91">
        <v>16</v>
      </c>
      <c r="E10" s="92">
        <v>435000</v>
      </c>
      <c r="F10" s="95">
        <f t="shared" si="0"/>
        <v>651</v>
      </c>
      <c r="G10" s="93">
        <f t="shared" si="0"/>
        <v>283185000</v>
      </c>
      <c r="H10" s="95">
        <v>627</v>
      </c>
      <c r="I10" s="92">
        <f t="shared" si="1"/>
        <v>272745000</v>
      </c>
      <c r="J10" s="95">
        <f>$D10*'DIA-INCH'!$C10</f>
        <v>24</v>
      </c>
      <c r="K10" s="93">
        <f t="shared" si="2"/>
        <v>10440000</v>
      </c>
      <c r="L10" s="95">
        <f t="shared" si="3"/>
        <v>651</v>
      </c>
      <c r="M10" s="93">
        <f t="shared" si="3"/>
        <v>283185000</v>
      </c>
    </row>
    <row r="11" spans="1:13" ht="27.9" customHeight="1" x14ac:dyDescent="0.4">
      <c r="A11" s="90" t="s">
        <v>176</v>
      </c>
      <c r="B11" s="52" t="s">
        <v>186</v>
      </c>
      <c r="C11" s="52" t="s">
        <v>181</v>
      </c>
      <c r="D11" s="91"/>
      <c r="E11" s="92">
        <v>435000</v>
      </c>
      <c r="F11" s="95">
        <f t="shared" si="0"/>
        <v>650</v>
      </c>
      <c r="G11" s="93">
        <f>M11</f>
        <v>282750000</v>
      </c>
      <c r="H11" s="95">
        <v>650</v>
      </c>
      <c r="I11" s="92">
        <f t="shared" si="1"/>
        <v>282750000</v>
      </c>
      <c r="J11" s="95">
        <f>$D11*'DIA-INCH'!$C11</f>
        <v>0</v>
      </c>
      <c r="K11" s="93">
        <f>$E11*$J11</f>
        <v>0</v>
      </c>
      <c r="L11" s="95">
        <f t="shared" si="3"/>
        <v>650</v>
      </c>
      <c r="M11" s="93">
        <f>I11+K11</f>
        <v>282750000</v>
      </c>
    </row>
    <row r="12" spans="1:13" ht="27.9" customHeight="1" x14ac:dyDescent="0.4">
      <c r="A12" s="90" t="s">
        <v>179</v>
      </c>
      <c r="B12" s="52" t="s">
        <v>187</v>
      </c>
      <c r="C12" s="52" t="s">
        <v>178</v>
      </c>
      <c r="D12" s="91"/>
      <c r="E12" s="92">
        <v>435000</v>
      </c>
      <c r="F12" s="95">
        <f t="shared" si="0"/>
        <v>792.5</v>
      </c>
      <c r="G12" s="93">
        <f t="shared" si="0"/>
        <v>344737500</v>
      </c>
      <c r="H12" s="95">
        <v>792.5</v>
      </c>
      <c r="I12" s="92">
        <f t="shared" si="1"/>
        <v>344737500</v>
      </c>
      <c r="J12" s="95">
        <f>$D12*'DIA-INCH'!$C12</f>
        <v>0</v>
      </c>
      <c r="K12" s="93">
        <f t="shared" si="2"/>
        <v>0</v>
      </c>
      <c r="L12" s="95">
        <f t="shared" si="3"/>
        <v>792.5</v>
      </c>
      <c r="M12" s="93">
        <f t="shared" si="3"/>
        <v>344737500</v>
      </c>
    </row>
    <row r="13" spans="1:13" ht="27.9" customHeight="1" x14ac:dyDescent="0.4">
      <c r="A13" s="90" t="s">
        <v>176</v>
      </c>
      <c r="B13" s="52" t="s">
        <v>188</v>
      </c>
      <c r="C13" s="52" t="s">
        <v>178</v>
      </c>
      <c r="D13" s="91"/>
      <c r="E13" s="92">
        <v>435000</v>
      </c>
      <c r="F13" s="95">
        <f t="shared" si="0"/>
        <v>228</v>
      </c>
      <c r="G13" s="93">
        <f t="shared" si="0"/>
        <v>99180000</v>
      </c>
      <c r="H13" s="95">
        <v>228</v>
      </c>
      <c r="I13" s="92">
        <f t="shared" si="1"/>
        <v>99180000</v>
      </c>
      <c r="J13" s="95">
        <f>$D13*'DIA-INCH'!$C13</f>
        <v>0</v>
      </c>
      <c r="K13" s="93">
        <f t="shared" si="2"/>
        <v>0</v>
      </c>
      <c r="L13" s="95">
        <f t="shared" si="3"/>
        <v>228</v>
      </c>
      <c r="M13" s="93">
        <f t="shared" si="3"/>
        <v>99180000</v>
      </c>
    </row>
    <row r="14" spans="1:13" ht="27.9" customHeight="1" x14ac:dyDescent="0.4">
      <c r="A14" s="90" t="s">
        <v>189</v>
      </c>
      <c r="B14" s="52" t="s">
        <v>190</v>
      </c>
      <c r="C14" s="52" t="s">
        <v>178</v>
      </c>
      <c r="D14" s="91"/>
      <c r="E14" s="92">
        <v>435000</v>
      </c>
      <c r="F14" s="95">
        <f t="shared" si="0"/>
        <v>1556</v>
      </c>
      <c r="G14" s="93">
        <f t="shared" si="0"/>
        <v>676860000</v>
      </c>
      <c r="H14" s="95">
        <v>1556</v>
      </c>
      <c r="I14" s="92">
        <f t="shared" si="1"/>
        <v>676860000</v>
      </c>
      <c r="J14" s="95">
        <f>$D14*'DIA-INCH'!$C14</f>
        <v>0</v>
      </c>
      <c r="K14" s="93">
        <f t="shared" si="2"/>
        <v>0</v>
      </c>
      <c r="L14" s="95">
        <f t="shared" si="3"/>
        <v>1556</v>
      </c>
      <c r="M14" s="93">
        <f t="shared" si="3"/>
        <v>676860000</v>
      </c>
    </row>
    <row r="15" spans="1:13" ht="27.9" hidden="1" customHeight="1" x14ac:dyDescent="0.4">
      <c r="A15" s="90" t="s">
        <v>176</v>
      </c>
      <c r="B15" s="52" t="s">
        <v>191</v>
      </c>
      <c r="C15" s="52" t="s">
        <v>181</v>
      </c>
      <c r="D15" s="91"/>
      <c r="E15" s="92">
        <v>435000</v>
      </c>
      <c r="F15" s="95">
        <f t="shared" si="0"/>
        <v>0</v>
      </c>
      <c r="G15" s="93">
        <f t="shared" si="0"/>
        <v>0</v>
      </c>
      <c r="H15" s="95"/>
      <c r="I15" s="92">
        <f t="shared" si="1"/>
        <v>0</v>
      </c>
      <c r="J15" s="95">
        <f>$D15*'DIA-INCH'!$C15</f>
        <v>0</v>
      </c>
      <c r="K15" s="93">
        <f t="shared" si="2"/>
        <v>0</v>
      </c>
      <c r="L15" s="95">
        <f t="shared" si="3"/>
        <v>0</v>
      </c>
      <c r="M15" s="93">
        <f t="shared" si="3"/>
        <v>0</v>
      </c>
    </row>
    <row r="16" spans="1:13" ht="27.9" customHeight="1" x14ac:dyDescent="0.4">
      <c r="A16" s="90" t="s">
        <v>179</v>
      </c>
      <c r="B16" s="52" t="s">
        <v>192</v>
      </c>
      <c r="C16" s="52" t="s">
        <v>178</v>
      </c>
      <c r="D16" s="91"/>
      <c r="E16" s="92">
        <v>435000</v>
      </c>
      <c r="F16" s="95">
        <f t="shared" si="0"/>
        <v>2645</v>
      </c>
      <c r="G16" s="93">
        <f t="shared" si="0"/>
        <v>1150575000</v>
      </c>
      <c r="H16" s="95">
        <v>2645</v>
      </c>
      <c r="I16" s="92">
        <f t="shared" si="1"/>
        <v>1150575000</v>
      </c>
      <c r="J16" s="95">
        <f>$D16*'DIA-INCH'!$C16</f>
        <v>0</v>
      </c>
      <c r="K16" s="93">
        <f t="shared" si="2"/>
        <v>0</v>
      </c>
      <c r="L16" s="95">
        <f t="shared" si="3"/>
        <v>2645</v>
      </c>
      <c r="M16" s="93">
        <f t="shared" si="3"/>
        <v>1150575000</v>
      </c>
    </row>
    <row r="17" spans="1:13" ht="27.9" customHeight="1" x14ac:dyDescent="0.4">
      <c r="A17" s="90" t="s">
        <v>179</v>
      </c>
      <c r="B17" s="52" t="s">
        <v>193</v>
      </c>
      <c r="C17" s="52" t="s">
        <v>178</v>
      </c>
      <c r="D17" s="91"/>
      <c r="E17" s="92">
        <v>435000</v>
      </c>
      <c r="F17" s="95">
        <f t="shared" si="0"/>
        <v>114</v>
      </c>
      <c r="G17" s="93">
        <f t="shared" si="0"/>
        <v>49590000</v>
      </c>
      <c r="H17" s="95">
        <v>114</v>
      </c>
      <c r="I17" s="92">
        <f t="shared" si="1"/>
        <v>49590000</v>
      </c>
      <c r="J17" s="95">
        <f>$D17*'DIA-INCH'!$C17</f>
        <v>0</v>
      </c>
      <c r="K17" s="93">
        <f t="shared" si="2"/>
        <v>0</v>
      </c>
      <c r="L17" s="95">
        <f t="shared" si="3"/>
        <v>114</v>
      </c>
      <c r="M17" s="93">
        <f t="shared" si="3"/>
        <v>49590000</v>
      </c>
    </row>
    <row r="18" spans="1:13" ht="27.9" hidden="1" customHeight="1" x14ac:dyDescent="0.4">
      <c r="A18" s="90" t="s">
        <v>179</v>
      </c>
      <c r="B18" s="52" t="s">
        <v>194</v>
      </c>
      <c r="C18" s="52" t="s">
        <v>178</v>
      </c>
      <c r="D18" s="91"/>
      <c r="E18" s="92">
        <v>435000</v>
      </c>
      <c r="F18" s="95">
        <f t="shared" si="0"/>
        <v>0</v>
      </c>
      <c r="G18" s="93">
        <f t="shared" si="0"/>
        <v>0</v>
      </c>
      <c r="H18" s="95"/>
      <c r="I18" s="92">
        <f t="shared" si="1"/>
        <v>0</v>
      </c>
      <c r="J18" s="95">
        <f>$D18*'DIA-INCH'!$C18</f>
        <v>0</v>
      </c>
      <c r="K18" s="93">
        <f t="shared" si="2"/>
        <v>0</v>
      </c>
      <c r="L18" s="95">
        <f t="shared" si="3"/>
        <v>0</v>
      </c>
      <c r="M18" s="93">
        <f t="shared" si="3"/>
        <v>0</v>
      </c>
    </row>
    <row r="19" spans="1:13" ht="27.9" customHeight="1" x14ac:dyDescent="0.4">
      <c r="A19" s="90" t="s">
        <v>179</v>
      </c>
      <c r="B19" s="52" t="s">
        <v>195</v>
      </c>
      <c r="C19" s="52" t="s">
        <v>178</v>
      </c>
      <c r="D19" s="91"/>
      <c r="E19" s="92">
        <v>435000</v>
      </c>
      <c r="F19" s="95">
        <f t="shared" si="0"/>
        <v>320</v>
      </c>
      <c r="G19" s="93">
        <f t="shared" si="0"/>
        <v>139200000</v>
      </c>
      <c r="H19" s="95">
        <v>320</v>
      </c>
      <c r="I19" s="92">
        <f t="shared" si="1"/>
        <v>139200000</v>
      </c>
      <c r="J19" s="95">
        <f>$D19*'DIA-INCH'!$C19</f>
        <v>0</v>
      </c>
      <c r="K19" s="93">
        <f t="shared" si="2"/>
        <v>0</v>
      </c>
      <c r="L19" s="95">
        <f t="shared" si="3"/>
        <v>320</v>
      </c>
      <c r="M19" s="93">
        <f t="shared" si="3"/>
        <v>139200000</v>
      </c>
    </row>
    <row r="20" spans="1:13" ht="27.9" hidden="1" customHeight="1" x14ac:dyDescent="0.4">
      <c r="A20" s="90" t="s">
        <v>176</v>
      </c>
      <c r="B20" s="52" t="s">
        <v>196</v>
      </c>
      <c r="C20" s="52" t="s">
        <v>181</v>
      </c>
      <c r="D20" s="91"/>
      <c r="E20" s="92">
        <v>435000</v>
      </c>
      <c r="F20" s="95">
        <f t="shared" si="0"/>
        <v>0</v>
      </c>
      <c r="G20" s="93">
        <f t="shared" si="0"/>
        <v>0</v>
      </c>
      <c r="H20" s="95"/>
      <c r="I20" s="92">
        <f t="shared" si="1"/>
        <v>0</v>
      </c>
      <c r="J20" s="95">
        <f>$D20*'DIA-INCH'!$C20</f>
        <v>0</v>
      </c>
      <c r="K20" s="93">
        <f t="shared" si="2"/>
        <v>0</v>
      </c>
      <c r="L20" s="95">
        <f t="shared" si="3"/>
        <v>0</v>
      </c>
      <c r="M20" s="93">
        <f t="shared" si="3"/>
        <v>0</v>
      </c>
    </row>
    <row r="21" spans="1:13" ht="27.9" customHeight="1" x14ac:dyDescent="0.4">
      <c r="A21" s="90" t="s">
        <v>176</v>
      </c>
      <c r="B21" s="52" t="s">
        <v>197</v>
      </c>
      <c r="C21" s="52" t="s">
        <v>198</v>
      </c>
      <c r="D21" s="91"/>
      <c r="E21" s="92">
        <v>435000</v>
      </c>
      <c r="F21" s="95">
        <f t="shared" si="0"/>
        <v>50</v>
      </c>
      <c r="G21" s="93">
        <f t="shared" si="0"/>
        <v>21750000</v>
      </c>
      <c r="H21" s="95">
        <v>50</v>
      </c>
      <c r="I21" s="92">
        <f t="shared" si="1"/>
        <v>21750000</v>
      </c>
      <c r="J21" s="95">
        <f>$D21*'DIA-INCH'!$C21</f>
        <v>0</v>
      </c>
      <c r="K21" s="93">
        <f t="shared" si="2"/>
        <v>0</v>
      </c>
      <c r="L21" s="95">
        <f t="shared" si="3"/>
        <v>50</v>
      </c>
      <c r="M21" s="93">
        <f t="shared" si="3"/>
        <v>21750000</v>
      </c>
    </row>
    <row r="22" spans="1:13" ht="27.9" customHeight="1" x14ac:dyDescent="0.4">
      <c r="A22" s="90" t="s">
        <v>179</v>
      </c>
      <c r="B22" s="52" t="s">
        <v>199</v>
      </c>
      <c r="C22" s="52" t="s">
        <v>200</v>
      </c>
      <c r="D22" s="91"/>
      <c r="E22" s="92">
        <v>435000</v>
      </c>
      <c r="F22" s="95">
        <f t="shared" si="0"/>
        <v>36</v>
      </c>
      <c r="G22" s="93">
        <f t="shared" si="0"/>
        <v>15660000</v>
      </c>
      <c r="H22" s="95">
        <v>36</v>
      </c>
      <c r="I22" s="92">
        <f t="shared" si="1"/>
        <v>15660000</v>
      </c>
      <c r="J22" s="95">
        <f>$D22*'DIA-INCH'!$C22</f>
        <v>0</v>
      </c>
      <c r="K22" s="93">
        <f t="shared" si="2"/>
        <v>0</v>
      </c>
      <c r="L22" s="95">
        <f t="shared" si="3"/>
        <v>36</v>
      </c>
      <c r="M22" s="93">
        <f t="shared" si="3"/>
        <v>15660000</v>
      </c>
    </row>
    <row r="23" spans="1:13" ht="27.9" hidden="1" customHeight="1" x14ac:dyDescent="0.4">
      <c r="A23" s="90" t="s">
        <v>201</v>
      </c>
      <c r="B23" s="52" t="s">
        <v>202</v>
      </c>
      <c r="C23" s="52" t="s">
        <v>178</v>
      </c>
      <c r="D23" s="91"/>
      <c r="E23" s="92">
        <v>435000</v>
      </c>
      <c r="F23" s="95">
        <f t="shared" si="0"/>
        <v>0</v>
      </c>
      <c r="G23" s="93">
        <f t="shared" si="0"/>
        <v>0</v>
      </c>
      <c r="H23" s="95"/>
      <c r="I23" s="92">
        <f t="shared" si="1"/>
        <v>0</v>
      </c>
      <c r="J23" s="95">
        <f>$D23*'DIA-INCH'!$C23</f>
        <v>0</v>
      </c>
      <c r="K23" s="93">
        <f t="shared" si="2"/>
        <v>0</v>
      </c>
      <c r="L23" s="95">
        <f t="shared" si="3"/>
        <v>0</v>
      </c>
      <c r="M23" s="93">
        <f t="shared" si="3"/>
        <v>0</v>
      </c>
    </row>
    <row r="24" spans="1:13" ht="27.9" hidden="1" customHeight="1" x14ac:dyDescent="0.4">
      <c r="A24" s="90" t="s">
        <v>176</v>
      </c>
      <c r="B24" s="52" t="s">
        <v>203</v>
      </c>
      <c r="C24" s="52" t="s">
        <v>181</v>
      </c>
      <c r="D24" s="91"/>
      <c r="E24" s="92">
        <v>435000</v>
      </c>
      <c r="F24" s="95">
        <f t="shared" si="0"/>
        <v>0</v>
      </c>
      <c r="G24" s="93">
        <f t="shared" si="0"/>
        <v>0</v>
      </c>
      <c r="H24" s="95"/>
      <c r="I24" s="92">
        <f t="shared" si="1"/>
        <v>0</v>
      </c>
      <c r="J24" s="95">
        <f>$D24*'DIA-INCH'!$C24</f>
        <v>0</v>
      </c>
      <c r="K24" s="93">
        <f t="shared" si="2"/>
        <v>0</v>
      </c>
      <c r="L24" s="95">
        <f t="shared" si="3"/>
        <v>0</v>
      </c>
      <c r="M24" s="93">
        <f t="shared" si="3"/>
        <v>0</v>
      </c>
    </row>
    <row r="25" spans="1:13" ht="27.9" hidden="1" customHeight="1" x14ac:dyDescent="0.4">
      <c r="A25" s="90" t="s">
        <v>189</v>
      </c>
      <c r="B25" s="52" t="s">
        <v>204</v>
      </c>
      <c r="C25" s="52" t="s">
        <v>205</v>
      </c>
      <c r="D25" s="91"/>
      <c r="E25" s="92">
        <v>435000</v>
      </c>
      <c r="F25" s="95">
        <f t="shared" si="0"/>
        <v>0</v>
      </c>
      <c r="G25" s="93">
        <f t="shared" si="0"/>
        <v>0</v>
      </c>
      <c r="H25" s="95"/>
      <c r="I25" s="92">
        <f t="shared" si="1"/>
        <v>0</v>
      </c>
      <c r="J25" s="95">
        <f>$D25*'DIA-INCH'!$C25</f>
        <v>0</v>
      </c>
      <c r="K25" s="93">
        <f t="shared" si="2"/>
        <v>0</v>
      </c>
      <c r="L25" s="95">
        <f t="shared" si="3"/>
        <v>0</v>
      </c>
      <c r="M25" s="93">
        <f t="shared" si="3"/>
        <v>0</v>
      </c>
    </row>
    <row r="26" spans="1:13" ht="27.9" hidden="1" customHeight="1" x14ac:dyDescent="0.4">
      <c r="A26" s="90" t="s">
        <v>179</v>
      </c>
      <c r="B26" s="52" t="s">
        <v>206</v>
      </c>
      <c r="C26" s="52" t="s">
        <v>178</v>
      </c>
      <c r="D26" s="91"/>
      <c r="E26" s="92">
        <v>435000</v>
      </c>
      <c r="F26" s="95">
        <f t="shared" si="0"/>
        <v>0</v>
      </c>
      <c r="G26" s="93">
        <f t="shared" si="0"/>
        <v>0</v>
      </c>
      <c r="H26" s="95"/>
      <c r="I26" s="92">
        <f t="shared" si="1"/>
        <v>0</v>
      </c>
      <c r="J26" s="95">
        <f>$D26*'DIA-INCH'!$C26</f>
        <v>0</v>
      </c>
      <c r="K26" s="93">
        <f t="shared" si="2"/>
        <v>0</v>
      </c>
      <c r="L26" s="95">
        <f t="shared" si="3"/>
        <v>0</v>
      </c>
      <c r="M26" s="93">
        <f t="shared" si="3"/>
        <v>0</v>
      </c>
    </row>
    <row r="27" spans="1:13" ht="27.9" hidden="1" customHeight="1" x14ac:dyDescent="0.4">
      <c r="A27" s="90" t="s">
        <v>189</v>
      </c>
      <c r="B27" s="52" t="s">
        <v>207</v>
      </c>
      <c r="C27" s="52" t="s">
        <v>178</v>
      </c>
      <c r="D27" s="91"/>
      <c r="E27" s="92">
        <v>435000</v>
      </c>
      <c r="F27" s="95">
        <f t="shared" si="0"/>
        <v>0</v>
      </c>
      <c r="G27" s="93">
        <f t="shared" si="0"/>
        <v>0</v>
      </c>
      <c r="H27" s="95"/>
      <c r="I27" s="92">
        <f t="shared" si="1"/>
        <v>0</v>
      </c>
      <c r="J27" s="95">
        <f>$D27*'DIA-INCH'!$C27</f>
        <v>0</v>
      </c>
      <c r="K27" s="93">
        <f t="shared" si="2"/>
        <v>0</v>
      </c>
      <c r="L27" s="95">
        <f t="shared" si="3"/>
        <v>0</v>
      </c>
      <c r="M27" s="93">
        <f t="shared" si="3"/>
        <v>0</v>
      </c>
    </row>
    <row r="28" spans="1:13" ht="27.9" hidden="1" customHeight="1" x14ac:dyDescent="0.4">
      <c r="A28" s="90" t="s">
        <v>208</v>
      </c>
      <c r="B28" s="52" t="s">
        <v>177</v>
      </c>
      <c r="C28" s="52" t="s">
        <v>209</v>
      </c>
      <c r="D28" s="91"/>
      <c r="E28" s="92">
        <f>$E$31*'DIA-INCH'!$C5</f>
        <v>17125</v>
      </c>
      <c r="F28" s="93">
        <f t="shared" si="0"/>
        <v>0</v>
      </c>
      <c r="G28" s="93">
        <f t="shared" si="0"/>
        <v>0</v>
      </c>
      <c r="H28" s="90"/>
      <c r="I28" s="92">
        <f t="shared" si="1"/>
        <v>0</v>
      </c>
      <c r="J28" s="93">
        <f>D28</f>
        <v>0</v>
      </c>
      <c r="K28" s="93">
        <f>$J28*$E28</f>
        <v>0</v>
      </c>
      <c r="L28" s="93">
        <f t="shared" si="3"/>
        <v>0</v>
      </c>
      <c r="M28" s="93">
        <f t="shared" si="3"/>
        <v>0</v>
      </c>
    </row>
    <row r="29" spans="1:13" ht="27.9" hidden="1" customHeight="1" x14ac:dyDescent="0.4">
      <c r="A29" s="90" t="s">
        <v>210</v>
      </c>
      <c r="B29" s="52" t="s">
        <v>180</v>
      </c>
      <c r="C29" s="52" t="s">
        <v>209</v>
      </c>
      <c r="D29" s="91"/>
      <c r="E29" s="92">
        <f>$E$31*'DIA-INCH'!$C6</f>
        <v>34250</v>
      </c>
      <c r="F29" s="93">
        <f t="shared" si="0"/>
        <v>0</v>
      </c>
      <c r="G29" s="93">
        <f t="shared" si="0"/>
        <v>0</v>
      </c>
      <c r="H29" s="90"/>
      <c r="I29" s="92">
        <f t="shared" si="1"/>
        <v>0</v>
      </c>
      <c r="J29" s="93">
        <f t="shared" ref="J29:J50" si="4">D29</f>
        <v>0</v>
      </c>
      <c r="K29" s="93">
        <f t="shared" ref="K29:K50" si="5">$J29*$E29</f>
        <v>0</v>
      </c>
      <c r="L29" s="93">
        <f t="shared" si="3"/>
        <v>0</v>
      </c>
      <c r="M29" s="93">
        <f t="shared" si="3"/>
        <v>0</v>
      </c>
    </row>
    <row r="30" spans="1:13" ht="27.9" hidden="1" customHeight="1" x14ac:dyDescent="0.4">
      <c r="A30" s="90" t="s">
        <v>211</v>
      </c>
      <c r="B30" s="52" t="s">
        <v>182</v>
      </c>
      <c r="C30" s="52" t="s">
        <v>209</v>
      </c>
      <c r="D30" s="91"/>
      <c r="E30" s="92">
        <f>$E$31*'DIA-INCH'!$C7</f>
        <v>51375</v>
      </c>
      <c r="F30" s="93">
        <f t="shared" si="0"/>
        <v>0</v>
      </c>
      <c r="G30" s="93">
        <f t="shared" si="0"/>
        <v>0</v>
      </c>
      <c r="H30" s="90"/>
      <c r="I30" s="92">
        <f t="shared" si="1"/>
        <v>0</v>
      </c>
      <c r="J30" s="93">
        <f t="shared" si="4"/>
        <v>0</v>
      </c>
      <c r="K30" s="93">
        <f t="shared" si="5"/>
        <v>0</v>
      </c>
      <c r="L30" s="93">
        <f t="shared" si="3"/>
        <v>0</v>
      </c>
      <c r="M30" s="93">
        <f t="shared" si="3"/>
        <v>0</v>
      </c>
    </row>
    <row r="31" spans="1:13" ht="27.9" customHeight="1" x14ac:dyDescent="0.4">
      <c r="A31" s="90" t="s">
        <v>212</v>
      </c>
      <c r="B31" s="52" t="s">
        <v>183</v>
      </c>
      <c r="C31" s="52" t="s">
        <v>213</v>
      </c>
      <c r="D31" s="91">
        <v>168</v>
      </c>
      <c r="E31" s="92">
        <v>68500</v>
      </c>
      <c r="F31" s="93">
        <f t="shared" si="0"/>
        <v>174</v>
      </c>
      <c r="G31" s="93">
        <f t="shared" si="0"/>
        <v>11919000</v>
      </c>
      <c r="H31" s="90">
        <v>6</v>
      </c>
      <c r="I31" s="92">
        <f t="shared" si="1"/>
        <v>411000</v>
      </c>
      <c r="J31" s="93">
        <f t="shared" si="4"/>
        <v>168</v>
      </c>
      <c r="K31" s="93">
        <f t="shared" si="5"/>
        <v>11508000</v>
      </c>
      <c r="L31" s="93">
        <f t="shared" si="3"/>
        <v>174</v>
      </c>
      <c r="M31" s="93">
        <f t="shared" si="3"/>
        <v>11919000</v>
      </c>
    </row>
    <row r="32" spans="1:13" ht="27.9" customHeight="1" x14ac:dyDescent="0.4">
      <c r="A32" s="90" t="s">
        <v>212</v>
      </c>
      <c r="B32" s="52" t="s">
        <v>184</v>
      </c>
      <c r="C32" s="52" t="s">
        <v>209</v>
      </c>
      <c r="D32" s="91"/>
      <c r="E32" s="92">
        <f>$E$31*'DIA-INCH'!$C9</f>
        <v>85625</v>
      </c>
      <c r="F32" s="93">
        <f t="shared" si="0"/>
        <v>24</v>
      </c>
      <c r="G32" s="93">
        <f t="shared" si="0"/>
        <v>2055000</v>
      </c>
      <c r="H32" s="90">
        <v>24</v>
      </c>
      <c r="I32" s="92">
        <f t="shared" si="1"/>
        <v>2055000</v>
      </c>
      <c r="J32" s="93">
        <f t="shared" si="4"/>
        <v>0</v>
      </c>
      <c r="K32" s="93">
        <f t="shared" si="5"/>
        <v>0</v>
      </c>
      <c r="L32" s="93">
        <f t="shared" si="3"/>
        <v>24</v>
      </c>
      <c r="M32" s="93">
        <f t="shared" si="3"/>
        <v>2055000</v>
      </c>
    </row>
    <row r="33" spans="1:13" ht="27.9" customHeight="1" x14ac:dyDescent="0.4">
      <c r="A33" s="90" t="s">
        <v>212</v>
      </c>
      <c r="B33" s="52" t="s">
        <v>185</v>
      </c>
      <c r="C33" s="52" t="s">
        <v>123</v>
      </c>
      <c r="D33" s="91"/>
      <c r="E33" s="92">
        <f>$E$31*'DIA-INCH'!$C10</f>
        <v>102750</v>
      </c>
      <c r="F33" s="93">
        <f t="shared" si="0"/>
        <v>74</v>
      </c>
      <c r="G33" s="93">
        <f t="shared" si="0"/>
        <v>7603500</v>
      </c>
      <c r="H33" s="90">
        <v>74</v>
      </c>
      <c r="I33" s="92">
        <f t="shared" si="1"/>
        <v>7603500</v>
      </c>
      <c r="J33" s="93">
        <f t="shared" si="4"/>
        <v>0</v>
      </c>
      <c r="K33" s="93">
        <f t="shared" si="5"/>
        <v>0</v>
      </c>
      <c r="L33" s="93">
        <f t="shared" si="3"/>
        <v>74</v>
      </c>
      <c r="M33" s="93">
        <f t="shared" si="3"/>
        <v>7603500</v>
      </c>
    </row>
    <row r="34" spans="1:13" ht="27.9" customHeight="1" x14ac:dyDescent="0.4">
      <c r="A34" s="90" t="s">
        <v>212</v>
      </c>
      <c r="B34" s="52" t="s">
        <v>186</v>
      </c>
      <c r="C34" s="52" t="s">
        <v>209</v>
      </c>
      <c r="D34" s="91"/>
      <c r="E34" s="92">
        <f>$E$31*'DIA-INCH'!$C11</f>
        <v>137000</v>
      </c>
      <c r="F34" s="93">
        <f>L34</f>
        <v>9</v>
      </c>
      <c r="G34" s="93">
        <f t="shared" si="0"/>
        <v>1233000</v>
      </c>
      <c r="H34" s="90">
        <v>9</v>
      </c>
      <c r="I34" s="92">
        <f t="shared" si="1"/>
        <v>1233000</v>
      </c>
      <c r="J34" s="93">
        <f t="shared" si="4"/>
        <v>0</v>
      </c>
      <c r="K34" s="93">
        <f t="shared" si="5"/>
        <v>0</v>
      </c>
      <c r="L34" s="93">
        <f t="shared" si="3"/>
        <v>9</v>
      </c>
      <c r="M34" s="93">
        <f t="shared" si="3"/>
        <v>1233000</v>
      </c>
    </row>
    <row r="35" spans="1:13" ht="27.9" hidden="1" customHeight="1" x14ac:dyDescent="0.4">
      <c r="A35" s="90" t="s">
        <v>208</v>
      </c>
      <c r="B35" s="52" t="s">
        <v>187</v>
      </c>
      <c r="C35" s="52" t="s">
        <v>123</v>
      </c>
      <c r="D35" s="91"/>
      <c r="E35" s="92">
        <f>$E$31*'DIA-INCH'!$C12</f>
        <v>171250</v>
      </c>
      <c r="F35" s="93">
        <f t="shared" si="0"/>
        <v>0</v>
      </c>
      <c r="G35" s="93">
        <f t="shared" si="0"/>
        <v>0</v>
      </c>
      <c r="H35" s="90"/>
      <c r="I35" s="92">
        <f t="shared" si="1"/>
        <v>0</v>
      </c>
      <c r="J35" s="93">
        <f t="shared" si="4"/>
        <v>0</v>
      </c>
      <c r="K35" s="93">
        <f t="shared" si="5"/>
        <v>0</v>
      </c>
      <c r="L35" s="93">
        <f t="shared" si="3"/>
        <v>0</v>
      </c>
      <c r="M35" s="93">
        <f t="shared" si="3"/>
        <v>0</v>
      </c>
    </row>
    <row r="36" spans="1:13" ht="27.9" customHeight="1" x14ac:dyDescent="0.4">
      <c r="A36" s="90" t="s">
        <v>208</v>
      </c>
      <c r="B36" s="52" t="s">
        <v>188</v>
      </c>
      <c r="C36" s="52" t="s">
        <v>209</v>
      </c>
      <c r="D36" s="91"/>
      <c r="E36" s="92">
        <f>$E$31*'DIA-INCH'!$C13</f>
        <v>205500</v>
      </c>
      <c r="F36" s="93">
        <f t="shared" si="0"/>
        <v>10</v>
      </c>
      <c r="G36" s="93">
        <f t="shared" si="0"/>
        <v>2055000</v>
      </c>
      <c r="H36" s="90">
        <v>10</v>
      </c>
      <c r="I36" s="92">
        <f t="shared" si="1"/>
        <v>2055000</v>
      </c>
      <c r="J36" s="93">
        <f t="shared" si="4"/>
        <v>0</v>
      </c>
      <c r="K36" s="93">
        <f t="shared" si="5"/>
        <v>0</v>
      </c>
      <c r="L36" s="93">
        <f t="shared" si="3"/>
        <v>10</v>
      </c>
      <c r="M36" s="93">
        <f t="shared" si="3"/>
        <v>2055000</v>
      </c>
    </row>
    <row r="37" spans="1:13" ht="27.9" customHeight="1" x14ac:dyDescent="0.4">
      <c r="A37" s="90" t="s">
        <v>210</v>
      </c>
      <c r="B37" s="52" t="s">
        <v>190</v>
      </c>
      <c r="C37" s="52" t="s">
        <v>209</v>
      </c>
      <c r="D37" s="91"/>
      <c r="E37" s="92">
        <f>$E$31*'DIA-INCH'!$C14</f>
        <v>274000</v>
      </c>
      <c r="F37" s="93">
        <f>L37</f>
        <v>10</v>
      </c>
      <c r="G37" s="93">
        <f t="shared" si="0"/>
        <v>2740000</v>
      </c>
      <c r="H37" s="90">
        <v>10</v>
      </c>
      <c r="I37" s="92">
        <f t="shared" si="1"/>
        <v>2740000</v>
      </c>
      <c r="J37" s="93">
        <f t="shared" si="4"/>
        <v>0</v>
      </c>
      <c r="K37" s="93">
        <f t="shared" si="5"/>
        <v>0</v>
      </c>
      <c r="L37" s="93">
        <f t="shared" si="3"/>
        <v>10</v>
      </c>
      <c r="M37" s="93">
        <f t="shared" si="3"/>
        <v>2740000</v>
      </c>
    </row>
    <row r="38" spans="1:13" ht="27.9" hidden="1" customHeight="1" x14ac:dyDescent="0.4">
      <c r="A38" s="90" t="s">
        <v>208</v>
      </c>
      <c r="B38" s="52" t="s">
        <v>191</v>
      </c>
      <c r="C38" s="52" t="s">
        <v>214</v>
      </c>
      <c r="D38" s="91"/>
      <c r="E38" s="92">
        <f>$E$31*'DIA-INCH'!$C15</f>
        <v>274000</v>
      </c>
      <c r="F38" s="93">
        <f t="shared" si="0"/>
        <v>0</v>
      </c>
      <c r="G38" s="93">
        <f t="shared" si="0"/>
        <v>0</v>
      </c>
      <c r="H38" s="90"/>
      <c r="I38" s="92">
        <f t="shared" si="1"/>
        <v>0</v>
      </c>
      <c r="J38" s="93">
        <f t="shared" si="4"/>
        <v>0</v>
      </c>
      <c r="K38" s="93">
        <f t="shared" si="5"/>
        <v>0</v>
      </c>
      <c r="L38" s="93">
        <f t="shared" si="3"/>
        <v>0</v>
      </c>
      <c r="M38" s="93">
        <f t="shared" si="3"/>
        <v>0</v>
      </c>
    </row>
    <row r="39" spans="1:13" ht="27.9" customHeight="1" x14ac:dyDescent="0.4">
      <c r="A39" s="90" t="s">
        <v>208</v>
      </c>
      <c r="B39" s="52" t="s">
        <v>192</v>
      </c>
      <c r="C39" s="52" t="s">
        <v>215</v>
      </c>
      <c r="D39" s="91"/>
      <c r="E39" s="92">
        <f>$E$31*'DIA-INCH'!$C16</f>
        <v>342500</v>
      </c>
      <c r="F39" s="93">
        <f t="shared" si="0"/>
        <v>22</v>
      </c>
      <c r="G39" s="93">
        <f t="shared" si="0"/>
        <v>7535000</v>
      </c>
      <c r="H39" s="90">
        <v>22</v>
      </c>
      <c r="I39" s="92">
        <f t="shared" si="1"/>
        <v>7535000</v>
      </c>
      <c r="J39" s="93">
        <f t="shared" si="4"/>
        <v>0</v>
      </c>
      <c r="K39" s="93">
        <f t="shared" si="5"/>
        <v>0</v>
      </c>
      <c r="L39" s="93">
        <f t="shared" si="3"/>
        <v>22</v>
      </c>
      <c r="M39" s="93">
        <f t="shared" si="3"/>
        <v>7535000</v>
      </c>
    </row>
    <row r="40" spans="1:13" ht="27.9" customHeight="1" x14ac:dyDescent="0.4">
      <c r="A40" s="90" t="s">
        <v>208</v>
      </c>
      <c r="B40" s="52" t="s">
        <v>193</v>
      </c>
      <c r="C40" s="52" t="s">
        <v>209</v>
      </c>
      <c r="D40" s="91"/>
      <c r="E40" s="92">
        <f>$E$31*'DIA-INCH'!$C17</f>
        <v>411000</v>
      </c>
      <c r="F40" s="93">
        <f t="shared" si="0"/>
        <v>1</v>
      </c>
      <c r="G40" s="93">
        <f t="shared" si="0"/>
        <v>411000</v>
      </c>
      <c r="H40" s="90">
        <v>1</v>
      </c>
      <c r="I40" s="92">
        <f t="shared" si="1"/>
        <v>411000</v>
      </c>
      <c r="J40" s="93">
        <f t="shared" si="4"/>
        <v>0</v>
      </c>
      <c r="K40" s="93">
        <f t="shared" si="5"/>
        <v>0</v>
      </c>
      <c r="L40" s="93">
        <f t="shared" si="3"/>
        <v>1</v>
      </c>
      <c r="M40" s="93">
        <f t="shared" si="3"/>
        <v>411000</v>
      </c>
    </row>
    <row r="41" spans="1:13" ht="27.9" hidden="1" customHeight="1" x14ac:dyDescent="0.4">
      <c r="A41" s="90" t="s">
        <v>208</v>
      </c>
      <c r="B41" s="52" t="s">
        <v>194</v>
      </c>
      <c r="C41" s="52" t="s">
        <v>123</v>
      </c>
      <c r="D41" s="91">
        <v>0</v>
      </c>
      <c r="E41" s="92">
        <f>$E$31*'DIA-INCH'!$C18</f>
        <v>479500</v>
      </c>
      <c r="F41" s="93">
        <f t="shared" si="0"/>
        <v>0</v>
      </c>
      <c r="G41" s="93">
        <f t="shared" si="0"/>
        <v>0</v>
      </c>
      <c r="H41" s="90"/>
      <c r="I41" s="92">
        <f t="shared" si="1"/>
        <v>0</v>
      </c>
      <c r="J41" s="93">
        <f t="shared" si="4"/>
        <v>0</v>
      </c>
      <c r="K41" s="93">
        <f t="shared" si="5"/>
        <v>0</v>
      </c>
      <c r="L41" s="93">
        <f t="shared" si="3"/>
        <v>0</v>
      </c>
      <c r="M41" s="93">
        <f t="shared" si="3"/>
        <v>0</v>
      </c>
    </row>
    <row r="42" spans="1:13" ht="27.9" hidden="1" customHeight="1" x14ac:dyDescent="0.4">
      <c r="A42" s="90" t="s">
        <v>208</v>
      </c>
      <c r="B42" s="52" t="s">
        <v>195</v>
      </c>
      <c r="C42" s="52" t="s">
        <v>209</v>
      </c>
      <c r="D42" s="91">
        <v>0</v>
      </c>
      <c r="E42" s="92">
        <f>$E$31*'DIA-INCH'!$C19</f>
        <v>548000</v>
      </c>
      <c r="F42" s="93">
        <f t="shared" si="0"/>
        <v>0</v>
      </c>
      <c r="G42" s="93">
        <f t="shared" si="0"/>
        <v>0</v>
      </c>
      <c r="H42" s="90"/>
      <c r="I42" s="92">
        <f t="shared" si="1"/>
        <v>0</v>
      </c>
      <c r="J42" s="93">
        <f t="shared" si="4"/>
        <v>0</v>
      </c>
      <c r="K42" s="93">
        <f t="shared" si="5"/>
        <v>0</v>
      </c>
      <c r="L42" s="93">
        <f t="shared" si="3"/>
        <v>0</v>
      </c>
      <c r="M42" s="93">
        <f t="shared" si="3"/>
        <v>0</v>
      </c>
    </row>
    <row r="43" spans="1:13" ht="27.9" hidden="1" customHeight="1" x14ac:dyDescent="0.4">
      <c r="A43" s="90" t="s">
        <v>208</v>
      </c>
      <c r="B43" s="52" t="s">
        <v>196</v>
      </c>
      <c r="C43" s="52" t="s">
        <v>209</v>
      </c>
      <c r="D43" s="91">
        <v>0</v>
      </c>
      <c r="E43" s="92">
        <f>$E$31*'DIA-INCH'!$C20</f>
        <v>616500</v>
      </c>
      <c r="F43" s="93">
        <f t="shared" si="0"/>
        <v>0</v>
      </c>
      <c r="G43" s="93">
        <f t="shared" si="0"/>
        <v>0</v>
      </c>
      <c r="H43" s="90"/>
      <c r="I43" s="92">
        <f t="shared" si="1"/>
        <v>0</v>
      </c>
      <c r="J43" s="93">
        <f t="shared" si="4"/>
        <v>0</v>
      </c>
      <c r="K43" s="93">
        <f t="shared" si="5"/>
        <v>0</v>
      </c>
      <c r="L43" s="93">
        <f t="shared" si="3"/>
        <v>0</v>
      </c>
      <c r="M43" s="93">
        <f t="shared" si="3"/>
        <v>0</v>
      </c>
    </row>
    <row r="44" spans="1:13" ht="27.9" hidden="1" customHeight="1" x14ac:dyDescent="0.4">
      <c r="A44" s="90" t="s">
        <v>208</v>
      </c>
      <c r="B44" s="52" t="s">
        <v>197</v>
      </c>
      <c r="C44" s="52" t="s">
        <v>123</v>
      </c>
      <c r="D44" s="91">
        <v>0</v>
      </c>
      <c r="E44" s="92">
        <f>$E$31*'DIA-INCH'!$C21</f>
        <v>685000</v>
      </c>
      <c r="F44" s="93">
        <f t="shared" si="0"/>
        <v>0</v>
      </c>
      <c r="G44" s="93">
        <f t="shared" si="0"/>
        <v>0</v>
      </c>
      <c r="H44" s="90"/>
      <c r="I44" s="92">
        <f t="shared" si="1"/>
        <v>0</v>
      </c>
      <c r="J44" s="93">
        <f t="shared" si="4"/>
        <v>0</v>
      </c>
      <c r="K44" s="93">
        <f t="shared" si="5"/>
        <v>0</v>
      </c>
      <c r="L44" s="93">
        <f t="shared" si="3"/>
        <v>0</v>
      </c>
      <c r="M44" s="93">
        <f t="shared" si="3"/>
        <v>0</v>
      </c>
    </row>
    <row r="45" spans="1:13" ht="27.9" hidden="1" customHeight="1" x14ac:dyDescent="0.4">
      <c r="A45" s="90" t="s">
        <v>210</v>
      </c>
      <c r="B45" s="52" t="s">
        <v>199</v>
      </c>
      <c r="C45" s="52" t="s">
        <v>123</v>
      </c>
      <c r="D45" s="91">
        <v>0</v>
      </c>
      <c r="E45" s="92">
        <f>$E$31*'DIA-INCH'!$C22</f>
        <v>822000</v>
      </c>
      <c r="F45" s="93">
        <f t="shared" si="0"/>
        <v>0</v>
      </c>
      <c r="G45" s="93">
        <f t="shared" si="0"/>
        <v>0</v>
      </c>
      <c r="H45" s="90"/>
      <c r="I45" s="92">
        <f t="shared" si="1"/>
        <v>0</v>
      </c>
      <c r="J45" s="93">
        <f t="shared" si="4"/>
        <v>0</v>
      </c>
      <c r="K45" s="93">
        <f t="shared" si="5"/>
        <v>0</v>
      </c>
      <c r="L45" s="93">
        <f t="shared" si="3"/>
        <v>0</v>
      </c>
      <c r="M45" s="93">
        <f t="shared" si="3"/>
        <v>0</v>
      </c>
    </row>
    <row r="46" spans="1:13" ht="27.9" hidden="1" customHeight="1" x14ac:dyDescent="0.4">
      <c r="A46" s="90" t="s">
        <v>208</v>
      </c>
      <c r="B46" s="52" t="s">
        <v>202</v>
      </c>
      <c r="C46" s="52" t="s">
        <v>209</v>
      </c>
      <c r="D46" s="91">
        <v>0</v>
      </c>
      <c r="E46" s="92">
        <f>$E$31*'DIA-INCH'!$C23</f>
        <v>959000</v>
      </c>
      <c r="F46" s="93">
        <f t="shared" si="0"/>
        <v>0</v>
      </c>
      <c r="G46" s="93">
        <f t="shared" si="0"/>
        <v>0</v>
      </c>
      <c r="H46" s="90"/>
      <c r="I46" s="92">
        <f t="shared" si="1"/>
        <v>0</v>
      </c>
      <c r="J46" s="93">
        <f t="shared" si="4"/>
        <v>0</v>
      </c>
      <c r="K46" s="93">
        <f t="shared" si="5"/>
        <v>0</v>
      </c>
      <c r="L46" s="93">
        <f t="shared" si="3"/>
        <v>0</v>
      </c>
      <c r="M46" s="93">
        <f t="shared" si="3"/>
        <v>0</v>
      </c>
    </row>
    <row r="47" spans="1:13" ht="27.9" hidden="1" customHeight="1" x14ac:dyDescent="0.4">
      <c r="A47" s="90" t="s">
        <v>208</v>
      </c>
      <c r="B47" s="52" t="s">
        <v>203</v>
      </c>
      <c r="C47" s="52" t="s">
        <v>214</v>
      </c>
      <c r="D47" s="91">
        <v>0</v>
      </c>
      <c r="E47" s="92">
        <f>$E$31*'DIA-INCH'!$C24</f>
        <v>1096000</v>
      </c>
      <c r="F47" s="93">
        <f t="shared" si="0"/>
        <v>0</v>
      </c>
      <c r="G47" s="93">
        <f t="shared" si="0"/>
        <v>0</v>
      </c>
      <c r="H47" s="90"/>
      <c r="I47" s="92">
        <f t="shared" si="1"/>
        <v>0</v>
      </c>
      <c r="J47" s="93">
        <f t="shared" si="4"/>
        <v>0</v>
      </c>
      <c r="K47" s="93">
        <f t="shared" si="5"/>
        <v>0</v>
      </c>
      <c r="L47" s="93">
        <f t="shared" si="3"/>
        <v>0</v>
      </c>
      <c r="M47" s="93">
        <f t="shared" si="3"/>
        <v>0</v>
      </c>
    </row>
    <row r="48" spans="1:13" ht="27.9" hidden="1" customHeight="1" x14ac:dyDescent="0.4">
      <c r="A48" s="90" t="s">
        <v>211</v>
      </c>
      <c r="B48" s="52" t="s">
        <v>204</v>
      </c>
      <c r="C48" s="52" t="s">
        <v>209</v>
      </c>
      <c r="D48" s="91">
        <v>0</v>
      </c>
      <c r="E48" s="92">
        <f>$E$31*'DIA-INCH'!$C25</f>
        <v>1233000</v>
      </c>
      <c r="F48" s="93">
        <f t="shared" si="0"/>
        <v>0</v>
      </c>
      <c r="G48" s="93">
        <f t="shared" si="0"/>
        <v>0</v>
      </c>
      <c r="H48" s="90"/>
      <c r="I48" s="92">
        <f t="shared" si="1"/>
        <v>0</v>
      </c>
      <c r="J48" s="93">
        <f t="shared" si="4"/>
        <v>0</v>
      </c>
      <c r="K48" s="93">
        <f t="shared" si="5"/>
        <v>0</v>
      </c>
      <c r="L48" s="93">
        <f t="shared" si="3"/>
        <v>0</v>
      </c>
      <c r="M48" s="93">
        <f t="shared" si="3"/>
        <v>0</v>
      </c>
    </row>
    <row r="49" spans="1:13" ht="27.9" hidden="1" customHeight="1" x14ac:dyDescent="0.4">
      <c r="A49" s="90" t="s">
        <v>208</v>
      </c>
      <c r="B49" s="52" t="s">
        <v>206</v>
      </c>
      <c r="C49" s="52" t="s">
        <v>209</v>
      </c>
      <c r="D49" s="91">
        <v>0</v>
      </c>
      <c r="E49" s="92">
        <f>$E$31*'DIA-INCH'!$C26</f>
        <v>1370000</v>
      </c>
      <c r="F49" s="93">
        <f t="shared" si="0"/>
        <v>0</v>
      </c>
      <c r="G49" s="93">
        <f t="shared" si="0"/>
        <v>0</v>
      </c>
      <c r="H49" s="90"/>
      <c r="I49" s="92">
        <f t="shared" si="1"/>
        <v>0</v>
      </c>
      <c r="J49" s="93">
        <f t="shared" si="4"/>
        <v>0</v>
      </c>
      <c r="K49" s="93">
        <f t="shared" si="5"/>
        <v>0</v>
      </c>
      <c r="L49" s="93">
        <f t="shared" si="3"/>
        <v>0</v>
      </c>
      <c r="M49" s="93">
        <f t="shared" si="3"/>
        <v>0</v>
      </c>
    </row>
    <row r="50" spans="1:13" ht="27.9" hidden="1" customHeight="1" x14ac:dyDescent="0.4">
      <c r="A50" s="90" t="s">
        <v>211</v>
      </c>
      <c r="B50" s="52" t="s">
        <v>207</v>
      </c>
      <c r="C50" s="52" t="s">
        <v>214</v>
      </c>
      <c r="D50" s="91">
        <v>0</v>
      </c>
      <c r="E50" s="92">
        <f>$E$31*'DIA-INCH'!$C27</f>
        <v>1507000</v>
      </c>
      <c r="F50" s="93">
        <f t="shared" si="0"/>
        <v>0</v>
      </c>
      <c r="G50" s="93">
        <f t="shared" si="0"/>
        <v>0</v>
      </c>
      <c r="H50" s="90"/>
      <c r="I50" s="92">
        <f t="shared" si="1"/>
        <v>0</v>
      </c>
      <c r="J50" s="93">
        <f t="shared" si="4"/>
        <v>0</v>
      </c>
      <c r="K50" s="93">
        <f t="shared" si="5"/>
        <v>0</v>
      </c>
      <c r="L50" s="93">
        <f t="shared" si="3"/>
        <v>0</v>
      </c>
      <c r="M50" s="93">
        <f t="shared" si="3"/>
        <v>0</v>
      </c>
    </row>
    <row r="51" spans="1:13" ht="27.9" customHeight="1" x14ac:dyDescent="0.4">
      <c r="A51" s="352" t="s">
        <v>216</v>
      </c>
      <c r="B51" s="353"/>
      <c r="C51" s="353"/>
      <c r="D51" s="353"/>
      <c r="E51" s="354"/>
      <c r="F51" s="119">
        <f>SUM(F5:F50)</f>
        <v>8073.5</v>
      </c>
      <c r="G51" s="94">
        <f t="shared" ref="G51:M51" si="6">SUM(G5:G50)</f>
        <v>3406584000</v>
      </c>
      <c r="H51" s="119">
        <f t="shared" si="6"/>
        <v>7607.5</v>
      </c>
      <c r="I51" s="94">
        <f t="shared" si="6"/>
        <v>3265446000</v>
      </c>
      <c r="J51" s="119">
        <f t="shared" si="6"/>
        <v>466</v>
      </c>
      <c r="K51" s="94">
        <f t="shared" si="6"/>
        <v>141138000</v>
      </c>
      <c r="L51" s="119">
        <f t="shared" si="6"/>
        <v>8073.5</v>
      </c>
      <c r="M51" s="94">
        <f t="shared" si="6"/>
        <v>3406584000</v>
      </c>
    </row>
    <row r="55" spans="1:13" x14ac:dyDescent="0.4">
      <c r="G55" s="232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5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188"/>
  <sheetViews>
    <sheetView view="pageBreakPreview" topLeftCell="P70" zoomScaleNormal="70" zoomScaleSheetLayoutView="100" workbookViewId="0">
      <selection activeCell="AP90" sqref="AP90"/>
    </sheetView>
  </sheetViews>
  <sheetFormatPr defaultRowHeight="17.399999999999999" x14ac:dyDescent="0.4"/>
  <cols>
    <col min="1" max="1" width="6.3984375" style="104" bestFit="1" customWidth="1"/>
    <col min="2" max="2" width="9.19921875" style="104" customWidth="1"/>
    <col min="3" max="3" width="18.09765625" style="104" customWidth="1"/>
    <col min="4" max="4" width="11.19921875" style="104" customWidth="1"/>
    <col min="5" max="5" width="18.09765625" style="104" customWidth="1"/>
    <col min="6" max="6" width="11.09765625" style="104" customWidth="1"/>
    <col min="7" max="7" width="9.3984375" style="108" customWidth="1"/>
    <col min="8" max="8" width="21.59765625" style="108" customWidth="1"/>
    <col min="9" max="39" width="7.59765625" style="104" customWidth="1"/>
    <col min="40" max="40" width="11.8984375" style="104" customWidth="1"/>
    <col min="41" max="41" width="15.8984375" style="105" bestFit="1" customWidth="1"/>
    <col min="42" max="42" width="18.19921875" style="107" customWidth="1"/>
  </cols>
  <sheetData>
    <row r="1" spans="1:42" ht="32.1" customHeight="1" x14ac:dyDescent="0.4">
      <c r="A1" s="364" t="s">
        <v>708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6"/>
      <c r="AH1" s="373" t="s">
        <v>217</v>
      </c>
      <c r="AI1" s="374"/>
      <c r="AJ1" s="374"/>
      <c r="AK1" s="374"/>
      <c r="AL1" s="375"/>
      <c r="AM1" s="376" t="str">
        <f>'용역청구서 표지'!$B$7</f>
        <v>P4 Ph4 GAS 1공구 마감공사</v>
      </c>
      <c r="AN1" s="377"/>
      <c r="AO1" s="377"/>
      <c r="AP1" s="378"/>
    </row>
    <row r="2" spans="1:42" ht="32.1" customHeight="1" x14ac:dyDescent="0.4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  <c r="AA2" s="368"/>
      <c r="AB2" s="368"/>
      <c r="AC2" s="368"/>
      <c r="AD2" s="368"/>
      <c r="AE2" s="368"/>
      <c r="AF2" s="368"/>
      <c r="AG2" s="369"/>
      <c r="AH2" s="373" t="s">
        <v>218</v>
      </c>
      <c r="AI2" s="374"/>
      <c r="AJ2" s="374"/>
      <c r="AK2" s="374"/>
      <c r="AL2" s="375"/>
      <c r="AM2" s="376" t="s">
        <v>311</v>
      </c>
      <c r="AN2" s="377"/>
      <c r="AO2" s="377"/>
      <c r="AP2" s="378"/>
    </row>
    <row r="3" spans="1:42" ht="32.1" customHeight="1" x14ac:dyDescent="0.4">
      <c r="A3" s="370"/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2"/>
      <c r="AH3" s="373" t="s">
        <v>219</v>
      </c>
      <c r="AI3" s="374"/>
      <c r="AJ3" s="374"/>
      <c r="AK3" s="374"/>
      <c r="AL3" s="375"/>
      <c r="AM3" s="376" t="str">
        <f>'용역청구서 표지'!$C$8</f>
        <v>S25-004</v>
      </c>
      <c r="AN3" s="377"/>
      <c r="AO3" s="377"/>
      <c r="AP3" s="378"/>
    </row>
    <row r="4" spans="1:42" ht="24.9" customHeight="1" thickBot="1" x14ac:dyDescent="0.45">
      <c r="A4" s="96"/>
      <c r="B4" s="96"/>
      <c r="C4" s="96"/>
      <c r="D4" s="96"/>
      <c r="E4" s="96"/>
      <c r="F4" s="96"/>
      <c r="G4" s="97"/>
      <c r="H4" s="97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8"/>
      <c r="AI4" s="98"/>
      <c r="AJ4" s="98"/>
      <c r="AK4" s="98"/>
      <c r="AL4" s="98"/>
      <c r="AM4" s="98"/>
      <c r="AN4" s="98"/>
      <c r="AO4" s="99"/>
      <c r="AP4" s="100"/>
    </row>
    <row r="5" spans="1:42" s="162" customFormat="1" ht="24.9" customHeight="1" thickBot="1" x14ac:dyDescent="0.45">
      <c r="A5" s="234" t="s">
        <v>220</v>
      </c>
      <c r="B5" s="235" t="s">
        <v>221</v>
      </c>
      <c r="C5" s="235" t="s">
        <v>222</v>
      </c>
      <c r="D5" s="235" t="s">
        <v>223</v>
      </c>
      <c r="E5" s="235" t="s">
        <v>224</v>
      </c>
      <c r="F5" s="235" t="s">
        <v>225</v>
      </c>
      <c r="G5" s="236" t="s">
        <v>226</v>
      </c>
      <c r="H5" s="237" t="s">
        <v>227</v>
      </c>
      <c r="I5" s="271">
        <v>1</v>
      </c>
      <c r="J5" s="226">
        <v>2</v>
      </c>
      <c r="K5" s="226">
        <v>3</v>
      </c>
      <c r="L5" s="161">
        <v>4</v>
      </c>
      <c r="M5" s="160">
        <v>5</v>
      </c>
      <c r="N5" s="226">
        <v>6</v>
      </c>
      <c r="O5" s="226">
        <v>7</v>
      </c>
      <c r="P5" s="226">
        <v>8</v>
      </c>
      <c r="Q5" s="226">
        <v>9</v>
      </c>
      <c r="R5" s="226">
        <v>10</v>
      </c>
      <c r="S5" s="161">
        <v>11</v>
      </c>
      <c r="T5" s="160">
        <v>12</v>
      </c>
      <c r="U5" s="226">
        <v>13</v>
      </c>
      <c r="V5" s="226">
        <v>14</v>
      </c>
      <c r="W5" s="226">
        <v>15</v>
      </c>
      <c r="X5" s="226">
        <v>16</v>
      </c>
      <c r="Y5" s="226">
        <v>17</v>
      </c>
      <c r="Z5" s="161">
        <v>18</v>
      </c>
      <c r="AA5" s="160">
        <v>19</v>
      </c>
      <c r="AB5" s="226">
        <v>20</v>
      </c>
      <c r="AC5" s="226">
        <v>21</v>
      </c>
      <c r="AD5" s="226">
        <v>22</v>
      </c>
      <c r="AE5" s="226">
        <v>23</v>
      </c>
      <c r="AF5" s="226">
        <v>24</v>
      </c>
      <c r="AG5" s="161">
        <v>25</v>
      </c>
      <c r="AH5" s="160">
        <v>26</v>
      </c>
      <c r="AI5" s="226">
        <v>27</v>
      </c>
      <c r="AJ5" s="226">
        <v>28</v>
      </c>
      <c r="AK5" s="226">
        <v>29</v>
      </c>
      <c r="AL5" s="226">
        <v>30</v>
      </c>
      <c r="AM5" s="226">
        <v>31</v>
      </c>
      <c r="AN5" s="238" t="s">
        <v>228</v>
      </c>
      <c r="AO5" s="235" t="s">
        <v>229</v>
      </c>
      <c r="AP5" s="239" t="s">
        <v>230</v>
      </c>
    </row>
    <row r="6" spans="1:42" s="162" customFormat="1" ht="24.9" customHeight="1" x14ac:dyDescent="0.4">
      <c r="A6" s="178">
        <v>1</v>
      </c>
      <c r="B6" s="272" t="s">
        <v>432</v>
      </c>
      <c r="C6" s="273" t="s">
        <v>433</v>
      </c>
      <c r="D6" s="273" t="s">
        <v>235</v>
      </c>
      <c r="E6" s="273" t="s">
        <v>434</v>
      </c>
      <c r="F6" s="274" t="s">
        <v>435</v>
      </c>
      <c r="G6" s="272" t="s">
        <v>432</v>
      </c>
      <c r="H6" s="275" t="s">
        <v>436</v>
      </c>
      <c r="I6" s="282">
        <v>1.5</v>
      </c>
      <c r="J6" s="283">
        <v>1.5</v>
      </c>
      <c r="K6" s="283">
        <v>1.5</v>
      </c>
      <c r="L6" s="283">
        <v>1</v>
      </c>
      <c r="M6" s="283"/>
      <c r="N6" s="283">
        <v>1.5</v>
      </c>
      <c r="O6" s="283">
        <v>1.5</v>
      </c>
      <c r="P6" s="283">
        <v>1.5</v>
      </c>
      <c r="Q6" s="283">
        <v>1.5</v>
      </c>
      <c r="R6" s="283">
        <v>1.5</v>
      </c>
      <c r="S6" s="283">
        <v>1</v>
      </c>
      <c r="T6" s="283"/>
      <c r="U6" s="283">
        <v>1.5</v>
      </c>
      <c r="V6" s="283">
        <v>1</v>
      </c>
      <c r="W6" s="283">
        <v>0.75</v>
      </c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84"/>
      <c r="AN6" s="179">
        <f>SUM(I6:AM6)</f>
        <v>17.25</v>
      </c>
      <c r="AO6" s="291">
        <v>230000</v>
      </c>
      <c r="AP6" s="180">
        <f>AN6*AO6</f>
        <v>3967500</v>
      </c>
    </row>
    <row r="7" spans="1:42" s="162" customFormat="1" ht="24.9" customHeight="1" x14ac:dyDescent="0.4">
      <c r="A7" s="181">
        <v>2</v>
      </c>
      <c r="B7" s="183" t="s">
        <v>709</v>
      </c>
      <c r="C7" s="255" t="s">
        <v>710</v>
      </c>
      <c r="D7" s="255" t="s">
        <v>235</v>
      </c>
      <c r="E7" s="255" t="s">
        <v>711</v>
      </c>
      <c r="F7" s="245" t="s">
        <v>444</v>
      </c>
      <c r="G7" s="183" t="s">
        <v>709</v>
      </c>
      <c r="H7" s="276" t="s">
        <v>712</v>
      </c>
      <c r="I7" s="285"/>
      <c r="J7" s="286"/>
      <c r="K7" s="286"/>
      <c r="L7" s="286"/>
      <c r="M7" s="286"/>
      <c r="N7" s="286"/>
      <c r="O7" s="286"/>
      <c r="P7" s="286">
        <v>1</v>
      </c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86"/>
      <c r="AI7" s="286"/>
      <c r="AJ7" s="286"/>
      <c r="AK7" s="286"/>
      <c r="AL7" s="286"/>
      <c r="AM7" s="287"/>
      <c r="AN7" s="227">
        <f>SUM(I7:AM7)</f>
        <v>1</v>
      </c>
      <c r="AO7" s="240">
        <v>220000</v>
      </c>
      <c r="AP7" s="228">
        <f>AN7*AO7</f>
        <v>220000</v>
      </c>
    </row>
    <row r="8" spans="1:42" s="162" customFormat="1" ht="24.9" customHeight="1" x14ac:dyDescent="0.4">
      <c r="A8" s="181">
        <v>3</v>
      </c>
      <c r="B8" s="183" t="s">
        <v>437</v>
      </c>
      <c r="C8" s="255" t="s">
        <v>438</v>
      </c>
      <c r="D8" s="255" t="s">
        <v>231</v>
      </c>
      <c r="E8" s="255" t="s">
        <v>439</v>
      </c>
      <c r="F8" s="245" t="s">
        <v>237</v>
      </c>
      <c r="G8" s="183" t="s">
        <v>437</v>
      </c>
      <c r="H8" s="276" t="s">
        <v>440</v>
      </c>
      <c r="I8" s="285">
        <v>1.5</v>
      </c>
      <c r="J8" s="286">
        <v>1.5</v>
      </c>
      <c r="K8" s="286">
        <v>1.5</v>
      </c>
      <c r="L8" s="286">
        <v>1</v>
      </c>
      <c r="M8" s="286"/>
      <c r="N8" s="286"/>
      <c r="O8" s="286"/>
      <c r="P8" s="286">
        <v>1.5</v>
      </c>
      <c r="Q8" s="286">
        <v>1.5</v>
      </c>
      <c r="R8" s="286">
        <v>1.5</v>
      </c>
      <c r="S8" s="286">
        <v>1</v>
      </c>
      <c r="T8" s="286"/>
      <c r="U8" s="286"/>
      <c r="V8" s="286"/>
      <c r="W8" s="286">
        <v>2</v>
      </c>
      <c r="X8" s="286">
        <v>2</v>
      </c>
      <c r="Y8" s="286">
        <v>1.5</v>
      </c>
      <c r="Z8" s="286">
        <v>1</v>
      </c>
      <c r="AA8" s="286"/>
      <c r="AB8" s="286">
        <v>2</v>
      </c>
      <c r="AC8" s="286">
        <v>2</v>
      </c>
      <c r="AD8" s="286">
        <v>2</v>
      </c>
      <c r="AE8" s="286">
        <v>2</v>
      </c>
      <c r="AF8" s="286">
        <v>1</v>
      </c>
      <c r="AG8" s="286"/>
      <c r="AH8" s="286"/>
      <c r="AI8" s="286">
        <v>1</v>
      </c>
      <c r="AJ8" s="286">
        <v>1</v>
      </c>
      <c r="AK8" s="286">
        <v>1</v>
      </c>
      <c r="AL8" s="286">
        <v>1</v>
      </c>
      <c r="AM8" s="287">
        <v>1</v>
      </c>
      <c r="AN8" s="227">
        <f t="shared" ref="AN8:AN71" si="0">SUM(I8:AM8)</f>
        <v>31.5</v>
      </c>
      <c r="AO8" s="240">
        <v>150000</v>
      </c>
      <c r="AP8" s="228">
        <f t="shared" ref="AP8:AP71" si="1">AN8*AO8</f>
        <v>4725000</v>
      </c>
    </row>
    <row r="9" spans="1:42" s="162" customFormat="1" ht="24.9" customHeight="1" x14ac:dyDescent="0.4">
      <c r="A9" s="181">
        <v>4</v>
      </c>
      <c r="B9" s="183" t="s">
        <v>441</v>
      </c>
      <c r="C9" s="255" t="s">
        <v>442</v>
      </c>
      <c r="D9" s="255" t="s">
        <v>231</v>
      </c>
      <c r="E9" s="255" t="s">
        <v>443</v>
      </c>
      <c r="F9" s="245" t="s">
        <v>444</v>
      </c>
      <c r="G9" s="183" t="s">
        <v>441</v>
      </c>
      <c r="H9" s="276" t="s">
        <v>445</v>
      </c>
      <c r="I9" s="285">
        <v>1.5</v>
      </c>
      <c r="J9" s="286">
        <v>1.5</v>
      </c>
      <c r="K9" s="286">
        <v>1.5</v>
      </c>
      <c r="L9" s="286">
        <v>0.875</v>
      </c>
      <c r="M9" s="286"/>
      <c r="N9" s="286">
        <v>1.5</v>
      </c>
      <c r="O9" s="286">
        <v>1.5</v>
      </c>
      <c r="P9" s="286">
        <v>1.5</v>
      </c>
      <c r="Q9" s="286">
        <v>1.5</v>
      </c>
      <c r="R9" s="286">
        <v>1.5</v>
      </c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86"/>
      <c r="AI9" s="286"/>
      <c r="AJ9" s="286"/>
      <c r="AK9" s="286"/>
      <c r="AL9" s="286"/>
      <c r="AM9" s="287"/>
      <c r="AN9" s="227">
        <f t="shared" si="0"/>
        <v>12.875</v>
      </c>
      <c r="AO9" s="240">
        <v>150000</v>
      </c>
      <c r="AP9" s="228">
        <f t="shared" si="1"/>
        <v>1931250</v>
      </c>
    </row>
    <row r="10" spans="1:42" s="162" customFormat="1" ht="24.9" customHeight="1" x14ac:dyDescent="0.4">
      <c r="A10" s="181">
        <v>5</v>
      </c>
      <c r="B10" s="183" t="s">
        <v>446</v>
      </c>
      <c r="C10" s="255" t="s">
        <v>447</v>
      </c>
      <c r="D10" s="255" t="s">
        <v>231</v>
      </c>
      <c r="E10" s="255" t="s">
        <v>448</v>
      </c>
      <c r="F10" s="245" t="s">
        <v>444</v>
      </c>
      <c r="G10" s="183" t="s">
        <v>446</v>
      </c>
      <c r="H10" s="276" t="s">
        <v>449</v>
      </c>
      <c r="I10" s="285">
        <v>1.5</v>
      </c>
      <c r="J10" s="286">
        <v>1.5</v>
      </c>
      <c r="K10" s="286">
        <v>1.5</v>
      </c>
      <c r="L10" s="286"/>
      <c r="M10" s="286"/>
      <c r="N10" s="286">
        <v>1.5</v>
      </c>
      <c r="O10" s="286">
        <v>1.5</v>
      </c>
      <c r="P10" s="286">
        <v>1.5</v>
      </c>
      <c r="Q10" s="286">
        <v>1.5</v>
      </c>
      <c r="R10" s="286">
        <v>1.5</v>
      </c>
      <c r="S10" s="286"/>
      <c r="T10" s="286"/>
      <c r="U10" s="286">
        <v>1.5</v>
      </c>
      <c r="V10" s="286">
        <v>2</v>
      </c>
      <c r="W10" s="286">
        <v>2</v>
      </c>
      <c r="X10" s="286">
        <v>2</v>
      </c>
      <c r="Y10" s="286">
        <v>1.5</v>
      </c>
      <c r="Z10" s="286"/>
      <c r="AA10" s="286"/>
      <c r="AB10" s="286">
        <v>2</v>
      </c>
      <c r="AC10" s="286">
        <v>2</v>
      </c>
      <c r="AD10" s="286">
        <v>2</v>
      </c>
      <c r="AE10" s="286">
        <v>2</v>
      </c>
      <c r="AF10" s="286">
        <v>1</v>
      </c>
      <c r="AG10" s="286"/>
      <c r="AH10" s="286"/>
      <c r="AI10" s="286"/>
      <c r="AJ10" s="286"/>
      <c r="AK10" s="286"/>
      <c r="AL10" s="286"/>
      <c r="AM10" s="287"/>
      <c r="AN10" s="227">
        <f t="shared" si="0"/>
        <v>30</v>
      </c>
      <c r="AO10" s="240">
        <v>160000</v>
      </c>
      <c r="AP10" s="228">
        <f t="shared" si="1"/>
        <v>4800000</v>
      </c>
    </row>
    <row r="11" spans="1:42" s="162" customFormat="1" ht="24.9" customHeight="1" x14ac:dyDescent="0.4">
      <c r="A11" s="181">
        <v>6</v>
      </c>
      <c r="B11" s="183" t="s">
        <v>450</v>
      </c>
      <c r="C11" s="255" t="s">
        <v>451</v>
      </c>
      <c r="D11" s="255" t="s">
        <v>233</v>
      </c>
      <c r="E11" s="255" t="s">
        <v>452</v>
      </c>
      <c r="F11" s="245" t="s">
        <v>444</v>
      </c>
      <c r="G11" s="183" t="s">
        <v>450</v>
      </c>
      <c r="H11" s="276" t="s">
        <v>453</v>
      </c>
      <c r="I11" s="285">
        <v>1.5</v>
      </c>
      <c r="J11" s="286">
        <v>1.5</v>
      </c>
      <c r="K11" s="286">
        <v>1.5</v>
      </c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  <c r="AL11" s="286"/>
      <c r="AM11" s="287"/>
      <c r="AN11" s="227">
        <f t="shared" si="0"/>
        <v>4.5</v>
      </c>
      <c r="AO11" s="240">
        <v>240000</v>
      </c>
      <c r="AP11" s="228">
        <f t="shared" si="1"/>
        <v>1080000</v>
      </c>
    </row>
    <row r="12" spans="1:42" s="162" customFormat="1" ht="24.9" customHeight="1" x14ac:dyDescent="0.4">
      <c r="A12" s="181">
        <v>7</v>
      </c>
      <c r="B12" s="183" t="s">
        <v>450</v>
      </c>
      <c r="C12" s="255" t="s">
        <v>713</v>
      </c>
      <c r="D12" s="255" t="s">
        <v>235</v>
      </c>
      <c r="E12" s="255" t="s">
        <v>714</v>
      </c>
      <c r="F12" s="245" t="s">
        <v>238</v>
      </c>
      <c r="G12" s="183" t="s">
        <v>450</v>
      </c>
      <c r="H12" s="276" t="s">
        <v>715</v>
      </c>
      <c r="I12" s="285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>
        <v>1.5</v>
      </c>
      <c r="V12" s="286">
        <v>2</v>
      </c>
      <c r="W12" s="286">
        <v>2</v>
      </c>
      <c r="X12" s="286">
        <v>2</v>
      </c>
      <c r="Y12" s="286">
        <v>1.5</v>
      </c>
      <c r="Z12" s="286">
        <v>1</v>
      </c>
      <c r="AA12" s="286"/>
      <c r="AB12" s="286">
        <v>2</v>
      </c>
      <c r="AC12" s="286">
        <v>2</v>
      </c>
      <c r="AD12" s="286">
        <v>2</v>
      </c>
      <c r="AE12" s="286">
        <v>2</v>
      </c>
      <c r="AF12" s="286">
        <v>1</v>
      </c>
      <c r="AG12" s="286"/>
      <c r="AH12" s="286"/>
      <c r="AI12" s="286">
        <v>1</v>
      </c>
      <c r="AJ12" s="286">
        <v>1</v>
      </c>
      <c r="AK12" s="286">
        <v>1</v>
      </c>
      <c r="AL12" s="286">
        <v>1</v>
      </c>
      <c r="AM12" s="287">
        <v>1</v>
      </c>
      <c r="AN12" s="227">
        <f t="shared" si="0"/>
        <v>24</v>
      </c>
      <c r="AO12" s="240">
        <v>200000</v>
      </c>
      <c r="AP12" s="228">
        <f t="shared" si="1"/>
        <v>4800000</v>
      </c>
    </row>
    <row r="13" spans="1:42" s="162" customFormat="1" ht="24.9" customHeight="1" x14ac:dyDescent="0.4">
      <c r="A13" s="181">
        <v>8</v>
      </c>
      <c r="B13" s="183" t="s">
        <v>454</v>
      </c>
      <c r="C13" s="255" t="s">
        <v>455</v>
      </c>
      <c r="D13" s="255" t="s">
        <v>231</v>
      </c>
      <c r="E13" s="255" t="s">
        <v>456</v>
      </c>
      <c r="F13" s="245" t="s">
        <v>232</v>
      </c>
      <c r="G13" s="183" t="s">
        <v>454</v>
      </c>
      <c r="H13" s="276" t="s">
        <v>457</v>
      </c>
      <c r="I13" s="285">
        <v>1.5</v>
      </c>
      <c r="J13" s="286"/>
      <c r="K13" s="286">
        <v>1.5</v>
      </c>
      <c r="L13" s="286">
        <v>1</v>
      </c>
      <c r="M13" s="286"/>
      <c r="N13" s="286">
        <v>1.5</v>
      </c>
      <c r="O13" s="286">
        <v>1.5</v>
      </c>
      <c r="P13" s="286">
        <v>1.5</v>
      </c>
      <c r="Q13" s="286"/>
      <c r="R13" s="286"/>
      <c r="S13" s="286"/>
      <c r="T13" s="286"/>
      <c r="U13" s="286"/>
      <c r="V13" s="286"/>
      <c r="W13" s="286"/>
      <c r="X13" s="286"/>
      <c r="Y13" s="286">
        <v>1.5</v>
      </c>
      <c r="Z13" s="286">
        <v>1</v>
      </c>
      <c r="AA13" s="286"/>
      <c r="AB13" s="286">
        <v>2</v>
      </c>
      <c r="AC13" s="286">
        <v>2</v>
      </c>
      <c r="AD13" s="286">
        <v>2</v>
      </c>
      <c r="AE13" s="286">
        <v>2</v>
      </c>
      <c r="AF13" s="286">
        <v>1</v>
      </c>
      <c r="AG13" s="286"/>
      <c r="AH13" s="286"/>
      <c r="AI13" s="286">
        <v>1</v>
      </c>
      <c r="AJ13" s="286">
        <v>1</v>
      </c>
      <c r="AK13" s="286">
        <v>1</v>
      </c>
      <c r="AL13" s="286">
        <v>1</v>
      </c>
      <c r="AM13" s="287">
        <v>1</v>
      </c>
      <c r="AN13" s="227">
        <f t="shared" si="0"/>
        <v>25</v>
      </c>
      <c r="AO13" s="240">
        <v>150000</v>
      </c>
      <c r="AP13" s="228">
        <f t="shared" si="1"/>
        <v>3750000</v>
      </c>
    </row>
    <row r="14" spans="1:42" s="162" customFormat="1" ht="24.9" customHeight="1" x14ac:dyDescent="0.4">
      <c r="A14" s="181">
        <v>9</v>
      </c>
      <c r="B14" s="183" t="s">
        <v>458</v>
      </c>
      <c r="C14" s="255" t="s">
        <v>459</v>
      </c>
      <c r="D14" s="255" t="s">
        <v>233</v>
      </c>
      <c r="E14" s="255" t="s">
        <v>460</v>
      </c>
      <c r="F14" s="245" t="s">
        <v>238</v>
      </c>
      <c r="G14" s="183" t="s">
        <v>458</v>
      </c>
      <c r="H14" s="276" t="s">
        <v>461</v>
      </c>
      <c r="I14" s="285">
        <v>1.5</v>
      </c>
      <c r="J14" s="286">
        <v>1.375</v>
      </c>
      <c r="K14" s="286">
        <v>1.5</v>
      </c>
      <c r="L14" s="286"/>
      <c r="M14" s="286"/>
      <c r="N14" s="286">
        <v>1.5</v>
      </c>
      <c r="O14" s="286">
        <v>1.5</v>
      </c>
      <c r="P14" s="286">
        <v>1.5</v>
      </c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7"/>
      <c r="AN14" s="227">
        <f t="shared" si="0"/>
        <v>8.875</v>
      </c>
      <c r="AO14" s="242">
        <v>240000</v>
      </c>
      <c r="AP14" s="228">
        <f t="shared" si="1"/>
        <v>2130000</v>
      </c>
    </row>
    <row r="15" spans="1:42" s="162" customFormat="1" ht="24.9" customHeight="1" x14ac:dyDescent="0.4">
      <c r="A15" s="181">
        <v>10</v>
      </c>
      <c r="B15" s="183" t="s">
        <v>462</v>
      </c>
      <c r="C15" s="255" t="s">
        <v>463</v>
      </c>
      <c r="D15" s="255" t="s">
        <v>235</v>
      </c>
      <c r="E15" s="255" t="s">
        <v>464</v>
      </c>
      <c r="F15" s="245" t="s">
        <v>444</v>
      </c>
      <c r="G15" s="183" t="s">
        <v>462</v>
      </c>
      <c r="H15" s="276" t="s">
        <v>465</v>
      </c>
      <c r="I15" s="285">
        <v>1.5</v>
      </c>
      <c r="J15" s="286">
        <v>1.5</v>
      </c>
      <c r="K15" s="286">
        <v>1</v>
      </c>
      <c r="L15" s="286"/>
      <c r="M15" s="286"/>
      <c r="N15" s="286">
        <v>0.5</v>
      </c>
      <c r="O15" s="286">
        <v>1.5</v>
      </c>
      <c r="P15" s="286">
        <v>1.5</v>
      </c>
      <c r="Q15" s="286">
        <v>1.5</v>
      </c>
      <c r="R15" s="286">
        <v>1.5</v>
      </c>
      <c r="S15" s="286">
        <v>0.5</v>
      </c>
      <c r="T15" s="286"/>
      <c r="U15" s="286">
        <v>1.5</v>
      </c>
      <c r="V15" s="286">
        <v>2</v>
      </c>
      <c r="W15" s="286">
        <v>2</v>
      </c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7"/>
      <c r="AN15" s="227">
        <f t="shared" si="0"/>
        <v>16.5</v>
      </c>
      <c r="AO15" s="242">
        <v>220000</v>
      </c>
      <c r="AP15" s="228">
        <f t="shared" si="1"/>
        <v>3630000</v>
      </c>
    </row>
    <row r="16" spans="1:42" s="162" customFormat="1" ht="24.9" customHeight="1" x14ac:dyDescent="0.4">
      <c r="A16" s="181">
        <v>11</v>
      </c>
      <c r="B16" s="183" t="s">
        <v>466</v>
      </c>
      <c r="C16" s="255" t="s">
        <v>467</v>
      </c>
      <c r="D16" s="255" t="s">
        <v>716</v>
      </c>
      <c r="E16" s="255" t="s">
        <v>468</v>
      </c>
      <c r="F16" s="245" t="s">
        <v>444</v>
      </c>
      <c r="G16" s="183" t="s">
        <v>466</v>
      </c>
      <c r="H16" s="276" t="s">
        <v>469</v>
      </c>
      <c r="I16" s="285">
        <v>1.5</v>
      </c>
      <c r="J16" s="286">
        <v>1.5</v>
      </c>
      <c r="K16" s="286">
        <v>1.5</v>
      </c>
      <c r="L16" s="286">
        <v>1</v>
      </c>
      <c r="M16" s="286"/>
      <c r="N16" s="286">
        <v>1.5</v>
      </c>
      <c r="O16" s="286">
        <v>1.5</v>
      </c>
      <c r="P16" s="286">
        <v>1.5</v>
      </c>
      <c r="Q16" s="286">
        <v>1.5</v>
      </c>
      <c r="R16" s="286">
        <v>1.5</v>
      </c>
      <c r="S16" s="286">
        <v>0.5</v>
      </c>
      <c r="T16" s="286"/>
      <c r="U16" s="286">
        <v>1.5</v>
      </c>
      <c r="V16" s="286">
        <v>2</v>
      </c>
      <c r="W16" s="286">
        <v>2</v>
      </c>
      <c r="X16" s="286">
        <v>1.875</v>
      </c>
      <c r="Y16" s="286">
        <v>1.5</v>
      </c>
      <c r="Z16" s="286">
        <v>1</v>
      </c>
      <c r="AA16" s="286"/>
      <c r="AB16" s="286">
        <v>2</v>
      </c>
      <c r="AC16" s="286">
        <v>2</v>
      </c>
      <c r="AD16" s="286">
        <v>2</v>
      </c>
      <c r="AE16" s="286"/>
      <c r="AF16" s="286"/>
      <c r="AG16" s="286"/>
      <c r="AH16" s="286"/>
      <c r="AI16" s="286"/>
      <c r="AJ16" s="286"/>
      <c r="AK16" s="286"/>
      <c r="AL16" s="286"/>
      <c r="AM16" s="287"/>
      <c r="AN16" s="227">
        <f t="shared" si="0"/>
        <v>29.375</v>
      </c>
      <c r="AO16" s="240">
        <v>220000</v>
      </c>
      <c r="AP16" s="228">
        <f t="shared" si="1"/>
        <v>6462500</v>
      </c>
    </row>
    <row r="17" spans="1:42" s="162" customFormat="1" ht="24.9" customHeight="1" x14ac:dyDescent="0.4">
      <c r="A17" s="181">
        <v>12</v>
      </c>
      <c r="B17" s="183" t="s">
        <v>470</v>
      </c>
      <c r="C17" s="255" t="s">
        <v>471</v>
      </c>
      <c r="D17" s="255" t="s">
        <v>233</v>
      </c>
      <c r="E17" s="255" t="s">
        <v>472</v>
      </c>
      <c r="F17" s="245" t="s">
        <v>236</v>
      </c>
      <c r="G17" s="183" t="s">
        <v>470</v>
      </c>
      <c r="H17" s="276" t="s">
        <v>473</v>
      </c>
      <c r="I17" s="285">
        <v>1.5</v>
      </c>
      <c r="J17" s="286">
        <v>1.5</v>
      </c>
      <c r="K17" s="286">
        <v>1.5</v>
      </c>
      <c r="L17" s="286">
        <v>1</v>
      </c>
      <c r="M17" s="286"/>
      <c r="N17" s="286">
        <v>1.5</v>
      </c>
      <c r="O17" s="286">
        <v>1.5</v>
      </c>
      <c r="P17" s="286">
        <v>1.5</v>
      </c>
      <c r="Q17" s="286">
        <v>1.5</v>
      </c>
      <c r="R17" s="286">
        <v>1.5</v>
      </c>
      <c r="S17" s="286">
        <v>1</v>
      </c>
      <c r="T17" s="286"/>
      <c r="U17" s="286">
        <v>1.5</v>
      </c>
      <c r="V17" s="286">
        <v>2</v>
      </c>
      <c r="W17" s="286">
        <v>2</v>
      </c>
      <c r="X17" s="286">
        <v>2</v>
      </c>
      <c r="Y17" s="286">
        <v>1.3125</v>
      </c>
      <c r="Z17" s="286">
        <v>1</v>
      </c>
      <c r="AA17" s="286"/>
      <c r="AB17" s="286">
        <v>2</v>
      </c>
      <c r="AC17" s="286">
        <v>2</v>
      </c>
      <c r="AD17" s="286">
        <v>2</v>
      </c>
      <c r="AE17" s="286">
        <v>2</v>
      </c>
      <c r="AF17" s="286">
        <v>1</v>
      </c>
      <c r="AG17" s="286"/>
      <c r="AH17" s="286"/>
      <c r="AI17" s="286">
        <v>1</v>
      </c>
      <c r="AJ17" s="286">
        <v>1</v>
      </c>
      <c r="AK17" s="286">
        <v>1</v>
      </c>
      <c r="AL17" s="286">
        <v>1</v>
      </c>
      <c r="AM17" s="287">
        <v>1</v>
      </c>
      <c r="AN17" s="227">
        <f t="shared" si="0"/>
        <v>37.8125</v>
      </c>
      <c r="AO17" s="240">
        <v>240000</v>
      </c>
      <c r="AP17" s="228">
        <f t="shared" si="1"/>
        <v>9075000</v>
      </c>
    </row>
    <row r="18" spans="1:42" s="162" customFormat="1" ht="24.9" customHeight="1" x14ac:dyDescent="0.4">
      <c r="A18" s="181">
        <v>13</v>
      </c>
      <c r="B18" s="183" t="s">
        <v>474</v>
      </c>
      <c r="C18" s="255" t="s">
        <v>475</v>
      </c>
      <c r="D18" s="255" t="s">
        <v>717</v>
      </c>
      <c r="E18" s="255" t="s">
        <v>476</v>
      </c>
      <c r="F18" s="245" t="s">
        <v>237</v>
      </c>
      <c r="G18" s="183" t="s">
        <v>474</v>
      </c>
      <c r="H18" s="276" t="s">
        <v>477</v>
      </c>
      <c r="I18" s="285">
        <v>1</v>
      </c>
      <c r="J18" s="286">
        <v>0.25</v>
      </c>
      <c r="K18" s="286">
        <v>1</v>
      </c>
      <c r="L18" s="286">
        <v>0.25</v>
      </c>
      <c r="M18" s="286"/>
      <c r="N18" s="286">
        <v>1</v>
      </c>
      <c r="O18" s="286">
        <v>1</v>
      </c>
      <c r="P18" s="286">
        <v>1</v>
      </c>
      <c r="Q18" s="286">
        <v>0.25</v>
      </c>
      <c r="R18" s="286">
        <v>1</v>
      </c>
      <c r="S18" s="286">
        <v>0.375</v>
      </c>
      <c r="T18" s="286"/>
      <c r="U18" s="286">
        <v>1.25</v>
      </c>
      <c r="V18" s="286">
        <v>1.25</v>
      </c>
      <c r="W18" s="286">
        <v>1.5</v>
      </c>
      <c r="X18" s="286"/>
      <c r="Y18" s="286">
        <v>1.5</v>
      </c>
      <c r="Z18" s="286">
        <v>0.75</v>
      </c>
      <c r="AA18" s="286"/>
      <c r="AB18" s="286">
        <v>1.75</v>
      </c>
      <c r="AC18" s="286">
        <v>2</v>
      </c>
      <c r="AD18" s="286">
        <v>1.75</v>
      </c>
      <c r="AE18" s="286">
        <v>1.75</v>
      </c>
      <c r="AF18" s="286">
        <v>0.5</v>
      </c>
      <c r="AG18" s="286"/>
      <c r="AH18" s="286"/>
      <c r="AI18" s="286"/>
      <c r="AJ18" s="286"/>
      <c r="AK18" s="286"/>
      <c r="AL18" s="286"/>
      <c r="AM18" s="287"/>
      <c r="AN18" s="227">
        <f t="shared" si="0"/>
        <v>21.125</v>
      </c>
      <c r="AO18" s="240">
        <v>250000</v>
      </c>
      <c r="AP18" s="228">
        <f t="shared" si="1"/>
        <v>5281250</v>
      </c>
    </row>
    <row r="19" spans="1:42" s="162" customFormat="1" ht="24.9" customHeight="1" x14ac:dyDescent="0.4">
      <c r="A19" s="181">
        <v>14</v>
      </c>
      <c r="B19" s="183" t="s">
        <v>718</v>
      </c>
      <c r="C19" s="255" t="s">
        <v>719</v>
      </c>
      <c r="D19" s="255" t="s">
        <v>231</v>
      </c>
      <c r="E19" s="255" t="s">
        <v>720</v>
      </c>
      <c r="F19" s="245" t="s">
        <v>435</v>
      </c>
      <c r="G19" s="183" t="s">
        <v>718</v>
      </c>
      <c r="H19" s="276" t="s">
        <v>721</v>
      </c>
      <c r="I19" s="285"/>
      <c r="J19" s="286"/>
      <c r="K19" s="286"/>
      <c r="L19" s="286"/>
      <c r="M19" s="286"/>
      <c r="N19" s="286">
        <v>1</v>
      </c>
      <c r="O19" s="286">
        <v>1</v>
      </c>
      <c r="P19" s="286">
        <v>1.5</v>
      </c>
      <c r="Q19" s="286">
        <v>1.5</v>
      </c>
      <c r="R19" s="286">
        <v>1.5</v>
      </c>
      <c r="S19" s="286">
        <v>1</v>
      </c>
      <c r="T19" s="286"/>
      <c r="U19" s="286">
        <v>1.5</v>
      </c>
      <c r="V19" s="286">
        <v>2</v>
      </c>
      <c r="W19" s="286">
        <v>2</v>
      </c>
      <c r="X19" s="286">
        <v>2</v>
      </c>
      <c r="Y19" s="286">
        <v>1.5</v>
      </c>
      <c r="Z19" s="286">
        <v>1</v>
      </c>
      <c r="AA19" s="286"/>
      <c r="AB19" s="286">
        <v>2</v>
      </c>
      <c r="AC19" s="286">
        <v>2</v>
      </c>
      <c r="AD19" s="286">
        <v>2</v>
      </c>
      <c r="AE19" s="286">
        <v>2</v>
      </c>
      <c r="AF19" s="286">
        <v>1</v>
      </c>
      <c r="AG19" s="286"/>
      <c r="AH19" s="286"/>
      <c r="AI19" s="286"/>
      <c r="AJ19" s="286"/>
      <c r="AK19" s="286"/>
      <c r="AL19" s="286"/>
      <c r="AM19" s="287"/>
      <c r="AN19" s="227">
        <f t="shared" si="0"/>
        <v>26.5</v>
      </c>
      <c r="AO19" s="242">
        <v>160000</v>
      </c>
      <c r="AP19" s="228">
        <f t="shared" si="1"/>
        <v>4240000</v>
      </c>
    </row>
    <row r="20" spans="1:42" s="162" customFormat="1" ht="24.9" customHeight="1" x14ac:dyDescent="0.4">
      <c r="A20" s="181">
        <v>15</v>
      </c>
      <c r="B20" s="183" t="s">
        <v>722</v>
      </c>
      <c r="C20" s="255" t="s">
        <v>723</v>
      </c>
      <c r="D20" s="255" t="s">
        <v>231</v>
      </c>
      <c r="E20" s="255" t="s">
        <v>724</v>
      </c>
      <c r="F20" s="245" t="s">
        <v>596</v>
      </c>
      <c r="G20" s="183" t="s">
        <v>722</v>
      </c>
      <c r="H20" s="276" t="s">
        <v>725</v>
      </c>
      <c r="I20" s="285"/>
      <c r="J20" s="286"/>
      <c r="K20" s="286"/>
      <c r="L20" s="286"/>
      <c r="M20" s="286"/>
      <c r="N20" s="286">
        <v>1</v>
      </c>
      <c r="O20" s="286">
        <v>1</v>
      </c>
      <c r="P20" s="286">
        <v>1.5</v>
      </c>
      <c r="Q20" s="286">
        <v>1.5</v>
      </c>
      <c r="R20" s="286">
        <v>1.5</v>
      </c>
      <c r="S20" s="286">
        <v>1</v>
      </c>
      <c r="T20" s="286"/>
      <c r="U20" s="286">
        <v>1.5</v>
      </c>
      <c r="V20" s="286">
        <v>2</v>
      </c>
      <c r="W20" s="286">
        <v>2</v>
      </c>
      <c r="X20" s="286">
        <v>2</v>
      </c>
      <c r="Y20" s="286">
        <v>1.5</v>
      </c>
      <c r="Z20" s="286">
        <v>1</v>
      </c>
      <c r="AA20" s="286"/>
      <c r="AB20" s="286">
        <v>2</v>
      </c>
      <c r="AC20" s="286">
        <v>2</v>
      </c>
      <c r="AD20" s="286">
        <v>2</v>
      </c>
      <c r="AE20" s="286">
        <v>2</v>
      </c>
      <c r="AF20" s="286">
        <v>1</v>
      </c>
      <c r="AG20" s="286"/>
      <c r="AH20" s="286"/>
      <c r="AI20" s="286"/>
      <c r="AJ20" s="286"/>
      <c r="AK20" s="286"/>
      <c r="AL20" s="286"/>
      <c r="AM20" s="287"/>
      <c r="AN20" s="227">
        <f t="shared" si="0"/>
        <v>26.5</v>
      </c>
      <c r="AO20" s="240">
        <v>160000</v>
      </c>
      <c r="AP20" s="228">
        <f t="shared" si="1"/>
        <v>4240000</v>
      </c>
    </row>
    <row r="21" spans="1:42" s="162" customFormat="1" ht="24.9" customHeight="1" x14ac:dyDescent="0.4">
      <c r="A21" s="181">
        <v>16</v>
      </c>
      <c r="B21" s="183" t="s">
        <v>478</v>
      </c>
      <c r="C21" s="255" t="s">
        <v>479</v>
      </c>
      <c r="D21" s="255" t="s">
        <v>231</v>
      </c>
      <c r="E21" s="255" t="s">
        <v>480</v>
      </c>
      <c r="F21" s="245" t="s">
        <v>481</v>
      </c>
      <c r="G21" s="183" t="s">
        <v>478</v>
      </c>
      <c r="H21" s="276" t="s">
        <v>482</v>
      </c>
      <c r="I21" s="285">
        <v>1.5</v>
      </c>
      <c r="J21" s="286">
        <v>1.5</v>
      </c>
      <c r="K21" s="286">
        <v>1.5</v>
      </c>
      <c r="L21" s="286">
        <v>1</v>
      </c>
      <c r="M21" s="286"/>
      <c r="N21" s="286">
        <v>1.5</v>
      </c>
      <c r="O21" s="286">
        <v>1.5</v>
      </c>
      <c r="P21" s="286">
        <v>1.5</v>
      </c>
      <c r="Q21" s="286">
        <v>1.5</v>
      </c>
      <c r="R21" s="286">
        <v>1.5</v>
      </c>
      <c r="S21" s="286"/>
      <c r="T21" s="286"/>
      <c r="U21" s="286">
        <v>1.5</v>
      </c>
      <c r="V21" s="286"/>
      <c r="W21" s="286">
        <v>2</v>
      </c>
      <c r="X21" s="286">
        <v>2</v>
      </c>
      <c r="Y21" s="286">
        <v>1.5</v>
      </c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7"/>
      <c r="AN21" s="227">
        <f t="shared" si="0"/>
        <v>20</v>
      </c>
      <c r="AO21" s="242">
        <v>150000</v>
      </c>
      <c r="AP21" s="228">
        <f t="shared" si="1"/>
        <v>3000000</v>
      </c>
    </row>
    <row r="22" spans="1:42" s="162" customFormat="1" ht="24.9" customHeight="1" x14ac:dyDescent="0.4">
      <c r="A22" s="181">
        <v>17</v>
      </c>
      <c r="B22" s="183" t="s">
        <v>483</v>
      </c>
      <c r="C22" s="255" t="s">
        <v>484</v>
      </c>
      <c r="D22" s="255" t="s">
        <v>231</v>
      </c>
      <c r="E22" s="255" t="s">
        <v>485</v>
      </c>
      <c r="F22" s="245" t="s">
        <v>234</v>
      </c>
      <c r="G22" s="183" t="s">
        <v>483</v>
      </c>
      <c r="H22" s="276" t="s">
        <v>486</v>
      </c>
      <c r="I22" s="285">
        <v>1.5</v>
      </c>
      <c r="J22" s="286">
        <v>1.5</v>
      </c>
      <c r="K22" s="286">
        <v>1.5</v>
      </c>
      <c r="L22" s="286">
        <v>1</v>
      </c>
      <c r="M22" s="286"/>
      <c r="N22" s="286">
        <v>1.5</v>
      </c>
      <c r="O22" s="286">
        <v>1.5</v>
      </c>
      <c r="P22" s="286">
        <v>1.5</v>
      </c>
      <c r="Q22" s="286">
        <v>1.5</v>
      </c>
      <c r="R22" s="286">
        <v>1.5</v>
      </c>
      <c r="S22" s="286">
        <v>1</v>
      </c>
      <c r="T22" s="286"/>
      <c r="U22" s="286">
        <v>1.5</v>
      </c>
      <c r="V22" s="286">
        <v>2</v>
      </c>
      <c r="W22" s="286">
        <v>2</v>
      </c>
      <c r="X22" s="286">
        <v>2</v>
      </c>
      <c r="Y22" s="286">
        <v>1.5</v>
      </c>
      <c r="Z22" s="286">
        <v>1</v>
      </c>
      <c r="AA22" s="286"/>
      <c r="AB22" s="286">
        <v>2</v>
      </c>
      <c r="AC22" s="286">
        <v>2</v>
      </c>
      <c r="AD22" s="286">
        <v>2</v>
      </c>
      <c r="AE22" s="286">
        <v>2</v>
      </c>
      <c r="AF22" s="286">
        <v>1</v>
      </c>
      <c r="AG22" s="286"/>
      <c r="AH22" s="286"/>
      <c r="AI22" s="286">
        <v>1</v>
      </c>
      <c r="AJ22" s="286">
        <v>1</v>
      </c>
      <c r="AK22" s="286">
        <v>1</v>
      </c>
      <c r="AL22" s="286">
        <v>1</v>
      </c>
      <c r="AM22" s="287">
        <v>1</v>
      </c>
      <c r="AN22" s="227">
        <f t="shared" si="0"/>
        <v>38</v>
      </c>
      <c r="AO22" s="240">
        <v>220000</v>
      </c>
      <c r="AP22" s="228">
        <f t="shared" si="1"/>
        <v>8360000</v>
      </c>
    </row>
    <row r="23" spans="1:42" s="162" customFormat="1" ht="24.9" customHeight="1" x14ac:dyDescent="0.4">
      <c r="A23" s="181">
        <v>18</v>
      </c>
      <c r="B23" s="183" t="s">
        <v>487</v>
      </c>
      <c r="C23" s="255" t="s">
        <v>488</v>
      </c>
      <c r="D23" s="255" t="s">
        <v>233</v>
      </c>
      <c r="E23" s="255" t="s">
        <v>489</v>
      </c>
      <c r="F23" s="245" t="s">
        <v>490</v>
      </c>
      <c r="G23" s="183" t="s">
        <v>487</v>
      </c>
      <c r="H23" s="276" t="s">
        <v>491</v>
      </c>
      <c r="I23" s="285">
        <v>1</v>
      </c>
      <c r="J23" s="286">
        <v>1</v>
      </c>
      <c r="K23" s="286"/>
      <c r="L23" s="286">
        <v>1</v>
      </c>
      <c r="M23" s="286"/>
      <c r="N23" s="286">
        <v>1.5</v>
      </c>
      <c r="O23" s="286">
        <v>1.5</v>
      </c>
      <c r="P23" s="286">
        <v>1.5</v>
      </c>
      <c r="Q23" s="286">
        <v>1.5</v>
      </c>
      <c r="R23" s="286">
        <v>1.5</v>
      </c>
      <c r="S23" s="286">
        <v>1</v>
      </c>
      <c r="T23" s="286"/>
      <c r="U23" s="286">
        <v>1.5</v>
      </c>
      <c r="V23" s="286">
        <v>2</v>
      </c>
      <c r="W23" s="286">
        <v>2</v>
      </c>
      <c r="X23" s="286">
        <v>2</v>
      </c>
      <c r="Y23" s="286">
        <v>1.5</v>
      </c>
      <c r="Z23" s="286"/>
      <c r="AA23" s="286"/>
      <c r="AB23" s="286">
        <v>2</v>
      </c>
      <c r="AC23" s="286">
        <v>2</v>
      </c>
      <c r="AD23" s="286">
        <v>2</v>
      </c>
      <c r="AE23" s="286">
        <v>2</v>
      </c>
      <c r="AF23" s="286">
        <v>1</v>
      </c>
      <c r="AG23" s="286"/>
      <c r="AH23" s="286"/>
      <c r="AI23" s="286"/>
      <c r="AJ23" s="286">
        <v>1</v>
      </c>
      <c r="AK23" s="286">
        <v>1</v>
      </c>
      <c r="AL23" s="286">
        <v>1</v>
      </c>
      <c r="AM23" s="287">
        <v>1</v>
      </c>
      <c r="AN23" s="227">
        <f t="shared" si="0"/>
        <v>33.5</v>
      </c>
      <c r="AO23" s="240">
        <v>240000</v>
      </c>
      <c r="AP23" s="228">
        <f t="shared" si="1"/>
        <v>8040000</v>
      </c>
    </row>
    <row r="24" spans="1:42" s="162" customFormat="1" ht="24.9" customHeight="1" x14ac:dyDescent="0.4">
      <c r="A24" s="181">
        <v>19</v>
      </c>
      <c r="B24" s="183" t="s">
        <v>492</v>
      </c>
      <c r="C24" s="255" t="s">
        <v>493</v>
      </c>
      <c r="D24" s="255" t="s">
        <v>494</v>
      </c>
      <c r="E24" s="255" t="s">
        <v>495</v>
      </c>
      <c r="F24" s="245" t="s">
        <v>236</v>
      </c>
      <c r="G24" s="183" t="s">
        <v>492</v>
      </c>
      <c r="H24" s="276" t="s">
        <v>496</v>
      </c>
      <c r="I24" s="285">
        <v>1.5</v>
      </c>
      <c r="J24" s="286">
        <v>1.5</v>
      </c>
      <c r="K24" s="286">
        <v>1.5</v>
      </c>
      <c r="L24" s="286"/>
      <c r="M24" s="286"/>
      <c r="N24" s="286">
        <v>1.5</v>
      </c>
      <c r="O24" s="286">
        <v>1.5</v>
      </c>
      <c r="P24" s="286">
        <v>1.5</v>
      </c>
      <c r="Q24" s="286">
        <v>1.5</v>
      </c>
      <c r="R24" s="286">
        <v>1.5</v>
      </c>
      <c r="S24" s="286">
        <v>1</v>
      </c>
      <c r="T24" s="286"/>
      <c r="U24" s="286">
        <v>1.5</v>
      </c>
      <c r="V24" s="286">
        <v>2</v>
      </c>
      <c r="W24" s="286">
        <v>2</v>
      </c>
      <c r="X24" s="286">
        <v>2</v>
      </c>
      <c r="Y24" s="286">
        <v>1.5</v>
      </c>
      <c r="Z24" s="286">
        <v>1</v>
      </c>
      <c r="AA24" s="286"/>
      <c r="AB24" s="286">
        <v>2</v>
      </c>
      <c r="AC24" s="286">
        <v>2</v>
      </c>
      <c r="AD24" s="286">
        <v>2</v>
      </c>
      <c r="AE24" s="286">
        <v>2</v>
      </c>
      <c r="AF24" s="286">
        <v>1</v>
      </c>
      <c r="AG24" s="286"/>
      <c r="AH24" s="286"/>
      <c r="AI24" s="286">
        <v>1</v>
      </c>
      <c r="AJ24" s="286">
        <v>1</v>
      </c>
      <c r="AK24" s="286">
        <v>1</v>
      </c>
      <c r="AL24" s="286">
        <v>1</v>
      </c>
      <c r="AM24" s="287">
        <v>1</v>
      </c>
      <c r="AN24" s="227">
        <f t="shared" si="0"/>
        <v>37</v>
      </c>
      <c r="AO24" s="240">
        <v>220000</v>
      </c>
      <c r="AP24" s="228">
        <f t="shared" si="1"/>
        <v>8140000</v>
      </c>
    </row>
    <row r="25" spans="1:42" s="162" customFormat="1" ht="24.9" customHeight="1" x14ac:dyDescent="0.4">
      <c r="A25" s="181">
        <v>20</v>
      </c>
      <c r="B25" s="183" t="s">
        <v>497</v>
      </c>
      <c r="C25" s="255" t="s">
        <v>498</v>
      </c>
      <c r="D25" s="255" t="s">
        <v>233</v>
      </c>
      <c r="E25" s="255" t="s">
        <v>499</v>
      </c>
      <c r="F25" s="245" t="s">
        <v>435</v>
      </c>
      <c r="G25" s="183" t="s">
        <v>497</v>
      </c>
      <c r="H25" s="276" t="s">
        <v>500</v>
      </c>
      <c r="I25" s="285">
        <v>1.5</v>
      </c>
      <c r="J25" s="286">
        <v>1.5</v>
      </c>
      <c r="K25" s="286">
        <v>1.5</v>
      </c>
      <c r="L25" s="286">
        <v>1</v>
      </c>
      <c r="M25" s="286"/>
      <c r="N25" s="286">
        <v>1.5</v>
      </c>
      <c r="O25" s="286">
        <v>1.5</v>
      </c>
      <c r="P25" s="286">
        <v>1.5</v>
      </c>
      <c r="Q25" s="286">
        <v>1.5</v>
      </c>
      <c r="R25" s="286">
        <v>1.5</v>
      </c>
      <c r="S25" s="286">
        <v>1</v>
      </c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7"/>
      <c r="AN25" s="227">
        <f t="shared" si="0"/>
        <v>14</v>
      </c>
      <c r="AO25" s="240">
        <v>240000</v>
      </c>
      <c r="AP25" s="228">
        <f t="shared" si="1"/>
        <v>3360000</v>
      </c>
    </row>
    <row r="26" spans="1:42" s="162" customFormat="1" ht="24.9" customHeight="1" x14ac:dyDescent="0.4">
      <c r="A26" s="181">
        <v>21</v>
      </c>
      <c r="B26" s="183" t="s">
        <v>501</v>
      </c>
      <c r="C26" s="255" t="s">
        <v>502</v>
      </c>
      <c r="D26" s="255" t="s">
        <v>231</v>
      </c>
      <c r="E26" s="255" t="s">
        <v>503</v>
      </c>
      <c r="F26" s="245" t="s">
        <v>236</v>
      </c>
      <c r="G26" s="183" t="s">
        <v>501</v>
      </c>
      <c r="H26" s="276" t="s">
        <v>504</v>
      </c>
      <c r="I26" s="285">
        <v>1.5</v>
      </c>
      <c r="J26" s="286">
        <v>1.5</v>
      </c>
      <c r="K26" s="286">
        <v>1.5</v>
      </c>
      <c r="L26" s="286">
        <v>1</v>
      </c>
      <c r="M26" s="286"/>
      <c r="N26" s="286">
        <v>1.5</v>
      </c>
      <c r="O26" s="286">
        <v>1.5</v>
      </c>
      <c r="P26" s="286">
        <v>1.5</v>
      </c>
      <c r="Q26" s="286">
        <v>1.5</v>
      </c>
      <c r="R26" s="286">
        <v>1.5</v>
      </c>
      <c r="S26" s="286">
        <v>1</v>
      </c>
      <c r="T26" s="286"/>
      <c r="U26" s="286">
        <v>1.5</v>
      </c>
      <c r="V26" s="286">
        <v>2</v>
      </c>
      <c r="W26" s="286">
        <v>2</v>
      </c>
      <c r="X26" s="286">
        <v>2</v>
      </c>
      <c r="Y26" s="286">
        <v>1.5</v>
      </c>
      <c r="Z26" s="286">
        <v>1</v>
      </c>
      <c r="AA26" s="286"/>
      <c r="AB26" s="286">
        <v>2</v>
      </c>
      <c r="AC26" s="286">
        <v>2</v>
      </c>
      <c r="AD26" s="286">
        <v>2</v>
      </c>
      <c r="AE26" s="286">
        <v>2</v>
      </c>
      <c r="AF26" s="286">
        <v>1</v>
      </c>
      <c r="AG26" s="286"/>
      <c r="AH26" s="286"/>
      <c r="AI26" s="286">
        <v>1</v>
      </c>
      <c r="AJ26" s="286">
        <v>1</v>
      </c>
      <c r="AK26" s="286">
        <v>1</v>
      </c>
      <c r="AL26" s="286">
        <v>1</v>
      </c>
      <c r="AM26" s="287">
        <v>1</v>
      </c>
      <c r="AN26" s="227">
        <f t="shared" si="0"/>
        <v>38</v>
      </c>
      <c r="AO26" s="240">
        <v>180000</v>
      </c>
      <c r="AP26" s="228">
        <f t="shared" si="1"/>
        <v>6840000</v>
      </c>
    </row>
    <row r="27" spans="1:42" s="162" customFormat="1" ht="24.9" customHeight="1" x14ac:dyDescent="0.4">
      <c r="A27" s="181">
        <v>22</v>
      </c>
      <c r="B27" s="183" t="s">
        <v>726</v>
      </c>
      <c r="C27" s="255" t="s">
        <v>727</v>
      </c>
      <c r="D27" s="255" t="s">
        <v>231</v>
      </c>
      <c r="E27" s="255" t="s">
        <v>728</v>
      </c>
      <c r="F27" s="245" t="s">
        <v>236</v>
      </c>
      <c r="G27" s="183" t="s">
        <v>726</v>
      </c>
      <c r="H27" s="276" t="s">
        <v>729</v>
      </c>
      <c r="I27" s="285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>
        <v>1</v>
      </c>
      <c r="V27" s="286">
        <v>2</v>
      </c>
      <c r="W27" s="286">
        <v>2</v>
      </c>
      <c r="X27" s="286">
        <v>2</v>
      </c>
      <c r="Y27" s="286">
        <v>1.5</v>
      </c>
      <c r="Z27" s="286">
        <v>1</v>
      </c>
      <c r="AA27" s="286"/>
      <c r="AB27" s="286">
        <v>2</v>
      </c>
      <c r="AC27" s="286">
        <v>2</v>
      </c>
      <c r="AD27" s="286">
        <v>2</v>
      </c>
      <c r="AE27" s="286">
        <v>2</v>
      </c>
      <c r="AF27" s="286">
        <v>1</v>
      </c>
      <c r="AG27" s="286"/>
      <c r="AH27" s="286"/>
      <c r="AI27" s="286">
        <v>1</v>
      </c>
      <c r="AJ27" s="286">
        <v>1</v>
      </c>
      <c r="AK27" s="286">
        <v>1</v>
      </c>
      <c r="AL27" s="286">
        <v>1</v>
      </c>
      <c r="AM27" s="287">
        <v>1</v>
      </c>
      <c r="AN27" s="227">
        <f t="shared" si="0"/>
        <v>23.5</v>
      </c>
      <c r="AO27" s="240">
        <v>160000</v>
      </c>
      <c r="AP27" s="228">
        <f t="shared" si="1"/>
        <v>3760000</v>
      </c>
    </row>
    <row r="28" spans="1:42" s="162" customFormat="1" ht="24.9" customHeight="1" x14ac:dyDescent="0.4">
      <c r="A28" s="181">
        <v>23</v>
      </c>
      <c r="B28" s="183" t="s">
        <v>505</v>
      </c>
      <c r="C28" s="255" t="s">
        <v>506</v>
      </c>
      <c r="D28" s="255" t="s">
        <v>233</v>
      </c>
      <c r="E28" s="255" t="s">
        <v>507</v>
      </c>
      <c r="F28" s="245" t="s">
        <v>444</v>
      </c>
      <c r="G28" s="183" t="s">
        <v>505</v>
      </c>
      <c r="H28" s="276" t="s">
        <v>508</v>
      </c>
      <c r="I28" s="285">
        <v>1.5</v>
      </c>
      <c r="J28" s="286">
        <v>1.5</v>
      </c>
      <c r="K28" s="286">
        <v>1.5</v>
      </c>
      <c r="L28" s="286">
        <v>1</v>
      </c>
      <c r="M28" s="286"/>
      <c r="N28" s="286">
        <v>1.5</v>
      </c>
      <c r="O28" s="286">
        <v>1.5</v>
      </c>
      <c r="P28" s="286">
        <v>1.5</v>
      </c>
      <c r="Q28" s="286">
        <v>1.5</v>
      </c>
      <c r="R28" s="286">
        <v>1.5</v>
      </c>
      <c r="S28" s="286">
        <v>1</v>
      </c>
      <c r="T28" s="286"/>
      <c r="U28" s="286">
        <v>1.5</v>
      </c>
      <c r="V28" s="286">
        <v>2</v>
      </c>
      <c r="W28" s="286">
        <v>2</v>
      </c>
      <c r="X28" s="286">
        <v>2</v>
      </c>
      <c r="Y28" s="286">
        <v>1.5</v>
      </c>
      <c r="Z28" s="286">
        <v>1</v>
      </c>
      <c r="AA28" s="286"/>
      <c r="AB28" s="286">
        <v>2</v>
      </c>
      <c r="AC28" s="286">
        <v>2</v>
      </c>
      <c r="AD28" s="286">
        <v>2</v>
      </c>
      <c r="AE28" s="286">
        <v>2</v>
      </c>
      <c r="AF28" s="286">
        <v>1</v>
      </c>
      <c r="AG28" s="286"/>
      <c r="AH28" s="286"/>
      <c r="AI28" s="286"/>
      <c r="AJ28" s="286"/>
      <c r="AK28" s="286"/>
      <c r="AL28" s="286"/>
      <c r="AM28" s="287"/>
      <c r="AN28" s="227">
        <f t="shared" si="0"/>
        <v>33</v>
      </c>
      <c r="AO28" s="240">
        <v>240000</v>
      </c>
      <c r="AP28" s="228">
        <f t="shared" si="1"/>
        <v>7920000</v>
      </c>
    </row>
    <row r="29" spans="1:42" s="162" customFormat="1" ht="24.9" customHeight="1" x14ac:dyDescent="0.4">
      <c r="A29" s="181">
        <v>24</v>
      </c>
      <c r="B29" s="183" t="s">
        <v>509</v>
      </c>
      <c r="C29" s="255" t="s">
        <v>510</v>
      </c>
      <c r="D29" s="255" t="s">
        <v>235</v>
      </c>
      <c r="E29" s="255" t="s">
        <v>511</v>
      </c>
      <c r="F29" s="245" t="s">
        <v>490</v>
      </c>
      <c r="G29" s="183" t="s">
        <v>509</v>
      </c>
      <c r="H29" s="276" t="s">
        <v>512</v>
      </c>
      <c r="I29" s="285">
        <v>1.5</v>
      </c>
      <c r="J29" s="286">
        <v>1.5</v>
      </c>
      <c r="K29" s="286">
        <v>1.5</v>
      </c>
      <c r="L29" s="286">
        <v>1</v>
      </c>
      <c r="M29" s="286"/>
      <c r="N29" s="286">
        <v>1.5</v>
      </c>
      <c r="O29" s="286">
        <v>1.5</v>
      </c>
      <c r="P29" s="286">
        <v>1.5</v>
      </c>
      <c r="Q29" s="286">
        <v>1.5</v>
      </c>
      <c r="R29" s="286">
        <v>1.5</v>
      </c>
      <c r="S29" s="286"/>
      <c r="T29" s="286"/>
      <c r="U29" s="286">
        <v>1.5</v>
      </c>
      <c r="V29" s="286">
        <v>2</v>
      </c>
      <c r="W29" s="286">
        <v>2</v>
      </c>
      <c r="X29" s="286">
        <v>2</v>
      </c>
      <c r="Y29" s="286">
        <v>1.5</v>
      </c>
      <c r="Z29" s="286">
        <v>1</v>
      </c>
      <c r="AA29" s="286"/>
      <c r="AB29" s="286"/>
      <c r="AC29" s="286">
        <v>2</v>
      </c>
      <c r="AD29" s="286">
        <v>2</v>
      </c>
      <c r="AE29" s="286">
        <v>2</v>
      </c>
      <c r="AF29" s="286">
        <v>1</v>
      </c>
      <c r="AG29" s="286"/>
      <c r="AH29" s="286"/>
      <c r="AI29" s="286"/>
      <c r="AJ29" s="286"/>
      <c r="AK29" s="286"/>
      <c r="AL29" s="286"/>
      <c r="AM29" s="287"/>
      <c r="AN29" s="227">
        <f t="shared" si="0"/>
        <v>30</v>
      </c>
      <c r="AO29" s="242">
        <v>230000</v>
      </c>
      <c r="AP29" s="228">
        <f t="shared" si="1"/>
        <v>6900000</v>
      </c>
    </row>
    <row r="30" spans="1:42" s="162" customFormat="1" ht="24.9" customHeight="1" x14ac:dyDescent="0.4">
      <c r="A30" s="181">
        <v>25</v>
      </c>
      <c r="B30" s="183" t="s">
        <v>513</v>
      </c>
      <c r="C30" s="255" t="s">
        <v>514</v>
      </c>
      <c r="D30" s="255" t="s">
        <v>235</v>
      </c>
      <c r="E30" s="255" t="s">
        <v>515</v>
      </c>
      <c r="F30" s="245" t="s">
        <v>490</v>
      </c>
      <c r="G30" s="183" t="s">
        <v>513</v>
      </c>
      <c r="H30" s="276" t="s">
        <v>516</v>
      </c>
      <c r="I30" s="285">
        <v>1.5</v>
      </c>
      <c r="J30" s="286">
        <v>1.5</v>
      </c>
      <c r="K30" s="286">
        <v>1.5</v>
      </c>
      <c r="L30" s="286">
        <v>1</v>
      </c>
      <c r="M30" s="286"/>
      <c r="N30" s="286">
        <v>1.5</v>
      </c>
      <c r="O30" s="286">
        <v>1.5</v>
      </c>
      <c r="P30" s="286">
        <v>1.5</v>
      </c>
      <c r="Q30" s="286">
        <v>1.5</v>
      </c>
      <c r="R30" s="286">
        <v>1.5</v>
      </c>
      <c r="S30" s="286">
        <v>1</v>
      </c>
      <c r="T30" s="286"/>
      <c r="U30" s="286">
        <v>1.5</v>
      </c>
      <c r="V30" s="286">
        <v>2</v>
      </c>
      <c r="W30" s="286">
        <v>2</v>
      </c>
      <c r="X30" s="286">
        <v>2</v>
      </c>
      <c r="Y30" s="286">
        <v>1.5</v>
      </c>
      <c r="Z30" s="286"/>
      <c r="AA30" s="286"/>
      <c r="AB30" s="286"/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7"/>
      <c r="AN30" s="227">
        <f t="shared" si="0"/>
        <v>23</v>
      </c>
      <c r="AO30" s="240">
        <v>210000</v>
      </c>
      <c r="AP30" s="228">
        <f t="shared" si="1"/>
        <v>4830000</v>
      </c>
    </row>
    <row r="31" spans="1:42" s="162" customFormat="1" ht="24.9" customHeight="1" x14ac:dyDescent="0.4">
      <c r="A31" s="181">
        <v>26</v>
      </c>
      <c r="B31" s="183" t="s">
        <v>513</v>
      </c>
      <c r="C31" s="255" t="s">
        <v>517</v>
      </c>
      <c r="D31" s="255" t="s">
        <v>717</v>
      </c>
      <c r="E31" s="255" t="s">
        <v>518</v>
      </c>
      <c r="F31" s="245" t="s">
        <v>232</v>
      </c>
      <c r="G31" s="183" t="s">
        <v>513</v>
      </c>
      <c r="H31" s="276" t="s">
        <v>519</v>
      </c>
      <c r="I31" s="285">
        <v>1.5</v>
      </c>
      <c r="J31" s="286">
        <v>1.5</v>
      </c>
      <c r="K31" s="286">
        <v>1.5</v>
      </c>
      <c r="L31" s="286">
        <v>1</v>
      </c>
      <c r="M31" s="286"/>
      <c r="N31" s="286">
        <v>1.5</v>
      </c>
      <c r="O31" s="286">
        <v>1.5</v>
      </c>
      <c r="P31" s="286">
        <v>1.5</v>
      </c>
      <c r="Q31" s="286">
        <v>1.5</v>
      </c>
      <c r="R31" s="286">
        <v>1.5</v>
      </c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287"/>
      <c r="AN31" s="227">
        <f t="shared" si="0"/>
        <v>13</v>
      </c>
      <c r="AO31" s="240">
        <v>230000</v>
      </c>
      <c r="AP31" s="228">
        <f t="shared" si="1"/>
        <v>2990000</v>
      </c>
    </row>
    <row r="32" spans="1:42" s="162" customFormat="1" ht="24.9" customHeight="1" x14ac:dyDescent="0.4">
      <c r="A32" s="181">
        <v>27</v>
      </c>
      <c r="B32" s="183" t="s">
        <v>520</v>
      </c>
      <c r="C32" s="255" t="s">
        <v>521</v>
      </c>
      <c r="D32" s="255" t="s">
        <v>231</v>
      </c>
      <c r="E32" s="255" t="s">
        <v>522</v>
      </c>
      <c r="F32" s="245" t="s">
        <v>236</v>
      </c>
      <c r="G32" s="183" t="s">
        <v>520</v>
      </c>
      <c r="H32" s="276" t="s">
        <v>523</v>
      </c>
      <c r="I32" s="285">
        <v>1.5</v>
      </c>
      <c r="J32" s="286">
        <v>1.5</v>
      </c>
      <c r="K32" s="286">
        <v>1.5</v>
      </c>
      <c r="L32" s="286">
        <v>1</v>
      </c>
      <c r="M32" s="286"/>
      <c r="N32" s="286">
        <v>1.5</v>
      </c>
      <c r="O32" s="286">
        <v>1.5</v>
      </c>
      <c r="P32" s="286">
        <v>1.5</v>
      </c>
      <c r="Q32" s="286">
        <v>1.5</v>
      </c>
      <c r="R32" s="286">
        <v>1.5</v>
      </c>
      <c r="S32" s="286">
        <v>1</v>
      </c>
      <c r="T32" s="286"/>
      <c r="U32" s="286">
        <v>1.5</v>
      </c>
      <c r="V32" s="286">
        <v>2</v>
      </c>
      <c r="W32" s="286">
        <v>2</v>
      </c>
      <c r="X32" s="286"/>
      <c r="Y32" s="286"/>
      <c r="Z32" s="286"/>
      <c r="AA32" s="286"/>
      <c r="AB32" s="286"/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7"/>
      <c r="AN32" s="227">
        <f t="shared" si="0"/>
        <v>19.5</v>
      </c>
      <c r="AO32" s="240">
        <v>145000</v>
      </c>
      <c r="AP32" s="228">
        <f t="shared" si="1"/>
        <v>2827500</v>
      </c>
    </row>
    <row r="33" spans="1:42" s="162" customFormat="1" ht="24.9" customHeight="1" x14ac:dyDescent="0.4">
      <c r="A33" s="181">
        <v>28</v>
      </c>
      <c r="B33" s="183" t="s">
        <v>524</v>
      </c>
      <c r="C33" s="255" t="s">
        <v>525</v>
      </c>
      <c r="D33" s="255" t="s">
        <v>231</v>
      </c>
      <c r="E33" s="255" t="s">
        <v>526</v>
      </c>
      <c r="F33" s="245" t="s">
        <v>490</v>
      </c>
      <c r="G33" s="183" t="s">
        <v>524</v>
      </c>
      <c r="H33" s="276" t="s">
        <v>527</v>
      </c>
      <c r="I33" s="285">
        <v>1.5</v>
      </c>
      <c r="J33" s="286">
        <v>1.5</v>
      </c>
      <c r="K33" s="286">
        <v>1.5</v>
      </c>
      <c r="L33" s="286"/>
      <c r="M33" s="286"/>
      <c r="N33" s="286">
        <v>1.5</v>
      </c>
      <c r="O33" s="286">
        <v>1.5</v>
      </c>
      <c r="P33" s="286">
        <v>1.5</v>
      </c>
      <c r="Q33" s="286">
        <v>1.5</v>
      </c>
      <c r="R33" s="286">
        <v>1</v>
      </c>
      <c r="S33" s="286">
        <v>1</v>
      </c>
      <c r="T33" s="286"/>
      <c r="U33" s="286">
        <v>1.5</v>
      </c>
      <c r="V33" s="286">
        <v>2</v>
      </c>
      <c r="W33" s="286">
        <v>2</v>
      </c>
      <c r="X33" s="286">
        <v>2</v>
      </c>
      <c r="Y33" s="286">
        <v>1.5</v>
      </c>
      <c r="Z33" s="286">
        <v>1</v>
      </c>
      <c r="AA33" s="286"/>
      <c r="AB33" s="286">
        <v>2</v>
      </c>
      <c r="AC33" s="286">
        <v>2</v>
      </c>
      <c r="AD33" s="286">
        <v>2</v>
      </c>
      <c r="AE33" s="286">
        <v>2</v>
      </c>
      <c r="AF33" s="286">
        <v>1</v>
      </c>
      <c r="AG33" s="286"/>
      <c r="AH33" s="286"/>
      <c r="AI33" s="286">
        <v>0.5</v>
      </c>
      <c r="AJ33" s="286">
        <v>1</v>
      </c>
      <c r="AK33" s="286">
        <v>1</v>
      </c>
      <c r="AL33" s="286">
        <v>1</v>
      </c>
      <c r="AM33" s="287">
        <v>0.5</v>
      </c>
      <c r="AN33" s="227">
        <f t="shared" si="0"/>
        <v>35.5</v>
      </c>
      <c r="AO33" s="240">
        <v>210000</v>
      </c>
      <c r="AP33" s="228">
        <f t="shared" si="1"/>
        <v>7455000</v>
      </c>
    </row>
    <row r="34" spans="1:42" s="162" customFormat="1" ht="24.9" customHeight="1" x14ac:dyDescent="0.4">
      <c r="A34" s="181">
        <v>29</v>
      </c>
      <c r="B34" s="183" t="s">
        <v>528</v>
      </c>
      <c r="C34" s="255" t="s">
        <v>529</v>
      </c>
      <c r="D34" s="255" t="s">
        <v>235</v>
      </c>
      <c r="E34" s="255" t="s">
        <v>530</v>
      </c>
      <c r="F34" s="245" t="s">
        <v>232</v>
      </c>
      <c r="G34" s="183" t="s">
        <v>528</v>
      </c>
      <c r="H34" s="276" t="s">
        <v>531</v>
      </c>
      <c r="I34" s="285">
        <v>1.5</v>
      </c>
      <c r="J34" s="286"/>
      <c r="K34" s="286">
        <v>1.5</v>
      </c>
      <c r="L34" s="286">
        <v>1</v>
      </c>
      <c r="M34" s="286"/>
      <c r="N34" s="286">
        <v>1.5</v>
      </c>
      <c r="O34" s="286">
        <v>1.5</v>
      </c>
      <c r="P34" s="286">
        <v>1.5</v>
      </c>
      <c r="Q34" s="286">
        <v>1.5</v>
      </c>
      <c r="R34" s="286">
        <v>1.5</v>
      </c>
      <c r="S34" s="286"/>
      <c r="T34" s="286"/>
      <c r="U34" s="286">
        <v>1.5</v>
      </c>
      <c r="V34" s="286">
        <v>2</v>
      </c>
      <c r="W34" s="286">
        <v>2</v>
      </c>
      <c r="X34" s="286">
        <v>2</v>
      </c>
      <c r="Y34" s="286">
        <v>1.5</v>
      </c>
      <c r="Z34" s="286"/>
      <c r="AA34" s="286"/>
      <c r="AB34" s="286">
        <v>2</v>
      </c>
      <c r="AC34" s="286">
        <v>0.5</v>
      </c>
      <c r="AD34" s="286"/>
      <c r="AE34" s="286"/>
      <c r="AF34" s="286"/>
      <c r="AG34" s="286"/>
      <c r="AH34" s="286"/>
      <c r="AI34" s="286"/>
      <c r="AJ34" s="286"/>
      <c r="AK34" s="286"/>
      <c r="AL34" s="286"/>
      <c r="AM34" s="287"/>
      <c r="AN34" s="227">
        <f t="shared" si="0"/>
        <v>23</v>
      </c>
      <c r="AO34" s="240">
        <v>180000</v>
      </c>
      <c r="AP34" s="228">
        <f t="shared" si="1"/>
        <v>4140000</v>
      </c>
    </row>
    <row r="35" spans="1:42" s="162" customFormat="1" ht="24.9" customHeight="1" x14ac:dyDescent="0.4">
      <c r="A35" s="181">
        <v>30</v>
      </c>
      <c r="B35" s="183" t="s">
        <v>532</v>
      </c>
      <c r="C35" s="255" t="s">
        <v>533</v>
      </c>
      <c r="D35" s="255" t="s">
        <v>231</v>
      </c>
      <c r="E35" s="255" t="s">
        <v>534</v>
      </c>
      <c r="F35" s="245" t="s">
        <v>535</v>
      </c>
      <c r="G35" s="183" t="s">
        <v>532</v>
      </c>
      <c r="H35" s="276" t="s">
        <v>536</v>
      </c>
      <c r="I35" s="285">
        <v>1.5</v>
      </c>
      <c r="J35" s="286">
        <v>1.5</v>
      </c>
      <c r="K35" s="286">
        <v>1.5</v>
      </c>
      <c r="L35" s="286">
        <v>1</v>
      </c>
      <c r="M35" s="286"/>
      <c r="N35" s="286">
        <v>1.5</v>
      </c>
      <c r="O35" s="286">
        <v>1.5</v>
      </c>
      <c r="P35" s="286">
        <v>1.5</v>
      </c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  <c r="AD35" s="286"/>
      <c r="AE35" s="286"/>
      <c r="AF35" s="286"/>
      <c r="AG35" s="286"/>
      <c r="AH35" s="286"/>
      <c r="AI35" s="286"/>
      <c r="AJ35" s="286"/>
      <c r="AK35" s="286"/>
      <c r="AL35" s="286"/>
      <c r="AM35" s="287"/>
      <c r="AN35" s="227">
        <f t="shared" si="0"/>
        <v>10</v>
      </c>
      <c r="AO35" s="240">
        <v>140000</v>
      </c>
      <c r="AP35" s="228">
        <f t="shared" si="1"/>
        <v>1400000</v>
      </c>
    </row>
    <row r="36" spans="1:42" s="162" customFormat="1" ht="24.9" customHeight="1" x14ac:dyDescent="0.4">
      <c r="A36" s="181">
        <v>31</v>
      </c>
      <c r="B36" s="183" t="s">
        <v>537</v>
      </c>
      <c r="C36" s="255" t="s">
        <v>538</v>
      </c>
      <c r="D36" s="255" t="s">
        <v>231</v>
      </c>
      <c r="E36" s="255" t="s">
        <v>539</v>
      </c>
      <c r="F36" s="245" t="s">
        <v>238</v>
      </c>
      <c r="G36" s="183" t="s">
        <v>537</v>
      </c>
      <c r="H36" s="276" t="s">
        <v>540</v>
      </c>
      <c r="I36" s="285">
        <v>1.5</v>
      </c>
      <c r="J36" s="286">
        <v>1.5</v>
      </c>
      <c r="K36" s="286"/>
      <c r="L36" s="286"/>
      <c r="M36" s="286"/>
      <c r="N36" s="286">
        <v>1.5</v>
      </c>
      <c r="O36" s="286">
        <v>1.5</v>
      </c>
      <c r="P36" s="286"/>
      <c r="Q36" s="286">
        <v>1.5</v>
      </c>
      <c r="R36" s="286">
        <v>1.5</v>
      </c>
      <c r="S36" s="286">
        <v>1</v>
      </c>
      <c r="T36" s="286"/>
      <c r="U36" s="286">
        <v>1.5</v>
      </c>
      <c r="V36" s="286">
        <v>2</v>
      </c>
      <c r="W36" s="286">
        <v>2</v>
      </c>
      <c r="X36" s="286">
        <v>2</v>
      </c>
      <c r="Y36" s="286"/>
      <c r="Z36" s="286"/>
      <c r="AA36" s="286"/>
      <c r="AB36" s="286"/>
      <c r="AC36" s="286">
        <v>2</v>
      </c>
      <c r="AD36" s="286">
        <v>1.875</v>
      </c>
      <c r="AE36" s="286">
        <v>0.5</v>
      </c>
      <c r="AF36" s="286"/>
      <c r="AG36" s="286"/>
      <c r="AH36" s="286"/>
      <c r="AI36" s="286"/>
      <c r="AJ36" s="286"/>
      <c r="AK36" s="286"/>
      <c r="AL36" s="286"/>
      <c r="AM36" s="287"/>
      <c r="AN36" s="227">
        <f t="shared" si="0"/>
        <v>21.875</v>
      </c>
      <c r="AO36" s="240">
        <v>150000</v>
      </c>
      <c r="AP36" s="228">
        <f t="shared" si="1"/>
        <v>3281250</v>
      </c>
    </row>
    <row r="37" spans="1:42" s="162" customFormat="1" ht="24.9" customHeight="1" x14ac:dyDescent="0.4">
      <c r="A37" s="181">
        <v>32</v>
      </c>
      <c r="B37" s="183" t="s">
        <v>730</v>
      </c>
      <c r="C37" s="255" t="s">
        <v>731</v>
      </c>
      <c r="D37" s="255" t="s">
        <v>235</v>
      </c>
      <c r="E37" s="255" t="s">
        <v>732</v>
      </c>
      <c r="F37" s="245" t="s">
        <v>653</v>
      </c>
      <c r="G37" s="183" t="s">
        <v>730</v>
      </c>
      <c r="H37" s="276" t="s">
        <v>733</v>
      </c>
      <c r="I37" s="285"/>
      <c r="J37" s="286"/>
      <c r="K37" s="286"/>
      <c r="L37" s="286"/>
      <c r="M37" s="286"/>
      <c r="N37" s="286">
        <v>1.5</v>
      </c>
      <c r="O37" s="286">
        <v>1.5</v>
      </c>
      <c r="P37" s="286">
        <v>1.5</v>
      </c>
      <c r="Q37" s="286">
        <v>1.5</v>
      </c>
      <c r="R37" s="286">
        <v>1.5</v>
      </c>
      <c r="S37" s="286"/>
      <c r="T37" s="286"/>
      <c r="U37" s="286">
        <v>1.5</v>
      </c>
      <c r="V37" s="286">
        <v>2</v>
      </c>
      <c r="W37" s="286">
        <v>2</v>
      </c>
      <c r="X37" s="286">
        <v>2</v>
      </c>
      <c r="Y37" s="286">
        <v>1.5</v>
      </c>
      <c r="Z37" s="286">
        <v>1</v>
      </c>
      <c r="AA37" s="286"/>
      <c r="AB37" s="286">
        <v>2</v>
      </c>
      <c r="AC37" s="286">
        <v>2</v>
      </c>
      <c r="AD37" s="286">
        <v>2</v>
      </c>
      <c r="AE37" s="286">
        <v>2</v>
      </c>
      <c r="AF37" s="286">
        <v>1</v>
      </c>
      <c r="AG37" s="286"/>
      <c r="AH37" s="286"/>
      <c r="AI37" s="286">
        <v>1</v>
      </c>
      <c r="AJ37" s="286">
        <v>1</v>
      </c>
      <c r="AK37" s="286">
        <v>1</v>
      </c>
      <c r="AL37" s="286">
        <v>1</v>
      </c>
      <c r="AM37" s="287">
        <v>1</v>
      </c>
      <c r="AN37" s="227">
        <f t="shared" si="0"/>
        <v>31.5</v>
      </c>
      <c r="AO37" s="240">
        <v>200000</v>
      </c>
      <c r="AP37" s="228">
        <f t="shared" si="1"/>
        <v>6300000</v>
      </c>
    </row>
    <row r="38" spans="1:42" s="162" customFormat="1" ht="24.9" customHeight="1" x14ac:dyDescent="0.4">
      <c r="A38" s="181">
        <v>33</v>
      </c>
      <c r="B38" s="183" t="s">
        <v>734</v>
      </c>
      <c r="C38" s="255" t="s">
        <v>735</v>
      </c>
      <c r="D38" s="255" t="s">
        <v>235</v>
      </c>
      <c r="E38" s="255" t="s">
        <v>736</v>
      </c>
      <c r="F38" s="245" t="s">
        <v>236</v>
      </c>
      <c r="G38" s="183" t="s">
        <v>734</v>
      </c>
      <c r="H38" s="276" t="s">
        <v>737</v>
      </c>
      <c r="I38" s="285"/>
      <c r="J38" s="286"/>
      <c r="K38" s="286"/>
      <c r="L38" s="286"/>
      <c r="M38" s="286"/>
      <c r="N38" s="286"/>
      <c r="O38" s="286"/>
      <c r="P38" s="286">
        <v>1</v>
      </c>
      <c r="Q38" s="286">
        <v>1</v>
      </c>
      <c r="R38" s="286">
        <v>1.5</v>
      </c>
      <c r="S38" s="286">
        <v>1</v>
      </c>
      <c r="T38" s="286"/>
      <c r="U38" s="286">
        <v>1.5</v>
      </c>
      <c r="V38" s="286">
        <v>2</v>
      </c>
      <c r="W38" s="286">
        <v>2</v>
      </c>
      <c r="X38" s="286">
        <v>2</v>
      </c>
      <c r="Y38" s="286">
        <v>1.5</v>
      </c>
      <c r="Z38" s="286"/>
      <c r="AA38" s="286"/>
      <c r="AB38" s="286">
        <v>2</v>
      </c>
      <c r="AC38" s="286">
        <v>2</v>
      </c>
      <c r="AD38" s="286">
        <v>2</v>
      </c>
      <c r="AE38" s="286">
        <v>2</v>
      </c>
      <c r="AF38" s="286">
        <v>1</v>
      </c>
      <c r="AG38" s="286"/>
      <c r="AH38" s="286"/>
      <c r="AI38" s="286"/>
      <c r="AJ38" s="286"/>
      <c r="AK38" s="286"/>
      <c r="AL38" s="286"/>
      <c r="AM38" s="287"/>
      <c r="AN38" s="227">
        <f t="shared" si="0"/>
        <v>22.5</v>
      </c>
      <c r="AO38" s="240">
        <v>200000</v>
      </c>
      <c r="AP38" s="228">
        <f t="shared" si="1"/>
        <v>4500000</v>
      </c>
    </row>
    <row r="39" spans="1:42" s="162" customFormat="1" ht="24.9" customHeight="1" x14ac:dyDescent="0.4">
      <c r="A39" s="181">
        <v>34</v>
      </c>
      <c r="B39" s="183" t="s">
        <v>541</v>
      </c>
      <c r="C39" s="255" t="s">
        <v>542</v>
      </c>
      <c r="D39" s="255" t="s">
        <v>235</v>
      </c>
      <c r="E39" s="255" t="s">
        <v>543</v>
      </c>
      <c r="F39" s="245" t="s">
        <v>237</v>
      </c>
      <c r="G39" s="183" t="s">
        <v>541</v>
      </c>
      <c r="H39" s="276" t="s">
        <v>544</v>
      </c>
      <c r="I39" s="285">
        <v>1.5</v>
      </c>
      <c r="J39" s="286">
        <v>1.5</v>
      </c>
      <c r="K39" s="286">
        <v>1.5</v>
      </c>
      <c r="L39" s="286">
        <v>1</v>
      </c>
      <c r="M39" s="286"/>
      <c r="N39" s="286">
        <v>1.5</v>
      </c>
      <c r="O39" s="286">
        <v>1.5</v>
      </c>
      <c r="P39" s="286">
        <v>1.5</v>
      </c>
      <c r="Q39" s="286">
        <v>1.5</v>
      </c>
      <c r="R39" s="286">
        <v>1.5</v>
      </c>
      <c r="S39" s="286">
        <v>1</v>
      </c>
      <c r="T39" s="286"/>
      <c r="U39" s="286">
        <v>1.5</v>
      </c>
      <c r="V39" s="286">
        <v>2</v>
      </c>
      <c r="W39" s="286">
        <v>2</v>
      </c>
      <c r="X39" s="286">
        <v>2</v>
      </c>
      <c r="Y39" s="286">
        <v>1.5</v>
      </c>
      <c r="Z39" s="286"/>
      <c r="AA39" s="286"/>
      <c r="AB39" s="286">
        <v>2</v>
      </c>
      <c r="AC39" s="286">
        <v>2</v>
      </c>
      <c r="AD39" s="286">
        <v>2</v>
      </c>
      <c r="AE39" s="286">
        <v>2</v>
      </c>
      <c r="AF39" s="286">
        <v>1</v>
      </c>
      <c r="AG39" s="286"/>
      <c r="AH39" s="286"/>
      <c r="AI39" s="286"/>
      <c r="AJ39" s="286"/>
      <c r="AK39" s="286"/>
      <c r="AL39" s="286"/>
      <c r="AM39" s="287"/>
      <c r="AN39" s="227">
        <f t="shared" si="0"/>
        <v>32</v>
      </c>
      <c r="AO39" s="242">
        <v>230000</v>
      </c>
      <c r="AP39" s="228">
        <f t="shared" si="1"/>
        <v>7360000</v>
      </c>
    </row>
    <row r="40" spans="1:42" s="162" customFormat="1" ht="24.9" customHeight="1" x14ac:dyDescent="0.4">
      <c r="A40" s="181">
        <v>35</v>
      </c>
      <c r="B40" s="183" t="s">
        <v>738</v>
      </c>
      <c r="C40" s="255" t="s">
        <v>739</v>
      </c>
      <c r="D40" s="255" t="s">
        <v>231</v>
      </c>
      <c r="E40" s="255" t="s">
        <v>740</v>
      </c>
      <c r="F40" s="245" t="s">
        <v>236</v>
      </c>
      <c r="G40" s="183" t="s">
        <v>738</v>
      </c>
      <c r="H40" s="276" t="s">
        <v>741</v>
      </c>
      <c r="I40" s="285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>
        <v>1</v>
      </c>
      <c r="V40" s="286">
        <v>2</v>
      </c>
      <c r="W40" s="286">
        <v>2</v>
      </c>
      <c r="X40" s="286"/>
      <c r="Y40" s="286">
        <v>1.5</v>
      </c>
      <c r="Z40" s="286">
        <v>1</v>
      </c>
      <c r="AA40" s="286"/>
      <c r="AB40" s="286">
        <v>2</v>
      </c>
      <c r="AC40" s="286">
        <v>2</v>
      </c>
      <c r="AD40" s="286"/>
      <c r="AE40" s="286"/>
      <c r="AF40" s="286"/>
      <c r="AG40" s="286"/>
      <c r="AH40" s="286"/>
      <c r="AI40" s="286"/>
      <c r="AJ40" s="286"/>
      <c r="AK40" s="286"/>
      <c r="AL40" s="286"/>
      <c r="AM40" s="287"/>
      <c r="AN40" s="227">
        <f t="shared" si="0"/>
        <v>11.5</v>
      </c>
      <c r="AO40" s="240">
        <v>160000</v>
      </c>
      <c r="AP40" s="228">
        <f t="shared" si="1"/>
        <v>1840000</v>
      </c>
    </row>
    <row r="41" spans="1:42" s="162" customFormat="1" ht="24.9" customHeight="1" x14ac:dyDescent="0.4">
      <c r="A41" s="181">
        <v>36</v>
      </c>
      <c r="B41" s="183" t="s">
        <v>545</v>
      </c>
      <c r="C41" s="255" t="s">
        <v>546</v>
      </c>
      <c r="D41" s="255" t="s">
        <v>716</v>
      </c>
      <c r="E41" s="255" t="s">
        <v>547</v>
      </c>
      <c r="F41" s="245" t="s">
        <v>490</v>
      </c>
      <c r="G41" s="183" t="s">
        <v>545</v>
      </c>
      <c r="H41" s="276" t="s">
        <v>548</v>
      </c>
      <c r="I41" s="285">
        <v>1</v>
      </c>
      <c r="J41" s="286">
        <v>1</v>
      </c>
      <c r="K41" s="286">
        <v>1.5</v>
      </c>
      <c r="L41" s="286"/>
      <c r="M41" s="286"/>
      <c r="N41" s="286">
        <v>1.5</v>
      </c>
      <c r="O41" s="286">
        <v>1.5</v>
      </c>
      <c r="P41" s="286">
        <v>1.5</v>
      </c>
      <c r="Q41" s="286">
        <v>1.5</v>
      </c>
      <c r="R41" s="286">
        <v>1.5</v>
      </c>
      <c r="S41" s="286">
        <v>1</v>
      </c>
      <c r="T41" s="286"/>
      <c r="U41" s="286">
        <v>1.5</v>
      </c>
      <c r="V41" s="286">
        <v>2</v>
      </c>
      <c r="W41" s="286">
        <v>2</v>
      </c>
      <c r="X41" s="286">
        <v>2</v>
      </c>
      <c r="Y41" s="286">
        <v>1.5</v>
      </c>
      <c r="Z41" s="286">
        <v>1</v>
      </c>
      <c r="AA41" s="286"/>
      <c r="AB41" s="286">
        <v>2</v>
      </c>
      <c r="AC41" s="286">
        <v>2</v>
      </c>
      <c r="AD41" s="286">
        <v>2</v>
      </c>
      <c r="AE41" s="286">
        <v>2</v>
      </c>
      <c r="AF41" s="286">
        <v>1</v>
      </c>
      <c r="AG41" s="286"/>
      <c r="AH41" s="286"/>
      <c r="AI41" s="286">
        <v>1</v>
      </c>
      <c r="AJ41" s="286">
        <v>1</v>
      </c>
      <c r="AK41" s="286">
        <v>1</v>
      </c>
      <c r="AL41" s="286">
        <v>1</v>
      </c>
      <c r="AM41" s="287">
        <v>1</v>
      </c>
      <c r="AN41" s="227">
        <f t="shared" si="0"/>
        <v>36</v>
      </c>
      <c r="AO41" s="240">
        <v>180000</v>
      </c>
      <c r="AP41" s="228">
        <f t="shared" si="1"/>
        <v>6480000</v>
      </c>
    </row>
    <row r="42" spans="1:42" s="162" customFormat="1" ht="24.9" customHeight="1" x14ac:dyDescent="0.4">
      <c r="A42" s="181">
        <v>37</v>
      </c>
      <c r="B42" s="183" t="s">
        <v>742</v>
      </c>
      <c r="C42" s="255" t="s">
        <v>743</v>
      </c>
      <c r="D42" s="255" t="s">
        <v>231</v>
      </c>
      <c r="E42" s="255" t="s">
        <v>744</v>
      </c>
      <c r="F42" s="245" t="s">
        <v>236</v>
      </c>
      <c r="G42" s="183" t="s">
        <v>742</v>
      </c>
      <c r="H42" s="276" t="s">
        <v>745</v>
      </c>
      <c r="I42" s="285"/>
      <c r="J42" s="286"/>
      <c r="K42" s="286"/>
      <c r="L42" s="286"/>
      <c r="M42" s="286"/>
      <c r="N42" s="286">
        <v>1</v>
      </c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7"/>
      <c r="AN42" s="227">
        <f t="shared" si="0"/>
        <v>1</v>
      </c>
      <c r="AO42" s="242">
        <v>160000</v>
      </c>
      <c r="AP42" s="228">
        <f t="shared" si="1"/>
        <v>160000</v>
      </c>
    </row>
    <row r="43" spans="1:42" s="162" customFormat="1" ht="24.9" customHeight="1" x14ac:dyDescent="0.4">
      <c r="A43" s="181">
        <v>38</v>
      </c>
      <c r="B43" s="183" t="s">
        <v>549</v>
      </c>
      <c r="C43" s="255" t="s">
        <v>550</v>
      </c>
      <c r="D43" s="255" t="s">
        <v>231</v>
      </c>
      <c r="E43" s="255" t="s">
        <v>551</v>
      </c>
      <c r="F43" s="245" t="s">
        <v>236</v>
      </c>
      <c r="G43" s="183" t="s">
        <v>549</v>
      </c>
      <c r="H43" s="276" t="s">
        <v>552</v>
      </c>
      <c r="I43" s="285">
        <v>1.5</v>
      </c>
      <c r="J43" s="286">
        <v>1.5</v>
      </c>
      <c r="K43" s="286">
        <v>1.5</v>
      </c>
      <c r="L43" s="286"/>
      <c r="M43" s="286"/>
      <c r="N43" s="286">
        <v>1.5</v>
      </c>
      <c r="O43" s="286">
        <v>1.5</v>
      </c>
      <c r="P43" s="286">
        <v>1.5</v>
      </c>
      <c r="Q43" s="286">
        <v>1.5</v>
      </c>
      <c r="R43" s="286">
        <v>1.5</v>
      </c>
      <c r="S43" s="286"/>
      <c r="T43" s="286"/>
      <c r="U43" s="286">
        <v>1.5</v>
      </c>
      <c r="V43" s="286">
        <v>2</v>
      </c>
      <c r="W43" s="286">
        <v>2</v>
      </c>
      <c r="X43" s="286">
        <v>2</v>
      </c>
      <c r="Y43" s="286">
        <v>1.5</v>
      </c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7"/>
      <c r="AN43" s="227">
        <f t="shared" si="0"/>
        <v>21</v>
      </c>
      <c r="AO43" s="240">
        <v>140000</v>
      </c>
      <c r="AP43" s="228">
        <f t="shared" si="1"/>
        <v>2940000</v>
      </c>
    </row>
    <row r="44" spans="1:42" s="162" customFormat="1" ht="24.9" customHeight="1" x14ac:dyDescent="0.4">
      <c r="A44" s="181">
        <v>39</v>
      </c>
      <c r="B44" s="183" t="s">
        <v>553</v>
      </c>
      <c r="C44" s="255" t="s">
        <v>554</v>
      </c>
      <c r="D44" s="255" t="s">
        <v>231</v>
      </c>
      <c r="E44" s="255" t="s">
        <v>555</v>
      </c>
      <c r="F44" s="245" t="s">
        <v>435</v>
      </c>
      <c r="G44" s="183" t="s">
        <v>553</v>
      </c>
      <c r="H44" s="276" t="s">
        <v>556</v>
      </c>
      <c r="I44" s="285">
        <v>1.5</v>
      </c>
      <c r="J44" s="286">
        <v>1.5</v>
      </c>
      <c r="K44" s="286">
        <v>1.5</v>
      </c>
      <c r="L44" s="286">
        <v>1</v>
      </c>
      <c r="M44" s="286"/>
      <c r="N44" s="286">
        <v>1.5</v>
      </c>
      <c r="O44" s="286">
        <v>1.5</v>
      </c>
      <c r="P44" s="286">
        <v>1.5</v>
      </c>
      <c r="Q44" s="286">
        <v>1.5</v>
      </c>
      <c r="R44" s="286">
        <v>1.5</v>
      </c>
      <c r="S44" s="286">
        <v>1</v>
      </c>
      <c r="T44" s="286"/>
      <c r="U44" s="286">
        <v>1.5</v>
      </c>
      <c r="V44" s="286">
        <v>2</v>
      </c>
      <c r="W44" s="286">
        <v>2</v>
      </c>
      <c r="X44" s="286">
        <v>2</v>
      </c>
      <c r="Y44" s="286"/>
      <c r="Z44" s="286">
        <v>1</v>
      </c>
      <c r="AA44" s="286"/>
      <c r="AB44" s="286">
        <v>2</v>
      </c>
      <c r="AC44" s="286">
        <v>2</v>
      </c>
      <c r="AD44" s="286"/>
      <c r="AE44" s="286">
        <v>2</v>
      </c>
      <c r="AF44" s="286"/>
      <c r="AG44" s="286"/>
      <c r="AH44" s="286"/>
      <c r="AI44" s="286"/>
      <c r="AJ44" s="286"/>
      <c r="AK44" s="286"/>
      <c r="AL44" s="286"/>
      <c r="AM44" s="287"/>
      <c r="AN44" s="227">
        <f t="shared" si="0"/>
        <v>28.5</v>
      </c>
      <c r="AO44" s="240">
        <v>150000</v>
      </c>
      <c r="AP44" s="228">
        <f t="shared" si="1"/>
        <v>4275000</v>
      </c>
    </row>
    <row r="45" spans="1:42" s="162" customFormat="1" ht="24.9" customHeight="1" x14ac:dyDescent="0.4">
      <c r="A45" s="181">
        <v>40</v>
      </c>
      <c r="B45" s="183" t="s">
        <v>557</v>
      </c>
      <c r="C45" s="255" t="s">
        <v>558</v>
      </c>
      <c r="D45" s="255" t="s">
        <v>235</v>
      </c>
      <c r="E45" s="255" t="s">
        <v>559</v>
      </c>
      <c r="F45" s="245" t="s">
        <v>237</v>
      </c>
      <c r="G45" s="183" t="s">
        <v>557</v>
      </c>
      <c r="H45" s="276" t="s">
        <v>560</v>
      </c>
      <c r="I45" s="285">
        <v>1.5</v>
      </c>
      <c r="J45" s="286"/>
      <c r="K45" s="286">
        <v>1.5</v>
      </c>
      <c r="L45" s="286">
        <v>0.875</v>
      </c>
      <c r="M45" s="286"/>
      <c r="N45" s="286">
        <v>1.5</v>
      </c>
      <c r="O45" s="286">
        <v>1.5</v>
      </c>
      <c r="P45" s="286">
        <v>1.5</v>
      </c>
      <c r="Q45" s="286">
        <v>1.5</v>
      </c>
      <c r="R45" s="286">
        <v>1</v>
      </c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7"/>
      <c r="AN45" s="227">
        <f t="shared" si="0"/>
        <v>10.875</v>
      </c>
      <c r="AO45" s="240">
        <v>190000</v>
      </c>
      <c r="AP45" s="228">
        <f t="shared" si="1"/>
        <v>2066250</v>
      </c>
    </row>
    <row r="46" spans="1:42" s="162" customFormat="1" ht="24.9" customHeight="1" x14ac:dyDescent="0.4">
      <c r="A46" s="181">
        <v>41</v>
      </c>
      <c r="B46" s="183" t="s">
        <v>561</v>
      </c>
      <c r="C46" s="255" t="s">
        <v>562</v>
      </c>
      <c r="D46" s="255" t="s">
        <v>235</v>
      </c>
      <c r="E46" s="255" t="s">
        <v>563</v>
      </c>
      <c r="F46" s="245" t="s">
        <v>236</v>
      </c>
      <c r="G46" s="183" t="s">
        <v>561</v>
      </c>
      <c r="H46" s="276" t="s">
        <v>564</v>
      </c>
      <c r="I46" s="285">
        <v>1.5</v>
      </c>
      <c r="J46" s="286">
        <v>1.375</v>
      </c>
      <c r="K46" s="286">
        <v>0.5</v>
      </c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7"/>
      <c r="AN46" s="227">
        <f t="shared" si="0"/>
        <v>3.375</v>
      </c>
      <c r="AO46" s="240">
        <v>210000</v>
      </c>
      <c r="AP46" s="228">
        <f t="shared" si="1"/>
        <v>708750</v>
      </c>
    </row>
    <row r="47" spans="1:42" s="162" customFormat="1" ht="24.9" customHeight="1" x14ac:dyDescent="0.4">
      <c r="A47" s="181">
        <v>42</v>
      </c>
      <c r="B47" s="183" t="s">
        <v>565</v>
      </c>
      <c r="C47" s="255" t="s">
        <v>566</v>
      </c>
      <c r="D47" s="255" t="s">
        <v>231</v>
      </c>
      <c r="E47" s="255" t="s">
        <v>567</v>
      </c>
      <c r="F47" s="245" t="s">
        <v>490</v>
      </c>
      <c r="G47" s="183" t="s">
        <v>565</v>
      </c>
      <c r="H47" s="276" t="s">
        <v>568</v>
      </c>
      <c r="I47" s="285">
        <v>1.5</v>
      </c>
      <c r="J47" s="286">
        <v>1.5</v>
      </c>
      <c r="K47" s="286">
        <v>1.5</v>
      </c>
      <c r="L47" s="286">
        <v>1</v>
      </c>
      <c r="M47" s="286"/>
      <c r="N47" s="286">
        <v>1.5</v>
      </c>
      <c r="O47" s="286">
        <v>1.5</v>
      </c>
      <c r="P47" s="286"/>
      <c r="Q47" s="286">
        <v>1.5</v>
      </c>
      <c r="R47" s="286">
        <v>1.5</v>
      </c>
      <c r="S47" s="286"/>
      <c r="T47" s="286"/>
      <c r="U47" s="286">
        <v>1.5</v>
      </c>
      <c r="V47" s="286">
        <v>2</v>
      </c>
      <c r="W47" s="286">
        <v>2</v>
      </c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7"/>
      <c r="AN47" s="227">
        <f t="shared" si="0"/>
        <v>17</v>
      </c>
      <c r="AO47" s="240">
        <v>160000</v>
      </c>
      <c r="AP47" s="228">
        <f t="shared" si="1"/>
        <v>2720000</v>
      </c>
    </row>
    <row r="48" spans="1:42" s="162" customFormat="1" ht="24.9" customHeight="1" x14ac:dyDescent="0.4">
      <c r="A48" s="181">
        <v>43</v>
      </c>
      <c r="B48" s="183" t="s">
        <v>569</v>
      </c>
      <c r="C48" s="255" t="s">
        <v>570</v>
      </c>
      <c r="D48" s="255" t="s">
        <v>231</v>
      </c>
      <c r="E48" s="255" t="s">
        <v>571</v>
      </c>
      <c r="F48" s="245" t="s">
        <v>236</v>
      </c>
      <c r="G48" s="183" t="s">
        <v>569</v>
      </c>
      <c r="H48" s="276" t="s">
        <v>572</v>
      </c>
      <c r="I48" s="285"/>
      <c r="J48" s="286">
        <v>1.5</v>
      </c>
      <c r="K48" s="286">
        <v>1.5</v>
      </c>
      <c r="L48" s="286"/>
      <c r="M48" s="286"/>
      <c r="N48" s="286">
        <v>1.5</v>
      </c>
      <c r="O48" s="286">
        <v>1.5</v>
      </c>
      <c r="P48" s="286">
        <v>1.5</v>
      </c>
      <c r="Q48" s="286">
        <v>1.5</v>
      </c>
      <c r="R48" s="286">
        <v>1.5</v>
      </c>
      <c r="S48" s="286"/>
      <c r="T48" s="286"/>
      <c r="U48" s="286"/>
      <c r="V48" s="286">
        <v>1.5</v>
      </c>
      <c r="W48" s="286">
        <v>1.5</v>
      </c>
      <c r="X48" s="286">
        <v>1.5</v>
      </c>
      <c r="Y48" s="286">
        <v>1.5</v>
      </c>
      <c r="Z48" s="286"/>
      <c r="AA48" s="286"/>
      <c r="AB48" s="286">
        <v>1.5</v>
      </c>
      <c r="AC48" s="286">
        <v>1.5</v>
      </c>
      <c r="AD48" s="286"/>
      <c r="AE48" s="286"/>
      <c r="AF48" s="286"/>
      <c r="AG48" s="286"/>
      <c r="AH48" s="286"/>
      <c r="AI48" s="286"/>
      <c r="AJ48" s="286"/>
      <c r="AK48" s="286"/>
      <c r="AL48" s="286"/>
      <c r="AM48" s="287"/>
      <c r="AN48" s="227">
        <f t="shared" si="0"/>
        <v>19.5</v>
      </c>
      <c r="AO48" s="240">
        <v>180000</v>
      </c>
      <c r="AP48" s="228">
        <f t="shared" si="1"/>
        <v>3510000</v>
      </c>
    </row>
    <row r="49" spans="1:42" s="162" customFormat="1" ht="24.9" customHeight="1" x14ac:dyDescent="0.4">
      <c r="A49" s="181">
        <v>44</v>
      </c>
      <c r="B49" s="183" t="s">
        <v>746</v>
      </c>
      <c r="C49" s="255" t="s">
        <v>747</v>
      </c>
      <c r="D49" s="255" t="s">
        <v>235</v>
      </c>
      <c r="E49" s="255" t="s">
        <v>748</v>
      </c>
      <c r="F49" s="245" t="s">
        <v>444</v>
      </c>
      <c r="G49" s="183" t="s">
        <v>746</v>
      </c>
      <c r="H49" s="276" t="s">
        <v>749</v>
      </c>
      <c r="I49" s="285"/>
      <c r="J49" s="286"/>
      <c r="K49" s="286"/>
      <c r="L49" s="286"/>
      <c r="M49" s="286"/>
      <c r="N49" s="286">
        <v>1</v>
      </c>
      <c r="O49" s="286">
        <v>1</v>
      </c>
      <c r="P49" s="286">
        <v>1.5</v>
      </c>
      <c r="Q49" s="286">
        <v>1.5</v>
      </c>
      <c r="R49" s="286">
        <v>1.5</v>
      </c>
      <c r="S49" s="286">
        <v>1</v>
      </c>
      <c r="T49" s="286"/>
      <c r="U49" s="286">
        <v>1.5</v>
      </c>
      <c r="V49" s="286">
        <v>2</v>
      </c>
      <c r="W49" s="286">
        <v>2</v>
      </c>
      <c r="X49" s="286">
        <v>2</v>
      </c>
      <c r="Y49" s="286">
        <v>1.5</v>
      </c>
      <c r="Z49" s="286"/>
      <c r="AA49" s="286"/>
      <c r="AB49" s="286">
        <v>2</v>
      </c>
      <c r="AC49" s="286">
        <v>2</v>
      </c>
      <c r="AD49" s="286">
        <v>2</v>
      </c>
      <c r="AE49" s="286">
        <v>2</v>
      </c>
      <c r="AF49" s="286">
        <v>1</v>
      </c>
      <c r="AG49" s="286"/>
      <c r="AH49" s="286"/>
      <c r="AI49" s="286">
        <v>1</v>
      </c>
      <c r="AJ49" s="286">
        <v>1</v>
      </c>
      <c r="AK49" s="286">
        <v>1</v>
      </c>
      <c r="AL49" s="286">
        <v>1</v>
      </c>
      <c r="AM49" s="287">
        <v>1</v>
      </c>
      <c r="AN49" s="227">
        <f t="shared" si="0"/>
        <v>30.5</v>
      </c>
      <c r="AO49" s="240">
        <v>220000</v>
      </c>
      <c r="AP49" s="228">
        <f t="shared" si="1"/>
        <v>6710000</v>
      </c>
    </row>
    <row r="50" spans="1:42" s="162" customFormat="1" ht="24.9" customHeight="1" x14ac:dyDescent="0.4">
      <c r="A50" s="181">
        <v>45</v>
      </c>
      <c r="B50" s="183" t="s">
        <v>573</v>
      </c>
      <c r="C50" s="255" t="s">
        <v>574</v>
      </c>
      <c r="D50" s="255" t="s">
        <v>231</v>
      </c>
      <c r="E50" s="255" t="s">
        <v>575</v>
      </c>
      <c r="F50" s="245" t="s">
        <v>232</v>
      </c>
      <c r="G50" s="183" t="s">
        <v>573</v>
      </c>
      <c r="H50" s="276" t="s">
        <v>576</v>
      </c>
      <c r="I50" s="285">
        <v>1.5</v>
      </c>
      <c r="J50" s="286">
        <v>1.5</v>
      </c>
      <c r="K50" s="286">
        <v>1.5</v>
      </c>
      <c r="L50" s="286">
        <v>1</v>
      </c>
      <c r="M50" s="286"/>
      <c r="N50" s="286">
        <v>1.5</v>
      </c>
      <c r="O50" s="286">
        <v>1.5</v>
      </c>
      <c r="P50" s="286">
        <v>1.5</v>
      </c>
      <c r="Q50" s="286"/>
      <c r="R50" s="286">
        <v>1.5</v>
      </c>
      <c r="S50" s="286">
        <v>1</v>
      </c>
      <c r="T50" s="286"/>
      <c r="U50" s="286">
        <v>1.5</v>
      </c>
      <c r="V50" s="286">
        <v>2</v>
      </c>
      <c r="W50" s="286">
        <v>2</v>
      </c>
      <c r="X50" s="286">
        <v>2</v>
      </c>
      <c r="Y50" s="286">
        <v>1.5</v>
      </c>
      <c r="Z50" s="286"/>
      <c r="AA50" s="286"/>
      <c r="AB50" s="286">
        <v>2</v>
      </c>
      <c r="AC50" s="286">
        <v>2</v>
      </c>
      <c r="AD50" s="286">
        <v>2</v>
      </c>
      <c r="AE50" s="286">
        <v>2</v>
      </c>
      <c r="AF50" s="286">
        <v>1</v>
      </c>
      <c r="AG50" s="286"/>
      <c r="AH50" s="286"/>
      <c r="AI50" s="286"/>
      <c r="AJ50" s="286"/>
      <c r="AK50" s="286"/>
      <c r="AL50" s="286"/>
      <c r="AM50" s="287"/>
      <c r="AN50" s="227">
        <f t="shared" si="0"/>
        <v>30.5</v>
      </c>
      <c r="AO50" s="240">
        <v>170000</v>
      </c>
      <c r="AP50" s="228">
        <f t="shared" si="1"/>
        <v>5185000</v>
      </c>
    </row>
    <row r="51" spans="1:42" s="162" customFormat="1" ht="24.9" customHeight="1" x14ac:dyDescent="0.4">
      <c r="A51" s="181">
        <v>46</v>
      </c>
      <c r="B51" s="183" t="s">
        <v>577</v>
      </c>
      <c r="C51" s="255" t="s">
        <v>578</v>
      </c>
      <c r="D51" s="255" t="s">
        <v>233</v>
      </c>
      <c r="E51" s="255" t="s">
        <v>579</v>
      </c>
      <c r="F51" s="245" t="s">
        <v>232</v>
      </c>
      <c r="G51" s="183" t="s">
        <v>577</v>
      </c>
      <c r="H51" s="276" t="s">
        <v>580</v>
      </c>
      <c r="I51" s="285">
        <v>1.5</v>
      </c>
      <c r="J51" s="286">
        <v>1.5</v>
      </c>
      <c r="K51" s="286">
        <v>1.5</v>
      </c>
      <c r="L51" s="286">
        <v>1</v>
      </c>
      <c r="M51" s="286"/>
      <c r="N51" s="286">
        <v>1.5</v>
      </c>
      <c r="O51" s="286">
        <v>1.5</v>
      </c>
      <c r="P51" s="286">
        <v>1.5</v>
      </c>
      <c r="Q51" s="286">
        <v>1.5</v>
      </c>
      <c r="R51" s="286">
        <v>1.5</v>
      </c>
      <c r="S51" s="286">
        <v>1</v>
      </c>
      <c r="T51" s="286"/>
      <c r="U51" s="286">
        <v>1.5</v>
      </c>
      <c r="V51" s="286">
        <v>2</v>
      </c>
      <c r="W51" s="286">
        <v>2</v>
      </c>
      <c r="X51" s="286">
        <v>2</v>
      </c>
      <c r="Y51" s="286">
        <v>1.5</v>
      </c>
      <c r="Z51" s="286">
        <v>1</v>
      </c>
      <c r="AA51" s="286"/>
      <c r="AB51" s="286">
        <v>2</v>
      </c>
      <c r="AC51" s="286">
        <v>2</v>
      </c>
      <c r="AD51" s="286">
        <v>2</v>
      </c>
      <c r="AE51" s="286">
        <v>2</v>
      </c>
      <c r="AF51" s="286">
        <v>1</v>
      </c>
      <c r="AG51" s="286"/>
      <c r="AH51" s="286"/>
      <c r="AI51" s="286">
        <v>1</v>
      </c>
      <c r="AJ51" s="286">
        <v>1</v>
      </c>
      <c r="AK51" s="286">
        <v>1</v>
      </c>
      <c r="AL51" s="286">
        <v>1</v>
      </c>
      <c r="AM51" s="287">
        <v>1</v>
      </c>
      <c r="AN51" s="227">
        <f t="shared" si="0"/>
        <v>38</v>
      </c>
      <c r="AO51" s="240">
        <v>240000</v>
      </c>
      <c r="AP51" s="228">
        <f t="shared" si="1"/>
        <v>9120000</v>
      </c>
    </row>
    <row r="52" spans="1:42" s="162" customFormat="1" ht="24.9" customHeight="1" x14ac:dyDescent="0.4">
      <c r="A52" s="181">
        <v>47</v>
      </c>
      <c r="B52" s="183" t="s">
        <v>581</v>
      </c>
      <c r="C52" s="255" t="s">
        <v>582</v>
      </c>
      <c r="D52" s="255" t="s">
        <v>231</v>
      </c>
      <c r="E52" s="255" t="s">
        <v>583</v>
      </c>
      <c r="F52" s="245" t="s">
        <v>232</v>
      </c>
      <c r="G52" s="183" t="s">
        <v>581</v>
      </c>
      <c r="H52" s="276" t="s">
        <v>584</v>
      </c>
      <c r="I52" s="285">
        <v>1.5</v>
      </c>
      <c r="J52" s="286">
        <v>1.5</v>
      </c>
      <c r="K52" s="286">
        <v>1.5</v>
      </c>
      <c r="L52" s="286">
        <v>1</v>
      </c>
      <c r="M52" s="286"/>
      <c r="N52" s="286">
        <v>1.5</v>
      </c>
      <c r="O52" s="286">
        <v>1.5</v>
      </c>
      <c r="P52" s="286">
        <v>1.5</v>
      </c>
      <c r="Q52" s="286">
        <v>1.5</v>
      </c>
      <c r="R52" s="286">
        <v>1.5</v>
      </c>
      <c r="S52" s="286">
        <v>1</v>
      </c>
      <c r="T52" s="286"/>
      <c r="U52" s="286">
        <v>1.5</v>
      </c>
      <c r="V52" s="286">
        <v>2</v>
      </c>
      <c r="W52" s="286">
        <v>2</v>
      </c>
      <c r="X52" s="286">
        <v>2</v>
      </c>
      <c r="Y52" s="286">
        <v>1.5</v>
      </c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7"/>
      <c r="AN52" s="227">
        <f t="shared" si="0"/>
        <v>23</v>
      </c>
      <c r="AO52" s="240">
        <v>150000</v>
      </c>
      <c r="AP52" s="228">
        <f t="shared" si="1"/>
        <v>3450000</v>
      </c>
    </row>
    <row r="53" spans="1:42" s="162" customFormat="1" ht="24.9" customHeight="1" x14ac:dyDescent="0.4">
      <c r="A53" s="181">
        <v>48</v>
      </c>
      <c r="B53" s="183" t="s">
        <v>585</v>
      </c>
      <c r="C53" s="255" t="s">
        <v>586</v>
      </c>
      <c r="D53" s="255" t="s">
        <v>717</v>
      </c>
      <c r="E53" s="255" t="s">
        <v>587</v>
      </c>
      <c r="F53" s="245" t="s">
        <v>232</v>
      </c>
      <c r="G53" s="183" t="s">
        <v>585</v>
      </c>
      <c r="H53" s="276" t="s">
        <v>588</v>
      </c>
      <c r="I53" s="285">
        <v>1.5</v>
      </c>
      <c r="J53" s="286">
        <v>1.5</v>
      </c>
      <c r="K53" s="286">
        <v>1.5</v>
      </c>
      <c r="L53" s="286">
        <v>1</v>
      </c>
      <c r="M53" s="286"/>
      <c r="N53" s="286">
        <v>1.5</v>
      </c>
      <c r="O53" s="286">
        <v>1.5</v>
      </c>
      <c r="P53" s="286">
        <v>1.5</v>
      </c>
      <c r="Q53" s="286">
        <v>1.5</v>
      </c>
      <c r="R53" s="286">
        <v>1.5</v>
      </c>
      <c r="S53" s="286">
        <v>0.5</v>
      </c>
      <c r="T53" s="286"/>
      <c r="U53" s="286">
        <v>1.5</v>
      </c>
      <c r="V53" s="286">
        <v>2</v>
      </c>
      <c r="W53" s="286">
        <v>2</v>
      </c>
      <c r="X53" s="286">
        <v>2</v>
      </c>
      <c r="Y53" s="286">
        <v>1.5</v>
      </c>
      <c r="Z53" s="286">
        <v>1</v>
      </c>
      <c r="AA53" s="286"/>
      <c r="AB53" s="286">
        <v>2</v>
      </c>
      <c r="AC53" s="286">
        <v>2</v>
      </c>
      <c r="AD53" s="286">
        <v>1.25</v>
      </c>
      <c r="AE53" s="286">
        <v>1.875</v>
      </c>
      <c r="AF53" s="286">
        <v>1</v>
      </c>
      <c r="AG53" s="286"/>
      <c r="AH53" s="286"/>
      <c r="AI53" s="286">
        <v>1</v>
      </c>
      <c r="AJ53" s="286">
        <v>1</v>
      </c>
      <c r="AK53" s="286">
        <v>0.25</v>
      </c>
      <c r="AL53" s="286">
        <v>1</v>
      </c>
      <c r="AM53" s="287">
        <v>1</v>
      </c>
      <c r="AN53" s="227">
        <f t="shared" si="0"/>
        <v>35.875</v>
      </c>
      <c r="AO53" s="240">
        <v>190000</v>
      </c>
      <c r="AP53" s="228">
        <f t="shared" si="1"/>
        <v>6816250</v>
      </c>
    </row>
    <row r="54" spans="1:42" s="162" customFormat="1" ht="24.9" customHeight="1" x14ac:dyDescent="0.4">
      <c r="A54" s="181">
        <v>49</v>
      </c>
      <c r="B54" s="183" t="s">
        <v>750</v>
      </c>
      <c r="C54" s="255" t="s">
        <v>751</v>
      </c>
      <c r="D54" s="255" t="s">
        <v>231</v>
      </c>
      <c r="E54" s="255" t="s">
        <v>752</v>
      </c>
      <c r="F54" s="245" t="s">
        <v>596</v>
      </c>
      <c r="G54" s="183" t="s">
        <v>750</v>
      </c>
      <c r="H54" s="276" t="s">
        <v>753</v>
      </c>
      <c r="I54" s="285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>
        <v>1</v>
      </c>
      <c r="V54" s="286">
        <v>2</v>
      </c>
      <c r="W54" s="286">
        <v>1.5</v>
      </c>
      <c r="X54" s="286">
        <v>2</v>
      </c>
      <c r="Y54" s="286">
        <v>0.75</v>
      </c>
      <c r="Z54" s="286"/>
      <c r="AA54" s="286"/>
      <c r="AB54" s="286">
        <v>2</v>
      </c>
      <c r="AC54" s="286">
        <v>2</v>
      </c>
      <c r="AD54" s="286"/>
      <c r="AE54" s="286">
        <v>2</v>
      </c>
      <c r="AF54" s="286"/>
      <c r="AG54" s="286"/>
      <c r="AH54" s="286"/>
      <c r="AI54" s="286"/>
      <c r="AJ54" s="286"/>
      <c r="AK54" s="286"/>
      <c r="AL54" s="286"/>
      <c r="AM54" s="287"/>
      <c r="AN54" s="227">
        <f t="shared" si="0"/>
        <v>13.25</v>
      </c>
      <c r="AO54" s="240">
        <v>160000</v>
      </c>
      <c r="AP54" s="228">
        <f t="shared" si="1"/>
        <v>2120000</v>
      </c>
    </row>
    <row r="55" spans="1:42" s="162" customFormat="1" ht="24.9" customHeight="1" x14ac:dyDescent="0.4">
      <c r="A55" s="181">
        <v>50</v>
      </c>
      <c r="B55" s="183" t="s">
        <v>589</v>
      </c>
      <c r="C55" s="255" t="s">
        <v>590</v>
      </c>
      <c r="D55" s="255" t="s">
        <v>233</v>
      </c>
      <c r="E55" s="255" t="s">
        <v>591</v>
      </c>
      <c r="F55" s="245" t="s">
        <v>490</v>
      </c>
      <c r="G55" s="183" t="s">
        <v>589</v>
      </c>
      <c r="H55" s="276" t="s">
        <v>592</v>
      </c>
      <c r="I55" s="285">
        <v>1.5</v>
      </c>
      <c r="J55" s="286">
        <v>0.5</v>
      </c>
      <c r="K55" s="286">
        <v>1.5</v>
      </c>
      <c r="L55" s="286">
        <v>1</v>
      </c>
      <c r="M55" s="286"/>
      <c r="N55" s="286">
        <v>1.5</v>
      </c>
      <c r="O55" s="286">
        <v>1.5</v>
      </c>
      <c r="P55" s="286"/>
      <c r="Q55" s="286">
        <v>1.5</v>
      </c>
      <c r="R55" s="286">
        <v>1.5</v>
      </c>
      <c r="S55" s="286">
        <v>1</v>
      </c>
      <c r="T55" s="286"/>
      <c r="U55" s="286">
        <v>1.5</v>
      </c>
      <c r="V55" s="286">
        <v>2</v>
      </c>
      <c r="W55" s="286">
        <v>2</v>
      </c>
      <c r="X55" s="286">
        <v>2</v>
      </c>
      <c r="Y55" s="286">
        <v>1.5</v>
      </c>
      <c r="Z55" s="286">
        <v>1</v>
      </c>
      <c r="AA55" s="286"/>
      <c r="AB55" s="286">
        <v>2</v>
      </c>
      <c r="AC55" s="286">
        <v>2</v>
      </c>
      <c r="AD55" s="286">
        <v>1</v>
      </c>
      <c r="AE55" s="286">
        <v>2</v>
      </c>
      <c r="AF55" s="286">
        <v>1</v>
      </c>
      <c r="AG55" s="286"/>
      <c r="AH55" s="286"/>
      <c r="AI55" s="286">
        <v>1</v>
      </c>
      <c r="AJ55" s="286">
        <v>1</v>
      </c>
      <c r="AK55" s="286">
        <v>1</v>
      </c>
      <c r="AL55" s="286">
        <v>1</v>
      </c>
      <c r="AM55" s="287">
        <v>1</v>
      </c>
      <c r="AN55" s="227">
        <f t="shared" si="0"/>
        <v>34.5</v>
      </c>
      <c r="AO55" s="240">
        <v>240000</v>
      </c>
      <c r="AP55" s="228">
        <f t="shared" si="1"/>
        <v>8280000</v>
      </c>
    </row>
    <row r="56" spans="1:42" s="162" customFormat="1" ht="24.9" customHeight="1" x14ac:dyDescent="0.4">
      <c r="A56" s="181">
        <v>51</v>
      </c>
      <c r="B56" s="183" t="s">
        <v>593</v>
      </c>
      <c r="C56" s="255" t="s">
        <v>594</v>
      </c>
      <c r="D56" s="255" t="s">
        <v>231</v>
      </c>
      <c r="E56" s="255" t="s">
        <v>595</v>
      </c>
      <c r="F56" s="245" t="s">
        <v>596</v>
      </c>
      <c r="G56" s="183" t="s">
        <v>593</v>
      </c>
      <c r="H56" s="276" t="s">
        <v>597</v>
      </c>
      <c r="I56" s="285">
        <v>1.5</v>
      </c>
      <c r="J56" s="286">
        <v>1.5</v>
      </c>
      <c r="K56" s="286">
        <v>1.5</v>
      </c>
      <c r="L56" s="286"/>
      <c r="M56" s="286"/>
      <c r="N56" s="286">
        <v>1.5</v>
      </c>
      <c r="O56" s="286">
        <v>1.5</v>
      </c>
      <c r="P56" s="286">
        <v>1.5</v>
      </c>
      <c r="Q56" s="286">
        <v>1.5</v>
      </c>
      <c r="R56" s="286">
        <v>1.5</v>
      </c>
      <c r="S56" s="286"/>
      <c r="T56" s="286"/>
      <c r="U56" s="286">
        <v>1.5</v>
      </c>
      <c r="V56" s="286"/>
      <c r="W56" s="286">
        <v>1</v>
      </c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7"/>
      <c r="AN56" s="227">
        <f t="shared" si="0"/>
        <v>14.5</v>
      </c>
      <c r="AO56" s="240">
        <v>160000</v>
      </c>
      <c r="AP56" s="228">
        <f t="shared" si="1"/>
        <v>2320000</v>
      </c>
    </row>
    <row r="57" spans="1:42" s="162" customFormat="1" ht="24.9" customHeight="1" x14ac:dyDescent="0.4">
      <c r="A57" s="181">
        <v>52</v>
      </c>
      <c r="B57" s="183" t="s">
        <v>598</v>
      </c>
      <c r="C57" s="255" t="s">
        <v>599</v>
      </c>
      <c r="D57" s="255" t="s">
        <v>231</v>
      </c>
      <c r="E57" s="255" t="s">
        <v>600</v>
      </c>
      <c r="F57" s="245" t="s">
        <v>535</v>
      </c>
      <c r="G57" s="183" t="s">
        <v>598</v>
      </c>
      <c r="H57" s="276" t="s">
        <v>601</v>
      </c>
      <c r="I57" s="285">
        <v>1.5</v>
      </c>
      <c r="J57" s="286">
        <v>1.5</v>
      </c>
      <c r="K57" s="286">
        <v>1.5</v>
      </c>
      <c r="L57" s="286">
        <v>0.875</v>
      </c>
      <c r="M57" s="286"/>
      <c r="N57" s="286">
        <v>1.5</v>
      </c>
      <c r="O57" s="286">
        <v>1.5</v>
      </c>
      <c r="P57" s="286">
        <v>1.5</v>
      </c>
      <c r="Q57" s="286">
        <v>1.5</v>
      </c>
      <c r="R57" s="286">
        <v>1.5</v>
      </c>
      <c r="S57" s="286">
        <v>1</v>
      </c>
      <c r="T57" s="286"/>
      <c r="U57" s="286">
        <v>1.5</v>
      </c>
      <c r="V57" s="286">
        <v>2</v>
      </c>
      <c r="W57" s="286">
        <v>2</v>
      </c>
      <c r="X57" s="286">
        <v>2</v>
      </c>
      <c r="Y57" s="286">
        <v>1.3125</v>
      </c>
      <c r="Z57" s="286">
        <v>1</v>
      </c>
      <c r="AA57" s="286"/>
      <c r="AB57" s="286">
        <v>2</v>
      </c>
      <c r="AC57" s="286">
        <v>2</v>
      </c>
      <c r="AD57" s="286">
        <v>2</v>
      </c>
      <c r="AE57" s="286">
        <v>2</v>
      </c>
      <c r="AF57" s="286">
        <v>0.875</v>
      </c>
      <c r="AG57" s="286"/>
      <c r="AH57" s="286"/>
      <c r="AI57" s="286"/>
      <c r="AJ57" s="286"/>
      <c r="AK57" s="286"/>
      <c r="AL57" s="286"/>
      <c r="AM57" s="287"/>
      <c r="AN57" s="227">
        <f t="shared" si="0"/>
        <v>32.5625</v>
      </c>
      <c r="AO57" s="240">
        <v>150000</v>
      </c>
      <c r="AP57" s="228">
        <f t="shared" si="1"/>
        <v>4884375</v>
      </c>
    </row>
    <row r="58" spans="1:42" s="162" customFormat="1" ht="24.9" customHeight="1" x14ac:dyDescent="0.4">
      <c r="A58" s="181">
        <v>53</v>
      </c>
      <c r="B58" s="183" t="s">
        <v>602</v>
      </c>
      <c r="C58" s="255" t="s">
        <v>603</v>
      </c>
      <c r="D58" s="255" t="s">
        <v>233</v>
      </c>
      <c r="E58" s="255" t="s">
        <v>604</v>
      </c>
      <c r="F58" s="245" t="s">
        <v>444</v>
      </c>
      <c r="G58" s="183" t="s">
        <v>602</v>
      </c>
      <c r="H58" s="276" t="s">
        <v>605</v>
      </c>
      <c r="I58" s="285">
        <v>1.5</v>
      </c>
      <c r="J58" s="286">
        <v>1.5</v>
      </c>
      <c r="K58" s="286">
        <v>1.5</v>
      </c>
      <c r="L58" s="286">
        <v>1</v>
      </c>
      <c r="M58" s="286"/>
      <c r="N58" s="286">
        <v>1.5</v>
      </c>
      <c r="O58" s="286">
        <v>1.5</v>
      </c>
      <c r="P58" s="286">
        <v>1.5</v>
      </c>
      <c r="Q58" s="286">
        <v>1.5</v>
      </c>
      <c r="R58" s="286">
        <v>1.5</v>
      </c>
      <c r="S58" s="286"/>
      <c r="T58" s="286"/>
      <c r="U58" s="286">
        <v>1.5</v>
      </c>
      <c r="V58" s="286">
        <v>2</v>
      </c>
      <c r="W58" s="286">
        <v>2</v>
      </c>
      <c r="X58" s="286">
        <v>2</v>
      </c>
      <c r="Y58" s="286">
        <v>1.5</v>
      </c>
      <c r="Z58" s="286">
        <v>1</v>
      </c>
      <c r="AA58" s="286"/>
      <c r="AB58" s="286">
        <v>2</v>
      </c>
      <c r="AC58" s="286">
        <v>2</v>
      </c>
      <c r="AD58" s="286">
        <v>2</v>
      </c>
      <c r="AE58" s="286">
        <v>2</v>
      </c>
      <c r="AF58" s="286">
        <v>1</v>
      </c>
      <c r="AG58" s="286"/>
      <c r="AH58" s="286"/>
      <c r="AI58" s="286"/>
      <c r="AJ58" s="286"/>
      <c r="AK58" s="286"/>
      <c r="AL58" s="286"/>
      <c r="AM58" s="287"/>
      <c r="AN58" s="227">
        <f t="shared" si="0"/>
        <v>32</v>
      </c>
      <c r="AO58" s="240">
        <v>240000</v>
      </c>
      <c r="AP58" s="228">
        <f t="shared" si="1"/>
        <v>7680000</v>
      </c>
    </row>
    <row r="59" spans="1:42" s="162" customFormat="1" ht="24.9" customHeight="1" x14ac:dyDescent="0.4">
      <c r="A59" s="181">
        <v>54</v>
      </c>
      <c r="B59" s="183" t="s">
        <v>606</v>
      </c>
      <c r="C59" s="255" t="s">
        <v>607</v>
      </c>
      <c r="D59" s="255" t="s">
        <v>231</v>
      </c>
      <c r="E59" s="255" t="s">
        <v>608</v>
      </c>
      <c r="F59" s="245" t="s">
        <v>237</v>
      </c>
      <c r="G59" s="183" t="s">
        <v>606</v>
      </c>
      <c r="H59" s="276" t="s">
        <v>609</v>
      </c>
      <c r="I59" s="285">
        <v>1.5</v>
      </c>
      <c r="J59" s="286">
        <v>1.5</v>
      </c>
      <c r="K59" s="286">
        <v>1.5</v>
      </c>
      <c r="L59" s="286">
        <v>1</v>
      </c>
      <c r="M59" s="286"/>
      <c r="N59" s="286">
        <v>1.5</v>
      </c>
      <c r="O59" s="286">
        <v>1</v>
      </c>
      <c r="P59" s="286">
        <v>1.375</v>
      </c>
      <c r="Q59" s="286">
        <v>1.5</v>
      </c>
      <c r="R59" s="286">
        <v>1.5</v>
      </c>
      <c r="S59" s="286">
        <v>1</v>
      </c>
      <c r="T59" s="286"/>
      <c r="U59" s="286">
        <v>1.5</v>
      </c>
      <c r="V59" s="286">
        <v>2</v>
      </c>
      <c r="W59" s="286">
        <v>1.875</v>
      </c>
      <c r="X59" s="286">
        <v>2</v>
      </c>
      <c r="Y59" s="286">
        <v>1.3125</v>
      </c>
      <c r="Z59" s="286">
        <v>0.875</v>
      </c>
      <c r="AA59" s="286"/>
      <c r="AB59" s="286">
        <v>2</v>
      </c>
      <c r="AC59" s="286">
        <v>0.5</v>
      </c>
      <c r="AD59" s="286"/>
      <c r="AE59" s="286"/>
      <c r="AF59" s="286"/>
      <c r="AG59" s="286"/>
      <c r="AH59" s="286"/>
      <c r="AI59" s="286"/>
      <c r="AJ59" s="286"/>
      <c r="AK59" s="286"/>
      <c r="AL59" s="286"/>
      <c r="AM59" s="287"/>
      <c r="AN59" s="227">
        <f t="shared" si="0"/>
        <v>25.4375</v>
      </c>
      <c r="AO59" s="240">
        <v>180000</v>
      </c>
      <c r="AP59" s="228">
        <f t="shared" si="1"/>
        <v>4578750</v>
      </c>
    </row>
    <row r="60" spans="1:42" s="162" customFormat="1" ht="24.9" customHeight="1" x14ac:dyDescent="0.4">
      <c r="A60" s="181">
        <v>55</v>
      </c>
      <c r="B60" s="183" t="s">
        <v>610</v>
      </c>
      <c r="C60" s="255" t="s">
        <v>611</v>
      </c>
      <c r="D60" s="255" t="s">
        <v>231</v>
      </c>
      <c r="E60" s="255" t="s">
        <v>612</v>
      </c>
      <c r="F60" s="245" t="s">
        <v>238</v>
      </c>
      <c r="G60" s="183" t="s">
        <v>610</v>
      </c>
      <c r="H60" s="276" t="s">
        <v>613</v>
      </c>
      <c r="I60" s="285">
        <v>1.5</v>
      </c>
      <c r="J60" s="286">
        <v>1.5</v>
      </c>
      <c r="K60" s="286">
        <v>1.5</v>
      </c>
      <c r="L60" s="286">
        <v>1</v>
      </c>
      <c r="M60" s="286"/>
      <c r="N60" s="286">
        <v>1.5</v>
      </c>
      <c r="O60" s="286">
        <v>1.5</v>
      </c>
      <c r="P60" s="286">
        <v>1.5</v>
      </c>
      <c r="Q60" s="286">
        <v>1.5</v>
      </c>
      <c r="R60" s="286">
        <v>1.5</v>
      </c>
      <c r="S60" s="286">
        <v>1</v>
      </c>
      <c r="T60" s="286"/>
      <c r="U60" s="286">
        <v>1.5</v>
      </c>
      <c r="V60" s="286">
        <v>2</v>
      </c>
      <c r="W60" s="286">
        <v>2</v>
      </c>
      <c r="X60" s="286">
        <v>2</v>
      </c>
      <c r="Y60" s="286">
        <v>1.5</v>
      </c>
      <c r="Z60" s="286">
        <v>1</v>
      </c>
      <c r="AA60" s="286"/>
      <c r="AB60" s="286"/>
      <c r="AC60" s="286">
        <v>2</v>
      </c>
      <c r="AD60" s="286">
        <v>2</v>
      </c>
      <c r="AE60" s="286">
        <v>2</v>
      </c>
      <c r="AF60" s="286">
        <v>0.5</v>
      </c>
      <c r="AG60" s="286"/>
      <c r="AH60" s="286"/>
      <c r="AI60" s="286"/>
      <c r="AJ60" s="286"/>
      <c r="AK60" s="286"/>
      <c r="AL60" s="286"/>
      <c r="AM60" s="287"/>
      <c r="AN60" s="227">
        <f t="shared" si="0"/>
        <v>30.5</v>
      </c>
      <c r="AO60" s="240">
        <v>160000</v>
      </c>
      <c r="AP60" s="228">
        <f t="shared" si="1"/>
        <v>4880000</v>
      </c>
    </row>
    <row r="61" spans="1:42" s="162" customFormat="1" ht="24.9" customHeight="1" x14ac:dyDescent="0.4">
      <c r="A61" s="181">
        <v>56</v>
      </c>
      <c r="B61" s="183" t="s">
        <v>754</v>
      </c>
      <c r="C61" s="255" t="s">
        <v>755</v>
      </c>
      <c r="D61" s="255" t="s">
        <v>231</v>
      </c>
      <c r="E61" s="255" t="s">
        <v>756</v>
      </c>
      <c r="F61" s="245" t="s">
        <v>232</v>
      </c>
      <c r="G61" s="183" t="s">
        <v>754</v>
      </c>
      <c r="H61" s="276" t="s">
        <v>757</v>
      </c>
      <c r="I61" s="285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>
        <v>1</v>
      </c>
      <c r="V61" s="286">
        <v>2</v>
      </c>
      <c r="W61" s="286">
        <v>2</v>
      </c>
      <c r="X61" s="286">
        <v>2</v>
      </c>
      <c r="Y61" s="286">
        <v>1.5</v>
      </c>
      <c r="Z61" s="286"/>
      <c r="AA61" s="286"/>
      <c r="AB61" s="286">
        <v>2</v>
      </c>
      <c r="AC61" s="286">
        <v>2</v>
      </c>
      <c r="AD61" s="286">
        <v>2</v>
      </c>
      <c r="AE61" s="286">
        <v>2</v>
      </c>
      <c r="AF61" s="286">
        <v>1</v>
      </c>
      <c r="AG61" s="286"/>
      <c r="AH61" s="286"/>
      <c r="AI61" s="286">
        <v>1</v>
      </c>
      <c r="AJ61" s="286">
        <v>1</v>
      </c>
      <c r="AK61" s="286">
        <v>1</v>
      </c>
      <c r="AL61" s="286">
        <v>1</v>
      </c>
      <c r="AM61" s="287">
        <v>1</v>
      </c>
      <c r="AN61" s="227">
        <f t="shared" si="0"/>
        <v>22.5</v>
      </c>
      <c r="AO61" s="240">
        <v>160000</v>
      </c>
      <c r="AP61" s="228">
        <f t="shared" si="1"/>
        <v>3600000</v>
      </c>
    </row>
    <row r="62" spans="1:42" s="162" customFormat="1" ht="24.9" customHeight="1" x14ac:dyDescent="0.4">
      <c r="A62" s="181">
        <v>57</v>
      </c>
      <c r="B62" s="183" t="s">
        <v>758</v>
      </c>
      <c r="C62" s="255" t="s">
        <v>759</v>
      </c>
      <c r="D62" s="255" t="s">
        <v>231</v>
      </c>
      <c r="E62" s="255" t="s">
        <v>760</v>
      </c>
      <c r="F62" s="245" t="s">
        <v>236</v>
      </c>
      <c r="G62" s="183" t="s">
        <v>758</v>
      </c>
      <c r="H62" s="276" t="s">
        <v>761</v>
      </c>
      <c r="I62" s="285"/>
      <c r="J62" s="286"/>
      <c r="K62" s="286"/>
      <c r="L62" s="286"/>
      <c r="M62" s="286"/>
      <c r="N62" s="286"/>
      <c r="O62" s="286"/>
      <c r="P62" s="286">
        <v>0.75</v>
      </c>
      <c r="Q62" s="286">
        <v>1</v>
      </c>
      <c r="R62" s="286">
        <v>1.5</v>
      </c>
      <c r="S62" s="286">
        <v>1</v>
      </c>
      <c r="T62" s="286"/>
      <c r="U62" s="286">
        <v>1.5</v>
      </c>
      <c r="V62" s="286">
        <v>2</v>
      </c>
      <c r="W62" s="286"/>
      <c r="X62" s="286">
        <v>2</v>
      </c>
      <c r="Y62" s="286">
        <v>1.5</v>
      </c>
      <c r="Z62" s="286"/>
      <c r="AA62" s="286"/>
      <c r="AB62" s="286">
        <v>2</v>
      </c>
      <c r="AC62" s="286">
        <v>1.875</v>
      </c>
      <c r="AD62" s="286">
        <v>2</v>
      </c>
      <c r="AE62" s="286">
        <v>2</v>
      </c>
      <c r="AF62" s="286">
        <v>1</v>
      </c>
      <c r="AG62" s="286"/>
      <c r="AH62" s="286"/>
      <c r="AI62" s="286"/>
      <c r="AJ62" s="286"/>
      <c r="AK62" s="286"/>
      <c r="AL62" s="286"/>
      <c r="AM62" s="287"/>
      <c r="AN62" s="227">
        <f t="shared" si="0"/>
        <v>20.125</v>
      </c>
      <c r="AO62" s="242">
        <v>160000</v>
      </c>
      <c r="AP62" s="228">
        <f t="shared" si="1"/>
        <v>3220000</v>
      </c>
    </row>
    <row r="63" spans="1:42" s="162" customFormat="1" ht="24.9" customHeight="1" x14ac:dyDescent="0.4">
      <c r="A63" s="181">
        <v>58</v>
      </c>
      <c r="B63" s="183" t="s">
        <v>614</v>
      </c>
      <c r="C63" s="255" t="s">
        <v>615</v>
      </c>
      <c r="D63" s="255" t="s">
        <v>231</v>
      </c>
      <c r="E63" s="255" t="s">
        <v>616</v>
      </c>
      <c r="F63" s="245" t="s">
        <v>596</v>
      </c>
      <c r="G63" s="183" t="s">
        <v>614</v>
      </c>
      <c r="H63" s="276" t="s">
        <v>617</v>
      </c>
      <c r="I63" s="285">
        <v>1.5</v>
      </c>
      <c r="J63" s="286">
        <v>1.5</v>
      </c>
      <c r="K63" s="286">
        <v>1.5</v>
      </c>
      <c r="L63" s="286">
        <v>1</v>
      </c>
      <c r="M63" s="286"/>
      <c r="N63" s="286">
        <v>1.5</v>
      </c>
      <c r="O63" s="286">
        <v>1.5</v>
      </c>
      <c r="P63" s="286">
        <v>1.5</v>
      </c>
      <c r="Q63" s="286">
        <v>1.5</v>
      </c>
      <c r="R63" s="286">
        <v>1.5</v>
      </c>
      <c r="S63" s="286">
        <v>1</v>
      </c>
      <c r="T63" s="286"/>
      <c r="U63" s="286">
        <v>1.5</v>
      </c>
      <c r="V63" s="286">
        <v>2</v>
      </c>
      <c r="W63" s="286">
        <v>2</v>
      </c>
      <c r="X63" s="286">
        <v>2</v>
      </c>
      <c r="Y63" s="286">
        <v>1.5</v>
      </c>
      <c r="Z63" s="286">
        <v>1</v>
      </c>
      <c r="AA63" s="286"/>
      <c r="AB63" s="286">
        <v>2</v>
      </c>
      <c r="AC63" s="286">
        <v>2</v>
      </c>
      <c r="AD63" s="286">
        <v>2</v>
      </c>
      <c r="AE63" s="286">
        <v>2</v>
      </c>
      <c r="AF63" s="286">
        <v>1</v>
      </c>
      <c r="AG63" s="286"/>
      <c r="AH63" s="286"/>
      <c r="AI63" s="286">
        <v>1</v>
      </c>
      <c r="AJ63" s="286">
        <v>1</v>
      </c>
      <c r="AK63" s="286">
        <v>1</v>
      </c>
      <c r="AL63" s="286">
        <v>1</v>
      </c>
      <c r="AM63" s="287">
        <v>1</v>
      </c>
      <c r="AN63" s="227">
        <f t="shared" si="0"/>
        <v>38</v>
      </c>
      <c r="AO63" s="240">
        <v>140000</v>
      </c>
      <c r="AP63" s="228">
        <f t="shared" si="1"/>
        <v>5320000</v>
      </c>
    </row>
    <row r="64" spans="1:42" s="162" customFormat="1" ht="24.9" customHeight="1" x14ac:dyDescent="0.4">
      <c r="A64" s="181">
        <v>59</v>
      </c>
      <c r="B64" s="183" t="s">
        <v>618</v>
      </c>
      <c r="C64" s="255" t="s">
        <v>619</v>
      </c>
      <c r="D64" s="255" t="s">
        <v>231</v>
      </c>
      <c r="E64" s="255" t="s">
        <v>620</v>
      </c>
      <c r="F64" s="245" t="s">
        <v>232</v>
      </c>
      <c r="G64" s="183" t="s">
        <v>618</v>
      </c>
      <c r="H64" s="276" t="s">
        <v>621</v>
      </c>
      <c r="I64" s="285">
        <v>1.5</v>
      </c>
      <c r="J64" s="286">
        <v>1.5</v>
      </c>
      <c r="K64" s="286">
        <v>1.5</v>
      </c>
      <c r="L64" s="286">
        <v>1</v>
      </c>
      <c r="M64" s="286"/>
      <c r="N64" s="286">
        <v>1.5</v>
      </c>
      <c r="O64" s="286">
        <v>1.5</v>
      </c>
      <c r="P64" s="286">
        <v>1.5</v>
      </c>
      <c r="Q64" s="286">
        <v>1.5</v>
      </c>
      <c r="R64" s="286">
        <v>1.5</v>
      </c>
      <c r="S64" s="286">
        <v>1</v>
      </c>
      <c r="T64" s="286"/>
      <c r="U64" s="286">
        <v>1.5</v>
      </c>
      <c r="V64" s="286">
        <v>2</v>
      </c>
      <c r="W64" s="286">
        <v>2</v>
      </c>
      <c r="X64" s="286">
        <v>2</v>
      </c>
      <c r="Y64" s="286">
        <v>1.5</v>
      </c>
      <c r="Z64" s="286">
        <v>1</v>
      </c>
      <c r="AA64" s="286"/>
      <c r="AB64" s="286">
        <v>2</v>
      </c>
      <c r="AC64" s="286">
        <v>2</v>
      </c>
      <c r="AD64" s="286">
        <v>2</v>
      </c>
      <c r="AE64" s="286">
        <v>2</v>
      </c>
      <c r="AF64" s="286">
        <v>1</v>
      </c>
      <c r="AG64" s="286"/>
      <c r="AH64" s="286"/>
      <c r="AI64" s="286"/>
      <c r="AJ64" s="286"/>
      <c r="AK64" s="286"/>
      <c r="AL64" s="286"/>
      <c r="AM64" s="287"/>
      <c r="AN64" s="227">
        <f t="shared" si="0"/>
        <v>33</v>
      </c>
      <c r="AO64" s="240">
        <v>150000</v>
      </c>
      <c r="AP64" s="228">
        <f t="shared" si="1"/>
        <v>4950000</v>
      </c>
    </row>
    <row r="65" spans="1:42" s="162" customFormat="1" ht="24.9" customHeight="1" x14ac:dyDescent="0.4">
      <c r="A65" s="181">
        <v>60</v>
      </c>
      <c r="B65" s="183" t="s">
        <v>622</v>
      </c>
      <c r="C65" s="255" t="s">
        <v>623</v>
      </c>
      <c r="D65" s="255" t="s">
        <v>762</v>
      </c>
      <c r="E65" s="255" t="s">
        <v>624</v>
      </c>
      <c r="F65" s="245" t="s">
        <v>236</v>
      </c>
      <c r="G65" s="183" t="s">
        <v>622</v>
      </c>
      <c r="H65" s="276" t="s">
        <v>625</v>
      </c>
      <c r="I65" s="285">
        <v>1.5</v>
      </c>
      <c r="J65" s="286">
        <v>1</v>
      </c>
      <c r="K65" s="286">
        <v>1.5</v>
      </c>
      <c r="L65" s="286">
        <v>1</v>
      </c>
      <c r="M65" s="286"/>
      <c r="N65" s="286">
        <v>1.5</v>
      </c>
      <c r="O65" s="286">
        <v>1.5</v>
      </c>
      <c r="P65" s="286">
        <v>1.5</v>
      </c>
      <c r="Q65" s="286">
        <v>0.75</v>
      </c>
      <c r="R65" s="286">
        <v>1.5</v>
      </c>
      <c r="S65" s="286"/>
      <c r="T65" s="286"/>
      <c r="U65" s="286">
        <v>1.5</v>
      </c>
      <c r="V65" s="286">
        <v>2</v>
      </c>
      <c r="W65" s="286">
        <v>2</v>
      </c>
      <c r="X65" s="286">
        <v>2</v>
      </c>
      <c r="Y65" s="286">
        <v>1.5</v>
      </c>
      <c r="Z65" s="286"/>
      <c r="AA65" s="286"/>
      <c r="AB65" s="286">
        <v>2</v>
      </c>
      <c r="AC65" s="286">
        <v>2</v>
      </c>
      <c r="AD65" s="286">
        <v>2</v>
      </c>
      <c r="AE65" s="286">
        <v>2</v>
      </c>
      <c r="AF65" s="286">
        <v>1</v>
      </c>
      <c r="AG65" s="286"/>
      <c r="AH65" s="286"/>
      <c r="AI65" s="286">
        <v>1</v>
      </c>
      <c r="AJ65" s="286">
        <v>1</v>
      </c>
      <c r="AK65" s="286">
        <v>1</v>
      </c>
      <c r="AL65" s="286">
        <v>1</v>
      </c>
      <c r="AM65" s="287">
        <v>0.5</v>
      </c>
      <c r="AN65" s="227">
        <f t="shared" si="0"/>
        <v>34.25</v>
      </c>
      <c r="AO65" s="240">
        <v>180000</v>
      </c>
      <c r="AP65" s="228">
        <f t="shared" si="1"/>
        <v>6165000</v>
      </c>
    </row>
    <row r="66" spans="1:42" s="162" customFormat="1" ht="24.9" customHeight="1" x14ac:dyDescent="0.4">
      <c r="A66" s="181">
        <v>61</v>
      </c>
      <c r="B66" s="183" t="s">
        <v>626</v>
      </c>
      <c r="C66" s="255" t="s">
        <v>627</v>
      </c>
      <c r="D66" s="255" t="s">
        <v>233</v>
      </c>
      <c r="E66" s="255" t="s">
        <v>628</v>
      </c>
      <c r="F66" s="245" t="s">
        <v>490</v>
      </c>
      <c r="G66" s="183" t="s">
        <v>626</v>
      </c>
      <c r="H66" s="276" t="s">
        <v>629</v>
      </c>
      <c r="I66" s="285">
        <v>1.5</v>
      </c>
      <c r="J66" s="286">
        <v>1.5</v>
      </c>
      <c r="K66" s="286">
        <v>1.5</v>
      </c>
      <c r="L66" s="286">
        <v>1</v>
      </c>
      <c r="M66" s="286"/>
      <c r="N66" s="286">
        <v>1.5</v>
      </c>
      <c r="O66" s="286">
        <v>1.5</v>
      </c>
      <c r="P66" s="286">
        <v>1.5</v>
      </c>
      <c r="Q66" s="286">
        <v>1.5</v>
      </c>
      <c r="R66" s="286">
        <v>1.5</v>
      </c>
      <c r="S66" s="286">
        <v>1</v>
      </c>
      <c r="T66" s="286"/>
      <c r="U66" s="286">
        <v>1.5</v>
      </c>
      <c r="V66" s="286">
        <v>2</v>
      </c>
      <c r="W66" s="286">
        <v>2</v>
      </c>
      <c r="X66" s="286">
        <v>2</v>
      </c>
      <c r="Y66" s="286">
        <v>1.5</v>
      </c>
      <c r="Z66" s="286"/>
      <c r="AA66" s="286"/>
      <c r="AB66" s="286">
        <v>2</v>
      </c>
      <c r="AC66" s="286">
        <v>2</v>
      </c>
      <c r="AD66" s="286">
        <v>1</v>
      </c>
      <c r="AE66" s="286">
        <v>2</v>
      </c>
      <c r="AF66" s="286">
        <v>1</v>
      </c>
      <c r="AG66" s="286"/>
      <c r="AH66" s="286"/>
      <c r="AI66" s="286">
        <v>1</v>
      </c>
      <c r="AJ66" s="286">
        <v>1</v>
      </c>
      <c r="AK66" s="286">
        <v>1</v>
      </c>
      <c r="AL66" s="286">
        <v>1</v>
      </c>
      <c r="AM66" s="287">
        <v>1</v>
      </c>
      <c r="AN66" s="227">
        <f t="shared" si="0"/>
        <v>36</v>
      </c>
      <c r="AO66" s="240">
        <v>240000</v>
      </c>
      <c r="AP66" s="228">
        <f t="shared" si="1"/>
        <v>8640000</v>
      </c>
    </row>
    <row r="67" spans="1:42" s="162" customFormat="1" ht="24.9" customHeight="1" x14ac:dyDescent="0.4">
      <c r="A67" s="181">
        <v>62</v>
      </c>
      <c r="B67" s="183" t="s">
        <v>630</v>
      </c>
      <c r="C67" s="255" t="s">
        <v>631</v>
      </c>
      <c r="D67" s="255" t="s">
        <v>231</v>
      </c>
      <c r="E67" s="255" t="s">
        <v>632</v>
      </c>
      <c r="F67" s="245" t="s">
        <v>237</v>
      </c>
      <c r="G67" s="183" t="s">
        <v>630</v>
      </c>
      <c r="H67" s="276" t="s">
        <v>633</v>
      </c>
      <c r="I67" s="285"/>
      <c r="J67" s="286"/>
      <c r="K67" s="286"/>
      <c r="L67" s="286"/>
      <c r="M67" s="286"/>
      <c r="N67" s="286">
        <v>1.5</v>
      </c>
      <c r="O67" s="286">
        <v>1.5</v>
      </c>
      <c r="P67" s="286">
        <v>1.5</v>
      </c>
      <c r="Q67" s="286">
        <v>1.5</v>
      </c>
      <c r="R67" s="286">
        <v>1.5</v>
      </c>
      <c r="S67" s="286">
        <v>1</v>
      </c>
      <c r="T67" s="286"/>
      <c r="U67" s="286">
        <v>1.375</v>
      </c>
      <c r="V67" s="286">
        <v>2</v>
      </c>
      <c r="W67" s="286">
        <v>2</v>
      </c>
      <c r="X67" s="286">
        <v>0.25</v>
      </c>
      <c r="Y67" s="286">
        <v>1.5</v>
      </c>
      <c r="Z67" s="286">
        <v>1</v>
      </c>
      <c r="AA67" s="286"/>
      <c r="AB67" s="286">
        <v>2</v>
      </c>
      <c r="AC67" s="286">
        <v>2</v>
      </c>
      <c r="AD67" s="286">
        <v>2</v>
      </c>
      <c r="AE67" s="286">
        <v>2</v>
      </c>
      <c r="AF67" s="286"/>
      <c r="AG67" s="286"/>
      <c r="AH67" s="286"/>
      <c r="AI67" s="286"/>
      <c r="AJ67" s="286"/>
      <c r="AK67" s="286"/>
      <c r="AL67" s="286"/>
      <c r="AM67" s="287"/>
      <c r="AN67" s="227">
        <f t="shared" si="0"/>
        <v>24.625</v>
      </c>
      <c r="AO67" s="240">
        <v>150000</v>
      </c>
      <c r="AP67" s="228">
        <f t="shared" si="1"/>
        <v>3693750</v>
      </c>
    </row>
    <row r="68" spans="1:42" s="162" customFormat="1" ht="24.9" customHeight="1" x14ac:dyDescent="0.4">
      <c r="A68" s="181">
        <v>63</v>
      </c>
      <c r="B68" s="183" t="s">
        <v>634</v>
      </c>
      <c r="C68" s="255" t="s">
        <v>635</v>
      </c>
      <c r="D68" s="255" t="s">
        <v>716</v>
      </c>
      <c r="E68" s="255" t="s">
        <v>636</v>
      </c>
      <c r="F68" s="245" t="s">
        <v>238</v>
      </c>
      <c r="G68" s="183" t="s">
        <v>634</v>
      </c>
      <c r="H68" s="276" t="s">
        <v>637</v>
      </c>
      <c r="I68" s="285">
        <v>1.5</v>
      </c>
      <c r="J68" s="286">
        <v>0.5</v>
      </c>
      <c r="K68" s="286">
        <v>1.5</v>
      </c>
      <c r="L68" s="286">
        <v>1</v>
      </c>
      <c r="M68" s="286"/>
      <c r="N68" s="286">
        <v>1.5</v>
      </c>
      <c r="O68" s="286">
        <v>1.5</v>
      </c>
      <c r="P68" s="286">
        <v>1.5</v>
      </c>
      <c r="Q68" s="286">
        <v>1.5</v>
      </c>
      <c r="R68" s="286">
        <v>1.5</v>
      </c>
      <c r="S68" s="286">
        <v>1</v>
      </c>
      <c r="T68" s="286"/>
      <c r="U68" s="286">
        <v>1.5</v>
      </c>
      <c r="V68" s="286">
        <v>1.875</v>
      </c>
      <c r="W68" s="286">
        <v>2</v>
      </c>
      <c r="X68" s="286">
        <v>2</v>
      </c>
      <c r="Y68" s="286">
        <v>1.5</v>
      </c>
      <c r="Z68" s="286"/>
      <c r="AA68" s="286"/>
      <c r="AB68" s="286">
        <v>2</v>
      </c>
      <c r="AC68" s="286">
        <v>2</v>
      </c>
      <c r="AD68" s="286">
        <v>2</v>
      </c>
      <c r="AE68" s="286">
        <v>2</v>
      </c>
      <c r="AF68" s="286">
        <v>1</v>
      </c>
      <c r="AG68" s="286"/>
      <c r="AH68" s="286"/>
      <c r="AI68" s="286">
        <v>1</v>
      </c>
      <c r="AJ68" s="286">
        <v>1</v>
      </c>
      <c r="AK68" s="286">
        <v>1</v>
      </c>
      <c r="AL68" s="286">
        <v>1</v>
      </c>
      <c r="AM68" s="287">
        <v>1</v>
      </c>
      <c r="AN68" s="227">
        <f t="shared" si="0"/>
        <v>35.875</v>
      </c>
      <c r="AO68" s="240">
        <v>170000</v>
      </c>
      <c r="AP68" s="228">
        <f t="shared" si="1"/>
        <v>6098750</v>
      </c>
    </row>
    <row r="69" spans="1:42" s="162" customFormat="1" ht="24.9" customHeight="1" x14ac:dyDescent="0.4">
      <c r="A69" s="181">
        <v>64</v>
      </c>
      <c r="B69" s="183" t="s">
        <v>638</v>
      </c>
      <c r="C69" s="255" t="s">
        <v>639</v>
      </c>
      <c r="D69" s="255" t="s">
        <v>235</v>
      </c>
      <c r="E69" s="255" t="s">
        <v>640</v>
      </c>
      <c r="F69" s="245" t="s">
        <v>237</v>
      </c>
      <c r="G69" s="183" t="s">
        <v>638</v>
      </c>
      <c r="H69" s="276" t="s">
        <v>641</v>
      </c>
      <c r="I69" s="285">
        <v>1.5</v>
      </c>
      <c r="J69" s="286">
        <v>1.5</v>
      </c>
      <c r="K69" s="286">
        <v>1</v>
      </c>
      <c r="L69" s="286"/>
      <c r="M69" s="286"/>
      <c r="N69" s="286">
        <v>1.5</v>
      </c>
      <c r="O69" s="286">
        <v>1.5</v>
      </c>
      <c r="P69" s="286">
        <v>1.5</v>
      </c>
      <c r="Q69" s="286">
        <v>1.5</v>
      </c>
      <c r="R69" s="286">
        <v>1.5</v>
      </c>
      <c r="S69" s="286"/>
      <c r="T69" s="286"/>
      <c r="U69" s="286">
        <v>1.5</v>
      </c>
      <c r="V69" s="286">
        <v>2</v>
      </c>
      <c r="W69" s="286">
        <v>2</v>
      </c>
      <c r="X69" s="286">
        <v>2</v>
      </c>
      <c r="Y69" s="286">
        <v>1.5</v>
      </c>
      <c r="Z69" s="286">
        <v>1</v>
      </c>
      <c r="AA69" s="286"/>
      <c r="AB69" s="286">
        <v>2</v>
      </c>
      <c r="AC69" s="286">
        <v>2</v>
      </c>
      <c r="AD69" s="286">
        <v>2</v>
      </c>
      <c r="AE69" s="286"/>
      <c r="AF69" s="286"/>
      <c r="AG69" s="286"/>
      <c r="AH69" s="286"/>
      <c r="AI69" s="286"/>
      <c r="AJ69" s="286"/>
      <c r="AK69" s="286"/>
      <c r="AL69" s="286"/>
      <c r="AM69" s="287"/>
      <c r="AN69" s="227">
        <f t="shared" si="0"/>
        <v>27.5</v>
      </c>
      <c r="AO69" s="240">
        <v>220000</v>
      </c>
      <c r="AP69" s="228">
        <f t="shared" si="1"/>
        <v>6050000</v>
      </c>
    </row>
    <row r="70" spans="1:42" s="162" customFormat="1" ht="24.9" customHeight="1" x14ac:dyDescent="0.4">
      <c r="A70" s="181">
        <v>65</v>
      </c>
      <c r="B70" s="183" t="s">
        <v>642</v>
      </c>
      <c r="C70" s="255" t="s">
        <v>643</v>
      </c>
      <c r="D70" s="255" t="s">
        <v>231</v>
      </c>
      <c r="E70" s="255" t="s">
        <v>644</v>
      </c>
      <c r="F70" s="245" t="s">
        <v>535</v>
      </c>
      <c r="G70" s="183" t="s">
        <v>642</v>
      </c>
      <c r="H70" s="276" t="s">
        <v>645</v>
      </c>
      <c r="I70" s="285">
        <v>1.5</v>
      </c>
      <c r="J70" s="286">
        <v>1.5</v>
      </c>
      <c r="K70" s="286">
        <v>1.5</v>
      </c>
      <c r="L70" s="286">
        <v>1</v>
      </c>
      <c r="M70" s="286"/>
      <c r="N70" s="286">
        <v>1.5</v>
      </c>
      <c r="O70" s="286">
        <v>1.5</v>
      </c>
      <c r="P70" s="286">
        <v>1.5</v>
      </c>
      <c r="Q70" s="286">
        <v>1.5</v>
      </c>
      <c r="R70" s="286">
        <v>1.5</v>
      </c>
      <c r="S70" s="286">
        <v>1</v>
      </c>
      <c r="T70" s="286"/>
      <c r="U70" s="286">
        <v>1.5</v>
      </c>
      <c r="V70" s="286">
        <v>2</v>
      </c>
      <c r="W70" s="286">
        <v>2</v>
      </c>
      <c r="X70" s="286">
        <v>2</v>
      </c>
      <c r="Y70" s="286">
        <v>1.5</v>
      </c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7"/>
      <c r="AN70" s="227">
        <f t="shared" si="0"/>
        <v>23</v>
      </c>
      <c r="AO70" s="240">
        <v>150000</v>
      </c>
      <c r="AP70" s="228">
        <f t="shared" si="1"/>
        <v>3450000</v>
      </c>
    </row>
    <row r="71" spans="1:42" s="162" customFormat="1" ht="24.9" customHeight="1" x14ac:dyDescent="0.4">
      <c r="A71" s="181">
        <v>66</v>
      </c>
      <c r="B71" s="183" t="s">
        <v>646</v>
      </c>
      <c r="C71" s="255" t="s">
        <v>647</v>
      </c>
      <c r="D71" s="255" t="s">
        <v>762</v>
      </c>
      <c r="E71" s="255" t="s">
        <v>648</v>
      </c>
      <c r="F71" s="245" t="s">
        <v>444</v>
      </c>
      <c r="G71" s="183" t="s">
        <v>646</v>
      </c>
      <c r="H71" s="276" t="s">
        <v>649</v>
      </c>
      <c r="I71" s="285">
        <v>1.5</v>
      </c>
      <c r="J71" s="286">
        <v>1.5</v>
      </c>
      <c r="K71" s="286">
        <v>1.5</v>
      </c>
      <c r="L71" s="286"/>
      <c r="M71" s="286"/>
      <c r="N71" s="286">
        <v>1.5</v>
      </c>
      <c r="O71" s="286">
        <v>1.5</v>
      </c>
      <c r="P71" s="286">
        <v>1.5</v>
      </c>
      <c r="Q71" s="286">
        <v>1.5</v>
      </c>
      <c r="R71" s="286">
        <v>1.5</v>
      </c>
      <c r="S71" s="286"/>
      <c r="T71" s="286"/>
      <c r="U71" s="286">
        <v>1.5</v>
      </c>
      <c r="V71" s="286">
        <v>2</v>
      </c>
      <c r="W71" s="286">
        <v>2</v>
      </c>
      <c r="X71" s="286">
        <v>2</v>
      </c>
      <c r="Y71" s="286"/>
      <c r="Z71" s="286"/>
      <c r="AA71" s="286"/>
      <c r="AB71" s="286">
        <v>2</v>
      </c>
      <c r="AC71" s="286">
        <v>2</v>
      </c>
      <c r="AD71" s="286">
        <v>2</v>
      </c>
      <c r="AE71" s="286">
        <v>2</v>
      </c>
      <c r="AF71" s="286">
        <v>0.75</v>
      </c>
      <c r="AG71" s="286"/>
      <c r="AH71" s="286"/>
      <c r="AI71" s="286">
        <v>1</v>
      </c>
      <c r="AJ71" s="286">
        <v>1</v>
      </c>
      <c r="AK71" s="286">
        <v>1</v>
      </c>
      <c r="AL71" s="286">
        <v>0.875</v>
      </c>
      <c r="AM71" s="287">
        <v>1</v>
      </c>
      <c r="AN71" s="227">
        <f t="shared" si="0"/>
        <v>33.125</v>
      </c>
      <c r="AO71" s="240">
        <v>190000</v>
      </c>
      <c r="AP71" s="228">
        <f t="shared" si="1"/>
        <v>6293750</v>
      </c>
    </row>
    <row r="72" spans="1:42" s="162" customFormat="1" ht="24.9" customHeight="1" x14ac:dyDescent="0.4">
      <c r="A72" s="181">
        <v>67</v>
      </c>
      <c r="B72" s="183" t="s">
        <v>763</v>
      </c>
      <c r="C72" s="255" t="s">
        <v>764</v>
      </c>
      <c r="D72" s="255" t="s">
        <v>235</v>
      </c>
      <c r="E72" s="255" t="s">
        <v>765</v>
      </c>
      <c r="F72" s="245" t="s">
        <v>238</v>
      </c>
      <c r="G72" s="183" t="s">
        <v>763</v>
      </c>
      <c r="H72" s="276" t="s">
        <v>766</v>
      </c>
      <c r="I72" s="285"/>
      <c r="J72" s="286"/>
      <c r="K72" s="286"/>
      <c r="L72" s="286"/>
      <c r="M72" s="286"/>
      <c r="N72" s="286">
        <v>1.5</v>
      </c>
      <c r="O72" s="286">
        <v>1.5</v>
      </c>
      <c r="P72" s="286">
        <v>1.5</v>
      </c>
      <c r="Q72" s="286">
        <v>1.5</v>
      </c>
      <c r="R72" s="286">
        <v>1.5</v>
      </c>
      <c r="S72" s="286">
        <v>1</v>
      </c>
      <c r="T72" s="286"/>
      <c r="U72" s="286">
        <v>1.5</v>
      </c>
      <c r="V72" s="286">
        <v>2</v>
      </c>
      <c r="W72" s="286">
        <v>2</v>
      </c>
      <c r="X72" s="286">
        <v>2</v>
      </c>
      <c r="Y72" s="286">
        <v>1.5</v>
      </c>
      <c r="Z72" s="286">
        <v>1</v>
      </c>
      <c r="AA72" s="286"/>
      <c r="AB72" s="286">
        <v>2</v>
      </c>
      <c r="AC72" s="286">
        <v>2</v>
      </c>
      <c r="AD72" s="286">
        <v>2</v>
      </c>
      <c r="AE72" s="286">
        <v>2</v>
      </c>
      <c r="AF72" s="286">
        <v>1</v>
      </c>
      <c r="AG72" s="286"/>
      <c r="AH72" s="286"/>
      <c r="AI72" s="286">
        <v>1</v>
      </c>
      <c r="AJ72" s="286">
        <v>1</v>
      </c>
      <c r="AK72" s="286">
        <v>1</v>
      </c>
      <c r="AL72" s="286">
        <v>1</v>
      </c>
      <c r="AM72" s="287">
        <v>1</v>
      </c>
      <c r="AN72" s="227">
        <f t="shared" ref="AN72:AN88" si="2">SUM(I72:AM72)</f>
        <v>32.5</v>
      </c>
      <c r="AO72" s="240">
        <v>220000</v>
      </c>
      <c r="AP72" s="228">
        <f t="shared" ref="AP72:AP89" si="3">AN72*AO72</f>
        <v>7150000</v>
      </c>
    </row>
    <row r="73" spans="1:42" s="162" customFormat="1" ht="24.9" customHeight="1" x14ac:dyDescent="0.4">
      <c r="A73" s="181">
        <v>68</v>
      </c>
      <c r="B73" s="183" t="s">
        <v>767</v>
      </c>
      <c r="C73" s="255" t="s">
        <v>768</v>
      </c>
      <c r="D73" s="255" t="s">
        <v>231</v>
      </c>
      <c r="E73" s="255" t="s">
        <v>769</v>
      </c>
      <c r="F73" s="245" t="s">
        <v>232</v>
      </c>
      <c r="G73" s="183" t="s">
        <v>767</v>
      </c>
      <c r="H73" s="276" t="s">
        <v>770</v>
      </c>
      <c r="I73" s="285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>
        <v>1</v>
      </c>
      <c r="V73" s="286">
        <v>2</v>
      </c>
      <c r="W73" s="286">
        <v>2</v>
      </c>
      <c r="X73" s="286">
        <v>2</v>
      </c>
      <c r="Y73" s="286">
        <v>1.5</v>
      </c>
      <c r="Z73" s="286">
        <v>1</v>
      </c>
      <c r="AA73" s="286"/>
      <c r="AB73" s="286">
        <v>2</v>
      </c>
      <c r="AC73" s="286">
        <v>2</v>
      </c>
      <c r="AD73" s="286">
        <v>2</v>
      </c>
      <c r="AE73" s="286">
        <v>2</v>
      </c>
      <c r="AF73" s="286">
        <v>0.5</v>
      </c>
      <c r="AG73" s="286"/>
      <c r="AH73" s="286"/>
      <c r="AI73" s="286"/>
      <c r="AJ73" s="286"/>
      <c r="AK73" s="286"/>
      <c r="AL73" s="286"/>
      <c r="AM73" s="287"/>
      <c r="AN73" s="227">
        <f t="shared" si="2"/>
        <v>18</v>
      </c>
      <c r="AO73" s="240">
        <v>160000</v>
      </c>
      <c r="AP73" s="228">
        <f t="shared" si="3"/>
        <v>2880000</v>
      </c>
    </row>
    <row r="74" spans="1:42" s="162" customFormat="1" ht="24.9" customHeight="1" x14ac:dyDescent="0.4">
      <c r="A74" s="181">
        <v>69</v>
      </c>
      <c r="B74" s="183" t="s">
        <v>771</v>
      </c>
      <c r="C74" s="255" t="s">
        <v>772</v>
      </c>
      <c r="D74" s="255" t="s">
        <v>231</v>
      </c>
      <c r="E74" s="255" t="s">
        <v>773</v>
      </c>
      <c r="F74" s="245" t="s">
        <v>237</v>
      </c>
      <c r="G74" s="183" t="s">
        <v>771</v>
      </c>
      <c r="H74" s="276" t="s">
        <v>774</v>
      </c>
      <c r="I74" s="285"/>
      <c r="J74" s="286"/>
      <c r="K74" s="286"/>
      <c r="L74" s="286"/>
      <c r="M74" s="286"/>
      <c r="N74" s="286"/>
      <c r="O74" s="286">
        <v>1.5</v>
      </c>
      <c r="P74" s="286">
        <v>1.5</v>
      </c>
      <c r="Q74" s="286">
        <v>1.5</v>
      </c>
      <c r="R74" s="286"/>
      <c r="S74" s="286"/>
      <c r="T74" s="286"/>
      <c r="U74" s="286">
        <v>1.5</v>
      </c>
      <c r="V74" s="286">
        <v>2</v>
      </c>
      <c r="W74" s="286">
        <v>2</v>
      </c>
      <c r="X74" s="286">
        <v>1.875</v>
      </c>
      <c r="Y74" s="286">
        <v>1.5</v>
      </c>
      <c r="Z74" s="286"/>
      <c r="AA74" s="286"/>
      <c r="AB74" s="286">
        <v>2</v>
      </c>
      <c r="AC74" s="286">
        <v>1.75</v>
      </c>
      <c r="AD74" s="286">
        <v>2</v>
      </c>
      <c r="AE74" s="286">
        <v>2</v>
      </c>
      <c r="AF74" s="286">
        <v>1</v>
      </c>
      <c r="AG74" s="286"/>
      <c r="AH74" s="286"/>
      <c r="AI74" s="286"/>
      <c r="AJ74" s="286"/>
      <c r="AK74" s="286"/>
      <c r="AL74" s="286"/>
      <c r="AM74" s="287"/>
      <c r="AN74" s="227">
        <f t="shared" si="2"/>
        <v>22.125</v>
      </c>
      <c r="AO74" s="240">
        <v>150000</v>
      </c>
      <c r="AP74" s="228">
        <f t="shared" si="3"/>
        <v>3318750</v>
      </c>
    </row>
    <row r="75" spans="1:42" s="162" customFormat="1" ht="24.9" customHeight="1" x14ac:dyDescent="0.4">
      <c r="A75" s="181">
        <v>70</v>
      </c>
      <c r="B75" s="183" t="s">
        <v>650</v>
      </c>
      <c r="C75" s="255" t="s">
        <v>651</v>
      </c>
      <c r="D75" s="255" t="s">
        <v>231</v>
      </c>
      <c r="E75" s="255" t="s">
        <v>652</v>
      </c>
      <c r="F75" s="245" t="s">
        <v>653</v>
      </c>
      <c r="G75" s="183" t="s">
        <v>650</v>
      </c>
      <c r="H75" s="276" t="s">
        <v>654</v>
      </c>
      <c r="I75" s="285">
        <v>1.5</v>
      </c>
      <c r="J75" s="286">
        <v>1.5</v>
      </c>
      <c r="K75" s="286">
        <v>1.5</v>
      </c>
      <c r="L75" s="286">
        <v>1</v>
      </c>
      <c r="M75" s="286"/>
      <c r="N75" s="286">
        <v>1.5</v>
      </c>
      <c r="O75" s="286">
        <v>1.5</v>
      </c>
      <c r="P75" s="286">
        <v>1.5</v>
      </c>
      <c r="Q75" s="286">
        <v>1.5</v>
      </c>
      <c r="R75" s="286">
        <v>1.5</v>
      </c>
      <c r="S75" s="286"/>
      <c r="T75" s="286"/>
      <c r="U75" s="286">
        <v>1.5</v>
      </c>
      <c r="V75" s="286">
        <v>2</v>
      </c>
      <c r="W75" s="286">
        <v>2</v>
      </c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7"/>
      <c r="AN75" s="227">
        <f t="shared" si="2"/>
        <v>18.5</v>
      </c>
      <c r="AO75" s="240">
        <v>160000</v>
      </c>
      <c r="AP75" s="228">
        <f t="shared" si="3"/>
        <v>2960000</v>
      </c>
    </row>
    <row r="76" spans="1:42" s="162" customFormat="1" ht="24.9" customHeight="1" x14ac:dyDescent="0.4">
      <c r="A76" s="181">
        <v>71</v>
      </c>
      <c r="B76" s="183" t="s">
        <v>655</v>
      </c>
      <c r="C76" s="255" t="s">
        <v>656</v>
      </c>
      <c r="D76" s="255" t="s">
        <v>231</v>
      </c>
      <c r="E76" s="255" t="s">
        <v>657</v>
      </c>
      <c r="F76" s="245" t="s">
        <v>435</v>
      </c>
      <c r="G76" s="183" t="s">
        <v>655</v>
      </c>
      <c r="H76" s="276" t="s">
        <v>658</v>
      </c>
      <c r="I76" s="285">
        <v>1.5</v>
      </c>
      <c r="J76" s="286">
        <v>1.5</v>
      </c>
      <c r="K76" s="286"/>
      <c r="L76" s="286"/>
      <c r="M76" s="286"/>
      <c r="N76" s="286">
        <v>1.5</v>
      </c>
      <c r="O76" s="286">
        <v>1.5</v>
      </c>
      <c r="P76" s="286">
        <v>1.5</v>
      </c>
      <c r="Q76" s="286">
        <v>1.5</v>
      </c>
      <c r="R76" s="286">
        <v>1.5</v>
      </c>
      <c r="S76" s="286">
        <v>1</v>
      </c>
      <c r="T76" s="286"/>
      <c r="U76" s="286">
        <v>1.5</v>
      </c>
      <c r="V76" s="286">
        <v>2</v>
      </c>
      <c r="W76" s="286">
        <v>2</v>
      </c>
      <c r="X76" s="286">
        <v>2</v>
      </c>
      <c r="Y76" s="286">
        <v>1.5</v>
      </c>
      <c r="Z76" s="286"/>
      <c r="AA76" s="286"/>
      <c r="AB76" s="286"/>
      <c r="AC76" s="286"/>
      <c r="AD76" s="286"/>
      <c r="AE76" s="286">
        <v>2</v>
      </c>
      <c r="AF76" s="286">
        <v>1</v>
      </c>
      <c r="AG76" s="286"/>
      <c r="AH76" s="286"/>
      <c r="AI76" s="286"/>
      <c r="AJ76" s="286"/>
      <c r="AK76" s="286"/>
      <c r="AL76" s="286"/>
      <c r="AM76" s="287"/>
      <c r="AN76" s="227">
        <f t="shared" si="2"/>
        <v>23.5</v>
      </c>
      <c r="AO76" s="241">
        <v>150000</v>
      </c>
      <c r="AP76" s="228">
        <f t="shared" si="3"/>
        <v>3525000</v>
      </c>
    </row>
    <row r="77" spans="1:42" s="162" customFormat="1" ht="24.9" customHeight="1" x14ac:dyDescent="0.4">
      <c r="A77" s="181">
        <v>72</v>
      </c>
      <c r="B77" s="183" t="s">
        <v>659</v>
      </c>
      <c r="C77" s="255" t="s">
        <v>660</v>
      </c>
      <c r="D77" s="255" t="s">
        <v>235</v>
      </c>
      <c r="E77" s="255" t="s">
        <v>661</v>
      </c>
      <c r="F77" s="245" t="s">
        <v>444</v>
      </c>
      <c r="G77" s="183" t="s">
        <v>659</v>
      </c>
      <c r="H77" s="276" t="s">
        <v>662</v>
      </c>
      <c r="I77" s="285">
        <v>1.5</v>
      </c>
      <c r="J77" s="286">
        <v>1.5</v>
      </c>
      <c r="K77" s="286">
        <v>1.5</v>
      </c>
      <c r="L77" s="286"/>
      <c r="M77" s="286"/>
      <c r="N77" s="286">
        <v>1.5</v>
      </c>
      <c r="O77" s="286">
        <v>1.5</v>
      </c>
      <c r="P77" s="286">
        <v>1.5</v>
      </c>
      <c r="Q77" s="286">
        <v>1.5</v>
      </c>
      <c r="R77" s="286">
        <v>1.5</v>
      </c>
      <c r="S77" s="286"/>
      <c r="T77" s="286"/>
      <c r="U77" s="286">
        <v>1.5</v>
      </c>
      <c r="V77" s="286">
        <v>2</v>
      </c>
      <c r="W77" s="286">
        <v>2</v>
      </c>
      <c r="X77" s="286">
        <v>2</v>
      </c>
      <c r="Y77" s="286">
        <v>1.5</v>
      </c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7"/>
      <c r="AN77" s="227">
        <f t="shared" si="2"/>
        <v>21</v>
      </c>
      <c r="AO77" s="241">
        <v>220000</v>
      </c>
      <c r="AP77" s="228">
        <f t="shared" si="3"/>
        <v>4620000</v>
      </c>
    </row>
    <row r="78" spans="1:42" s="162" customFormat="1" ht="24.9" customHeight="1" x14ac:dyDescent="0.4">
      <c r="A78" s="181">
        <v>73</v>
      </c>
      <c r="B78" s="183" t="s">
        <v>663</v>
      </c>
      <c r="C78" s="255" t="s">
        <v>664</v>
      </c>
      <c r="D78" s="255" t="s">
        <v>235</v>
      </c>
      <c r="E78" s="255" t="s">
        <v>665</v>
      </c>
      <c r="F78" s="245" t="s">
        <v>596</v>
      </c>
      <c r="G78" s="183" t="s">
        <v>663</v>
      </c>
      <c r="H78" s="276" t="s">
        <v>666</v>
      </c>
      <c r="I78" s="285">
        <v>1.5</v>
      </c>
      <c r="J78" s="286">
        <v>1</v>
      </c>
      <c r="K78" s="286">
        <v>1.5</v>
      </c>
      <c r="L78" s="286">
        <v>0.875</v>
      </c>
      <c r="M78" s="286"/>
      <c r="N78" s="286">
        <v>1.5</v>
      </c>
      <c r="O78" s="286">
        <v>1.375</v>
      </c>
      <c r="P78" s="286">
        <v>1.5</v>
      </c>
      <c r="Q78" s="286">
        <v>1.5</v>
      </c>
      <c r="R78" s="286">
        <v>1.5</v>
      </c>
      <c r="S78" s="286"/>
      <c r="T78" s="286"/>
      <c r="U78" s="286">
        <v>1.5</v>
      </c>
      <c r="V78" s="286">
        <v>1.875</v>
      </c>
      <c r="W78" s="286">
        <v>1.875</v>
      </c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7"/>
      <c r="AN78" s="227">
        <f t="shared" si="2"/>
        <v>17.5</v>
      </c>
      <c r="AO78" s="241">
        <v>210000</v>
      </c>
      <c r="AP78" s="228">
        <f t="shared" si="3"/>
        <v>3675000</v>
      </c>
    </row>
    <row r="79" spans="1:42" s="162" customFormat="1" ht="24.9" customHeight="1" x14ac:dyDescent="0.4">
      <c r="A79" s="181">
        <v>74</v>
      </c>
      <c r="B79" s="183" t="s">
        <v>667</v>
      </c>
      <c r="C79" s="255" t="s">
        <v>668</v>
      </c>
      <c r="D79" s="255" t="s">
        <v>231</v>
      </c>
      <c r="E79" s="255" t="s">
        <v>669</v>
      </c>
      <c r="F79" s="245" t="s">
        <v>238</v>
      </c>
      <c r="G79" s="183" t="s">
        <v>667</v>
      </c>
      <c r="H79" s="276" t="s">
        <v>670</v>
      </c>
      <c r="I79" s="285">
        <v>1.5</v>
      </c>
      <c r="J79" s="286">
        <v>1.5</v>
      </c>
      <c r="K79" s="286">
        <v>1.5</v>
      </c>
      <c r="L79" s="286">
        <v>1</v>
      </c>
      <c r="M79" s="286"/>
      <c r="N79" s="286">
        <v>1.5</v>
      </c>
      <c r="O79" s="286">
        <v>1.5</v>
      </c>
      <c r="P79" s="286">
        <v>1.5</v>
      </c>
      <c r="Q79" s="286">
        <v>1.5</v>
      </c>
      <c r="R79" s="286">
        <v>1.5</v>
      </c>
      <c r="S79" s="286">
        <v>1</v>
      </c>
      <c r="T79" s="286"/>
      <c r="U79" s="286">
        <v>1.5</v>
      </c>
      <c r="V79" s="286">
        <v>2</v>
      </c>
      <c r="W79" s="286">
        <v>2</v>
      </c>
      <c r="X79" s="286">
        <v>2</v>
      </c>
      <c r="Y79" s="286">
        <v>1.5</v>
      </c>
      <c r="Z79" s="286">
        <v>1</v>
      </c>
      <c r="AA79" s="286"/>
      <c r="AB79" s="286">
        <v>2</v>
      </c>
      <c r="AC79" s="286">
        <v>2</v>
      </c>
      <c r="AD79" s="286">
        <v>2</v>
      </c>
      <c r="AE79" s="286">
        <v>2</v>
      </c>
      <c r="AF79" s="286">
        <v>1</v>
      </c>
      <c r="AG79" s="286"/>
      <c r="AH79" s="286"/>
      <c r="AI79" s="286"/>
      <c r="AJ79" s="286"/>
      <c r="AK79" s="286"/>
      <c r="AL79" s="286"/>
      <c r="AM79" s="287"/>
      <c r="AN79" s="227">
        <f t="shared" si="2"/>
        <v>33</v>
      </c>
      <c r="AO79" s="241">
        <v>150000</v>
      </c>
      <c r="AP79" s="228">
        <f t="shared" si="3"/>
        <v>4950000</v>
      </c>
    </row>
    <row r="80" spans="1:42" s="162" customFormat="1" ht="24.9" customHeight="1" x14ac:dyDescent="0.4">
      <c r="A80" s="181">
        <v>75</v>
      </c>
      <c r="B80" s="183" t="s">
        <v>671</v>
      </c>
      <c r="C80" s="255" t="s">
        <v>672</v>
      </c>
      <c r="D80" s="255" t="s">
        <v>231</v>
      </c>
      <c r="E80" s="255" t="s">
        <v>673</v>
      </c>
      <c r="F80" s="245" t="s">
        <v>232</v>
      </c>
      <c r="G80" s="183" t="s">
        <v>671</v>
      </c>
      <c r="H80" s="276" t="s">
        <v>674</v>
      </c>
      <c r="I80" s="285">
        <v>1.5</v>
      </c>
      <c r="J80" s="286">
        <v>1.5</v>
      </c>
      <c r="K80" s="286">
        <v>1.5</v>
      </c>
      <c r="L80" s="286"/>
      <c r="M80" s="286"/>
      <c r="N80" s="286">
        <v>1.5</v>
      </c>
      <c r="O80" s="286">
        <v>1.5</v>
      </c>
      <c r="P80" s="286">
        <v>1.5</v>
      </c>
      <c r="Q80" s="286">
        <v>1.5</v>
      </c>
      <c r="R80" s="286">
        <v>1.5</v>
      </c>
      <c r="S80" s="286"/>
      <c r="T80" s="286"/>
      <c r="U80" s="286">
        <v>1.5</v>
      </c>
      <c r="V80" s="286">
        <v>2</v>
      </c>
      <c r="W80" s="286">
        <v>2</v>
      </c>
      <c r="X80" s="286">
        <v>2</v>
      </c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7"/>
      <c r="AN80" s="227">
        <f t="shared" si="2"/>
        <v>19.5</v>
      </c>
      <c r="AO80" s="241">
        <v>150000</v>
      </c>
      <c r="AP80" s="228">
        <f t="shared" si="3"/>
        <v>2925000</v>
      </c>
    </row>
    <row r="81" spans="1:42" s="162" customFormat="1" ht="24.9" customHeight="1" x14ac:dyDescent="0.4">
      <c r="A81" s="181">
        <v>76</v>
      </c>
      <c r="B81" s="183" t="s">
        <v>775</v>
      </c>
      <c r="C81" s="255" t="s">
        <v>776</v>
      </c>
      <c r="D81" s="255" t="s">
        <v>717</v>
      </c>
      <c r="E81" s="255" t="s">
        <v>777</v>
      </c>
      <c r="F81" s="245" t="s">
        <v>490</v>
      </c>
      <c r="G81" s="183" t="s">
        <v>775</v>
      </c>
      <c r="H81" s="276" t="s">
        <v>778</v>
      </c>
      <c r="I81" s="285"/>
      <c r="J81" s="286"/>
      <c r="K81" s="286"/>
      <c r="L81" s="286"/>
      <c r="M81" s="286"/>
      <c r="N81" s="286">
        <v>0.75</v>
      </c>
      <c r="O81" s="286">
        <v>1</v>
      </c>
      <c r="P81" s="286">
        <v>1.5</v>
      </c>
      <c r="Q81" s="286">
        <v>1.5</v>
      </c>
      <c r="R81" s="286">
        <v>1.5</v>
      </c>
      <c r="S81" s="286">
        <v>1</v>
      </c>
      <c r="T81" s="286"/>
      <c r="U81" s="286">
        <v>1</v>
      </c>
      <c r="V81" s="286">
        <v>2</v>
      </c>
      <c r="W81" s="286">
        <v>2</v>
      </c>
      <c r="X81" s="286">
        <v>2</v>
      </c>
      <c r="Y81" s="286">
        <v>1.5</v>
      </c>
      <c r="Z81" s="286">
        <v>1</v>
      </c>
      <c r="AA81" s="286"/>
      <c r="AB81" s="286">
        <v>2</v>
      </c>
      <c r="AC81" s="286">
        <v>2</v>
      </c>
      <c r="AD81" s="286">
        <v>2</v>
      </c>
      <c r="AE81" s="286">
        <v>1.5</v>
      </c>
      <c r="AF81" s="286">
        <v>1</v>
      </c>
      <c r="AG81" s="286"/>
      <c r="AH81" s="286"/>
      <c r="AI81" s="286"/>
      <c r="AJ81" s="286">
        <v>1</v>
      </c>
      <c r="AK81" s="286">
        <v>1</v>
      </c>
      <c r="AL81" s="286">
        <v>1</v>
      </c>
      <c r="AM81" s="287">
        <v>1</v>
      </c>
      <c r="AN81" s="227">
        <f t="shared" si="2"/>
        <v>29.25</v>
      </c>
      <c r="AO81" s="241">
        <v>240000</v>
      </c>
      <c r="AP81" s="228">
        <f t="shared" si="3"/>
        <v>7020000</v>
      </c>
    </row>
    <row r="82" spans="1:42" s="162" customFormat="1" ht="24.9" customHeight="1" x14ac:dyDescent="0.4">
      <c r="A82" s="181">
        <v>77</v>
      </c>
      <c r="B82" s="183" t="s">
        <v>675</v>
      </c>
      <c r="C82" s="255" t="s">
        <v>676</v>
      </c>
      <c r="D82" s="255" t="s">
        <v>231</v>
      </c>
      <c r="E82" s="255" t="s">
        <v>677</v>
      </c>
      <c r="F82" s="245" t="s">
        <v>238</v>
      </c>
      <c r="G82" s="183" t="s">
        <v>675</v>
      </c>
      <c r="H82" s="276" t="s">
        <v>678</v>
      </c>
      <c r="I82" s="285">
        <v>1.5</v>
      </c>
      <c r="J82" s="286">
        <v>1.5</v>
      </c>
      <c r="K82" s="286">
        <v>1.5</v>
      </c>
      <c r="L82" s="286">
        <v>1</v>
      </c>
      <c r="M82" s="286"/>
      <c r="N82" s="286">
        <v>1.5</v>
      </c>
      <c r="O82" s="286">
        <v>1.5</v>
      </c>
      <c r="P82" s="286">
        <v>1.5</v>
      </c>
      <c r="Q82" s="286">
        <v>1.5</v>
      </c>
      <c r="R82" s="286">
        <v>1.5</v>
      </c>
      <c r="S82" s="286">
        <v>1</v>
      </c>
      <c r="T82" s="286"/>
      <c r="U82" s="286">
        <v>1.5</v>
      </c>
      <c r="V82" s="286">
        <v>2</v>
      </c>
      <c r="W82" s="286">
        <v>2</v>
      </c>
      <c r="X82" s="286">
        <v>2</v>
      </c>
      <c r="Y82" s="286">
        <v>1.5</v>
      </c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7"/>
      <c r="AN82" s="227">
        <f t="shared" si="2"/>
        <v>23</v>
      </c>
      <c r="AO82" s="241">
        <v>150000</v>
      </c>
      <c r="AP82" s="228">
        <f t="shared" si="3"/>
        <v>3450000</v>
      </c>
    </row>
    <row r="83" spans="1:42" s="162" customFormat="1" ht="24.9" customHeight="1" x14ac:dyDescent="0.4">
      <c r="A83" s="181">
        <v>78</v>
      </c>
      <c r="B83" s="183" t="s">
        <v>679</v>
      </c>
      <c r="C83" s="255" t="s">
        <v>680</v>
      </c>
      <c r="D83" s="255" t="s">
        <v>231</v>
      </c>
      <c r="E83" s="255" t="s">
        <v>681</v>
      </c>
      <c r="F83" s="245" t="s">
        <v>232</v>
      </c>
      <c r="G83" s="183" t="s">
        <v>679</v>
      </c>
      <c r="H83" s="276" t="s">
        <v>779</v>
      </c>
      <c r="I83" s="285">
        <v>1.25</v>
      </c>
      <c r="J83" s="286">
        <v>1.5</v>
      </c>
      <c r="K83" s="286">
        <v>1.5</v>
      </c>
      <c r="L83" s="286">
        <v>1</v>
      </c>
      <c r="M83" s="286"/>
      <c r="N83" s="286"/>
      <c r="O83" s="286">
        <v>1.5</v>
      </c>
      <c r="P83" s="286">
        <v>1.5</v>
      </c>
      <c r="Q83" s="286">
        <v>1.375</v>
      </c>
      <c r="R83" s="286">
        <v>1.5</v>
      </c>
      <c r="S83" s="286"/>
      <c r="T83" s="286"/>
      <c r="U83" s="286">
        <v>1.5</v>
      </c>
      <c r="V83" s="286">
        <v>2</v>
      </c>
      <c r="W83" s="286">
        <v>1.875</v>
      </c>
      <c r="X83" s="286">
        <v>1.875</v>
      </c>
      <c r="Y83" s="286">
        <v>1.5</v>
      </c>
      <c r="Z83" s="286"/>
      <c r="AA83" s="286"/>
      <c r="AB83" s="286">
        <v>2</v>
      </c>
      <c r="AC83" s="286"/>
      <c r="AD83" s="286">
        <v>2</v>
      </c>
      <c r="AE83" s="286">
        <v>1.875</v>
      </c>
      <c r="AF83" s="286">
        <v>1</v>
      </c>
      <c r="AG83" s="286"/>
      <c r="AH83" s="286"/>
      <c r="AI83" s="286"/>
      <c r="AJ83" s="286"/>
      <c r="AK83" s="286"/>
      <c r="AL83" s="286"/>
      <c r="AM83" s="287"/>
      <c r="AN83" s="227">
        <f t="shared" si="2"/>
        <v>26.75</v>
      </c>
      <c r="AO83" s="241">
        <v>150000</v>
      </c>
      <c r="AP83" s="228">
        <f t="shared" si="3"/>
        <v>4012500</v>
      </c>
    </row>
    <row r="84" spans="1:42" s="162" customFormat="1" ht="24.9" customHeight="1" x14ac:dyDescent="0.4">
      <c r="A84" s="181">
        <v>79</v>
      </c>
      <c r="B84" s="183" t="s">
        <v>780</v>
      </c>
      <c r="C84" s="255" t="s">
        <v>781</v>
      </c>
      <c r="D84" s="255" t="s">
        <v>231</v>
      </c>
      <c r="E84" s="255" t="s">
        <v>782</v>
      </c>
      <c r="F84" s="245" t="s">
        <v>237</v>
      </c>
      <c r="G84" s="183" t="s">
        <v>780</v>
      </c>
      <c r="H84" s="276" t="s">
        <v>783</v>
      </c>
      <c r="I84" s="285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>
        <v>1</v>
      </c>
      <c r="V84" s="286">
        <v>2</v>
      </c>
      <c r="W84" s="286">
        <v>2</v>
      </c>
      <c r="X84" s="286">
        <v>2</v>
      </c>
      <c r="Y84" s="286"/>
      <c r="Z84" s="286"/>
      <c r="AA84" s="286"/>
      <c r="AB84" s="286">
        <v>2</v>
      </c>
      <c r="AC84" s="286">
        <v>2</v>
      </c>
      <c r="AD84" s="286">
        <v>2</v>
      </c>
      <c r="AE84" s="286">
        <v>2</v>
      </c>
      <c r="AF84" s="286">
        <v>1</v>
      </c>
      <c r="AG84" s="286"/>
      <c r="AH84" s="286"/>
      <c r="AI84" s="286"/>
      <c r="AJ84" s="286">
        <v>1</v>
      </c>
      <c r="AK84" s="286">
        <v>1</v>
      </c>
      <c r="AL84" s="286">
        <v>1</v>
      </c>
      <c r="AM84" s="287">
        <v>1</v>
      </c>
      <c r="AN84" s="227">
        <f t="shared" si="2"/>
        <v>20</v>
      </c>
      <c r="AO84" s="241">
        <v>160000</v>
      </c>
      <c r="AP84" s="228">
        <f t="shared" si="3"/>
        <v>3200000</v>
      </c>
    </row>
    <row r="85" spans="1:42" s="162" customFormat="1" ht="24.9" customHeight="1" x14ac:dyDescent="0.4">
      <c r="A85" s="181">
        <v>80</v>
      </c>
      <c r="B85" s="183" t="s">
        <v>682</v>
      </c>
      <c r="C85" s="255" t="s">
        <v>683</v>
      </c>
      <c r="D85" s="255" t="s">
        <v>717</v>
      </c>
      <c r="E85" s="255" t="s">
        <v>684</v>
      </c>
      <c r="F85" s="245" t="s">
        <v>237</v>
      </c>
      <c r="G85" s="183" t="s">
        <v>682</v>
      </c>
      <c r="H85" s="276" t="s">
        <v>685</v>
      </c>
      <c r="I85" s="285">
        <v>1.5</v>
      </c>
      <c r="J85" s="286">
        <v>1.5</v>
      </c>
      <c r="K85" s="286">
        <v>1.5</v>
      </c>
      <c r="L85" s="286">
        <v>1</v>
      </c>
      <c r="M85" s="286"/>
      <c r="N85" s="286">
        <v>1</v>
      </c>
      <c r="O85" s="286"/>
      <c r="P85" s="286"/>
      <c r="Q85" s="286"/>
      <c r="R85" s="286"/>
      <c r="S85" s="286"/>
      <c r="T85" s="286"/>
      <c r="U85" s="286">
        <v>1.5</v>
      </c>
      <c r="V85" s="286"/>
      <c r="W85" s="286"/>
      <c r="X85" s="286"/>
      <c r="Y85" s="286"/>
      <c r="Z85" s="286"/>
      <c r="AA85" s="286"/>
      <c r="AB85" s="286">
        <v>2</v>
      </c>
      <c r="AC85" s="286">
        <v>2</v>
      </c>
      <c r="AD85" s="286"/>
      <c r="AE85" s="286">
        <v>2</v>
      </c>
      <c r="AF85" s="286">
        <v>1</v>
      </c>
      <c r="AG85" s="286"/>
      <c r="AH85" s="286"/>
      <c r="AI85" s="286">
        <v>1</v>
      </c>
      <c r="AJ85" s="286">
        <v>1</v>
      </c>
      <c r="AK85" s="286">
        <v>1</v>
      </c>
      <c r="AL85" s="286">
        <v>1</v>
      </c>
      <c r="AM85" s="287">
        <v>1</v>
      </c>
      <c r="AN85" s="227">
        <f t="shared" si="2"/>
        <v>20</v>
      </c>
      <c r="AO85" s="241">
        <v>240000</v>
      </c>
      <c r="AP85" s="228">
        <f t="shared" si="3"/>
        <v>4800000</v>
      </c>
    </row>
    <row r="86" spans="1:42" s="162" customFormat="1" ht="24.9" customHeight="1" x14ac:dyDescent="0.4">
      <c r="A86" s="181">
        <v>81</v>
      </c>
      <c r="B86" s="183" t="s">
        <v>686</v>
      </c>
      <c r="C86" s="255" t="s">
        <v>687</v>
      </c>
      <c r="D86" s="255" t="s">
        <v>235</v>
      </c>
      <c r="E86" s="255" t="s">
        <v>688</v>
      </c>
      <c r="F86" s="245" t="s">
        <v>232</v>
      </c>
      <c r="G86" s="183" t="s">
        <v>686</v>
      </c>
      <c r="H86" s="276" t="s">
        <v>689</v>
      </c>
      <c r="I86" s="285">
        <v>1.5</v>
      </c>
      <c r="J86" s="286">
        <v>1.5</v>
      </c>
      <c r="K86" s="286">
        <v>1.5</v>
      </c>
      <c r="L86" s="286"/>
      <c r="M86" s="286"/>
      <c r="N86" s="286">
        <v>1.5</v>
      </c>
      <c r="O86" s="286">
        <v>1.5</v>
      </c>
      <c r="P86" s="286">
        <v>1.5</v>
      </c>
      <c r="Q86" s="286">
        <v>1.5</v>
      </c>
      <c r="R86" s="286">
        <v>1.5</v>
      </c>
      <c r="S86" s="286">
        <v>1</v>
      </c>
      <c r="T86" s="286"/>
      <c r="U86" s="286">
        <v>1.5</v>
      </c>
      <c r="V86" s="286">
        <v>2</v>
      </c>
      <c r="W86" s="286">
        <v>2</v>
      </c>
      <c r="X86" s="286">
        <v>2</v>
      </c>
      <c r="Y86" s="286">
        <v>1.5</v>
      </c>
      <c r="Z86" s="286"/>
      <c r="AA86" s="286"/>
      <c r="AB86" s="286">
        <v>2</v>
      </c>
      <c r="AC86" s="286">
        <v>2</v>
      </c>
      <c r="AD86" s="286">
        <v>2</v>
      </c>
      <c r="AE86" s="286">
        <v>2</v>
      </c>
      <c r="AF86" s="286">
        <v>1</v>
      </c>
      <c r="AG86" s="286"/>
      <c r="AH86" s="286"/>
      <c r="AI86" s="286"/>
      <c r="AJ86" s="286"/>
      <c r="AK86" s="286"/>
      <c r="AL86" s="286"/>
      <c r="AM86" s="287"/>
      <c r="AN86" s="227">
        <f t="shared" si="2"/>
        <v>31</v>
      </c>
      <c r="AO86" s="241">
        <v>230000</v>
      </c>
      <c r="AP86" s="228">
        <f t="shared" si="3"/>
        <v>7130000</v>
      </c>
    </row>
    <row r="87" spans="1:42" s="162" customFormat="1" ht="24.9" customHeight="1" x14ac:dyDescent="0.4">
      <c r="A87" s="181">
        <v>82</v>
      </c>
      <c r="B87" s="183" t="s">
        <v>690</v>
      </c>
      <c r="C87" s="255" t="s">
        <v>691</v>
      </c>
      <c r="D87" s="255" t="s">
        <v>231</v>
      </c>
      <c r="E87" s="255" t="s">
        <v>692</v>
      </c>
      <c r="F87" s="245" t="s">
        <v>490</v>
      </c>
      <c r="G87" s="183" t="s">
        <v>690</v>
      </c>
      <c r="H87" s="276" t="s">
        <v>693</v>
      </c>
      <c r="I87" s="285">
        <v>1.5</v>
      </c>
      <c r="J87" s="286">
        <v>1.5</v>
      </c>
      <c r="K87" s="286">
        <v>1.5</v>
      </c>
      <c r="L87" s="286">
        <v>1</v>
      </c>
      <c r="M87" s="286"/>
      <c r="N87" s="286">
        <v>1.5</v>
      </c>
      <c r="O87" s="286">
        <v>1.5</v>
      </c>
      <c r="P87" s="286">
        <v>1.5</v>
      </c>
      <c r="Q87" s="286">
        <v>1.5</v>
      </c>
      <c r="R87" s="286">
        <v>1.5</v>
      </c>
      <c r="S87" s="286">
        <v>1</v>
      </c>
      <c r="T87" s="286"/>
      <c r="U87" s="286">
        <v>1.5</v>
      </c>
      <c r="V87" s="286">
        <v>2</v>
      </c>
      <c r="W87" s="286">
        <v>2</v>
      </c>
      <c r="X87" s="286">
        <v>2</v>
      </c>
      <c r="Y87" s="286">
        <v>1.5</v>
      </c>
      <c r="Z87" s="286">
        <v>1</v>
      </c>
      <c r="AA87" s="286"/>
      <c r="AB87" s="286">
        <v>2</v>
      </c>
      <c r="AC87" s="286">
        <v>2</v>
      </c>
      <c r="AD87" s="286">
        <v>2</v>
      </c>
      <c r="AE87" s="286">
        <v>2</v>
      </c>
      <c r="AF87" s="286">
        <v>1</v>
      </c>
      <c r="AG87" s="286"/>
      <c r="AH87" s="286"/>
      <c r="AI87" s="286"/>
      <c r="AJ87" s="286"/>
      <c r="AK87" s="286"/>
      <c r="AL87" s="286"/>
      <c r="AM87" s="287"/>
      <c r="AN87" s="227">
        <f t="shared" si="2"/>
        <v>33</v>
      </c>
      <c r="AO87" s="240">
        <v>140000</v>
      </c>
      <c r="AP87" s="228">
        <f t="shared" si="3"/>
        <v>4620000</v>
      </c>
    </row>
    <row r="88" spans="1:42" s="162" customFormat="1" ht="24.9" customHeight="1" x14ac:dyDescent="0.4">
      <c r="A88" s="181">
        <v>83</v>
      </c>
      <c r="B88" s="183" t="s">
        <v>784</v>
      </c>
      <c r="C88" s="255" t="s">
        <v>785</v>
      </c>
      <c r="D88" s="255" t="s">
        <v>231</v>
      </c>
      <c r="E88" s="255" t="s">
        <v>786</v>
      </c>
      <c r="F88" s="245" t="s">
        <v>481</v>
      </c>
      <c r="G88" s="183" t="s">
        <v>784</v>
      </c>
      <c r="H88" s="276" t="s">
        <v>787</v>
      </c>
      <c r="I88" s="285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>
        <v>1</v>
      </c>
      <c r="V88" s="286"/>
      <c r="W88" s="286"/>
      <c r="X88" s="286">
        <v>2</v>
      </c>
      <c r="Y88" s="286">
        <v>1.5</v>
      </c>
      <c r="Z88" s="286">
        <v>1</v>
      </c>
      <c r="AA88" s="286"/>
      <c r="AB88" s="286">
        <v>2</v>
      </c>
      <c r="AC88" s="286">
        <v>2</v>
      </c>
      <c r="AD88" s="286">
        <v>2</v>
      </c>
      <c r="AE88" s="286">
        <v>2</v>
      </c>
      <c r="AF88" s="286">
        <v>1</v>
      </c>
      <c r="AG88" s="286"/>
      <c r="AH88" s="286"/>
      <c r="AI88" s="286">
        <v>1</v>
      </c>
      <c r="AJ88" s="286">
        <v>1</v>
      </c>
      <c r="AK88" s="286">
        <v>1</v>
      </c>
      <c r="AL88" s="286">
        <v>1</v>
      </c>
      <c r="AM88" s="287">
        <v>1</v>
      </c>
      <c r="AN88" s="227">
        <f t="shared" si="2"/>
        <v>19.5</v>
      </c>
      <c r="AO88" s="240">
        <v>160000</v>
      </c>
      <c r="AP88" s="228">
        <f t="shared" si="3"/>
        <v>3120000</v>
      </c>
    </row>
    <row r="89" spans="1:42" s="162" customFormat="1" ht="24.9" customHeight="1" thickBot="1" x14ac:dyDescent="0.45">
      <c r="A89" s="277">
        <v>84</v>
      </c>
      <c r="B89" s="278" t="s">
        <v>694</v>
      </c>
      <c r="C89" s="279" t="s">
        <v>695</v>
      </c>
      <c r="D89" s="279" t="s">
        <v>231</v>
      </c>
      <c r="E89" s="279" t="s">
        <v>696</v>
      </c>
      <c r="F89" s="280" t="s">
        <v>444</v>
      </c>
      <c r="G89" s="278" t="s">
        <v>694</v>
      </c>
      <c r="H89" s="281" t="s">
        <v>697</v>
      </c>
      <c r="I89" s="288">
        <v>1.5</v>
      </c>
      <c r="J89" s="289">
        <v>1.5</v>
      </c>
      <c r="K89" s="289">
        <v>1.5</v>
      </c>
      <c r="L89" s="289">
        <v>1</v>
      </c>
      <c r="M89" s="289"/>
      <c r="N89" s="289">
        <v>1.5</v>
      </c>
      <c r="O89" s="289">
        <v>1.5</v>
      </c>
      <c r="P89" s="289">
        <v>1.5</v>
      </c>
      <c r="Q89" s="289">
        <v>1.5</v>
      </c>
      <c r="R89" s="289">
        <v>1.5</v>
      </c>
      <c r="S89" s="289">
        <v>1</v>
      </c>
      <c r="T89" s="289"/>
      <c r="U89" s="289">
        <v>1.5</v>
      </c>
      <c r="V89" s="289">
        <v>2</v>
      </c>
      <c r="W89" s="289">
        <v>2</v>
      </c>
      <c r="X89" s="289">
        <v>2</v>
      </c>
      <c r="Y89" s="289">
        <v>1.5</v>
      </c>
      <c r="Z89" s="289">
        <v>1</v>
      </c>
      <c r="AA89" s="289"/>
      <c r="AB89" s="289">
        <v>2</v>
      </c>
      <c r="AC89" s="289">
        <v>2</v>
      </c>
      <c r="AD89" s="289">
        <v>2</v>
      </c>
      <c r="AE89" s="289">
        <v>2</v>
      </c>
      <c r="AF89" s="289">
        <v>1</v>
      </c>
      <c r="AG89" s="289"/>
      <c r="AH89" s="289"/>
      <c r="AI89" s="289">
        <v>1</v>
      </c>
      <c r="AJ89" s="289">
        <v>1</v>
      </c>
      <c r="AK89" s="289">
        <v>1</v>
      </c>
      <c r="AL89" s="289">
        <v>1</v>
      </c>
      <c r="AM89" s="290">
        <v>0.5</v>
      </c>
      <c r="AN89" s="292">
        <f>SUM(I89:AM89)</f>
        <v>37.5</v>
      </c>
      <c r="AO89" s="293">
        <v>140000</v>
      </c>
      <c r="AP89" s="294">
        <f t="shared" si="3"/>
        <v>5250000</v>
      </c>
    </row>
    <row r="90" spans="1:42" s="162" customFormat="1" ht="30" customHeight="1" thickBot="1" x14ac:dyDescent="0.45">
      <c r="A90" s="358" t="s">
        <v>216</v>
      </c>
      <c r="B90" s="359"/>
      <c r="C90" s="359"/>
      <c r="D90" s="359"/>
      <c r="E90" s="359"/>
      <c r="F90" s="359"/>
      <c r="G90" s="359"/>
      <c r="H90" s="360"/>
      <c r="I90" s="163">
        <f t="shared" ref="I90:AN90" si="4">SUM(I6:I89)</f>
        <v>92.75</v>
      </c>
      <c r="J90" s="164">
        <f t="shared" si="4"/>
        <v>86</v>
      </c>
      <c r="K90" s="164">
        <f t="shared" si="4"/>
        <v>89</v>
      </c>
      <c r="L90" s="164">
        <f t="shared" si="4"/>
        <v>44.75</v>
      </c>
      <c r="M90" s="164">
        <f t="shared" si="4"/>
        <v>0</v>
      </c>
      <c r="N90" s="164">
        <f t="shared" si="4"/>
        <v>97.25</v>
      </c>
      <c r="O90" s="164">
        <f t="shared" si="4"/>
        <v>98.875</v>
      </c>
      <c r="P90" s="164">
        <f t="shared" si="4"/>
        <v>101.125</v>
      </c>
      <c r="Q90" s="164">
        <f t="shared" si="4"/>
        <v>97.375</v>
      </c>
      <c r="R90" s="164">
        <f t="shared" si="4"/>
        <v>99</v>
      </c>
      <c r="S90" s="164">
        <f t="shared" si="4"/>
        <v>43.875</v>
      </c>
      <c r="T90" s="164">
        <f t="shared" si="4"/>
        <v>0</v>
      </c>
      <c r="U90" s="164">
        <f t="shared" si="4"/>
        <v>102.125</v>
      </c>
      <c r="V90" s="164">
        <f t="shared" si="4"/>
        <v>133.5</v>
      </c>
      <c r="W90" s="164">
        <f t="shared" si="4"/>
        <v>135.875</v>
      </c>
      <c r="X90" s="164">
        <f t="shared" si="4"/>
        <v>123.375</v>
      </c>
      <c r="Y90" s="164">
        <f t="shared" si="4"/>
        <v>90.1875</v>
      </c>
      <c r="Z90" s="164">
        <f t="shared" si="4"/>
        <v>36.625</v>
      </c>
      <c r="AA90" s="164">
        <f t="shared" si="4"/>
        <v>0</v>
      </c>
      <c r="AB90" s="164">
        <f t="shared" si="4"/>
        <v>109.25</v>
      </c>
      <c r="AC90" s="164">
        <f t="shared" si="4"/>
        <v>110.125</v>
      </c>
      <c r="AD90" s="164">
        <f t="shared" si="4"/>
        <v>98.875</v>
      </c>
      <c r="AE90" s="164">
        <f t="shared" si="4"/>
        <v>103.5</v>
      </c>
      <c r="AF90" s="164">
        <f t="shared" si="4"/>
        <v>47.125</v>
      </c>
      <c r="AG90" s="164">
        <f t="shared" si="4"/>
        <v>0</v>
      </c>
      <c r="AH90" s="164">
        <f t="shared" si="4"/>
        <v>0</v>
      </c>
      <c r="AI90" s="164">
        <f t="shared" si="4"/>
        <v>24.5</v>
      </c>
      <c r="AJ90" s="164">
        <f t="shared" si="4"/>
        <v>28</v>
      </c>
      <c r="AK90" s="164">
        <f t="shared" si="4"/>
        <v>27.25</v>
      </c>
      <c r="AL90" s="164">
        <f t="shared" si="4"/>
        <v>27.875</v>
      </c>
      <c r="AM90" s="165">
        <f t="shared" si="4"/>
        <v>26.5</v>
      </c>
      <c r="AN90" s="269">
        <f t="shared" si="4"/>
        <v>2074.6875</v>
      </c>
      <c r="AO90" s="167">
        <f>AP90/AN90</f>
        <v>187280.31330019582</v>
      </c>
      <c r="AP90" s="168">
        <f>SUM(AP6:AP89)</f>
        <v>388548125</v>
      </c>
    </row>
    <row r="91" spans="1:42" s="162" customFormat="1" ht="24.9" hidden="1" customHeight="1" x14ac:dyDescent="0.4">
      <c r="A91" s="258"/>
      <c r="B91" s="249"/>
      <c r="C91" s="252"/>
      <c r="D91" s="252"/>
      <c r="E91" s="252"/>
      <c r="F91" s="250"/>
      <c r="G91" s="253"/>
      <c r="H91" s="254"/>
      <c r="I91" s="260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  <c r="AA91" s="261"/>
      <c r="AB91" s="261"/>
      <c r="AC91" s="261"/>
      <c r="AD91" s="261"/>
      <c r="AE91" s="261"/>
      <c r="AF91" s="261"/>
      <c r="AG91" s="261"/>
      <c r="AH91" s="261"/>
      <c r="AI91" s="261"/>
      <c r="AJ91" s="261"/>
      <c r="AK91" s="261"/>
      <c r="AL91" s="261"/>
      <c r="AM91" s="262"/>
      <c r="AN91" s="102"/>
      <c r="AO91" s="101"/>
      <c r="AP91" s="103"/>
    </row>
    <row r="92" spans="1:42" s="162" customFormat="1" ht="24.9" hidden="1" customHeight="1" x14ac:dyDescent="0.4">
      <c r="A92" s="259"/>
      <c r="B92" s="249"/>
      <c r="C92" s="252"/>
      <c r="D92" s="255"/>
      <c r="E92" s="252"/>
      <c r="F92" s="245"/>
      <c r="G92" s="253"/>
      <c r="H92" s="254"/>
      <c r="I92" s="263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  <c r="AM92" s="265"/>
      <c r="AN92" s="102"/>
      <c r="AO92" s="101"/>
      <c r="AP92" s="103"/>
    </row>
    <row r="93" spans="1:42" s="162" customFormat="1" ht="24.9" hidden="1" customHeight="1" x14ac:dyDescent="0.4">
      <c r="A93" s="259"/>
      <c r="B93" s="249"/>
      <c r="C93" s="252"/>
      <c r="D93" s="183"/>
      <c r="E93" s="252"/>
      <c r="F93" s="245"/>
      <c r="G93" s="253"/>
      <c r="H93" s="254"/>
      <c r="I93" s="263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64"/>
      <c r="AK93" s="264"/>
      <c r="AL93" s="264"/>
      <c r="AM93" s="265"/>
      <c r="AN93" s="102"/>
      <c r="AO93" s="101"/>
      <c r="AP93" s="103"/>
    </row>
    <row r="94" spans="1:42" s="162" customFormat="1" ht="24.9" hidden="1" customHeight="1" x14ac:dyDescent="0.4">
      <c r="A94" s="259"/>
      <c r="B94" s="249"/>
      <c r="C94" s="252"/>
      <c r="D94" s="255"/>
      <c r="E94" s="252"/>
      <c r="F94" s="245"/>
      <c r="G94" s="253"/>
      <c r="H94" s="254"/>
      <c r="I94" s="263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64"/>
      <c r="AK94" s="264"/>
      <c r="AL94" s="264"/>
      <c r="AM94" s="265"/>
      <c r="AN94" s="102"/>
      <c r="AO94" s="101"/>
      <c r="AP94" s="103"/>
    </row>
    <row r="95" spans="1:42" s="162" customFormat="1" ht="24.9" hidden="1" customHeight="1" x14ac:dyDescent="0.4">
      <c r="A95" s="259"/>
      <c r="B95" s="249"/>
      <c r="C95" s="252"/>
      <c r="D95" s="255"/>
      <c r="E95" s="252"/>
      <c r="F95" s="245"/>
      <c r="G95" s="253"/>
      <c r="H95" s="254"/>
      <c r="I95" s="263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  <c r="AA95" s="264"/>
      <c r="AB95" s="264"/>
      <c r="AC95" s="264"/>
      <c r="AD95" s="264"/>
      <c r="AE95" s="264"/>
      <c r="AF95" s="264"/>
      <c r="AG95" s="264"/>
      <c r="AH95" s="264"/>
      <c r="AI95" s="264"/>
      <c r="AJ95" s="264"/>
      <c r="AK95" s="264"/>
      <c r="AL95" s="264"/>
      <c r="AM95" s="265"/>
      <c r="AN95" s="102"/>
      <c r="AO95" s="101"/>
      <c r="AP95" s="103"/>
    </row>
    <row r="96" spans="1:42" s="162" customFormat="1" ht="24.9" hidden="1" customHeight="1" x14ac:dyDescent="0.4">
      <c r="A96" s="259"/>
      <c r="B96" s="249"/>
      <c r="C96" s="252"/>
      <c r="D96" s="183"/>
      <c r="E96" s="252"/>
      <c r="F96" s="245"/>
      <c r="G96" s="253"/>
      <c r="H96" s="254"/>
      <c r="I96" s="263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264"/>
      <c r="AJ96" s="264"/>
      <c r="AK96" s="264"/>
      <c r="AL96" s="264"/>
      <c r="AM96" s="265"/>
      <c r="AN96" s="102"/>
      <c r="AO96" s="101"/>
      <c r="AP96" s="103"/>
    </row>
    <row r="97" spans="1:42" s="162" customFormat="1" ht="24.9" hidden="1" customHeight="1" x14ac:dyDescent="0.4">
      <c r="A97" s="259"/>
      <c r="B97" s="249"/>
      <c r="C97" s="252"/>
      <c r="D97" s="255"/>
      <c r="E97" s="252"/>
      <c r="F97" s="245"/>
      <c r="G97" s="253"/>
      <c r="H97" s="254"/>
      <c r="I97" s="263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64"/>
      <c r="AJ97" s="264"/>
      <c r="AK97" s="264"/>
      <c r="AL97" s="264"/>
      <c r="AM97" s="265"/>
      <c r="AN97" s="102"/>
      <c r="AO97" s="101"/>
      <c r="AP97" s="103"/>
    </row>
    <row r="98" spans="1:42" s="162" customFormat="1" ht="24.9" hidden="1" customHeight="1" x14ac:dyDescent="0.4">
      <c r="A98" s="259"/>
      <c r="B98" s="249"/>
      <c r="C98" s="252"/>
      <c r="D98" s="183"/>
      <c r="E98" s="252"/>
      <c r="F98" s="245"/>
      <c r="G98" s="253"/>
      <c r="H98" s="254"/>
      <c r="I98" s="263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64"/>
      <c r="AJ98" s="264"/>
      <c r="AK98" s="264"/>
      <c r="AL98" s="264"/>
      <c r="AM98" s="265"/>
      <c r="AN98" s="102"/>
      <c r="AO98" s="101"/>
      <c r="AP98" s="103"/>
    </row>
    <row r="99" spans="1:42" s="162" customFormat="1" ht="24.9" hidden="1" customHeight="1" x14ac:dyDescent="0.4">
      <c r="A99" s="259"/>
      <c r="B99" s="249"/>
      <c r="C99" s="252"/>
      <c r="D99" s="255"/>
      <c r="E99" s="252"/>
      <c r="F99" s="245"/>
      <c r="G99" s="253"/>
      <c r="H99" s="254"/>
      <c r="I99" s="263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64"/>
      <c r="AK99" s="264"/>
      <c r="AL99" s="264"/>
      <c r="AM99" s="265"/>
      <c r="AN99" s="102"/>
      <c r="AO99" s="101"/>
      <c r="AP99" s="103"/>
    </row>
    <row r="100" spans="1:42" s="162" customFormat="1" ht="24.9" hidden="1" customHeight="1" x14ac:dyDescent="0.4">
      <c r="A100" s="259"/>
      <c r="B100" s="249"/>
      <c r="C100" s="252"/>
      <c r="D100" s="255"/>
      <c r="E100" s="252"/>
      <c r="F100" s="245"/>
      <c r="G100" s="253"/>
      <c r="H100" s="254"/>
      <c r="I100" s="263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64"/>
      <c r="AK100" s="264"/>
      <c r="AL100" s="264"/>
      <c r="AM100" s="265"/>
      <c r="AN100" s="102"/>
      <c r="AO100" s="101"/>
      <c r="AP100" s="103"/>
    </row>
    <row r="101" spans="1:42" s="162" customFormat="1" ht="24.9" hidden="1" customHeight="1" x14ac:dyDescent="0.4">
      <c r="A101" s="259"/>
      <c r="B101" s="249"/>
      <c r="C101" s="252"/>
      <c r="D101" s="183"/>
      <c r="E101" s="252"/>
      <c r="F101" s="245"/>
      <c r="G101" s="253"/>
      <c r="H101" s="254"/>
      <c r="I101" s="263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264"/>
      <c r="AJ101" s="264"/>
      <c r="AK101" s="264"/>
      <c r="AL101" s="264"/>
      <c r="AM101" s="265"/>
      <c r="AN101" s="102"/>
      <c r="AO101" s="101"/>
      <c r="AP101" s="103"/>
    </row>
    <row r="102" spans="1:42" s="162" customFormat="1" ht="24.9" hidden="1" customHeight="1" x14ac:dyDescent="0.4">
      <c r="A102" s="259"/>
      <c r="B102" s="249"/>
      <c r="C102" s="252"/>
      <c r="D102" s="255"/>
      <c r="E102" s="252"/>
      <c r="F102" s="245"/>
      <c r="G102" s="253"/>
      <c r="H102" s="254"/>
      <c r="I102" s="263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64"/>
      <c r="AK102" s="264"/>
      <c r="AL102" s="264"/>
      <c r="AM102" s="265"/>
      <c r="AN102" s="102"/>
      <c r="AO102" s="101"/>
      <c r="AP102" s="103"/>
    </row>
    <row r="103" spans="1:42" s="162" customFormat="1" ht="24.9" hidden="1" customHeight="1" x14ac:dyDescent="0.4">
      <c r="A103" s="259"/>
      <c r="B103" s="249"/>
      <c r="C103" s="252"/>
      <c r="D103" s="183"/>
      <c r="E103" s="252"/>
      <c r="F103" s="245"/>
      <c r="G103" s="253"/>
      <c r="H103" s="254"/>
      <c r="I103" s="263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64"/>
      <c r="AK103" s="264"/>
      <c r="AL103" s="264"/>
      <c r="AM103" s="265"/>
      <c r="AN103" s="102"/>
      <c r="AO103" s="101"/>
      <c r="AP103" s="103"/>
    </row>
    <row r="104" spans="1:42" s="162" customFormat="1" ht="24.9" hidden="1" customHeight="1" x14ac:dyDescent="0.4">
      <c r="A104" s="259"/>
      <c r="B104" s="249"/>
      <c r="C104" s="252"/>
      <c r="D104" s="183"/>
      <c r="E104" s="252"/>
      <c r="F104" s="245"/>
      <c r="G104" s="253"/>
      <c r="H104" s="254"/>
      <c r="I104" s="263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264"/>
      <c r="AJ104" s="264"/>
      <c r="AK104" s="264"/>
      <c r="AL104" s="264"/>
      <c r="AM104" s="265"/>
      <c r="AN104" s="102"/>
      <c r="AO104" s="101"/>
      <c r="AP104" s="103"/>
    </row>
    <row r="105" spans="1:42" s="162" customFormat="1" ht="24.9" hidden="1" customHeight="1" thickBot="1" x14ac:dyDescent="0.45">
      <c r="A105" s="259"/>
      <c r="B105" s="249"/>
      <c r="C105" s="252"/>
      <c r="D105" s="256"/>
      <c r="E105" s="252"/>
      <c r="F105" s="257"/>
      <c r="G105" s="253"/>
      <c r="H105" s="254"/>
      <c r="I105" s="26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  <c r="AM105" s="268"/>
      <c r="AN105" s="102"/>
      <c r="AO105" s="101"/>
      <c r="AP105" s="103"/>
    </row>
    <row r="106" spans="1:42" s="162" customFormat="1" ht="30" hidden="1" customHeight="1" thickBot="1" x14ac:dyDescent="0.45">
      <c r="A106" s="358" t="s">
        <v>239</v>
      </c>
      <c r="B106" s="359"/>
      <c r="C106" s="359"/>
      <c r="D106" s="359"/>
      <c r="E106" s="359"/>
      <c r="F106" s="359"/>
      <c r="G106" s="359"/>
      <c r="H106" s="360"/>
      <c r="I106" s="163">
        <f t="shared" ref="I106:AN106" si="5">SUM(I91:I105)</f>
        <v>0</v>
      </c>
      <c r="J106" s="164">
        <f t="shared" si="5"/>
        <v>0</v>
      </c>
      <c r="K106" s="164">
        <f t="shared" si="5"/>
        <v>0</v>
      </c>
      <c r="L106" s="164">
        <f t="shared" si="5"/>
        <v>0</v>
      </c>
      <c r="M106" s="164">
        <f t="shared" si="5"/>
        <v>0</v>
      </c>
      <c r="N106" s="164">
        <f t="shared" si="5"/>
        <v>0</v>
      </c>
      <c r="O106" s="164">
        <f t="shared" si="5"/>
        <v>0</v>
      </c>
      <c r="P106" s="164">
        <f t="shared" si="5"/>
        <v>0</v>
      </c>
      <c r="Q106" s="164">
        <f t="shared" si="5"/>
        <v>0</v>
      </c>
      <c r="R106" s="164">
        <f t="shared" si="5"/>
        <v>0</v>
      </c>
      <c r="S106" s="164">
        <f t="shared" si="5"/>
        <v>0</v>
      </c>
      <c r="T106" s="164">
        <f t="shared" si="5"/>
        <v>0</v>
      </c>
      <c r="U106" s="164">
        <f t="shared" si="5"/>
        <v>0</v>
      </c>
      <c r="V106" s="164">
        <f t="shared" si="5"/>
        <v>0</v>
      </c>
      <c r="W106" s="164">
        <f t="shared" si="5"/>
        <v>0</v>
      </c>
      <c r="X106" s="164">
        <f t="shared" si="5"/>
        <v>0</v>
      </c>
      <c r="Y106" s="164">
        <f t="shared" si="5"/>
        <v>0</v>
      </c>
      <c r="Z106" s="164">
        <f t="shared" si="5"/>
        <v>0</v>
      </c>
      <c r="AA106" s="164">
        <f t="shared" si="5"/>
        <v>0</v>
      </c>
      <c r="AB106" s="164">
        <f t="shared" si="5"/>
        <v>0</v>
      </c>
      <c r="AC106" s="164">
        <f t="shared" si="5"/>
        <v>0</v>
      </c>
      <c r="AD106" s="164">
        <f t="shared" si="5"/>
        <v>0</v>
      </c>
      <c r="AE106" s="164">
        <f t="shared" si="5"/>
        <v>0</v>
      </c>
      <c r="AF106" s="164">
        <f t="shared" si="5"/>
        <v>0</v>
      </c>
      <c r="AG106" s="164">
        <f t="shared" si="5"/>
        <v>0</v>
      </c>
      <c r="AH106" s="164">
        <f t="shared" si="5"/>
        <v>0</v>
      </c>
      <c r="AI106" s="164">
        <f t="shared" si="5"/>
        <v>0</v>
      </c>
      <c r="AJ106" s="164">
        <f t="shared" si="5"/>
        <v>0</v>
      </c>
      <c r="AK106" s="164">
        <f t="shared" si="5"/>
        <v>0</v>
      </c>
      <c r="AL106" s="164">
        <f t="shared" si="5"/>
        <v>0</v>
      </c>
      <c r="AM106" s="165">
        <f t="shared" si="5"/>
        <v>0</v>
      </c>
      <c r="AN106" s="166">
        <f t="shared" si="5"/>
        <v>0</v>
      </c>
      <c r="AO106" s="167" t="e">
        <f>AP106/AN106</f>
        <v>#DIV/0!</v>
      </c>
      <c r="AP106" s="168">
        <f>SUM(AP91:AP105)</f>
        <v>0</v>
      </c>
    </row>
    <row r="107" spans="1:42" s="162" customFormat="1" ht="35.1" customHeight="1" thickBot="1" x14ac:dyDescent="0.45">
      <c r="A107" s="361" t="s">
        <v>240</v>
      </c>
      <c r="B107" s="362"/>
      <c r="C107" s="362"/>
      <c r="D107" s="362"/>
      <c r="E107" s="362"/>
      <c r="F107" s="362"/>
      <c r="G107" s="362"/>
      <c r="H107" s="363"/>
      <c r="I107" s="169">
        <f t="shared" ref="I107:AM107" si="6">I90+I106</f>
        <v>92.75</v>
      </c>
      <c r="J107" s="170">
        <f t="shared" si="6"/>
        <v>86</v>
      </c>
      <c r="K107" s="170">
        <f t="shared" si="6"/>
        <v>89</v>
      </c>
      <c r="L107" s="170">
        <f t="shared" si="6"/>
        <v>44.75</v>
      </c>
      <c r="M107" s="170">
        <f t="shared" si="6"/>
        <v>0</v>
      </c>
      <c r="N107" s="170">
        <f t="shared" si="6"/>
        <v>97.25</v>
      </c>
      <c r="O107" s="170">
        <f t="shared" si="6"/>
        <v>98.875</v>
      </c>
      <c r="P107" s="170">
        <f t="shared" si="6"/>
        <v>101.125</v>
      </c>
      <c r="Q107" s="170">
        <f t="shared" si="6"/>
        <v>97.375</v>
      </c>
      <c r="R107" s="170">
        <f t="shared" si="6"/>
        <v>99</v>
      </c>
      <c r="S107" s="170">
        <f t="shared" si="6"/>
        <v>43.875</v>
      </c>
      <c r="T107" s="170">
        <f t="shared" si="6"/>
        <v>0</v>
      </c>
      <c r="U107" s="170">
        <f t="shared" si="6"/>
        <v>102.125</v>
      </c>
      <c r="V107" s="170">
        <f t="shared" si="6"/>
        <v>133.5</v>
      </c>
      <c r="W107" s="170">
        <f t="shared" si="6"/>
        <v>135.875</v>
      </c>
      <c r="X107" s="170">
        <f t="shared" si="6"/>
        <v>123.375</v>
      </c>
      <c r="Y107" s="170">
        <f t="shared" si="6"/>
        <v>90.1875</v>
      </c>
      <c r="Z107" s="170">
        <f t="shared" si="6"/>
        <v>36.625</v>
      </c>
      <c r="AA107" s="170">
        <f t="shared" si="6"/>
        <v>0</v>
      </c>
      <c r="AB107" s="170">
        <f t="shared" si="6"/>
        <v>109.25</v>
      </c>
      <c r="AC107" s="170">
        <f t="shared" si="6"/>
        <v>110.125</v>
      </c>
      <c r="AD107" s="170">
        <f t="shared" si="6"/>
        <v>98.875</v>
      </c>
      <c r="AE107" s="170">
        <f t="shared" si="6"/>
        <v>103.5</v>
      </c>
      <c r="AF107" s="170">
        <f t="shared" si="6"/>
        <v>47.125</v>
      </c>
      <c r="AG107" s="170">
        <f t="shared" si="6"/>
        <v>0</v>
      </c>
      <c r="AH107" s="170">
        <f t="shared" si="6"/>
        <v>0</v>
      </c>
      <c r="AI107" s="170">
        <f t="shared" si="6"/>
        <v>24.5</v>
      </c>
      <c r="AJ107" s="170">
        <f t="shared" si="6"/>
        <v>28</v>
      </c>
      <c r="AK107" s="170">
        <f t="shared" si="6"/>
        <v>27.25</v>
      </c>
      <c r="AL107" s="170">
        <f t="shared" si="6"/>
        <v>27.875</v>
      </c>
      <c r="AM107" s="170">
        <f t="shared" si="6"/>
        <v>26.5</v>
      </c>
      <c r="AN107" s="270">
        <f>AN90+AN106</f>
        <v>2074.6875</v>
      </c>
      <c r="AO107" s="171">
        <f>AP107/AN107</f>
        <v>187280.31330019582</v>
      </c>
      <c r="AP107" s="172">
        <f>AP90+AP106</f>
        <v>388548125</v>
      </c>
    </row>
    <row r="108" spans="1:42" x14ac:dyDescent="0.4">
      <c r="G108" s="104"/>
      <c r="H108" s="104"/>
      <c r="AG108" s="105"/>
      <c r="AI108" s="106"/>
      <c r="AO108" s="104"/>
    </row>
    <row r="109" spans="1:42" x14ac:dyDescent="0.4">
      <c r="G109" s="104"/>
      <c r="H109" s="104"/>
      <c r="AG109" s="105"/>
      <c r="AI109" s="106"/>
      <c r="AO109" s="104"/>
    </row>
    <row r="110" spans="1:42" x14ac:dyDescent="0.4">
      <c r="G110" s="104"/>
      <c r="H110" s="104"/>
      <c r="AG110" s="105"/>
      <c r="AI110" s="106"/>
      <c r="AO110" s="104"/>
    </row>
    <row r="111" spans="1:42" x14ac:dyDescent="0.4">
      <c r="G111" s="104"/>
      <c r="H111" s="104"/>
      <c r="AG111" s="105"/>
      <c r="AI111" s="106"/>
      <c r="AO111" s="104"/>
    </row>
    <row r="112" spans="1:42" x14ac:dyDescent="0.4">
      <c r="G112" s="104"/>
      <c r="H112" s="104"/>
      <c r="AI112" s="105"/>
      <c r="AM112" s="106"/>
      <c r="AO112" s="104"/>
    </row>
    <row r="113" spans="3:41" x14ac:dyDescent="0.4">
      <c r="G113" s="104"/>
      <c r="H113" s="104"/>
      <c r="AI113" s="105"/>
      <c r="AJ113" s="105"/>
      <c r="AM113" s="106"/>
      <c r="AO113" s="104"/>
    </row>
    <row r="114" spans="3:41" x14ac:dyDescent="0.4">
      <c r="G114" s="104"/>
      <c r="H114" s="104"/>
      <c r="AJ114" s="105"/>
      <c r="AK114" s="105"/>
      <c r="AL114" s="105"/>
      <c r="AO114" s="104"/>
    </row>
    <row r="115" spans="3:41" x14ac:dyDescent="0.4">
      <c r="G115" s="104"/>
      <c r="H115" s="104"/>
      <c r="AJ115" s="105"/>
      <c r="AK115" s="105"/>
      <c r="AL115" s="105"/>
      <c r="AO115" s="104"/>
    </row>
    <row r="116" spans="3:41" x14ac:dyDescent="0.4">
      <c r="G116" s="104"/>
      <c r="H116" s="104"/>
      <c r="AJ116" s="105"/>
      <c r="AK116" s="105"/>
      <c r="AL116" s="105"/>
      <c r="AO116" s="104"/>
    </row>
    <row r="117" spans="3:41" x14ac:dyDescent="0.4">
      <c r="G117" s="104"/>
      <c r="H117" s="104"/>
      <c r="AK117" s="105"/>
      <c r="AL117" s="105"/>
      <c r="AO117" s="104"/>
    </row>
    <row r="118" spans="3:41" x14ac:dyDescent="0.4">
      <c r="C118" s="108"/>
      <c r="D118" s="108"/>
      <c r="E118" s="108"/>
      <c r="G118" s="104"/>
      <c r="H118" s="104"/>
      <c r="AN118" s="106"/>
      <c r="AO118" s="104"/>
    </row>
    <row r="119" spans="3:41" x14ac:dyDescent="0.4">
      <c r="C119" s="108"/>
      <c r="D119" s="108"/>
      <c r="E119" s="108"/>
      <c r="G119" s="104"/>
      <c r="H119" s="104"/>
      <c r="AN119" s="106"/>
      <c r="AO119" s="104"/>
    </row>
    <row r="120" spans="3:41" x14ac:dyDescent="0.4">
      <c r="C120" s="108"/>
      <c r="D120" s="108"/>
      <c r="E120" s="108"/>
      <c r="G120" s="104"/>
      <c r="H120" s="104"/>
      <c r="AN120" s="106"/>
      <c r="AO120" s="104"/>
    </row>
    <row r="121" spans="3:41" x14ac:dyDescent="0.4">
      <c r="C121" s="108"/>
      <c r="D121" s="108"/>
      <c r="E121" s="108"/>
      <c r="G121" s="104"/>
      <c r="H121" s="104"/>
      <c r="AN121" s="106"/>
      <c r="AO121" s="104"/>
    </row>
    <row r="122" spans="3:41" x14ac:dyDescent="0.4">
      <c r="C122" s="108"/>
      <c r="D122" s="108"/>
      <c r="E122" s="108"/>
      <c r="G122" s="104"/>
      <c r="H122" s="104"/>
      <c r="AN122" s="106"/>
      <c r="AO122" s="104"/>
    </row>
    <row r="123" spans="3:41" x14ac:dyDescent="0.4">
      <c r="E123" s="108"/>
      <c r="F123" s="108"/>
      <c r="G123" s="104"/>
      <c r="H123" s="104"/>
      <c r="AO123" s="106"/>
    </row>
    <row r="124" spans="3:41" x14ac:dyDescent="0.4">
      <c r="E124" s="108"/>
      <c r="F124" s="108"/>
      <c r="G124" s="104"/>
      <c r="H124" s="104"/>
      <c r="AO124" s="106"/>
    </row>
    <row r="125" spans="3:41" x14ac:dyDescent="0.4">
      <c r="E125" s="108"/>
      <c r="F125" s="108"/>
      <c r="G125" s="104"/>
      <c r="H125" s="104"/>
      <c r="AO125" s="106"/>
    </row>
    <row r="126" spans="3:41" x14ac:dyDescent="0.4">
      <c r="E126" s="108"/>
      <c r="F126" s="108"/>
      <c r="G126" s="104"/>
      <c r="H126" s="104"/>
      <c r="AO126" s="106"/>
    </row>
    <row r="127" spans="3:41" x14ac:dyDescent="0.4">
      <c r="E127" s="108"/>
      <c r="F127" s="108"/>
      <c r="G127" s="104"/>
      <c r="H127" s="104"/>
      <c r="AO127" s="106"/>
    </row>
    <row r="128" spans="3:41" x14ac:dyDescent="0.4">
      <c r="E128" s="108"/>
      <c r="F128" s="108"/>
      <c r="G128" s="104"/>
      <c r="H128" s="104"/>
      <c r="AO128" s="106"/>
    </row>
    <row r="129" spans="5:41" x14ac:dyDescent="0.4">
      <c r="E129" s="108"/>
      <c r="F129" s="108"/>
      <c r="G129" s="104"/>
      <c r="H129" s="104"/>
      <c r="AO129" s="106"/>
    </row>
    <row r="130" spans="5:41" x14ac:dyDescent="0.4">
      <c r="E130" s="108"/>
      <c r="F130" s="108"/>
      <c r="G130" s="104"/>
      <c r="H130" s="104"/>
      <c r="AO130" s="106"/>
    </row>
    <row r="131" spans="5:41" x14ac:dyDescent="0.4">
      <c r="E131" s="108"/>
      <c r="F131" s="108"/>
      <c r="G131" s="104"/>
      <c r="H131" s="104"/>
      <c r="AO131" s="106"/>
    </row>
    <row r="132" spans="5:41" x14ac:dyDescent="0.4">
      <c r="E132" s="108"/>
      <c r="F132" s="108"/>
      <c r="G132" s="104"/>
      <c r="H132" s="104"/>
      <c r="AO132" s="106"/>
    </row>
    <row r="133" spans="5:41" x14ac:dyDescent="0.4">
      <c r="E133" s="108"/>
      <c r="F133" s="108"/>
      <c r="G133" s="104"/>
      <c r="H133" s="104"/>
      <c r="AO133" s="106"/>
    </row>
    <row r="134" spans="5:41" x14ac:dyDescent="0.4">
      <c r="E134" s="108"/>
      <c r="F134" s="108"/>
      <c r="G134" s="104"/>
      <c r="H134" s="104"/>
      <c r="AO134" s="106"/>
    </row>
    <row r="135" spans="5:41" x14ac:dyDescent="0.4">
      <c r="E135" s="108"/>
      <c r="F135" s="108"/>
      <c r="G135" s="104"/>
      <c r="H135" s="104"/>
      <c r="AO135" s="106"/>
    </row>
    <row r="136" spans="5:41" x14ac:dyDescent="0.4">
      <c r="E136" s="108"/>
      <c r="F136" s="108"/>
      <c r="G136" s="104"/>
      <c r="H136" s="104"/>
      <c r="AO136" s="106"/>
    </row>
    <row r="137" spans="5:41" x14ac:dyDescent="0.4">
      <c r="E137" s="108"/>
      <c r="F137" s="108"/>
      <c r="G137" s="104"/>
      <c r="H137" s="104"/>
      <c r="AO137" s="106"/>
    </row>
    <row r="138" spans="5:41" x14ac:dyDescent="0.4">
      <c r="E138" s="108"/>
      <c r="F138" s="108"/>
      <c r="G138" s="104"/>
      <c r="H138" s="104"/>
      <c r="AO138" s="106"/>
    </row>
    <row r="139" spans="5:41" x14ac:dyDescent="0.4">
      <c r="E139" s="108"/>
      <c r="F139" s="108"/>
      <c r="G139" s="104"/>
      <c r="H139" s="104"/>
      <c r="AO139" s="106"/>
    </row>
    <row r="140" spans="5:41" x14ac:dyDescent="0.4">
      <c r="E140" s="108"/>
      <c r="F140" s="108"/>
      <c r="G140" s="104"/>
      <c r="H140" s="104"/>
      <c r="AO140" s="106"/>
    </row>
    <row r="141" spans="5:41" x14ac:dyDescent="0.4">
      <c r="E141" s="108"/>
      <c r="F141" s="108"/>
      <c r="G141" s="104"/>
      <c r="H141" s="104"/>
      <c r="AO141" s="106"/>
    </row>
    <row r="142" spans="5:41" x14ac:dyDescent="0.4">
      <c r="E142" s="108"/>
      <c r="F142" s="108"/>
      <c r="G142" s="104"/>
      <c r="H142" s="104"/>
      <c r="AO142" s="106"/>
    </row>
    <row r="143" spans="5:41" x14ac:dyDescent="0.4">
      <c r="E143" s="108"/>
      <c r="F143" s="108"/>
      <c r="G143" s="104"/>
      <c r="H143" s="104"/>
      <c r="AO143" s="106"/>
    </row>
    <row r="144" spans="5:41" x14ac:dyDescent="0.4">
      <c r="E144" s="108"/>
      <c r="F144" s="108"/>
      <c r="G144" s="104"/>
      <c r="H144" s="104"/>
      <c r="AO144" s="106"/>
    </row>
    <row r="145" spans="5:42" x14ac:dyDescent="0.4">
      <c r="E145" s="108"/>
      <c r="F145" s="108"/>
      <c r="G145" s="104"/>
      <c r="H145" s="104"/>
      <c r="AO145" s="106"/>
    </row>
    <row r="146" spans="5:42" x14ac:dyDescent="0.4">
      <c r="E146" s="108"/>
      <c r="F146" s="108"/>
      <c r="G146" s="104"/>
      <c r="H146" s="104"/>
      <c r="AO146" s="106"/>
    </row>
    <row r="147" spans="5:42" x14ac:dyDescent="0.4">
      <c r="F147" s="108"/>
      <c r="H147" s="104"/>
      <c r="AN147" s="105"/>
      <c r="AO147" s="104"/>
      <c r="AP147" s="109"/>
    </row>
    <row r="148" spans="5:42" x14ac:dyDescent="0.4">
      <c r="F148" s="108"/>
      <c r="H148" s="104"/>
      <c r="AN148" s="105"/>
      <c r="AO148" s="104"/>
      <c r="AP148" s="109"/>
    </row>
    <row r="149" spans="5:42" x14ac:dyDescent="0.4">
      <c r="F149" s="108"/>
      <c r="H149" s="104"/>
      <c r="AN149" s="105"/>
      <c r="AO149" s="104"/>
      <c r="AP149" s="109"/>
    </row>
    <row r="150" spans="5:42" x14ac:dyDescent="0.4">
      <c r="F150" s="108"/>
      <c r="H150" s="104"/>
      <c r="AN150" s="105"/>
      <c r="AO150" s="104"/>
      <c r="AP150" s="109"/>
    </row>
    <row r="151" spans="5:42" x14ac:dyDescent="0.4">
      <c r="F151" s="108"/>
      <c r="H151" s="104"/>
      <c r="AN151" s="105"/>
      <c r="AO151" s="104"/>
      <c r="AP151" s="109"/>
    </row>
    <row r="152" spans="5:42" x14ac:dyDescent="0.4">
      <c r="F152" s="108"/>
      <c r="H152" s="104"/>
      <c r="AN152" s="105"/>
      <c r="AO152" s="104"/>
      <c r="AP152" s="109"/>
    </row>
    <row r="153" spans="5:42" x14ac:dyDescent="0.4">
      <c r="F153" s="108"/>
      <c r="H153" s="104"/>
      <c r="AN153" s="105"/>
      <c r="AO153" s="104"/>
      <c r="AP153" s="109"/>
    </row>
    <row r="154" spans="5:42" x14ac:dyDescent="0.4">
      <c r="F154" s="108"/>
      <c r="H154" s="104"/>
      <c r="AN154" s="105"/>
      <c r="AO154" s="104"/>
      <c r="AP154" s="109"/>
    </row>
    <row r="155" spans="5:42" x14ac:dyDescent="0.4">
      <c r="F155" s="108"/>
      <c r="H155" s="104"/>
      <c r="AN155" s="105"/>
      <c r="AO155" s="104"/>
      <c r="AP155" s="109"/>
    </row>
    <row r="156" spans="5:42" x14ac:dyDescent="0.4">
      <c r="F156" s="108"/>
      <c r="H156" s="104"/>
      <c r="AN156" s="105"/>
      <c r="AO156" s="104"/>
      <c r="AP156" s="109"/>
    </row>
    <row r="157" spans="5:42" x14ac:dyDescent="0.4">
      <c r="F157" s="108"/>
      <c r="H157" s="104"/>
      <c r="AN157" s="105"/>
      <c r="AO157" s="104"/>
      <c r="AP157" s="109"/>
    </row>
    <row r="158" spans="5:42" x14ac:dyDescent="0.4">
      <c r="F158" s="108"/>
      <c r="H158" s="104"/>
      <c r="AN158" s="105"/>
      <c r="AO158" s="104"/>
      <c r="AP158" s="109"/>
    </row>
    <row r="159" spans="5:42" x14ac:dyDescent="0.4">
      <c r="F159" s="108"/>
      <c r="H159" s="104"/>
      <c r="AN159" s="105"/>
      <c r="AO159" s="104"/>
      <c r="AP159" s="109"/>
    </row>
    <row r="160" spans="5:42" x14ac:dyDescent="0.4">
      <c r="F160" s="108"/>
      <c r="H160" s="104"/>
      <c r="AN160" s="105"/>
      <c r="AO160" s="104"/>
      <c r="AP160" s="109"/>
    </row>
    <row r="161" spans="6:42" x14ac:dyDescent="0.4">
      <c r="F161" s="108"/>
      <c r="H161" s="104"/>
      <c r="AN161" s="105"/>
      <c r="AO161" s="104"/>
      <c r="AP161" s="109"/>
    </row>
    <row r="162" spans="6:42" x14ac:dyDescent="0.4">
      <c r="F162" s="108"/>
      <c r="H162" s="104"/>
      <c r="AN162" s="105"/>
      <c r="AO162" s="104"/>
      <c r="AP162" s="109"/>
    </row>
    <row r="163" spans="6:42" x14ac:dyDescent="0.4">
      <c r="F163" s="108"/>
      <c r="H163" s="104"/>
      <c r="AN163" s="105"/>
      <c r="AO163" s="104"/>
      <c r="AP163" s="109"/>
    </row>
    <row r="164" spans="6:42" x14ac:dyDescent="0.4">
      <c r="F164" s="108"/>
      <c r="H164" s="104"/>
      <c r="AN164" s="105"/>
      <c r="AO164" s="104"/>
      <c r="AP164" s="109"/>
    </row>
    <row r="165" spans="6:42" x14ac:dyDescent="0.4">
      <c r="F165" s="108"/>
      <c r="H165" s="104"/>
      <c r="AN165" s="105"/>
      <c r="AO165" s="104"/>
      <c r="AP165" s="109"/>
    </row>
    <row r="166" spans="6:42" x14ac:dyDescent="0.4">
      <c r="F166" s="108"/>
      <c r="H166" s="104"/>
      <c r="AN166" s="105"/>
      <c r="AO166" s="104"/>
      <c r="AP166" s="109"/>
    </row>
    <row r="167" spans="6:42" x14ac:dyDescent="0.4">
      <c r="F167" s="108"/>
      <c r="H167" s="104"/>
      <c r="AN167" s="105"/>
      <c r="AO167" s="104"/>
      <c r="AP167" s="109"/>
    </row>
    <row r="168" spans="6:42" x14ac:dyDescent="0.4">
      <c r="F168" s="108"/>
      <c r="H168" s="104"/>
      <c r="AN168" s="105"/>
      <c r="AO168" s="104"/>
      <c r="AP168" s="109"/>
    </row>
    <row r="169" spans="6:42" x14ac:dyDescent="0.4">
      <c r="F169" s="108"/>
      <c r="H169" s="104"/>
      <c r="AN169" s="105"/>
      <c r="AO169" s="104"/>
      <c r="AP169" s="109"/>
    </row>
    <row r="170" spans="6:42" x14ac:dyDescent="0.4">
      <c r="F170" s="108"/>
      <c r="H170" s="104"/>
      <c r="AN170" s="105"/>
      <c r="AO170" s="104"/>
      <c r="AP170" s="109"/>
    </row>
    <row r="171" spans="6:42" x14ac:dyDescent="0.4">
      <c r="F171" s="108"/>
      <c r="H171" s="104"/>
      <c r="AN171" s="105"/>
      <c r="AO171" s="104"/>
      <c r="AP171" s="109"/>
    </row>
    <row r="172" spans="6:42" x14ac:dyDescent="0.4">
      <c r="F172" s="108"/>
      <c r="H172" s="104"/>
      <c r="AN172" s="105"/>
      <c r="AO172" s="104"/>
      <c r="AP172" s="109"/>
    </row>
    <row r="173" spans="6:42" x14ac:dyDescent="0.4">
      <c r="F173" s="108"/>
      <c r="H173" s="104"/>
      <c r="AN173" s="105"/>
      <c r="AO173" s="104"/>
      <c r="AP173" s="109"/>
    </row>
    <row r="174" spans="6:42" x14ac:dyDescent="0.4">
      <c r="F174" s="108"/>
      <c r="H174" s="104"/>
      <c r="AN174" s="105"/>
      <c r="AO174" s="104"/>
      <c r="AP174" s="109"/>
    </row>
    <row r="175" spans="6:42" x14ac:dyDescent="0.4">
      <c r="F175" s="108"/>
      <c r="H175" s="104"/>
      <c r="AN175" s="105"/>
      <c r="AO175" s="104"/>
      <c r="AP175" s="109"/>
    </row>
    <row r="176" spans="6:42" x14ac:dyDescent="0.4">
      <c r="F176" s="108"/>
      <c r="H176" s="104"/>
      <c r="AN176" s="105"/>
      <c r="AO176" s="104"/>
      <c r="AP176" s="109"/>
    </row>
    <row r="177" spans="6:42" x14ac:dyDescent="0.4">
      <c r="F177" s="108"/>
      <c r="H177" s="104"/>
      <c r="AN177" s="105"/>
      <c r="AO177" s="104"/>
      <c r="AP177" s="109"/>
    </row>
    <row r="178" spans="6:42" x14ac:dyDescent="0.4">
      <c r="F178" s="108"/>
      <c r="H178" s="104"/>
      <c r="AN178" s="105"/>
      <c r="AO178" s="104"/>
      <c r="AP178" s="109"/>
    </row>
    <row r="179" spans="6:42" x14ac:dyDescent="0.4">
      <c r="F179" s="108"/>
      <c r="H179" s="104"/>
      <c r="AN179" s="105"/>
      <c r="AO179" s="104"/>
      <c r="AP179" s="109"/>
    </row>
    <row r="180" spans="6:42" x14ac:dyDescent="0.4">
      <c r="F180" s="108"/>
      <c r="H180" s="104"/>
      <c r="AN180" s="105"/>
      <c r="AO180" s="104"/>
      <c r="AP180" s="109"/>
    </row>
    <row r="181" spans="6:42" x14ac:dyDescent="0.4">
      <c r="F181" s="108"/>
      <c r="H181" s="104"/>
      <c r="AN181" s="105"/>
      <c r="AO181" s="104"/>
      <c r="AP181" s="109"/>
    </row>
    <row r="182" spans="6:42" x14ac:dyDescent="0.4">
      <c r="F182" s="108"/>
      <c r="H182" s="104"/>
      <c r="AN182" s="105"/>
      <c r="AO182" s="104"/>
      <c r="AP182" s="109"/>
    </row>
    <row r="183" spans="6:42" x14ac:dyDescent="0.4">
      <c r="F183" s="108"/>
      <c r="H183" s="104"/>
      <c r="AN183" s="105"/>
      <c r="AO183" s="104"/>
      <c r="AP183" s="109"/>
    </row>
    <row r="184" spans="6:42" x14ac:dyDescent="0.4">
      <c r="F184" s="108"/>
      <c r="H184" s="104"/>
      <c r="AN184" s="105"/>
      <c r="AO184" s="104"/>
      <c r="AP184" s="109"/>
    </row>
    <row r="185" spans="6:42" x14ac:dyDescent="0.4">
      <c r="F185" s="108"/>
      <c r="H185" s="104"/>
      <c r="AN185" s="105"/>
      <c r="AO185" s="104"/>
      <c r="AP185" s="109"/>
    </row>
    <row r="186" spans="6:42" x14ac:dyDescent="0.4">
      <c r="F186" s="108"/>
      <c r="H186" s="104"/>
      <c r="AN186" s="105"/>
      <c r="AO186" s="104"/>
      <c r="AP186" s="109"/>
    </row>
    <row r="187" spans="6:42" x14ac:dyDescent="0.4">
      <c r="F187" s="108"/>
      <c r="H187" s="104"/>
      <c r="AN187" s="105"/>
      <c r="AO187" s="104"/>
      <c r="AP187" s="109"/>
    </row>
    <row r="188" spans="6:42" x14ac:dyDescent="0.4">
      <c r="F188" s="108"/>
      <c r="H188" s="104"/>
      <c r="AN188" s="105"/>
      <c r="AO188" s="104"/>
      <c r="AP188" s="109"/>
    </row>
  </sheetData>
  <mergeCells count="10">
    <mergeCell ref="AM1:AP1"/>
    <mergeCell ref="AH2:AL2"/>
    <mergeCell ref="AM2:AP2"/>
    <mergeCell ref="AH3:AL3"/>
    <mergeCell ref="AM3:AP3"/>
    <mergeCell ref="A90:H90"/>
    <mergeCell ref="A106:H106"/>
    <mergeCell ref="A107:H107"/>
    <mergeCell ref="A1:AG3"/>
    <mergeCell ref="AH1:AL1"/>
  </mergeCells>
  <phoneticPr fontId="3" type="noConversion"/>
  <conditionalFormatting sqref="C108:C1048576 C4">
    <cfRule type="duplicateValues" dxfId="43" priority="426"/>
  </conditionalFormatting>
  <conditionalFormatting sqref="H108:H1048576 H4">
    <cfRule type="duplicateValues" dxfId="42" priority="425"/>
  </conditionalFormatting>
  <conditionalFormatting sqref="C108:C1048576 C4:C5">
    <cfRule type="duplicateValues" dxfId="41" priority="424"/>
  </conditionalFormatting>
  <conditionalFormatting sqref="E108:E1048576 E4:E5">
    <cfRule type="duplicateValues" dxfId="40" priority="423"/>
  </conditionalFormatting>
  <conditionalFormatting sqref="H108:H1048576 H4:H5">
    <cfRule type="duplicateValues" dxfId="39" priority="422"/>
  </conditionalFormatting>
  <conditionalFormatting sqref="C5">
    <cfRule type="duplicateValues" dxfId="38" priority="427"/>
  </conditionalFormatting>
  <conditionalFormatting sqref="C5">
    <cfRule type="duplicateValues" dxfId="37" priority="428"/>
    <cfRule type="duplicateValues" dxfId="36" priority="429"/>
  </conditionalFormatting>
  <conditionalFormatting sqref="E5">
    <cfRule type="duplicateValues" dxfId="35" priority="430"/>
    <cfRule type="duplicateValues" dxfId="34" priority="431"/>
  </conditionalFormatting>
  <conditionalFormatting sqref="H5">
    <cfRule type="duplicateValues" dxfId="33" priority="432"/>
    <cfRule type="duplicateValues" dxfId="32" priority="433"/>
  </conditionalFormatting>
  <conditionalFormatting sqref="E108:E1048576 C4:C5 E4:E5 C108:C1048576">
    <cfRule type="duplicateValues" dxfId="31" priority="421"/>
  </conditionalFormatting>
  <conditionalFormatting sqref="C108:C1048576">
    <cfRule type="duplicateValues" dxfId="30" priority="420"/>
  </conditionalFormatting>
  <conditionalFormatting sqref="C108:C1048576 C4:C5">
    <cfRule type="duplicateValues" dxfId="29" priority="416"/>
    <cfRule type="duplicateValues" dxfId="28" priority="419"/>
  </conditionalFormatting>
  <conditionalFormatting sqref="E108:E1048576 E4:E5">
    <cfRule type="duplicateValues" dxfId="27" priority="415"/>
    <cfRule type="duplicateValues" dxfId="26" priority="418"/>
  </conditionalFormatting>
  <conditionalFormatting sqref="H108:H1048576 H4:H5">
    <cfRule type="duplicateValues" dxfId="25" priority="414"/>
    <cfRule type="duplicateValues" dxfId="24" priority="417"/>
  </conditionalFormatting>
  <conditionalFormatting sqref="E108:E1048576 E1:E5">
    <cfRule type="duplicateValues" dxfId="23" priority="413"/>
  </conditionalFormatting>
  <conditionalFormatting sqref="G108:H1048576 G1:H5">
    <cfRule type="duplicateValues" dxfId="22" priority="412"/>
  </conditionalFormatting>
  <conditionalFormatting sqref="B108:C1048576 B1:C5">
    <cfRule type="duplicateValues" dxfId="21" priority="434"/>
  </conditionalFormatting>
  <conditionalFormatting sqref="C108:C1048576 C1:C5">
    <cfRule type="duplicateValues" dxfId="20" priority="411"/>
  </conditionalFormatting>
  <conditionalFormatting sqref="B108:B1048576 B1:B5">
    <cfRule type="duplicateValues" dxfId="19" priority="410"/>
  </conditionalFormatting>
  <conditionalFormatting sqref="C6:C89">
    <cfRule type="duplicateValues" dxfId="18" priority="3"/>
    <cfRule type="duplicateValues" dxfId="17" priority="5"/>
  </conditionalFormatting>
  <conditionalFormatting sqref="H6:H89">
    <cfRule type="duplicateValues" dxfId="16" priority="1"/>
    <cfRule type="duplicateValues" dxfId="15" priority="4"/>
  </conditionalFormatting>
  <conditionalFormatting sqref="E6:E89">
    <cfRule type="duplicateValues" dxfId="14" priority="2"/>
  </conditionalFormatting>
  <conditionalFormatting sqref="B44:B89">
    <cfRule type="duplicateValues" dxfId="13" priority="6"/>
  </conditionalFormatting>
  <dataValidations count="1">
    <dataValidation allowBlank="1" showInputMessage="1" showErrorMessage="1" promptTitle="입력양식" prompt="S-pmis 연명부 직종과 동일하게 입력" sqref="D33 D10 D22:D23 D15:D16 D28 D13 D37 D20 D39:D45 D72:D89 D47:D51 D54:D69" xr:uid="{00000000-0002-0000-06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21" orientation="landscape" r:id="rId1"/>
  <ignoredErrors>
    <ignoredError sqref="AO90 AP9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3"/>
  <sheetViews>
    <sheetView view="pageBreakPreview" zoomScale="115" zoomScaleNormal="100" zoomScaleSheetLayoutView="115" workbookViewId="0">
      <selection activeCell="J20" sqref="J20"/>
    </sheetView>
  </sheetViews>
  <sheetFormatPr defaultRowHeight="17.399999999999999" x14ac:dyDescent="0.4"/>
  <cols>
    <col min="1" max="1" width="9" style="87"/>
    <col min="2" max="3" width="12.59765625" style="87" customWidth="1"/>
    <col min="4" max="4" width="15.69921875" style="87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 x14ac:dyDescent="0.4">
      <c r="A1" s="379" t="s">
        <v>241</v>
      </c>
      <c r="B1" s="380"/>
      <c r="C1" s="380"/>
      <c r="D1" s="380"/>
      <c r="E1" s="380"/>
      <c r="F1" s="380"/>
      <c r="G1" s="380"/>
      <c r="H1" s="380"/>
      <c r="I1" s="380"/>
      <c r="J1" s="381"/>
    </row>
    <row r="2" spans="1:12" ht="20.100000000000001" customHeight="1" x14ac:dyDescent="0.4">
      <c r="A2" s="382" t="s">
        <v>242</v>
      </c>
      <c r="B2" s="382" t="s">
        <v>243</v>
      </c>
      <c r="C2" s="382" t="s">
        <v>244</v>
      </c>
      <c r="D2" s="382" t="s">
        <v>245</v>
      </c>
      <c r="E2" s="382" t="s">
        <v>246</v>
      </c>
      <c r="F2" s="382" t="s">
        <v>247</v>
      </c>
      <c r="G2" s="382" t="s">
        <v>248</v>
      </c>
      <c r="H2" s="382" t="s">
        <v>249</v>
      </c>
      <c r="I2" s="177" t="s">
        <v>250</v>
      </c>
      <c r="J2" s="382" t="s">
        <v>251</v>
      </c>
    </row>
    <row r="3" spans="1:12" ht="20.100000000000001" customHeight="1" x14ac:dyDescent="0.4">
      <c r="A3" s="383"/>
      <c r="B3" s="383"/>
      <c r="C3" s="383"/>
      <c r="D3" s="383"/>
      <c r="E3" s="383"/>
      <c r="F3" s="383"/>
      <c r="G3" s="383"/>
      <c r="H3" s="383"/>
      <c r="I3" s="129">
        <f>SUM(I4:I11)</f>
        <v>8840323</v>
      </c>
      <c r="J3" s="383"/>
      <c r="L3" s="111" t="s">
        <v>252</v>
      </c>
    </row>
    <row r="4" spans="1:12" ht="20.100000000000001" customHeight="1" x14ac:dyDescent="0.4">
      <c r="A4" s="112">
        <v>1</v>
      </c>
      <c r="B4" s="128">
        <v>46234</v>
      </c>
      <c r="C4" s="112" t="s">
        <v>253</v>
      </c>
      <c r="D4" s="112" t="s">
        <v>788</v>
      </c>
      <c r="E4" s="247" t="s">
        <v>791</v>
      </c>
      <c r="F4" s="130" t="s">
        <v>313</v>
      </c>
      <c r="G4" s="112">
        <v>1</v>
      </c>
      <c r="H4" s="112">
        <v>4</v>
      </c>
      <c r="I4" s="44">
        <v>900000</v>
      </c>
      <c r="J4" s="112" t="s">
        <v>254</v>
      </c>
      <c r="L4" s="114" t="s">
        <v>255</v>
      </c>
    </row>
    <row r="5" spans="1:12" ht="20.100000000000001" customHeight="1" x14ac:dyDescent="0.4">
      <c r="A5" s="112">
        <v>2</v>
      </c>
      <c r="B5" s="128">
        <v>46234</v>
      </c>
      <c r="C5" s="112" t="s">
        <v>253</v>
      </c>
      <c r="D5" s="112" t="s">
        <v>788</v>
      </c>
      <c r="E5" s="247" t="s">
        <v>792</v>
      </c>
      <c r="F5" s="130" t="s">
        <v>793</v>
      </c>
      <c r="G5" s="112">
        <v>1</v>
      </c>
      <c r="H5" s="112">
        <v>5</v>
      </c>
      <c r="I5" s="44">
        <v>1290323</v>
      </c>
      <c r="J5" s="112" t="s">
        <v>254</v>
      </c>
      <c r="L5" s="114" t="s">
        <v>256</v>
      </c>
    </row>
    <row r="6" spans="1:12" ht="20.100000000000001" customHeight="1" x14ac:dyDescent="0.4">
      <c r="A6" s="112">
        <v>3</v>
      </c>
      <c r="B6" s="295">
        <v>46229</v>
      </c>
      <c r="C6" s="112" t="s">
        <v>253</v>
      </c>
      <c r="D6" s="112" t="s">
        <v>788</v>
      </c>
      <c r="E6" s="247" t="s">
        <v>427</v>
      </c>
      <c r="F6" s="130" t="s">
        <v>333</v>
      </c>
      <c r="G6" s="112">
        <v>1</v>
      </c>
      <c r="H6" s="112">
        <v>0</v>
      </c>
      <c r="I6" s="44">
        <v>1425806</v>
      </c>
      <c r="J6" s="112" t="s">
        <v>254</v>
      </c>
      <c r="L6" s="114" t="s">
        <v>257</v>
      </c>
    </row>
    <row r="7" spans="1:12" ht="20.100000000000001" customHeight="1" x14ac:dyDescent="0.4">
      <c r="A7" s="112">
        <v>4</v>
      </c>
      <c r="B7" s="295">
        <v>46234</v>
      </c>
      <c r="C7" s="112" t="s">
        <v>253</v>
      </c>
      <c r="D7" s="112" t="s">
        <v>788</v>
      </c>
      <c r="E7" s="247" t="s">
        <v>312</v>
      </c>
      <c r="F7" s="130" t="s">
        <v>333</v>
      </c>
      <c r="G7" s="112">
        <v>1</v>
      </c>
      <c r="H7" s="112">
        <v>0</v>
      </c>
      <c r="I7" s="44">
        <v>900000</v>
      </c>
      <c r="J7" s="112" t="s">
        <v>254</v>
      </c>
      <c r="L7" s="114" t="s">
        <v>258</v>
      </c>
    </row>
    <row r="8" spans="1:12" ht="20.100000000000001" customHeight="1" x14ac:dyDescent="0.4">
      <c r="A8" s="112">
        <v>5</v>
      </c>
      <c r="B8" s="295">
        <v>46234</v>
      </c>
      <c r="C8" s="112" t="s">
        <v>253</v>
      </c>
      <c r="D8" s="112" t="s">
        <v>788</v>
      </c>
      <c r="E8" s="247" t="s">
        <v>321</v>
      </c>
      <c r="F8" s="130" t="s">
        <v>322</v>
      </c>
      <c r="G8" s="112">
        <v>1</v>
      </c>
      <c r="H8" s="112">
        <v>0</v>
      </c>
      <c r="I8" s="44">
        <v>900000</v>
      </c>
      <c r="J8" s="112" t="s">
        <v>254</v>
      </c>
      <c r="L8" s="115" t="s">
        <v>259</v>
      </c>
    </row>
    <row r="9" spans="1:12" ht="20.100000000000001" customHeight="1" x14ac:dyDescent="0.4">
      <c r="A9" s="112">
        <v>6</v>
      </c>
      <c r="B9" s="128">
        <v>46234</v>
      </c>
      <c r="C9" s="112" t="s">
        <v>253</v>
      </c>
      <c r="D9" s="112" t="s">
        <v>788</v>
      </c>
      <c r="E9" s="247" t="s">
        <v>795</v>
      </c>
      <c r="F9" s="130" t="s">
        <v>335</v>
      </c>
      <c r="G9" s="112">
        <v>1</v>
      </c>
      <c r="H9" s="112">
        <v>2</v>
      </c>
      <c r="I9" s="44">
        <v>550000</v>
      </c>
      <c r="J9" s="112" t="s">
        <v>254</v>
      </c>
      <c r="L9" s="115" t="s">
        <v>260</v>
      </c>
    </row>
    <row r="10" spans="1:12" x14ac:dyDescent="0.4">
      <c r="A10" s="112">
        <v>7</v>
      </c>
      <c r="B10" s="128">
        <v>46234</v>
      </c>
      <c r="C10" s="112" t="s">
        <v>253</v>
      </c>
      <c r="D10" s="112" t="s">
        <v>788</v>
      </c>
      <c r="E10" s="247" t="s">
        <v>794</v>
      </c>
      <c r="F10" s="130" t="s">
        <v>796</v>
      </c>
      <c r="G10" s="112">
        <v>1</v>
      </c>
      <c r="H10" s="112">
        <v>5</v>
      </c>
      <c r="I10" s="44">
        <v>1174194</v>
      </c>
      <c r="J10" s="112" t="s">
        <v>254</v>
      </c>
      <c r="L10" s="115" t="s">
        <v>261</v>
      </c>
    </row>
    <row r="11" spans="1:12" x14ac:dyDescent="0.4">
      <c r="A11" s="112">
        <v>8</v>
      </c>
      <c r="B11" s="128">
        <v>46234</v>
      </c>
      <c r="C11" s="112" t="s">
        <v>253</v>
      </c>
      <c r="D11" s="112" t="s">
        <v>788</v>
      </c>
      <c r="E11" s="247" t="s">
        <v>428</v>
      </c>
      <c r="F11" s="130" t="s">
        <v>322</v>
      </c>
      <c r="G11" s="112">
        <v>1</v>
      </c>
      <c r="H11" s="112">
        <v>5</v>
      </c>
      <c r="I11" s="44">
        <v>1700000</v>
      </c>
      <c r="J11" s="112" t="s">
        <v>254</v>
      </c>
      <c r="L11" s="115"/>
    </row>
    <row r="12" spans="1:12" x14ac:dyDescent="0.4">
      <c r="A12" s="112">
        <v>9</v>
      </c>
      <c r="B12" s="128">
        <v>46234</v>
      </c>
      <c r="C12" s="183" t="s">
        <v>318</v>
      </c>
      <c r="D12" s="183" t="s">
        <v>789</v>
      </c>
      <c r="E12" s="247" t="s">
        <v>372</v>
      </c>
      <c r="F12" s="244" t="s">
        <v>373</v>
      </c>
      <c r="G12" s="183">
        <v>1</v>
      </c>
      <c r="H12" s="183"/>
      <c r="I12" s="245">
        <v>2000000</v>
      </c>
      <c r="J12" s="183"/>
      <c r="L12" s="111" t="s">
        <v>262</v>
      </c>
    </row>
    <row r="13" spans="1:12" x14ac:dyDescent="0.4">
      <c r="A13" s="112">
        <v>10</v>
      </c>
      <c r="B13" s="128">
        <v>46234</v>
      </c>
      <c r="C13" s="249" t="s">
        <v>318</v>
      </c>
      <c r="D13" s="249" t="s">
        <v>790</v>
      </c>
      <c r="E13" s="248" t="s">
        <v>319</v>
      </c>
      <c r="F13" s="243" t="s">
        <v>320</v>
      </c>
      <c r="G13" s="249">
        <v>1</v>
      </c>
      <c r="H13" s="249"/>
      <c r="I13" s="250">
        <v>600000</v>
      </c>
      <c r="J13" s="249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2">
    <cfRule type="duplicateValues" priority="16"/>
  </conditionalFormatting>
  <conditionalFormatting sqref="E13">
    <cfRule type="duplicateValues" dxfId="12" priority="15"/>
  </conditionalFormatting>
  <conditionalFormatting sqref="E13">
    <cfRule type="duplicateValues" dxfId="11" priority="14"/>
  </conditionalFormatting>
  <conditionalFormatting sqref="E12">
    <cfRule type="duplicateValues" dxfId="10" priority="13"/>
  </conditionalFormatting>
  <conditionalFormatting sqref="E13">
    <cfRule type="duplicateValues" dxfId="9" priority="12"/>
  </conditionalFormatting>
  <conditionalFormatting sqref="E12">
    <cfRule type="duplicateValues" dxfId="8" priority="11"/>
  </conditionalFormatting>
  <conditionalFormatting sqref="E12">
    <cfRule type="duplicateValues" dxfId="7" priority="10"/>
  </conditionalFormatting>
  <conditionalFormatting sqref="E12">
    <cfRule type="duplicateValues" dxfId="6" priority="9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9"/>
  <sheetViews>
    <sheetView view="pageBreakPreview" zoomScaleNormal="100" zoomScaleSheetLayoutView="100" workbookViewId="0">
      <selection activeCell="K9" sqref="K9:K13"/>
    </sheetView>
  </sheetViews>
  <sheetFormatPr defaultRowHeight="17.399999999999999" x14ac:dyDescent="0.4"/>
  <cols>
    <col min="1" max="1" width="9" style="87"/>
    <col min="2" max="2" width="12.59765625" style="87" customWidth="1"/>
    <col min="3" max="3" width="15.5" style="87" customWidth="1"/>
    <col min="4" max="4" width="20.59765625" style="87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</cols>
  <sheetData>
    <row r="1" spans="1:10" ht="35.1" customHeight="1" x14ac:dyDescent="0.4">
      <c r="A1" s="379" t="s">
        <v>263</v>
      </c>
      <c r="B1" s="380"/>
      <c r="C1" s="380"/>
      <c r="D1" s="380"/>
      <c r="E1" s="380"/>
      <c r="F1" s="380"/>
      <c r="G1" s="380"/>
      <c r="H1" s="380"/>
      <c r="I1" s="380"/>
      <c r="J1" s="381"/>
    </row>
    <row r="2" spans="1:10" ht="20.100000000000001" customHeight="1" x14ac:dyDescent="0.4">
      <c r="A2" s="382" t="s">
        <v>264</v>
      </c>
      <c r="B2" s="382" t="s">
        <v>243</v>
      </c>
      <c r="C2" s="382" t="s">
        <v>265</v>
      </c>
      <c r="D2" s="382" t="s">
        <v>245</v>
      </c>
      <c r="E2" s="382" t="s">
        <v>266</v>
      </c>
      <c r="F2" s="382" t="s">
        <v>247</v>
      </c>
      <c r="G2" s="382" t="s">
        <v>267</v>
      </c>
      <c r="H2" s="382" t="s">
        <v>268</v>
      </c>
      <c r="I2" s="177" t="s">
        <v>269</v>
      </c>
      <c r="J2" s="382" t="s">
        <v>270</v>
      </c>
    </row>
    <row r="3" spans="1:10" ht="20.100000000000001" customHeight="1" x14ac:dyDescent="0.4">
      <c r="A3" s="382"/>
      <c r="B3" s="382"/>
      <c r="C3" s="382"/>
      <c r="D3" s="382"/>
      <c r="E3" s="382"/>
      <c r="F3" s="382"/>
      <c r="G3" s="382"/>
      <c r="H3" s="382"/>
      <c r="I3" s="110">
        <f>SUM(I4:I15)</f>
        <v>2626860</v>
      </c>
      <c r="J3" s="382"/>
    </row>
    <row r="4" spans="1:10" s="135" customFormat="1" ht="20.100000000000001" customHeight="1" x14ac:dyDescent="0.4">
      <c r="A4" s="230">
        <v>1</v>
      </c>
      <c r="B4" s="231">
        <v>46234</v>
      </c>
      <c r="C4" s="231" t="s">
        <v>330</v>
      </c>
      <c r="D4" s="132" t="s">
        <v>797</v>
      </c>
      <c r="E4" s="247" t="s">
        <v>331</v>
      </c>
      <c r="F4" s="133" t="s">
        <v>313</v>
      </c>
      <c r="G4" s="133">
        <v>1</v>
      </c>
      <c r="H4" s="127">
        <v>4</v>
      </c>
      <c r="I4" s="134">
        <v>20210</v>
      </c>
      <c r="J4" s="127" t="s">
        <v>332</v>
      </c>
    </row>
    <row r="5" spans="1:10" s="135" customFormat="1" ht="20.100000000000001" customHeight="1" x14ac:dyDescent="0.4">
      <c r="A5" s="230">
        <v>2</v>
      </c>
      <c r="B5" s="231">
        <v>46234</v>
      </c>
      <c r="C5" s="231" t="s">
        <v>330</v>
      </c>
      <c r="D5" s="132" t="s">
        <v>797</v>
      </c>
      <c r="E5" s="247" t="s">
        <v>312</v>
      </c>
      <c r="F5" s="136" t="s">
        <v>333</v>
      </c>
      <c r="G5" s="133">
        <v>1</v>
      </c>
      <c r="H5" s="127">
        <v>0</v>
      </c>
      <c r="I5" s="134">
        <v>66890</v>
      </c>
      <c r="J5" s="127" t="s">
        <v>332</v>
      </c>
    </row>
    <row r="6" spans="1:10" s="135" customFormat="1" ht="20.100000000000001" customHeight="1" x14ac:dyDescent="0.4">
      <c r="A6" s="230">
        <v>3</v>
      </c>
      <c r="B6" s="231">
        <v>46234</v>
      </c>
      <c r="C6" s="231" t="s">
        <v>330</v>
      </c>
      <c r="D6" s="132" t="s">
        <v>797</v>
      </c>
      <c r="E6" s="247" t="s">
        <v>321</v>
      </c>
      <c r="F6" s="136" t="s">
        <v>322</v>
      </c>
      <c r="G6" s="133">
        <v>1</v>
      </c>
      <c r="H6" s="127">
        <v>0</v>
      </c>
      <c r="I6" s="134">
        <v>32310</v>
      </c>
      <c r="J6" s="127" t="s">
        <v>332</v>
      </c>
    </row>
    <row r="7" spans="1:10" s="135" customFormat="1" ht="20.100000000000001" customHeight="1" x14ac:dyDescent="0.4">
      <c r="A7" s="230">
        <v>4</v>
      </c>
      <c r="B7" s="231">
        <v>46234</v>
      </c>
      <c r="C7" s="231" t="s">
        <v>330</v>
      </c>
      <c r="D7" s="132" t="s">
        <v>797</v>
      </c>
      <c r="E7" s="247" t="s">
        <v>428</v>
      </c>
      <c r="F7" s="136" t="s">
        <v>322</v>
      </c>
      <c r="G7" s="133">
        <v>1</v>
      </c>
      <c r="H7" s="127">
        <v>5</v>
      </c>
      <c r="I7" s="134">
        <v>25390</v>
      </c>
      <c r="J7" s="127" t="s">
        <v>332</v>
      </c>
    </row>
    <row r="8" spans="1:10" s="135" customFormat="1" ht="20.100000000000001" customHeight="1" x14ac:dyDescent="0.4">
      <c r="A8" s="230">
        <v>5</v>
      </c>
      <c r="B8" s="231">
        <v>46234</v>
      </c>
      <c r="C8" s="231" t="s">
        <v>330</v>
      </c>
      <c r="D8" s="132" t="s">
        <v>798</v>
      </c>
      <c r="E8" s="247" t="s">
        <v>334</v>
      </c>
      <c r="F8" s="133" t="s">
        <v>335</v>
      </c>
      <c r="G8" s="133">
        <v>1</v>
      </c>
      <c r="H8" s="127">
        <v>2</v>
      </c>
      <c r="I8" s="134">
        <v>168870</v>
      </c>
      <c r="J8" s="127" t="s">
        <v>332</v>
      </c>
    </row>
    <row r="9" spans="1:10" s="135" customFormat="1" ht="20.100000000000001" customHeight="1" x14ac:dyDescent="0.4">
      <c r="A9" s="230">
        <v>6</v>
      </c>
      <c r="B9" s="231">
        <v>46234</v>
      </c>
      <c r="C9" s="231" t="s">
        <v>330</v>
      </c>
      <c r="D9" s="132" t="s">
        <v>799</v>
      </c>
      <c r="E9" s="247" t="s">
        <v>331</v>
      </c>
      <c r="F9" s="133" t="s">
        <v>313</v>
      </c>
      <c r="G9" s="133">
        <v>1</v>
      </c>
      <c r="H9" s="127">
        <v>4</v>
      </c>
      <c r="I9" s="134">
        <v>58220</v>
      </c>
      <c r="J9" s="127" t="s">
        <v>332</v>
      </c>
    </row>
    <row r="10" spans="1:10" s="135" customFormat="1" ht="20.100000000000001" customHeight="1" x14ac:dyDescent="0.4">
      <c r="A10" s="230">
        <v>7</v>
      </c>
      <c r="B10" s="231">
        <v>46234</v>
      </c>
      <c r="C10" s="231" t="s">
        <v>330</v>
      </c>
      <c r="D10" s="132" t="s">
        <v>799</v>
      </c>
      <c r="E10" s="247" t="s">
        <v>312</v>
      </c>
      <c r="F10" s="136" t="s">
        <v>333</v>
      </c>
      <c r="G10" s="133">
        <v>1</v>
      </c>
      <c r="H10" s="127">
        <v>0</v>
      </c>
      <c r="I10" s="134">
        <v>108340</v>
      </c>
      <c r="J10" s="127" t="s">
        <v>332</v>
      </c>
    </row>
    <row r="11" spans="1:10" s="135" customFormat="1" ht="20.100000000000001" customHeight="1" x14ac:dyDescent="0.4">
      <c r="A11" s="230">
        <v>8</v>
      </c>
      <c r="B11" s="231">
        <v>46234</v>
      </c>
      <c r="C11" s="231" t="s">
        <v>330</v>
      </c>
      <c r="D11" s="132" t="s">
        <v>799</v>
      </c>
      <c r="E11" s="247" t="s">
        <v>321</v>
      </c>
      <c r="F11" s="136" t="s">
        <v>322</v>
      </c>
      <c r="G11" s="133">
        <v>1</v>
      </c>
      <c r="H11" s="127">
        <v>0</v>
      </c>
      <c r="I11" s="134">
        <v>42710</v>
      </c>
      <c r="J11" s="127" t="s">
        <v>332</v>
      </c>
    </row>
    <row r="12" spans="1:10" s="135" customFormat="1" ht="20.100000000000001" customHeight="1" x14ac:dyDescent="0.4">
      <c r="A12" s="230">
        <v>9</v>
      </c>
      <c r="B12" s="231">
        <v>46234</v>
      </c>
      <c r="C12" s="231" t="s">
        <v>330</v>
      </c>
      <c r="D12" s="132" t="s">
        <v>799</v>
      </c>
      <c r="E12" s="247" t="s">
        <v>428</v>
      </c>
      <c r="F12" s="136" t="s">
        <v>322</v>
      </c>
      <c r="G12" s="133">
        <v>1</v>
      </c>
      <c r="H12" s="127">
        <v>5</v>
      </c>
      <c r="I12" s="134">
        <v>53370</v>
      </c>
      <c r="J12" s="127" t="s">
        <v>332</v>
      </c>
    </row>
    <row r="13" spans="1:10" s="135" customFormat="1" ht="20.100000000000001" customHeight="1" x14ac:dyDescent="0.4">
      <c r="A13" s="230">
        <v>10</v>
      </c>
      <c r="B13" s="231">
        <v>46229</v>
      </c>
      <c r="C13" s="231" t="s">
        <v>431</v>
      </c>
      <c r="D13" s="132" t="s">
        <v>430</v>
      </c>
      <c r="E13" s="247" t="s">
        <v>427</v>
      </c>
      <c r="F13" s="136" t="s">
        <v>333</v>
      </c>
      <c r="G13" s="133">
        <v>1</v>
      </c>
      <c r="H13" s="127">
        <v>0</v>
      </c>
      <c r="I13" s="134">
        <v>639580</v>
      </c>
      <c r="J13" s="127" t="s">
        <v>332</v>
      </c>
    </row>
    <row r="14" spans="1:10" s="135" customFormat="1" ht="20.100000000000001" customHeight="1" x14ac:dyDescent="0.4">
      <c r="A14" s="230">
        <v>11</v>
      </c>
      <c r="B14" s="231">
        <v>46234</v>
      </c>
      <c r="C14" s="231" t="s">
        <v>431</v>
      </c>
      <c r="D14" s="132" t="s">
        <v>430</v>
      </c>
      <c r="E14" s="247" t="s">
        <v>312</v>
      </c>
      <c r="F14" s="136" t="s">
        <v>333</v>
      </c>
      <c r="G14" s="133">
        <v>1</v>
      </c>
      <c r="H14" s="127">
        <v>0</v>
      </c>
      <c r="I14" s="134">
        <v>849990</v>
      </c>
      <c r="J14" s="127" t="s">
        <v>332</v>
      </c>
    </row>
    <row r="15" spans="1:10" s="135" customFormat="1" ht="20.100000000000001" customHeight="1" x14ac:dyDescent="0.4">
      <c r="A15" s="230">
        <v>12</v>
      </c>
      <c r="B15" s="231">
        <v>46234</v>
      </c>
      <c r="C15" s="231" t="s">
        <v>431</v>
      </c>
      <c r="D15" s="132" t="s">
        <v>430</v>
      </c>
      <c r="E15" s="247" t="s">
        <v>805</v>
      </c>
      <c r="F15" s="136" t="s">
        <v>322</v>
      </c>
      <c r="G15" s="133">
        <v>1</v>
      </c>
      <c r="H15" s="127">
        <v>0</v>
      </c>
      <c r="I15" s="134">
        <v>560980</v>
      </c>
      <c r="J15" s="127" t="s">
        <v>332</v>
      </c>
    </row>
    <row r="16" spans="1:10" s="135" customFormat="1" ht="20.100000000000001" customHeight="1" x14ac:dyDescent="0.4">
      <c r="A16" s="230">
        <v>15</v>
      </c>
      <c r="B16" s="231">
        <v>46234</v>
      </c>
      <c r="C16" s="131" t="s">
        <v>323</v>
      </c>
      <c r="D16" s="132" t="s">
        <v>800</v>
      </c>
      <c r="E16" s="247" t="s">
        <v>319</v>
      </c>
      <c r="F16" s="133" t="s">
        <v>324</v>
      </c>
      <c r="G16" s="133">
        <v>1</v>
      </c>
      <c r="H16" s="127"/>
      <c r="I16" s="134">
        <v>236470</v>
      </c>
      <c r="J16" s="127"/>
    </row>
    <row r="17" spans="1:10" s="135" customFormat="1" ht="20.100000000000001" customHeight="1" x14ac:dyDescent="0.4">
      <c r="A17" s="230">
        <v>16</v>
      </c>
      <c r="B17" s="231">
        <v>46234</v>
      </c>
      <c r="C17" s="131" t="s">
        <v>323</v>
      </c>
      <c r="D17" s="132" t="s">
        <v>801</v>
      </c>
      <c r="E17" s="247" t="s">
        <v>319</v>
      </c>
      <c r="F17" s="133" t="s">
        <v>325</v>
      </c>
      <c r="G17" s="133">
        <v>1</v>
      </c>
      <c r="H17" s="127"/>
      <c r="I17" s="134">
        <v>164920</v>
      </c>
      <c r="J17" s="127"/>
    </row>
    <row r="18" spans="1:10" s="135" customFormat="1" ht="20.100000000000001" customHeight="1" x14ac:dyDescent="0.4">
      <c r="A18" s="87"/>
      <c r="B18" s="87"/>
      <c r="C18" s="87"/>
      <c r="D18" s="87"/>
      <c r="E18" s="87"/>
      <c r="F18" s="87"/>
      <c r="G18" s="87"/>
      <c r="H18" s="87"/>
      <c r="I18" s="87"/>
      <c r="J18" s="87"/>
    </row>
    <row r="19" spans="1:10" s="135" customFormat="1" ht="20.100000000000001" customHeight="1" x14ac:dyDescent="0.4">
      <c r="A19" s="87"/>
      <c r="B19" s="87"/>
      <c r="C19" s="87"/>
      <c r="D19" s="87"/>
      <c r="E19" s="87"/>
      <c r="F19" s="87"/>
      <c r="G19" s="87"/>
      <c r="H19" s="87"/>
      <c r="I19" s="87"/>
      <c r="J19" s="87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6">
    <cfRule type="duplicateValues" dxfId="5" priority="6"/>
  </conditionalFormatting>
  <conditionalFormatting sqref="E17">
    <cfRule type="duplicateValues" dxfId="4" priority="5"/>
  </conditionalFormatting>
  <conditionalFormatting sqref="E17">
    <cfRule type="duplicateValues" dxfId="3" priority="4"/>
  </conditionalFormatting>
  <conditionalFormatting sqref="E17">
    <cfRule type="duplicateValues" dxfId="2" priority="3"/>
  </conditionalFormatting>
  <conditionalFormatting sqref="E16">
    <cfRule type="duplicateValues" dxfId="1" priority="2"/>
  </conditionalFormatting>
  <conditionalFormatting sqref="E17">
    <cfRule type="duplicateValues" dxfId="0" priority="1"/>
  </conditionalFormatting>
  <pageMargins left="0.7" right="0.7" top="0.75" bottom="0.75" header="0.3" footer="0.3"/>
  <pageSetup paperSize="9" scale="73" fitToHeight="0" orientation="landscape" r:id="rId1"/>
  <ignoredErrors>
    <ignoredError sqref="I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3"/>
  <sheetViews>
    <sheetView view="pageBreakPreview" zoomScale="85" zoomScaleNormal="100" zoomScaleSheetLayoutView="85" workbookViewId="0">
      <selection activeCell="J21" sqref="J21"/>
    </sheetView>
  </sheetViews>
  <sheetFormatPr defaultRowHeight="17.399999999999999" x14ac:dyDescent="0.4"/>
  <cols>
    <col min="1" max="1" width="9" style="87"/>
    <col min="2" max="3" width="12.59765625" style="87" customWidth="1"/>
    <col min="4" max="4" width="22.8984375" style="87" bestFit="1" customWidth="1"/>
    <col min="5" max="5" width="31.3984375" style="87" bestFit="1" customWidth="1"/>
    <col min="6" max="6" width="10.59765625" style="87" customWidth="1"/>
    <col min="7" max="7" width="8.09765625" style="87" customWidth="1"/>
    <col min="8" max="8" width="10.5" style="87" bestFit="1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 x14ac:dyDescent="0.4">
      <c r="A1" s="379" t="s">
        <v>271</v>
      </c>
      <c r="B1" s="380"/>
      <c r="C1" s="380"/>
      <c r="D1" s="380"/>
      <c r="E1" s="380"/>
      <c r="F1" s="380"/>
      <c r="G1" s="380"/>
      <c r="H1" s="380"/>
      <c r="I1" s="380"/>
      <c r="J1" s="381"/>
    </row>
    <row r="2" spans="1:12" ht="24.9" customHeight="1" x14ac:dyDescent="0.4">
      <c r="A2" s="382" t="s">
        <v>272</v>
      </c>
      <c r="B2" s="382" t="s">
        <v>273</v>
      </c>
      <c r="C2" s="382" t="s">
        <v>109</v>
      </c>
      <c r="D2" s="382" t="s">
        <v>274</v>
      </c>
      <c r="E2" s="382" t="s">
        <v>275</v>
      </c>
      <c r="F2" s="382" t="s">
        <v>276</v>
      </c>
      <c r="G2" s="382" t="s">
        <v>277</v>
      </c>
      <c r="H2" s="382" t="s">
        <v>278</v>
      </c>
      <c r="I2" s="177" t="s">
        <v>279</v>
      </c>
      <c r="J2" s="382" t="s">
        <v>251</v>
      </c>
    </row>
    <row r="3" spans="1:12" ht="24.9" customHeight="1" x14ac:dyDescent="0.4">
      <c r="A3" s="382"/>
      <c r="B3" s="382"/>
      <c r="C3" s="382"/>
      <c r="D3" s="382"/>
      <c r="E3" s="382"/>
      <c r="F3" s="382"/>
      <c r="G3" s="382"/>
      <c r="H3" s="382"/>
      <c r="I3" s="110">
        <f>SUM(I4:I9)</f>
        <v>34288000</v>
      </c>
      <c r="J3" s="382"/>
      <c r="L3" s="111" t="s">
        <v>280</v>
      </c>
    </row>
    <row r="4" spans="1:12" ht="24.9" customHeight="1" x14ac:dyDescent="0.4">
      <c r="A4" s="112">
        <v>1</v>
      </c>
      <c r="B4" s="128">
        <v>46234</v>
      </c>
      <c r="C4" s="112" t="s">
        <v>327</v>
      </c>
      <c r="D4" s="112" t="s">
        <v>328</v>
      </c>
      <c r="E4" s="112" t="s">
        <v>329</v>
      </c>
      <c r="F4" s="112">
        <v>1</v>
      </c>
      <c r="G4" s="112">
        <v>84</v>
      </c>
      <c r="H4" s="113">
        <v>34288000</v>
      </c>
      <c r="I4" s="113">
        <f>H4</f>
        <v>34288000</v>
      </c>
      <c r="J4" s="112"/>
      <c r="L4" s="114" t="s">
        <v>281</v>
      </c>
    </row>
    <row r="5" spans="1:12" ht="24.9" customHeight="1" x14ac:dyDescent="0.4">
      <c r="A5" s="112"/>
      <c r="B5" s="128"/>
      <c r="C5" s="112"/>
      <c r="D5" s="112"/>
      <c r="E5" s="112"/>
      <c r="F5" s="112"/>
      <c r="G5" s="112"/>
      <c r="H5" s="113"/>
      <c r="I5" s="113"/>
      <c r="J5" s="112"/>
      <c r="L5" s="114" t="s">
        <v>282</v>
      </c>
    </row>
    <row r="6" spans="1:12" ht="24.9" customHeight="1" x14ac:dyDescent="0.4">
      <c r="A6" s="112"/>
      <c r="B6" s="112"/>
      <c r="C6" s="112"/>
      <c r="D6" s="112"/>
      <c r="E6" s="112"/>
      <c r="F6" s="112"/>
      <c r="G6" s="112"/>
      <c r="H6" s="113"/>
      <c r="I6" s="113"/>
      <c r="J6" s="112"/>
      <c r="L6" s="114" t="s">
        <v>283</v>
      </c>
    </row>
    <row r="7" spans="1:12" ht="24.9" customHeight="1" x14ac:dyDescent="0.4">
      <c r="A7" s="112"/>
      <c r="B7" s="112"/>
      <c r="C7" s="112"/>
      <c r="D7" s="112"/>
      <c r="E7" s="112"/>
      <c r="F7" s="112"/>
      <c r="G7" s="112"/>
      <c r="H7" s="113"/>
      <c r="I7" s="113"/>
      <c r="J7" s="112"/>
      <c r="L7" s="114" t="s">
        <v>284</v>
      </c>
    </row>
    <row r="8" spans="1:12" ht="24.9" customHeight="1" x14ac:dyDescent="0.4">
      <c r="A8" s="112"/>
      <c r="B8" s="112"/>
      <c r="C8" s="112"/>
      <c r="D8" s="112"/>
      <c r="E8" s="112"/>
      <c r="F8" s="112"/>
      <c r="G8" s="112"/>
      <c r="H8" s="112"/>
      <c r="I8" s="113"/>
      <c r="J8" s="112"/>
      <c r="L8" s="115" t="s">
        <v>285</v>
      </c>
    </row>
    <row r="9" spans="1:12" ht="24.9" customHeight="1" x14ac:dyDescent="0.4">
      <c r="A9" s="112"/>
      <c r="B9" s="112"/>
      <c r="C9" s="112"/>
      <c r="D9" s="112"/>
      <c r="E9" s="112"/>
      <c r="F9" s="112"/>
      <c r="G9" s="112"/>
      <c r="H9" s="112"/>
      <c r="I9" s="113"/>
      <c r="J9" s="112"/>
      <c r="L9" s="115" t="s">
        <v>286</v>
      </c>
    </row>
    <row r="10" spans="1:12" x14ac:dyDescent="0.4">
      <c r="L10" s="115" t="s">
        <v>287</v>
      </c>
    </row>
    <row r="11" spans="1:12" x14ac:dyDescent="0.4">
      <c r="L11" s="115" t="s">
        <v>288</v>
      </c>
    </row>
    <row r="12" spans="1:12" x14ac:dyDescent="0.4">
      <c r="L12" s="111"/>
    </row>
    <row r="13" spans="1:12" x14ac:dyDescent="0.4">
      <c r="L13" s="87" t="s">
        <v>326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view="pageBreakPreview" zoomScale="85" zoomScaleNormal="100" zoomScaleSheetLayoutView="85" workbookViewId="0">
      <selection activeCell="G22" sqref="G22"/>
    </sheetView>
  </sheetViews>
  <sheetFormatPr defaultRowHeight="17.399999999999999" x14ac:dyDescent="0.4"/>
  <cols>
    <col min="1" max="2" width="15.59765625" customWidth="1"/>
    <col min="3" max="5" width="20.59765625" customWidth="1"/>
    <col min="6" max="6" width="15.59765625" customWidth="1"/>
    <col min="7" max="9" width="20.59765625" customWidth="1"/>
  </cols>
  <sheetData>
    <row r="1" spans="1:12" ht="35.1" customHeight="1" x14ac:dyDescent="0.4">
      <c r="A1" s="384" t="s">
        <v>290</v>
      </c>
      <c r="B1" s="384"/>
      <c r="C1" s="384"/>
      <c r="D1" s="384"/>
      <c r="E1" s="384"/>
      <c r="F1" s="384"/>
      <c r="G1" s="384"/>
      <c r="H1" s="384"/>
      <c r="I1" s="384"/>
      <c r="J1" s="87"/>
      <c r="K1" s="87"/>
      <c r="L1" s="87"/>
    </row>
    <row r="2" spans="1:12" ht="24.9" customHeight="1" x14ac:dyDescent="0.4">
      <c r="A2" s="382" t="s">
        <v>291</v>
      </c>
      <c r="B2" s="386" t="s">
        <v>292</v>
      </c>
      <c r="C2" s="386" t="s">
        <v>293</v>
      </c>
      <c r="D2" s="387" t="s">
        <v>284</v>
      </c>
      <c r="E2" s="386" t="s">
        <v>285</v>
      </c>
      <c r="F2" s="386" t="s">
        <v>260</v>
      </c>
      <c r="G2" s="388" t="s">
        <v>294</v>
      </c>
      <c r="H2" s="182" t="s">
        <v>295</v>
      </c>
      <c r="I2" s="386" t="s">
        <v>296</v>
      </c>
      <c r="J2" s="87"/>
      <c r="K2" s="87"/>
      <c r="L2" s="87"/>
    </row>
    <row r="3" spans="1:12" ht="24.9" customHeight="1" x14ac:dyDescent="0.4">
      <c r="A3" s="385"/>
      <c r="B3" s="386"/>
      <c r="C3" s="386"/>
      <c r="D3" s="387"/>
      <c r="E3" s="386"/>
      <c r="F3" s="386"/>
      <c r="G3" s="388"/>
      <c r="H3" s="116">
        <f>SUM(H4:H7)</f>
        <v>6153764</v>
      </c>
      <c r="I3" s="386"/>
      <c r="J3" s="87"/>
      <c r="K3" s="111" t="s">
        <v>280</v>
      </c>
      <c r="L3" s="87"/>
    </row>
    <row r="4" spans="1:12" ht="24.9" customHeight="1" x14ac:dyDescent="0.4">
      <c r="A4" s="112">
        <v>1</v>
      </c>
      <c r="B4" s="128">
        <v>46234</v>
      </c>
      <c r="C4" s="112" t="s">
        <v>297</v>
      </c>
      <c r="D4" s="112" t="s">
        <v>298</v>
      </c>
      <c r="E4" s="112" t="s">
        <v>314</v>
      </c>
      <c r="F4" s="112">
        <v>1</v>
      </c>
      <c r="G4" s="113">
        <v>267570</v>
      </c>
      <c r="H4" s="113">
        <f>G4</f>
        <v>267570</v>
      </c>
      <c r="I4" s="113"/>
      <c r="J4" s="87"/>
      <c r="K4" s="114" t="s">
        <v>281</v>
      </c>
      <c r="L4" s="87"/>
    </row>
    <row r="5" spans="1:12" ht="24.9" customHeight="1" x14ac:dyDescent="0.4">
      <c r="A5" s="112">
        <v>2</v>
      </c>
      <c r="B5" s="128">
        <v>46234</v>
      </c>
      <c r="C5" s="112" t="s">
        <v>299</v>
      </c>
      <c r="D5" s="112" t="s">
        <v>300</v>
      </c>
      <c r="E5" s="112" t="s">
        <v>315</v>
      </c>
      <c r="F5" s="112">
        <v>1</v>
      </c>
      <c r="G5" s="113">
        <v>748000</v>
      </c>
      <c r="H5" s="113">
        <f>G5</f>
        <v>748000</v>
      </c>
      <c r="I5" s="113"/>
      <c r="J5" s="87"/>
      <c r="K5" s="114" t="s">
        <v>282</v>
      </c>
      <c r="L5" s="87"/>
    </row>
    <row r="6" spans="1:12" ht="24.9" customHeight="1" x14ac:dyDescent="0.4">
      <c r="A6" s="112">
        <v>3</v>
      </c>
      <c r="B6" s="128">
        <v>46234</v>
      </c>
      <c r="C6" s="112" t="s">
        <v>299</v>
      </c>
      <c r="D6" s="112" t="s">
        <v>301</v>
      </c>
      <c r="E6" s="112" t="s">
        <v>316</v>
      </c>
      <c r="F6" s="112"/>
      <c r="G6" s="113"/>
      <c r="H6" s="113">
        <f>G6</f>
        <v>0</v>
      </c>
      <c r="I6" s="113"/>
      <c r="J6" s="87"/>
      <c r="K6" s="114" t="s">
        <v>283</v>
      </c>
      <c r="L6" s="87"/>
    </row>
    <row r="7" spans="1:12" ht="24.9" customHeight="1" x14ac:dyDescent="0.4">
      <c r="A7" s="112">
        <v>4</v>
      </c>
      <c r="B7" s="128">
        <v>46234</v>
      </c>
      <c r="C7" s="112" t="s">
        <v>302</v>
      </c>
      <c r="D7" s="112" t="s">
        <v>303</v>
      </c>
      <c r="E7" s="112" t="s">
        <v>317</v>
      </c>
      <c r="F7" s="112">
        <v>1</v>
      </c>
      <c r="G7" s="113">
        <v>5138194</v>
      </c>
      <c r="H7" s="113">
        <f>G7</f>
        <v>5138194</v>
      </c>
      <c r="I7" s="113"/>
      <c r="J7" s="87"/>
      <c r="K7" s="114" t="s">
        <v>284</v>
      </c>
      <c r="L7" s="87"/>
    </row>
    <row r="8" spans="1:12" ht="24.9" customHeight="1" x14ac:dyDescent="0.4">
      <c r="A8" s="87"/>
      <c r="B8" s="87"/>
      <c r="C8" s="87"/>
      <c r="D8" s="87"/>
      <c r="E8" s="87"/>
      <c r="F8" s="87"/>
      <c r="G8" s="87"/>
      <c r="H8" s="87"/>
      <c r="I8" s="87"/>
      <c r="J8" s="87"/>
      <c r="K8" s="115" t="s">
        <v>285</v>
      </c>
      <c r="L8" s="87"/>
    </row>
    <row r="9" spans="1:12" ht="24.9" customHeight="1" x14ac:dyDescent="0.4">
      <c r="A9" s="87"/>
      <c r="B9" s="87"/>
      <c r="C9" s="87"/>
      <c r="D9" s="87"/>
      <c r="E9" s="87"/>
      <c r="F9" s="87"/>
      <c r="G9" s="87"/>
      <c r="H9" s="87"/>
      <c r="I9" s="87"/>
      <c r="J9" s="87"/>
      <c r="K9" s="115" t="s">
        <v>286</v>
      </c>
      <c r="L9" s="87"/>
    </row>
    <row r="10" spans="1:12" x14ac:dyDescent="0.4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115" t="s">
        <v>287</v>
      </c>
      <c r="L10" s="87"/>
    </row>
    <row r="11" spans="1:12" x14ac:dyDescent="0.4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115" t="s">
        <v>288</v>
      </c>
      <c r="L11" s="87"/>
    </row>
    <row r="12" spans="1:12" x14ac:dyDescent="0.4">
      <c r="J12" s="87"/>
      <c r="K12" s="111"/>
      <c r="L12" s="87"/>
    </row>
    <row r="13" spans="1:12" x14ac:dyDescent="0.4">
      <c r="J13" s="87"/>
      <c r="K13" s="87" t="s">
        <v>289</v>
      </c>
      <c r="L13" s="87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A17"/>
  <sheetViews>
    <sheetView view="pageBreakPreview" zoomScale="70" zoomScaleNormal="100" zoomScaleSheetLayoutView="70" workbookViewId="0">
      <selection activeCell="I20" sqref="I20"/>
    </sheetView>
  </sheetViews>
  <sheetFormatPr defaultRowHeight="17.399999999999999" x14ac:dyDescent="0.4"/>
  <cols>
    <col min="2" max="4" width="8.59765625" customWidth="1"/>
    <col min="5" max="5" width="20.59765625" customWidth="1"/>
    <col min="6" max="6" width="62" customWidth="1"/>
    <col min="7" max="7" width="35.59765625" customWidth="1"/>
    <col min="8" max="8" width="12.59765625" customWidth="1"/>
    <col min="9" max="9" width="26.8984375" customWidth="1"/>
    <col min="10" max="10" width="8.59765625" customWidth="1"/>
    <col min="11" max="14" width="12.59765625" customWidth="1"/>
    <col min="15" max="15" width="19.3984375" bestFit="1" customWidth="1"/>
    <col min="16" max="16" width="16.09765625" style="159" customWidth="1"/>
    <col min="17" max="17" width="13" customWidth="1"/>
    <col min="18" max="26" width="10.09765625" customWidth="1"/>
  </cols>
  <sheetData>
    <row r="1" spans="2:27" x14ac:dyDescent="0.4">
      <c r="P1"/>
    </row>
    <row r="2" spans="2:27" x14ac:dyDescent="0.4">
      <c r="P2"/>
    </row>
    <row r="3" spans="2:27" x14ac:dyDescent="0.4">
      <c r="P3"/>
    </row>
    <row r="4" spans="2:27" x14ac:dyDescent="0.4">
      <c r="P4"/>
    </row>
    <row r="5" spans="2:27" ht="44.1" customHeight="1" x14ac:dyDescent="0.4">
      <c r="B5" s="137" t="s">
        <v>374</v>
      </c>
      <c r="C5" s="137"/>
      <c r="D5" s="137"/>
      <c r="E5" s="137"/>
      <c r="F5" s="137"/>
      <c r="P5"/>
      <c r="R5" t="s">
        <v>375</v>
      </c>
      <c r="S5" t="s">
        <v>376</v>
      </c>
      <c r="T5" t="s">
        <v>336</v>
      </c>
      <c r="U5" t="s">
        <v>377</v>
      </c>
      <c r="V5" t="s">
        <v>337</v>
      </c>
      <c r="W5" t="s">
        <v>338</v>
      </c>
      <c r="X5" t="s">
        <v>339</v>
      </c>
      <c r="Y5" t="s">
        <v>340</v>
      </c>
      <c r="Z5" t="s">
        <v>341</v>
      </c>
      <c r="AA5" t="s">
        <v>342</v>
      </c>
    </row>
    <row r="6" spans="2:27" ht="23.1" customHeight="1" x14ac:dyDescent="0.4">
      <c r="B6" s="138"/>
      <c r="L6" s="139"/>
      <c r="M6" s="140"/>
      <c r="N6" s="140"/>
      <c r="O6" s="141"/>
      <c r="P6" s="142" t="s">
        <v>378</v>
      </c>
      <c r="R6">
        <v>193438</v>
      </c>
      <c r="S6">
        <v>195968</v>
      </c>
      <c r="T6" s="143"/>
      <c r="Z6" s="144"/>
      <c r="AA6" s="144"/>
    </row>
    <row r="7" spans="2:27" ht="30" customHeight="1" x14ac:dyDescent="0.4">
      <c r="B7" s="145" t="s">
        <v>379</v>
      </c>
      <c r="C7" s="145" t="s">
        <v>380</v>
      </c>
      <c r="D7" s="145" t="s">
        <v>381</v>
      </c>
      <c r="E7" s="145" t="s">
        <v>382</v>
      </c>
      <c r="F7" s="145" t="s">
        <v>383</v>
      </c>
      <c r="G7" s="145" t="s">
        <v>384</v>
      </c>
      <c r="H7" s="145" t="s">
        <v>385</v>
      </c>
      <c r="I7" s="145" t="s">
        <v>386</v>
      </c>
      <c r="J7" s="145" t="s">
        <v>387</v>
      </c>
      <c r="K7" s="145" t="s">
        <v>388</v>
      </c>
      <c r="L7" s="145" t="s">
        <v>389</v>
      </c>
      <c r="M7" s="145" t="s">
        <v>390</v>
      </c>
      <c r="N7" s="145" t="s">
        <v>391</v>
      </c>
      <c r="O7" s="145" t="s">
        <v>392</v>
      </c>
      <c r="P7" s="145" t="s">
        <v>393</v>
      </c>
    </row>
    <row r="8" spans="2:27" ht="50.1" customHeight="1" x14ac:dyDescent="0.4">
      <c r="B8" s="146">
        <v>1</v>
      </c>
      <c r="C8" s="146" t="s">
        <v>394</v>
      </c>
      <c r="D8" s="146" t="s">
        <v>395</v>
      </c>
      <c r="E8" s="146" t="s">
        <v>396</v>
      </c>
      <c r="F8" s="147" t="s">
        <v>343</v>
      </c>
      <c r="G8" s="146" t="s">
        <v>397</v>
      </c>
      <c r="H8" s="148">
        <v>45959</v>
      </c>
      <c r="I8" s="146" t="s">
        <v>398</v>
      </c>
      <c r="J8" s="146">
        <v>120</v>
      </c>
      <c r="K8" s="146">
        <v>0.25</v>
      </c>
      <c r="L8" s="146">
        <v>19</v>
      </c>
      <c r="M8" s="149">
        <f>K8*L8</f>
        <v>4.75</v>
      </c>
      <c r="N8" s="150">
        <v>193438</v>
      </c>
      <c r="O8" s="233">
        <f>M8*N8</f>
        <v>918830.5</v>
      </c>
      <c r="P8" s="146"/>
      <c r="Q8" t="s">
        <v>399</v>
      </c>
    </row>
    <row r="9" spans="2:27" ht="50.1" customHeight="1" x14ac:dyDescent="0.4">
      <c r="B9" s="146">
        <v>2</v>
      </c>
      <c r="C9" s="146" t="s">
        <v>394</v>
      </c>
      <c r="D9" s="146" t="s">
        <v>395</v>
      </c>
      <c r="E9" s="146" t="s">
        <v>396</v>
      </c>
      <c r="F9" s="146" t="s">
        <v>400</v>
      </c>
      <c r="G9" s="146" t="s">
        <v>401</v>
      </c>
      <c r="H9" s="146" t="s">
        <v>402</v>
      </c>
      <c r="I9" s="147" t="s">
        <v>403</v>
      </c>
      <c r="J9" s="146">
        <v>960</v>
      </c>
      <c r="K9" s="146">
        <v>2</v>
      </c>
      <c r="L9" s="146">
        <v>20</v>
      </c>
      <c r="M9" s="149">
        <f>K9*L9</f>
        <v>40</v>
      </c>
      <c r="N9" s="150">
        <v>193438</v>
      </c>
      <c r="O9" s="233">
        <f>M9*N9</f>
        <v>7737520</v>
      </c>
      <c r="P9" s="146"/>
      <c r="Q9" t="s">
        <v>399</v>
      </c>
    </row>
    <row r="10" spans="2:27" ht="50.1" customHeight="1" x14ac:dyDescent="0.4">
      <c r="B10" s="146">
        <v>3</v>
      </c>
      <c r="C10" s="146" t="s">
        <v>394</v>
      </c>
      <c r="D10" s="146" t="s">
        <v>395</v>
      </c>
      <c r="E10" s="146" t="s">
        <v>404</v>
      </c>
      <c r="F10" s="147" t="s">
        <v>405</v>
      </c>
      <c r="G10" s="146" t="s">
        <v>406</v>
      </c>
      <c r="H10" s="148" t="s">
        <v>407</v>
      </c>
      <c r="I10" s="146" t="s">
        <v>408</v>
      </c>
      <c r="J10" s="146"/>
      <c r="K10" s="146"/>
      <c r="L10" s="146"/>
      <c r="M10" s="149"/>
      <c r="N10" s="150"/>
      <c r="O10" s="233">
        <v>3910000</v>
      </c>
      <c r="P10" s="146"/>
      <c r="Q10" t="s">
        <v>409</v>
      </c>
    </row>
    <row r="11" spans="2:27" ht="50.1" customHeight="1" x14ac:dyDescent="0.4">
      <c r="B11" s="146">
        <v>4</v>
      </c>
      <c r="C11" s="146" t="s">
        <v>394</v>
      </c>
      <c r="D11" s="146" t="s">
        <v>395</v>
      </c>
      <c r="E11" s="146" t="s">
        <v>396</v>
      </c>
      <c r="F11" s="146" t="s">
        <v>410</v>
      </c>
      <c r="G11" s="146" t="s">
        <v>411</v>
      </c>
      <c r="H11" s="148">
        <v>46084</v>
      </c>
      <c r="I11" s="147" t="s">
        <v>412</v>
      </c>
      <c r="J11" s="146"/>
      <c r="K11" s="146"/>
      <c r="L11" s="146"/>
      <c r="M11" s="149"/>
      <c r="N11" s="150"/>
      <c r="O11" s="233">
        <v>591000</v>
      </c>
      <c r="P11" s="146"/>
      <c r="Q11" t="s">
        <v>409</v>
      </c>
    </row>
    <row r="12" spans="2:27" ht="50.1" customHeight="1" x14ac:dyDescent="0.4">
      <c r="B12" s="146">
        <v>5</v>
      </c>
      <c r="C12" s="146" t="s">
        <v>394</v>
      </c>
      <c r="D12" s="146" t="s">
        <v>413</v>
      </c>
      <c r="E12" s="146" t="s">
        <v>396</v>
      </c>
      <c r="F12" s="146" t="s">
        <v>410</v>
      </c>
      <c r="G12" s="146" t="s">
        <v>414</v>
      </c>
      <c r="H12" s="148">
        <v>46085</v>
      </c>
      <c r="I12" s="147" t="s">
        <v>415</v>
      </c>
      <c r="J12" s="146"/>
      <c r="K12" s="146"/>
      <c r="L12" s="146"/>
      <c r="M12" s="149"/>
      <c r="N12" s="150"/>
      <c r="O12" s="233">
        <v>1071000</v>
      </c>
      <c r="P12" s="146"/>
      <c r="Q12" t="s">
        <v>409</v>
      </c>
    </row>
    <row r="13" spans="2:27" ht="50.1" customHeight="1" x14ac:dyDescent="0.4">
      <c r="B13" s="146">
        <v>6</v>
      </c>
      <c r="C13" s="146" t="s">
        <v>394</v>
      </c>
      <c r="D13" s="146" t="s">
        <v>418</v>
      </c>
      <c r="E13" s="146" t="s">
        <v>396</v>
      </c>
      <c r="F13" s="146" t="s">
        <v>419</v>
      </c>
      <c r="G13" s="146" t="s">
        <v>420</v>
      </c>
      <c r="H13" s="148">
        <v>46100</v>
      </c>
      <c r="I13" s="147" t="s">
        <v>421</v>
      </c>
      <c r="J13" s="146">
        <v>240</v>
      </c>
      <c r="K13" s="146"/>
      <c r="L13" s="146">
        <v>1</v>
      </c>
      <c r="M13" s="149"/>
      <c r="N13" s="150"/>
      <c r="O13" s="233">
        <v>120000</v>
      </c>
      <c r="P13" s="146"/>
      <c r="Q13" t="s">
        <v>426</v>
      </c>
    </row>
    <row r="14" spans="2:27" ht="50.1" customHeight="1" x14ac:dyDescent="0.4">
      <c r="B14" s="146">
        <v>7</v>
      </c>
      <c r="C14" s="146" t="s">
        <v>394</v>
      </c>
      <c r="D14" s="146" t="s">
        <v>395</v>
      </c>
      <c r="E14" s="146" t="s">
        <v>396</v>
      </c>
      <c r="F14" s="147" t="s">
        <v>422</v>
      </c>
      <c r="G14" s="146" t="s">
        <v>423</v>
      </c>
      <c r="H14" s="147" t="s">
        <v>424</v>
      </c>
      <c r="I14" s="229" t="s">
        <v>425</v>
      </c>
      <c r="J14" s="146">
        <v>1920</v>
      </c>
      <c r="K14" s="146"/>
      <c r="L14" s="146">
        <v>1</v>
      </c>
      <c r="M14" s="149"/>
      <c r="N14" s="150"/>
      <c r="O14" s="233">
        <v>1840000</v>
      </c>
      <c r="P14" s="146"/>
      <c r="Q14" t="s">
        <v>426</v>
      </c>
    </row>
    <row r="15" spans="2:27" ht="50.1" customHeight="1" x14ac:dyDescent="0.4">
      <c r="B15" s="146">
        <v>8</v>
      </c>
      <c r="C15" s="146" t="s">
        <v>699</v>
      </c>
      <c r="D15" s="146" t="s">
        <v>395</v>
      </c>
      <c r="E15" s="146" t="s">
        <v>700</v>
      </c>
      <c r="F15" s="146" t="s">
        <v>701</v>
      </c>
      <c r="G15" s="146" t="s">
        <v>702</v>
      </c>
      <c r="H15" s="251" t="s">
        <v>802</v>
      </c>
      <c r="I15" s="147"/>
      <c r="J15" s="146"/>
      <c r="K15" s="146"/>
      <c r="L15" s="146">
        <v>15</v>
      </c>
      <c r="M15" s="149"/>
      <c r="N15" s="150"/>
      <c r="O15" s="233" t="s">
        <v>703</v>
      </c>
      <c r="P15" s="146"/>
      <c r="Q15" t="s">
        <v>698</v>
      </c>
    </row>
    <row r="16" spans="2:27" s="154" customFormat="1" ht="50.1" customHeight="1" x14ac:dyDescent="0.4">
      <c r="B16" s="389" t="s">
        <v>416</v>
      </c>
      <c r="C16" s="390"/>
      <c r="D16" s="390"/>
      <c r="E16" s="390"/>
      <c r="F16" s="390"/>
      <c r="G16" s="390"/>
      <c r="H16" s="390"/>
      <c r="I16" s="390"/>
      <c r="J16" s="390"/>
      <c r="K16" s="390"/>
      <c r="L16" s="391"/>
      <c r="M16" s="151">
        <f>SUM(M8:M9)</f>
        <v>44.75</v>
      </c>
      <c r="N16" s="151"/>
      <c r="O16" s="152">
        <f>SUM(O8:O15)</f>
        <v>16188350.5</v>
      </c>
      <c r="P16" s="153"/>
    </row>
    <row r="17" spans="2:16" s="158" customFormat="1" ht="50.1" customHeight="1" x14ac:dyDescent="0.4">
      <c r="B17" s="392" t="s">
        <v>417</v>
      </c>
      <c r="C17" s="393"/>
      <c r="D17" s="393"/>
      <c r="E17" s="393"/>
      <c r="F17" s="393"/>
      <c r="G17" s="393"/>
      <c r="H17" s="393"/>
      <c r="I17" s="393"/>
      <c r="J17" s="393"/>
      <c r="K17" s="393"/>
      <c r="L17" s="394"/>
      <c r="M17" s="155">
        <f>M16</f>
        <v>44.75</v>
      </c>
      <c r="N17" s="155"/>
      <c r="O17" s="156">
        <f>O16</f>
        <v>16188350.5</v>
      </c>
      <c r="P17" s="157"/>
    </row>
  </sheetData>
  <autoFilter ref="A7:Z16" xr:uid="{00000000-0009-0000-0000-00000B000000}"/>
  <mergeCells count="2">
    <mergeCell ref="B16:L16"/>
    <mergeCell ref="B17:L1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95" t="s">
        <v>40</v>
      </c>
      <c r="C2" s="35" t="s">
        <v>36</v>
      </c>
      <c r="D2" s="35"/>
      <c r="E2" s="35" t="s">
        <v>39</v>
      </c>
    </row>
    <row r="3" spans="2:18" ht="30" customHeight="1" x14ac:dyDescent="0.4">
      <c r="B3" s="396"/>
      <c r="C3" s="35" t="s">
        <v>37</v>
      </c>
      <c r="D3" s="35"/>
      <c r="E3" s="35" t="s">
        <v>39</v>
      </c>
    </row>
    <row r="4" spans="2:18" ht="30" customHeight="1" x14ac:dyDescent="0.4">
      <c r="B4" s="396"/>
      <c r="C4" s="35" t="s">
        <v>38</v>
      </c>
      <c r="D4" s="35"/>
      <c r="E4" s="35" t="s">
        <v>39</v>
      </c>
    </row>
    <row r="6" spans="2:18" ht="48.9" customHeight="1" x14ac:dyDescent="0.4">
      <c r="G6" s="395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" customHeight="1" x14ac:dyDescent="0.4">
      <c r="G7" s="395"/>
      <c r="H7" s="35"/>
      <c r="I7" s="35"/>
      <c r="J7" s="35"/>
      <c r="K7" s="34"/>
      <c r="L7" s="34"/>
      <c r="M7" s="34"/>
      <c r="N7" s="34"/>
      <c r="O7" s="34"/>
    </row>
    <row r="8" spans="2:18" ht="24.9" customHeight="1" x14ac:dyDescent="0.4">
      <c r="G8" s="34"/>
      <c r="H8" s="34"/>
      <c r="I8" s="34"/>
      <c r="J8" s="34"/>
      <c r="K8" s="34"/>
      <c r="L8" s="397" t="s">
        <v>47</v>
      </c>
      <c r="M8" s="35" t="s">
        <v>43</v>
      </c>
      <c r="N8" s="35" t="s">
        <v>44</v>
      </c>
      <c r="O8" s="35" t="s">
        <v>45</v>
      </c>
    </row>
    <row r="9" spans="2:18" ht="39.9" customHeight="1" x14ac:dyDescent="0.4">
      <c r="G9" s="34"/>
      <c r="H9" s="34"/>
      <c r="I9" s="34"/>
      <c r="J9" s="34"/>
      <c r="K9" s="34"/>
      <c r="L9" s="398"/>
      <c r="M9" s="35"/>
      <c r="N9" s="35"/>
      <c r="O9" s="35"/>
    </row>
    <row r="11" spans="2:18" ht="24.9" customHeight="1" x14ac:dyDescent="0.4">
      <c r="Q11" s="35" t="s">
        <v>49</v>
      </c>
      <c r="R11" s="35" t="s">
        <v>52</v>
      </c>
    </row>
    <row r="12" spans="2:18" ht="24.9" customHeight="1" x14ac:dyDescent="0.4">
      <c r="Q12" s="35" t="s">
        <v>50</v>
      </c>
      <c r="R12" s="35" t="s">
        <v>53</v>
      </c>
    </row>
    <row r="13" spans="2:18" ht="24.9" customHeight="1" x14ac:dyDescent="0.4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99" t="s">
        <v>54</v>
      </c>
      <c r="C3" s="400"/>
    </row>
    <row r="4" spans="2:3" x14ac:dyDescent="0.4">
      <c r="B4" s="37" t="s">
        <v>55</v>
      </c>
      <c r="C4" s="37" t="s">
        <v>56</v>
      </c>
    </row>
    <row r="5" spans="2:3" x14ac:dyDescent="0.4">
      <c r="B5" s="35" t="s">
        <v>57</v>
      </c>
      <c r="C5" s="35">
        <v>0.25</v>
      </c>
    </row>
    <row r="6" spans="2:3" x14ac:dyDescent="0.4">
      <c r="B6" s="35" t="s">
        <v>58</v>
      </c>
      <c r="C6" s="35">
        <v>0.5</v>
      </c>
    </row>
    <row r="7" spans="2:3" x14ac:dyDescent="0.4">
      <c r="B7" s="35" t="s">
        <v>59</v>
      </c>
      <c r="C7" s="35">
        <v>0.75</v>
      </c>
    </row>
    <row r="8" spans="2:3" x14ac:dyDescent="0.4">
      <c r="B8" s="35" t="s">
        <v>60</v>
      </c>
      <c r="C8" s="35">
        <v>1</v>
      </c>
    </row>
    <row r="9" spans="2:3" x14ac:dyDescent="0.4">
      <c r="B9" s="35" t="s">
        <v>61</v>
      </c>
      <c r="C9" s="35">
        <v>1.25</v>
      </c>
    </row>
    <row r="10" spans="2:3" x14ac:dyDescent="0.4">
      <c r="B10" s="35" t="s">
        <v>62</v>
      </c>
      <c r="C10" s="35">
        <v>1.5</v>
      </c>
    </row>
    <row r="11" spans="2:3" x14ac:dyDescent="0.4">
      <c r="B11" s="35" t="s">
        <v>63</v>
      </c>
      <c r="C11" s="35">
        <v>2</v>
      </c>
    </row>
    <row r="12" spans="2:3" x14ac:dyDescent="0.4">
      <c r="B12" s="35" t="s">
        <v>64</v>
      </c>
      <c r="C12" s="35">
        <v>2.5</v>
      </c>
    </row>
    <row r="13" spans="2:3" x14ac:dyDescent="0.4">
      <c r="B13" s="35" t="s">
        <v>65</v>
      </c>
      <c r="C13" s="35">
        <v>3</v>
      </c>
    </row>
    <row r="14" spans="2:3" x14ac:dyDescent="0.4">
      <c r="B14" s="35" t="s">
        <v>66</v>
      </c>
      <c r="C14" s="35">
        <v>4</v>
      </c>
    </row>
    <row r="15" spans="2:3" x14ac:dyDescent="0.4">
      <c r="B15" s="35" t="s">
        <v>67</v>
      </c>
      <c r="C15" s="35">
        <v>4</v>
      </c>
    </row>
    <row r="16" spans="2:3" x14ac:dyDescent="0.4">
      <c r="B16" s="35" t="s">
        <v>68</v>
      </c>
      <c r="C16" s="35">
        <v>5</v>
      </c>
    </row>
    <row r="17" spans="2:3" x14ac:dyDescent="0.4">
      <c r="B17" s="35" t="s">
        <v>69</v>
      </c>
      <c r="C17" s="35">
        <v>6</v>
      </c>
    </row>
    <row r="18" spans="2:3" x14ac:dyDescent="0.4">
      <c r="B18" s="35" t="s">
        <v>70</v>
      </c>
      <c r="C18" s="35">
        <v>7</v>
      </c>
    </row>
    <row r="19" spans="2:3" x14ac:dyDescent="0.4">
      <c r="B19" s="35" t="s">
        <v>71</v>
      </c>
      <c r="C19" s="35">
        <v>8</v>
      </c>
    </row>
    <row r="20" spans="2:3" x14ac:dyDescent="0.4">
      <c r="B20" s="35" t="s">
        <v>72</v>
      </c>
      <c r="C20" s="35">
        <v>9</v>
      </c>
    </row>
    <row r="21" spans="2:3" x14ac:dyDescent="0.4">
      <c r="B21" s="35" t="s">
        <v>73</v>
      </c>
      <c r="C21" s="35">
        <v>10</v>
      </c>
    </row>
    <row r="22" spans="2:3" x14ac:dyDescent="0.4">
      <c r="B22" s="35" t="s">
        <v>74</v>
      </c>
      <c r="C22" s="35">
        <v>12</v>
      </c>
    </row>
    <row r="23" spans="2:3" x14ac:dyDescent="0.4">
      <c r="B23" s="35" t="s">
        <v>75</v>
      </c>
      <c r="C23" s="35">
        <v>14</v>
      </c>
    </row>
    <row r="24" spans="2:3" x14ac:dyDescent="0.4">
      <c r="B24" s="35" t="s">
        <v>76</v>
      </c>
      <c r="C24" s="35">
        <v>16</v>
      </c>
    </row>
    <row r="25" spans="2:3" x14ac:dyDescent="0.4">
      <c r="B25" s="35" t="s">
        <v>77</v>
      </c>
      <c r="C25" s="35">
        <v>18</v>
      </c>
    </row>
    <row r="26" spans="2:3" x14ac:dyDescent="0.4">
      <c r="B26" s="35" t="s">
        <v>78</v>
      </c>
      <c r="C26" s="35">
        <v>20</v>
      </c>
    </row>
    <row r="27" spans="2:3" x14ac:dyDescent="0.4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9</vt:i4>
      </vt:variant>
    </vt:vector>
  </HeadingPairs>
  <TitlesOfParts>
    <vt:vector size="23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(7월)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'내역서(을지)'!Print_Area</vt:lpstr>
      <vt:lpstr>'물량 내역서'!Print_Area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2026-08-06T07:31:44Z</cp:lastPrinted>
  <dcterms:created xsi:type="dcterms:W3CDTF">2025-09-12T00:04:15Z</dcterms:created>
  <dcterms:modified xsi:type="dcterms:W3CDTF">2026-08-07T05:59:11Z</dcterms:modified>
</cp:coreProperties>
</file>