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7월\S25-004\"/>
    </mc:Choice>
  </mc:AlternateContent>
  <xr:revisionPtr revIDLastSave="0" documentId="13_ncr:1_{4CD0993F-A773-4381-8F5F-4A369920AA49}" xr6:coauthVersionLast="36" xr6:coauthVersionMax="47" xr10:uidLastSave="{00000000-0000-0000-0000-000000000000}"/>
  <bookViews>
    <workbookView xWindow="28680" yWindow="-120" windowWidth="29040" windowHeight="15720" tabRatio="726" activeTab="4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5" r:id="rId4"/>
    <sheet name="집계장" sheetId="6" r:id="rId5"/>
    <sheet name="근로내역 (07월)" sheetId="8" r:id="rId6"/>
    <sheet name="물량 내역서" sheetId="7" r:id="rId7"/>
    <sheet name="용접기자재" sheetId="13" r:id="rId8"/>
    <sheet name="배관기자재" sheetId="14" r:id="rId9"/>
    <sheet name="숙소임차료" sheetId="9" r:id="rId10"/>
    <sheet name="숙소관리비" sheetId="10" r:id="rId11"/>
    <sheet name="식대비용" sheetId="11" r:id="rId12"/>
    <sheet name="기타비용" sheetId="12" r:id="rId13"/>
    <sheet name="Sheet1" sheetId="16" r:id="rId14"/>
    <sheet name="서명란" sheetId="3" state="hidden" r:id="rId15"/>
    <sheet name="DIA-INCH" sheetId="4" state="hidden" r:id="rId16"/>
  </sheets>
  <definedNames>
    <definedName name="_" localSheetId="3">#REF!</definedName>
    <definedName name="_">#REF!</definedName>
    <definedName name="_??_??_?C?g??" localSheetId="3">#REF!</definedName>
    <definedName name="_??_??_?C?g??">#REF!</definedName>
    <definedName name="___DAT5">#REF!</definedName>
    <definedName name="___QQ123">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01__장비_설치공사">#REF!</definedName>
    <definedName name="_0201__소화_장비설치공사">#REF!</definedName>
    <definedName name="_1" localSheetId="3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3">#REF!</definedName>
    <definedName name="_1auto">#REF!</definedName>
    <definedName name="_1p11_">#REF!</definedName>
    <definedName name="_2" localSheetId="3">#REF!</definedName>
    <definedName name="_2">#REF!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 localSheetId="3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3__Crite">#REF!</definedName>
    <definedName name="_3_401K" localSheetId="3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 localSheetId="3">#REF!</definedName>
    <definedName name="_3dental">#REF!</definedName>
    <definedName name="_3health" localSheetId="3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3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1" localSheetId="3">#REF!</definedName>
    <definedName name="_DAT11">#REF!</definedName>
    <definedName name="_DAT21" localSheetId="3">#REF!</definedName>
    <definedName name="_DAT21">#REF!</definedName>
    <definedName name="_DAT22" localSheetId="3">#REF!</definedName>
    <definedName name="_DAT22">#REF!</definedName>
    <definedName name="_DAT23" localSheetId="3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5" localSheetId="3">#REF!</definedName>
    <definedName name="_DAT5">#REF!</definedName>
    <definedName name="_xlnm._FilterDatabase" localSheetId="8" hidden="1">배관기자재!$A$2:$J$15</definedName>
    <definedName name="_xlnm._FilterDatabase" localSheetId="7" hidden="1">용접기자재!$A$2:$J$3</definedName>
    <definedName name="_xlnm._FilterDatabase" hidden="1">#REF!</definedName>
    <definedName name="_Key1" localSheetId="3" hidden="1">#REF!</definedName>
    <definedName name="_Key1" hidden="1">#REF!</definedName>
    <definedName name="_LP1">#REF!</definedName>
    <definedName name="_LP2">#REF!</definedName>
    <definedName name="_Order1" hidden="1">255</definedName>
    <definedName name="_Order2" hidden="1">0</definedName>
    <definedName name="_p11">#REF!</definedName>
    <definedName name="_p2">#REF!</definedName>
    <definedName name="_PH1">#REF!</definedName>
    <definedName name="_PP1" localSheetId="3">#REF!</definedName>
    <definedName name="_PP1">#REF!</definedName>
    <definedName name="_QQ123">#REF!</definedName>
    <definedName name="_Regression_Int" hidden="1">1</definedName>
    <definedName name="_Sort" hidden="1">#REF!</definedName>
    <definedName name="_ST1">#N/A</definedName>
    <definedName name="\0">#REF!</definedName>
    <definedName name="\a">#REF!</definedName>
    <definedName name="\b">#REF!</definedName>
    <definedName name="\C" localSheetId="3">#REF!</definedName>
    <definedName name="\C">#REF!</definedName>
    <definedName name="\e">#N/A</definedName>
    <definedName name="\F" localSheetId="3">#REF!</definedName>
    <definedName name="\F">#REF!</definedName>
    <definedName name="\g">#N/A</definedName>
    <definedName name="\H" localSheetId="3">#REF!</definedName>
    <definedName name="\H">#REF!</definedName>
    <definedName name="\j">#N/A</definedName>
    <definedName name="\k">#REF!</definedName>
    <definedName name="\l">#REF!</definedName>
    <definedName name="\n">#REF!</definedName>
    <definedName name="\o">#REF!</definedName>
    <definedName name="\p">#N/A</definedName>
    <definedName name="\q">#REF!</definedName>
    <definedName name="\R" localSheetId="3">#REF!</definedName>
    <definedName name="\R">#REF!</definedName>
    <definedName name="\s">#N/A</definedName>
    <definedName name="\t">#REF!</definedName>
    <definedName name="\u">#N/A</definedName>
    <definedName name="\W" localSheetId="3">#REF!</definedName>
    <definedName name="\W">#REF!</definedName>
    <definedName name="\x">#REF!</definedName>
    <definedName name="\y">#N/A</definedName>
    <definedName name="\z">#REF!</definedName>
    <definedName name="\주수">#N/A</definedName>
    <definedName name="Ⅱ" localSheetId="3" hidden="1">{#N/A,#N/A,FALSE,"정공"}</definedName>
    <definedName name="Ⅱ" hidden="1">{#N/A,#N/A,FALSE,"정공"}</definedName>
    <definedName name="A1..A2_">#N/A</definedName>
    <definedName name="A1..A200_">#N/A</definedName>
    <definedName name="A12..A13_">#N/A</definedName>
    <definedName name="AA" localSheetId="3">[0]!BlankMacro1</definedName>
    <definedName name="AA">[0]!BlankMacro1</definedName>
    <definedName name="AAA" localSheetId="3">[0]!BlankMacro1</definedName>
    <definedName name="AAA">[0]!BlankMacro1</definedName>
    <definedName name="AAAAA" localSheetId="3">[0]!BlankMacro1</definedName>
    <definedName name="AAAAA">[0]!BlankMacro1</definedName>
    <definedName name="AAAAAAAA" localSheetId="3">[0]!BlankMacro1</definedName>
    <definedName name="AAAAAAAA">[0]!BlankMacro1</definedName>
    <definedName name="AAAAS" localSheetId="3" hidden="1">{#N/A,#N/A,FALSE,"정공"}</definedName>
    <definedName name="AAAAS" hidden="1">{#N/A,#N/A,FALSE,"정공"}</definedName>
    <definedName name="AAAWERT" localSheetId="3">[0]!BlankMacro1</definedName>
    <definedName name="AAAWERT">[0]!BlankMacro1</definedName>
    <definedName name="abc" localSheetId="3">[0]!BlankMacro1</definedName>
    <definedName name="abc">[0]!BlankMacro1</definedName>
    <definedName name="ABCDEF" localSheetId="3" hidden="1">{#N/A,#N/A,FALSE,"정공"}</definedName>
    <definedName name="ABCDEF" hidden="1">{#N/A,#N/A,FALSE,"정공"}</definedName>
    <definedName name="ABCD관리" localSheetId="3" hidden="1">{#N/A,#N/A,FALSE,"정공"}</definedName>
    <definedName name="ABCD관리" hidden="1">{#N/A,#N/A,FALSE,"정공"}</definedName>
    <definedName name="AccessDatabase" hidden="1">"C:\My Documents\입고현황_류\장비입고현황2.mdb"</definedName>
    <definedName name="acct_deal" localSheetId="3">#REF!</definedName>
    <definedName name="acct_deal">#REF!</definedName>
    <definedName name="acct_reg" localSheetId="3">#REF!</definedName>
    <definedName name="acct_reg">#REF!</definedName>
    <definedName name="adv" localSheetId="3">#REF!</definedName>
    <definedName name="adv">#REF!</definedName>
    <definedName name="adv_board" localSheetId="3">#REF!</definedName>
    <definedName name="adv_board">#REF!</definedName>
    <definedName name="all">#REF!</definedName>
    <definedName name="AOCNFTHSDLR" localSheetId="3" hidden="1">{#N/A,#N/A,FALSE,"정공"}</definedName>
    <definedName name="AOCNFTHSDLR" hidden="1">{#N/A,#N/A,FALSE,"정공"}</definedName>
    <definedName name="as" localSheetId="3">[0]!BlankMacro1</definedName>
    <definedName name="as">[0]!BlankMacro1</definedName>
    <definedName name="asdf" localSheetId="3" hidden="1">{#N/A,#N/A,FALSE,"정공"}</definedName>
    <definedName name="asdf" hidden="1">{#N/A,#N/A,FALSE,"정공"}</definedName>
    <definedName name="asdfg" localSheetId="3">[0]!BlankMacro1</definedName>
    <definedName name="asdfg">[0]!BlankMacro1</definedName>
    <definedName name="aut" localSheetId="3">#REF!</definedName>
    <definedName name="aut">#REF!</definedName>
    <definedName name="AV">#REF!</definedName>
    <definedName name="AWLBSRTDK" localSheetId="3">#REF!</definedName>
    <definedName name="AWLBSRTDK">#REF!</definedName>
    <definedName name="axcdf" localSheetId="3" hidden="1">{#N/A,#N/A,FALSE,"정공"}</definedName>
    <definedName name="axcdf" hidden="1">{#N/A,#N/A,FALSE,"정공"}</definedName>
    <definedName name="Aㅁ1505">#REF!</definedName>
    <definedName name="BASE">#REF!</definedName>
    <definedName name="BASE_열">#REF!</definedName>
    <definedName name="bb" localSheetId="3">[0]!BlankMacro1</definedName>
    <definedName name="bb">[0]!BlankMacro1</definedName>
    <definedName name="bbb" localSheetId="3">[0]!BlankMacro1</definedName>
    <definedName name="bbb">[0]!BlankMacro1</definedName>
    <definedName name="benef_tot" localSheetId="3">#REF!</definedName>
    <definedName name="benef_tot">#REF!</definedName>
    <definedName name="Benefit_sub" localSheetId="3">#REF!</definedName>
    <definedName name="Benefit_sub">#REF!</definedName>
    <definedName name="beta">#REF!</definedName>
    <definedName name="betas">#REF!</definedName>
    <definedName name="BMI_CARD68926.">#REF!</definedName>
    <definedName name="BS차이내역" localSheetId="3" hidden="1">{#N/A,#N/A,FALSE,"정공"}</definedName>
    <definedName name="BS차이내역" hidden="1">{#N/A,#N/A,FALSE,"정공"}</definedName>
    <definedName name="C_D">#REF!</definedName>
    <definedName name="C_S">#REF!</definedName>
    <definedName name="C_SECL">#REF!</definedName>
    <definedName name="CC" localSheetId="3">#REF!</definedName>
    <definedName name="CC">#REF!</definedName>
    <definedName name="ccc" localSheetId="3" hidden="1">{#N/A,#N/A,FALSE,"정공"}</definedName>
    <definedName name="ccc" hidden="1">{#N/A,#N/A,FALSE,"정공"}</definedName>
    <definedName name="CCCC" localSheetId="3">[0]!BlankMacro1</definedName>
    <definedName name="CCCC">[0]!BlankMacro1</definedName>
    <definedName name="CD" localSheetId="3">#REF!</definedName>
    <definedName name="CD">#REF!</definedName>
    <definedName name="CHDDOR" localSheetId="3">#REF!</definedName>
    <definedName name="CHDDOR">#REF!</definedName>
    <definedName name="cho" localSheetId="3">[0]!BlankMacro1</definedName>
    <definedName name="cho">[0]!BlankMacro1</definedName>
    <definedName name="CKFKFL" localSheetId="3">[0]!BlankMacro1</definedName>
    <definedName name="CKFKFL">[0]!BlankMacro1</definedName>
    <definedName name="Client">#REF!</definedName>
    <definedName name="CLIENT_NAME" localSheetId="3">#REF!</definedName>
    <definedName name="CLIENT_NAME">#REF!</definedName>
    <definedName name="CM">#REF!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 localSheetId="3">#REF!</definedName>
    <definedName name="con">#REF!</definedName>
    <definedName name="CONC">#N/A</definedName>
    <definedName name="COND_D">#REF!</definedName>
    <definedName name="conf" localSheetId="3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EDIT_MEMOS" localSheetId="3">#REF!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DANGA">#REF!,#REF!</definedName>
    <definedName name="DATABAS">#REF!</definedName>
    <definedName name="_xlnm.Database" localSheetId="3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 localSheetId="3">#REF!</definedName>
    <definedName name="dbsal">#REF!</definedName>
    <definedName name="DD" localSheetId="3">#REF!</definedName>
    <definedName name="DD">#REF!</definedName>
    <definedName name="ddd">#REF!</definedName>
    <definedName name="DDDD" localSheetId="3">[0]!BlankMacro1</definedName>
    <definedName name="DDDD">[0]!BlankMacro1</definedName>
    <definedName name="DDDDFGH" localSheetId="3">[0]!BlankMacro1</definedName>
    <definedName name="DDDDFGH">[0]!BlankMacro1</definedName>
    <definedName name="dddfg" localSheetId="3" hidden="1">{#N/A,#N/A,FALSE,"정공"}</definedName>
    <definedName name="dddfg" hidden="1">{#N/A,#N/A,FALSE,"정공"}</definedName>
    <definedName name="dek" localSheetId="3">#REF!</definedName>
    <definedName name="dek">#REF!</definedName>
    <definedName name="dfdfdfd" localSheetId="3">[0]!BlankMacro1</definedName>
    <definedName name="dfdfdfd">[0]!BlankMacro1</definedName>
    <definedName name="DJHD" localSheetId="3">BlankMacro1</definedName>
    <definedName name="DJHD">BlankMacro1</definedName>
    <definedName name="DJQAN" localSheetId="3">[0]!BlankMacro1</definedName>
    <definedName name="DJQAN">[0]!BlankMacro1</definedName>
    <definedName name="drsg">#REF!</definedName>
    <definedName name="DWGL_AREA">#REF!</definedName>
    <definedName name="E">#REF!</definedName>
    <definedName name="E5625RTDK" localSheetId="3">#REF!</definedName>
    <definedName name="E5625RTDK">#REF!</definedName>
    <definedName name="edgh">#REF!</definedName>
    <definedName name="edtgh">#REF!</definedName>
    <definedName name="EEEEEE" localSheetId="3">[0]!BlankMacro1</definedName>
    <definedName name="EEEEEE">[0]!BlankMacro1</definedName>
    <definedName name="ENCOST">#N/A</definedName>
    <definedName name="EQPT_Rate">#REF!</definedName>
    <definedName name="er" localSheetId="3">#REF!</definedName>
    <definedName name="er">#REF!</definedName>
    <definedName name="Exchange_Rate">#REF!</definedName>
    <definedName name="EXE">#N/A</definedName>
    <definedName name="exp_assoc" localSheetId="3">#REF!</definedName>
    <definedName name="exp_assoc">#REF!</definedName>
    <definedName name="exp_partn" localSheetId="3">#REF!</definedName>
    <definedName name="exp_partn">#REF!</definedName>
    <definedName name="exp_princ">#REF!</definedName>
    <definedName name="Exp_sub">#REF!</definedName>
    <definedName name="exp_tot">#REF!</definedName>
    <definedName name="_xlnm.Extract">#REF!</definedName>
    <definedName name="Extract_MI">#REF!</definedName>
    <definedName name="f">#REF!</definedName>
    <definedName name="fdgz">#REF!</definedName>
    <definedName name="FEEL">#REF!</definedName>
    <definedName name="ff">#REF!</definedName>
    <definedName name="fff" localSheetId="3">[0]!BlankMacro1</definedName>
    <definedName name="fff">[0]!BlankMacro1</definedName>
    <definedName name="FFFFFWRRQW">#REF!</definedName>
    <definedName name="FG46TBTB4RTDKDK" localSheetId="3">#REF!</definedName>
    <definedName name="FG46TBTB4RTDKDK">#REF!</definedName>
    <definedName name="fgfgggg" localSheetId="3">[0]!BlankMacro1</definedName>
    <definedName name="fgfgggg">[0]!BlankMacro1</definedName>
    <definedName name="FOR">#N/A</definedName>
    <definedName name="fy">#REF!</definedName>
    <definedName name="g" localSheetId="3">[0]!BlankMacro1</definedName>
    <definedName name="g">[0]!BlankMacro1</definedName>
    <definedName name="gbe" localSheetId="3">[0]!BlankMacro1</definedName>
    <definedName name="gbe">[0]!BlankMacro1</definedName>
    <definedName name="GCONS" localSheetId="3">#REF!</definedName>
    <definedName name="GCONS">#REF!</definedName>
    <definedName name="GEMCO" hidden="1">#REF!</definedName>
    <definedName name="GG">#REF!</definedName>
    <definedName name="GONGJONG">#REF!</definedName>
    <definedName name="GRDS" localSheetId="3">#REF!</definedName>
    <definedName name="GRDS">#REF!</definedName>
    <definedName name="greg" localSheetId="3">[0]!BlankMacro1</definedName>
    <definedName name="greg">[0]!BlankMacro1</definedName>
    <definedName name="grg" localSheetId="3">[0]!BlankMacro1</definedName>
    <definedName name="grg">[0]!BlankMacro1</definedName>
    <definedName name="gt" localSheetId="3">[0]!BlankMacro1</definedName>
    <definedName name="gt">[0]!BlankMacro1</definedName>
    <definedName name="gtr" localSheetId="3">[0]!BlankMacro1</definedName>
    <definedName name="gtr">[0]!BlankMacro1</definedName>
    <definedName name="H">#REF!</definedName>
    <definedName name="h.sys">#REF!</definedName>
    <definedName name="hardwar" hidden="1">#REF!</definedName>
    <definedName name="HEADER" localSheetId="3">#REF!</definedName>
    <definedName name="HEADER">#REF!</definedName>
    <definedName name="HIP6400KA___91428_53429" localSheetId="3">#REF!</definedName>
    <definedName name="HIP6400KA___91428_53429">#REF!</definedName>
    <definedName name="hrg" localSheetId="3">[0]!BlankMacro1</definedName>
    <definedName name="hrg">[0]!BlankMacro1</definedName>
    <definedName name="HTML_CodePage" hidden="1">949</definedName>
    <definedName name="HTML_Control" localSheetId="3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NPUT" localSheetId="3">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 localSheetId="3">#REF!</definedName>
    <definedName name="insur">#REF!</definedName>
    <definedName name="ir_d3">#REF!</definedName>
    <definedName name="it_new" localSheetId="3">#REF!</definedName>
    <definedName name="it_new">#REF!</definedName>
    <definedName name="it_reg">#REF!</definedName>
    <definedName name="J">#REF!</definedName>
    <definedName name="jj" localSheetId="3">[0]!BlankMacro1</definedName>
    <definedName name="jj">[0]!BlankMacro1</definedName>
    <definedName name="JJJ">#REF!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 localSheetId="3">[0]!BlankMacro1</definedName>
    <definedName name="l">[0]!BlankMacro1</definedName>
    <definedName name="labor_admin" localSheetId="3">#REF!</definedName>
    <definedName name="labor_admin">#REF!</definedName>
    <definedName name="labor_jen" localSheetId="3">#REF!</definedName>
    <definedName name="labor_jen">#REF!</definedName>
    <definedName name="labor_kck" localSheetId="3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 localSheetId="3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isc" localSheetId="3">#REF!</definedName>
    <definedName name="misc">#REF!</definedName>
    <definedName name="mm">#REF!</definedName>
    <definedName name="MONEY">#REF!,#REF!</definedName>
    <definedName name="MOTOR">#REF!</definedName>
    <definedName name="MRB" localSheetId="3">[0]!BlankMacro1</definedName>
    <definedName name="MRB">[0]!BlankMacro1</definedName>
    <definedName name="MZ" localSheetId="3">#REF!</definedName>
    <definedName name="MZ">#REF!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3">[0]!BlankMacro1</definedName>
    <definedName name="nbg">[0]!BlankMacro1</definedName>
    <definedName name="nego2">#REF!</definedName>
    <definedName name="NUMBER">#REF!</definedName>
    <definedName name="ooo" localSheetId="3">#REF!</definedName>
    <definedName name="ooo">#REF!</definedName>
    <definedName name="Other_sub" localSheetId="3">#REF!</definedName>
    <definedName name="Other_sub">#REF!</definedName>
    <definedName name="other_tot">#REF!</definedName>
    <definedName name="Out_of_Scope">#REF!</definedName>
    <definedName name="OUTPUT">#REF!</definedName>
    <definedName name="Period_Const">#REF!</definedName>
    <definedName name="PERIOD_END" localSheetId="3">#REF!</definedName>
    <definedName name="PERIOD_END">#REF!</definedName>
    <definedName name="pihkj">#REF!</definedName>
    <definedName name="PIPE40">#REF!</definedName>
    <definedName name="PJT">#N/A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>#REF!</definedName>
    <definedName name="prcs1" localSheetId="3" hidden="1">{#N/A,#N/A,FALSE,"정공"}</definedName>
    <definedName name="prcs1" hidden="1">{#N/A,#N/A,FALSE,"정공"}</definedName>
    <definedName name="PREPARED_BY" localSheetId="3">#REF!</definedName>
    <definedName name="PREPARED_BY">#REF!</definedName>
    <definedName name="PREPARED_DATE" localSheetId="3">#REF!</definedName>
    <definedName name="PREPARED_DATE">#REF!</definedName>
    <definedName name="Print">#REF!</definedName>
    <definedName name="_xlnm.Print_Area" localSheetId="12">기타비용!$A$1:$I$17</definedName>
    <definedName name="_xlnm.Print_Area" localSheetId="6">'물량 내역서'!$A$1:$O$61</definedName>
    <definedName name="_xlnm.Print_Area" localSheetId="8">배관기자재!$A$1:$J$12</definedName>
    <definedName name="_xlnm.Print_Area" localSheetId="10">숙소관리비!$A$1:$J$16</definedName>
    <definedName name="_xlnm.Print_Area" localSheetId="9">숙소임차료!$A$1:$J$13</definedName>
    <definedName name="_xlnm.Print_Area" localSheetId="11">식대비용!$A$1:$J$10</definedName>
    <definedName name="_xlnm.Print_Area" localSheetId="1">'용역 청구서(갑지)'!$A$1:$L$26</definedName>
    <definedName name="_xlnm.Print_Area" localSheetId="7">용접기자재!$A$1:$J$3</definedName>
    <definedName name="_xlnm.Print_Area" localSheetId="4">집계장!$A$1:$L$26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_xlnm.Print_Titles" localSheetId="3">'내역서(을지)'!$2:$4</definedName>
    <definedName name="_xlnm.Print_Titles" localSheetId="8">배관기자재!$1:$3</definedName>
    <definedName name="_xlnm.Print_Titles" localSheetId="7">용접기자재!$1:$3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1u">#REF!</definedName>
    <definedName name="QLQL">#REF!</definedName>
    <definedName name="qq" localSheetId="3" hidden="1">{#N/A,#N/A,FALSE,"정공"}</definedName>
    <definedName name="qq" hidden="1">{#N/A,#N/A,FALSE,"정공"}</definedName>
    <definedName name="QQQ" localSheetId="3">[0]!BlankMacro1</definedName>
    <definedName name="QQQ">[0]!BlankMacro1</definedName>
    <definedName name="_xlnm.Recorder" localSheetId="3">#REF!</definedName>
    <definedName name="_xlnm.Recorder">#REF!</definedName>
    <definedName name="REFER_AREA">#REF!</definedName>
    <definedName name="reg" localSheetId="3">[0]!BlankMacro1</definedName>
    <definedName name="reg">[0]!BlankMacro1</definedName>
    <definedName name="REM">#N/A</definedName>
    <definedName name="rent_early" localSheetId="3">#REF!</definedName>
    <definedName name="rent_early">#REF!</definedName>
    <definedName name="rent_new" localSheetId="3">#REF!</definedName>
    <definedName name="rent_new">#REF!</definedName>
    <definedName name="rent_reg" localSheetId="3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kdjf" localSheetId="3">[0]!BlankMacro1</definedName>
    <definedName name="rkdjf">[0]!BlankMacro1</definedName>
    <definedName name="rkdrmsqo" localSheetId="3">[0]!BlankMacro1</definedName>
    <definedName name="rkdrmsqo">[0]!BlankMacro1</definedName>
    <definedName name="rlr">#REF!</definedName>
    <definedName name="round">#REF!</definedName>
    <definedName name="rrr" localSheetId="3">[0]!BlankMacro1</definedName>
    <definedName name="rrr">[0]!BlankMacro1</definedName>
    <definedName name="RRRRRRR" localSheetId="3">[0]!BlankMacro1</definedName>
    <definedName name="RRRRRRR">[0]!BlankMacro1</definedName>
    <definedName name="s" localSheetId="3">[0]!BlankMacro1</definedName>
    <definedName name="s">[0]!BlankMacro1</definedName>
    <definedName name="SCODE" localSheetId="3">#REF!</definedName>
    <definedName name="SCODE">#REF!</definedName>
    <definedName name="SD">#REF!</definedName>
    <definedName name="SDASDASDA" hidden="1">#REF!</definedName>
    <definedName name="SEJIN" localSheetId="3">[0]!BlankMacro1</definedName>
    <definedName name="SEJIN">[0]!BlankMacro1</definedName>
    <definedName name="SEJINBS" localSheetId="3" hidden="1">{#N/A,#N/A,FALSE,"정공"}</definedName>
    <definedName name="SEJINBS" hidden="1">{#N/A,#N/A,FALSE,"정공"}</definedName>
    <definedName name="SELECT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 localSheetId="3">#REF!</definedName>
    <definedName name="tel_cell">#REF!</definedName>
    <definedName name="tel_LD" localSheetId="3">#REF!</definedName>
    <definedName name="tel_LD">#REF!</definedName>
    <definedName name="tel_local" localSheetId="3">#REF!</definedName>
    <definedName name="tel_local">#REF!</definedName>
    <definedName name="tel_tot">#REF!</definedName>
    <definedName name="Tele_sub">#REF!</definedName>
    <definedName name="teleph">#REF!</definedName>
    <definedName name="TEST0">#REF!</definedName>
    <definedName name="TESTKEYS" localSheetId="3">#REF!</definedName>
    <definedName name="TESTKEYS">#REF!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>#REF!</definedName>
    <definedName name="TK" localSheetId="3">[0]!BlankMacro1</definedName>
    <definedName name="TK">[0]!BlankMacro1</definedName>
    <definedName name="TNSQJS">#REF!</definedName>
    <definedName name="TON_TRT_FR" localSheetId="3">#REF!</definedName>
    <definedName name="TON_TRT_FR">#REF!</definedName>
    <definedName name="TOO">#N/A</definedName>
    <definedName name="total" localSheetId="3">[0]!BlankMacro1</definedName>
    <definedName name="total">[0]!BlankMacro1</definedName>
    <definedName name="Total_Floor_Area">#REF!</definedName>
    <definedName name="Total_sub" localSheetId="3">#REF!</definedName>
    <definedName name="Total_sub">#REF!</definedName>
    <definedName name="travel_Int" localSheetId="3">#REF!</definedName>
    <definedName name="travel_Int">#REF!</definedName>
    <definedName name="travel_local" localSheetId="3">#REF!</definedName>
    <definedName name="travel_local">#REF!</definedName>
    <definedName name="Travel_sub" localSheetId="3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 localSheetId="3">[0]!BlankMacro1</definedName>
    <definedName name="TTTTTTT">[0]!BlankMacro1</definedName>
    <definedName name="UPW할증" localSheetId="3">#REF!</definedName>
    <definedName name="UPW할증">#REF!</definedName>
    <definedName name="VVV">#REF!</definedName>
    <definedName name="w" localSheetId="3">[0]!BlankMacro1</definedName>
    <definedName name="w">[0]!BlankMacro1</definedName>
    <definedName name="wd">#REF!</definedName>
    <definedName name="wessdd">#REF!</definedName>
    <definedName name="WKSEKFMZM" localSheetId="3">[0]!BlankMacro1</definedName>
    <definedName name="WKSEKFMZM">[0]!BlankMacro1</definedName>
    <definedName name="wl">#REF!</definedName>
    <definedName name="workcomp" localSheetId="3">#REF!</definedName>
    <definedName name="workcomp">#REF!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구조2." localSheetId="3" hidden="1">{#N/A,#N/A,FALSE,"구조2"}</definedName>
    <definedName name="wrn.구조2." hidden="1">{#N/A,#N/A,FALSE,"구조2"}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속도." localSheetId="3" hidden="1">{#N/A,#N/A,FALSE,"속도"}</definedName>
    <definedName name="wrn.속도." hidden="1">{#N/A,#N/A,FALSE,"속도"}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3" hidden="1">{#N/A,#N/A,FALSE,"이정표"}</definedName>
    <definedName name="wrn.이정표." hidden="1">{#N/A,#N/A,FALSE,"이정표"}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3" hidden="1">{#N/A,#N/A,FALSE,"정공"}</definedName>
    <definedName name="wrn.현대정공구매현황." hidden="1">{#N/A,#N/A,FALSE,"정공"}</definedName>
    <definedName name="WW">#REF!</definedName>
    <definedName name="WWWW" localSheetId="3">[0]!BlankMacro1</definedName>
    <definedName name="WWWW">[0]!BlankMacro1</definedName>
    <definedName name="XDDXX" localSheetId="3">[0]!BlankMacro1</definedName>
    <definedName name="XDDXX">[0]!BlankMacro1</definedName>
    <definedName name="xxx">#REF!</definedName>
    <definedName name="YE">#N/A</definedName>
    <definedName name="YEAREND" localSheetId="3">#REF!</definedName>
    <definedName name="YEAREND">#REF!</definedName>
    <definedName name="YEKA">#N/A</definedName>
    <definedName name="YYYYYYYYY" localSheetId="3">[0]!BlankMacro1</definedName>
    <definedName name="YYYYYYYYY">[0]!BlankMacro1</definedName>
    <definedName name="z">#REF!</definedName>
    <definedName name="ZXCV" localSheetId="3">[0]!BlankMacro1</definedName>
    <definedName name="ZXCV">[0]!BlankMacro1</definedName>
    <definedName name="ㄱㄱㄱ">#REF!</definedName>
    <definedName name="ㄱㄱㄱㄱ">#REF!</definedName>
    <definedName name="가">#REF!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3" hidden="1">{#N/A,#N/A,FALSE,"정공"}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 localSheetId="3">[0]!BlankMacro1</definedName>
    <definedName name="간접원가">[0]!BlankMacro1</definedName>
    <definedName name="간지" localSheetId="3">BlankMacro1</definedName>
    <definedName name="간지">BlankMacro1</definedName>
    <definedName name="감나무">#REF!</definedName>
    <definedName name="갑근세" localSheetId="3">#REF!</definedName>
    <definedName name="갑근세">#REF!</definedName>
    <definedName name="갑지">#REF!</definedName>
    <definedName name="강" localSheetId="3">[0]!BlankMacro1</definedName>
    <definedName name="강">[0]!BlankMacro1</definedName>
    <definedName name="강현구" localSheetId="3">#REF!</definedName>
    <definedName name="강현구">#REF!</definedName>
    <definedName name="개나리">#REF!</definedName>
    <definedName name="갤로" localSheetId="3" hidden="1">{#N/A,#N/A,FALSE,"정공"}</definedName>
    <definedName name="갤로" hidden="1">{#N/A,#N/A,FALSE,"정공"}</definedName>
    <definedName name="거리">#REF!</definedName>
    <definedName name="견적" localSheetId="3">#REF!</definedName>
    <definedName name="견적">#REF!</definedName>
    <definedName name="견적2" localSheetId="3">#REF!</definedName>
    <definedName name="견적2">#REF!</definedName>
    <definedName name="견적2001">#REF!</definedName>
    <definedName name="견적서" localSheetId="3">BlankMacro1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 localSheetId="3">BlankMacro1</definedName>
    <definedName name="견적특기사항">BlankMacro1</definedName>
    <definedName name="결사명세" localSheetId="3">#REF!</definedName>
    <definedName name="결사명세">#REF!</definedName>
    <definedName name="경리손익" localSheetId="3" hidden="1">{#N/A,#N/A,FALSE,"정공"}</definedName>
    <definedName name="경리손익" hidden="1">{#N/A,#N/A,FALSE,"정공"}</definedName>
    <definedName name="경비실적" localSheetId="3" hidden="1">{#N/A,#N/A,FALSE,"정공"}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 localSheetId="3">#REF!</definedName>
    <definedName name="계약총">#REF!</definedName>
    <definedName name="계약총액" localSheetId="3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계획" localSheetId="3" hidden="1">{#N/A,#N/A,FALSE,"정공"}</definedName>
    <definedName name="계획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3">[0]!BlankMacro1</definedName>
    <definedName name="고">[0]!BlankMacro1</definedName>
    <definedName name="고용보험료율" localSheetId="3">#REF!</definedName>
    <definedName name="고용보험료율">#REF!</definedName>
    <definedName name="공___종">#REF!</definedName>
    <definedName name="공관" localSheetId="3">[0]!BlankMacro1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localSheetId="3" hidden="1">{#N/A,#N/A,FALSE,"정공"}</definedName>
    <definedName name="공수투입" hidden="1">{#N/A,#N/A,FALSE,"정공"}</definedName>
    <definedName name="공용">#REF!</definedName>
    <definedName name="공일">#REF!</definedName>
    <definedName name="공정" localSheetId="3">[0]!BlankMacro1</definedName>
    <definedName name="공정">[0]!BlankMacro1</definedName>
    <definedName name="공정1" localSheetId="3">[0]!BlankMacro1</definedName>
    <definedName name="공정1">[0]!BlankMacro1</definedName>
    <definedName name="공정2" localSheetId="3">[0]!BlankMacro1</definedName>
    <definedName name="공정2">[0]!BlankMacro1</definedName>
    <definedName name="공정3" localSheetId="3">[0]!BlankMacro1</definedName>
    <definedName name="공정3">[0]!BlankMacro1</definedName>
    <definedName name="공정관리" localSheetId="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 localSheetId="3">BlankMacro1</definedName>
    <definedName name="구분">BlankMacro1</definedName>
    <definedName name="구분1" localSheetId="3">BlankMacro1</definedName>
    <definedName name="구분1">BlankMacro1</definedName>
    <definedName name="구조물공" localSheetId="3" hidden="1">{#N/A,#N/A,FALSE,"이정표"}</definedName>
    <definedName name="구조물공" hidden="1">{#N/A,#N/A,FALSE,"이정표"}</definedName>
    <definedName name="국가명" localSheetId="3">#REF!</definedName>
    <definedName name="국가명">#REF!</definedName>
    <definedName name="국내abs" localSheetId="3">#REF!</definedName>
    <definedName name="국내abs">#REF!</definedName>
    <definedName name="국어">#REF!</definedName>
    <definedName name="권" localSheetId="3">[0]!BlankMacro1</definedName>
    <definedName name="권">[0]!BlankMacro1</definedName>
    <definedName name="궘규한" localSheetId="3">[0]!BlankMacro1</definedName>
    <definedName name="궘규한">[0]!BlankMacro1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 localSheetId="3">BlankMacro1</definedName>
    <definedName name="기계3">BlankMacro1</definedName>
    <definedName name="기관명">#REF!</definedName>
    <definedName name="기술">#REF!</definedName>
    <definedName name="기아모텍" localSheetId="3" hidden="1">{#N/A,#N/A,FALSE,"정공"}</definedName>
    <definedName name="기아모텍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상구" localSheetId="3">[0]!BlankMacro1</definedName>
    <definedName name="김상구">[0]!BlankMacro1</definedName>
    <definedName name="꽃창포">#REF!</definedName>
    <definedName name="꽃향유">#REF!</definedName>
    <definedName name="ㄴ" localSheetId="3">[0]!BlankMacro1</definedName>
    <definedName name="ㄴ">[0]!BlankMacro1</definedName>
    <definedName name="ㄴㄴ" localSheetId="3">#REF!</definedName>
    <definedName name="ㄴㄴ">#REF!</definedName>
    <definedName name="ㄴㄴㄴ">#REF!</definedName>
    <definedName name="ㄴㅇ">#REF!</definedName>
    <definedName name="ㄴㅇ란ㅇ" localSheetId="3">[0]!BlankMacro1</definedName>
    <definedName name="ㄴㅇ란ㅇ">[0]!BlankMacro1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3">[0]!BlankMacro1</definedName>
    <definedName name="ㄴㅇㅎ">[0]!BlankMacro1</definedName>
    <definedName name="나.">#REF!</definedName>
    <definedName name="나라사랑" localSheetId="3" hidden="1">{#N/A,#N/A,FALSE,"정공"}</definedName>
    <definedName name="나라사랑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3">[0]!BlankMacro1</definedName>
    <definedName name="나오시오">[0]!BlankMacro1</definedName>
    <definedName name="난데어이" localSheetId="3">[0]!BlankMacro1</definedName>
    <definedName name="난데어이">[0]!BlankMacro1</definedName>
    <definedName name="남덕" localSheetId="3">BlankMacro1</definedName>
    <definedName name="남덕">BlankMacro1</definedName>
    <definedName name="남덕1" localSheetId="3">BlankMacro1</definedName>
    <definedName name="남덕1">BlankMacro1</definedName>
    <definedName name="남의나라" localSheetId="3" hidden="1">{#N/A,#N/A,FALSE,"정공"}</definedName>
    <definedName name="남의나라" hidden="1">{#N/A,#N/A,FALSE,"정공"}</definedName>
    <definedName name="낭" localSheetId="3">[0]!BlankMacro1</definedName>
    <definedName name="낭">[0]!BlankMacro1</definedName>
    <definedName name="내">#N/A</definedName>
    <definedName name="내맘">#REF!</definedName>
    <definedName name="내선">#REF!</definedName>
    <definedName name="내역">#REF!</definedName>
    <definedName name="내역서">#REF!</definedName>
    <definedName name="내장">#REF!</definedName>
    <definedName name="낵역4">#REF!</definedName>
    <definedName name="노무">#REF!</definedName>
    <definedName name="노무단가할증" localSheetId="3">#REF!</definedName>
    <definedName name="노무단가할증">#REF!</definedName>
    <definedName name="노무비총액" localSheetId="3">#REF!</definedName>
    <definedName name="노무비총액">#REF!</definedName>
    <definedName name="노무수량할증" localSheetId="3">#REF!</definedName>
    <definedName name="노무수량할증">#REF!</definedName>
    <definedName name="노임" localSheetId="3">BlankMacro1</definedName>
    <definedName name="노임">BlankMacro1</definedName>
    <definedName name="노임1" localSheetId="3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 localSheetId="3">[0]!BlankMacro1</definedName>
    <definedName name="ㄶㅇ">[0]!BlankMacro1</definedName>
    <definedName name="ㄷ" localSheetId="3">[0]!BlankMacro1</definedName>
    <definedName name="ㄷ">[0]!BlankMacro1</definedName>
    <definedName name="ㄷㄷ" localSheetId="3">BlankMacro1</definedName>
    <definedName name="ㄷㄷ">BlankMacro1</definedName>
    <definedName name="ㄷㄷㄷㄷ" localSheetId="3">[0]!BlankMacro1</definedName>
    <definedName name="ㄷㄷㄷㄷ">[0]!BlankMacro1</definedName>
    <definedName name="ㄷㄷㄷㄷㄷ" localSheetId="3">[0]!BlankMacro1</definedName>
    <definedName name="ㄷㄷㄷㄷㄷ">[0]!BlankMacro1</definedName>
    <definedName name="ㄷㅇ" localSheetId="3">#REF!</definedName>
    <definedName name="ㄷㅇ">#REF!</definedName>
    <definedName name="ㄷㅌㅇㅇ" localSheetId="3">[0]!BlankMacro1</definedName>
    <definedName name="ㄷㅌㅇㅇ">[0]!BlankMacro1</definedName>
    <definedName name="다.">#REF!</definedName>
    <definedName name="다나가라" localSheetId="3" hidden="1">{#N/A,#N/A,FALSE,"정공"}</definedName>
    <definedName name="다나가라" hidden="1">{#N/A,#N/A,FALSE,"정공"}</definedName>
    <definedName name="다니오오" localSheetId="3">[0]!BlankMacro1</definedName>
    <definedName name="다니오오">[0]!BlankMacro1</definedName>
    <definedName name="다다" localSheetId="3" hidden="1">{#N/A,#N/A,FALSE,"정공"}</definedName>
    <definedName name="다다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3">[0]!BlankMacro1</definedName>
    <definedName name="다닫이">[0]!BlankMacro1</definedName>
    <definedName name="다달이" localSheetId="3" hidden="1">{#N/A,#N/A,FALSE,"정공"}</definedName>
    <definedName name="다달이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말기" localSheetId="3" hidden="1">{#N/A,#N/A,FALSE,"정공"}</definedName>
    <definedName name="단말기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3">[0]!BlankMacro1</definedName>
    <definedName name="단아라">[0]!BlankMacro1</definedName>
    <definedName name="단아리다" localSheetId="3">[0]!BlankMacro1</definedName>
    <definedName name="단아리다">[0]!BlankMacro1</definedName>
    <definedName name="단알기" localSheetId="3" hidden="1">{#N/A,#N/A,FALSE,"정공"}</definedName>
    <definedName name="단알기" hidden="1">{#N/A,#N/A,FALSE,"정공"}</definedName>
    <definedName name="당초구조물공계">#REF!</definedName>
    <definedName name="당초기준손이" localSheetId="3" hidden="1">{#N/A,#N/A,FALSE,"정공"}</definedName>
    <definedName name="당초기준손이" hidden="1">{#N/A,#N/A,FALSE,"정공"}</definedName>
    <definedName name="당초부대공계">#REF!</definedName>
    <definedName name="당초손익표" localSheetId="3" hidden="1">{#N/A,#N/A,FALSE,"정공"}</definedName>
    <definedName name="당초손익표" hidden="1">{#N/A,#N/A,FALSE,"정공"}</definedName>
    <definedName name="당초토공계">#REF!</definedName>
    <definedName name="당초포장공계">#REF!</definedName>
    <definedName name="대경갑지">#REF!</definedName>
    <definedName name="대나무">#REF!</definedName>
    <definedName name="대리님" localSheetId="3" hidden="1">{#N/A,#N/A,FALSE,"정공"}</definedName>
    <definedName name="대리님" hidden="1">{#N/A,#N/A,FALSE,"정공"}</definedName>
    <definedName name="대변합계">#REF!</definedName>
    <definedName name="대비">#REF!</definedName>
    <definedName name="대상시트" localSheetId="3" hidden="1">{#N/A,#N/A,FALSE,"정공"}</definedName>
    <definedName name="대상시트" hidden="1">{#N/A,#N/A,FALSE,"정공"}</definedName>
    <definedName name="대하하시오" localSheetId="3">[0]!BlankMacro1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localSheetId="3" hidden="1">{#N/A,#N/A,FALSE,"정공"}</definedName>
    <definedName name="두번째" hidden="1">{#N/A,#N/A,FALSE,"정공"}</definedName>
    <definedName name="따" localSheetId="3">BlankMacro1</definedName>
    <definedName name="따">BlankMacro1</definedName>
    <definedName name="ㄹ" localSheetId="3">#REF!</definedName>
    <definedName name="ㄹ">#REF!</definedName>
    <definedName name="ㄹ2">#REF!</definedName>
    <definedName name="ㄹㅇㅎㄴㅇ" localSheetId="3">[0]!BlankMacro1</definedName>
    <definedName name="ㄹㅇㅎㄴㅇ">[0]!BlankMacro1</definedName>
    <definedName name="란다리아" localSheetId="3" hidden="1">{#N/A,#N/A,FALSE,"정공"}</definedName>
    <definedName name="란다리아" hidden="1">{#N/A,#N/A,FALSE,"정공"}</definedName>
    <definedName name="레180">#REF!</definedName>
    <definedName name="레210">#REF!</definedName>
    <definedName name="로6" localSheetId="3">[0]!BlankMacro1</definedName>
    <definedName name="로6">[0]!BlankMacro1</definedName>
    <definedName name="ㄻ" localSheetId="3" hidden="1">{#N/A,#N/A,FALSE,"포장2"}</definedName>
    <definedName name="ㄻ" hidden="1">{#N/A,#N/A,FALSE,"포장2"}</definedName>
    <definedName name="ㅀ" localSheetId="3">#REF!</definedName>
    <definedName name="ㅀ">#REF!</definedName>
    <definedName name="ㅀㅇ" localSheetId="3">[0]!BlankMacro1</definedName>
    <definedName name="ㅀㅇ">[0]!BlankMacro1</definedName>
    <definedName name="ㅁ" localSheetId="3">[0]!BlankMacro1</definedName>
    <definedName name="ㅁ">[0]!BlankMacro1</definedName>
    <definedName name="ㅁ1" localSheetId="3">#REF!</definedName>
    <definedName name="ㅁ1">#REF!</definedName>
    <definedName name="ㅁ1180">#REF!</definedName>
    <definedName name="ㅁ139">#REF!</definedName>
    <definedName name="ㅁ1510.">#REF!</definedName>
    <definedName name="ㅁ2923">#REF!</definedName>
    <definedName name="ㅁㄴ" localSheetId="3">#REF!</definedName>
    <definedName name="ㅁㄴ">#REF!</definedName>
    <definedName name="ㅁㄴㄴ" localSheetId="3">[0]!BlankMacro1</definedName>
    <definedName name="ㅁㄴㄴ">[0]!BlankMacro1</definedName>
    <definedName name="ㅁㅁㅁ" localSheetId="3">[0]!BlankMacro1</definedName>
    <definedName name="ㅁㅁㅁ">[0]!BlankMacro1</definedName>
    <definedName name="ㅁㅁㅁㅁ" localSheetId="3">[0]!BlankMacro1</definedName>
    <definedName name="ㅁㅁㅁㅁ">[0]!BlankMacro1</definedName>
    <definedName name="ㅁㅁㅁㅁㅁ" localSheetId="3">[0]!BlankMacro1</definedName>
    <definedName name="ㅁㅁㅁㅁㅁ">[0]!BlankMacro1</definedName>
    <definedName name="마나맘" localSheetId="3">[0]!BlankMacro1</definedName>
    <definedName name="마나맘">[0]!BlankMacro1</definedName>
    <definedName name="마라앙" localSheetId="3">[0]!BlankMacro1</definedName>
    <definedName name="마라앙">[0]!BlankMacro1</definedName>
    <definedName name="마마보이" localSheetId="3" hidden="1">{#N/A,#N/A,FALSE,"정공"}</definedName>
    <definedName name="마마보이" hidden="1">{#N/A,#N/A,FALSE,"정공"}</definedName>
    <definedName name="만나리아" localSheetId="3">[0]!BlankMacro1</definedName>
    <definedName name="만나리아">[0]!BlankMacro1</definedName>
    <definedName name="만다라" localSheetId="3">[0]!BlankMacro1</definedName>
    <definedName name="만다라">[0]!BlankMacro1</definedName>
    <definedName name="만아오오" localSheetId="3">[0]!BlankMacro1</definedName>
    <definedName name="만아오오">[0]!BlankMacro1</definedName>
    <definedName name="맘모스" localSheetId="3">[0]!BlankMacro1</definedName>
    <definedName name="맘모스">[0]!BlankMacro1</definedName>
    <definedName name="매출" localSheetId="3">#REF!</definedName>
    <definedName name="매출">#REF!</definedName>
    <definedName name="매출기준" localSheetId="3" hidden="1">{#N/A,#N/A,FALSE,"정공"}</definedName>
    <definedName name="매출기준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3">[0]!BlankMacro1</definedName>
    <definedName name="매출손익계산">[0]!BlankMacro1</definedName>
    <definedName name="매출이익율" localSheetId="3">[0]!BlankMacro1</definedName>
    <definedName name="매출이익율">[0]!BlankMacro1</definedName>
    <definedName name="매출전환손익" localSheetId="3" hidden="1">{#N/A,#N/A,FALSE,"정공"}</definedName>
    <definedName name="매출전환손익" hidden="1">{#N/A,#N/A,FALSE,"정공"}</definedName>
    <definedName name="매출채권">#REF!</definedName>
    <definedName name="매출추1" localSheetId="3" hidden="1">{#N/A,#N/A,FALSE,"정공"}</definedName>
    <definedName name="매출추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>#REF!</definedName>
    <definedName name="면제부다오" localSheetId="3">[0]!BlankMacro1</definedName>
    <definedName name="면제부다오">[0]!BlankMacro1</definedName>
    <definedName name="명칭">#REF!</definedName>
    <definedName name="모과나무">#REF!</definedName>
    <definedName name="모나리자아" localSheetId="3" hidden="1">{#N/A,#N/A,FALSE,"정공"}</definedName>
    <definedName name="모나리자아" hidden="1">{#N/A,#N/A,FALSE,"정공"}</definedName>
    <definedName name="목백합">#REF!</definedName>
    <definedName name="목적" localSheetId="3">[0]!BlankMacro1</definedName>
    <definedName name="목적">[0]!BlankMacro1</definedName>
    <definedName name="목차도" localSheetId="3" hidden="1">{#N/A,#N/A,FALSE,"정공"}</definedName>
    <definedName name="목차도" hidden="1">{#N/A,#N/A,FALSE,"정공"}</definedName>
    <definedName name="몰라" localSheetId="3" hidden="1">{#N/A,#N/A,FALSE,"정공"}</definedName>
    <definedName name="몰라" hidden="1">{#N/A,#N/A,FALSE,"정공"}</definedName>
    <definedName name="무궁화">#REF!</definedName>
    <definedName name="무형" localSheetId="3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미미미아" localSheetId="3" hidden="1">{#N/A,#N/A,FALSE,"정공"}</definedName>
    <definedName name="미미미아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3" hidden="1">{"'보고양식'!$A$58:$K$111"}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>#REF!</definedName>
    <definedName name="ㅂㅂㅂㅂ" localSheetId="3">[0]!BlankMacro1</definedName>
    <definedName name="ㅂㅂㅂㅂ">[0]!BlankMacro1</definedName>
    <definedName name="바다나라" localSheetId="3">[0]!BlankMacro1</definedName>
    <definedName name="바다나라">[0]!BlankMacro1</definedName>
    <definedName name="바랑라" localSheetId="3" hidden="1">{#N/A,#N/A,FALSE,"정공"}</definedName>
    <definedName name="바랑라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3">[0]!BlankMacro1</definedName>
    <definedName name="박재규">[0]!BlankMacro1</definedName>
    <definedName name="박태기">#REF!</definedName>
    <definedName name="방송">#REF!</definedName>
    <definedName name="방수">#REF!</definedName>
    <definedName name="방진.도금">#REF!</definedName>
    <definedName name="배관">#REF!</definedName>
    <definedName name="배관공">#REF!</definedName>
    <definedName name="배롱나무">#REF!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3" hidden="1">{#N/A,#N/A,FALSE,"부대1"}</definedName>
    <definedName name="배수공" hidden="1">{#N/A,#N/A,FALSE,"부대1"}</definedName>
    <definedName name="변간접노무비">#REF!</definedName>
    <definedName name="변경개요1">#REF!</definedName>
    <definedName name="변경개요2">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 localSheetId="3">[0]!BlankMacro1</definedName>
    <definedName name="변소기">[0]!BlankMacro1</definedName>
    <definedName name="변송익" localSheetId="3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 localSheetId="3">#REF!</definedName>
    <definedName name="보증금">#REF!</definedName>
    <definedName name="보통">#REF!</definedName>
    <definedName name="보통인부">#REF!</definedName>
    <definedName name="부___문" localSheetId="3">#REF!</definedName>
    <definedName name="부___문">#REF!</definedName>
    <definedName name="부가가치세">#REF!</definedName>
    <definedName name="부자지" localSheetId="3">[0]!BlankMacro1</definedName>
    <definedName name="부자지">[0]!BlankMacro1</definedName>
    <definedName name="부자지간" localSheetId="3">[0]!BlankMacro1</definedName>
    <definedName name="부자지간">[0]!BlankMacro1</definedName>
    <definedName name="부장님" localSheetId="3">[0]!BlankMacro1</definedName>
    <definedName name="부장님">[0]!BlankMacro1</definedName>
    <definedName name="분당내역서" hidden="1">#REF!</definedName>
    <definedName name="분당아파트">#REF!</definedName>
    <definedName name="분전반" localSheetId="3">BlankMacro1</definedName>
    <definedName name="분전반">BlankMacro1</definedName>
    <definedName name="비">#REF!</definedName>
    <definedName name="비계">#REF!</definedName>
    <definedName name="비계공">#REF!</definedName>
    <definedName name="비교" localSheetId="3">#REF!</definedName>
    <definedName name="비교">#REF!</definedName>
    <definedName name="비교손익당초" localSheetId="3" hidden="1">{#N/A,#N/A,FALSE,"정공"}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 localSheetId="3">[0]!BlankMacro1</definedName>
    <definedName name="ㅅㅅ">[0]!BlankMacro1</definedName>
    <definedName name="ㅅㅅㅅ" localSheetId="3">[0]!BlankMacro1</definedName>
    <definedName name="ㅅㅅㅅ">[0]!BlankMacro1</definedName>
    <definedName name="사급">#REF!</definedName>
    <definedName name="사다함이" localSheetId="3" hidden="1">{#N/A,#N/A,FALSE,"정공"}</definedName>
    <definedName name="사다함이" hidden="1">{#N/A,#N/A,FALSE,"정공"}</definedName>
    <definedName name="사라미이은" localSheetId="3">[0]!BlankMacro1</definedName>
    <definedName name="사라미이은">[0]!BlankMacro1</definedName>
    <definedName name="사람이름" localSheetId="3">[0]!BlankMacro1</definedName>
    <definedName name="사람이름">[0]!BlankMacro1</definedName>
    <definedName name="사람이야" localSheetId="3" hidden="1">{#N/A,#N/A,FALSE,"정공"}</definedName>
    <definedName name="사람이야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3">[0]!BlankMacro1</definedName>
    <definedName name="사업렬">[0]!BlankMacro1</definedName>
    <definedName name="사업별" localSheetId="3">[0]!BlankMacro1</definedName>
    <definedName name="사업별">[0]!BlankMacro1</definedName>
    <definedName name="사업부문" localSheetId="3">#REF!</definedName>
    <definedName name="사업부문">#REF!</definedName>
    <definedName name="사업비교표" localSheetId="3" hidden="1">{#N/A,#N/A,FALSE,"정공"}</definedName>
    <definedName name="사업비교표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 localSheetId="3">BlankMacro1</definedName>
    <definedName name="산출근거">BlankMacro1</definedName>
    <definedName name="산출내역">#REF!</definedName>
    <definedName name="산출냐역">#REF!</definedName>
    <definedName name="삼성" localSheetId="3" hidden="1">{#N/A,#N/A,FALSE,"정공"}</definedName>
    <definedName name="삼성" hidden="1">{#N/A,#N/A,FALSE,"정공"}</definedName>
    <definedName name="삼성2" localSheetId="3" hidden="1">{#N/A,#N/A,FALSE,"정공"}</definedName>
    <definedName name="삼성2" hidden="1">{#N/A,#N/A,FALSE,"정공"}</definedName>
    <definedName name="상">#REF!</definedName>
    <definedName name="상각" localSheetId="3">#REF!</definedName>
    <definedName name="상각">#REF!</definedName>
    <definedName name="상담">#REF!</definedName>
    <definedName name="상로허호" localSheetId="3" hidden="1">{#N/A,#N/A,FALSE,"정공"}</definedName>
    <definedName name="상로허호" hidden="1">{#N/A,#N/A,FALSE,"정공"}</definedName>
    <definedName name="상수">#REF!</definedName>
    <definedName name="새무형" localSheetId="3">#REF!</definedName>
    <definedName name="새무형">#REF!</definedName>
    <definedName name="새파일편집" localSheetId="3" hidden="1">{#N/A,#N/A,FALSE,"정공"}</definedName>
    <definedName name="새파일편집" hidden="1">{#N/A,#N/A,FALSE,"정공"}</definedName>
    <definedName name="생계">#REF!</definedName>
    <definedName name="생산능력" localSheetId="3" hidden="1">{#N/A,#N/A,FALSE,"정공"}</definedName>
    <definedName name="생산능력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3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공">#REF!</definedName>
    <definedName name="설비투자" localSheetId="3" hidden="1">{#N/A,#N/A,FALSE,"정공"}</definedName>
    <definedName name="설비투자" hidden="1">{#N/A,#N/A,FALSE,"정공"}</definedName>
    <definedName name="설집">#REF!</definedName>
    <definedName name="성과분석용" localSheetId="3">[0]!BlankMacro1</definedName>
    <definedName name="성과분석용">[0]!BlankMacro1</definedName>
    <definedName name="성적">#REF!</definedName>
    <definedName name="세부실적" localSheetId="3">[0]!BlankMacro1</definedName>
    <definedName name="세부실적">[0]!BlankMacro1</definedName>
    <definedName name="소계">#REF!</definedName>
    <definedName name="소나무">#REF!</definedName>
    <definedName name="소방">#REF!</definedName>
    <definedName name="소방시설공사">#REF!</definedName>
    <definedName name="소요기간" localSheetId="3" hidden="1">{#N/A,#N/A,FALSE,"정공"}</definedName>
    <definedName name="소요기간" hidden="1">{#N/A,#N/A,FALSE,"정공"}</definedName>
    <definedName name="소요약" localSheetId="3">[0]!BlankMacro1</definedName>
    <definedName name="소요약">[0]!BlankMacro1</definedName>
    <definedName name="소형차축부" localSheetId="3">#REF!</definedName>
    <definedName name="소형차축부">#REF!</definedName>
    <definedName name="손익계산" localSheetId="3" hidden="1">{#N/A,#N/A,FALSE,"정공"}</definedName>
    <definedName name="손익계산" hidden="1">{#N/A,#N/A,FALSE,"정공"}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3" hidden="1">{#N/A,#N/A,FALSE,"정공"}</definedName>
    <definedName name="송익" hidden="1">{#N/A,#N/A,FALSE,"정공"}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 localSheetId="3">BlankMacro1</definedName>
    <definedName name="수량산출">BlankMacro1</definedName>
    <definedName name="수량산출2" localSheetId="3">BlankMacro1</definedName>
    <definedName name="수량산출2">BlankMacro1</definedName>
    <definedName name="수량산출5" localSheetId="3">BlankMacro1</definedName>
    <definedName name="수량산출5">BlankMacro1</definedName>
    <definedName name="수량추정" localSheetId="3" hidden="1">{#N/A,#N/A,FALSE,"정공"}</definedName>
    <definedName name="수량추정" hidden="1">{#N/A,#N/A,FALSE,"정공"}</definedName>
    <definedName name="수목수량">#REF!</definedName>
    <definedName name="수수꽃다리">#REF!</definedName>
    <definedName name="수정사항2" localSheetId="3">#REF!</definedName>
    <definedName name="수정사항2">#REF!</definedName>
    <definedName name="수정손익" localSheetId="3" hidden="1">{#N/A,#N/A,FALSE,"정공"}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숙직">#REF!</definedName>
    <definedName name="순공사비">#REF!</definedName>
    <definedName name="순공사원가">#REF!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 localSheetId="3">[0]!BlankMacro1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실" localSheetId="3">BlankMacro1</definedName>
    <definedName name="실">BlankMacro1</definedName>
    <definedName name="실내" localSheetId="3">BlankMacro1</definedName>
    <definedName name="실내">BlankMacro1</definedName>
    <definedName name="실비적용">#REF!</definedName>
    <definedName name="실행">#REF!</definedName>
    <definedName name="십이월" localSheetId="3">#REF!</definedName>
    <definedName name="십이월">#REF!</definedName>
    <definedName name="ㅇ" localSheetId="3">#REF!</definedName>
    <definedName name="ㅇ">#REF!</definedName>
    <definedName name="ㅇㄴㄹㄴㅁㅇㄻ">#REF!</definedName>
    <definedName name="ㅇㄹ">#REF!</definedName>
    <definedName name="ㅇㄹㅇㄹㅇ" localSheetId="3" hidden="1">{#N/A,#N/A,FALSE,"정공"}</definedName>
    <definedName name="ㅇㄹㅇㄹㅇ" hidden="1">{#N/A,#N/A,FALSE,"정공"}</definedName>
    <definedName name="ㅇㅀ" localSheetId="3">[0]!BlankMacro1</definedName>
    <definedName name="ㅇㅀ">[0]!BlankMacro1</definedName>
    <definedName name="ㅇㅇ" localSheetId="3">#REF!</definedName>
    <definedName name="ㅇㅇ">#REF!</definedName>
    <definedName name="ㅇㅇㅇ" localSheetId="3" hidden="1">{#N/A,#N/A,FALSE,"정공"}</definedName>
    <definedName name="ㅇㅇㅇ" hidden="1">{#N/A,#N/A,FALSE,"정공"}</definedName>
    <definedName name="ㅇ호" localSheetId="3">[0]!BlankMacro1</definedName>
    <definedName name="ㅇ호">[0]!BlankMacro1</definedName>
    <definedName name="아">#REF!</definedName>
    <definedName name="아나나" localSheetId="3" hidden="1">{#N/A,#N/A,FALSE,"정공"}</definedName>
    <definedName name="아나나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3">[0]!BlankMacro1</definedName>
    <definedName name="아니오오오">[0]!BlankMacro1</definedName>
    <definedName name="아닙니다" localSheetId="3" hidden="1">{#N/A,#N/A,FALSE,"정공"}</definedName>
    <definedName name="아닙니다" hidden="1">{#N/A,#N/A,FALSE,"정공"}</definedName>
    <definedName name="아라리오" localSheetId="3">[0]!BlankMacro1</definedName>
    <definedName name="아라리오">[0]!BlankMacro1</definedName>
    <definedName name="아리" localSheetId="3">[0]!BlankMacro1</definedName>
    <definedName name="아리">[0]!BlankMacro1</definedName>
    <definedName name="아이">#REF!</definedName>
    <definedName name="안">#REF!</definedName>
    <definedName name="안녕" localSheetId="3">#REF!</definedName>
    <definedName name="안녕">#REF!</definedName>
    <definedName name="안영ㅇㅇ" localSheetId="3">[0]!BlankMacro1</definedName>
    <definedName name="안영ㅇㅇ">[0]!BlankMacro1</definedName>
    <definedName name="안전관리비기초액">#REF!</definedName>
    <definedName name="안전관리비율">#REF!</definedName>
    <definedName name="알" localSheetId="3">#REF!</definedName>
    <definedName name="알">#REF!</definedName>
    <definedName name="알미뉴">#REF!</definedName>
    <definedName name="알미늄">#REF!</definedName>
    <definedName name="앗서" localSheetId="3" hidden="1">{#N/A,#N/A,FALSE,"정공"}</definedName>
    <definedName name="앗서" hidden="1">{#N/A,#N/A,FALSE,"정공"}</definedName>
    <definedName name="앙" localSheetId="3">[0]!BlankMacro1</definedName>
    <definedName name="앙">[0]!BlankMacro1</definedName>
    <definedName name="약식손익" localSheetId="3" hidden="1">{#N/A,#N/A,FALSE,"정공"}</definedName>
    <definedName name="약식손익" hidden="1">{#N/A,#N/A,FALSE,"정공"}</definedName>
    <definedName name="약정분임" localSheetId="3">[0]!BlankMacro1</definedName>
    <definedName name="약정분임">[0]!BlankMacro1</definedName>
    <definedName name="약정이이자율" localSheetId="3">[0]!BlankMacro1</definedName>
    <definedName name="약정이이자율">[0]!BlankMacro1</definedName>
    <definedName name="약정잉자" localSheetId="3" hidden="1">{#N/A,#N/A,FALSE,"정공"}</definedName>
    <definedName name="약정잉자" hidden="1">{#N/A,#N/A,FALSE,"정공"}</definedName>
    <definedName name="양식" localSheetId="3">[0]!BlankMacro1</definedName>
    <definedName name="양식">[0]!BlankMacro1</definedName>
    <definedName name="양호">#REF!</definedName>
    <definedName name="어" localSheetId="3">[0]!BlankMacro1</definedName>
    <definedName name="어">[0]!BlankMacro1</definedName>
    <definedName name="어학">#REF!</definedName>
    <definedName name="어ㅏㄹ" localSheetId="3">BlankMacro1</definedName>
    <definedName name="어ㅏㄹ">BlankMacro1</definedName>
    <definedName name="업무" localSheetId="3">[0]!BlankMacro1</definedName>
    <definedName name="업무">[0]!BlankMacro1</definedName>
    <definedName name="업무2" localSheetId="3">[0]!BlankMacro1</definedName>
    <definedName name="업무2">[0]!BlankMacro1</definedName>
    <definedName name="업무3" localSheetId="3">[0]!BlankMacro1</definedName>
    <definedName name="업무3">[0]!BlankMacro1</definedName>
    <definedName name="업무목표" localSheetId="3" hidden="1">{#N/A,#N/A,FALSE,"정공"}</definedName>
    <definedName name="업무목표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연결부하">#REF!</definedName>
    <definedName name="연도.도금">#REF!</definedName>
    <definedName name="연습">#REF!</definedName>
    <definedName name="연주얀" localSheetId="3" hidden="1">{#N/A,#N/A,FALSE,"정공"}</definedName>
    <definedName name="연주얀" hidden="1">{#N/A,#N/A,FALSE,"정공"}</definedName>
    <definedName name="영1팀" localSheetId="3">[0]!BlankMacro1</definedName>
    <definedName name="영1팀">[0]!BlankMacro1</definedName>
    <definedName name="영산홍">#REF!</definedName>
    <definedName name="영어">#REF!</definedName>
    <definedName name="영업외비용" localSheetId="3">[0]!BlankMacro1</definedName>
    <definedName name="영업외비용">[0]!BlankMacro1</definedName>
    <definedName name="영역별수주" localSheetId="3">#REF!</definedName>
    <definedName name="영역별수주">#REF!</definedName>
    <definedName name="예" localSheetId="3">[0]!BlankMacro1</definedName>
    <definedName name="예">[0]!BlankMacro1</definedName>
    <definedName name="예1" localSheetId="3" hidden="1">{#N/A,#N/A,FALSE,"정공"}</definedName>
    <definedName name="예1" hidden="1">{#N/A,#N/A,FALSE,"정공"}</definedName>
    <definedName name="예2" localSheetId="3" hidden="1">{#N/A,#N/A,FALSE,"정공"}</definedName>
    <definedName name="예2" hidden="1">{#N/A,#N/A,FALSE,"정공"}</definedName>
    <definedName name="예3" localSheetId="3" hidden="1">{#N/A,#N/A,FALSE,"정공"}</definedName>
    <definedName name="예3" hidden="1">{#N/A,#N/A,FALSE,"정공"}</definedName>
    <definedName name="예절">#REF!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 localSheetId="3">#REF!</definedName>
    <definedName name="외상매입금">#REF!</definedName>
    <definedName name="외화환차" localSheetId="3" hidden="1">{#N/A,#N/A,FALSE,"정공"}</definedName>
    <definedName name="외화환차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3">[0]!BlankMacro1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 localSheetId="3">BlankMacro1</definedName>
    <definedName name="원가">BlankMacro1</definedName>
    <definedName name="원가개선" localSheetId="3">[0]!BlankMacro1</definedName>
    <definedName name="원가개선">[0]!BlankMacro1</definedName>
    <definedName name="원가관리라" localSheetId="3" hidden="1">{#N/A,#N/A,FALSE,"정공"}</definedName>
    <definedName name="원가관리라" hidden="1">{#N/A,#N/A,FALSE,"정공"}</definedName>
    <definedName name="원가적용" localSheetId="3" hidden="1">{#N/A,#N/A,FALSE,"정공"}</definedName>
    <definedName name="원가적용" hidden="1">{#N/A,#N/A,FALSE,"정공"}</definedName>
    <definedName name="원천징수합계">#REF!</definedName>
    <definedName name="월별원가절감상세" localSheetId="3" hidden="1">{#N/A,#N/A,FALSE,"정공"}</definedName>
    <definedName name="월별원가절감상세" hidden="1">{#N/A,#N/A,FALSE,"정공"}</definedName>
    <definedName name="위병면회소">#REF!</definedName>
    <definedName name="위생">#REF!</definedName>
    <definedName name="유가" localSheetId="3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 localSheetId="3">[0]!BlankMacro1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 localSheetId="3">[0]!BlankMacro1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윤율">#REF!</definedName>
    <definedName name="인동덩쿨">#REF!</definedName>
    <definedName name="인쇄영역">#REF!</definedName>
    <definedName name="인쇄제목" localSheetId="3">#REF!</definedName>
    <definedName name="인쇄제목">#REF!</definedName>
    <definedName name="인할">#REF!</definedName>
    <definedName name="일" localSheetId="3">[0]!BlankMacro1</definedName>
    <definedName name="일">[0]!BlankMacro1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 localSheetId="3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localSheetId="3" hidden="1">{#N/A,#N/A,FALSE,"정공"}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 localSheetId="3">#REF!</definedName>
    <definedName name="ㅈ">#REF!</definedName>
    <definedName name="ㅈㅈㅈㅈ" localSheetId="3">BlankMacro1</definedName>
    <definedName name="ㅈㅈㅈㅈ">BlankMacro1</definedName>
    <definedName name="자귀나무">#REF!</definedName>
    <definedName name="자본금" localSheetId="3" hidden="1">{#N/A,#N/A,FALSE,"정공"}</definedName>
    <definedName name="자본금" hidden="1">{#N/A,#N/A,FALSE,"정공"}</definedName>
    <definedName name="자재">#REF!</definedName>
    <definedName name="자재단가할증">#REF!</definedName>
    <definedName name="자재단가할증04" localSheetId="3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 localSheetId="3">[0]!BlankMacro1</definedName>
    <definedName name="잔다니아">[0]!BlankMacro1</definedName>
    <definedName name="잔다르크" localSheetId="3" hidden="1">{#N/A,#N/A,FALSE,"정공"}</definedName>
    <definedName name="잔다르크" hidden="1">{#N/A,#N/A,FALSE,"정공"}</definedName>
    <definedName name="잔디_평떼">#REF!</definedName>
    <definedName name="잔디구해" localSheetId="3">[0]!BlankMacro1</definedName>
    <definedName name="잔디구해">[0]!BlankMacro1</definedName>
    <definedName name="잣나무">#REF!</definedName>
    <definedName name="장비단가할증" localSheetId="3">#REF!</definedName>
    <definedName name="장비단가할증">#REF!</definedName>
    <definedName name="장비입고현황_품명별_List" localSheetId="3">#REF!</definedName>
    <definedName name="장비입고현황_품명별_List">#REF!</definedName>
    <definedName name="재량">#REF!</definedName>
    <definedName name="재료비">#REF!</definedName>
    <definedName name="저1" localSheetId="3" hidden="1">{#N/A,#N/A,FALSE,"정공"}</definedName>
    <definedName name="저1" hidden="1">{#N/A,#N/A,FALSE,"정공"}</definedName>
    <definedName name="저2" localSheetId="3" hidden="1">{#N/A,#N/A,FALSE,"정공"}</definedName>
    <definedName name="저2" hidden="1">{#N/A,#N/A,FALSE,"정공"}</definedName>
    <definedName name="전" localSheetId="3">[0]!BlankMacro1</definedName>
    <definedName name="전">[0]!BlankMacro1</definedName>
    <definedName name="전2" localSheetId="3" hidden="1">{#N/A,#N/A,FALSE,"정공"}</definedName>
    <definedName name="전2" hidden="1">{#N/A,#N/A,FALSE,"정공"}</definedName>
    <definedName name="전기공사">#REF!</definedName>
    <definedName name="전기공사원가" localSheetId="3">BlankMacro1</definedName>
    <definedName name="전기공사원가">BlankMacro1</definedName>
    <definedName name="전기공사원가내역" localSheetId="3">BlankMacro1</definedName>
    <definedName name="전기공사원가내역">BlankMacro1</definedName>
    <definedName name="전략" localSheetId="3" hidden="1">{#N/A,#N/A,FALSE,"정공"}</definedName>
    <definedName name="전략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3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체조직3" localSheetId="3">[0]!BlankMacro1</definedName>
    <definedName name="전체조직3">[0]!BlankMacro1</definedName>
    <definedName name="절">#REF!</definedName>
    <definedName name="절감" localSheetId="3">[0]!BlankMacro1</definedName>
    <definedName name="절감">[0]!BlankMacro1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산액" localSheetId="3">#REF!</definedName>
    <definedName name="정산액">#REF!</definedName>
    <definedName name="정산액2001" localSheetId="3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 localSheetId="3">[0]!BlankMacro1</definedName>
    <definedName name="조정시산">[0]!BlankMacro1</definedName>
    <definedName name="조정후손익" localSheetId="3" hidden="1">{#N/A,#N/A,FALSE,"정공"}</definedName>
    <definedName name="조정후손익" hidden="1">{#N/A,#N/A,FALSE,"정공"}</definedName>
    <definedName name="조직" localSheetId="3">[0]!BlankMacro1</definedName>
    <definedName name="조직">[0]!BlankMacro1</definedName>
    <definedName name="조직3" localSheetId="3" hidden="1">{#N/A,#N/A,FALSE,"정공"}</definedName>
    <definedName name="조직3" hidden="1">{#N/A,#N/A,FALSE,"정공"}</definedName>
    <definedName name="종산총액" localSheetId="3">#REF!</definedName>
    <definedName name="종산총액">#REF!</definedName>
    <definedName name="종합2" localSheetId="3" hidden="1">{#N/A,#N/A,FALSE,"정공"}</definedName>
    <definedName name="종합2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3">[0]!BlankMacro1</definedName>
    <definedName name="종합추이">[0]!BlankMacro1</definedName>
    <definedName name="주목">#REF!</definedName>
    <definedName name="주민세율" localSheetId="3">#REF!</definedName>
    <definedName name="주민세율">#REF!</definedName>
    <definedName name="주방기구.도금">#REF!</definedName>
    <definedName name="주요" localSheetId="3">[0]!BlankMacro1</definedName>
    <definedName name="주요">[0]!BlankMacro1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3">[0]!BlankMacro1</definedName>
    <definedName name="준호">[0]!BlankMacro1</definedName>
    <definedName name="줄사철">#REF!</definedName>
    <definedName name="중기" localSheetId="3" hidden="1">{#N/A,#N/A,FALSE,"정공"}</definedName>
    <definedName name="중기" hidden="1">{#N/A,#N/A,FALSE,"정공"}</definedName>
    <definedName name="중기변속기" localSheetId="3">[0]!BlankMacro1</definedName>
    <definedName name="중기변속기">[0]!BlankMacro1</definedName>
    <definedName name="지급어음" localSheetId="3">#REF!</definedName>
    <definedName name="지급어음">#REF!</definedName>
    <definedName name="지급어음명세" localSheetId="3">[0]!BlankMacro1</definedName>
    <definedName name="지급어음명세">[0]!BlankMacro1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차단기UP_DOWN">#REF!</definedName>
    <definedName name="차라리라" localSheetId="3">[0]!BlankMacro1</definedName>
    <definedName name="차라리라">[0]!BlankMacro1</definedName>
    <definedName name="차라이" localSheetId="3">[0]!BlankMacro1</definedName>
    <definedName name="차라이">[0]!BlankMacro1</definedName>
    <definedName name="차명고래" localSheetId="3">[0]!BlankMacro1</definedName>
    <definedName name="차명고래">[0]!BlankMacro1</definedName>
    <definedName name="차변합계" localSheetId="3">#REF!</definedName>
    <definedName name="차변합계">#REF!</definedName>
    <definedName name="차익거래" localSheetId="3">[0]!BlankMacro1</definedName>
    <definedName name="차익거래">[0]!BlankMacro1</definedName>
    <definedName name="차트" localSheetId="3" hidden="1">{#N/A,#N/A,FALSE,"정공"}</definedName>
    <definedName name="차트" hidden="1">{#N/A,#N/A,FALSE,"정공"}</definedName>
    <definedName name="창" localSheetId="3">[0]!BlankMacro1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localSheetId="3" hidden="1">{#N/A,#N/A,FALSE,"정공"}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 localSheetId="3">#REF!</definedName>
    <definedName name="총액">#REF!</definedName>
    <definedName name="총토탈">#REF!</definedName>
    <definedName name="총토탈1">#REF!</definedName>
    <definedName name="총토탈2">#REF!</definedName>
    <definedName name="최영" localSheetId="3" hidden="1">{#N/A,#N/A,FALSE,"정공"}</definedName>
    <definedName name="최영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 localSheetId="3">[0]!BlankMacro1</definedName>
    <definedName name="춤추는아이">[0]!BlankMacro1</definedName>
    <definedName name="치장벽돌공">#REF!</definedName>
    <definedName name="ㅋ" localSheetId="3">[0]!BlankMacro1</definedName>
    <definedName name="ㅋ">[0]!BlankMacro1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컴">#REF!</definedName>
    <definedName name="컴퓨">#REF!</definedName>
    <definedName name="크레인">#REF!</definedName>
    <definedName name="탈의">#REF!</definedName>
    <definedName name="태양열.도금">#REF!</definedName>
    <definedName name="터널" localSheetId="3" hidden="1">{#N/A,#N/A,FALSE,"부대1"}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 localSheetId="3">[0]!BlankMacro1</definedName>
    <definedName name="템플리트모듈1">[0]!BlankMacro1</definedName>
    <definedName name="템플리트모듈2" localSheetId="3">[0]!BlankMacro1</definedName>
    <definedName name="템플리트모듈2">[0]!BlankMacro1</definedName>
    <definedName name="템플리트모듈3" localSheetId="3">[0]!BlankMacro1</definedName>
    <definedName name="템플리트모듈3">[0]!BlankMacro1</definedName>
    <definedName name="템플리트모듈4" localSheetId="3">[0]!BlankMacro1</definedName>
    <definedName name="템플리트모듈4">[0]!BlankMacro1</definedName>
    <definedName name="템플리트모듈5" localSheetId="3">[0]!BlankMacro1</definedName>
    <definedName name="템플리트모듈5">[0]!BlankMacro1</definedName>
    <definedName name="템플리트모듈6" localSheetId="3">[0]!BlankMacro1</definedName>
    <definedName name="템플리트모듈6">[0]!BlankMacro1</definedName>
    <definedName name="토목내역">#REF!</definedName>
    <definedName name="통신집계" localSheetId="3">BlankMacro1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폐기물처리비">#REF!</definedName>
    <definedName name="특수">#REF!</definedName>
    <definedName name="특수비계공">#REF!</definedName>
    <definedName name="파라이다" localSheetId="3">[0]!BlankMacro1</definedName>
    <definedName name="파라이다">[0]!BlankMacro1</definedName>
    <definedName name="판다다" localSheetId="3">[0]!BlankMacro1</definedName>
    <definedName name="판다다">[0]!BlankMacro1</definedName>
    <definedName name="판도라상자" localSheetId="3" hidden="1">{#N/A,#N/A,FALSE,"정공"}</definedName>
    <definedName name="판도라상자" hidden="1">{#N/A,#N/A,FALSE,"정공"}</definedName>
    <definedName name="평당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 localSheetId="3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프" localSheetId="3">#REF!</definedName>
    <definedName name="프">#REF!</definedName>
    <definedName name="ㅎ" localSheetId="3">#REF!</definedName>
    <definedName name="ㅎ">#REF!</definedName>
    <definedName name="ㅎ384">#REF!</definedName>
    <definedName name="ㅎㄴㅇㅎㄹ" localSheetId="3">[0]!BlankMacro1</definedName>
    <definedName name="ㅎㄴㅇㅎㄹ">[0]!BlankMacro1</definedName>
    <definedName name="ㅎㅇㄴ" localSheetId="3">[0]!BlankMacro1</definedName>
    <definedName name="ㅎㅇㄴ">[0]!BlankMacro1</definedName>
    <definedName name="하나하나" localSheetId="3">[0]!BlankMacro1</definedName>
    <definedName name="하나하나">[0]!BlankMacro1</definedName>
    <definedName name="하하" localSheetId="3">#REF!</definedName>
    <definedName name="하하">#REF!</definedName>
    <definedName name="학생">#REF!</definedName>
    <definedName name="한라구절초">#REF!</definedName>
    <definedName name="한맥">#REF!</definedName>
    <definedName name="한번" localSheetId="3">[0]!BlankMacro1</definedName>
    <definedName name="한번">[0]!BlankMacro1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 localSheetId="3">[0]!BlankMacro1</definedName>
    <definedName name="항공생산부문인력">[0]!BlankMacro1</definedName>
    <definedName name="해당화">#REF!</definedName>
    <definedName name="현대" localSheetId="3" hidden="1">{#N/A,#N/A,FALSE,"정공"}</definedName>
    <definedName name="현대" hidden="1">{#N/A,#N/A,FALSE,"정공"}</definedName>
    <definedName name="호박">#REF!</definedName>
    <definedName name="홈">#REF!</definedName>
    <definedName name="홍단풍">#REF!</definedName>
    <definedName name="확인" localSheetId="3">[0]!BlankMacro1</definedName>
    <definedName name="확인">[0]!BlankMacro1</definedName>
    <definedName name="환율" localSheetId="3">#REF!</definedName>
    <definedName name="환율">#REF!</definedName>
    <definedName name="황">#REF!</definedName>
    <definedName name="휴게">#REF!</definedName>
    <definedName name="흄_____관">#REF!</definedName>
    <definedName name="ㅏㅏ" localSheetId="3">[0]!BlankMacro1</definedName>
    <definedName name="ㅏㅏ">[0]!BlankMacro1</definedName>
    <definedName name="ㅐㅐㅐㅐ" localSheetId="3">[0]!BlankMacro1</definedName>
    <definedName name="ㅐㅐㅐㅐ">[0]!BlankMacro1</definedName>
    <definedName name="ㅑ3081">#REF!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3">[0]!BlankMacro1</definedName>
    <definedName name="ㅓㅓ">[0]!BlankMacro1</definedName>
    <definedName name="ㅓㅗ" localSheetId="3">[0]!BlankMacro1</definedName>
    <definedName name="ㅓㅗ">[0]!BlankMacro1</definedName>
    <definedName name="ㅔ" localSheetId="3">#REF!</definedName>
    <definedName name="ㅔ">#REF!</definedName>
    <definedName name="ㅔㅔㅔㅔ" localSheetId="3">[0]!BlankMacro1</definedName>
    <definedName name="ㅔㅔㅔㅔ">[0]!BlankMacro1</definedName>
    <definedName name="ㅕㅛㅕㅛㅏ" localSheetId="3">BlankMacro1</definedName>
    <definedName name="ㅕㅛㅕㅛㅏ">BlankMacro1</definedName>
    <definedName name="ㅗㅕㅓ" localSheetId="3">[0]!BlankMacro1</definedName>
    <definedName name="ㅗㅕㅓ">[0]!BlankMacro1</definedName>
    <definedName name="ㅛㅛㅛㅛ" localSheetId="3">[0]!BlankMacro1</definedName>
    <definedName name="ㅛㅛㅛㅛ">[0]!BlankMacro1</definedName>
    <definedName name="ㅜㅜ" localSheetId="3">BlankMacro1</definedName>
    <definedName name="ㅜㅜ">BlankMacro1</definedName>
    <definedName name="ㅠ" localSheetId="3">#REF!</definedName>
    <definedName name="ㅠ">#REF!</definedName>
    <definedName name="ㅡ">#REF!</definedName>
    <definedName name="ㅡㅡㅡ" localSheetId="3">[0]!BlankMacro1</definedName>
    <definedName name="ㅡㅡㅡ">[0]!BlankMacro1</definedName>
    <definedName name="ㅣ" localSheetId="3" hidden="1">{#N/A,#N/A,FALSE,"정공"}</definedName>
    <definedName name="ㅣ" hidden="1">{#N/A,#N/A,FALSE,"정공"}</definedName>
    <definedName name="ㅣ275">#REF!</definedName>
    <definedName name="ㅣ81">#REF!</definedName>
    <definedName name="ㅣㅔ" localSheetId="3">#REF!</definedName>
    <definedName name="ㅣㅔ">#REF!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4" i="7" l="1"/>
  <c r="E8" i="2" l="1"/>
  <c r="F7" i="6" l="1"/>
  <c r="A16" i="10" l="1"/>
  <c r="A15" i="10"/>
  <c r="I3" i="10"/>
  <c r="A14" i="10"/>
  <c r="G21" i="6" l="1"/>
  <c r="A17" i="12" l="1"/>
  <c r="A16" i="12"/>
  <c r="A15" i="12"/>
  <c r="G14" i="12"/>
  <c r="H14" i="12" s="1"/>
  <c r="A14" i="12"/>
  <c r="G13" i="12"/>
  <c r="H13" i="12" s="1"/>
  <c r="A13" i="12"/>
  <c r="G12" i="12"/>
  <c r="H12" i="12" s="1"/>
  <c r="A12" i="12"/>
  <c r="G11" i="12"/>
  <c r="H11" i="12" s="1"/>
  <c r="A11" i="12"/>
  <c r="G10" i="12"/>
  <c r="H10" i="12" s="1"/>
  <c r="A10" i="12"/>
  <c r="G9" i="12"/>
  <c r="H9" i="12" s="1"/>
  <c r="A9" i="12"/>
  <c r="G8" i="12"/>
  <c r="H8" i="12" s="1"/>
  <c r="A8" i="12"/>
  <c r="G7" i="12"/>
  <c r="H7" i="12" s="1"/>
  <c r="A7" i="12"/>
  <c r="G6" i="12"/>
  <c r="H6" i="12" s="1"/>
  <c r="A6" i="12"/>
  <c r="G5" i="12"/>
  <c r="H5" i="12" s="1"/>
  <c r="A5" i="12"/>
  <c r="G4" i="12"/>
  <c r="H4" i="12" s="1"/>
  <c r="A4" i="12"/>
  <c r="I10" i="11"/>
  <c r="A10" i="11"/>
  <c r="I9" i="11"/>
  <c r="A9" i="11"/>
  <c r="I8" i="11"/>
  <c r="A8" i="11"/>
  <c r="I7" i="11"/>
  <c r="A7" i="11"/>
  <c r="I6" i="11"/>
  <c r="A6" i="11"/>
  <c r="I5" i="11"/>
  <c r="A5" i="11"/>
  <c r="I4" i="11"/>
  <c r="A4" i="11"/>
  <c r="A13" i="10"/>
  <c r="A12" i="10"/>
  <c r="A11" i="10"/>
  <c r="A10" i="10"/>
  <c r="A9" i="10"/>
  <c r="A8" i="10"/>
  <c r="A7" i="10"/>
  <c r="A6" i="10"/>
  <c r="A5" i="10"/>
  <c r="A4" i="10"/>
  <c r="I13" i="9"/>
  <c r="A13" i="9"/>
  <c r="A12" i="9"/>
  <c r="I11" i="9"/>
  <c r="A11" i="9"/>
  <c r="A10" i="9"/>
  <c r="A9" i="9"/>
  <c r="I8" i="9"/>
  <c r="A8" i="9"/>
  <c r="I7" i="9"/>
  <c r="A7" i="9"/>
  <c r="I6" i="9"/>
  <c r="A6" i="9"/>
  <c r="I5" i="9"/>
  <c r="A5" i="9"/>
  <c r="I4" i="9"/>
  <c r="A4" i="9"/>
  <c r="A12" i="14"/>
  <c r="A11" i="14"/>
  <c r="A10" i="14"/>
  <c r="A9" i="14"/>
  <c r="A8" i="14"/>
  <c r="A7" i="14"/>
  <c r="A6" i="14"/>
  <c r="A5" i="14"/>
  <c r="A4" i="14"/>
  <c r="I11" i="11" l="1"/>
  <c r="I3" i="14"/>
  <c r="A9" i="13"/>
  <c r="A8" i="13"/>
  <c r="A7" i="13"/>
  <c r="A6" i="13"/>
  <c r="A5" i="13"/>
  <c r="A4" i="13"/>
  <c r="H3" i="12" l="1"/>
  <c r="E16" i="15"/>
  <c r="F11" i="15"/>
  <c r="F10" i="15"/>
  <c r="F9" i="15"/>
  <c r="F8" i="15"/>
  <c r="F7" i="15"/>
  <c r="F6" i="15"/>
  <c r="F5" i="15"/>
  <c r="F13" i="15" l="1"/>
  <c r="F16" i="15" s="1"/>
  <c r="G8" i="6" l="1"/>
  <c r="G13" i="6" l="1"/>
  <c r="G14" i="6" s="1"/>
  <c r="G18" i="6" s="1"/>
  <c r="I3" i="11" l="1"/>
  <c r="I3" i="9"/>
  <c r="K9" i="7" l="1"/>
  <c r="L9" i="7" s="1"/>
  <c r="K11" i="7"/>
  <c r="L11" i="7" s="1"/>
  <c r="K12" i="7"/>
  <c r="L12" i="7" s="1"/>
  <c r="K13" i="7"/>
  <c r="L13" i="7" s="1"/>
  <c r="K14" i="7"/>
  <c r="L14" i="7" s="1"/>
  <c r="K15" i="7"/>
  <c r="L15" i="7" s="1"/>
  <c r="K17" i="7"/>
  <c r="L17" i="7" s="1"/>
  <c r="K10" i="7"/>
  <c r="L10" i="7" s="1"/>
  <c r="K16" i="7"/>
  <c r="L16" i="7" s="1"/>
  <c r="I3" i="13"/>
  <c r="AN48" i="8" l="1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41" i="8"/>
  <c r="AP41" i="8" s="1"/>
  <c r="AN40" i="8"/>
  <c r="AP40" i="8" s="1"/>
  <c r="AN39" i="8"/>
  <c r="AP39" i="8" s="1"/>
  <c r="AN38" i="8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AK49" i="8"/>
  <c r="AL49" i="8"/>
  <c r="AM49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AK55" i="8"/>
  <c r="AL55" i="8"/>
  <c r="AM55" i="8"/>
  <c r="P56" i="8" l="1"/>
  <c r="O56" i="8"/>
  <c r="N56" i="8"/>
  <c r="Z56" i="8"/>
  <c r="AM56" i="8"/>
  <c r="AL56" i="8"/>
  <c r="Q56" i="8"/>
  <c r="AD56" i="8"/>
  <c r="T56" i="8"/>
  <c r="AF56" i="8"/>
  <c r="R56" i="8"/>
  <c r="AB56" i="8"/>
  <c r="AA56" i="8"/>
  <c r="AC56" i="8"/>
  <c r="AJ56" i="8"/>
  <c r="AE56" i="8"/>
  <c r="W56" i="8"/>
  <c r="AK56" i="8"/>
  <c r="Y56" i="8"/>
  <c r="M56" i="8"/>
  <c r="X56" i="8"/>
  <c r="L56" i="8"/>
  <c r="AI56" i="8"/>
  <c r="K56" i="8"/>
  <c r="V56" i="8"/>
  <c r="J56" i="8"/>
  <c r="AG56" i="8"/>
  <c r="U56" i="8"/>
  <c r="I56" i="8"/>
  <c r="S56" i="8"/>
  <c r="AH56" i="8"/>
  <c r="AN28" i="8" l="1"/>
  <c r="AP28" i="8" s="1"/>
  <c r="AN27" i="8"/>
  <c r="AP27" i="8" s="1"/>
  <c r="AN26" i="8"/>
  <c r="AP26" i="8" s="1"/>
  <c r="AN25" i="8"/>
  <c r="AP25" i="8" s="1"/>
  <c r="AN24" i="8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AN17" i="8"/>
  <c r="AP17" i="8" s="1"/>
  <c r="AN16" i="8"/>
  <c r="AP16" i="8" s="1"/>
  <c r="AN15" i="8"/>
  <c r="AP15" i="8" s="1"/>
  <c r="AN14" i="8"/>
  <c r="AP14" i="8" s="1"/>
  <c r="AN13" i="8"/>
  <c r="AP13" i="8" s="1"/>
  <c r="AN12" i="8"/>
  <c r="AP12" i="8" s="1"/>
  <c r="AN11" i="8" l="1"/>
  <c r="AP11" i="8" s="1"/>
  <c r="AN10" i="8"/>
  <c r="AP10" i="8" s="1"/>
  <c r="AN9" i="8"/>
  <c r="AP9" i="8" s="1"/>
  <c r="AN8" i="8"/>
  <c r="AP8" i="8" s="1"/>
  <c r="AN7" i="8"/>
  <c r="AP7" i="8" s="1"/>
  <c r="AN6" i="8"/>
  <c r="AP6" i="8" s="1"/>
  <c r="E10" i="2" l="1"/>
  <c r="E9" i="2"/>
  <c r="E7" i="2"/>
  <c r="K51" i="7" l="1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L32" i="7" s="1"/>
  <c r="K31" i="7"/>
  <c r="K30" i="7"/>
  <c r="K29" i="7"/>
  <c r="D5" i="6" l="1"/>
  <c r="F11" i="6" l="1"/>
  <c r="F10" i="6"/>
  <c r="AM3" i="8" l="1"/>
  <c r="AM1" i="8"/>
  <c r="AN54" i="8"/>
  <c r="AP54" i="8" s="1"/>
  <c r="AN53" i="8"/>
  <c r="AP53" i="8" s="1"/>
  <c r="AN52" i="8"/>
  <c r="AP52" i="8" s="1"/>
  <c r="AN51" i="8"/>
  <c r="AP51" i="8" s="1"/>
  <c r="AN50" i="8"/>
  <c r="AP50" i="8" s="1"/>
  <c r="AP55" i="8" l="1"/>
  <c r="F6" i="6" s="1"/>
  <c r="E6" i="6" s="1"/>
  <c r="AN49" i="8"/>
  <c r="AP49" i="8"/>
  <c r="AN55" i="8"/>
  <c r="F51" i="7"/>
  <c r="L51" i="7" s="1"/>
  <c r="F50" i="7"/>
  <c r="L50" i="7" s="1"/>
  <c r="F49" i="7"/>
  <c r="L49" i="7" s="1"/>
  <c r="F48" i="7"/>
  <c r="L48" i="7" s="1"/>
  <c r="F47" i="7"/>
  <c r="L47" i="7" s="1"/>
  <c r="F46" i="7"/>
  <c r="L46" i="7" s="1"/>
  <c r="F45" i="7"/>
  <c r="L45" i="7" s="1"/>
  <c r="F44" i="7"/>
  <c r="L44" i="7" s="1"/>
  <c r="F43" i="7"/>
  <c r="F42" i="7"/>
  <c r="F41" i="7"/>
  <c r="F40" i="7"/>
  <c r="F39" i="7"/>
  <c r="F38" i="7"/>
  <c r="F37" i="7"/>
  <c r="F36" i="7"/>
  <c r="F35" i="7"/>
  <c r="L35" i="7" s="1"/>
  <c r="F34" i="7"/>
  <c r="L34" i="7" s="1"/>
  <c r="F33" i="7"/>
  <c r="L33" i="7" s="1"/>
  <c r="F31" i="7"/>
  <c r="F30" i="7"/>
  <c r="L30" i="7" s="1"/>
  <c r="F29" i="7"/>
  <c r="K28" i="7"/>
  <c r="K27" i="7"/>
  <c r="K26" i="7"/>
  <c r="L26" i="7" s="1"/>
  <c r="K25" i="7"/>
  <c r="L25" i="7" s="1"/>
  <c r="K24" i="7"/>
  <c r="L24" i="7" s="1"/>
  <c r="K23" i="7"/>
  <c r="K22" i="7"/>
  <c r="L22" i="7" s="1"/>
  <c r="K21" i="7"/>
  <c r="K20" i="7"/>
  <c r="K19" i="7"/>
  <c r="L19" i="7" s="1"/>
  <c r="K18" i="7"/>
  <c r="K8" i="7"/>
  <c r="K7" i="7"/>
  <c r="K6" i="7"/>
  <c r="B3" i="7"/>
  <c r="A1" i="6"/>
  <c r="L2" i="6"/>
  <c r="AN56" i="8" l="1"/>
  <c r="D9" i="6" s="1"/>
  <c r="L27" i="7"/>
  <c r="L37" i="7"/>
  <c r="L38" i="7"/>
  <c r="L41" i="7"/>
  <c r="L42" i="7"/>
  <c r="L43" i="7"/>
  <c r="L39" i="7"/>
  <c r="L40" i="7"/>
  <c r="L29" i="7"/>
  <c r="L31" i="7"/>
  <c r="L36" i="7"/>
  <c r="L8" i="7"/>
  <c r="D4" i="6"/>
  <c r="AP56" i="8"/>
  <c r="AO49" i="8"/>
  <c r="H7" i="6" s="1"/>
  <c r="I7" i="6" s="1"/>
  <c r="L7" i="7"/>
  <c r="L23" i="7"/>
  <c r="L6" i="7"/>
  <c r="L20" i="7"/>
  <c r="L28" i="7"/>
  <c r="L18" i="7"/>
  <c r="L21" i="7"/>
  <c r="F20" i="6"/>
  <c r="H19" i="6"/>
  <c r="I19" i="6" s="1"/>
  <c r="H17" i="6"/>
  <c r="I17" i="6" s="1"/>
  <c r="H16" i="6"/>
  <c r="I16" i="6" s="1"/>
  <c r="E14" i="2" s="1"/>
  <c r="H15" i="6"/>
  <c r="I15" i="6" s="1"/>
  <c r="F12" i="6"/>
  <c r="H6" i="6"/>
  <c r="I6" i="6" s="1"/>
  <c r="AO56" i="8" l="1"/>
  <c r="F9" i="6"/>
  <c r="H20" i="6"/>
  <c r="I20" i="6" s="1"/>
  <c r="L20" i="6" s="1"/>
  <c r="E12" i="2" s="1"/>
  <c r="E11" i="2"/>
  <c r="F5" i="6"/>
  <c r="F4" i="6"/>
  <c r="L52" i="7"/>
  <c r="K52" i="7"/>
  <c r="E11" i="6"/>
  <c r="H11" i="6"/>
  <c r="I11" i="6" s="1"/>
  <c r="E10" i="6"/>
  <c r="H12" i="6"/>
  <c r="I12" i="6" s="1"/>
  <c r="H10" i="6"/>
  <c r="I10" i="6" s="1"/>
  <c r="F6" i="5"/>
  <c r="F7" i="5"/>
  <c r="F8" i="5"/>
  <c r="F9" i="5"/>
  <c r="F10" i="5"/>
  <c r="F11" i="5"/>
  <c r="F5" i="5"/>
  <c r="E15" i="5"/>
  <c r="E3" i="2"/>
  <c r="D3" i="2"/>
  <c r="F8" i="6" l="1"/>
  <c r="H8" i="6" s="1"/>
  <c r="I8" i="6" s="1"/>
  <c r="E5" i="6"/>
  <c r="H5" i="6"/>
  <c r="I5" i="6" s="1"/>
  <c r="H9" i="6"/>
  <c r="E9" i="6"/>
  <c r="F13" i="6"/>
  <c r="H13" i="6" s="1"/>
  <c r="I13" i="6" s="1"/>
  <c r="H4" i="6"/>
  <c r="I4" i="6" s="1"/>
  <c r="E4" i="6"/>
  <c r="F13" i="5"/>
  <c r="F15" i="5" s="1"/>
  <c r="D14" i="2"/>
  <c r="D12" i="2"/>
  <c r="D11" i="2"/>
  <c r="D10" i="2"/>
  <c r="D9" i="2"/>
  <c r="D7" i="2"/>
  <c r="F14" i="6" l="1"/>
  <c r="H14" i="6" l="1"/>
  <c r="I14" i="6" s="1"/>
  <c r="F18" i="6"/>
  <c r="F21" i="6" s="1"/>
  <c r="H21" i="6" s="1"/>
  <c r="I21" i="6" s="1"/>
  <c r="H18" i="6" l="1"/>
  <c r="I18" i="6" s="1"/>
  <c r="D8" i="2"/>
  <c r="F22" i="6"/>
  <c r="H22" i="6" l="1"/>
  <c r="I22" i="6" s="1"/>
  <c r="E5" i="2" s="1"/>
  <c r="D5" i="2" s="1"/>
  <c r="E13" i="2"/>
  <c r="E6" i="2" s="1"/>
  <c r="D6" i="2" s="1"/>
  <c r="I9" i="6"/>
  <c r="D13" i="2" l="1"/>
  <c r="N32" i="7" l="1"/>
  <c r="H32" i="7" s="1"/>
  <c r="M32" i="7"/>
  <c r="G32" i="7" s="1"/>
  <c r="M42" i="7"/>
  <c r="G42" i="7"/>
  <c r="M38" i="7"/>
  <c r="G38" i="7"/>
  <c r="M36" i="7"/>
  <c r="G36" i="7"/>
  <c r="M45" i="7"/>
  <c r="G45" i="7" s="1"/>
  <c r="M35" i="7"/>
  <c r="G35" i="7" s="1"/>
  <c r="M39" i="7"/>
  <c r="G39" i="7" s="1"/>
  <c r="M41" i="7"/>
  <c r="G41" i="7"/>
  <c r="M44" i="7"/>
  <c r="G44" i="7"/>
  <c r="N44" i="7"/>
  <c r="H44" i="7"/>
  <c r="N34" i="7"/>
  <c r="H34" i="7" s="1"/>
  <c r="N33" i="7"/>
  <c r="H33" i="7"/>
  <c r="M33" i="7"/>
  <c r="G33" i="7" s="1"/>
  <c r="N42" i="7"/>
  <c r="H42" i="7" s="1"/>
  <c r="N40" i="7"/>
  <c r="H40" i="7" s="1"/>
  <c r="N37" i="7"/>
  <c r="H37" i="7" s="1"/>
  <c r="N35" i="7"/>
  <c r="H35" i="7" s="1"/>
  <c r="N39" i="7"/>
  <c r="H39" i="7" s="1"/>
  <c r="N41" i="7"/>
  <c r="H41" i="7" s="1"/>
  <c r="N43" i="7"/>
  <c r="H43" i="7"/>
  <c r="M34" i="7"/>
  <c r="G34" i="7"/>
  <c r="N45" i="7"/>
  <c r="H45" i="7"/>
  <c r="N38" i="7"/>
  <c r="H38" i="7" s="1"/>
  <c r="M40" i="7"/>
  <c r="G40" i="7"/>
  <c r="N36" i="7"/>
  <c r="H36" i="7"/>
  <c r="M37" i="7"/>
  <c r="G37" i="7"/>
  <c r="M43" i="7"/>
  <c r="G43" i="7" s="1"/>
  <c r="M9" i="7"/>
  <c r="G9" i="7" s="1"/>
  <c r="M15" i="7"/>
  <c r="G15" i="7" s="1"/>
  <c r="N51" i="7"/>
  <c r="H51" i="7" s="1"/>
  <c r="M26" i="7"/>
  <c r="G26" i="7"/>
  <c r="M8" i="7"/>
  <c r="G8" i="7" s="1"/>
  <c r="M19" i="7"/>
  <c r="G19" i="7"/>
  <c r="N23" i="7"/>
  <c r="H23" i="7" s="1"/>
  <c r="M28" i="7"/>
  <c r="G28" i="7" s="1"/>
  <c r="M17" i="7"/>
  <c r="G17" i="7" s="1"/>
  <c r="M18" i="7"/>
  <c r="G18" i="7" s="1"/>
  <c r="N48" i="7"/>
  <c r="H48" i="7"/>
  <c r="N25" i="7"/>
  <c r="H25" i="7" s="1"/>
  <c r="N16" i="7"/>
  <c r="H16" i="7" s="1"/>
  <c r="N27" i="7"/>
  <c r="H27" i="7" s="1"/>
  <c r="M51" i="7"/>
  <c r="G51" i="7"/>
  <c r="N8" i="7"/>
  <c r="H8" i="7" s="1"/>
  <c r="N49" i="7"/>
  <c r="H49" i="7"/>
  <c r="N47" i="7"/>
  <c r="H47" i="7" s="1"/>
  <c r="N12" i="7"/>
  <c r="H12" i="7"/>
  <c r="N19" i="7"/>
  <c r="H19" i="7"/>
  <c r="M46" i="7"/>
  <c r="G46" i="7" s="1"/>
  <c r="N26" i="7"/>
  <c r="H26" i="7" s="1"/>
  <c r="M30" i="7"/>
  <c r="G30" i="7"/>
  <c r="M27" i="7"/>
  <c r="G27" i="7"/>
  <c r="N28" i="7"/>
  <c r="H28" i="7"/>
  <c r="M12" i="7"/>
  <c r="G12" i="7" s="1"/>
  <c r="M13" i="7"/>
  <c r="G13" i="7" s="1"/>
  <c r="M14" i="7"/>
  <c r="G14" i="7" s="1"/>
  <c r="M7" i="7"/>
  <c r="G7" i="7"/>
  <c r="N17" i="7"/>
  <c r="H17" i="7" s="1"/>
  <c r="J52" i="7"/>
  <c r="M31" i="7"/>
  <c r="G31" i="7" s="1"/>
  <c r="M48" i="7"/>
  <c r="G48" i="7"/>
  <c r="N46" i="7"/>
  <c r="H46" i="7"/>
  <c r="M25" i="7"/>
  <c r="G25" i="7"/>
  <c r="M21" i="7"/>
  <c r="G21" i="7"/>
  <c r="N10" i="7"/>
  <c r="H10" i="7"/>
  <c r="N29" i="7"/>
  <c r="H29" i="7" s="1"/>
  <c r="I52" i="7"/>
  <c r="M50" i="7"/>
  <c r="G50" i="7" s="1"/>
  <c r="N21" i="7"/>
  <c r="H21" i="7" s="1"/>
  <c r="N20" i="7"/>
  <c r="H20" i="7" s="1"/>
  <c r="M47" i="7"/>
  <c r="G47" i="7"/>
  <c r="M24" i="7"/>
  <c r="G24" i="7"/>
  <c r="M10" i="7"/>
  <c r="G10" i="7" s="1"/>
  <c r="M22" i="7"/>
  <c r="G22" i="7" s="1"/>
  <c r="M11" i="7"/>
  <c r="G11" i="7" s="1"/>
  <c r="N9" i="7"/>
  <c r="H9" i="7" s="1"/>
  <c r="N11" i="7"/>
  <c r="H11" i="7" s="1"/>
  <c r="N24" i="7"/>
  <c r="H24" i="7" s="1"/>
  <c r="N14" i="7"/>
  <c r="H14" i="7" s="1"/>
  <c r="M23" i="7"/>
  <c r="G23" i="7" s="1"/>
  <c r="M16" i="7"/>
  <c r="G16" i="7" s="1"/>
  <c r="M49" i="7"/>
  <c r="G49" i="7" s="1"/>
  <c r="N30" i="7"/>
  <c r="H30" i="7"/>
  <c r="N50" i="7"/>
  <c r="H50" i="7" s="1"/>
  <c r="N15" i="7"/>
  <c r="H15" i="7" s="1"/>
  <c r="M20" i="7"/>
  <c r="G20" i="7" s="1"/>
  <c r="N22" i="7"/>
  <c r="H22" i="7"/>
  <c r="N13" i="7"/>
  <c r="H13" i="7" s="1"/>
  <c r="M29" i="7"/>
  <c r="G29" i="7" s="1"/>
  <c r="N7" i="7"/>
  <c r="H7" i="7" s="1"/>
  <c r="N18" i="7"/>
  <c r="H18" i="7" s="1"/>
  <c r="N31" i="7"/>
  <c r="H31" i="7"/>
  <c r="M6" i="7"/>
  <c r="G6" i="7"/>
  <c r="N6" i="7"/>
  <c r="H6" i="7" s="1"/>
  <c r="N52" i="7" l="1"/>
  <c r="G52" i="7"/>
  <c r="H52" i="7"/>
  <c r="M5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김영광</author>
  </authors>
  <commentList>
    <comment ref="I9" authorId="0" shapeId="0" xr:uid="{046CF6CF-E596-46A4-A253-9F6C092FA68F}">
      <text>
        <r>
          <rPr>
            <b/>
            <sz val="9"/>
            <color indexed="81"/>
            <rFont val="돋움"/>
            <family val="3"/>
            <charset val="129"/>
          </rPr>
          <t>태성귀책</t>
        </r>
        <r>
          <rPr>
            <b/>
            <sz val="9"/>
            <color indexed="81"/>
            <rFont val="Tahoma"/>
            <family val="2"/>
          </rPr>
          <t xml:space="preserve"> 11</t>
        </r>
        <r>
          <rPr>
            <b/>
            <sz val="9"/>
            <color indexed="81"/>
            <rFont val="돋움"/>
            <family val="3"/>
            <charset val="129"/>
          </rPr>
          <t>인치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차감
</t>
        </r>
      </text>
    </comment>
  </commentList>
</comments>
</file>

<file path=xl/sharedStrings.xml><?xml version="1.0" encoding="utf-8"?>
<sst xmlns="http://schemas.openxmlformats.org/spreadsheetml/2006/main" count="1042" uniqueCount="592">
  <si>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</si>
  <si>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</si>
  <si>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</si>
  <si>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</si>
  <si>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</si>
  <si>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</si>
  <si>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</si>
  <si>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</si>
  <si>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</si>
  <si>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</si>
  <si>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</si>
  <si>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</si>
  <si>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</si>
  <si>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</si>
  <si>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</si>
  <si>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</si>
  <si>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</si>
  <si>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</si>
  <si>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</si>
  <si>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</si>
  <si>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</si>
  <si>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</si>
  <si>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</si>
  <si>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</si>
  <si>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</si>
  <si>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</si>
  <si>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</si>
  <si>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</si>
  <si>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</si>
  <si>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</si>
  <si>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</si>
  <si>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</si>
  <si>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</si>
  <si>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</si>
  <si>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</si>
  <si>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</si>
  <si>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</si>
  <si>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</si>
  <si>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</si>
  <si>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</si>
  <si>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</si>
  <si>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</si>
  <si>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</si>
  <si>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</si>
  <si>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</si>
  <si>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</si>
  <si>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</si>
  <si>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</si>
  <si>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</si>
  <si>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</si>
  <si>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</si>
  <si>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</si>
  <si>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</si>
  <si>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</si>
  <si>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</si>
  <si>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</si>
  <si>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</si>
  <si>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</si>
  <si>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</si>
  <si>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</si>
  <si>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</si>
  <si>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</si>
  <si>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</si>
  <si>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</si>
  <si>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</si>
  <si>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</si>
  <si>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</si>
  <si>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</si>
  <si>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</si>
  <si>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</si>
  <si>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</si>
  <si>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</si>
  <si>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</si>
  <si>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</si>
  <si>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</si>
  <si>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</si>
  <si>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</si>
  <si>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</si>
  <si>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</si>
  <si>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</si>
  <si>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</si>
  <si>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</si>
  <si>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</si>
  <si>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</si>
  <si>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</si>
  <si>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</si>
  <si>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</si>
  <si>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</si>
  <si>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</si>
  <si>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</si>
  <si>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</si>
  <si>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</si>
  <si>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</si>
  <si>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</si>
  <si>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</si>
  <si>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</si>
  <si>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</si>
  <si>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</si>
  <si>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</si>
  <si>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</si>
  <si>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</si>
  <si>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</si>
  <si>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</si>
  <si>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</si>
  <si>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</si>
  <si>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</si>
  <si>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</si>
  <si>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</si>
  <si>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</si>
  <si>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</si>
  <si>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</si>
  <si>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</si>
  <si>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</si>
  <si>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</si>
  <si>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</si>
  <si>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</si>
  <si>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</si>
  <si>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</si>
  <si>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</si>
  <si>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</si>
  <si>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</si>
  <si>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</si>
  <si>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</si>
  <si>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</si>
  <si>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</si>
  <si>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</si>
  <si>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</si>
  <si>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</si>
  <si>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</si>
  <si>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</si>
  <si>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</si>
  <si>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</si>
  <si>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</si>
  <si>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</si>
  <si>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</si>
  <si>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</si>
  <si>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</si>
  <si>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</si>
  <si>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</si>
  <si>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</si>
  <si>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</si>
  <si>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</si>
  <si>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</si>
  <si>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</si>
  <si>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</si>
  <si>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</si>
  <si>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</si>
  <si>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</si>
  <si>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</si>
  <si>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</si>
  <si>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</si>
  <si>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</si>
  <si>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</si>
  <si>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</si>
  <si>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</si>
  <si>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</si>
  <si>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</si>
  <si>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</si>
  <si>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</si>
  <si>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</si>
  <si>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</si>
  <si>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</si>
  <si>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</si>
  <si>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</si>
  <si>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</si>
  <si>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</si>
  <si>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</si>
  <si>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</si>
  <si>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</si>
  <si>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</si>
  <si>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</si>
  <si>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</si>
  <si>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</si>
  <si>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</si>
  <si>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</si>
  <si>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</si>
  <si>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</si>
  <si>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</si>
  <si>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</si>
  <si>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</si>
  <si>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</si>
  <si>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</si>
  <si>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</si>
  <si>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</si>
  <si>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</si>
  <si>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</si>
  <si>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</si>
  <si>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</si>
  <si>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</si>
  <si>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</si>
  <si>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</si>
  <si>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</si>
  <si>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</si>
  <si>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</si>
  <si>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</si>
  <si>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</si>
  <si>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</si>
  <si>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</si>
  <si>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</si>
  <si>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</si>
  <si>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</si>
  <si>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</si>
  <si>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</si>
  <si>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</si>
  <si>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</si>
  <si>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</si>
  <si>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</si>
  <si>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</si>
  <si>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</si>
  <si>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</si>
  <si>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</si>
  <si>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</si>
  <si>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</si>
  <si>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</si>
  <si>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</si>
  <si>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</si>
  <si>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</si>
  <si>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</si>
  <si>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</si>
  <si>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</si>
  <si>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</si>
  <si>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</si>
  <si>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</si>
  <si>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</si>
  <si>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</si>
  <si>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</si>
  <si>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</si>
  <si>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</si>
  <si>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</si>
  <si>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</si>
  <si>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</si>
  <si>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</si>
  <si>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</si>
  <si>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</si>
  <si>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</si>
  <si>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</si>
  <si>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</si>
  <si>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</si>
  <si>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</si>
  <si>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</si>
  <si>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</si>
  <si>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</si>
  <si>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</si>
  <si>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</si>
  <si>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</si>
  <si>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</si>
  <si>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</si>
  <si>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</si>
  <si>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</si>
  <si>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</si>
  <si>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</si>
  <si>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</si>
  <si>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</si>
  <si>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</si>
  <si>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</si>
  <si>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</si>
  <si>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</si>
  <si>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</si>
  <si>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</si>
  <si>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</si>
  <si>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</si>
  <si>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</si>
  <si>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</si>
  <si>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</si>
  <si>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</si>
  <si>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</si>
  <si>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</si>
  <si>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</si>
  <si>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</si>
  <si>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</si>
  <si>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</si>
  <si>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</si>
  <si>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</si>
  <si>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</si>
  <si>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</si>
  <si>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</si>
  <si>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</si>
  <si>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</si>
  <si>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</si>
  <si>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</si>
  <si>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</si>
  <si>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</si>
  <si>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</si>
  <si>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</si>
  <si>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</si>
  <si>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</si>
  <si>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</si>
  <si>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</si>
  <si>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</si>
  <si>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</si>
  <si>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</si>
  <si>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</si>
  <si>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S25-004</t>
    <phoneticPr fontId="5" type="noConversion"/>
  </si>
  <si>
    <t>용접 기자재</t>
    <phoneticPr fontId="5" type="noConversion"/>
  </si>
  <si>
    <t>No</t>
    <phoneticPr fontId="5" type="noConversion"/>
  </si>
  <si>
    <t>규격</t>
    <phoneticPr fontId="5" type="noConversion"/>
  </si>
  <si>
    <t>발주수량</t>
  </si>
  <si>
    <t>입력항목</t>
    <phoneticPr fontId="5" type="noConversion"/>
  </si>
  <si>
    <t>거래처명</t>
    <phoneticPr fontId="5" type="noConversion"/>
  </si>
  <si>
    <t>발주수량</t>
    <phoneticPr fontId="5" type="noConversion"/>
  </si>
  <si>
    <t>■ 구분은 [소모성자재, 공구, 임대(공구), 안전용품, 비품] 이외 항목은 입력금지</t>
    <phoneticPr fontId="5" type="noConversion"/>
  </si>
  <si>
    <t>배관 기자재</t>
    <phoneticPr fontId="5" type="noConversion"/>
  </si>
  <si>
    <t>장규철</t>
    <phoneticPr fontId="3" type="noConversion"/>
  </si>
  <si>
    <t>㈜태성하이텍</t>
    <phoneticPr fontId="5" type="noConversion"/>
  </si>
  <si>
    <t>㈜ 태성하이텍</t>
  </si>
  <si>
    <t>경기도 용인시 처인구 남사면 봉명리 73-1</t>
  </si>
  <si>
    <t>유 태 진</t>
  </si>
  <si>
    <t>(인)</t>
    <phoneticPr fontId="9" type="noConversion"/>
  </si>
  <si>
    <t>■ 구분은 [사무용품, 소모품비, 법인카드] 이외 항목은 입력금지</t>
    <phoneticPr fontId="5" type="noConversion"/>
  </si>
  <si>
    <t>용 역 내 역 서</t>
    <phoneticPr fontId="5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</si>
  <si>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</si>
  <si>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</si>
  <si>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</si>
  <si>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</si>
  <si>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</si>
  <si>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</si>
  <si>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7" type="noConversion"/>
  </si>
  <si>
    <t>수 량</t>
    <phoneticPr fontId="5" type="noConversion"/>
  </si>
  <si>
    <t>금  액</t>
    <phoneticPr fontId="5" type="noConversion"/>
  </si>
  <si>
    <t>고급기술인</t>
  </si>
  <si>
    <t/>
  </si>
  <si>
    <t>초급기술인</t>
    <phoneticPr fontId="3" type="noConversion"/>
  </si>
  <si>
    <t>총   계</t>
    <phoneticPr fontId="5" type="noConversion"/>
  </si>
  <si>
    <t>김영광</t>
  </si>
  <si>
    <t>920704-1860718</t>
  </si>
  <si>
    <t>관리보조</t>
  </si>
  <si>
    <t>010-7704-1777</t>
  </si>
  <si>
    <t>기업</t>
  </si>
  <si>
    <t>580-022392-01-010</t>
  </si>
  <si>
    <t>최은희</t>
  </si>
  <si>
    <t>850227-2454711</t>
  </si>
  <si>
    <t>보통인부</t>
  </si>
  <si>
    <t>010-2052-6656</t>
  </si>
  <si>
    <t>하나</t>
  </si>
  <si>
    <t>472-910128-17307</t>
  </si>
  <si>
    <t>홍성연</t>
  </si>
  <si>
    <t>960406-1213110</t>
  </si>
  <si>
    <t>010-7451-1297</t>
  </si>
  <si>
    <t>국민</t>
  </si>
  <si>
    <t>216502-04-453135</t>
  </si>
  <si>
    <t>황선정</t>
  </si>
  <si>
    <t>730308-1057411</t>
  </si>
  <si>
    <t>010-7480-0008</t>
  </si>
  <si>
    <t>농협</t>
  </si>
  <si>
    <t>302-0861-0223-61</t>
  </si>
  <si>
    <t>김동민</t>
  </si>
  <si>
    <t>840606-1768018</t>
  </si>
  <si>
    <t>용접공</t>
  </si>
  <si>
    <t>010-3804-2432</t>
  </si>
  <si>
    <t>신한</t>
  </si>
  <si>
    <t>110-408-565589</t>
  </si>
  <si>
    <t>박주영</t>
  </si>
  <si>
    <t>730810-1457613</t>
  </si>
  <si>
    <t>배관공</t>
  </si>
  <si>
    <t>010-3356-9406</t>
  </si>
  <si>
    <t>130-910013-37908</t>
  </si>
  <si>
    <t>김강현</t>
  </si>
  <si>
    <t>910414-1031829</t>
  </si>
  <si>
    <t>010-6733-7963</t>
  </si>
  <si>
    <t>110-302-846665</t>
  </si>
  <si>
    <t>김태훈</t>
  </si>
  <si>
    <t>810515-1814611</t>
  </si>
  <si>
    <t>010-5844-3098</t>
  </si>
  <si>
    <t>793-12-097221</t>
  </si>
  <si>
    <t>도남철</t>
  </si>
  <si>
    <t>681003-1683610</t>
  </si>
  <si>
    <t>010-3734-2196</t>
  </si>
  <si>
    <t>백승배</t>
  </si>
  <si>
    <t>850323-1520514</t>
  </si>
  <si>
    <t>도비공</t>
  </si>
  <si>
    <t>010-8113-3288</t>
  </si>
  <si>
    <t>우체국</t>
  </si>
  <si>
    <t>402057-02-369681</t>
  </si>
  <si>
    <t>이정완</t>
  </si>
  <si>
    <t>680304-1661020</t>
  </si>
  <si>
    <t>010-3833-5897</t>
  </si>
  <si>
    <t>카카오</t>
  </si>
  <si>
    <t>3333-22-9072681</t>
  </si>
  <si>
    <t>정일교</t>
  </si>
  <si>
    <t>761021-1348015</t>
  </si>
  <si>
    <t>010-3789-1185</t>
  </si>
  <si>
    <t>360-13-033492</t>
  </si>
  <si>
    <t>전준</t>
  </si>
  <si>
    <t>800228-1168033</t>
  </si>
  <si>
    <t>010-2822-3392</t>
  </si>
  <si>
    <t>110-264-802497</t>
  </si>
  <si>
    <t>안성원</t>
  </si>
  <si>
    <t>730222-1674813</t>
  </si>
  <si>
    <t>010-9575-3445</t>
  </si>
  <si>
    <t>새마을</t>
  </si>
  <si>
    <t>9003-2348-2974-4</t>
  </si>
  <si>
    <t>강희재</t>
  </si>
  <si>
    <t>940122-1491011</t>
  </si>
  <si>
    <t>010-9127-3784</t>
  </si>
  <si>
    <t>110-404-502876</t>
  </si>
  <si>
    <t>김광동</t>
  </si>
  <si>
    <t>930520-1692511</t>
  </si>
  <si>
    <t>010-4348-0266</t>
  </si>
  <si>
    <t>926102-01-496205</t>
  </si>
  <si>
    <t>박세호</t>
  </si>
  <si>
    <t>830125-1674711</t>
  </si>
  <si>
    <t>010-8898-7171</t>
  </si>
  <si>
    <t>3333-21-7116487</t>
  </si>
  <si>
    <t>이상수</t>
  </si>
  <si>
    <t>810518-1927711</t>
  </si>
  <si>
    <t>010-3552-7717</t>
  </si>
  <si>
    <t>171-077318-02-013</t>
  </si>
  <si>
    <t>941107-1199714</t>
  </si>
  <si>
    <t>010-2922-3403</t>
  </si>
  <si>
    <t>박성호</t>
  </si>
  <si>
    <t>450-033865-01-013</t>
  </si>
  <si>
    <t>김영철</t>
  </si>
  <si>
    <t>720622-1921415</t>
  </si>
  <si>
    <t>010-3884-4513</t>
  </si>
  <si>
    <t>9003-2504-8199-8</t>
  </si>
  <si>
    <t>강원태</t>
  </si>
  <si>
    <t>920818-1240811</t>
  </si>
  <si>
    <t>010-9205-4684</t>
  </si>
  <si>
    <t>186-075475-01-013</t>
  </si>
  <si>
    <t>양동현</t>
  </si>
  <si>
    <t>970121-1126611</t>
  </si>
  <si>
    <t>010-5213-3183</t>
  </si>
  <si>
    <t>3333-05-3629952</t>
  </si>
  <si>
    <t>박승남</t>
  </si>
  <si>
    <t>730316-1654417</t>
  </si>
  <si>
    <t>010-7618-6130</t>
  </si>
  <si>
    <t>211065-56-138642</t>
  </si>
  <si>
    <t>남희수</t>
  </si>
  <si>
    <t>741212-1068534</t>
  </si>
  <si>
    <t>010-8994-9296</t>
  </si>
  <si>
    <t>547201-01-029724</t>
  </si>
  <si>
    <t>신원석</t>
  </si>
  <si>
    <t>820823-1151611</t>
  </si>
  <si>
    <t>010-5794-3572</t>
  </si>
  <si>
    <t>110-312-958801</t>
  </si>
  <si>
    <t>원홍연</t>
  </si>
  <si>
    <t>801025-1057720</t>
  </si>
  <si>
    <t>010-2922-2223</t>
  </si>
  <si>
    <t>최연지</t>
  </si>
  <si>
    <t>981006-2192118</t>
  </si>
  <si>
    <t>010-6714-4859</t>
  </si>
  <si>
    <t>송수림</t>
  </si>
  <si>
    <t>840920-1789928</t>
  </si>
  <si>
    <t>010-2777-7145</t>
  </si>
  <si>
    <t>352-0253-3500-63</t>
  </si>
  <si>
    <t>임승희</t>
  </si>
  <si>
    <t>881107-1235222</t>
  </si>
  <si>
    <t>010-4393-9938</t>
  </si>
  <si>
    <t>110-353-055995</t>
  </si>
  <si>
    <t>이명재</t>
  </si>
  <si>
    <t>840407-1011315</t>
  </si>
  <si>
    <t>010-2288-2353</t>
  </si>
  <si>
    <t>110-470-707347</t>
  </si>
  <si>
    <t>최동건</t>
  </si>
  <si>
    <t>830504-1000819</t>
  </si>
  <si>
    <t>010-9456-1177</t>
  </si>
  <si>
    <t>우리</t>
  </si>
  <si>
    <t>1002-646-504814</t>
  </si>
  <si>
    <t>김성중</t>
  </si>
  <si>
    <t>911126-1043210</t>
  </si>
  <si>
    <t>010-3777-9825</t>
  </si>
  <si>
    <t>118-149246-01-011</t>
  </si>
  <si>
    <t>서현우</t>
  </si>
  <si>
    <t>911210-1163410</t>
  </si>
  <si>
    <t>010-2320-6077</t>
  </si>
  <si>
    <t>576-910358-27807</t>
  </si>
  <si>
    <t>이주문</t>
  </si>
  <si>
    <t>730118-1047421</t>
  </si>
  <si>
    <t>010-9628-9599</t>
  </si>
  <si>
    <t>159-910705-92107</t>
  </si>
  <si>
    <t>김명수</t>
  </si>
  <si>
    <t>001211-3823418</t>
  </si>
  <si>
    <t>010-5797-6473</t>
  </si>
  <si>
    <t>944502-00-579965</t>
  </si>
  <si>
    <t>김윤하</t>
  </si>
  <si>
    <t>860417-1348219</t>
  </si>
  <si>
    <t>010-4807-9031</t>
  </si>
  <si>
    <t>263102-04-214815</t>
  </si>
  <si>
    <t>양희성</t>
  </si>
  <si>
    <t>911226-1178314</t>
  </si>
  <si>
    <t>010-8362-1226</t>
  </si>
  <si>
    <t>110-314-832686</t>
  </si>
  <si>
    <t>이준희</t>
  </si>
  <si>
    <t>990409-1482511</t>
  </si>
  <si>
    <t>010-7610-5782</t>
  </si>
  <si>
    <t>352-9999-0409-23</t>
  </si>
  <si>
    <t>010314-3837113</t>
  </si>
  <si>
    <t>010-2210-3629</t>
  </si>
  <si>
    <t>3333-14-2904871</t>
  </si>
  <si>
    <t>정영석</t>
  </si>
  <si>
    <t>950715-1831411</t>
  </si>
  <si>
    <t>010-5752-3056</t>
  </si>
  <si>
    <t>352-1313-0435-83</t>
  </si>
  <si>
    <t>전용훈</t>
  </si>
  <si>
    <t>941206-1187916</t>
  </si>
  <si>
    <t>010-5397-1694</t>
  </si>
  <si>
    <t>972-025806-01-019</t>
  </si>
  <si>
    <t>9002-1869-8588-9</t>
  </si>
  <si>
    <t>공사보조</t>
  </si>
  <si>
    <t>토스</t>
  </si>
  <si>
    <t>1000-8388-0973</t>
  </si>
  <si>
    <t>강우형</t>
  </si>
  <si>
    <t>000830-3484718</t>
  </si>
  <si>
    <t>010-7963-4799</t>
  </si>
  <si>
    <t>1002-2019-2812</t>
  </si>
  <si>
    <t>김정천</t>
  </si>
  <si>
    <t>이희완</t>
  </si>
  <si>
    <t>910415-1692627</t>
  </si>
  <si>
    <t>010-9909-6141</t>
  </si>
  <si>
    <t>110-316-569643</t>
  </si>
  <si>
    <t>2026년 07월</t>
    <phoneticPr fontId="5" type="noConversion"/>
  </si>
  <si>
    <t>2026. 07. 01 ~ 2026. 07. 31</t>
    <phoneticPr fontId="3" type="noConversion"/>
  </si>
  <si>
    <t>작 성 일 :   2026  년  07 월   31 일</t>
    <phoneticPr fontId="9" type="noConversion"/>
  </si>
  <si>
    <t>2026년 (07)월 물량 내역서</t>
    <phoneticPr fontId="3" type="noConversion"/>
  </si>
  <si>
    <t>2026년 (    07   )월 일용 노무비명세서</t>
    <phoneticPr fontId="3" type="noConversion"/>
  </si>
  <si>
    <t>3333-28-3099478</t>
  </si>
  <si>
    <t>면보루</t>
  </si>
  <si>
    <t>5kg</t>
  </si>
  <si>
    <t>네이버파이낸셜㈜</t>
  </si>
  <si>
    <t>알곤퍼지 파이렉스 노즐 키트</t>
  </si>
  <si>
    <t>14호</t>
  </si>
  <si>
    <t>스텝드릴</t>
  </si>
  <si>
    <t>[4-22,SJ-SD22A,Co8%,육각생크 [블랑코]]</t>
  </si>
  <si>
    <t>미래공구</t>
  </si>
  <si>
    <t>튜브컷터날</t>
  </si>
  <si>
    <t>[TCBC105 [슈퍼]]</t>
  </si>
  <si>
    <t xml:space="preserve">마대 </t>
  </si>
  <si>
    <t>[수입,정80kg,80L [SW]]</t>
  </si>
  <si>
    <t>정전기청소포</t>
  </si>
  <si>
    <t>60매</t>
  </si>
  <si>
    <t>주식회사 아성다이소</t>
  </si>
  <si>
    <t>AAA 건전지</t>
  </si>
  <si>
    <t>쿠팡㈜</t>
  </si>
  <si>
    <t>리빙박스</t>
  </si>
  <si>
    <t>100L</t>
  </si>
  <si>
    <t>66L</t>
  </si>
  <si>
    <t>KC대납 임대료</t>
  </si>
  <si>
    <t xml:space="preserve">숙소임대료(7월분) </t>
    <phoneticPr fontId="5" type="noConversion"/>
  </si>
  <si>
    <t>함박산1길 16</t>
    <phoneticPr fontId="5" type="noConversion"/>
  </si>
  <si>
    <t>301호</t>
  </si>
  <si>
    <t>함박산12길 8-10</t>
    <phoneticPr fontId="9" type="noConversion"/>
  </si>
  <si>
    <t>301호</t>
    <phoneticPr fontId="9" type="noConversion"/>
  </si>
  <si>
    <t>고덕여염6길 108</t>
    <phoneticPr fontId="9" type="noConversion"/>
  </si>
  <si>
    <t>302호</t>
    <phoneticPr fontId="9" type="noConversion"/>
  </si>
  <si>
    <t>고덕여염16길 32</t>
    <phoneticPr fontId="9" type="noConversion"/>
  </si>
  <si>
    <t>202호</t>
    <phoneticPr fontId="9" type="noConversion"/>
  </si>
  <si>
    <t xml:space="preserve">  고덕여염 5길 15-10</t>
  </si>
  <si>
    <t>301호</t>
    <phoneticPr fontId="5" type="noConversion"/>
  </si>
  <si>
    <t>201호</t>
    <phoneticPr fontId="5" type="noConversion"/>
  </si>
  <si>
    <t xml:space="preserve">  고덕 갈평10길 67</t>
  </si>
  <si>
    <t xml:space="preserve">  고덕 갈평9길 43</t>
  </si>
  <si>
    <t>202호</t>
    <phoneticPr fontId="5" type="noConversion"/>
  </si>
  <si>
    <t xml:space="preserve">  함박산2길 32-2</t>
  </si>
  <si>
    <t xml:space="preserve">  함박산4길 20</t>
  </si>
  <si>
    <t>소모성자재</t>
    <phoneticPr fontId="5" type="noConversion"/>
  </si>
  <si>
    <t>관리비</t>
    <phoneticPr fontId="5" type="noConversion"/>
  </si>
  <si>
    <t>숙소전기요금(7월)</t>
    <phoneticPr fontId="5" type="noConversion"/>
  </si>
  <si>
    <t>201호</t>
  </si>
  <si>
    <t>숙소수도요금(7월)</t>
  </si>
  <si>
    <t>함박산12길 8-10</t>
  </si>
  <si>
    <t>고덕여염6길 108</t>
  </si>
  <si>
    <t>302호</t>
  </si>
  <si>
    <t>고덕여염16길 32</t>
  </si>
  <si>
    <t>202호</t>
  </si>
  <si>
    <t>KC대납 식대</t>
  </si>
  <si>
    <t>기술인및관리자 (현장 식당)</t>
  </si>
  <si>
    <t>태정위드유 주식회사</t>
    <phoneticPr fontId="5" type="noConversion"/>
  </si>
  <si>
    <t>다모아한식뷔페</t>
  </si>
  <si>
    <t>영미손김밥</t>
  </si>
  <si>
    <t>옛날장터</t>
  </si>
  <si>
    <t>은주네한식뷔페</t>
  </si>
  <si>
    <t>삼성김밥</t>
  </si>
  <si>
    <t>한솥</t>
    <phoneticPr fontId="5" type="noConversion"/>
  </si>
  <si>
    <t>85어5471 포터2</t>
  </si>
  <si>
    <t>(주)소모 칠곡주유소</t>
  </si>
  <si>
    <t>남사농업협동조합</t>
  </si>
  <si>
    <t>85어5471 타이어</t>
  </si>
  <si>
    <t>주식회사 그린타이어</t>
  </si>
  <si>
    <t>마우스</t>
  </si>
  <si>
    <t>보드마카</t>
  </si>
  <si>
    <t>법인카드</t>
    <phoneticPr fontId="3" type="noConversion"/>
  </si>
  <si>
    <t>사무용품</t>
    <phoneticPr fontId="3" type="noConversion"/>
  </si>
  <si>
    <t>소모품비</t>
    <phoneticPr fontId="3" type="noConversion"/>
  </si>
  <si>
    <t>퇴실정산</t>
    <phoneticPr fontId="3" type="noConversion"/>
  </si>
  <si>
    <t>고덕갈평9길 43</t>
    <phoneticPr fontId="3" type="noConversion"/>
  </si>
  <si>
    <t>202호</t>
    <phoneticPr fontId="3" type="noConversion"/>
  </si>
  <si>
    <t>함박산1길 16</t>
    <phoneticPr fontId="3" type="noConversion"/>
  </si>
  <si>
    <t>301호</t>
    <phoneticPr fontId="3" type="noConversion"/>
  </si>
  <si>
    <t>함박산4길 20</t>
    <phoneticPr fontId="3" type="noConversion"/>
  </si>
  <si>
    <t>Frontier 사업부
GBC 센터
GNP 1본부장</t>
    <phoneticPr fontId="3" type="noConversion"/>
  </si>
  <si>
    <t>Frontier 사업부
GBC
센터장</t>
    <phoneticPr fontId="3" type="noConversion"/>
  </si>
  <si>
    <t>Frontier
 사업부장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</si>
</sst>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_ "/>
    <numFmt numFmtId="187" formatCode="#,##0.0000_ "/>
    <numFmt numFmtId="188" formatCode="_-* #,##0_-;&quot;₩&quot;\!\-* #,##0_-;_-* &quot;-&quot;_-;_-@_-"/>
    <numFmt numFmtId="189" formatCode="_-* #,##0.0_-;\-* #,##0.0_-;_-* &quot;-&quot;_-;_-@_-"/>
  </numFmts>
  <fonts count="64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6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50" fillId="0" borderId="0"/>
    <xf numFmtId="41" fontId="1" fillId="0" borderId="0" applyFont="0" applyFill="0" applyBorder="0" applyAlignment="0" applyProtection="0"/>
    <xf numFmtId="0" fontId="55" fillId="0" borderId="0"/>
    <xf numFmtId="0" fontId="61" fillId="0" borderId="0">
      <alignment vertical="center"/>
    </xf>
    <xf numFmtId="187" fontId="1" fillId="0" borderId="0" applyFont="0" applyFill="0" applyBorder="0" applyAlignment="0" applyProtection="0"/>
  </cellStyleXfs>
  <cellXfs count="365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2" fontId="34" fillId="5" borderId="43" xfId="0" applyNumberFormat="1" applyFont="1" applyFill="1" applyBorder="1" applyAlignment="1">
      <alignment horizontal="center" vertical="center"/>
    </xf>
    <xf numFmtId="182" fontId="35" fillId="5" borderId="43" xfId="0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6" fillId="2" borderId="45" xfId="6" applyNumberFormat="1" applyFont="1" applyFill="1" applyBorder="1" applyAlignment="1">
      <alignment horizontal="center" vertical="center" shrinkToFit="1"/>
    </xf>
    <xf numFmtId="185" fontId="36" fillId="2" borderId="43" xfId="6" applyNumberFormat="1" applyFont="1" applyFill="1" applyBorder="1" applyAlignment="1">
      <alignment horizontal="center" vertical="center" shrinkToFit="1"/>
    </xf>
    <xf numFmtId="185" fontId="36" fillId="2" borderId="42" xfId="6" applyNumberFormat="1" applyFont="1" applyFill="1" applyBorder="1" applyAlignment="1">
      <alignment horizontal="center" vertical="center" shrinkToFit="1"/>
    </xf>
    <xf numFmtId="41" fontId="36" fillId="2" borderId="43" xfId="6" applyFont="1" applyFill="1" applyBorder="1" applyAlignment="1">
      <alignment horizontal="center" vertical="center" shrinkToFit="1"/>
    </xf>
    <xf numFmtId="41" fontId="36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1" fillId="9" borderId="9" xfId="0" applyNumberFormat="1" applyFont="1" applyFill="1" applyBorder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43" fontId="45" fillId="10" borderId="9" xfId="0" applyNumberFormat="1" applyFont="1" applyFill="1" applyBorder="1" applyAlignment="1">
      <alignment horizontal="center" vertical="center"/>
    </xf>
    <xf numFmtId="41" fontId="46" fillId="11" borderId="9" xfId="10" applyFont="1" applyFill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41" fontId="45" fillId="10" borderId="9" xfId="3" applyNumberFormat="1" applyFont="1" applyFill="1" applyBorder="1" applyAlignment="1">
      <alignment horizontal="center" vertical="center"/>
    </xf>
    <xf numFmtId="0" fontId="44" fillId="0" borderId="0" xfId="3" applyFont="1" applyAlignment="1">
      <alignment vertical="center"/>
    </xf>
    <xf numFmtId="0" fontId="48" fillId="0" borderId="0" xfId="3" applyFont="1" applyAlignment="1">
      <alignment vertical="center"/>
    </xf>
    <xf numFmtId="0" fontId="45" fillId="0" borderId="9" xfId="3" applyFont="1" applyBorder="1" applyAlignment="1">
      <alignment horizontal="center" vertical="center"/>
    </xf>
    <xf numFmtId="14" fontId="45" fillId="0" borderId="9" xfId="3" applyNumberFormat="1" applyFont="1" applyBorder="1" applyAlignment="1">
      <alignment horizontal="center" vertical="center"/>
    </xf>
    <xf numFmtId="182" fontId="45" fillId="0" borderId="9" xfId="3" applyNumberFormat="1" applyFont="1" applyBorder="1" applyAlignment="1">
      <alignment horizontal="center" vertical="center"/>
    </xf>
    <xf numFmtId="41" fontId="45" fillId="0" borderId="9" xfId="3" applyNumberFormat="1" applyFont="1" applyBorder="1" applyAlignment="1">
      <alignment horizontal="center" vertical="center"/>
    </xf>
    <xf numFmtId="0" fontId="44" fillId="0" borderId="0" xfId="3" applyFont="1" applyAlignment="1">
      <alignment horizontal="center" vertical="center"/>
    </xf>
    <xf numFmtId="0" fontId="43" fillId="0" borderId="0" xfId="3" applyFont="1" applyAlignment="1">
      <alignment horizontal="center" vertical="center"/>
    </xf>
    <xf numFmtId="0" fontId="48" fillId="0" borderId="0" xfId="3" applyFont="1" applyAlignment="1">
      <alignment horizontal="left" vertical="center"/>
    </xf>
    <xf numFmtId="0" fontId="45" fillId="0" borderId="0" xfId="3" applyFont="1"/>
    <xf numFmtId="0" fontId="45" fillId="0" borderId="0" xfId="3" applyFont="1" applyAlignment="1">
      <alignment horizontal="center"/>
    </xf>
    <xf numFmtId="182" fontId="45" fillId="0" borderId="0" xfId="3" applyNumberFormat="1" applyFont="1" applyAlignment="1">
      <alignment horizontal="center" vertical="center"/>
    </xf>
    <xf numFmtId="41" fontId="45" fillId="0" borderId="0" xfId="3" applyNumberFormat="1" applyFont="1" applyAlignment="1">
      <alignment horizontal="center" vertical="center"/>
    </xf>
    <xf numFmtId="0" fontId="49" fillId="12" borderId="9" xfId="0" applyFont="1" applyFill="1" applyBorder="1" applyAlignment="1">
      <alignment horizontal="center" vertical="center"/>
    </xf>
    <xf numFmtId="14" fontId="45" fillId="12" borderId="9" xfId="0" applyNumberFormat="1" applyFont="1" applyFill="1" applyBorder="1" applyAlignment="1">
      <alignment horizontal="center" vertical="center"/>
    </xf>
    <xf numFmtId="14" fontId="45" fillId="0" borderId="9" xfId="0" applyNumberFormat="1" applyFont="1" applyBorder="1" applyAlignment="1">
      <alignment horizontal="center" vertical="center"/>
    </xf>
    <xf numFmtId="49" fontId="45" fillId="0" borderId="9" xfId="0" applyNumberFormat="1" applyFont="1" applyBorder="1" applyAlignment="1">
      <alignment horizontal="center" vertical="center"/>
    </xf>
    <xf numFmtId="186" fontId="45" fillId="0" borderId="9" xfId="0" applyNumberFormat="1" applyFont="1" applyBorder="1" applyAlignment="1">
      <alignment horizontal="center" vertical="center"/>
    </xf>
    <xf numFmtId="41" fontId="45" fillId="0" borderId="9" xfId="0" applyNumberFormat="1" applyFont="1" applyBorder="1" applyAlignment="1">
      <alignment horizontal="center" vertical="center"/>
    </xf>
    <xf numFmtId="0" fontId="45" fillId="12" borderId="9" xfId="0" applyFont="1" applyFill="1" applyBorder="1" applyAlignment="1">
      <alignment horizontal="center" vertical="center"/>
    </xf>
    <xf numFmtId="0" fontId="51" fillId="0" borderId="9" xfId="0" applyFont="1" applyBorder="1" applyAlignment="1">
      <alignment horizontal="center" vertical="center" wrapText="1"/>
    </xf>
    <xf numFmtId="41" fontId="45" fillId="12" borderId="10" xfId="14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3" fontId="23" fillId="0" borderId="0" xfId="0" applyNumberFormat="1" applyFont="1">
      <alignment vertical="center"/>
    </xf>
    <xf numFmtId="0" fontId="48" fillId="0" borderId="0" xfId="0" applyFont="1">
      <alignment vertical="center"/>
    </xf>
    <xf numFmtId="0" fontId="0" fillId="0" borderId="0" xfId="0" applyAlignment="1"/>
    <xf numFmtId="0" fontId="13" fillId="0" borderId="9" xfId="0" applyFont="1" applyBorder="1">
      <alignment vertical="center"/>
    </xf>
    <xf numFmtId="14" fontId="13" fillId="0" borderId="9" xfId="0" applyNumberFormat="1" applyFont="1" applyBorder="1" applyAlignment="1">
      <alignment horizontal="center" vertical="center"/>
    </xf>
    <xf numFmtId="41" fontId="23" fillId="0" borderId="0" xfId="0" applyNumberFormat="1" applyFont="1">
      <alignment vertical="center"/>
    </xf>
    <xf numFmtId="41" fontId="13" fillId="0" borderId="9" xfId="14" applyFont="1" applyBorder="1" applyAlignment="1">
      <alignment horizontal="center" vertical="center"/>
    </xf>
    <xf numFmtId="41" fontId="13" fillId="0" borderId="9" xfId="0" applyNumberFormat="1" applyFont="1" applyBorder="1">
      <alignment vertical="center"/>
    </xf>
    <xf numFmtId="0" fontId="13" fillId="0" borderId="9" xfId="0" applyFont="1" applyBorder="1" applyAlignment="1">
      <alignment horizontal="center" vertical="center" wrapText="1"/>
    </xf>
    <xf numFmtId="43" fontId="0" fillId="0" borderId="0" xfId="0" applyNumberFormat="1">
      <alignment vertical="center"/>
    </xf>
    <xf numFmtId="182" fontId="14" fillId="5" borderId="43" xfId="0" applyNumberFormat="1" applyFont="1" applyFill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41" fontId="53" fillId="2" borderId="0" xfId="2" applyNumberFormat="1" applyFont="1" applyFill="1">
      <alignment vertical="center"/>
    </xf>
    <xf numFmtId="0" fontId="53" fillId="0" borderId="0" xfId="2" quotePrefix="1" applyFont="1">
      <alignment vertical="center"/>
    </xf>
    <xf numFmtId="0" fontId="54" fillId="0" borderId="0" xfId="2" quotePrefix="1" applyFont="1">
      <alignment vertical="center"/>
    </xf>
    <xf numFmtId="0" fontId="54" fillId="0" borderId="0" xfId="2" applyFont="1" applyAlignment="1">
      <alignment horizontal="right" vertical="center"/>
    </xf>
    <xf numFmtId="41" fontId="53" fillId="13" borderId="9" xfId="4" applyFont="1" applyFill="1" applyBorder="1" applyAlignment="1">
      <alignment horizontal="center" vertical="center"/>
    </xf>
    <xf numFmtId="41" fontId="58" fillId="0" borderId="17" xfId="2" applyNumberFormat="1" applyFont="1" applyBorder="1" applyAlignment="1">
      <alignment horizontal="center" vertical="center"/>
    </xf>
    <xf numFmtId="0" fontId="58" fillId="0" borderId="9" xfId="2" applyFont="1" applyBorder="1" applyAlignment="1">
      <alignment horizontal="center" vertical="center"/>
    </xf>
    <xf numFmtId="41" fontId="58" fillId="0" borderId="9" xfId="10" applyFont="1" applyBorder="1" applyAlignment="1">
      <alignment horizontal="center" vertical="center"/>
    </xf>
    <xf numFmtId="41" fontId="58" fillId="0" borderId="9" xfId="4" applyFont="1" applyFill="1" applyBorder="1" applyAlignment="1">
      <alignment vertical="center" shrinkToFit="1"/>
    </xf>
    <xf numFmtId="184" fontId="59" fillId="0" borderId="18" xfId="2" applyNumberFormat="1" applyFont="1" applyBorder="1" applyAlignment="1">
      <alignment vertical="center" shrinkToFit="1"/>
    </xf>
    <xf numFmtId="184" fontId="59" fillId="0" borderId="18" xfId="2" quotePrefix="1" applyNumberFormat="1" applyFont="1" applyBorder="1" applyAlignment="1">
      <alignment vertical="center" shrinkToFit="1"/>
    </xf>
    <xf numFmtId="184" fontId="60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60" fillId="0" borderId="18" xfId="2" applyFont="1" applyBorder="1">
      <alignment vertical="center"/>
    </xf>
    <xf numFmtId="0" fontId="58" fillId="0" borderId="17" xfId="16" applyFont="1" applyBorder="1" applyAlignment="1">
      <alignment horizontal="left" vertical="center" wrapText="1"/>
    </xf>
    <xf numFmtId="0" fontId="58" fillId="0" borderId="9" xfId="16" applyFont="1" applyBorder="1" applyAlignment="1">
      <alignment horizontal="center" vertical="center"/>
    </xf>
    <xf numFmtId="0" fontId="58" fillId="0" borderId="17" xfId="16" applyFont="1" applyBorder="1" applyAlignment="1">
      <alignment horizontal="center" vertical="center" wrapText="1"/>
    </xf>
    <xf numFmtId="188" fontId="58" fillId="0" borderId="9" xfId="17" applyNumberFormat="1" applyFont="1" applyFill="1" applyBorder="1" applyAlignment="1">
      <alignment horizontal="center" vertical="center"/>
    </xf>
    <xf numFmtId="9" fontId="58" fillId="0" borderId="9" xfId="7" applyFont="1" applyFill="1" applyBorder="1" applyAlignment="1">
      <alignment vertical="center" shrinkToFit="1"/>
    </xf>
    <xf numFmtId="0" fontId="58" fillId="0" borderId="9" xfId="16" applyFont="1" applyBorder="1" applyAlignment="1">
      <alignment horizontal="center" vertical="center" wrapText="1"/>
    </xf>
    <xf numFmtId="0" fontId="62" fillId="0" borderId="19" xfId="2" applyFont="1" applyBorder="1" applyAlignment="1">
      <alignment horizontal="center" vertical="center"/>
    </xf>
    <xf numFmtId="0" fontId="58" fillId="0" borderId="20" xfId="2" applyFont="1" applyBorder="1" applyAlignment="1">
      <alignment horizontal="center" vertical="center" shrinkToFit="1"/>
    </xf>
    <xf numFmtId="0" fontId="58" fillId="0" borderId="20" xfId="2" applyFont="1" applyBorder="1" applyAlignment="1">
      <alignment horizontal="center" vertical="center"/>
    </xf>
    <xf numFmtId="41" fontId="58" fillId="0" borderId="20" xfId="2" applyNumberFormat="1" applyFont="1" applyBorder="1" applyAlignment="1">
      <alignment horizontal="center" vertical="center"/>
    </xf>
    <xf numFmtId="189" fontId="58" fillId="0" borderId="20" xfId="2" applyNumberFormat="1" applyFont="1" applyBorder="1" applyAlignment="1">
      <alignment horizontal="center" vertical="center"/>
    </xf>
    <xf numFmtId="41" fontId="58" fillId="0" borderId="20" xfId="2" applyNumberFormat="1" applyFont="1" applyBorder="1" applyAlignment="1">
      <alignment vertical="center" shrinkToFit="1"/>
    </xf>
    <xf numFmtId="0" fontId="60" fillId="0" borderId="21" xfId="2" applyFont="1" applyBorder="1">
      <alignment vertical="center"/>
    </xf>
    <xf numFmtId="0" fontId="59" fillId="0" borderId="31" xfId="2" applyFont="1" applyBorder="1" applyAlignment="1">
      <alignment horizontal="center" vertical="center"/>
    </xf>
    <xf numFmtId="0" fontId="60" fillId="0" borderId="37" xfId="2" applyFont="1" applyBorder="1" applyAlignment="1">
      <alignment horizontal="center" vertical="center" shrinkToFit="1"/>
    </xf>
    <xf numFmtId="0" fontId="60" fillId="0" borderId="31" xfId="2" applyFont="1" applyBorder="1" applyAlignment="1">
      <alignment horizontal="center" vertical="center"/>
    </xf>
    <xf numFmtId="41" fontId="60" fillId="0" borderId="31" xfId="2" applyNumberFormat="1" applyFont="1" applyBorder="1" applyAlignment="1">
      <alignment horizontal="center" vertical="center"/>
    </xf>
    <xf numFmtId="41" fontId="60" fillId="0" borderId="11" xfId="2" applyNumberFormat="1" applyFont="1" applyBorder="1">
      <alignment vertical="center"/>
    </xf>
    <xf numFmtId="41" fontId="60" fillId="0" borderId="11" xfId="2" applyNumberFormat="1" applyFont="1" applyBorder="1" applyAlignment="1">
      <alignment vertical="center" shrinkToFit="1"/>
    </xf>
    <xf numFmtId="0" fontId="60" fillId="0" borderId="11" xfId="2" applyFont="1" applyBorder="1">
      <alignment vertical="center"/>
    </xf>
    <xf numFmtId="0" fontId="59" fillId="0" borderId="10" xfId="2" applyFont="1" applyBorder="1" applyAlignment="1">
      <alignment horizontal="center" vertical="center"/>
    </xf>
    <xf numFmtId="0" fontId="60" fillId="0" borderId="34" xfId="2" applyFont="1" applyBorder="1" applyAlignment="1">
      <alignment horizontal="center" vertical="center" shrinkToFit="1"/>
    </xf>
    <xf numFmtId="0" fontId="60" fillId="0" borderId="10" xfId="2" applyFont="1" applyBorder="1" applyAlignment="1">
      <alignment horizontal="center" vertical="center"/>
    </xf>
    <xf numFmtId="41" fontId="60" fillId="0" borderId="10" xfId="2" applyNumberFormat="1" applyFont="1" applyBorder="1" applyAlignment="1">
      <alignment horizontal="center" vertical="center"/>
    </xf>
    <xf numFmtId="41" fontId="60" fillId="0" borderId="9" xfId="2" applyNumberFormat="1" applyFont="1" applyBorder="1">
      <alignment vertical="center"/>
    </xf>
    <xf numFmtId="41" fontId="60" fillId="0" borderId="9" xfId="2" applyNumberFormat="1" applyFont="1" applyBorder="1" applyAlignment="1">
      <alignment vertical="center" shrinkToFit="1"/>
    </xf>
    <xf numFmtId="0" fontId="60" fillId="0" borderId="9" xfId="2" applyFont="1" applyBorder="1">
      <alignment vertical="center"/>
    </xf>
    <xf numFmtId="0" fontId="59" fillId="0" borderId="9" xfId="2" applyFont="1" applyBorder="1" applyAlignment="1">
      <alignment horizontal="center" vertical="center"/>
    </xf>
    <xf numFmtId="0" fontId="60" fillId="0" borderId="12" xfId="2" applyFont="1" applyBorder="1" applyAlignment="1">
      <alignment horizontal="center" vertical="center" shrinkToFit="1"/>
    </xf>
    <xf numFmtId="0" fontId="60" fillId="0" borderId="9" xfId="2" applyFont="1" applyBorder="1" applyAlignment="1">
      <alignment horizontal="center" vertical="center"/>
    </xf>
    <xf numFmtId="41" fontId="60" fillId="0" borderId="9" xfId="2" applyNumberFormat="1" applyFont="1" applyBorder="1" applyAlignment="1">
      <alignment horizontal="center" vertical="center"/>
    </xf>
    <xf numFmtId="0" fontId="59" fillId="0" borderId="0" xfId="2" applyFont="1" applyAlignment="1">
      <alignment horizontal="center" vertical="center"/>
    </xf>
    <xf numFmtId="0" fontId="60" fillId="0" borderId="0" xfId="2" applyFont="1" applyAlignment="1">
      <alignment horizontal="center" vertical="center" shrinkToFit="1"/>
    </xf>
    <xf numFmtId="0" fontId="60" fillId="0" borderId="0" xfId="2" applyFont="1" applyAlignment="1">
      <alignment horizontal="center" vertical="center"/>
    </xf>
    <xf numFmtId="41" fontId="1" fillId="0" borderId="0" xfId="4" applyFont="1">
      <alignment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  <xf numFmtId="41" fontId="0" fillId="0" borderId="0" xfId="6" applyFont="1">
      <alignment vertical="center"/>
    </xf>
    <xf numFmtId="43" fontId="0" fillId="0" borderId="9" xfId="0" applyNumberFormat="1" applyBorder="1">
      <alignment vertical="center"/>
    </xf>
    <xf numFmtId="0" fontId="45" fillId="0" borderId="9" xfId="3" applyFont="1" applyBorder="1" applyAlignment="1">
      <alignment horizontal="center"/>
    </xf>
    <xf numFmtId="182" fontId="14" fillId="5" borderId="45" xfId="0" applyNumberFormat="1" applyFont="1" applyFill="1" applyBorder="1" applyAlignment="1">
      <alignment horizontal="center" vertical="center"/>
    </xf>
    <xf numFmtId="182" fontId="14" fillId="5" borderId="46" xfId="0" applyNumberFormat="1" applyFont="1" applyFill="1" applyBorder="1" applyAlignment="1">
      <alignment horizontal="center" vertical="center"/>
    </xf>
    <xf numFmtId="21" fontId="45" fillId="12" borderId="9" xfId="0" applyNumberFormat="1" applyFont="1" applyFill="1" applyBorder="1" applyAlignment="1">
      <alignment horizontal="center" vertical="center"/>
    </xf>
    <xf numFmtId="41" fontId="45" fillId="12" borderId="9" xfId="14" applyFont="1" applyFill="1" applyBorder="1" applyAlignment="1">
      <alignment horizontal="center" vertical="center"/>
    </xf>
    <xf numFmtId="0" fontId="31" fillId="0" borderId="57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/>
    </xf>
    <xf numFmtId="0" fontId="31" fillId="0" borderId="59" xfId="0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52" fillId="2" borderId="0" xfId="2" applyFont="1" applyFill="1" applyAlignment="1">
      <alignment horizontal="center" vertical="center"/>
    </xf>
    <xf numFmtId="184" fontId="53" fillId="13" borderId="14" xfId="2" applyNumberFormat="1" applyFont="1" applyFill="1" applyBorder="1" applyAlignment="1">
      <alignment horizontal="center" vertical="center"/>
    </xf>
    <xf numFmtId="184" fontId="53" fillId="13" borderId="17" xfId="2" applyNumberFormat="1" applyFont="1" applyFill="1" applyBorder="1" applyAlignment="1">
      <alignment horizontal="center" vertical="center"/>
    </xf>
    <xf numFmtId="184" fontId="53" fillId="13" borderId="15" xfId="2" applyNumberFormat="1" applyFont="1" applyFill="1" applyBorder="1" applyAlignment="1">
      <alignment horizontal="center" vertical="center"/>
    </xf>
    <xf numFmtId="184" fontId="53" fillId="13" borderId="9" xfId="2" applyNumberFormat="1" applyFont="1" applyFill="1" applyBorder="1" applyAlignment="1">
      <alignment horizontal="center" vertical="center"/>
    </xf>
    <xf numFmtId="41" fontId="53" fillId="13" borderId="15" xfId="4" applyFont="1" applyFill="1" applyBorder="1" applyAlignment="1">
      <alignment horizontal="center" vertical="center"/>
    </xf>
    <xf numFmtId="41" fontId="53" fillId="13" borderId="9" xfId="4" applyFont="1" applyFill="1" applyBorder="1" applyAlignment="1">
      <alignment horizontal="center" vertical="center"/>
    </xf>
    <xf numFmtId="41" fontId="56" fillId="13" borderId="16" xfId="15" applyNumberFormat="1" applyFont="1" applyFill="1" applyBorder="1" applyAlignment="1">
      <alignment horizontal="center" vertical="center" shrinkToFit="1"/>
    </xf>
    <xf numFmtId="41" fontId="56" fillId="13" borderId="18" xfId="15" applyNumberFormat="1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41" fontId="14" fillId="6" borderId="12" xfId="0" applyNumberFormat="1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6" fillId="2" borderId="50" xfId="6" applyNumberFormat="1" applyFont="1" applyFill="1" applyBorder="1" applyAlignment="1">
      <alignment horizontal="center" vertical="center"/>
    </xf>
    <xf numFmtId="0" fontId="36" fillId="2" borderId="51" xfId="6" applyNumberFormat="1" applyFont="1" applyFill="1" applyBorder="1" applyAlignment="1">
      <alignment horizontal="center" vertical="center"/>
    </xf>
    <xf numFmtId="0" fontId="36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47" fillId="0" borderId="12" xfId="3" applyFont="1" applyBorder="1" applyAlignment="1">
      <alignment horizontal="center" vertical="center"/>
    </xf>
    <xf numFmtId="0" fontId="47" fillId="0" borderId="27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5" fillId="10" borderId="9" xfId="3" applyFont="1" applyFill="1" applyBorder="1" applyAlignment="1">
      <alignment horizontal="center" vertical="center"/>
    </xf>
    <xf numFmtId="0" fontId="45" fillId="10" borderId="10" xfId="3" applyFont="1" applyFill="1" applyBorder="1" applyAlignment="1">
      <alignment horizontal="center" vertical="center"/>
    </xf>
    <xf numFmtId="0" fontId="45" fillId="10" borderId="11" xfId="3" applyFont="1" applyFill="1" applyBorder="1" applyAlignment="1">
      <alignment horizontal="center" vertical="center"/>
    </xf>
    <xf numFmtId="49" fontId="45" fillId="10" borderId="9" xfId="3" applyNumberFormat="1" applyFont="1" applyFill="1" applyBorder="1" applyAlignment="1">
      <alignment horizontal="center" vertical="center"/>
    </xf>
    <xf numFmtId="182" fontId="45" fillId="10" borderId="9" xfId="3" applyNumberFormat="1" applyFont="1" applyFill="1" applyBorder="1" applyAlignment="1">
      <alignment horizontal="center" vertical="center"/>
    </xf>
    <xf numFmtId="41" fontId="45" fillId="10" borderId="9" xfId="3" applyNumberFormat="1" applyFont="1" applyFill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5" fillId="10" borderId="9" xfId="0" applyFont="1" applyFill="1" applyBorder="1" applyAlignment="1">
      <alignment horizontal="center" vertical="center"/>
    </xf>
    <xf numFmtId="49" fontId="45" fillId="10" borderId="9" xfId="0" applyNumberFormat="1" applyFont="1" applyFill="1" applyBorder="1" applyAlignment="1">
      <alignment horizontal="center" vertical="center"/>
    </xf>
    <xf numFmtId="43" fontId="45" fillId="10" borderId="9" xfId="0" applyNumberFormat="1" applyFont="1" applyFill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31" fillId="0" borderId="58" xfId="0" applyFont="1" applyBorder="1" applyAlignment="1">
      <alignment horizontal="center" vertical="center"/>
    </xf>
    <xf numFmtId="0" fontId="31" fillId="0" borderId="59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 wrapText="1"/>
    </xf>
    <xf numFmtId="0" fontId="31" fillId="0" borderId="59" xfId="0" applyFont="1" applyBorder="1" applyAlignment="1">
      <alignment horizontal="center" vertical="center" wrapText="1"/>
    </xf>
    <xf numFmtId="0" fontId="63" fillId="0" borderId="53" xfId="0" applyFont="1" applyBorder="1" applyAlignment="1">
      <alignment horizontal="center" vertical="center" wrapText="1"/>
    </xf>
    <xf numFmtId="0" fontId="63" fillId="0" borderId="56" xfId="0" applyFont="1" applyBorder="1" applyAlignment="1">
      <alignment horizontal="center" vertical="center" wrapText="1"/>
    </xf>
    <xf numFmtId="0" fontId="63" fillId="0" borderId="54" xfId="0" applyFont="1" applyBorder="1" applyAlignment="1">
      <alignment horizontal="center" vertical="center" wrapText="1"/>
    </xf>
    <xf numFmtId="0" fontId="63" fillId="0" borderId="0" xfId="0" applyFont="1" applyBorder="1" applyAlignment="1">
      <alignment horizontal="center" vertical="center" wrapText="1"/>
    </xf>
    <xf numFmtId="0" fontId="63" fillId="0" borderId="55" xfId="0" applyFont="1" applyBorder="1" applyAlignment="1">
      <alignment horizontal="center" vertical="center" wrapText="1"/>
    </xf>
    <xf numFmtId="0" fontId="63" fillId="0" borderId="6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189" fontId="0" fillId="0" borderId="0" xfId="0" applyNumberFormat="1">
      <alignment vertical="center"/>
    </xf>
    <xf numFmtId="189" fontId="0" fillId="0" borderId="9" xfId="0" applyNumberFormat="1" applyBorder="1">
      <alignment vertical="center"/>
    </xf>
  </cellXfs>
  <cellStyles count="18">
    <cellStyle name="백분율" xfId="7" builtinId="5"/>
    <cellStyle name="백분율 2" xfId="5" xr:uid="{00000000-0005-0000-0000-000001000000}"/>
    <cellStyle name="쉼표 [0]" xfId="6" builtinId="6"/>
    <cellStyle name="쉼표 [0] 101 2 2 2 2" xfId="14" xr:uid="{6145D325-C665-49FA-BDDA-53FDCB20A261}"/>
    <cellStyle name="쉼표 [0] 2" xfId="4" xr:uid="{00000000-0005-0000-0000-000003000000}"/>
    <cellStyle name="쉼표 [0] 2 2 8" xfId="10" xr:uid="{00000000-0005-0000-0000-000004000000}"/>
    <cellStyle name="쉼표 [0] 3" xfId="12" xr:uid="{78842BD4-0029-431E-8B62-3AC930B813CD}"/>
    <cellStyle name="쉼표 [0]_태준제약 기성청구서(3회)050219" xfId="17" xr:uid="{484DD91E-DF06-4F8D-9F15-86140A7D630D}"/>
    <cellStyle name="통화 [0]" xfId="8" builtinId="7"/>
    <cellStyle name="표준" xfId="0" builtinId="0"/>
    <cellStyle name="표준 103" xfId="13" xr:uid="{67305F8B-30F3-4A96-92D5-15B1F8166364}"/>
    <cellStyle name="표준 2" xfId="3" xr:uid="{00000000-0005-0000-0000-000007000000}"/>
    <cellStyle name="표준 2 2" xfId="2" xr:uid="{00000000-0005-0000-0000-000008000000}"/>
    <cellStyle name="표준 2 3" xfId="16" xr:uid="{DC46E561-9842-4383-B625-7F00C5AAF1AE}"/>
    <cellStyle name="표준 4" xfId="11" xr:uid="{72A51C34-A30B-44FF-BE15-2AE28992F6DB}"/>
    <cellStyle name="표준_QF-0402-25_일용직_노무비명세서_V1.0(07.07.12) - 7월" xfId="9" xr:uid="{00000000-0005-0000-0000-000009000000}"/>
    <cellStyle name="표준_설계 변경 내역서-1" xfId="15" xr:uid="{EC15A06E-7EA5-4098-A48A-5847AD6DA932}"/>
    <cellStyle name="표준_외주기성청구서_기성금청구양식" xfId="1" xr:uid="{00000000-0005-0000-0000-00000A000000}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400194</xdr:colOff>
      <xdr:row>9</xdr:row>
      <xdr:rowOff>264947</xdr:rowOff>
    </xdr:from>
    <xdr:to>
      <xdr:col>10</xdr:col>
      <xdr:colOff>988022</xdr:colOff>
      <xdr:row>13</xdr:row>
      <xdr:rowOff>264948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6265" y="2991818"/>
          <a:ext cx="3684814" cy="1110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333375</xdr:colOff>
      <xdr:row>23</xdr:row>
      <xdr:rowOff>47625</xdr:rowOff>
    </xdr:from>
    <xdr:to>
      <xdr:col>9</xdr:col>
      <xdr:colOff>220980</xdr:colOff>
      <xdr:row>25</xdr:row>
      <xdr:rowOff>180975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A67742C-24E4-4A4A-926C-272A4E011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9134475" y="6400800"/>
          <a:ext cx="687705" cy="685800"/>
        </a:xfrm>
        <a:prstGeom prst="rect">
          <a:avLst/>
        </a:prstGeom>
      </xdr:spPr>
    </xdr:pic>
    <xdr:clientData/>
  </xdr:twoCellAnchor>
  <xdr:twoCellAnchor editAs="oneCell">
    <xdr:from>
      <xdr:col>6</xdr:col>
      <xdr:colOff>386443</xdr:colOff>
      <xdr:row>5</xdr:row>
      <xdr:rowOff>65315</xdr:rowOff>
    </xdr:from>
    <xdr:to>
      <xdr:col>11</xdr:col>
      <xdr:colOff>10886</xdr:colOff>
      <xdr:row>9</xdr:row>
      <xdr:rowOff>234043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CFFBC48-4358-427A-BF80-B26D1FFC8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42514" y="1681844"/>
          <a:ext cx="3712029" cy="12790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539750</xdr:colOff>
      <xdr:row>2</xdr:row>
      <xdr:rowOff>79375</xdr:rowOff>
    </xdr:from>
    <xdr:to>
      <xdr:col>5</xdr:col>
      <xdr:colOff>158750</xdr:colOff>
      <xdr:row>51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341700</xdr:colOff>
      <xdr:row>52</xdr:row>
      <xdr:rowOff>180494</xdr:rowOff>
    </xdr:from>
    <xdr:to>
      <xdr:col>13</xdr:col>
      <xdr:colOff>1433393</xdr:colOff>
      <xdr:row>60</xdr:row>
      <xdr:rowOff>122465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056C70A8-C987-5ECC-F446-2ADC39A41BF7}"/>
            </a:ext>
          </a:extLst>
        </xdr:cNvPr>
        <xdr:cNvGrpSpPr>
          <a:grpSpLocks noChangeAspect="1"/>
        </xdr:cNvGrpSpPr>
      </xdr:nvGrpSpPr>
      <xdr:grpSpPr bwMode="auto">
        <a:xfrm>
          <a:off x="13273288" y="9815648"/>
          <a:ext cx="3844530" cy="1738722"/>
          <a:chOff x="1797" y="1715"/>
          <a:chExt cx="305" cy="154"/>
        </a:xfrm>
      </xdr:grpSpPr>
      <xdr:sp macro="" textlink="">
        <xdr:nvSpPr>
          <xdr:cNvPr id="2050" name="AutoShape 2">
            <a:extLst>
              <a:ext uri="{FF2B5EF4-FFF2-40B4-BE49-F238E27FC236}">
                <a16:creationId xmlns:a16="http://schemas.microsoft.com/office/drawing/2014/main" id="{8D3BA742-557C-277C-06A8-B0FB34E95C06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1797" y="1715"/>
            <a:ext cx="303" cy="1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AA7EAB80-F631-6505-E07B-4164583CC611}"/>
              </a:ext>
            </a:extLst>
          </xdr:cNvPr>
          <xdr:cNvSpPr>
            <a:spLocks noChangeArrowheads="1"/>
          </xdr:cNvSpPr>
        </xdr:nvSpPr>
        <xdr:spPr bwMode="auto">
          <a:xfrm>
            <a:off x="1821" y="1725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DDE682D9-4274-47CE-35F6-368796EFA9A8}"/>
              </a:ext>
            </a:extLst>
          </xdr:cNvPr>
          <xdr:cNvSpPr>
            <a:spLocks noChangeArrowheads="1"/>
          </xdr:cNvSpPr>
        </xdr:nvSpPr>
        <xdr:spPr bwMode="auto">
          <a:xfrm>
            <a:off x="1973" y="1725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972EF5D5-B462-2118-47B8-724F9216B22D}"/>
              </a:ext>
            </a:extLst>
          </xdr:cNvPr>
          <xdr:cNvSpPr>
            <a:spLocks noChangeArrowheads="1"/>
          </xdr:cNvSpPr>
        </xdr:nvSpPr>
        <xdr:spPr bwMode="auto">
          <a:xfrm>
            <a:off x="1830" y="1773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84D632FC-6DCA-967B-6348-DE8D919085E9}"/>
              </a:ext>
            </a:extLst>
          </xdr:cNvPr>
          <xdr:cNvSpPr>
            <a:spLocks noChangeArrowheads="1"/>
          </xdr:cNvSpPr>
        </xdr:nvSpPr>
        <xdr:spPr bwMode="auto">
          <a:xfrm>
            <a:off x="1934" y="1773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백 석 민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6CEC37A8-64FF-F37C-EAA1-4F341F1722FC}"/>
              </a:ext>
            </a:extLst>
          </xdr:cNvPr>
          <xdr:cNvSpPr>
            <a:spLocks noChangeArrowheads="1"/>
          </xdr:cNvSpPr>
        </xdr:nvSpPr>
        <xdr:spPr bwMode="auto">
          <a:xfrm>
            <a:off x="2040" y="1773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DCB82A43-A7AC-9C16-2F9B-387830B7D5AD}"/>
              </a:ext>
            </a:extLst>
          </xdr:cNvPr>
          <xdr:cNvSpPr>
            <a:spLocks noChangeArrowheads="1"/>
          </xdr:cNvSpPr>
        </xdr:nvSpPr>
        <xdr:spPr bwMode="auto">
          <a:xfrm>
            <a:off x="2048" y="1773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41F45E10-9BE0-5B3D-E73D-EBEBB2C57AAF}"/>
              </a:ext>
            </a:extLst>
          </xdr:cNvPr>
          <xdr:cNvSpPr>
            <a:spLocks noChangeArrowheads="1"/>
          </xdr:cNvSpPr>
        </xdr:nvSpPr>
        <xdr:spPr bwMode="auto">
          <a:xfrm>
            <a:off x="2070" y="1773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850B4A79-864A-BBCA-8CD9-BE5885D72E7B}"/>
              </a:ext>
            </a:extLst>
          </xdr:cNvPr>
          <xdr:cNvSpPr>
            <a:spLocks noChangeArrowheads="1"/>
          </xdr:cNvSpPr>
        </xdr:nvSpPr>
        <xdr:spPr bwMode="auto">
          <a:xfrm>
            <a:off x="1830" y="1824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494217F2-351B-DE0D-9E80-857FB4D11165}"/>
              </a:ext>
            </a:extLst>
          </xdr:cNvPr>
          <xdr:cNvSpPr>
            <a:spLocks noChangeArrowheads="1"/>
          </xdr:cNvSpPr>
        </xdr:nvSpPr>
        <xdr:spPr bwMode="auto">
          <a:xfrm>
            <a:off x="1934" y="1824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서 현 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51328843-52D2-B50D-BA2E-B8A6652E1540}"/>
              </a:ext>
            </a:extLst>
          </xdr:cNvPr>
          <xdr:cNvSpPr>
            <a:spLocks noChangeArrowheads="1"/>
          </xdr:cNvSpPr>
        </xdr:nvSpPr>
        <xdr:spPr bwMode="auto">
          <a:xfrm>
            <a:off x="2040" y="1824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26E5B699-25FC-847D-83A9-B837D8A9FB0E}"/>
              </a:ext>
            </a:extLst>
          </xdr:cNvPr>
          <xdr:cNvSpPr>
            <a:spLocks noChangeArrowheads="1"/>
          </xdr:cNvSpPr>
        </xdr:nvSpPr>
        <xdr:spPr bwMode="auto">
          <a:xfrm>
            <a:off x="2048" y="1824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D8CC14C7-8C96-58EE-076B-798C78EDE0E8}"/>
              </a:ext>
            </a:extLst>
          </xdr:cNvPr>
          <xdr:cNvSpPr>
            <a:spLocks noChangeArrowheads="1"/>
          </xdr:cNvSpPr>
        </xdr:nvSpPr>
        <xdr:spPr bwMode="auto">
          <a:xfrm>
            <a:off x="2070" y="1824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32AD7B7D-AF76-B157-9DE2-68EC2DB6F9E5}"/>
              </a:ext>
            </a:extLst>
          </xdr:cNvPr>
          <xdr:cNvSpPr>
            <a:spLocks noChangeArrowheads="1"/>
          </xdr:cNvSpPr>
        </xdr:nvSpPr>
        <xdr:spPr bwMode="auto">
          <a:xfrm>
            <a:off x="1797" y="1715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3EB6628A-134A-D754-79F1-D88DB0367275}"/>
              </a:ext>
            </a:extLst>
          </xdr:cNvPr>
          <xdr:cNvSpPr>
            <a:spLocks noChangeArrowheads="1"/>
          </xdr:cNvSpPr>
        </xdr:nvSpPr>
        <xdr:spPr bwMode="auto">
          <a:xfrm>
            <a:off x="1912" y="1715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6747E572-D785-DE90-9CD3-6B9703E2D882}"/>
              </a:ext>
            </a:extLst>
          </xdr:cNvPr>
          <xdr:cNvSpPr>
            <a:spLocks noChangeShapeType="1"/>
          </xdr:cNvSpPr>
        </xdr:nvSpPr>
        <xdr:spPr bwMode="auto">
          <a:xfrm>
            <a:off x="1799" y="171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F7FC5B5B-F96E-BA04-6518-13E1160420CF}"/>
              </a:ext>
            </a:extLst>
          </xdr:cNvPr>
          <xdr:cNvSpPr>
            <a:spLocks noChangeArrowheads="1"/>
          </xdr:cNvSpPr>
        </xdr:nvSpPr>
        <xdr:spPr bwMode="auto">
          <a:xfrm>
            <a:off x="1799" y="171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B9238FE6-4F2B-92B1-EA63-8086CDC687B1}"/>
              </a:ext>
            </a:extLst>
          </xdr:cNvPr>
          <xdr:cNvSpPr>
            <a:spLocks noChangeArrowheads="1"/>
          </xdr:cNvSpPr>
        </xdr:nvSpPr>
        <xdr:spPr bwMode="auto">
          <a:xfrm>
            <a:off x="2099" y="1715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53FE6084-AC59-4E0C-CEC7-D1D98815F8F5}"/>
              </a:ext>
            </a:extLst>
          </xdr:cNvPr>
          <xdr:cNvSpPr>
            <a:spLocks noChangeShapeType="1"/>
          </xdr:cNvSpPr>
        </xdr:nvSpPr>
        <xdr:spPr bwMode="auto">
          <a:xfrm>
            <a:off x="1799" y="176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5CA6331F-CDDE-E14B-930D-229FCD34841E}"/>
              </a:ext>
            </a:extLst>
          </xdr:cNvPr>
          <xdr:cNvSpPr>
            <a:spLocks noChangeArrowheads="1"/>
          </xdr:cNvSpPr>
        </xdr:nvSpPr>
        <xdr:spPr bwMode="auto">
          <a:xfrm>
            <a:off x="1799" y="176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9F430FD9-9E66-3EF6-82A0-81521C6DB2F4}"/>
              </a:ext>
            </a:extLst>
          </xdr:cNvPr>
          <xdr:cNvSpPr>
            <a:spLocks noChangeShapeType="1"/>
          </xdr:cNvSpPr>
        </xdr:nvSpPr>
        <xdr:spPr bwMode="auto">
          <a:xfrm>
            <a:off x="1799" y="181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2A950621-F289-A41C-328A-F705176571BB}"/>
              </a:ext>
            </a:extLst>
          </xdr:cNvPr>
          <xdr:cNvSpPr>
            <a:spLocks noChangeArrowheads="1"/>
          </xdr:cNvSpPr>
        </xdr:nvSpPr>
        <xdr:spPr bwMode="auto">
          <a:xfrm>
            <a:off x="1799" y="181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533C0995-37F0-DB05-FF87-283B28CEBDC1}"/>
              </a:ext>
            </a:extLst>
          </xdr:cNvPr>
          <xdr:cNvSpPr>
            <a:spLocks noChangeShapeType="1"/>
          </xdr:cNvSpPr>
        </xdr:nvSpPr>
        <xdr:spPr bwMode="auto">
          <a:xfrm>
            <a:off x="1797" y="1715"/>
            <a:ext cx="0" cy="15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5EA6A7DA-FA39-D21B-04F9-3BC8442D6EAF}"/>
              </a:ext>
            </a:extLst>
          </xdr:cNvPr>
          <xdr:cNvSpPr>
            <a:spLocks noChangeArrowheads="1"/>
          </xdr:cNvSpPr>
        </xdr:nvSpPr>
        <xdr:spPr bwMode="auto">
          <a:xfrm>
            <a:off x="1797" y="1715"/>
            <a:ext cx="2" cy="15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273618BE-6506-3660-5FFC-F1B7EA00D125}"/>
              </a:ext>
            </a:extLst>
          </xdr:cNvPr>
          <xdr:cNvSpPr>
            <a:spLocks noChangeShapeType="1"/>
          </xdr:cNvSpPr>
        </xdr:nvSpPr>
        <xdr:spPr bwMode="auto">
          <a:xfrm>
            <a:off x="1912" y="1717"/>
            <a:ext cx="0" cy="15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82072431-959B-EEBF-921E-03E3F0B96FCF}"/>
              </a:ext>
            </a:extLst>
          </xdr:cNvPr>
          <xdr:cNvSpPr>
            <a:spLocks noChangeArrowheads="1"/>
          </xdr:cNvSpPr>
        </xdr:nvSpPr>
        <xdr:spPr bwMode="auto">
          <a:xfrm>
            <a:off x="1912" y="1717"/>
            <a:ext cx="1" cy="15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D5B38B77-C2E3-9BBF-C2AD-E5B09F861544}"/>
              </a:ext>
            </a:extLst>
          </xdr:cNvPr>
          <xdr:cNvSpPr>
            <a:spLocks noChangeShapeType="1"/>
          </xdr:cNvSpPr>
        </xdr:nvSpPr>
        <xdr:spPr bwMode="auto">
          <a:xfrm>
            <a:off x="1799" y="1866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D28AFE4E-C4C2-AAD5-B52F-60D3C6BAAE79}"/>
              </a:ext>
            </a:extLst>
          </xdr:cNvPr>
          <xdr:cNvSpPr>
            <a:spLocks noChangeArrowheads="1"/>
          </xdr:cNvSpPr>
        </xdr:nvSpPr>
        <xdr:spPr bwMode="auto">
          <a:xfrm>
            <a:off x="1799" y="1866"/>
            <a:ext cx="30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7B19F28C-8DB8-709E-EF78-DFC9C0C0D537}"/>
              </a:ext>
            </a:extLst>
          </xdr:cNvPr>
          <xdr:cNvSpPr>
            <a:spLocks noChangeShapeType="1"/>
          </xdr:cNvSpPr>
        </xdr:nvSpPr>
        <xdr:spPr bwMode="auto">
          <a:xfrm>
            <a:off x="2099" y="1717"/>
            <a:ext cx="0" cy="15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08173407-DC08-5DE6-E113-5663711A8132}"/>
              </a:ext>
            </a:extLst>
          </xdr:cNvPr>
          <xdr:cNvSpPr>
            <a:spLocks noChangeArrowheads="1"/>
          </xdr:cNvSpPr>
        </xdr:nvSpPr>
        <xdr:spPr bwMode="auto">
          <a:xfrm>
            <a:off x="2099" y="1717"/>
            <a:ext cx="1" cy="15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99806136-9F4C-2595-E911-C90241DA432B}"/>
              </a:ext>
            </a:extLst>
          </xdr:cNvPr>
          <xdr:cNvSpPr>
            <a:spLocks noChangeShapeType="1"/>
          </xdr:cNvSpPr>
        </xdr:nvSpPr>
        <xdr:spPr bwMode="auto">
          <a:xfrm>
            <a:off x="1797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0BBB53EB-8C55-9EB6-711E-20E409208204}"/>
              </a:ext>
            </a:extLst>
          </xdr:cNvPr>
          <xdr:cNvSpPr>
            <a:spLocks noChangeArrowheads="1"/>
          </xdr:cNvSpPr>
        </xdr:nvSpPr>
        <xdr:spPr bwMode="auto">
          <a:xfrm>
            <a:off x="1797" y="1867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CF40CCCA-80D1-4005-8E4F-E2A0570B1868}"/>
              </a:ext>
            </a:extLst>
          </xdr:cNvPr>
          <xdr:cNvSpPr>
            <a:spLocks noChangeShapeType="1"/>
          </xdr:cNvSpPr>
        </xdr:nvSpPr>
        <xdr:spPr bwMode="auto">
          <a:xfrm>
            <a:off x="1912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6914C050-8AC1-51C5-2BBD-DB1482DE6C1C}"/>
              </a:ext>
            </a:extLst>
          </xdr:cNvPr>
          <xdr:cNvSpPr>
            <a:spLocks noChangeArrowheads="1"/>
          </xdr:cNvSpPr>
        </xdr:nvSpPr>
        <xdr:spPr bwMode="auto">
          <a:xfrm>
            <a:off x="1912" y="1867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16A4F1C2-CC7D-1A35-EC79-E2D13E2C27F7}"/>
              </a:ext>
            </a:extLst>
          </xdr:cNvPr>
          <xdr:cNvSpPr>
            <a:spLocks noChangeShapeType="1"/>
          </xdr:cNvSpPr>
        </xdr:nvSpPr>
        <xdr:spPr bwMode="auto">
          <a:xfrm>
            <a:off x="2099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8EE8F548-FDDF-BD09-5B5C-5149DBA12CB1}"/>
              </a:ext>
            </a:extLst>
          </xdr:cNvPr>
          <xdr:cNvSpPr>
            <a:spLocks noChangeArrowheads="1"/>
          </xdr:cNvSpPr>
        </xdr:nvSpPr>
        <xdr:spPr bwMode="auto">
          <a:xfrm>
            <a:off x="2099" y="1867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0F49B72A-0747-6A35-659B-09BBD844EF61}"/>
              </a:ext>
            </a:extLst>
          </xdr:cNvPr>
          <xdr:cNvSpPr>
            <a:spLocks noChangeShapeType="1"/>
          </xdr:cNvSpPr>
        </xdr:nvSpPr>
        <xdr:spPr bwMode="auto">
          <a:xfrm>
            <a:off x="2100" y="171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DED63CD7-E07C-8F9C-00BC-BA0B1CF87666}"/>
              </a:ext>
            </a:extLst>
          </xdr:cNvPr>
          <xdr:cNvSpPr>
            <a:spLocks noChangeArrowheads="1"/>
          </xdr:cNvSpPr>
        </xdr:nvSpPr>
        <xdr:spPr bwMode="auto">
          <a:xfrm>
            <a:off x="2100" y="171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B5EC9152-7FFA-FBA5-1883-CBBAA6257263}"/>
              </a:ext>
            </a:extLst>
          </xdr:cNvPr>
          <xdr:cNvSpPr>
            <a:spLocks noChangeShapeType="1"/>
          </xdr:cNvSpPr>
        </xdr:nvSpPr>
        <xdr:spPr bwMode="auto">
          <a:xfrm>
            <a:off x="2100" y="176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9565177-7E05-C3DA-3E34-FF8EE9B3D619}"/>
              </a:ext>
            </a:extLst>
          </xdr:cNvPr>
          <xdr:cNvSpPr>
            <a:spLocks noChangeArrowheads="1"/>
          </xdr:cNvSpPr>
        </xdr:nvSpPr>
        <xdr:spPr bwMode="auto">
          <a:xfrm>
            <a:off x="2100" y="176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7C06D48B-4607-B1F3-A3B9-5A77F233C732}"/>
              </a:ext>
            </a:extLst>
          </xdr:cNvPr>
          <xdr:cNvSpPr>
            <a:spLocks noChangeShapeType="1"/>
          </xdr:cNvSpPr>
        </xdr:nvSpPr>
        <xdr:spPr bwMode="auto">
          <a:xfrm>
            <a:off x="2100" y="181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12E34373-ABF0-30E3-E9BB-AEF4E13F9FB0}"/>
              </a:ext>
            </a:extLst>
          </xdr:cNvPr>
          <xdr:cNvSpPr>
            <a:spLocks noChangeArrowheads="1"/>
          </xdr:cNvSpPr>
        </xdr:nvSpPr>
        <xdr:spPr bwMode="auto">
          <a:xfrm>
            <a:off x="2100" y="181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6D496BE5-EB65-4250-02D2-03D300179DD9}"/>
              </a:ext>
            </a:extLst>
          </xdr:cNvPr>
          <xdr:cNvSpPr>
            <a:spLocks noChangeShapeType="1"/>
          </xdr:cNvSpPr>
        </xdr:nvSpPr>
        <xdr:spPr bwMode="auto">
          <a:xfrm>
            <a:off x="2100" y="18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EA081357-12C6-D71B-2879-0EA781B7EC2B}"/>
              </a:ext>
            </a:extLst>
          </xdr:cNvPr>
          <xdr:cNvSpPr>
            <a:spLocks noChangeArrowheads="1"/>
          </xdr:cNvSpPr>
        </xdr:nvSpPr>
        <xdr:spPr bwMode="auto">
          <a:xfrm>
            <a:off x="2100" y="1866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A16" sqref="A16"/>
    </sheetView>
  </sheetViews>
  <sheetFormatPr defaultRowHeight="17.399999999999999"/>
  <cols>
    <col min="1" max="6" width="21.59765625" customWidth="1"/>
  </cols>
  <sheetData>
    <row r="1" spans="1:6" ht="21.9" customHeight="1" thickTop="1">
      <c r="A1" s="1"/>
      <c r="B1" s="2"/>
      <c r="C1" s="2"/>
      <c r="D1" s="2"/>
      <c r="E1" s="2"/>
      <c r="F1" s="3"/>
    </row>
    <row r="2" spans="1:6" ht="21.9" customHeight="1">
      <c r="A2" s="4"/>
      <c r="B2" s="5"/>
      <c r="C2" s="5"/>
      <c r="D2" s="6"/>
      <c r="E2" s="5"/>
      <c r="F2" s="7"/>
    </row>
    <row r="3" spans="1:6" ht="21.9" customHeight="1">
      <c r="A3" s="4"/>
      <c r="B3" s="5"/>
      <c r="C3" s="5"/>
      <c r="D3" s="5"/>
      <c r="E3" s="5"/>
      <c r="F3" s="7"/>
    </row>
    <row r="4" spans="1:6" ht="21.9" customHeight="1">
      <c r="A4" s="4"/>
      <c r="B4" s="248" t="s">
        <v>0</v>
      </c>
      <c r="C4" s="248"/>
      <c r="D4" s="248"/>
      <c r="E4" s="248"/>
      <c r="F4" s="7"/>
    </row>
    <row r="5" spans="1:6" ht="21.9" customHeight="1">
      <c r="A5" s="8"/>
      <c r="B5" s="248"/>
      <c r="C5" s="248"/>
      <c r="D5" s="248"/>
      <c r="E5" s="248"/>
      <c r="F5" s="9"/>
    </row>
    <row r="6" spans="1:6" ht="21.9" customHeight="1">
      <c r="A6" s="10"/>
      <c r="B6" s="248"/>
      <c r="C6" s="248"/>
      <c r="D6" s="248"/>
      <c r="E6" s="248"/>
      <c r="F6" s="11"/>
    </row>
    <row r="7" spans="1:6" ht="36.9" customHeight="1">
      <c r="A7" s="12"/>
      <c r="B7" s="249" t="s">
        <v>1</v>
      </c>
      <c r="C7" s="249"/>
      <c r="D7" s="249"/>
      <c r="E7" s="249"/>
      <c r="F7" s="11"/>
    </row>
    <row r="8" spans="1:6" ht="29.1" customHeight="1">
      <c r="A8" s="8"/>
      <c r="B8" s="13"/>
      <c r="C8" s="250" t="s">
        <v>292</v>
      </c>
      <c r="D8" s="251"/>
      <c r="E8" s="13"/>
      <c r="F8" s="9"/>
    </row>
    <row r="9" spans="1:6" ht="21.9" customHeight="1">
      <c r="A9" s="8"/>
      <c r="B9" s="13"/>
      <c r="C9" s="13"/>
      <c r="D9" s="13"/>
      <c r="E9" s="13"/>
      <c r="F9" s="9"/>
    </row>
    <row r="10" spans="1:6" ht="21.9" customHeight="1">
      <c r="A10" s="8"/>
      <c r="B10" s="13"/>
      <c r="C10" s="13"/>
      <c r="D10" s="13"/>
      <c r="E10" s="13"/>
      <c r="F10" s="9"/>
    </row>
    <row r="11" spans="1:6" ht="21.9" customHeight="1">
      <c r="A11" s="8"/>
      <c r="B11" s="13"/>
      <c r="C11" s="13"/>
      <c r="D11" s="13"/>
      <c r="E11" s="13"/>
      <c r="F11" s="9"/>
    </row>
    <row r="12" spans="1:6" ht="21.9" customHeight="1">
      <c r="A12" s="8"/>
      <c r="B12" s="13"/>
      <c r="C12" s="13"/>
      <c r="D12" s="13"/>
      <c r="E12" s="13"/>
      <c r="F12" s="9"/>
    </row>
    <row r="13" spans="1:6" ht="21.9" customHeight="1">
      <c r="A13" s="8"/>
      <c r="B13" s="13"/>
      <c r="C13" s="13"/>
      <c r="D13" s="13"/>
      <c r="E13" s="13"/>
      <c r="F13" s="9"/>
    </row>
    <row r="14" spans="1:6" ht="21.9" customHeight="1">
      <c r="A14" s="8"/>
      <c r="B14" s="13"/>
      <c r="C14" s="252" t="s">
        <v>510</v>
      </c>
      <c r="D14" s="252"/>
      <c r="E14" s="13"/>
      <c r="F14" s="9"/>
    </row>
    <row r="15" spans="1:6" ht="21.9" customHeight="1">
      <c r="A15" s="8"/>
      <c r="B15" s="13"/>
      <c r="C15" s="253" t="s">
        <v>303</v>
      </c>
      <c r="D15" s="253"/>
      <c r="E15" s="13"/>
      <c r="F15" s="9"/>
    </row>
    <row r="16" spans="1:6" ht="21.9" customHeight="1">
      <c r="A16" s="8"/>
      <c r="B16" s="13"/>
      <c r="C16" s="13"/>
      <c r="D16" s="13"/>
      <c r="E16" s="13"/>
      <c r="F16" s="9"/>
    </row>
    <row r="17" spans="1:6" ht="21.9" customHeight="1">
      <c r="A17" s="8"/>
      <c r="B17" s="13"/>
      <c r="C17" s="13"/>
      <c r="D17" s="13"/>
      <c r="E17" s="13"/>
      <c r="F17" s="9"/>
    </row>
    <row r="18" spans="1:6" ht="21.9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247"/>
      <c r="D19" s="247"/>
      <c r="E19" s="13"/>
      <c r="F19" s="9"/>
    </row>
    <row r="20" spans="1:6" ht="21.9" customHeight="1">
      <c r="A20" s="8"/>
      <c r="B20" s="13"/>
      <c r="C20" s="13"/>
      <c r="D20" s="13"/>
      <c r="E20" s="13"/>
      <c r="F20" s="9"/>
    </row>
    <row r="21" spans="1:6" ht="21.9" customHeight="1" thickBot="1">
      <c r="A21" s="14"/>
      <c r="B21" s="15"/>
      <c r="C21" s="15"/>
      <c r="D21" s="15"/>
      <c r="E21" s="15"/>
      <c r="F21" s="16"/>
    </row>
    <row r="22" spans="1:6" ht="18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="85" zoomScaleNormal="100" zoomScaleSheetLayoutView="85" workbookViewId="0">
      <selection activeCell="O16" sqref="O16"/>
    </sheetView>
  </sheetViews>
  <sheetFormatPr defaultRowHeight="17.399999999999999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>
      <c r="A1" s="254" t="s">
        <v>2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</row>
    <row r="2" spans="1:12" ht="21.9" customHeight="1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" customHeight="1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" customHeight="1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" customHeight="1">
      <c r="A5" s="20">
        <v>3</v>
      </c>
      <c r="B5" s="21" t="s">
        <v>7</v>
      </c>
      <c r="C5" s="21" t="s">
        <v>4</v>
      </c>
      <c r="D5" s="25">
        <f>ROUNDUP(E5,0)</f>
        <v>1520000000</v>
      </c>
      <c r="E5" s="22">
        <f>집계장!I22</f>
        <v>1520000000</v>
      </c>
      <c r="F5" s="26" t="s">
        <v>8</v>
      </c>
      <c r="G5" s="18"/>
      <c r="H5" s="18"/>
      <c r="I5" s="18"/>
      <c r="J5" s="18"/>
      <c r="K5" s="18"/>
    </row>
    <row r="6" spans="1:12" ht="21.9" customHeight="1">
      <c r="A6" s="20">
        <v>4</v>
      </c>
      <c r="B6" s="27" t="s">
        <v>9</v>
      </c>
      <c r="C6" s="21" t="s">
        <v>4</v>
      </c>
      <c r="D6" s="25">
        <f t="shared" ref="D6:D14" si="0">ROUNDUP(E6,0)</f>
        <v>1520000000</v>
      </c>
      <c r="E6" s="22">
        <f>E7+E13</f>
        <v>1520000000</v>
      </c>
      <c r="F6" s="26" t="s">
        <v>10</v>
      </c>
      <c r="G6" s="18"/>
      <c r="H6" s="18"/>
      <c r="I6" s="18"/>
      <c r="J6" s="18"/>
      <c r="K6" s="18"/>
      <c r="L6" s="18"/>
    </row>
    <row r="7" spans="1:12" ht="21.9" customHeight="1">
      <c r="A7" s="20">
        <v>5</v>
      </c>
      <c r="B7" s="21" t="s">
        <v>11</v>
      </c>
      <c r="C7" s="21" t="s">
        <v>12</v>
      </c>
      <c r="D7" s="25">
        <f t="shared" si="0"/>
        <v>1220000000</v>
      </c>
      <c r="E7" s="22">
        <f>집계장!G22</f>
        <v>1220000000</v>
      </c>
      <c r="F7" s="26" t="s">
        <v>13</v>
      </c>
      <c r="G7" s="18"/>
      <c r="H7" s="18"/>
      <c r="I7" s="18"/>
      <c r="J7" s="18"/>
      <c r="K7" s="18"/>
      <c r="L7" s="18"/>
    </row>
    <row r="8" spans="1:12" ht="21.9" customHeight="1">
      <c r="A8" s="20">
        <v>6</v>
      </c>
      <c r="B8" s="21" t="s">
        <v>14</v>
      </c>
      <c r="C8" s="21" t="s">
        <v>4</v>
      </c>
      <c r="D8" s="25">
        <f t="shared" si="0"/>
        <v>300000000</v>
      </c>
      <c r="E8" s="22">
        <f>집계장!F22</f>
        <v>300000000</v>
      </c>
      <c r="F8" s="26" t="s">
        <v>15</v>
      </c>
      <c r="G8" s="18"/>
      <c r="H8" s="18"/>
      <c r="I8" s="18"/>
      <c r="J8" s="18"/>
      <c r="K8" s="18"/>
      <c r="L8" s="28"/>
    </row>
    <row r="9" spans="1:12" ht="21.9" customHeight="1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" customHeight="1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" customHeight="1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" customHeight="1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" customHeight="1">
      <c r="A13" s="20">
        <v>11</v>
      </c>
      <c r="B13" s="24" t="s">
        <v>22</v>
      </c>
      <c r="C13" s="21" t="s">
        <v>23</v>
      </c>
      <c r="D13" s="31">
        <f>ROUNDUP(E13,0)</f>
        <v>300000000</v>
      </c>
      <c r="E13" s="32">
        <f>집계장!F22</f>
        <v>300000000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" customHeight="1">
      <c r="A14" s="20">
        <v>12</v>
      </c>
      <c r="B14" s="21" t="s">
        <v>24</v>
      </c>
      <c r="C14" s="21" t="s">
        <v>23</v>
      </c>
      <c r="D14" s="25">
        <f t="shared" si="0"/>
        <v>0</v>
      </c>
      <c r="E14" s="22">
        <f>집계장!I16</f>
        <v>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" customHeight="1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" customHeight="1">
      <c r="A16" s="20">
        <v>14</v>
      </c>
      <c r="B16" s="21" t="s">
        <v>27</v>
      </c>
      <c r="C16" s="21" t="s">
        <v>28</v>
      </c>
      <c r="D16" s="33" t="s">
        <v>511</v>
      </c>
      <c r="E16" s="34"/>
      <c r="F16" s="21"/>
      <c r="G16" s="21"/>
      <c r="H16" s="21"/>
      <c r="I16" s="21"/>
      <c r="J16" s="21"/>
      <c r="K16" s="21"/>
    </row>
    <row r="17" spans="1:11" ht="21.9" customHeight="1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" customHeight="1">
      <c r="A18" s="20"/>
      <c r="B18" s="255" t="s">
        <v>29</v>
      </c>
      <c r="C18" s="255"/>
      <c r="D18" s="255"/>
      <c r="E18" s="255"/>
      <c r="F18" s="255"/>
      <c r="G18" s="255"/>
      <c r="H18" s="255"/>
      <c r="I18" s="255"/>
      <c r="J18" s="256"/>
      <c r="K18" s="21"/>
    </row>
    <row r="19" spans="1:11" ht="21.9" customHeight="1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" customHeight="1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" customHeight="1">
      <c r="A21" s="35"/>
      <c r="B21" s="21"/>
      <c r="C21" s="21"/>
      <c r="D21" s="21"/>
      <c r="E21" s="34"/>
      <c r="F21" s="24" t="s">
        <v>512</v>
      </c>
      <c r="G21" s="24"/>
      <c r="H21" s="24"/>
      <c r="I21" s="24"/>
      <c r="J21" s="21"/>
      <c r="K21" s="21"/>
    </row>
    <row r="22" spans="1:11" ht="21.9" customHeight="1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" customHeight="1">
      <c r="A23" s="35"/>
      <c r="B23" s="21"/>
      <c r="C23" s="21"/>
      <c r="D23" s="21"/>
      <c r="E23" s="34"/>
      <c r="F23" s="24" t="s">
        <v>32</v>
      </c>
      <c r="G23" s="257" t="s">
        <v>304</v>
      </c>
      <c r="H23" s="257"/>
      <c r="I23" s="257"/>
      <c r="J23" s="257"/>
      <c r="K23" s="257"/>
    </row>
    <row r="24" spans="1:11" ht="21.9" customHeight="1">
      <c r="A24" s="35"/>
      <c r="B24" s="21" t="s">
        <v>33</v>
      </c>
      <c r="C24" s="21"/>
      <c r="D24" s="21"/>
      <c r="E24" s="34"/>
      <c r="F24" s="24" t="s">
        <v>34</v>
      </c>
      <c r="G24" s="257" t="s">
        <v>305</v>
      </c>
      <c r="H24" s="257"/>
      <c r="I24" s="257"/>
      <c r="J24" s="257"/>
      <c r="K24" s="257"/>
    </row>
    <row r="25" spans="1:11" ht="21.9" customHeight="1">
      <c r="A25" s="18"/>
      <c r="B25" s="21"/>
      <c r="C25" s="21"/>
      <c r="D25" s="21"/>
      <c r="E25" s="34"/>
      <c r="F25" s="24" t="s">
        <v>35</v>
      </c>
      <c r="G25" s="257" t="s">
        <v>306</v>
      </c>
      <c r="H25" s="257"/>
      <c r="I25" s="23" t="s">
        <v>307</v>
      </c>
      <c r="J25" s="24"/>
      <c r="K25" s="24"/>
    </row>
    <row r="26" spans="1:11" ht="21.9" customHeight="1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83" fitToHeight="0" orientation="landscape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F7" sqref="F7"/>
    </sheetView>
  </sheetViews>
  <sheetFormatPr defaultRowHeight="17.399999999999999"/>
  <cols>
    <col min="1" max="1" width="29.19921875" style="37" bestFit="1" customWidth="1"/>
    <col min="2" max="2" width="18.59765625" style="37" customWidth="1"/>
    <col min="3" max="3" width="9" style="37"/>
    <col min="4" max="4" width="12.3984375" style="37" bestFit="1" customWidth="1"/>
    <col min="5" max="5" width="8.59765625" style="37" customWidth="1"/>
    <col min="6" max="6" width="15.59765625" style="37" customWidth="1"/>
    <col min="7" max="7" width="13.59765625" style="37" customWidth="1"/>
  </cols>
  <sheetData>
    <row r="1" spans="1:7" ht="69.900000000000006" customHeight="1">
      <c r="A1" s="258" t="s">
        <v>81</v>
      </c>
      <c r="B1" s="259"/>
      <c r="C1" s="259"/>
      <c r="D1" s="259"/>
      <c r="E1" s="259"/>
      <c r="F1" s="259"/>
      <c r="G1" s="259"/>
    </row>
    <row r="2" spans="1:7" ht="39.9" customHeight="1" thickBot="1">
      <c r="A2" s="41" t="s">
        <v>82</v>
      </c>
      <c r="G2" s="42" t="s">
        <v>83</v>
      </c>
    </row>
    <row r="3" spans="1:7" ht="27.9" customHeight="1">
      <c r="A3" s="260" t="s">
        <v>84</v>
      </c>
      <c r="B3" s="262" t="s">
        <v>85</v>
      </c>
      <c r="C3" s="262" t="s">
        <v>86</v>
      </c>
      <c r="D3" s="262" t="s">
        <v>87</v>
      </c>
      <c r="E3" s="262" t="s">
        <v>88</v>
      </c>
      <c r="F3" s="262"/>
      <c r="G3" s="264"/>
    </row>
    <row r="4" spans="1:7" ht="27.9" customHeight="1">
      <c r="A4" s="261"/>
      <c r="B4" s="263"/>
      <c r="C4" s="263"/>
      <c r="D4" s="263"/>
      <c r="E4" s="43" t="s">
        <v>89</v>
      </c>
      <c r="F4" s="43" t="s">
        <v>90</v>
      </c>
      <c r="G4" s="44" t="s">
        <v>91</v>
      </c>
    </row>
    <row r="5" spans="1:7" ht="27.9" customHeight="1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" customHeight="1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" customHeight="1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" customHeight="1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" customHeight="1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" customHeight="1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" customHeight="1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" customHeight="1">
      <c r="A12" s="45"/>
      <c r="B12" s="46"/>
      <c r="C12" s="46"/>
      <c r="D12" s="46"/>
      <c r="E12" s="46"/>
      <c r="F12" s="46"/>
      <c r="G12" s="48"/>
    </row>
    <row r="13" spans="1:7" ht="27.9" customHeight="1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" customHeight="1">
      <c r="A14" s="45"/>
      <c r="B14" s="46"/>
      <c r="C14" s="46"/>
      <c r="D14" s="46"/>
      <c r="E14" s="46"/>
      <c r="F14" s="46"/>
      <c r="G14" s="48"/>
    </row>
    <row r="15" spans="1:7" ht="27.9" customHeight="1" thickBot="1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1D32-6E2C-4203-AA47-2A2BE9488A41}">
  <sheetPr>
    <pageSetUpPr fitToPage="1"/>
  </sheetPr>
  <dimension ref="A1:L42"/>
  <sheetViews>
    <sheetView view="pageBreakPreview" zoomScale="115" zoomScaleNormal="100" zoomScaleSheetLayoutView="115" workbookViewId="0">
      <selection activeCell="A16" sqref="A16"/>
    </sheetView>
  </sheetViews>
  <sheetFormatPr defaultColWidth="9" defaultRowHeight="17.399999999999999"/>
  <cols>
    <col min="1" max="1" width="25.59765625" style="18" customWidth="1"/>
    <col min="2" max="2" width="20.09765625" style="18" customWidth="1"/>
    <col min="3" max="3" width="7.3984375" style="18" customWidth="1"/>
    <col min="4" max="4" width="10.59765625" style="236" customWidth="1"/>
    <col min="5" max="5" width="9.8984375" style="18" customWidth="1"/>
    <col min="6" max="6" width="17.59765625" style="18" customWidth="1"/>
    <col min="7" max="7" width="15.59765625" style="18" customWidth="1"/>
    <col min="8" max="11" width="9" style="18"/>
    <col min="12" max="12" width="15.59765625" style="18" bestFit="1" customWidth="1"/>
    <col min="13" max="16384" width="9" style="18"/>
  </cols>
  <sheetData>
    <row r="1" spans="1:12" ht="69" customHeight="1">
      <c r="A1" s="265" t="s">
        <v>309</v>
      </c>
      <c r="B1" s="265"/>
      <c r="C1" s="265"/>
      <c r="D1" s="265"/>
      <c r="E1" s="265"/>
      <c r="F1" s="265"/>
      <c r="G1" s="265"/>
    </row>
    <row r="2" spans="1:12" ht="39.75" customHeight="1" thickBot="1">
      <c r="A2" s="186" t="s">
        <v>82</v>
      </c>
      <c r="B2" s="187"/>
      <c r="C2" s="187"/>
      <c r="D2" s="187"/>
      <c r="E2" s="188"/>
      <c r="F2" s="189"/>
      <c r="G2" s="189" t="s">
        <v>310</v>
      </c>
    </row>
    <row r="3" spans="1:12" ht="27.9" customHeight="1">
      <c r="A3" s="266" t="s">
        <v>311</v>
      </c>
      <c r="B3" s="268" t="s">
        <v>312</v>
      </c>
      <c r="C3" s="268" t="s">
        <v>313</v>
      </c>
      <c r="D3" s="270" t="s">
        <v>314</v>
      </c>
      <c r="E3" s="270" t="s">
        <v>315</v>
      </c>
      <c r="F3" s="270"/>
      <c r="G3" s="272" t="s">
        <v>316</v>
      </c>
    </row>
    <row r="4" spans="1:12" ht="27.9" customHeight="1">
      <c r="A4" s="267"/>
      <c r="B4" s="269"/>
      <c r="C4" s="269"/>
      <c r="D4" s="271"/>
      <c r="E4" s="190" t="s">
        <v>317</v>
      </c>
      <c r="F4" s="190" t="s">
        <v>318</v>
      </c>
      <c r="G4" s="273"/>
    </row>
    <row r="5" spans="1:12" ht="27.9" customHeight="1">
      <c r="A5" s="191" t="s">
        <v>92</v>
      </c>
      <c r="B5" s="192" t="s">
        <v>93</v>
      </c>
      <c r="C5" s="192" t="s">
        <v>94</v>
      </c>
      <c r="D5" s="193">
        <v>1400000</v>
      </c>
      <c r="E5" s="194">
        <v>70</v>
      </c>
      <c r="F5" s="194">
        <f>D5*E5</f>
        <v>98000000</v>
      </c>
      <c r="G5" s="195"/>
    </row>
    <row r="6" spans="1:12" ht="27.9" customHeight="1">
      <c r="A6" s="191" t="s">
        <v>319</v>
      </c>
      <c r="B6" s="192" t="s">
        <v>95</v>
      </c>
      <c r="C6" s="192" t="s">
        <v>94</v>
      </c>
      <c r="D6" s="193">
        <v>1200000</v>
      </c>
      <c r="E6" s="194">
        <v>70</v>
      </c>
      <c r="F6" s="194">
        <f t="shared" ref="F6:F11" si="0">D6*E6</f>
        <v>84000000</v>
      </c>
      <c r="G6" s="196" t="s">
        <v>320</v>
      </c>
    </row>
    <row r="7" spans="1:12" ht="27.9" customHeight="1">
      <c r="A7" s="191" t="s">
        <v>97</v>
      </c>
      <c r="B7" s="192" t="s">
        <v>98</v>
      </c>
      <c r="C7" s="192" t="s">
        <v>94</v>
      </c>
      <c r="D7" s="193">
        <v>1000000</v>
      </c>
      <c r="E7" s="194">
        <v>64</v>
      </c>
      <c r="F7" s="194">
        <f t="shared" si="0"/>
        <v>64000000</v>
      </c>
      <c r="G7" s="197" t="s">
        <v>320</v>
      </c>
      <c r="I7" s="30"/>
    </row>
    <row r="8" spans="1:12" ht="27.9" customHeight="1">
      <c r="A8" s="191" t="s">
        <v>97</v>
      </c>
      <c r="B8" s="192" t="s">
        <v>100</v>
      </c>
      <c r="C8" s="192" t="s">
        <v>94</v>
      </c>
      <c r="D8" s="193">
        <v>900000</v>
      </c>
      <c r="E8" s="194">
        <v>60</v>
      </c>
      <c r="F8" s="194">
        <f t="shared" si="0"/>
        <v>54000000</v>
      </c>
      <c r="G8" s="197" t="s">
        <v>320</v>
      </c>
      <c r="J8" s="30"/>
    </row>
    <row r="9" spans="1:12" ht="27.9" customHeight="1">
      <c r="A9" s="191" t="s">
        <v>97</v>
      </c>
      <c r="B9" s="192" t="s">
        <v>102</v>
      </c>
      <c r="C9" s="192" t="s">
        <v>94</v>
      </c>
      <c r="D9" s="193">
        <v>800000</v>
      </c>
      <c r="E9" s="194"/>
      <c r="F9" s="194">
        <f t="shared" si="0"/>
        <v>0</v>
      </c>
      <c r="G9" s="198"/>
      <c r="J9" s="30"/>
      <c r="L9" s="30"/>
    </row>
    <row r="10" spans="1:12" ht="27.9" customHeight="1">
      <c r="A10" s="191" t="s">
        <v>97</v>
      </c>
      <c r="B10" s="192" t="s">
        <v>104</v>
      </c>
      <c r="C10" s="192" t="s">
        <v>94</v>
      </c>
      <c r="D10" s="193">
        <v>700000</v>
      </c>
      <c r="E10" s="194"/>
      <c r="F10" s="194">
        <f t="shared" si="0"/>
        <v>0</v>
      </c>
      <c r="G10" s="197"/>
    </row>
    <row r="11" spans="1:12" ht="27.9" customHeight="1">
      <c r="A11" s="191" t="s">
        <v>321</v>
      </c>
      <c r="B11" s="192" t="s">
        <v>106</v>
      </c>
      <c r="C11" s="192" t="s">
        <v>94</v>
      </c>
      <c r="D11" s="193">
        <v>600000</v>
      </c>
      <c r="E11" s="194"/>
      <c r="F11" s="194">
        <f t="shared" si="0"/>
        <v>0</v>
      </c>
      <c r="G11" s="199"/>
    </row>
    <row r="12" spans="1:12" ht="27.9" customHeight="1">
      <c r="A12" s="200"/>
      <c r="B12" s="192"/>
      <c r="C12" s="201"/>
      <c r="D12" s="193"/>
      <c r="E12" s="194"/>
      <c r="F12" s="194"/>
      <c r="G12" s="199"/>
    </row>
    <row r="13" spans="1:12" ht="27.9" customHeight="1">
      <c r="A13" s="202" t="s">
        <v>108</v>
      </c>
      <c r="B13" s="192"/>
      <c r="C13" s="201"/>
      <c r="D13" s="203"/>
      <c r="E13" s="204">
        <v>0</v>
      </c>
      <c r="F13" s="194">
        <f>SUM(F5:F11)*E13</f>
        <v>0</v>
      </c>
      <c r="G13" s="199"/>
    </row>
    <row r="14" spans="1:12" ht="27.9" customHeight="1">
      <c r="A14" s="200"/>
      <c r="B14" s="192"/>
      <c r="C14" s="201"/>
      <c r="D14" s="203"/>
      <c r="E14" s="194"/>
      <c r="F14" s="194"/>
      <c r="G14" s="199"/>
    </row>
    <row r="15" spans="1:12" ht="27.9" customHeight="1">
      <c r="A15" s="200"/>
      <c r="B15" s="205"/>
      <c r="C15" s="201"/>
      <c r="D15" s="203"/>
      <c r="E15" s="194"/>
      <c r="F15" s="194"/>
      <c r="G15" s="199"/>
    </row>
    <row r="16" spans="1:12" ht="27.9" customHeight="1" thickBot="1">
      <c r="A16" s="206" t="s">
        <v>322</v>
      </c>
      <c r="B16" s="207"/>
      <c r="C16" s="208"/>
      <c r="D16" s="209"/>
      <c r="E16" s="210">
        <f>SUM(E5:E15)</f>
        <v>264</v>
      </c>
      <c r="F16" s="211">
        <f>SUM(F5:F15)</f>
        <v>300000000</v>
      </c>
      <c r="G16" s="212"/>
    </row>
    <row r="17" spans="1:7" ht="27.9" hidden="1" customHeight="1">
      <c r="A17" s="213"/>
      <c r="B17" s="214"/>
      <c r="C17" s="215"/>
      <c r="D17" s="216"/>
      <c r="E17" s="217"/>
      <c r="F17" s="218"/>
      <c r="G17" s="219"/>
    </row>
    <row r="18" spans="1:7" ht="27.9" hidden="1" customHeight="1">
      <c r="A18" s="220"/>
      <c r="B18" s="221"/>
      <c r="C18" s="222"/>
      <c r="D18" s="223"/>
      <c r="E18" s="224"/>
      <c r="F18" s="225"/>
      <c r="G18" s="226"/>
    </row>
    <row r="19" spans="1:7" ht="27.9" hidden="1" customHeight="1">
      <c r="A19" s="220"/>
      <c r="B19" s="221"/>
      <c r="C19" s="222"/>
      <c r="D19" s="223"/>
      <c r="E19" s="224"/>
      <c r="F19" s="225"/>
      <c r="G19" s="226"/>
    </row>
    <row r="20" spans="1:7" ht="27.9" hidden="1" customHeight="1">
      <c r="A20" s="220"/>
      <c r="B20" s="221"/>
      <c r="C20" s="222"/>
      <c r="D20" s="223"/>
      <c r="E20" s="224"/>
      <c r="F20" s="225"/>
      <c r="G20" s="226"/>
    </row>
    <row r="21" spans="1:7" ht="27.9" hidden="1" customHeight="1">
      <c r="A21" s="220"/>
      <c r="B21" s="221"/>
      <c r="C21" s="222"/>
      <c r="D21" s="223"/>
      <c r="E21" s="224"/>
      <c r="F21" s="225"/>
      <c r="G21" s="226"/>
    </row>
    <row r="22" spans="1:7" ht="27.9" hidden="1" customHeight="1">
      <c r="A22" s="220"/>
      <c r="B22" s="221"/>
      <c r="C22" s="222"/>
      <c r="D22" s="223"/>
      <c r="E22" s="224"/>
      <c r="F22" s="225"/>
      <c r="G22" s="226"/>
    </row>
    <row r="23" spans="1:7" ht="27.9" hidden="1" customHeight="1">
      <c r="A23" s="227"/>
      <c r="B23" s="228"/>
      <c r="C23" s="229"/>
      <c r="D23" s="230"/>
      <c r="E23" s="224"/>
      <c r="F23" s="225"/>
      <c r="G23" s="226"/>
    </row>
    <row r="24" spans="1:7" ht="14.4">
      <c r="A24" s="231"/>
      <c r="B24" s="232"/>
      <c r="C24" s="233"/>
      <c r="D24" s="233"/>
    </row>
    <row r="25" spans="1:7" ht="14.4">
      <c r="A25" s="233"/>
      <c r="B25" s="233"/>
      <c r="C25" s="233"/>
      <c r="D25" s="233"/>
      <c r="F25" s="234"/>
    </row>
    <row r="26" spans="1:7" s="30" customFormat="1" ht="14.4">
      <c r="A26" s="233"/>
      <c r="B26" s="233"/>
      <c r="C26" s="233"/>
      <c r="D26" s="233"/>
      <c r="E26" s="18"/>
      <c r="F26" s="18"/>
      <c r="G26" s="18"/>
    </row>
    <row r="27" spans="1:7" s="30" customFormat="1" ht="14.4">
      <c r="A27" s="233"/>
      <c r="B27" s="233"/>
      <c r="C27" s="233"/>
      <c r="D27" s="233"/>
      <c r="E27" s="18"/>
      <c r="F27" s="234"/>
      <c r="G27" s="18"/>
    </row>
    <row r="28" spans="1:7" s="30" customFormat="1" ht="14.4">
      <c r="A28" s="233"/>
      <c r="B28" s="233"/>
      <c r="C28" s="233"/>
      <c r="D28" s="233"/>
      <c r="E28" s="18"/>
      <c r="F28" s="18"/>
      <c r="G28" s="18"/>
    </row>
    <row r="29" spans="1:7" s="30" customFormat="1" ht="14.4">
      <c r="A29" s="235"/>
      <c r="B29" s="235"/>
      <c r="C29" s="235"/>
      <c r="D29" s="235"/>
      <c r="E29" s="18"/>
      <c r="F29" s="18"/>
      <c r="G29" s="18"/>
    </row>
    <row r="30" spans="1:7" s="30" customFormat="1" ht="14.4">
      <c r="A30" s="235"/>
      <c r="B30" s="235"/>
      <c r="C30" s="235"/>
      <c r="D30" s="235"/>
      <c r="E30" s="18"/>
      <c r="F30" s="18"/>
      <c r="G30" s="18"/>
    </row>
    <row r="31" spans="1:7" s="30" customFormat="1" ht="14.4">
      <c r="A31" s="235"/>
      <c r="B31" s="235"/>
      <c r="C31" s="235"/>
      <c r="D31" s="235"/>
      <c r="E31" s="18"/>
      <c r="F31" s="18"/>
      <c r="G31" s="18"/>
    </row>
    <row r="32" spans="1:7" s="30" customFormat="1" ht="14.4">
      <c r="A32" s="235"/>
      <c r="B32" s="235"/>
      <c r="C32" s="235"/>
      <c r="D32" s="235"/>
      <c r="E32" s="18"/>
      <c r="F32" s="18"/>
      <c r="G32" s="18"/>
    </row>
    <row r="33" spans="1:7" s="30" customFormat="1" ht="14.4">
      <c r="A33" s="235"/>
      <c r="B33" s="235"/>
      <c r="C33" s="235"/>
      <c r="D33" s="235"/>
      <c r="E33" s="18"/>
      <c r="F33" s="18"/>
      <c r="G33" s="18"/>
    </row>
    <row r="34" spans="1:7" s="30" customFormat="1" ht="14.4">
      <c r="A34" s="235"/>
      <c r="B34" s="235"/>
      <c r="C34" s="235"/>
      <c r="D34" s="235"/>
      <c r="E34" s="18"/>
      <c r="F34" s="18"/>
      <c r="G34" s="18"/>
    </row>
    <row r="35" spans="1:7" s="30" customFormat="1" ht="14.4">
      <c r="A35" s="235"/>
      <c r="B35" s="18"/>
      <c r="C35" s="235"/>
      <c r="D35" s="235"/>
      <c r="E35" s="18"/>
      <c r="F35" s="18"/>
      <c r="G35" s="18"/>
    </row>
    <row r="36" spans="1:7" s="30" customFormat="1" ht="14.4">
      <c r="A36" s="235"/>
      <c r="B36" s="18"/>
      <c r="C36" s="235"/>
      <c r="D36" s="235"/>
      <c r="E36" s="18"/>
      <c r="F36" s="18"/>
      <c r="G36" s="18"/>
    </row>
    <row r="37" spans="1:7" s="30" customFormat="1" ht="14.4">
      <c r="A37" s="235"/>
      <c r="B37" s="18"/>
      <c r="C37" s="235"/>
      <c r="D37" s="235"/>
      <c r="E37" s="18"/>
      <c r="F37" s="18"/>
      <c r="G37" s="18"/>
    </row>
    <row r="38" spans="1:7" s="30" customFormat="1" ht="14.4">
      <c r="A38" s="235"/>
      <c r="B38" s="18"/>
      <c r="C38" s="235"/>
      <c r="D38" s="235"/>
      <c r="E38" s="18"/>
      <c r="F38" s="18"/>
      <c r="G38" s="18"/>
    </row>
    <row r="39" spans="1:7" s="30" customFormat="1" ht="14.4">
      <c r="A39" s="235"/>
      <c r="B39" s="18"/>
      <c r="C39" s="235"/>
      <c r="D39" s="235"/>
      <c r="E39" s="18"/>
      <c r="F39" s="18"/>
      <c r="G39" s="18"/>
    </row>
    <row r="40" spans="1:7" s="30" customFormat="1" ht="14.4">
      <c r="A40" s="18"/>
      <c r="B40" s="18"/>
      <c r="C40" s="235"/>
      <c r="D40" s="235"/>
      <c r="E40" s="18"/>
      <c r="F40" s="18"/>
      <c r="G40" s="18"/>
    </row>
    <row r="41" spans="1:7" s="30" customFormat="1">
      <c r="A41" s="18"/>
      <c r="B41" s="18"/>
      <c r="C41" s="235"/>
      <c r="D41" s="236"/>
      <c r="E41" s="18"/>
      <c r="F41" s="18"/>
      <c r="G41" s="18"/>
    </row>
    <row r="42" spans="1:7" s="30" customFormat="1">
      <c r="A42" s="18"/>
      <c r="B42" s="18"/>
      <c r="C42" s="235"/>
      <c r="D42" s="236"/>
      <c r="E42" s="18"/>
      <c r="F42" s="18"/>
      <c r="G42" s="18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fitToHeight="0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27"/>
  <sheetViews>
    <sheetView tabSelected="1" view="pageBreakPreview" topLeftCell="A4" zoomScaleNormal="100" zoomScaleSheetLayoutView="100" workbookViewId="0">
      <selection activeCell="H10" sqref="H10:H11"/>
    </sheetView>
  </sheetViews>
  <sheetFormatPr defaultRowHeight="17.399999999999999"/>
  <cols>
    <col min="1" max="1" width="21.59765625" style="55" customWidth="1"/>
    <col min="2" max="2" width="20.59765625" style="55" customWidth="1"/>
    <col min="3" max="3" width="6.59765625" style="55" customWidth="1"/>
    <col min="4" max="4" width="12.09765625" style="55" customWidth="1"/>
    <col min="5" max="5" width="16.59765625" style="55" customWidth="1"/>
    <col min="6" max="9" width="19.59765625" style="55" customWidth="1"/>
    <col min="10" max="10" width="15.59765625" style="55" customWidth="1"/>
    <col min="11" max="12" width="11.59765625" style="55" customWidth="1"/>
    <col min="14" max="14" width="11.8984375" bestFit="1" customWidth="1"/>
    <col min="15" max="15" width="15.8984375" bestFit="1" customWidth="1"/>
    <col min="16" max="16" width="13" bestFit="1" customWidth="1"/>
    <col min="18" max="18" width="15.8984375" bestFit="1" customWidth="1"/>
  </cols>
  <sheetData>
    <row r="1" spans="1:15" ht="39.9" customHeight="1" thickTop="1">
      <c r="A1" s="277" t="str">
        <f>'용역청구서 표지'!$B$7</f>
        <v>P4 Ph4 GAS 1공구 마감공사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9"/>
    </row>
    <row r="2" spans="1:15" ht="20.100000000000001" customHeight="1">
      <c r="A2" s="54"/>
      <c r="J2" s="56"/>
      <c r="L2" s="57" t="str">
        <f>'용역청구서 표지'!$C$15</f>
        <v>㈜태성하이텍</v>
      </c>
    </row>
    <row r="3" spans="1:15" ht="30" customHeight="1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280" t="s">
        <v>119</v>
      </c>
      <c r="K3" s="280"/>
      <c r="L3" s="281"/>
    </row>
    <row r="4" spans="1:15" ht="30" customHeight="1">
      <c r="A4" s="63" t="s">
        <v>120</v>
      </c>
      <c r="B4" s="64" t="s">
        <v>121</v>
      </c>
      <c r="C4" s="46" t="s">
        <v>122</v>
      </c>
      <c r="D4" s="148">
        <f>SUM('물량 내역서'!$K$6:$K$28)</f>
        <v>139.5</v>
      </c>
      <c r="E4" s="47">
        <f>F4/D4</f>
        <v>437000</v>
      </c>
      <c r="F4" s="65">
        <f>SUM('물량 내역서'!$L$6:$L$28)</f>
        <v>60961500</v>
      </c>
      <c r="G4" s="66">
        <v>5431910000</v>
      </c>
      <c r="H4" s="47">
        <f t="shared" ref="H4:H22" si="0">F4</f>
        <v>60961500</v>
      </c>
      <c r="I4" s="67">
        <f>G4+H4</f>
        <v>5492871500</v>
      </c>
      <c r="J4" s="274"/>
      <c r="K4" s="275"/>
      <c r="L4" s="276"/>
      <c r="N4" s="173"/>
    </row>
    <row r="5" spans="1:15" ht="30" customHeight="1">
      <c r="A5" s="68"/>
      <c r="B5" s="64" t="s">
        <v>123</v>
      </c>
      <c r="C5" s="46" t="s">
        <v>124</v>
      </c>
      <c r="D5" s="148">
        <f>SUM('물량 내역서'!$K$29:$K$51)</f>
        <v>27</v>
      </c>
      <c r="E5" s="47">
        <f>F5/D5</f>
        <v>97222.222222222219</v>
      </c>
      <c r="F5" s="65">
        <f>SUM('물량 내역서'!$L$29:$L$51)</f>
        <v>2625000</v>
      </c>
      <c r="G5" s="66">
        <v>67287500</v>
      </c>
      <c r="H5" s="47">
        <f t="shared" si="0"/>
        <v>2625000</v>
      </c>
      <c r="I5" s="67">
        <f t="shared" ref="I5:I7" si="1">G5+H5</f>
        <v>69912500</v>
      </c>
      <c r="J5" s="274"/>
      <c r="K5" s="275"/>
      <c r="L5" s="276"/>
    </row>
    <row r="6" spans="1:15" ht="30" customHeight="1">
      <c r="A6" s="68"/>
      <c r="B6" s="64" t="s">
        <v>125</v>
      </c>
      <c r="C6" s="46" t="s">
        <v>126</v>
      </c>
      <c r="D6" s="69"/>
      <c r="E6" s="47" t="e">
        <f>F6/D6</f>
        <v>#DIV/0!</v>
      </c>
      <c r="F6" s="65">
        <f>'근로내역 (07월)'!AP55</f>
        <v>0</v>
      </c>
      <c r="G6" s="66">
        <v>0</v>
      </c>
      <c r="H6" s="47">
        <f t="shared" si="0"/>
        <v>0</v>
      </c>
      <c r="I6" s="67">
        <f t="shared" si="1"/>
        <v>0</v>
      </c>
      <c r="J6" s="274"/>
      <c r="K6" s="275"/>
      <c r="L6" s="276"/>
    </row>
    <row r="7" spans="1:15" ht="30" customHeight="1">
      <c r="A7" s="63" t="s">
        <v>127</v>
      </c>
      <c r="B7" s="70"/>
      <c r="C7" s="46" t="s">
        <v>128</v>
      </c>
      <c r="D7" s="46">
        <v>98.25</v>
      </c>
      <c r="E7" s="47">
        <v>187981</v>
      </c>
      <c r="F7" s="65">
        <f>ROUND(D7*E7,0)</f>
        <v>18469133</v>
      </c>
      <c r="G7" s="66">
        <v>769770390</v>
      </c>
      <c r="H7" s="47">
        <f t="shared" si="0"/>
        <v>18469133</v>
      </c>
      <c r="I7" s="67">
        <f t="shared" si="1"/>
        <v>788239523</v>
      </c>
      <c r="J7" s="274"/>
      <c r="K7" s="275"/>
      <c r="L7" s="276"/>
    </row>
    <row r="8" spans="1:15" ht="30" customHeight="1">
      <c r="A8" s="71" t="s">
        <v>129</v>
      </c>
      <c r="B8" s="282" t="s">
        <v>130</v>
      </c>
      <c r="C8" s="283"/>
      <c r="D8" s="72"/>
      <c r="E8" s="72"/>
      <c r="F8" s="73">
        <f>SUM(F4:F7)</f>
        <v>82055633</v>
      </c>
      <c r="G8" s="74">
        <f>SUM(G4:G7)</f>
        <v>6268967890</v>
      </c>
      <c r="H8" s="75">
        <f t="shared" si="0"/>
        <v>82055633</v>
      </c>
      <c r="I8" s="76">
        <f>G8+H8</f>
        <v>6351023523</v>
      </c>
      <c r="J8" s="284"/>
      <c r="K8" s="285"/>
      <c r="L8" s="286"/>
    </row>
    <row r="9" spans="1:15" ht="30" customHeight="1">
      <c r="A9" s="63" t="s">
        <v>131</v>
      </c>
      <c r="B9" s="64" t="s">
        <v>132</v>
      </c>
      <c r="C9" s="46" t="s">
        <v>133</v>
      </c>
      <c r="D9" s="69">
        <f>'근로내역 (07월)'!AN56</f>
        <v>785.375</v>
      </c>
      <c r="E9" s="77">
        <f>F9/D9</f>
        <v>180650.96291580456</v>
      </c>
      <c r="F9" s="65">
        <f>'근로내역 (07월)'!AP56</f>
        <v>141878750</v>
      </c>
      <c r="G9" s="66">
        <v>3514232500</v>
      </c>
      <c r="H9" s="47">
        <f t="shared" si="0"/>
        <v>141878750</v>
      </c>
      <c r="I9" s="67">
        <f>G9+H9</f>
        <v>3656111250</v>
      </c>
      <c r="J9" s="274"/>
      <c r="K9" s="275"/>
      <c r="L9" s="276"/>
    </row>
    <row r="10" spans="1:15" ht="30" customHeight="1">
      <c r="A10" s="63" t="s">
        <v>134</v>
      </c>
      <c r="B10" s="64" t="s">
        <v>135</v>
      </c>
      <c r="C10" s="46" t="s">
        <v>128</v>
      </c>
      <c r="D10" s="46">
        <v>785.375</v>
      </c>
      <c r="E10" s="47">
        <f>F10/D10</f>
        <v>14491.504263938019</v>
      </c>
      <c r="F10" s="65">
        <f>숙소임차료!I3+숙소관리비!I3</f>
        <v>11381265.161290321</v>
      </c>
      <c r="G10" s="66">
        <v>142418061.60215053</v>
      </c>
      <c r="H10" s="47">
        <f t="shared" si="0"/>
        <v>11381265.161290321</v>
      </c>
      <c r="I10" s="67">
        <f t="shared" ref="I10:I12" si="2">G10+H10</f>
        <v>153799326.76344085</v>
      </c>
      <c r="J10" s="274"/>
      <c r="K10" s="275"/>
      <c r="L10" s="276"/>
    </row>
    <row r="11" spans="1:15" ht="30" customHeight="1">
      <c r="A11" s="63"/>
      <c r="B11" s="64" t="s">
        <v>136</v>
      </c>
      <c r="C11" s="46" t="s">
        <v>137</v>
      </c>
      <c r="D11" s="46">
        <v>785.375</v>
      </c>
      <c r="E11" s="47">
        <f>F11/D11</f>
        <v>17899.265955753621</v>
      </c>
      <c r="F11" s="65">
        <f>식대비용!I3</f>
        <v>14057636</v>
      </c>
      <c r="G11" s="66">
        <v>245745364</v>
      </c>
      <c r="H11" s="47">
        <f t="shared" si="0"/>
        <v>14057636</v>
      </c>
      <c r="I11" s="67">
        <f t="shared" si="2"/>
        <v>259803000</v>
      </c>
      <c r="J11" s="274"/>
      <c r="K11" s="275"/>
      <c r="L11" s="276"/>
    </row>
    <row r="12" spans="1:15" ht="30" customHeight="1">
      <c r="A12" s="63" t="s">
        <v>138</v>
      </c>
      <c r="B12" s="64"/>
      <c r="C12" s="46" t="s">
        <v>128</v>
      </c>
      <c r="D12" s="46"/>
      <c r="E12" s="47">
        <v>0</v>
      </c>
      <c r="F12" s="65">
        <f t="shared" ref="F12" si="3">D12*E12</f>
        <v>0</v>
      </c>
      <c r="G12" s="66">
        <v>0</v>
      </c>
      <c r="H12" s="47">
        <f t="shared" si="0"/>
        <v>0</v>
      </c>
      <c r="I12" s="67">
        <f t="shared" si="2"/>
        <v>0</v>
      </c>
      <c r="J12" s="274"/>
      <c r="K12" s="275"/>
      <c r="L12" s="276"/>
    </row>
    <row r="13" spans="1:15" ht="30" customHeight="1">
      <c r="A13" s="71" t="s">
        <v>139</v>
      </c>
      <c r="B13" s="282" t="s">
        <v>140</v>
      </c>
      <c r="C13" s="283"/>
      <c r="D13" s="72"/>
      <c r="E13" s="72"/>
      <c r="F13" s="73">
        <f t="shared" ref="F13" si="4">SUM(F9:F12)</f>
        <v>167317651.16129032</v>
      </c>
      <c r="G13" s="74">
        <f>SUM(G9:G12)</f>
        <v>3902395925.6021504</v>
      </c>
      <c r="H13" s="75">
        <f t="shared" si="0"/>
        <v>167317651.16129032</v>
      </c>
      <c r="I13" s="76">
        <f>G13+H13</f>
        <v>4069713576.7634406</v>
      </c>
      <c r="J13" s="284"/>
      <c r="K13" s="285"/>
      <c r="L13" s="286"/>
    </row>
    <row r="14" spans="1:15" ht="30" customHeight="1">
      <c r="A14" s="71" t="s">
        <v>141</v>
      </c>
      <c r="B14" s="282" t="s">
        <v>142</v>
      </c>
      <c r="C14" s="283"/>
      <c r="D14" s="72"/>
      <c r="E14" s="72"/>
      <c r="F14" s="73">
        <f>F8-F13</f>
        <v>-85262018.161290318</v>
      </c>
      <c r="G14" s="74">
        <f>G8-G13</f>
        <v>2366571964.3978496</v>
      </c>
      <c r="H14" s="75">
        <f t="shared" si="0"/>
        <v>-85262018.161290318</v>
      </c>
      <c r="I14" s="76">
        <f>G14+H14</f>
        <v>2281309946.2365594</v>
      </c>
      <c r="J14" s="287"/>
      <c r="K14" s="285"/>
      <c r="L14" s="286"/>
    </row>
    <row r="15" spans="1:15" ht="30" customHeight="1">
      <c r="A15" s="63" t="s">
        <v>143</v>
      </c>
      <c r="B15" s="64" t="s">
        <v>144</v>
      </c>
      <c r="C15" s="46" t="s">
        <v>128</v>
      </c>
      <c r="D15" s="46"/>
      <c r="E15" s="46"/>
      <c r="F15" s="65">
        <v>-385300000</v>
      </c>
      <c r="G15" s="66">
        <v>1146400000</v>
      </c>
      <c r="H15" s="47">
        <f t="shared" si="0"/>
        <v>-385300000</v>
      </c>
      <c r="I15" s="67">
        <f>G15+H15</f>
        <v>761100000</v>
      </c>
      <c r="J15" s="274"/>
      <c r="K15" s="275"/>
      <c r="L15" s="276"/>
      <c r="O15" s="173"/>
    </row>
    <row r="16" spans="1:15" ht="30" customHeight="1">
      <c r="A16" s="63" t="s">
        <v>145</v>
      </c>
      <c r="B16" s="78" t="s">
        <v>146</v>
      </c>
      <c r="C16" s="46" t="s">
        <v>147</v>
      </c>
      <c r="D16" s="46"/>
      <c r="E16" s="46"/>
      <c r="F16" s="65"/>
      <c r="G16" s="66"/>
      <c r="H16" s="47">
        <f t="shared" si="0"/>
        <v>0</v>
      </c>
      <c r="I16" s="67">
        <f t="shared" ref="I16:I17" si="5">G16+H16</f>
        <v>0</v>
      </c>
      <c r="J16" s="274"/>
      <c r="K16" s="275"/>
      <c r="L16" s="276"/>
      <c r="N16" s="237"/>
    </row>
    <row r="17" spans="1:18" ht="30" customHeight="1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/>
      <c r="H17" s="47">
        <f t="shared" si="0"/>
        <v>0</v>
      </c>
      <c r="I17" s="67">
        <f t="shared" si="5"/>
        <v>0</v>
      </c>
      <c r="J17" s="274"/>
      <c r="K17" s="275"/>
      <c r="L17" s="276"/>
      <c r="O17" s="173"/>
    </row>
    <row r="18" spans="1:18" ht="30" customHeight="1">
      <c r="A18" s="71" t="s">
        <v>151</v>
      </c>
      <c r="B18" s="282" t="s">
        <v>152</v>
      </c>
      <c r="C18" s="283"/>
      <c r="D18" s="72"/>
      <c r="E18" s="72"/>
      <c r="F18" s="73">
        <f>F14-F15-F16-F17</f>
        <v>300037981.83870971</v>
      </c>
      <c r="G18" s="74">
        <f>G14-G15-G16-G17</f>
        <v>1220171964.3978496</v>
      </c>
      <c r="H18" s="75">
        <f t="shared" si="0"/>
        <v>300037981.83870971</v>
      </c>
      <c r="I18" s="76">
        <f>G18+H18</f>
        <v>1520209946.2365594</v>
      </c>
      <c r="J18" s="284"/>
      <c r="K18" s="285"/>
      <c r="L18" s="286"/>
      <c r="N18" s="173"/>
      <c r="O18" s="173"/>
      <c r="R18" s="173"/>
    </row>
    <row r="19" spans="1:18" ht="30" customHeight="1">
      <c r="A19" s="292" t="s">
        <v>153</v>
      </c>
      <c r="B19" s="64" t="s">
        <v>154</v>
      </c>
      <c r="C19" s="46" t="s">
        <v>147</v>
      </c>
      <c r="D19" s="46"/>
      <c r="E19" s="46"/>
      <c r="F19" s="65"/>
      <c r="G19" s="66">
        <v>0</v>
      </c>
      <c r="H19" s="47">
        <f t="shared" si="0"/>
        <v>0</v>
      </c>
      <c r="I19" s="67">
        <f>G19+H19</f>
        <v>0</v>
      </c>
      <c r="J19" s="46"/>
      <c r="K19" s="79" t="s">
        <v>155</v>
      </c>
      <c r="L19" s="80" t="s">
        <v>156</v>
      </c>
    </row>
    <row r="20" spans="1:18" ht="30" customHeight="1">
      <c r="A20" s="292"/>
      <c r="B20" s="64" t="s">
        <v>157</v>
      </c>
      <c r="C20" s="46" t="s">
        <v>147</v>
      </c>
      <c r="D20" s="46"/>
      <c r="E20" s="46"/>
      <c r="F20" s="65">
        <f>ROUNDDOWN(F19,-5)</f>
        <v>0</v>
      </c>
      <c r="G20" s="66"/>
      <c r="H20" s="47">
        <f t="shared" si="0"/>
        <v>0</v>
      </c>
      <c r="I20" s="67">
        <f>G20+H20</f>
        <v>0</v>
      </c>
      <c r="J20" s="64" t="s">
        <v>158</v>
      </c>
      <c r="K20" s="293">
        <v>0</v>
      </c>
      <c r="L20" s="296">
        <f>K20-I20</f>
        <v>0</v>
      </c>
    </row>
    <row r="21" spans="1:18" ht="30" customHeight="1">
      <c r="A21" s="299" t="s">
        <v>159</v>
      </c>
      <c r="B21" s="300"/>
      <c r="C21" s="301"/>
      <c r="D21" s="81"/>
      <c r="E21" s="81"/>
      <c r="F21" s="82">
        <f>F18-F20</f>
        <v>300037981.83870971</v>
      </c>
      <c r="G21" s="83">
        <f>G18-G19</f>
        <v>1220171964.3978496</v>
      </c>
      <c r="H21" s="84">
        <f>F21</f>
        <v>300037981.83870971</v>
      </c>
      <c r="I21" s="85">
        <f>G21+H21</f>
        <v>1520209946.2365594</v>
      </c>
      <c r="J21" s="81"/>
      <c r="K21" s="294"/>
      <c r="L21" s="297"/>
    </row>
    <row r="22" spans="1:18" ht="30" customHeight="1">
      <c r="A22" s="299" t="s">
        <v>160</v>
      </c>
      <c r="B22" s="300"/>
      <c r="C22" s="301"/>
      <c r="D22" s="81"/>
      <c r="E22" s="81"/>
      <c r="F22" s="82">
        <f>ROUNDDOWN(F21,-5)</f>
        <v>300000000</v>
      </c>
      <c r="G22" s="83">
        <v>1220000000</v>
      </c>
      <c r="H22" s="84">
        <f t="shared" si="0"/>
        <v>300000000</v>
      </c>
      <c r="I22" s="85">
        <f>G22+H22</f>
        <v>1520000000</v>
      </c>
      <c r="J22" s="86" t="s">
        <v>161</v>
      </c>
      <c r="K22" s="295"/>
      <c r="L22" s="298"/>
    </row>
    <row r="23" spans="1:18" ht="30" customHeight="1">
      <c r="A23" s="288" t="s">
        <v>162</v>
      </c>
      <c r="B23" s="289"/>
      <c r="C23" s="290"/>
      <c r="D23" s="289" t="s">
        <v>163</v>
      </c>
      <c r="E23" s="289"/>
      <c r="F23" s="289"/>
      <c r="G23" s="289"/>
      <c r="H23" s="289"/>
      <c r="I23" s="289"/>
      <c r="J23" s="289"/>
      <c r="K23" s="289"/>
      <c r="L23" s="291"/>
    </row>
    <row r="24" spans="1:18" ht="21" customHeight="1">
      <c r="A24" s="87" t="s">
        <v>164</v>
      </c>
      <c r="L24" s="88"/>
    </row>
    <row r="25" spans="1:18" ht="21" customHeight="1">
      <c r="A25" s="87" t="s">
        <v>165</v>
      </c>
      <c r="L25" s="88"/>
    </row>
    <row r="26" spans="1:18" ht="21" customHeight="1" thickBot="1">
      <c r="A26" s="89" t="s">
        <v>166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8" ht="18" thickTop="1"/>
  </sheetData>
  <mergeCells count="28"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J7:L7"/>
    <mergeCell ref="A1:L1"/>
    <mergeCell ref="J3:L3"/>
    <mergeCell ref="J4:L4"/>
    <mergeCell ref="J5:L5"/>
    <mergeCell ref="J6:L6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6" fitToHeight="0" orientation="landscape" r:id="rId1"/>
  <headerFoot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37"/>
  <sheetViews>
    <sheetView view="pageBreakPreview" topLeftCell="A3" zoomScale="60" zoomScaleNormal="70" workbookViewId="0">
      <selection activeCell="X43" sqref="X43"/>
    </sheetView>
  </sheetViews>
  <sheetFormatPr defaultRowHeight="17.399999999999999"/>
  <cols>
    <col min="1" max="1" width="6.3984375" style="100" bestFit="1" customWidth="1"/>
    <col min="2" max="2" width="9.19921875" style="100" customWidth="1"/>
    <col min="3" max="3" width="18.09765625" style="100" customWidth="1"/>
    <col min="4" max="4" width="11.19921875" style="100" customWidth="1"/>
    <col min="5" max="5" width="18.09765625" style="100" customWidth="1"/>
    <col min="6" max="6" width="11.09765625" style="100" customWidth="1"/>
    <col min="7" max="7" width="9.3984375" style="101" customWidth="1"/>
    <col min="8" max="8" width="21.59765625" style="101" customWidth="1"/>
    <col min="9" max="39" width="7.59765625" style="100" customWidth="1"/>
    <col min="40" max="40" width="11.8984375" style="100" customWidth="1"/>
    <col min="41" max="41" width="15.8984375" style="137" bestFit="1" customWidth="1"/>
    <col min="42" max="42" width="18.19921875" style="139" bestFit="1" customWidth="1"/>
  </cols>
  <sheetData>
    <row r="1" spans="1:42" ht="32.1" customHeight="1">
      <c r="A1" s="314" t="s">
        <v>514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5"/>
      <c r="AC1" s="315"/>
      <c r="AD1" s="315"/>
      <c r="AE1" s="315"/>
      <c r="AF1" s="315"/>
      <c r="AG1" s="316"/>
      <c r="AH1" s="305" t="s">
        <v>221</v>
      </c>
      <c r="AI1" s="306"/>
      <c r="AJ1" s="306"/>
      <c r="AK1" s="306"/>
      <c r="AL1" s="307"/>
      <c r="AM1" s="302" t="str">
        <f>'용역청구서 표지'!$B$7</f>
        <v>P4 Ph4 GAS 1공구 마감공사</v>
      </c>
      <c r="AN1" s="303"/>
      <c r="AO1" s="303"/>
      <c r="AP1" s="304"/>
    </row>
    <row r="2" spans="1:42" ht="32.1" customHeight="1">
      <c r="A2" s="317"/>
      <c r="B2" s="318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9"/>
      <c r="AH2" s="305" t="s">
        <v>222</v>
      </c>
      <c r="AI2" s="306"/>
      <c r="AJ2" s="306"/>
      <c r="AK2" s="306"/>
      <c r="AL2" s="307"/>
      <c r="AM2" s="302" t="s">
        <v>302</v>
      </c>
      <c r="AN2" s="303"/>
      <c r="AO2" s="303"/>
      <c r="AP2" s="304"/>
    </row>
    <row r="3" spans="1:42" ht="32.1" customHeight="1">
      <c r="A3" s="320"/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W3" s="321"/>
      <c r="X3" s="321"/>
      <c r="Y3" s="321"/>
      <c r="Z3" s="321"/>
      <c r="AA3" s="321"/>
      <c r="AB3" s="321"/>
      <c r="AC3" s="321"/>
      <c r="AD3" s="321"/>
      <c r="AE3" s="321"/>
      <c r="AF3" s="321"/>
      <c r="AG3" s="322"/>
      <c r="AH3" s="305" t="s">
        <v>223</v>
      </c>
      <c r="AI3" s="306"/>
      <c r="AJ3" s="306"/>
      <c r="AK3" s="306"/>
      <c r="AL3" s="307"/>
      <c r="AM3" s="302" t="str">
        <f>'용역청구서 표지'!$C$8</f>
        <v>S25-004</v>
      </c>
      <c r="AN3" s="303"/>
      <c r="AO3" s="303"/>
      <c r="AP3" s="304"/>
    </row>
    <row r="4" spans="1:42" ht="24.9" customHeight="1" thickBot="1">
      <c r="AH4" s="102"/>
      <c r="AI4" s="102"/>
      <c r="AJ4" s="102"/>
      <c r="AK4" s="102"/>
      <c r="AL4" s="102"/>
      <c r="AM4" s="102"/>
      <c r="AN4" s="102"/>
      <c r="AO4" s="103"/>
      <c r="AP4" s="104"/>
    </row>
    <row r="5" spans="1:42" ht="24.9" customHeight="1" thickBot="1">
      <c r="A5" s="105" t="s">
        <v>224</v>
      </c>
      <c r="B5" s="106" t="s">
        <v>225</v>
      </c>
      <c r="C5" s="106" t="s">
        <v>226</v>
      </c>
      <c r="D5" s="106" t="s">
        <v>227</v>
      </c>
      <c r="E5" s="106" t="s">
        <v>228</v>
      </c>
      <c r="F5" s="106" t="s">
        <v>229</v>
      </c>
      <c r="G5" s="107" t="s">
        <v>230</v>
      </c>
      <c r="H5" s="108" t="s">
        <v>231</v>
      </c>
      <c r="I5" s="240">
        <v>1</v>
      </c>
      <c r="J5" s="184">
        <v>2</v>
      </c>
      <c r="K5" s="110">
        <v>3</v>
      </c>
      <c r="L5" s="184">
        <v>4</v>
      </c>
      <c r="M5" s="184">
        <v>5</v>
      </c>
      <c r="N5" s="110">
        <v>6</v>
      </c>
      <c r="O5" s="110">
        <v>7</v>
      </c>
      <c r="P5" s="184">
        <v>8</v>
      </c>
      <c r="Q5" s="184">
        <v>9</v>
      </c>
      <c r="R5" s="184">
        <v>10</v>
      </c>
      <c r="S5" s="184">
        <v>11</v>
      </c>
      <c r="T5" s="184">
        <v>12</v>
      </c>
      <c r="U5" s="109">
        <v>13</v>
      </c>
      <c r="V5" s="110">
        <v>14</v>
      </c>
      <c r="W5" s="184">
        <v>15</v>
      </c>
      <c r="X5" s="184">
        <v>16</v>
      </c>
      <c r="Y5" s="184">
        <v>17</v>
      </c>
      <c r="Z5" s="184">
        <v>18</v>
      </c>
      <c r="AA5" s="184">
        <v>19</v>
      </c>
      <c r="AB5" s="109">
        <v>20</v>
      </c>
      <c r="AC5" s="110">
        <v>21</v>
      </c>
      <c r="AD5" s="184">
        <v>22</v>
      </c>
      <c r="AE5" s="184">
        <v>23</v>
      </c>
      <c r="AF5" s="184">
        <v>24</v>
      </c>
      <c r="AG5" s="184">
        <v>25</v>
      </c>
      <c r="AH5" s="184">
        <v>26</v>
      </c>
      <c r="AI5" s="109">
        <v>27</v>
      </c>
      <c r="AJ5" s="110">
        <v>28</v>
      </c>
      <c r="AK5" s="184">
        <v>29</v>
      </c>
      <c r="AL5" s="184">
        <v>30</v>
      </c>
      <c r="AM5" s="241">
        <v>31</v>
      </c>
      <c r="AN5" s="111" t="s">
        <v>232</v>
      </c>
      <c r="AO5" s="106" t="s">
        <v>233</v>
      </c>
      <c r="AP5" s="112" t="s">
        <v>234</v>
      </c>
    </row>
    <row r="6" spans="1:42" ht="24.9" customHeight="1">
      <c r="A6" s="113">
        <v>1</v>
      </c>
      <c r="B6" s="114" t="s">
        <v>501</v>
      </c>
      <c r="C6" s="115" t="s">
        <v>502</v>
      </c>
      <c r="D6" s="115" t="s">
        <v>331</v>
      </c>
      <c r="E6" s="115" t="s">
        <v>503</v>
      </c>
      <c r="F6" s="116" t="s">
        <v>499</v>
      </c>
      <c r="G6" s="117" t="s">
        <v>501</v>
      </c>
      <c r="H6" s="118" t="s">
        <v>504</v>
      </c>
      <c r="I6" s="119">
        <v>1.5</v>
      </c>
      <c r="J6" s="119">
        <v>1.5</v>
      </c>
      <c r="K6" s="119">
        <v>0.5</v>
      </c>
      <c r="L6" s="119"/>
      <c r="M6" s="119"/>
      <c r="N6" s="119">
        <v>1.5</v>
      </c>
      <c r="O6" s="119">
        <v>1.5</v>
      </c>
      <c r="P6" s="119">
        <v>0.5</v>
      </c>
      <c r="Q6" s="119">
        <v>1</v>
      </c>
      <c r="R6" s="119">
        <v>1.5</v>
      </c>
      <c r="S6" s="119">
        <v>1</v>
      </c>
      <c r="T6" s="119"/>
      <c r="U6" s="119">
        <v>1.5</v>
      </c>
      <c r="V6" s="119">
        <v>1.5</v>
      </c>
      <c r="W6" s="119">
        <v>1.5</v>
      </c>
      <c r="X6" s="119">
        <v>0.5</v>
      </c>
      <c r="Y6" s="119">
        <v>1.5</v>
      </c>
      <c r="Z6" s="119">
        <v>1</v>
      </c>
      <c r="AA6" s="119"/>
      <c r="AB6" s="119">
        <v>1</v>
      </c>
      <c r="AC6" s="119">
        <v>1.5</v>
      </c>
      <c r="AD6" s="119">
        <v>0.875</v>
      </c>
      <c r="AE6" s="119">
        <v>1.5</v>
      </c>
      <c r="AF6" s="119">
        <v>0.5</v>
      </c>
      <c r="AG6" s="119"/>
      <c r="AH6" s="119"/>
      <c r="AI6" s="119">
        <v>1</v>
      </c>
      <c r="AJ6" s="119">
        <v>1</v>
      </c>
      <c r="AK6" s="119">
        <v>0.75</v>
      </c>
      <c r="AL6" s="119">
        <v>1</v>
      </c>
      <c r="AM6" s="119">
        <v>0.5</v>
      </c>
      <c r="AN6" s="120">
        <f>SUM(I6:AM6)</f>
        <v>27.625</v>
      </c>
      <c r="AO6" s="116">
        <v>150000</v>
      </c>
      <c r="AP6" s="121">
        <f>AN6*AO6</f>
        <v>4143750</v>
      </c>
    </row>
    <row r="7" spans="1:42" ht="24.9" customHeight="1">
      <c r="A7" s="122">
        <v>2</v>
      </c>
      <c r="B7" s="114" t="s">
        <v>415</v>
      </c>
      <c r="C7" s="115" t="s">
        <v>416</v>
      </c>
      <c r="D7" s="123" t="s">
        <v>331</v>
      </c>
      <c r="E7" s="115" t="s">
        <v>417</v>
      </c>
      <c r="F7" s="124" t="s">
        <v>327</v>
      </c>
      <c r="G7" s="117" t="s">
        <v>415</v>
      </c>
      <c r="H7" s="118" t="s">
        <v>418</v>
      </c>
      <c r="I7" s="119">
        <v>1.5</v>
      </c>
      <c r="J7" s="119">
        <v>1.5</v>
      </c>
      <c r="K7" s="119">
        <v>1.5</v>
      </c>
      <c r="L7" s="119"/>
      <c r="M7" s="119"/>
      <c r="N7" s="119">
        <v>1.5</v>
      </c>
      <c r="O7" s="119">
        <v>1.5</v>
      </c>
      <c r="P7" s="119">
        <v>1.5</v>
      </c>
      <c r="Q7" s="119">
        <v>1.5</v>
      </c>
      <c r="R7" s="119">
        <v>0.5</v>
      </c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20">
        <f t="shared" ref="AN7:AN11" si="0">SUM(I7:AM7)</f>
        <v>11</v>
      </c>
      <c r="AO7" s="116">
        <v>160000</v>
      </c>
      <c r="AP7" s="121">
        <f t="shared" ref="AP7:AP11" si="1">AN7*AO7</f>
        <v>1760000</v>
      </c>
    </row>
    <row r="8" spans="1:42" ht="24.9" customHeight="1">
      <c r="A8" s="122">
        <v>3</v>
      </c>
      <c r="B8" s="114" t="s">
        <v>391</v>
      </c>
      <c r="C8" s="115" t="s">
        <v>392</v>
      </c>
      <c r="D8" s="125" t="s">
        <v>498</v>
      </c>
      <c r="E8" s="115" t="s">
        <v>393</v>
      </c>
      <c r="F8" s="124" t="s">
        <v>349</v>
      </c>
      <c r="G8" s="117" t="s">
        <v>391</v>
      </c>
      <c r="H8" s="118" t="s">
        <v>394</v>
      </c>
      <c r="I8" s="119">
        <v>1.5</v>
      </c>
      <c r="J8" s="119">
        <v>1.5</v>
      </c>
      <c r="K8" s="119">
        <v>1.5</v>
      </c>
      <c r="L8" s="119">
        <v>1</v>
      </c>
      <c r="M8" s="119"/>
      <c r="N8" s="119">
        <v>1.5</v>
      </c>
      <c r="O8" s="119">
        <v>1.5</v>
      </c>
      <c r="P8" s="119">
        <v>1.5</v>
      </c>
      <c r="Q8" s="119">
        <v>1.5</v>
      </c>
      <c r="R8" s="119">
        <v>1.5</v>
      </c>
      <c r="S8" s="119">
        <v>1</v>
      </c>
      <c r="T8" s="119"/>
      <c r="U8" s="119">
        <v>1.5</v>
      </c>
      <c r="V8" s="119">
        <v>1.5</v>
      </c>
      <c r="W8" s="119">
        <v>1.5</v>
      </c>
      <c r="X8" s="119">
        <v>1</v>
      </c>
      <c r="Y8" s="119">
        <v>1.5</v>
      </c>
      <c r="Z8" s="119">
        <v>1</v>
      </c>
      <c r="AA8" s="119"/>
      <c r="AB8" s="119">
        <v>1.5</v>
      </c>
      <c r="AC8" s="119">
        <v>1.5</v>
      </c>
      <c r="AD8" s="119">
        <v>1</v>
      </c>
      <c r="AE8" s="119">
        <v>1.5</v>
      </c>
      <c r="AF8" s="119">
        <v>1</v>
      </c>
      <c r="AG8" s="119"/>
      <c r="AH8" s="119"/>
      <c r="AI8" s="119"/>
      <c r="AJ8" s="119"/>
      <c r="AK8" s="119"/>
      <c r="AL8" s="119"/>
      <c r="AM8" s="119"/>
      <c r="AN8" s="120">
        <f t="shared" si="0"/>
        <v>28.5</v>
      </c>
      <c r="AO8" s="116">
        <v>230000</v>
      </c>
      <c r="AP8" s="121">
        <f t="shared" si="1"/>
        <v>6555000</v>
      </c>
    </row>
    <row r="9" spans="1:42" ht="24.9" customHeight="1">
      <c r="A9" s="122">
        <v>4</v>
      </c>
      <c r="B9" s="114" t="s">
        <v>356</v>
      </c>
      <c r="C9" s="115" t="s">
        <v>357</v>
      </c>
      <c r="D9" s="123" t="s">
        <v>331</v>
      </c>
      <c r="E9" s="115" t="s">
        <v>358</v>
      </c>
      <c r="F9" s="124" t="s">
        <v>349</v>
      </c>
      <c r="G9" s="117" t="s">
        <v>356</v>
      </c>
      <c r="H9" s="118" t="s">
        <v>359</v>
      </c>
      <c r="I9" s="119">
        <v>1.5</v>
      </c>
      <c r="J9" s="119">
        <v>1.5</v>
      </c>
      <c r="K9" s="119">
        <v>1.5</v>
      </c>
      <c r="L9" s="119">
        <v>1</v>
      </c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20">
        <f t="shared" si="0"/>
        <v>5.5</v>
      </c>
      <c r="AO9" s="116">
        <v>190000</v>
      </c>
      <c r="AP9" s="121">
        <f t="shared" si="1"/>
        <v>1045000</v>
      </c>
    </row>
    <row r="10" spans="1:42" ht="24.9" customHeight="1">
      <c r="A10" s="122">
        <v>5</v>
      </c>
      <c r="B10" s="114" t="s">
        <v>395</v>
      </c>
      <c r="C10" s="115" t="s">
        <v>396</v>
      </c>
      <c r="D10" s="123" t="s">
        <v>331</v>
      </c>
      <c r="E10" s="115" t="s">
        <v>397</v>
      </c>
      <c r="F10" s="124" t="s">
        <v>338</v>
      </c>
      <c r="G10" s="117" t="s">
        <v>395</v>
      </c>
      <c r="H10" s="118" t="s">
        <v>398</v>
      </c>
      <c r="I10" s="119">
        <v>1.5</v>
      </c>
      <c r="J10" s="119">
        <v>1.5</v>
      </c>
      <c r="K10" s="119">
        <v>1.5</v>
      </c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20">
        <f t="shared" si="0"/>
        <v>4.5</v>
      </c>
      <c r="AO10" s="116">
        <v>150000</v>
      </c>
      <c r="AP10" s="121">
        <f t="shared" si="1"/>
        <v>675000</v>
      </c>
    </row>
    <row r="11" spans="1:42" ht="24.9" customHeight="1">
      <c r="A11" s="122">
        <v>6</v>
      </c>
      <c r="B11" s="114" t="s">
        <v>345</v>
      </c>
      <c r="C11" s="115" t="s">
        <v>346</v>
      </c>
      <c r="D11" s="125" t="s">
        <v>347</v>
      </c>
      <c r="E11" s="115" t="s">
        <v>348</v>
      </c>
      <c r="F11" s="124" t="s">
        <v>349</v>
      </c>
      <c r="G11" s="117" t="s">
        <v>345</v>
      </c>
      <c r="H11" s="118" t="s">
        <v>350</v>
      </c>
      <c r="I11" s="119">
        <v>1.5</v>
      </c>
      <c r="J11" s="119">
        <v>1.5</v>
      </c>
      <c r="K11" s="119">
        <v>1.5</v>
      </c>
      <c r="L11" s="119">
        <v>1</v>
      </c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20">
        <f t="shared" si="0"/>
        <v>5.5</v>
      </c>
      <c r="AO11" s="116">
        <v>240000</v>
      </c>
      <c r="AP11" s="121">
        <f t="shared" si="1"/>
        <v>1320000</v>
      </c>
    </row>
    <row r="12" spans="1:42" ht="24.9" customHeight="1">
      <c r="A12" s="122">
        <v>7</v>
      </c>
      <c r="B12" s="114" t="s">
        <v>470</v>
      </c>
      <c r="C12" s="115" t="s">
        <v>471</v>
      </c>
      <c r="D12" s="123" t="s">
        <v>331</v>
      </c>
      <c r="E12" s="115" t="s">
        <v>472</v>
      </c>
      <c r="F12" s="124" t="s">
        <v>338</v>
      </c>
      <c r="G12" s="117" t="s">
        <v>470</v>
      </c>
      <c r="H12" s="118" t="s">
        <v>473</v>
      </c>
      <c r="I12" s="119">
        <v>1.5</v>
      </c>
      <c r="J12" s="119"/>
      <c r="K12" s="119">
        <v>1.5</v>
      </c>
      <c r="L12" s="119">
        <v>1</v>
      </c>
      <c r="M12" s="119"/>
      <c r="N12" s="119">
        <v>1.5</v>
      </c>
      <c r="O12" s="119">
        <v>1.5</v>
      </c>
      <c r="P12" s="119">
        <v>1.375</v>
      </c>
      <c r="Q12" s="119">
        <v>1.5</v>
      </c>
      <c r="R12" s="119">
        <v>1.5</v>
      </c>
      <c r="S12" s="119">
        <v>1</v>
      </c>
      <c r="T12" s="119"/>
      <c r="U12" s="119">
        <v>1.5</v>
      </c>
      <c r="V12" s="119">
        <v>1.5</v>
      </c>
      <c r="W12" s="119">
        <v>1.5</v>
      </c>
      <c r="X12" s="119">
        <v>1.375</v>
      </c>
      <c r="Y12" s="119">
        <v>1.5</v>
      </c>
      <c r="Z12" s="119">
        <v>1</v>
      </c>
      <c r="AA12" s="119"/>
      <c r="AB12" s="119">
        <v>0.875</v>
      </c>
      <c r="AC12" s="119">
        <v>1.5</v>
      </c>
      <c r="AD12" s="119">
        <v>1</v>
      </c>
      <c r="AE12" s="119">
        <v>1.5</v>
      </c>
      <c r="AF12" s="119">
        <v>1</v>
      </c>
      <c r="AG12" s="119"/>
      <c r="AH12" s="119"/>
      <c r="AI12" s="119">
        <v>1</v>
      </c>
      <c r="AJ12" s="119">
        <v>1</v>
      </c>
      <c r="AK12" s="119">
        <v>1</v>
      </c>
      <c r="AL12" s="119">
        <v>0.875</v>
      </c>
      <c r="AM12" s="119">
        <v>0.875</v>
      </c>
      <c r="AN12" s="120">
        <f t="shared" ref="AN12:AN28" si="2">SUM(I12:AM12)</f>
        <v>31.375</v>
      </c>
      <c r="AO12" s="116">
        <v>150000</v>
      </c>
      <c r="AP12" s="121">
        <f t="shared" ref="AP12:AP28" si="3">AN12*AO12</f>
        <v>4706250</v>
      </c>
    </row>
    <row r="13" spans="1:42" ht="24.9" customHeight="1">
      <c r="A13" s="122">
        <v>8</v>
      </c>
      <c r="B13" s="114" t="s">
        <v>458</v>
      </c>
      <c r="C13" s="115" t="s">
        <v>459</v>
      </c>
      <c r="D13" s="125" t="s">
        <v>331</v>
      </c>
      <c r="E13" s="115" t="s">
        <v>460</v>
      </c>
      <c r="F13" s="124" t="s">
        <v>327</v>
      </c>
      <c r="G13" s="117" t="s">
        <v>458</v>
      </c>
      <c r="H13" s="118" t="s">
        <v>461</v>
      </c>
      <c r="I13" s="119">
        <v>1.5</v>
      </c>
      <c r="J13" s="119">
        <v>1.5</v>
      </c>
      <c r="K13" s="119">
        <v>1.5</v>
      </c>
      <c r="L13" s="119">
        <v>1</v>
      </c>
      <c r="M13" s="119"/>
      <c r="N13" s="119">
        <v>1.5</v>
      </c>
      <c r="O13" s="119">
        <v>1.5</v>
      </c>
      <c r="P13" s="119">
        <v>1.5</v>
      </c>
      <c r="Q13" s="119">
        <v>1.5</v>
      </c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20">
        <f t="shared" si="2"/>
        <v>11.5</v>
      </c>
      <c r="AO13" s="116">
        <v>150000</v>
      </c>
      <c r="AP13" s="121">
        <f t="shared" si="3"/>
        <v>1725000</v>
      </c>
    </row>
    <row r="14" spans="1:42" ht="24.9" customHeight="1">
      <c r="A14" s="122">
        <v>9</v>
      </c>
      <c r="B14" s="114" t="s">
        <v>323</v>
      </c>
      <c r="C14" s="115" t="s">
        <v>324</v>
      </c>
      <c r="D14" s="125" t="s">
        <v>325</v>
      </c>
      <c r="E14" s="115" t="s">
        <v>326</v>
      </c>
      <c r="F14" s="124" t="s">
        <v>327</v>
      </c>
      <c r="G14" s="117" t="s">
        <v>323</v>
      </c>
      <c r="H14" s="118" t="s">
        <v>328</v>
      </c>
      <c r="I14" s="119">
        <v>1.5</v>
      </c>
      <c r="J14" s="119">
        <v>1.5</v>
      </c>
      <c r="K14" s="119">
        <v>1.5</v>
      </c>
      <c r="L14" s="119"/>
      <c r="M14" s="119"/>
      <c r="N14" s="119">
        <v>1.5</v>
      </c>
      <c r="O14" s="119">
        <v>1.5</v>
      </c>
      <c r="P14" s="119">
        <v>1.25</v>
      </c>
      <c r="Q14" s="119">
        <v>1.5</v>
      </c>
      <c r="R14" s="119">
        <v>1.375</v>
      </c>
      <c r="S14" s="119"/>
      <c r="T14" s="119"/>
      <c r="U14" s="119">
        <v>1.5</v>
      </c>
      <c r="V14" s="119">
        <v>1.5</v>
      </c>
      <c r="W14" s="119">
        <v>1.5</v>
      </c>
      <c r="X14" s="119">
        <v>1.5</v>
      </c>
      <c r="Y14" s="119">
        <v>1.5</v>
      </c>
      <c r="Z14" s="119">
        <v>1</v>
      </c>
      <c r="AA14" s="119"/>
      <c r="AB14" s="119">
        <v>1.5</v>
      </c>
      <c r="AC14" s="119">
        <v>1.375</v>
      </c>
      <c r="AD14" s="119">
        <v>1</v>
      </c>
      <c r="AE14" s="119">
        <v>1.5</v>
      </c>
      <c r="AF14" s="119">
        <v>1</v>
      </c>
      <c r="AG14" s="119"/>
      <c r="AH14" s="119"/>
      <c r="AI14" s="119">
        <v>1</v>
      </c>
      <c r="AJ14" s="119">
        <v>0.875</v>
      </c>
      <c r="AK14" s="119"/>
      <c r="AL14" s="119"/>
      <c r="AM14" s="119"/>
      <c r="AN14" s="120">
        <f t="shared" si="2"/>
        <v>28.375</v>
      </c>
      <c r="AO14" s="116">
        <v>200000</v>
      </c>
      <c r="AP14" s="121">
        <f t="shared" si="3"/>
        <v>5675000</v>
      </c>
    </row>
    <row r="15" spans="1:42" ht="24.9" customHeight="1">
      <c r="A15" s="122">
        <v>10</v>
      </c>
      <c r="B15" s="114" t="s">
        <v>411</v>
      </c>
      <c r="C15" s="115" t="s">
        <v>412</v>
      </c>
      <c r="D15" s="125" t="s">
        <v>353</v>
      </c>
      <c r="E15" s="115" t="s">
        <v>413</v>
      </c>
      <c r="F15" s="124" t="s">
        <v>389</v>
      </c>
      <c r="G15" s="117" t="s">
        <v>411</v>
      </c>
      <c r="H15" s="118" t="s">
        <v>414</v>
      </c>
      <c r="I15" s="119">
        <v>1.5</v>
      </c>
      <c r="J15" s="119">
        <v>1.5</v>
      </c>
      <c r="K15" s="119">
        <v>1.5</v>
      </c>
      <c r="L15" s="119">
        <v>1</v>
      </c>
      <c r="M15" s="119"/>
      <c r="N15" s="119">
        <v>1.5</v>
      </c>
      <c r="O15" s="119">
        <v>1.5</v>
      </c>
      <c r="P15" s="119">
        <v>1.5</v>
      </c>
      <c r="Q15" s="119">
        <v>1.5</v>
      </c>
      <c r="R15" s="119">
        <v>1.5</v>
      </c>
      <c r="S15" s="119">
        <v>1</v>
      </c>
      <c r="T15" s="119"/>
      <c r="U15" s="119">
        <v>1.5</v>
      </c>
      <c r="V15" s="119">
        <v>1.5</v>
      </c>
      <c r="W15" s="119">
        <v>1.5</v>
      </c>
      <c r="X15" s="119">
        <v>1.5</v>
      </c>
      <c r="Y15" s="119">
        <v>1.5</v>
      </c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20">
        <f t="shared" si="2"/>
        <v>21.5</v>
      </c>
      <c r="AO15" s="116">
        <v>210000</v>
      </c>
      <c r="AP15" s="121">
        <f t="shared" si="3"/>
        <v>4515000</v>
      </c>
    </row>
    <row r="16" spans="1:42" ht="24.9" customHeight="1">
      <c r="A16" s="122">
        <v>11</v>
      </c>
      <c r="B16" s="114" t="s">
        <v>474</v>
      </c>
      <c r="C16" s="115" t="s">
        <v>475</v>
      </c>
      <c r="D16" s="123" t="s">
        <v>353</v>
      </c>
      <c r="E16" s="115" t="s">
        <v>476</v>
      </c>
      <c r="F16" s="124" t="s">
        <v>338</v>
      </c>
      <c r="G16" s="117" t="s">
        <v>474</v>
      </c>
      <c r="H16" s="118" t="s">
        <v>477</v>
      </c>
      <c r="I16" s="119">
        <v>1.5</v>
      </c>
      <c r="J16" s="119">
        <v>1.5</v>
      </c>
      <c r="K16" s="119">
        <v>1.5</v>
      </c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20">
        <f t="shared" si="2"/>
        <v>4.5</v>
      </c>
      <c r="AO16" s="116">
        <v>210000</v>
      </c>
      <c r="AP16" s="121">
        <f t="shared" si="3"/>
        <v>945000</v>
      </c>
    </row>
    <row r="17" spans="1:42" ht="24.9" customHeight="1">
      <c r="A17" s="122">
        <v>12</v>
      </c>
      <c r="B17" s="114" t="s">
        <v>505</v>
      </c>
      <c r="C17" s="115" t="s">
        <v>486</v>
      </c>
      <c r="D17" s="123" t="s">
        <v>331</v>
      </c>
      <c r="E17" s="115" t="s">
        <v>487</v>
      </c>
      <c r="F17" s="124" t="s">
        <v>376</v>
      </c>
      <c r="G17" s="117" t="s">
        <v>505</v>
      </c>
      <c r="H17" s="118" t="s">
        <v>488</v>
      </c>
      <c r="I17" s="119">
        <v>1.5</v>
      </c>
      <c r="J17" s="119">
        <v>1.5</v>
      </c>
      <c r="K17" s="119">
        <v>1.5</v>
      </c>
      <c r="L17" s="119">
        <v>1</v>
      </c>
      <c r="M17" s="119"/>
      <c r="N17" s="119">
        <v>1.5</v>
      </c>
      <c r="O17" s="119">
        <v>1.5</v>
      </c>
      <c r="P17" s="119">
        <v>1.5</v>
      </c>
      <c r="Q17" s="119">
        <v>1.5</v>
      </c>
      <c r="R17" s="119">
        <v>1.5</v>
      </c>
      <c r="S17" s="119">
        <v>1</v>
      </c>
      <c r="T17" s="119"/>
      <c r="U17" s="119">
        <v>1.5</v>
      </c>
      <c r="V17" s="119">
        <v>1.5</v>
      </c>
      <c r="W17" s="119">
        <v>1.5</v>
      </c>
      <c r="X17" s="119">
        <v>1.5</v>
      </c>
      <c r="Y17" s="119">
        <v>1.5</v>
      </c>
      <c r="Z17" s="119">
        <v>1</v>
      </c>
      <c r="AA17" s="119"/>
      <c r="AB17" s="119">
        <v>1.5</v>
      </c>
      <c r="AC17" s="119">
        <v>1.5</v>
      </c>
      <c r="AD17" s="119">
        <v>1</v>
      </c>
      <c r="AE17" s="119">
        <v>1.5</v>
      </c>
      <c r="AF17" s="119">
        <v>0.875</v>
      </c>
      <c r="AG17" s="119"/>
      <c r="AH17" s="119"/>
      <c r="AI17" s="119">
        <v>1</v>
      </c>
      <c r="AJ17" s="119">
        <v>1</v>
      </c>
      <c r="AK17" s="119">
        <v>1</v>
      </c>
      <c r="AL17" s="119"/>
      <c r="AM17" s="119"/>
      <c r="AN17" s="120">
        <f t="shared" si="2"/>
        <v>31.875</v>
      </c>
      <c r="AO17" s="116">
        <v>150000</v>
      </c>
      <c r="AP17" s="121">
        <f t="shared" si="3"/>
        <v>4781250</v>
      </c>
    </row>
    <row r="18" spans="1:42" ht="24.9" customHeight="1">
      <c r="A18" s="122">
        <v>13</v>
      </c>
      <c r="B18" s="114" t="s">
        <v>360</v>
      </c>
      <c r="C18" s="115" t="s">
        <v>361</v>
      </c>
      <c r="D18" s="125" t="s">
        <v>331</v>
      </c>
      <c r="E18" s="115" t="s">
        <v>362</v>
      </c>
      <c r="F18" s="124" t="s">
        <v>343</v>
      </c>
      <c r="G18" s="117" t="s">
        <v>360</v>
      </c>
      <c r="H18" s="118" t="s">
        <v>363</v>
      </c>
      <c r="I18" s="119">
        <v>1.5</v>
      </c>
      <c r="J18" s="119">
        <v>1.5</v>
      </c>
      <c r="K18" s="119">
        <v>1.5</v>
      </c>
      <c r="L18" s="119">
        <v>1</v>
      </c>
      <c r="M18" s="119"/>
      <c r="N18" s="119">
        <v>1.5</v>
      </c>
      <c r="O18" s="119">
        <v>1.5</v>
      </c>
      <c r="P18" s="119">
        <v>1.5</v>
      </c>
      <c r="Q18" s="119">
        <v>1.5</v>
      </c>
      <c r="R18" s="119">
        <v>1.5</v>
      </c>
      <c r="S18" s="119">
        <v>1</v>
      </c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20">
        <f t="shared" si="2"/>
        <v>14</v>
      </c>
      <c r="AO18" s="116">
        <v>150000</v>
      </c>
      <c r="AP18" s="121">
        <f t="shared" si="3"/>
        <v>2100000</v>
      </c>
    </row>
    <row r="19" spans="1:42" ht="24.9" customHeight="1">
      <c r="A19" s="122">
        <v>14</v>
      </c>
      <c r="B19" s="114" t="s">
        <v>427</v>
      </c>
      <c r="C19" s="115" t="s">
        <v>428</v>
      </c>
      <c r="D19" s="123" t="s">
        <v>331</v>
      </c>
      <c r="E19" s="115" t="s">
        <v>429</v>
      </c>
      <c r="F19" s="124" t="s">
        <v>338</v>
      </c>
      <c r="G19" s="117" t="s">
        <v>427</v>
      </c>
      <c r="H19" s="118" t="s">
        <v>430</v>
      </c>
      <c r="I19" s="119">
        <v>1.5</v>
      </c>
      <c r="J19" s="119">
        <v>1.5</v>
      </c>
      <c r="K19" s="119">
        <v>1.5</v>
      </c>
      <c r="L19" s="119">
        <v>1</v>
      </c>
      <c r="M19" s="119"/>
      <c r="N19" s="119">
        <v>1.5</v>
      </c>
      <c r="O19" s="119">
        <v>1.5</v>
      </c>
      <c r="P19" s="119">
        <v>1.5</v>
      </c>
      <c r="Q19" s="119">
        <v>1.5</v>
      </c>
      <c r="R19" s="119">
        <v>1.5</v>
      </c>
      <c r="S19" s="119">
        <v>1</v>
      </c>
      <c r="T19" s="119"/>
      <c r="U19" s="119">
        <v>1.5</v>
      </c>
      <c r="V19" s="119">
        <v>1.5</v>
      </c>
      <c r="W19" s="119">
        <v>1.5</v>
      </c>
      <c r="X19" s="119">
        <v>1.5</v>
      </c>
      <c r="Y19" s="119">
        <v>1.5</v>
      </c>
      <c r="Z19" s="119">
        <v>1</v>
      </c>
      <c r="AA19" s="119"/>
      <c r="AB19" s="119">
        <v>1.5</v>
      </c>
      <c r="AC19" s="119">
        <v>1.5</v>
      </c>
      <c r="AD19" s="119">
        <v>1</v>
      </c>
      <c r="AE19" s="119">
        <v>1.5</v>
      </c>
      <c r="AF19" s="119">
        <v>1</v>
      </c>
      <c r="AG19" s="119"/>
      <c r="AH19" s="119"/>
      <c r="AI19" s="119">
        <v>1</v>
      </c>
      <c r="AJ19" s="119">
        <v>1</v>
      </c>
      <c r="AK19" s="119">
        <v>1</v>
      </c>
      <c r="AL19" s="119">
        <v>1</v>
      </c>
      <c r="AM19" s="119">
        <v>1</v>
      </c>
      <c r="AN19" s="120">
        <f t="shared" si="2"/>
        <v>34</v>
      </c>
      <c r="AO19" s="116">
        <v>160000</v>
      </c>
      <c r="AP19" s="121">
        <f t="shared" si="3"/>
        <v>5440000</v>
      </c>
    </row>
    <row r="20" spans="1:42" ht="24.9" customHeight="1">
      <c r="A20" s="122">
        <v>15</v>
      </c>
      <c r="B20" s="114" t="s">
        <v>364</v>
      </c>
      <c r="C20" s="115" t="s">
        <v>365</v>
      </c>
      <c r="D20" s="125" t="s">
        <v>331</v>
      </c>
      <c r="E20" s="115" t="s">
        <v>366</v>
      </c>
      <c r="F20" s="124" t="s">
        <v>389</v>
      </c>
      <c r="G20" s="117" t="s">
        <v>364</v>
      </c>
      <c r="H20" s="118" t="s">
        <v>497</v>
      </c>
      <c r="I20" s="119">
        <v>1.5</v>
      </c>
      <c r="J20" s="119">
        <v>1.5</v>
      </c>
      <c r="K20" s="119">
        <v>1.5</v>
      </c>
      <c r="L20" s="119">
        <v>1</v>
      </c>
      <c r="M20" s="119"/>
      <c r="N20" s="119">
        <v>1.5</v>
      </c>
      <c r="O20" s="119">
        <v>1.5</v>
      </c>
      <c r="P20" s="119">
        <v>1.5</v>
      </c>
      <c r="Q20" s="119">
        <v>1.5</v>
      </c>
      <c r="R20" s="119">
        <v>1.5</v>
      </c>
      <c r="S20" s="119">
        <v>0.875</v>
      </c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20">
        <f t="shared" si="2"/>
        <v>13.875</v>
      </c>
      <c r="AO20" s="116">
        <v>150000</v>
      </c>
      <c r="AP20" s="121">
        <f t="shared" si="3"/>
        <v>2081250</v>
      </c>
    </row>
    <row r="21" spans="1:42" ht="24.9" customHeight="1">
      <c r="A21" s="122">
        <v>16</v>
      </c>
      <c r="B21" s="114" t="s">
        <v>409</v>
      </c>
      <c r="C21" s="115" t="s">
        <v>407</v>
      </c>
      <c r="D21" s="125" t="s">
        <v>353</v>
      </c>
      <c r="E21" s="115" t="s">
        <v>408</v>
      </c>
      <c r="F21" s="124" t="s">
        <v>327</v>
      </c>
      <c r="G21" s="117" t="s">
        <v>409</v>
      </c>
      <c r="H21" s="118" t="s">
        <v>410</v>
      </c>
      <c r="I21" s="119">
        <v>1.5</v>
      </c>
      <c r="J21" s="119">
        <v>1.5</v>
      </c>
      <c r="K21" s="119">
        <v>1.5</v>
      </c>
      <c r="L21" s="119">
        <v>0.5</v>
      </c>
      <c r="M21" s="119"/>
      <c r="N21" s="119">
        <v>1.5</v>
      </c>
      <c r="O21" s="119">
        <v>1.5</v>
      </c>
      <c r="P21" s="119">
        <v>1.5</v>
      </c>
      <c r="Q21" s="119">
        <v>1.5</v>
      </c>
      <c r="R21" s="119">
        <v>1.5</v>
      </c>
      <c r="S21" s="119">
        <v>1</v>
      </c>
      <c r="T21" s="119"/>
      <c r="U21" s="119">
        <v>1.5</v>
      </c>
      <c r="V21" s="119">
        <v>1.5</v>
      </c>
      <c r="W21" s="119">
        <v>1.5</v>
      </c>
      <c r="X21" s="119">
        <v>1.5</v>
      </c>
      <c r="Y21" s="119">
        <v>1.5</v>
      </c>
      <c r="Z21" s="119">
        <v>1</v>
      </c>
      <c r="AA21" s="119"/>
      <c r="AB21" s="119">
        <v>1.5</v>
      </c>
      <c r="AC21" s="119">
        <v>1.5</v>
      </c>
      <c r="AD21" s="119">
        <v>1</v>
      </c>
      <c r="AE21" s="119">
        <v>1.5</v>
      </c>
      <c r="AF21" s="119">
        <v>1</v>
      </c>
      <c r="AG21" s="119"/>
      <c r="AH21" s="119"/>
      <c r="AI21" s="119">
        <v>1</v>
      </c>
      <c r="AJ21" s="119">
        <v>1</v>
      </c>
      <c r="AK21" s="119">
        <v>1</v>
      </c>
      <c r="AL21" s="119">
        <v>1</v>
      </c>
      <c r="AM21" s="119">
        <v>1</v>
      </c>
      <c r="AN21" s="120">
        <f t="shared" si="2"/>
        <v>33.5</v>
      </c>
      <c r="AO21" s="116">
        <v>190000</v>
      </c>
      <c r="AP21" s="121">
        <f t="shared" si="3"/>
        <v>6365000</v>
      </c>
    </row>
    <row r="22" spans="1:42" ht="24.9" customHeight="1">
      <c r="A22" s="122">
        <v>17</v>
      </c>
      <c r="B22" s="114" t="s">
        <v>399</v>
      </c>
      <c r="C22" s="115" t="s">
        <v>400</v>
      </c>
      <c r="D22" s="125" t="s">
        <v>347</v>
      </c>
      <c r="E22" s="115" t="s">
        <v>401</v>
      </c>
      <c r="F22" s="124" t="s">
        <v>376</v>
      </c>
      <c r="G22" s="117" t="s">
        <v>399</v>
      </c>
      <c r="H22" s="118" t="s">
        <v>402</v>
      </c>
      <c r="I22" s="119">
        <v>1.5</v>
      </c>
      <c r="J22" s="119">
        <v>1.5</v>
      </c>
      <c r="K22" s="119">
        <v>1.5</v>
      </c>
      <c r="L22" s="119">
        <v>1</v>
      </c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20">
        <f t="shared" si="2"/>
        <v>5.5</v>
      </c>
      <c r="AO22" s="116">
        <v>240000</v>
      </c>
      <c r="AP22" s="121">
        <f t="shared" si="3"/>
        <v>1320000</v>
      </c>
    </row>
    <row r="23" spans="1:42" ht="24.9" customHeight="1">
      <c r="A23" s="122">
        <v>18</v>
      </c>
      <c r="B23" s="114" t="s">
        <v>423</v>
      </c>
      <c r="C23" s="115" t="s">
        <v>424</v>
      </c>
      <c r="D23" s="123" t="s">
        <v>331</v>
      </c>
      <c r="E23" s="115" t="s">
        <v>425</v>
      </c>
      <c r="F23" s="124" t="s">
        <v>343</v>
      </c>
      <c r="G23" s="117" t="s">
        <v>423</v>
      </c>
      <c r="H23" s="118" t="s">
        <v>426</v>
      </c>
      <c r="I23" s="119">
        <v>1.5</v>
      </c>
      <c r="J23" s="119">
        <v>1.5</v>
      </c>
      <c r="K23" s="119">
        <v>1.5</v>
      </c>
      <c r="L23" s="119">
        <v>1</v>
      </c>
      <c r="M23" s="119"/>
      <c r="N23" s="119">
        <v>1.5</v>
      </c>
      <c r="O23" s="119">
        <v>1.5</v>
      </c>
      <c r="P23" s="119">
        <v>1.5</v>
      </c>
      <c r="Q23" s="119">
        <v>1.5</v>
      </c>
      <c r="R23" s="119">
        <v>1.5</v>
      </c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20">
        <f t="shared" si="2"/>
        <v>13</v>
      </c>
      <c r="AO23" s="116">
        <v>150000</v>
      </c>
      <c r="AP23" s="121">
        <f t="shared" si="3"/>
        <v>1950000</v>
      </c>
    </row>
    <row r="24" spans="1:42" ht="24.9" customHeight="1">
      <c r="A24" s="122">
        <v>19</v>
      </c>
      <c r="B24" s="114" t="s">
        <v>351</v>
      </c>
      <c r="C24" s="115" t="s">
        <v>352</v>
      </c>
      <c r="D24" s="123" t="s">
        <v>353</v>
      </c>
      <c r="E24" s="115" t="s">
        <v>354</v>
      </c>
      <c r="F24" s="124" t="s">
        <v>333</v>
      </c>
      <c r="G24" s="117" t="s">
        <v>351</v>
      </c>
      <c r="H24" s="118" t="s">
        <v>355</v>
      </c>
      <c r="I24" s="119"/>
      <c r="J24" s="119">
        <v>1.5</v>
      </c>
      <c r="K24" s="119">
        <v>1.5</v>
      </c>
      <c r="L24" s="119">
        <v>1</v>
      </c>
      <c r="M24" s="119"/>
      <c r="N24" s="119">
        <v>1.5</v>
      </c>
      <c r="O24" s="119">
        <v>1.5</v>
      </c>
      <c r="P24" s="119">
        <v>1.5</v>
      </c>
      <c r="Q24" s="119">
        <v>1.5</v>
      </c>
      <c r="R24" s="119">
        <v>1.5</v>
      </c>
      <c r="S24" s="119"/>
      <c r="T24" s="119"/>
      <c r="U24" s="119">
        <v>1.5</v>
      </c>
      <c r="V24" s="119">
        <v>1.5</v>
      </c>
      <c r="W24" s="119">
        <v>1.5</v>
      </c>
      <c r="X24" s="119">
        <v>1.5</v>
      </c>
      <c r="Y24" s="119">
        <v>1.5</v>
      </c>
      <c r="Z24" s="119">
        <v>1</v>
      </c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20">
        <f t="shared" si="2"/>
        <v>20</v>
      </c>
      <c r="AO24" s="116">
        <v>210000</v>
      </c>
      <c r="AP24" s="121">
        <f t="shared" si="3"/>
        <v>4200000</v>
      </c>
    </row>
    <row r="25" spans="1:42" ht="24.9" customHeight="1">
      <c r="A25" s="122">
        <v>20</v>
      </c>
      <c r="B25" s="114" t="s">
        <v>367</v>
      </c>
      <c r="C25" s="115" t="s">
        <v>368</v>
      </c>
      <c r="D25" s="125" t="s">
        <v>369</v>
      </c>
      <c r="E25" s="115" t="s">
        <v>370</v>
      </c>
      <c r="F25" s="124" t="s">
        <v>371</v>
      </c>
      <c r="G25" s="117" t="s">
        <v>367</v>
      </c>
      <c r="H25" s="118" t="s">
        <v>372</v>
      </c>
      <c r="I25" s="119">
        <v>1.5</v>
      </c>
      <c r="J25" s="119">
        <v>1.5</v>
      </c>
      <c r="K25" s="119">
        <v>1.5</v>
      </c>
      <c r="L25" s="119">
        <v>1</v>
      </c>
      <c r="M25" s="119"/>
      <c r="N25" s="119">
        <v>1.5</v>
      </c>
      <c r="O25" s="119">
        <v>1.5</v>
      </c>
      <c r="P25" s="119">
        <v>1.5</v>
      </c>
      <c r="Q25" s="119">
        <v>1.5</v>
      </c>
      <c r="R25" s="119">
        <v>1.5</v>
      </c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20">
        <f t="shared" si="2"/>
        <v>13</v>
      </c>
      <c r="AO25" s="116">
        <v>190000</v>
      </c>
      <c r="AP25" s="121">
        <f t="shared" si="3"/>
        <v>2470000</v>
      </c>
    </row>
    <row r="26" spans="1:42" ht="24.9" customHeight="1">
      <c r="A26" s="122">
        <v>21</v>
      </c>
      <c r="B26" s="114" t="s">
        <v>462</v>
      </c>
      <c r="C26" s="115" t="s">
        <v>463</v>
      </c>
      <c r="D26" s="123" t="s">
        <v>331</v>
      </c>
      <c r="E26" s="115" t="s">
        <v>464</v>
      </c>
      <c r="F26" s="124" t="s">
        <v>333</v>
      </c>
      <c r="G26" s="117" t="s">
        <v>462</v>
      </c>
      <c r="H26" s="118" t="s">
        <v>465</v>
      </c>
      <c r="I26" s="119">
        <v>1.5</v>
      </c>
      <c r="J26" s="119">
        <v>1.5</v>
      </c>
      <c r="K26" s="119">
        <v>1.5</v>
      </c>
      <c r="L26" s="119"/>
      <c r="M26" s="119"/>
      <c r="N26" s="119"/>
      <c r="O26" s="119">
        <v>1.5</v>
      </c>
      <c r="P26" s="119">
        <v>1.5</v>
      </c>
      <c r="Q26" s="119">
        <v>1.5</v>
      </c>
      <c r="R26" s="119">
        <v>1.5</v>
      </c>
      <c r="S26" s="119"/>
      <c r="T26" s="119"/>
      <c r="U26" s="119">
        <v>1.5</v>
      </c>
      <c r="V26" s="119">
        <v>1.5</v>
      </c>
      <c r="W26" s="119">
        <v>1.5</v>
      </c>
      <c r="X26" s="119">
        <v>1.5</v>
      </c>
      <c r="Y26" s="119">
        <v>1.5</v>
      </c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20">
        <f t="shared" si="2"/>
        <v>18</v>
      </c>
      <c r="AO26" s="116">
        <v>150000</v>
      </c>
      <c r="AP26" s="121">
        <f t="shared" si="3"/>
        <v>2700000</v>
      </c>
    </row>
    <row r="27" spans="1:42" ht="24.9" customHeight="1">
      <c r="A27" s="122">
        <v>22</v>
      </c>
      <c r="B27" s="114" t="s">
        <v>441</v>
      </c>
      <c r="C27" s="115" t="s">
        <v>442</v>
      </c>
      <c r="D27" s="125" t="s">
        <v>331</v>
      </c>
      <c r="E27" s="115" t="s">
        <v>443</v>
      </c>
      <c r="F27" s="124" t="s">
        <v>343</v>
      </c>
      <c r="G27" s="117" t="s">
        <v>441</v>
      </c>
      <c r="H27" s="118" t="s">
        <v>444</v>
      </c>
      <c r="I27" s="119">
        <v>1.5</v>
      </c>
      <c r="J27" s="119">
        <v>1.5</v>
      </c>
      <c r="K27" s="119">
        <v>1.5</v>
      </c>
      <c r="L27" s="119">
        <v>1</v>
      </c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20">
        <f t="shared" si="2"/>
        <v>5.5</v>
      </c>
      <c r="AO27" s="116">
        <v>150000</v>
      </c>
      <c r="AP27" s="121">
        <f t="shared" si="3"/>
        <v>825000</v>
      </c>
    </row>
    <row r="28" spans="1:42" ht="24.9" customHeight="1">
      <c r="A28" s="122">
        <v>23</v>
      </c>
      <c r="B28" s="114" t="s">
        <v>431</v>
      </c>
      <c r="C28" s="115" t="s">
        <v>432</v>
      </c>
      <c r="D28" s="125" t="s">
        <v>331</v>
      </c>
      <c r="E28" s="115" t="s">
        <v>433</v>
      </c>
      <c r="F28" s="124" t="s">
        <v>349</v>
      </c>
      <c r="G28" s="117" t="s">
        <v>431</v>
      </c>
      <c r="H28" s="118" t="s">
        <v>434</v>
      </c>
      <c r="I28" s="119">
        <v>1.5</v>
      </c>
      <c r="J28" s="119">
        <v>1.5</v>
      </c>
      <c r="K28" s="119">
        <v>1.5</v>
      </c>
      <c r="L28" s="119">
        <v>1</v>
      </c>
      <c r="M28" s="119"/>
      <c r="N28" s="119">
        <v>1.5</v>
      </c>
      <c r="O28" s="119"/>
      <c r="P28" s="119">
        <v>1.5</v>
      </c>
      <c r="Q28" s="119">
        <v>1.5</v>
      </c>
      <c r="R28" s="119">
        <v>1.5</v>
      </c>
      <c r="S28" s="119">
        <v>0.5</v>
      </c>
      <c r="T28" s="119"/>
      <c r="U28" s="119">
        <v>1.5</v>
      </c>
      <c r="V28" s="119">
        <v>1</v>
      </c>
      <c r="W28" s="119">
        <v>1</v>
      </c>
      <c r="X28" s="119">
        <v>1</v>
      </c>
      <c r="Y28" s="119">
        <v>1.5</v>
      </c>
      <c r="Z28" s="119">
        <v>1</v>
      </c>
      <c r="AA28" s="119"/>
      <c r="AB28" s="119"/>
      <c r="AC28" s="119">
        <v>1</v>
      </c>
      <c r="AD28" s="119">
        <v>1</v>
      </c>
      <c r="AE28" s="119">
        <v>1</v>
      </c>
      <c r="AF28" s="119">
        <v>1</v>
      </c>
      <c r="AG28" s="119"/>
      <c r="AH28" s="119"/>
      <c r="AI28" s="119">
        <v>1</v>
      </c>
      <c r="AJ28" s="119">
        <v>1</v>
      </c>
      <c r="AK28" s="119">
        <v>1</v>
      </c>
      <c r="AL28" s="119">
        <v>1</v>
      </c>
      <c r="AM28" s="119">
        <v>1</v>
      </c>
      <c r="AN28" s="120">
        <f t="shared" si="2"/>
        <v>28</v>
      </c>
      <c r="AO28" s="116">
        <v>190000</v>
      </c>
      <c r="AP28" s="121">
        <f t="shared" si="3"/>
        <v>5320000</v>
      </c>
    </row>
    <row r="29" spans="1:42" ht="24.9" customHeight="1">
      <c r="A29" s="122">
        <v>24</v>
      </c>
      <c r="B29" s="114" t="s">
        <v>386</v>
      </c>
      <c r="C29" s="115" t="s">
        <v>387</v>
      </c>
      <c r="D29" s="125" t="s">
        <v>331</v>
      </c>
      <c r="E29" s="115" t="s">
        <v>388</v>
      </c>
      <c r="F29" s="124" t="s">
        <v>389</v>
      </c>
      <c r="G29" s="117" t="s">
        <v>386</v>
      </c>
      <c r="H29" s="118" t="s">
        <v>390</v>
      </c>
      <c r="I29" s="119">
        <v>1.5</v>
      </c>
      <c r="J29" s="119">
        <v>1.5</v>
      </c>
      <c r="K29" s="119">
        <v>1.5</v>
      </c>
      <c r="L29" s="119">
        <v>1</v>
      </c>
      <c r="M29" s="119"/>
      <c r="N29" s="119">
        <v>1.5</v>
      </c>
      <c r="O29" s="119">
        <v>1.5</v>
      </c>
      <c r="P29" s="119">
        <v>1.5</v>
      </c>
      <c r="Q29" s="119">
        <v>1.5</v>
      </c>
      <c r="R29" s="119">
        <v>1.5</v>
      </c>
      <c r="S29" s="119">
        <v>1</v>
      </c>
      <c r="T29" s="119"/>
      <c r="U29" s="119">
        <v>1.5</v>
      </c>
      <c r="V29" s="119">
        <v>1.5</v>
      </c>
      <c r="W29" s="119">
        <v>1.5</v>
      </c>
      <c r="X29" s="119">
        <v>1.5</v>
      </c>
      <c r="Y29" s="119">
        <v>1.5</v>
      </c>
      <c r="Z29" s="119">
        <v>1</v>
      </c>
      <c r="AA29" s="119"/>
      <c r="AB29" s="119">
        <v>1.5</v>
      </c>
      <c r="AC29" s="119">
        <v>1.5</v>
      </c>
      <c r="AD29" s="119">
        <v>1</v>
      </c>
      <c r="AE29" s="119">
        <v>1.5</v>
      </c>
      <c r="AF29" s="119">
        <v>1</v>
      </c>
      <c r="AG29" s="119"/>
      <c r="AH29" s="119"/>
      <c r="AI29" s="119">
        <v>1</v>
      </c>
      <c r="AJ29" s="119">
        <v>1</v>
      </c>
      <c r="AK29" s="119">
        <v>1</v>
      </c>
      <c r="AL29" s="119"/>
      <c r="AM29" s="119">
        <v>1</v>
      </c>
      <c r="AN29" s="120">
        <f t="shared" ref="AN29:AN48" si="4">SUM(I29:AM29)</f>
        <v>33</v>
      </c>
      <c r="AO29" s="116">
        <v>170000</v>
      </c>
      <c r="AP29" s="121">
        <f t="shared" ref="AP29:AP48" si="5">AN29*AO29</f>
        <v>5610000</v>
      </c>
    </row>
    <row r="30" spans="1:42" ht="24.9" customHeight="1">
      <c r="A30" s="122">
        <v>25</v>
      </c>
      <c r="B30" s="114" t="s">
        <v>419</v>
      </c>
      <c r="C30" s="115" t="s">
        <v>420</v>
      </c>
      <c r="D30" s="123" t="s">
        <v>331</v>
      </c>
      <c r="E30" s="115" t="s">
        <v>421</v>
      </c>
      <c r="F30" s="124" t="s">
        <v>376</v>
      </c>
      <c r="G30" s="117" t="s">
        <v>419</v>
      </c>
      <c r="H30" s="118" t="s">
        <v>422</v>
      </c>
      <c r="I30" s="119">
        <v>1.5</v>
      </c>
      <c r="J30" s="119">
        <v>1.5</v>
      </c>
      <c r="K30" s="119">
        <v>1.5</v>
      </c>
      <c r="L30" s="119">
        <v>1</v>
      </c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20">
        <f t="shared" si="4"/>
        <v>5.5</v>
      </c>
      <c r="AO30" s="116">
        <v>150000</v>
      </c>
      <c r="AP30" s="121">
        <f t="shared" si="5"/>
        <v>825000</v>
      </c>
    </row>
    <row r="31" spans="1:42" ht="24.9" customHeight="1">
      <c r="A31" s="122">
        <v>26</v>
      </c>
      <c r="B31" s="114" t="s">
        <v>478</v>
      </c>
      <c r="C31" s="115" t="s">
        <v>479</v>
      </c>
      <c r="D31" s="123" t="s">
        <v>331</v>
      </c>
      <c r="E31" s="115" t="s">
        <v>480</v>
      </c>
      <c r="F31" s="124" t="s">
        <v>349</v>
      </c>
      <c r="G31" s="117" t="s">
        <v>478</v>
      </c>
      <c r="H31" s="118" t="s">
        <v>481</v>
      </c>
      <c r="I31" s="119">
        <v>1.5</v>
      </c>
      <c r="J31" s="119">
        <v>1.5</v>
      </c>
      <c r="K31" s="119">
        <v>1.5</v>
      </c>
      <c r="L31" s="119">
        <v>1</v>
      </c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20">
        <f t="shared" si="4"/>
        <v>5.5</v>
      </c>
      <c r="AO31" s="116">
        <v>150000</v>
      </c>
      <c r="AP31" s="121">
        <f t="shared" si="5"/>
        <v>825000</v>
      </c>
    </row>
    <row r="32" spans="1:42" ht="24.9" customHeight="1">
      <c r="A32" s="122">
        <v>27</v>
      </c>
      <c r="B32" s="114" t="s">
        <v>435</v>
      </c>
      <c r="C32" s="115" t="s">
        <v>436</v>
      </c>
      <c r="D32" s="125" t="s">
        <v>498</v>
      </c>
      <c r="E32" s="115" t="s">
        <v>437</v>
      </c>
      <c r="F32" s="124" t="s">
        <v>376</v>
      </c>
      <c r="G32" s="117" t="s">
        <v>435</v>
      </c>
      <c r="H32" s="118" t="s">
        <v>515</v>
      </c>
      <c r="I32" s="119">
        <v>1.5</v>
      </c>
      <c r="J32" s="119">
        <v>1.375</v>
      </c>
      <c r="K32" s="119">
        <v>1.5</v>
      </c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20">
        <f t="shared" si="4"/>
        <v>4.375</v>
      </c>
      <c r="AO32" s="116">
        <v>230000</v>
      </c>
      <c r="AP32" s="121">
        <f t="shared" si="5"/>
        <v>1006250</v>
      </c>
    </row>
    <row r="33" spans="1:42" ht="24.9" customHeight="1">
      <c r="A33" s="122">
        <v>28</v>
      </c>
      <c r="B33" s="114" t="s">
        <v>449</v>
      </c>
      <c r="C33" s="115" t="s">
        <v>450</v>
      </c>
      <c r="D33" s="123" t="s">
        <v>353</v>
      </c>
      <c r="E33" s="115" t="s">
        <v>451</v>
      </c>
      <c r="F33" s="124" t="s">
        <v>349</v>
      </c>
      <c r="G33" s="117" t="s">
        <v>449</v>
      </c>
      <c r="H33" s="118" t="s">
        <v>452</v>
      </c>
      <c r="I33" s="119">
        <v>1.5</v>
      </c>
      <c r="J33" s="119">
        <v>1.5</v>
      </c>
      <c r="K33" s="119">
        <v>1.5</v>
      </c>
      <c r="L33" s="119"/>
      <c r="M33" s="119"/>
      <c r="N33" s="119">
        <v>1.5</v>
      </c>
      <c r="O33" s="119">
        <v>1.5</v>
      </c>
      <c r="P33" s="119">
        <v>1.5</v>
      </c>
      <c r="Q33" s="119">
        <v>1.5</v>
      </c>
      <c r="R33" s="119">
        <v>1.5</v>
      </c>
      <c r="S33" s="119">
        <v>0.5</v>
      </c>
      <c r="T33" s="119"/>
      <c r="U33" s="119">
        <v>1.5</v>
      </c>
      <c r="V33" s="119">
        <v>1.5</v>
      </c>
      <c r="W33" s="119">
        <v>1.5</v>
      </c>
      <c r="X33" s="119">
        <v>1.5</v>
      </c>
      <c r="Y33" s="119">
        <v>1.5</v>
      </c>
      <c r="Z33" s="119">
        <v>1</v>
      </c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20">
        <f t="shared" si="4"/>
        <v>21</v>
      </c>
      <c r="AO33" s="116">
        <v>200000</v>
      </c>
      <c r="AP33" s="121">
        <f t="shared" si="5"/>
        <v>4200000</v>
      </c>
    </row>
    <row r="34" spans="1:42" ht="24.9" customHeight="1">
      <c r="A34" s="122">
        <v>29</v>
      </c>
      <c r="B34" s="114" t="s">
        <v>403</v>
      </c>
      <c r="C34" s="115" t="s">
        <v>404</v>
      </c>
      <c r="D34" s="125" t="s">
        <v>347</v>
      </c>
      <c r="E34" s="115" t="s">
        <v>405</v>
      </c>
      <c r="F34" s="124" t="s">
        <v>327</v>
      </c>
      <c r="G34" s="117" t="s">
        <v>403</v>
      </c>
      <c r="H34" s="118" t="s">
        <v>406</v>
      </c>
      <c r="I34" s="119">
        <v>1.375</v>
      </c>
      <c r="J34" s="119">
        <v>1.5</v>
      </c>
      <c r="K34" s="119">
        <v>1.5</v>
      </c>
      <c r="L34" s="119"/>
      <c r="M34" s="119"/>
      <c r="N34" s="119"/>
      <c r="O34" s="119"/>
      <c r="P34" s="119">
        <v>1.5</v>
      </c>
      <c r="Q34" s="119">
        <v>1.5</v>
      </c>
      <c r="R34" s="119">
        <v>1.5</v>
      </c>
      <c r="S34" s="119">
        <v>0.875</v>
      </c>
      <c r="T34" s="119"/>
      <c r="U34" s="119">
        <v>1.5</v>
      </c>
      <c r="V34" s="119">
        <v>1.5</v>
      </c>
      <c r="W34" s="119">
        <v>1.5</v>
      </c>
      <c r="X34" s="119">
        <v>1.5</v>
      </c>
      <c r="Y34" s="119">
        <v>1.5</v>
      </c>
      <c r="Z34" s="119">
        <v>1</v>
      </c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20">
        <f t="shared" si="4"/>
        <v>18.25</v>
      </c>
      <c r="AO34" s="116">
        <v>240000</v>
      </c>
      <c r="AP34" s="121">
        <f t="shared" si="5"/>
        <v>4380000</v>
      </c>
    </row>
    <row r="35" spans="1:42" ht="24.9" customHeight="1">
      <c r="A35" s="122">
        <v>30</v>
      </c>
      <c r="B35" s="114" t="s">
        <v>373</v>
      </c>
      <c r="C35" s="115" t="s">
        <v>374</v>
      </c>
      <c r="D35" s="125" t="s">
        <v>331</v>
      </c>
      <c r="E35" s="115" t="s">
        <v>375</v>
      </c>
      <c r="F35" s="124" t="s">
        <v>376</v>
      </c>
      <c r="G35" s="117" t="s">
        <v>373</v>
      </c>
      <c r="H35" s="118" t="s">
        <v>377</v>
      </c>
      <c r="I35" s="119">
        <v>1.5</v>
      </c>
      <c r="J35" s="119">
        <v>1.5</v>
      </c>
      <c r="K35" s="119">
        <v>1.5</v>
      </c>
      <c r="L35" s="119">
        <v>1</v>
      </c>
      <c r="M35" s="119"/>
      <c r="N35" s="119">
        <v>1.5</v>
      </c>
      <c r="O35" s="119">
        <v>1.5</v>
      </c>
      <c r="P35" s="119">
        <v>1.5</v>
      </c>
      <c r="Q35" s="119">
        <v>1.5</v>
      </c>
      <c r="R35" s="119">
        <v>1.5</v>
      </c>
      <c r="S35" s="119">
        <v>0.5</v>
      </c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20">
        <f t="shared" si="4"/>
        <v>13.5</v>
      </c>
      <c r="AO35" s="116">
        <v>150000</v>
      </c>
      <c r="AP35" s="121">
        <f t="shared" si="5"/>
        <v>2025000</v>
      </c>
    </row>
    <row r="36" spans="1:42" ht="24.9" customHeight="1">
      <c r="A36" s="122">
        <v>31</v>
      </c>
      <c r="B36" s="114" t="s">
        <v>466</v>
      </c>
      <c r="C36" s="115" t="s">
        <v>467</v>
      </c>
      <c r="D36" s="125" t="s">
        <v>331</v>
      </c>
      <c r="E36" s="115" t="s">
        <v>468</v>
      </c>
      <c r="F36" s="124" t="s">
        <v>333</v>
      </c>
      <c r="G36" s="117" t="s">
        <v>466</v>
      </c>
      <c r="H36" s="118" t="s">
        <v>469</v>
      </c>
      <c r="I36" s="119"/>
      <c r="J36" s="119"/>
      <c r="K36" s="119">
        <v>1.5</v>
      </c>
      <c r="L36" s="119"/>
      <c r="M36" s="119"/>
      <c r="N36" s="119">
        <v>1.5</v>
      </c>
      <c r="O36" s="119">
        <v>1.5</v>
      </c>
      <c r="P36" s="119">
        <v>0.375</v>
      </c>
      <c r="Q36" s="119">
        <v>1.5</v>
      </c>
      <c r="R36" s="119">
        <v>1.5</v>
      </c>
      <c r="S36" s="119"/>
      <c r="T36" s="119"/>
      <c r="U36" s="119">
        <v>1.5</v>
      </c>
      <c r="V36" s="119">
        <v>1.5</v>
      </c>
      <c r="W36" s="119">
        <v>1.5</v>
      </c>
      <c r="X36" s="119">
        <v>1.5</v>
      </c>
      <c r="Y36" s="119">
        <v>1.5</v>
      </c>
      <c r="Z36" s="119">
        <v>1</v>
      </c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20">
        <f t="shared" si="4"/>
        <v>16.375</v>
      </c>
      <c r="AO36" s="116">
        <v>160000</v>
      </c>
      <c r="AP36" s="121">
        <f t="shared" si="5"/>
        <v>2620000</v>
      </c>
    </row>
    <row r="37" spans="1:42" ht="24.9" customHeight="1">
      <c r="A37" s="122">
        <v>32</v>
      </c>
      <c r="B37" s="114" t="s">
        <v>482</v>
      </c>
      <c r="C37" s="115" t="s">
        <v>483</v>
      </c>
      <c r="D37" s="123" t="s">
        <v>331</v>
      </c>
      <c r="E37" s="115" t="s">
        <v>484</v>
      </c>
      <c r="F37" s="124" t="s">
        <v>343</v>
      </c>
      <c r="G37" s="117" t="s">
        <v>482</v>
      </c>
      <c r="H37" s="118" t="s">
        <v>485</v>
      </c>
      <c r="I37" s="119">
        <v>1.5</v>
      </c>
      <c r="J37" s="119">
        <v>1.5</v>
      </c>
      <c r="K37" s="119">
        <v>1.5</v>
      </c>
      <c r="L37" s="119">
        <v>1</v>
      </c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20">
        <f t="shared" si="4"/>
        <v>5.5</v>
      </c>
      <c r="AO37" s="116">
        <v>150000</v>
      </c>
      <c r="AP37" s="121">
        <f t="shared" si="5"/>
        <v>825000</v>
      </c>
    </row>
    <row r="38" spans="1:42" ht="24.9" customHeight="1">
      <c r="A38" s="122">
        <v>33</v>
      </c>
      <c r="B38" s="114" t="s">
        <v>506</v>
      </c>
      <c r="C38" s="115" t="s">
        <v>507</v>
      </c>
      <c r="D38" s="123" t="s">
        <v>347</v>
      </c>
      <c r="E38" s="115" t="s">
        <v>508</v>
      </c>
      <c r="F38" s="124" t="s">
        <v>349</v>
      </c>
      <c r="G38" s="117" t="s">
        <v>506</v>
      </c>
      <c r="H38" s="118" t="s">
        <v>509</v>
      </c>
      <c r="I38" s="119">
        <v>1.5</v>
      </c>
      <c r="J38" s="119">
        <v>1.5</v>
      </c>
      <c r="K38" s="119">
        <v>1.5</v>
      </c>
      <c r="L38" s="119"/>
      <c r="M38" s="119"/>
      <c r="N38" s="119">
        <v>0.5</v>
      </c>
      <c r="O38" s="119">
        <v>1.5</v>
      </c>
      <c r="P38" s="119">
        <v>1.5</v>
      </c>
      <c r="Q38" s="119">
        <v>1.5</v>
      </c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20">
        <f t="shared" si="4"/>
        <v>9.5</v>
      </c>
      <c r="AO38" s="116">
        <v>240000</v>
      </c>
      <c r="AP38" s="121">
        <f t="shared" si="5"/>
        <v>2280000</v>
      </c>
    </row>
    <row r="39" spans="1:42" ht="24.9" customHeight="1">
      <c r="A39" s="122">
        <v>34</v>
      </c>
      <c r="B39" s="114" t="s">
        <v>445</v>
      </c>
      <c r="C39" s="115" t="s">
        <v>446</v>
      </c>
      <c r="D39" s="125" t="s">
        <v>498</v>
      </c>
      <c r="E39" s="115" t="s">
        <v>447</v>
      </c>
      <c r="F39" s="124" t="s">
        <v>349</v>
      </c>
      <c r="G39" s="117" t="s">
        <v>445</v>
      </c>
      <c r="H39" s="118" t="s">
        <v>448</v>
      </c>
      <c r="I39" s="119">
        <v>1.5</v>
      </c>
      <c r="J39" s="119">
        <v>1.5</v>
      </c>
      <c r="K39" s="119">
        <v>1.5</v>
      </c>
      <c r="L39" s="119">
        <v>1</v>
      </c>
      <c r="M39" s="119"/>
      <c r="N39" s="119">
        <v>1.5</v>
      </c>
      <c r="O39" s="119">
        <v>1.5</v>
      </c>
      <c r="P39" s="119">
        <v>1.5</v>
      </c>
      <c r="Q39" s="119">
        <v>1.5</v>
      </c>
      <c r="R39" s="119">
        <v>1.5</v>
      </c>
      <c r="S39" s="119">
        <v>1</v>
      </c>
      <c r="T39" s="119"/>
      <c r="U39" s="119">
        <v>1.5</v>
      </c>
      <c r="V39" s="119">
        <v>1.5</v>
      </c>
      <c r="W39" s="119">
        <v>1.5</v>
      </c>
      <c r="X39" s="119">
        <v>1.5</v>
      </c>
      <c r="Y39" s="119">
        <v>1.5</v>
      </c>
      <c r="Z39" s="119">
        <v>0.5</v>
      </c>
      <c r="AA39" s="119"/>
      <c r="AB39" s="119">
        <v>1.5</v>
      </c>
      <c r="AC39" s="119">
        <v>1.5</v>
      </c>
      <c r="AD39" s="119">
        <v>1</v>
      </c>
      <c r="AE39" s="119">
        <v>1.5</v>
      </c>
      <c r="AF39" s="119">
        <v>1</v>
      </c>
      <c r="AG39" s="119"/>
      <c r="AH39" s="119"/>
      <c r="AI39" s="119">
        <v>1</v>
      </c>
      <c r="AJ39" s="119">
        <v>1</v>
      </c>
      <c r="AK39" s="119">
        <v>1</v>
      </c>
      <c r="AL39" s="119"/>
      <c r="AM39" s="119"/>
      <c r="AN39" s="120">
        <f t="shared" si="4"/>
        <v>31.5</v>
      </c>
      <c r="AO39" s="116">
        <v>210000</v>
      </c>
      <c r="AP39" s="121">
        <f t="shared" si="5"/>
        <v>6615000</v>
      </c>
    </row>
    <row r="40" spans="1:42" ht="24.9" customHeight="1">
      <c r="A40" s="122">
        <v>35</v>
      </c>
      <c r="B40" s="114" t="s">
        <v>493</v>
      </c>
      <c r="C40" s="115" t="s">
        <v>494</v>
      </c>
      <c r="D40" s="123" t="s">
        <v>331</v>
      </c>
      <c r="E40" s="115" t="s">
        <v>495</v>
      </c>
      <c r="F40" s="124" t="s">
        <v>327</v>
      </c>
      <c r="G40" s="117" t="s">
        <v>493</v>
      </c>
      <c r="H40" s="118" t="s">
        <v>496</v>
      </c>
      <c r="I40" s="119">
        <v>1.5</v>
      </c>
      <c r="J40" s="119">
        <v>1.5</v>
      </c>
      <c r="K40" s="119">
        <v>1.5</v>
      </c>
      <c r="L40" s="119">
        <v>1</v>
      </c>
      <c r="M40" s="119"/>
      <c r="N40" s="119">
        <v>1.5</v>
      </c>
      <c r="O40" s="119">
        <v>1.5</v>
      </c>
      <c r="P40" s="119">
        <v>1.5</v>
      </c>
      <c r="Q40" s="119">
        <v>1.5</v>
      </c>
      <c r="R40" s="119">
        <v>1.5</v>
      </c>
      <c r="S40" s="119">
        <v>1</v>
      </c>
      <c r="T40" s="119"/>
      <c r="U40" s="119">
        <v>1.5</v>
      </c>
      <c r="V40" s="119">
        <v>1.5</v>
      </c>
      <c r="W40" s="119">
        <v>1.5</v>
      </c>
      <c r="X40" s="119">
        <v>1.5</v>
      </c>
      <c r="Y40" s="119">
        <v>1.5</v>
      </c>
      <c r="Z40" s="119">
        <v>0.375</v>
      </c>
      <c r="AA40" s="119"/>
      <c r="AB40" s="119">
        <v>1.5</v>
      </c>
      <c r="AC40" s="119">
        <v>1.5</v>
      </c>
      <c r="AD40" s="119">
        <v>1</v>
      </c>
      <c r="AE40" s="119">
        <v>1.5</v>
      </c>
      <c r="AF40" s="119">
        <v>1</v>
      </c>
      <c r="AG40" s="119"/>
      <c r="AH40" s="119"/>
      <c r="AI40" s="119">
        <v>1</v>
      </c>
      <c r="AJ40" s="119">
        <v>1</v>
      </c>
      <c r="AK40" s="119">
        <v>0.75</v>
      </c>
      <c r="AL40" s="119">
        <v>0.875</v>
      </c>
      <c r="AM40" s="119">
        <v>0.875</v>
      </c>
      <c r="AN40" s="120">
        <f t="shared" si="4"/>
        <v>32.875</v>
      </c>
      <c r="AO40" s="116">
        <v>150000</v>
      </c>
      <c r="AP40" s="121">
        <f t="shared" si="5"/>
        <v>4931250</v>
      </c>
    </row>
    <row r="41" spans="1:42" ht="24.9" customHeight="1">
      <c r="A41" s="122">
        <v>36</v>
      </c>
      <c r="B41" s="114" t="s">
        <v>382</v>
      </c>
      <c r="C41" s="115" t="s">
        <v>383</v>
      </c>
      <c r="D41" s="125" t="s">
        <v>331</v>
      </c>
      <c r="E41" s="115" t="s">
        <v>384</v>
      </c>
      <c r="F41" s="124" t="s">
        <v>349</v>
      </c>
      <c r="G41" s="117" t="s">
        <v>382</v>
      </c>
      <c r="H41" s="118" t="s">
        <v>385</v>
      </c>
      <c r="I41" s="119">
        <v>1.5</v>
      </c>
      <c r="J41" s="119">
        <v>1.5</v>
      </c>
      <c r="K41" s="119">
        <v>1.5</v>
      </c>
      <c r="L41" s="119">
        <v>1</v>
      </c>
      <c r="M41" s="119"/>
      <c r="N41" s="119">
        <v>1.5</v>
      </c>
      <c r="O41" s="119">
        <v>1.5</v>
      </c>
      <c r="P41" s="119">
        <v>1.5</v>
      </c>
      <c r="Q41" s="119">
        <v>1.5</v>
      </c>
      <c r="R41" s="119">
        <v>1.5</v>
      </c>
      <c r="S41" s="119">
        <v>1</v>
      </c>
      <c r="T41" s="119"/>
      <c r="U41" s="119">
        <v>1.5</v>
      </c>
      <c r="V41" s="119">
        <v>1.5</v>
      </c>
      <c r="W41" s="119">
        <v>1.5</v>
      </c>
      <c r="X41" s="119">
        <v>1.5</v>
      </c>
      <c r="Y41" s="119">
        <v>1.5</v>
      </c>
      <c r="Z41" s="119">
        <v>1</v>
      </c>
      <c r="AA41" s="119"/>
      <c r="AB41" s="119">
        <v>1.5</v>
      </c>
      <c r="AC41" s="119">
        <v>1.5</v>
      </c>
      <c r="AD41" s="119">
        <v>0.875</v>
      </c>
      <c r="AE41" s="119">
        <v>1.5</v>
      </c>
      <c r="AF41" s="119">
        <v>1</v>
      </c>
      <c r="AG41" s="119"/>
      <c r="AH41" s="119"/>
      <c r="AI41" s="119">
        <v>1</v>
      </c>
      <c r="AJ41" s="119">
        <v>1</v>
      </c>
      <c r="AK41" s="119">
        <v>1</v>
      </c>
      <c r="AL41" s="119">
        <v>1</v>
      </c>
      <c r="AM41" s="119">
        <v>1</v>
      </c>
      <c r="AN41" s="120">
        <f t="shared" si="4"/>
        <v>33.875</v>
      </c>
      <c r="AO41" s="116">
        <v>210000</v>
      </c>
      <c r="AP41" s="121">
        <f t="shared" si="5"/>
        <v>7113750</v>
      </c>
    </row>
    <row r="42" spans="1:42" ht="24.9" customHeight="1">
      <c r="A42" s="122">
        <v>37</v>
      </c>
      <c r="B42" s="114" t="s">
        <v>489</v>
      </c>
      <c r="C42" s="115" t="s">
        <v>490</v>
      </c>
      <c r="D42" s="125" t="s">
        <v>347</v>
      </c>
      <c r="E42" s="115" t="s">
        <v>491</v>
      </c>
      <c r="F42" s="124" t="s">
        <v>343</v>
      </c>
      <c r="G42" s="117" t="s">
        <v>489</v>
      </c>
      <c r="H42" s="118" t="s">
        <v>492</v>
      </c>
      <c r="I42" s="119">
        <v>1.5</v>
      </c>
      <c r="J42" s="119">
        <v>1.5</v>
      </c>
      <c r="K42" s="119">
        <v>1.25</v>
      </c>
      <c r="L42" s="119">
        <v>1</v>
      </c>
      <c r="M42" s="119"/>
      <c r="N42" s="119">
        <v>1.5</v>
      </c>
      <c r="O42" s="119">
        <v>1.5</v>
      </c>
      <c r="P42" s="119">
        <v>1.5</v>
      </c>
      <c r="Q42" s="119">
        <v>1.5</v>
      </c>
      <c r="R42" s="119">
        <v>1.5</v>
      </c>
      <c r="S42" s="119">
        <v>1</v>
      </c>
      <c r="T42" s="119"/>
      <c r="U42" s="119">
        <v>1.5</v>
      </c>
      <c r="V42" s="119">
        <v>1.5</v>
      </c>
      <c r="W42" s="119">
        <v>1.5</v>
      </c>
      <c r="X42" s="119">
        <v>1.5</v>
      </c>
      <c r="Y42" s="119">
        <v>1.5</v>
      </c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20">
        <f t="shared" si="4"/>
        <v>21.25</v>
      </c>
      <c r="AO42" s="116">
        <v>240000</v>
      </c>
      <c r="AP42" s="121">
        <f t="shared" si="5"/>
        <v>5100000</v>
      </c>
    </row>
    <row r="43" spans="1:42" ht="24.9" customHeight="1">
      <c r="A43" s="122">
        <v>38</v>
      </c>
      <c r="B43" s="114" t="s">
        <v>378</v>
      </c>
      <c r="C43" s="115" t="s">
        <v>379</v>
      </c>
      <c r="D43" s="125" t="s">
        <v>331</v>
      </c>
      <c r="E43" s="115" t="s">
        <v>380</v>
      </c>
      <c r="F43" s="124" t="s">
        <v>349</v>
      </c>
      <c r="G43" s="117" t="s">
        <v>378</v>
      </c>
      <c r="H43" s="118" t="s">
        <v>381</v>
      </c>
      <c r="I43" s="119">
        <v>1.5</v>
      </c>
      <c r="J43" s="119">
        <v>1.5</v>
      </c>
      <c r="K43" s="119">
        <v>1.5</v>
      </c>
      <c r="L43" s="119">
        <v>1</v>
      </c>
      <c r="M43" s="119"/>
      <c r="N43" s="119">
        <v>1.5</v>
      </c>
      <c r="O43" s="119">
        <v>1.5</v>
      </c>
      <c r="P43" s="119"/>
      <c r="Q43" s="119">
        <v>1.5</v>
      </c>
      <c r="R43" s="119"/>
      <c r="S43" s="119">
        <v>1</v>
      </c>
      <c r="T43" s="119"/>
      <c r="U43" s="119">
        <v>1.5</v>
      </c>
      <c r="V43" s="119">
        <v>1.5</v>
      </c>
      <c r="W43" s="119">
        <v>1.5</v>
      </c>
      <c r="X43" s="119">
        <v>1.5</v>
      </c>
      <c r="Y43" s="119">
        <v>1.5</v>
      </c>
      <c r="Z43" s="119">
        <v>1</v>
      </c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20">
        <f t="shared" si="4"/>
        <v>19.5</v>
      </c>
      <c r="AO43" s="116">
        <v>160000</v>
      </c>
      <c r="AP43" s="121">
        <f t="shared" si="5"/>
        <v>3120000</v>
      </c>
    </row>
    <row r="44" spans="1:42" ht="24.9" customHeight="1">
      <c r="A44" s="122">
        <v>39</v>
      </c>
      <c r="B44" s="114" t="s">
        <v>453</v>
      </c>
      <c r="C44" s="115" t="s">
        <v>454</v>
      </c>
      <c r="D44" s="123" t="s">
        <v>331</v>
      </c>
      <c r="E44" s="115" t="s">
        <v>455</v>
      </c>
      <c r="F44" s="124" t="s">
        <v>456</v>
      </c>
      <c r="G44" s="117" t="s">
        <v>453</v>
      </c>
      <c r="H44" s="118" t="s">
        <v>457</v>
      </c>
      <c r="I44" s="119">
        <v>1.5</v>
      </c>
      <c r="J44" s="119">
        <v>1.5</v>
      </c>
      <c r="K44" s="119">
        <v>1.5</v>
      </c>
      <c r="L44" s="119">
        <v>1</v>
      </c>
      <c r="M44" s="119"/>
      <c r="N44" s="119">
        <v>1.5</v>
      </c>
      <c r="O44" s="119">
        <v>1.5</v>
      </c>
      <c r="P44" s="119">
        <v>1.5</v>
      </c>
      <c r="Q44" s="119">
        <v>1.5</v>
      </c>
      <c r="R44" s="119">
        <v>1.5</v>
      </c>
      <c r="S44" s="119"/>
      <c r="T44" s="119"/>
      <c r="U44" s="119">
        <v>1.5</v>
      </c>
      <c r="V44" s="119">
        <v>1.5</v>
      </c>
      <c r="W44" s="119">
        <v>1.5</v>
      </c>
      <c r="X44" s="119">
        <v>1.5</v>
      </c>
      <c r="Y44" s="119">
        <v>1.5</v>
      </c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20">
        <f t="shared" si="4"/>
        <v>20.5</v>
      </c>
      <c r="AO44" s="116">
        <v>160000</v>
      </c>
      <c r="AP44" s="121">
        <f t="shared" si="5"/>
        <v>3280000</v>
      </c>
    </row>
    <row r="45" spans="1:42" ht="24.9" customHeight="1">
      <c r="A45" s="122">
        <v>40</v>
      </c>
      <c r="B45" s="114" t="s">
        <v>438</v>
      </c>
      <c r="C45" s="115" t="s">
        <v>439</v>
      </c>
      <c r="D45" s="123" t="s">
        <v>331</v>
      </c>
      <c r="E45" s="115" t="s">
        <v>440</v>
      </c>
      <c r="F45" s="124" t="s">
        <v>499</v>
      </c>
      <c r="G45" s="117" t="s">
        <v>438</v>
      </c>
      <c r="H45" s="118" t="s">
        <v>500</v>
      </c>
      <c r="I45" s="119">
        <v>1.5</v>
      </c>
      <c r="J45" s="119">
        <v>1.5</v>
      </c>
      <c r="K45" s="119">
        <v>1.5</v>
      </c>
      <c r="L45" s="119">
        <v>1</v>
      </c>
      <c r="M45" s="119"/>
      <c r="N45" s="119">
        <v>1.5</v>
      </c>
      <c r="O45" s="119">
        <v>1.5</v>
      </c>
      <c r="P45" s="119">
        <v>1.375</v>
      </c>
      <c r="Q45" s="119">
        <v>1.5</v>
      </c>
      <c r="R45" s="119">
        <v>1.5</v>
      </c>
      <c r="S45" s="119">
        <v>1</v>
      </c>
      <c r="T45" s="119"/>
      <c r="U45" s="119">
        <v>1.5</v>
      </c>
      <c r="V45" s="119">
        <v>1.5</v>
      </c>
      <c r="W45" s="119">
        <v>1.375</v>
      </c>
      <c r="X45" s="119">
        <v>1.5</v>
      </c>
      <c r="Y45" s="119">
        <v>1.5</v>
      </c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20">
        <f t="shared" si="4"/>
        <v>21.25</v>
      </c>
      <c r="AO45" s="116">
        <v>160000</v>
      </c>
      <c r="AP45" s="121">
        <f t="shared" si="5"/>
        <v>3400000</v>
      </c>
    </row>
    <row r="46" spans="1:42" ht="24.9" customHeight="1">
      <c r="A46" s="122">
        <v>41</v>
      </c>
      <c r="B46" s="114" t="s">
        <v>329</v>
      </c>
      <c r="C46" s="115" t="s">
        <v>330</v>
      </c>
      <c r="D46" s="125" t="s">
        <v>331</v>
      </c>
      <c r="E46" s="115" t="s">
        <v>332</v>
      </c>
      <c r="F46" s="124" t="s">
        <v>333</v>
      </c>
      <c r="G46" s="117" t="s">
        <v>329</v>
      </c>
      <c r="H46" s="118" t="s">
        <v>334</v>
      </c>
      <c r="I46" s="119">
        <v>1.5</v>
      </c>
      <c r="J46" s="119">
        <v>1.5</v>
      </c>
      <c r="K46" s="119">
        <v>1.5</v>
      </c>
      <c r="L46" s="119">
        <v>1</v>
      </c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20">
        <f t="shared" si="4"/>
        <v>5.5</v>
      </c>
      <c r="AO46" s="116">
        <v>170000</v>
      </c>
      <c r="AP46" s="121">
        <f t="shared" si="5"/>
        <v>935000</v>
      </c>
    </row>
    <row r="47" spans="1:42" ht="24.9" customHeight="1">
      <c r="A47" s="122">
        <v>42</v>
      </c>
      <c r="B47" s="114" t="s">
        <v>335</v>
      </c>
      <c r="C47" s="115" t="s">
        <v>336</v>
      </c>
      <c r="D47" s="123" t="s">
        <v>331</v>
      </c>
      <c r="E47" s="115" t="s">
        <v>337</v>
      </c>
      <c r="F47" s="124" t="s">
        <v>338</v>
      </c>
      <c r="G47" s="117" t="s">
        <v>335</v>
      </c>
      <c r="H47" s="118" t="s">
        <v>339</v>
      </c>
      <c r="I47" s="119">
        <v>1.5</v>
      </c>
      <c r="J47" s="119">
        <v>1.5</v>
      </c>
      <c r="K47" s="119">
        <v>1.5</v>
      </c>
      <c r="L47" s="119">
        <v>1</v>
      </c>
      <c r="M47" s="119"/>
      <c r="N47" s="119">
        <v>1.5</v>
      </c>
      <c r="O47" s="119">
        <v>1.5</v>
      </c>
      <c r="P47" s="119">
        <v>1.5</v>
      </c>
      <c r="Q47" s="119">
        <v>1.5</v>
      </c>
      <c r="R47" s="119">
        <v>1.5</v>
      </c>
      <c r="S47" s="119">
        <v>1</v>
      </c>
      <c r="T47" s="119"/>
      <c r="U47" s="119">
        <v>1.5</v>
      </c>
      <c r="V47" s="119">
        <v>1.5</v>
      </c>
      <c r="W47" s="119">
        <v>1.5</v>
      </c>
      <c r="X47" s="119">
        <v>1.5</v>
      </c>
      <c r="Y47" s="119">
        <v>1.5</v>
      </c>
      <c r="Z47" s="119">
        <v>1</v>
      </c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20">
        <f t="shared" si="4"/>
        <v>22.5</v>
      </c>
      <c r="AO47" s="116">
        <v>180000</v>
      </c>
      <c r="AP47" s="121">
        <f t="shared" si="5"/>
        <v>4050000</v>
      </c>
    </row>
    <row r="48" spans="1:42" ht="24.9" customHeight="1" thickBot="1">
      <c r="A48" s="122">
        <v>43</v>
      </c>
      <c r="B48" s="114" t="s">
        <v>340</v>
      </c>
      <c r="C48" s="115" t="s">
        <v>341</v>
      </c>
      <c r="D48" s="125" t="s">
        <v>331</v>
      </c>
      <c r="E48" s="115" t="s">
        <v>342</v>
      </c>
      <c r="F48" s="124" t="s">
        <v>343</v>
      </c>
      <c r="G48" s="117" t="s">
        <v>340</v>
      </c>
      <c r="H48" s="118" t="s">
        <v>344</v>
      </c>
      <c r="I48" s="119">
        <v>1.5</v>
      </c>
      <c r="J48" s="119">
        <v>1.5</v>
      </c>
      <c r="K48" s="119">
        <v>1.5</v>
      </c>
      <c r="L48" s="119">
        <v>1</v>
      </c>
      <c r="M48" s="119"/>
      <c r="N48" s="119">
        <v>1.5</v>
      </c>
      <c r="O48" s="119">
        <v>1.5</v>
      </c>
      <c r="P48" s="119">
        <v>1.5</v>
      </c>
      <c r="Q48" s="119">
        <v>1.5</v>
      </c>
      <c r="R48" s="119">
        <v>1.5</v>
      </c>
      <c r="S48" s="119">
        <v>1</v>
      </c>
      <c r="T48" s="119"/>
      <c r="U48" s="119">
        <v>1.5</v>
      </c>
      <c r="V48" s="119">
        <v>1.5</v>
      </c>
      <c r="W48" s="119">
        <v>1.5</v>
      </c>
      <c r="X48" s="119">
        <v>1.5</v>
      </c>
      <c r="Y48" s="119">
        <v>1.5</v>
      </c>
      <c r="Z48" s="119">
        <v>1</v>
      </c>
      <c r="AA48" s="119"/>
      <c r="AB48" s="119">
        <v>1.5</v>
      </c>
      <c r="AC48" s="119">
        <v>1.5</v>
      </c>
      <c r="AD48" s="119">
        <v>1</v>
      </c>
      <c r="AE48" s="119">
        <v>1.5</v>
      </c>
      <c r="AF48" s="119">
        <v>1</v>
      </c>
      <c r="AG48" s="119"/>
      <c r="AH48" s="119"/>
      <c r="AI48" s="119">
        <v>1</v>
      </c>
      <c r="AJ48" s="119">
        <v>1</v>
      </c>
      <c r="AK48" s="119">
        <v>1</v>
      </c>
      <c r="AL48" s="119">
        <v>1</v>
      </c>
      <c r="AM48" s="119">
        <v>1</v>
      </c>
      <c r="AN48" s="120">
        <f t="shared" si="4"/>
        <v>34</v>
      </c>
      <c r="AO48" s="116">
        <v>180000</v>
      </c>
      <c r="AP48" s="121">
        <f t="shared" si="5"/>
        <v>6120000</v>
      </c>
    </row>
    <row r="49" spans="1:42" ht="30" customHeight="1" thickBot="1">
      <c r="A49" s="308" t="s">
        <v>220</v>
      </c>
      <c r="B49" s="309"/>
      <c r="C49" s="309"/>
      <c r="D49" s="309"/>
      <c r="E49" s="309"/>
      <c r="F49" s="309"/>
      <c r="G49" s="309"/>
      <c r="H49" s="310"/>
      <c r="I49" s="126">
        <f t="shared" ref="I49:AN49" si="6">SUM(I6:I48)</f>
        <v>61.375</v>
      </c>
      <c r="J49" s="127">
        <f t="shared" si="6"/>
        <v>61.375</v>
      </c>
      <c r="K49" s="127">
        <f t="shared" si="6"/>
        <v>63.25</v>
      </c>
      <c r="L49" s="127">
        <f t="shared" si="6"/>
        <v>31.5</v>
      </c>
      <c r="M49" s="127">
        <f t="shared" si="6"/>
        <v>0</v>
      </c>
      <c r="N49" s="127">
        <f t="shared" si="6"/>
        <v>44</v>
      </c>
      <c r="O49" s="127">
        <f t="shared" si="6"/>
        <v>45</v>
      </c>
      <c r="P49" s="127">
        <f t="shared" si="6"/>
        <v>43.875</v>
      </c>
      <c r="Q49" s="127">
        <f t="shared" si="6"/>
        <v>47.5</v>
      </c>
      <c r="R49" s="127">
        <f t="shared" si="6"/>
        <v>42.375</v>
      </c>
      <c r="S49" s="127">
        <f t="shared" si="6"/>
        <v>20.25</v>
      </c>
      <c r="T49" s="127">
        <f t="shared" si="6"/>
        <v>0</v>
      </c>
      <c r="U49" s="127">
        <f t="shared" si="6"/>
        <v>36</v>
      </c>
      <c r="V49" s="127">
        <f t="shared" si="6"/>
        <v>35.5</v>
      </c>
      <c r="W49" s="127">
        <f t="shared" si="6"/>
        <v>35.375</v>
      </c>
      <c r="X49" s="127">
        <f t="shared" si="6"/>
        <v>33.875</v>
      </c>
      <c r="Y49" s="127">
        <f t="shared" si="6"/>
        <v>36</v>
      </c>
      <c r="Z49" s="127">
        <f t="shared" si="6"/>
        <v>17.875</v>
      </c>
      <c r="AA49" s="127">
        <f t="shared" si="6"/>
        <v>0</v>
      </c>
      <c r="AB49" s="127">
        <f t="shared" si="6"/>
        <v>16.875</v>
      </c>
      <c r="AC49" s="127">
        <f t="shared" si="6"/>
        <v>18.875</v>
      </c>
      <c r="AD49" s="127">
        <f t="shared" si="6"/>
        <v>12.75</v>
      </c>
      <c r="AE49" s="127">
        <f t="shared" si="6"/>
        <v>19</v>
      </c>
      <c r="AF49" s="127">
        <f t="shared" si="6"/>
        <v>12.375</v>
      </c>
      <c r="AG49" s="127">
        <f t="shared" si="6"/>
        <v>0</v>
      </c>
      <c r="AH49" s="127">
        <f t="shared" si="6"/>
        <v>0</v>
      </c>
      <c r="AI49" s="127">
        <f t="shared" si="6"/>
        <v>12</v>
      </c>
      <c r="AJ49" s="127">
        <f t="shared" si="6"/>
        <v>11.875</v>
      </c>
      <c r="AK49" s="127">
        <f t="shared" si="6"/>
        <v>10.5</v>
      </c>
      <c r="AL49" s="127">
        <f t="shared" si="6"/>
        <v>7.75</v>
      </c>
      <c r="AM49" s="128">
        <f t="shared" si="6"/>
        <v>8.25</v>
      </c>
      <c r="AN49" s="129">
        <f t="shared" si="6"/>
        <v>785.375</v>
      </c>
      <c r="AO49" s="130">
        <f>AP49/AN49</f>
        <v>180650.96291580456</v>
      </c>
      <c r="AP49" s="131">
        <f>SUM(AP6:AP48)</f>
        <v>141878750</v>
      </c>
    </row>
    <row r="50" spans="1:42" ht="24.9" customHeight="1">
      <c r="A50" s="113">
        <v>1</v>
      </c>
      <c r="B50" s="114"/>
      <c r="C50" s="115"/>
      <c r="D50" s="115"/>
      <c r="E50" s="115"/>
      <c r="F50" s="116"/>
      <c r="G50" s="117"/>
      <c r="H50" s="118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20">
        <f>SUM(I50:AM50)</f>
        <v>0</v>
      </c>
      <c r="AO50" s="116"/>
      <c r="AP50" s="121">
        <f>AN50*AO50</f>
        <v>0</v>
      </c>
    </row>
    <row r="51" spans="1:42" ht="24.9" customHeight="1">
      <c r="A51" s="122">
        <v>2</v>
      </c>
      <c r="B51" s="114"/>
      <c r="C51" s="115"/>
      <c r="D51" s="123"/>
      <c r="E51" s="115"/>
      <c r="F51" s="124"/>
      <c r="G51" s="117"/>
      <c r="H51" s="118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20">
        <f t="shared" ref="AN51:AN54" si="7">SUM(I51:AM51)</f>
        <v>0</v>
      </c>
      <c r="AO51" s="116"/>
      <c r="AP51" s="121">
        <f t="shared" ref="AP51:AP54" si="8">AN51*AO51</f>
        <v>0</v>
      </c>
    </row>
    <row r="52" spans="1:42" ht="24.9" customHeight="1">
      <c r="A52" s="122">
        <v>3</v>
      </c>
      <c r="B52" s="114"/>
      <c r="C52" s="115"/>
      <c r="D52" s="125"/>
      <c r="E52" s="115"/>
      <c r="F52" s="124"/>
      <c r="G52" s="117"/>
      <c r="H52" s="118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20">
        <f t="shared" si="7"/>
        <v>0</v>
      </c>
      <c r="AO52" s="116"/>
      <c r="AP52" s="121">
        <f t="shared" si="8"/>
        <v>0</v>
      </c>
    </row>
    <row r="53" spans="1:42" ht="24.9" customHeight="1">
      <c r="A53" s="122">
        <v>4</v>
      </c>
      <c r="B53" s="114"/>
      <c r="C53" s="115"/>
      <c r="D53" s="123"/>
      <c r="E53" s="115"/>
      <c r="F53" s="124"/>
      <c r="G53" s="117"/>
      <c r="H53" s="118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20">
        <f t="shared" si="7"/>
        <v>0</v>
      </c>
      <c r="AO53" s="116"/>
      <c r="AP53" s="121">
        <f t="shared" si="8"/>
        <v>0</v>
      </c>
    </row>
    <row r="54" spans="1:42" ht="24.9" customHeight="1" thickBot="1">
      <c r="A54" s="122">
        <v>5</v>
      </c>
      <c r="B54" s="114"/>
      <c r="C54" s="115"/>
      <c r="D54" s="123"/>
      <c r="E54" s="115"/>
      <c r="F54" s="124"/>
      <c r="G54" s="117"/>
      <c r="H54" s="118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20">
        <f t="shared" si="7"/>
        <v>0</v>
      </c>
      <c r="AO54" s="116"/>
      <c r="AP54" s="121">
        <f t="shared" si="8"/>
        <v>0</v>
      </c>
    </row>
    <row r="55" spans="1:42" ht="30" customHeight="1" thickBot="1">
      <c r="A55" s="308" t="s">
        <v>235</v>
      </c>
      <c r="B55" s="309"/>
      <c r="C55" s="309"/>
      <c r="D55" s="309"/>
      <c r="E55" s="309"/>
      <c r="F55" s="309"/>
      <c r="G55" s="309"/>
      <c r="H55" s="310"/>
      <c r="I55" s="126">
        <f t="shared" ref="I55:AN55" si="9">SUM(I50:I54)</f>
        <v>0</v>
      </c>
      <c r="J55" s="127">
        <f t="shared" si="9"/>
        <v>0</v>
      </c>
      <c r="K55" s="127">
        <f t="shared" si="9"/>
        <v>0</v>
      </c>
      <c r="L55" s="127">
        <f t="shared" si="9"/>
        <v>0</v>
      </c>
      <c r="M55" s="127">
        <f t="shared" si="9"/>
        <v>0</v>
      </c>
      <c r="N55" s="127">
        <f t="shared" si="9"/>
        <v>0</v>
      </c>
      <c r="O55" s="127">
        <f t="shared" si="9"/>
        <v>0</v>
      </c>
      <c r="P55" s="127">
        <f t="shared" si="9"/>
        <v>0</v>
      </c>
      <c r="Q55" s="127">
        <f t="shared" si="9"/>
        <v>0</v>
      </c>
      <c r="R55" s="127">
        <f t="shared" si="9"/>
        <v>0</v>
      </c>
      <c r="S55" s="127">
        <f t="shared" si="9"/>
        <v>0</v>
      </c>
      <c r="T55" s="127">
        <f t="shared" si="9"/>
        <v>0</v>
      </c>
      <c r="U55" s="127">
        <f t="shared" si="9"/>
        <v>0</v>
      </c>
      <c r="V55" s="127">
        <f t="shared" si="9"/>
        <v>0</v>
      </c>
      <c r="W55" s="127">
        <f t="shared" si="9"/>
        <v>0</v>
      </c>
      <c r="X55" s="127">
        <f t="shared" si="9"/>
        <v>0</v>
      </c>
      <c r="Y55" s="127">
        <f t="shared" si="9"/>
        <v>0</v>
      </c>
      <c r="Z55" s="127">
        <f t="shared" si="9"/>
        <v>0</v>
      </c>
      <c r="AA55" s="127">
        <f t="shared" si="9"/>
        <v>0</v>
      </c>
      <c r="AB55" s="127">
        <f t="shared" si="9"/>
        <v>0</v>
      </c>
      <c r="AC55" s="127">
        <f t="shared" si="9"/>
        <v>0</v>
      </c>
      <c r="AD55" s="127">
        <f t="shared" si="9"/>
        <v>0</v>
      </c>
      <c r="AE55" s="127">
        <f t="shared" si="9"/>
        <v>0</v>
      </c>
      <c r="AF55" s="127">
        <f t="shared" si="9"/>
        <v>0</v>
      </c>
      <c r="AG55" s="127">
        <f t="shared" si="9"/>
        <v>0</v>
      </c>
      <c r="AH55" s="127">
        <f t="shared" si="9"/>
        <v>0</v>
      </c>
      <c r="AI55" s="127">
        <f t="shared" si="9"/>
        <v>0</v>
      </c>
      <c r="AJ55" s="127">
        <f t="shared" si="9"/>
        <v>0</v>
      </c>
      <c r="AK55" s="127">
        <f t="shared" si="9"/>
        <v>0</v>
      </c>
      <c r="AL55" s="127">
        <f t="shared" si="9"/>
        <v>0</v>
      </c>
      <c r="AM55" s="128">
        <f t="shared" si="9"/>
        <v>0</v>
      </c>
      <c r="AN55" s="129">
        <f t="shared" si="9"/>
        <v>0</v>
      </c>
      <c r="AO55" s="130"/>
      <c r="AP55" s="131">
        <f>SUM(AP50:AP54)</f>
        <v>0</v>
      </c>
    </row>
    <row r="56" spans="1:42" ht="35.1" customHeight="1" thickBot="1">
      <c r="A56" s="311" t="s">
        <v>236</v>
      </c>
      <c r="B56" s="312"/>
      <c r="C56" s="312"/>
      <c r="D56" s="312"/>
      <c r="E56" s="312"/>
      <c r="F56" s="312"/>
      <c r="G56" s="312"/>
      <c r="H56" s="313"/>
      <c r="I56" s="132">
        <f t="shared" ref="I56:AN56" si="10">I49+I55</f>
        <v>61.375</v>
      </c>
      <c r="J56" s="133">
        <f t="shared" si="10"/>
        <v>61.375</v>
      </c>
      <c r="K56" s="133">
        <f t="shared" si="10"/>
        <v>63.25</v>
      </c>
      <c r="L56" s="133">
        <f t="shared" si="10"/>
        <v>31.5</v>
      </c>
      <c r="M56" s="133">
        <f t="shared" si="10"/>
        <v>0</v>
      </c>
      <c r="N56" s="133">
        <f t="shared" si="10"/>
        <v>44</v>
      </c>
      <c r="O56" s="133">
        <f t="shared" si="10"/>
        <v>45</v>
      </c>
      <c r="P56" s="133">
        <f t="shared" si="10"/>
        <v>43.875</v>
      </c>
      <c r="Q56" s="133">
        <f t="shared" si="10"/>
        <v>47.5</v>
      </c>
      <c r="R56" s="133">
        <f t="shared" si="10"/>
        <v>42.375</v>
      </c>
      <c r="S56" s="133">
        <f t="shared" si="10"/>
        <v>20.25</v>
      </c>
      <c r="T56" s="133">
        <f t="shared" si="10"/>
        <v>0</v>
      </c>
      <c r="U56" s="133">
        <f t="shared" si="10"/>
        <v>36</v>
      </c>
      <c r="V56" s="133">
        <f t="shared" si="10"/>
        <v>35.5</v>
      </c>
      <c r="W56" s="133">
        <f t="shared" si="10"/>
        <v>35.375</v>
      </c>
      <c r="X56" s="133">
        <f t="shared" si="10"/>
        <v>33.875</v>
      </c>
      <c r="Y56" s="133">
        <f t="shared" si="10"/>
        <v>36</v>
      </c>
      <c r="Z56" s="133">
        <f t="shared" si="10"/>
        <v>17.875</v>
      </c>
      <c r="AA56" s="133">
        <f t="shared" si="10"/>
        <v>0</v>
      </c>
      <c r="AB56" s="133">
        <f t="shared" si="10"/>
        <v>16.875</v>
      </c>
      <c r="AC56" s="133">
        <f t="shared" si="10"/>
        <v>18.875</v>
      </c>
      <c r="AD56" s="133">
        <f t="shared" si="10"/>
        <v>12.75</v>
      </c>
      <c r="AE56" s="133">
        <f t="shared" si="10"/>
        <v>19</v>
      </c>
      <c r="AF56" s="133">
        <f t="shared" si="10"/>
        <v>12.375</v>
      </c>
      <c r="AG56" s="133">
        <f t="shared" si="10"/>
        <v>0</v>
      </c>
      <c r="AH56" s="133">
        <f t="shared" si="10"/>
        <v>0</v>
      </c>
      <c r="AI56" s="133">
        <f t="shared" si="10"/>
        <v>12</v>
      </c>
      <c r="AJ56" s="133">
        <f t="shared" si="10"/>
        <v>11.875</v>
      </c>
      <c r="AK56" s="133">
        <f t="shared" si="10"/>
        <v>10.5</v>
      </c>
      <c r="AL56" s="133">
        <f t="shared" si="10"/>
        <v>7.75</v>
      </c>
      <c r="AM56" s="133">
        <f t="shared" si="10"/>
        <v>8.25</v>
      </c>
      <c r="AN56" s="134">
        <f t="shared" si="10"/>
        <v>785.375</v>
      </c>
      <c r="AO56" s="135">
        <f>AP56/AN56</f>
        <v>180650.96291580456</v>
      </c>
      <c r="AP56" s="136">
        <f>AP49+AP55</f>
        <v>141878750</v>
      </c>
    </row>
    <row r="57" spans="1:42">
      <c r="G57" s="100"/>
      <c r="H57" s="100"/>
      <c r="AG57" s="137"/>
      <c r="AI57" s="138"/>
      <c r="AO57" s="100"/>
    </row>
    <row r="58" spans="1:42">
      <c r="G58" s="100"/>
      <c r="H58" s="100"/>
      <c r="AG58" s="137"/>
      <c r="AI58" s="138"/>
      <c r="AO58" s="100"/>
    </row>
    <row r="59" spans="1:42">
      <c r="G59" s="100"/>
      <c r="H59" s="100"/>
      <c r="AG59" s="137"/>
      <c r="AI59" s="138"/>
      <c r="AO59" s="100"/>
    </row>
    <row r="60" spans="1:42">
      <c r="G60" s="100"/>
      <c r="H60" s="100"/>
      <c r="AG60" s="137"/>
      <c r="AI60" s="138"/>
      <c r="AO60" s="100"/>
    </row>
    <row r="61" spans="1:42">
      <c r="G61" s="100"/>
      <c r="H61" s="100"/>
      <c r="AI61" s="137"/>
      <c r="AM61" s="138"/>
      <c r="AO61" s="100"/>
    </row>
    <row r="62" spans="1:42">
      <c r="G62" s="100"/>
      <c r="H62" s="100"/>
      <c r="AI62" s="137"/>
      <c r="AJ62" s="137"/>
      <c r="AM62" s="138"/>
      <c r="AO62" s="100"/>
    </row>
    <row r="63" spans="1:42">
      <c r="G63" s="100"/>
      <c r="H63" s="100"/>
      <c r="AJ63" s="137"/>
      <c r="AK63" s="137"/>
      <c r="AL63" s="137"/>
      <c r="AO63" s="100"/>
    </row>
    <row r="64" spans="1:42">
      <c r="G64" s="100"/>
      <c r="H64" s="100"/>
      <c r="AJ64" s="137"/>
      <c r="AK64" s="137"/>
      <c r="AL64" s="137"/>
      <c r="AO64" s="100"/>
    </row>
    <row r="65" spans="3:41">
      <c r="G65" s="100"/>
      <c r="H65" s="100"/>
      <c r="AJ65" s="137"/>
      <c r="AK65" s="137"/>
      <c r="AL65" s="137"/>
      <c r="AO65" s="100"/>
    </row>
    <row r="66" spans="3:41">
      <c r="G66" s="100"/>
      <c r="H66" s="100"/>
      <c r="AK66" s="137"/>
      <c r="AL66" s="137"/>
      <c r="AO66" s="100"/>
    </row>
    <row r="67" spans="3:41">
      <c r="C67" s="101"/>
      <c r="D67" s="101"/>
      <c r="E67" s="101"/>
      <c r="G67" s="100"/>
      <c r="H67" s="100"/>
      <c r="AN67" s="138"/>
      <c r="AO67" s="100"/>
    </row>
    <row r="68" spans="3:41">
      <c r="C68" s="101"/>
      <c r="D68" s="101"/>
      <c r="E68" s="101"/>
      <c r="G68" s="100"/>
      <c r="H68" s="100"/>
      <c r="AN68" s="138"/>
      <c r="AO68" s="100"/>
    </row>
    <row r="69" spans="3:41">
      <c r="C69" s="101"/>
      <c r="D69" s="101"/>
      <c r="E69" s="101"/>
      <c r="G69" s="100"/>
      <c r="H69" s="100"/>
      <c r="AN69" s="138"/>
      <c r="AO69" s="100"/>
    </row>
    <row r="70" spans="3:41">
      <c r="C70" s="101"/>
      <c r="D70" s="101"/>
      <c r="E70" s="101"/>
      <c r="G70" s="100"/>
      <c r="H70" s="100"/>
      <c r="AN70" s="138"/>
      <c r="AO70" s="100"/>
    </row>
    <row r="71" spans="3:41">
      <c r="C71" s="101"/>
      <c r="D71" s="101"/>
      <c r="E71" s="101"/>
      <c r="G71" s="100"/>
      <c r="H71" s="100"/>
      <c r="AN71" s="138"/>
      <c r="AO71" s="100"/>
    </row>
    <row r="72" spans="3:41">
      <c r="E72" s="101"/>
      <c r="F72" s="101"/>
      <c r="G72" s="100"/>
      <c r="H72" s="100"/>
      <c r="AO72" s="138"/>
    </row>
    <row r="73" spans="3:41">
      <c r="E73" s="101"/>
      <c r="F73" s="101"/>
      <c r="G73" s="100"/>
      <c r="H73" s="100"/>
      <c r="AO73" s="138"/>
    </row>
    <row r="74" spans="3:41">
      <c r="E74" s="101"/>
      <c r="F74" s="101"/>
      <c r="G74" s="100"/>
      <c r="H74" s="100"/>
      <c r="AO74" s="138"/>
    </row>
    <row r="75" spans="3:41">
      <c r="E75" s="101"/>
      <c r="F75" s="101"/>
      <c r="G75" s="100"/>
      <c r="H75" s="100"/>
      <c r="AO75" s="138"/>
    </row>
    <row r="76" spans="3:41">
      <c r="E76" s="101"/>
      <c r="F76" s="101"/>
      <c r="G76" s="100"/>
      <c r="H76" s="100"/>
      <c r="AO76" s="138"/>
    </row>
    <row r="77" spans="3:41">
      <c r="E77" s="101"/>
      <c r="F77" s="101"/>
      <c r="G77" s="100"/>
      <c r="H77" s="100"/>
      <c r="AO77" s="138"/>
    </row>
    <row r="78" spans="3:41">
      <c r="E78" s="101"/>
      <c r="F78" s="101"/>
      <c r="G78" s="100"/>
      <c r="H78" s="100"/>
      <c r="AO78" s="138"/>
    </row>
    <row r="79" spans="3:41">
      <c r="E79" s="101"/>
      <c r="F79" s="101"/>
      <c r="G79" s="100"/>
      <c r="H79" s="100"/>
      <c r="AO79" s="138"/>
    </row>
    <row r="80" spans="3:41">
      <c r="E80" s="101"/>
      <c r="F80" s="101"/>
      <c r="G80" s="100"/>
      <c r="H80" s="100"/>
      <c r="AO80" s="138"/>
    </row>
    <row r="81" spans="5:42">
      <c r="E81" s="101"/>
      <c r="F81" s="101"/>
      <c r="G81" s="100"/>
      <c r="H81" s="100"/>
      <c r="AO81" s="138"/>
    </row>
    <row r="82" spans="5:42">
      <c r="E82" s="101"/>
      <c r="F82" s="101"/>
      <c r="G82" s="100"/>
      <c r="H82" s="100"/>
      <c r="AO82" s="138"/>
    </row>
    <row r="83" spans="5:42">
      <c r="E83" s="101"/>
      <c r="F83" s="101"/>
      <c r="G83" s="100"/>
      <c r="H83" s="100"/>
      <c r="AO83" s="138"/>
    </row>
    <row r="84" spans="5:42">
      <c r="E84" s="101"/>
      <c r="F84" s="101"/>
      <c r="G84" s="100"/>
      <c r="H84" s="100"/>
      <c r="AO84" s="138"/>
    </row>
    <row r="85" spans="5:42">
      <c r="E85" s="101"/>
      <c r="F85" s="101"/>
      <c r="G85" s="100"/>
      <c r="H85" s="100"/>
      <c r="AO85" s="138"/>
    </row>
    <row r="86" spans="5:42">
      <c r="E86" s="101"/>
      <c r="F86" s="101"/>
      <c r="G86" s="100"/>
      <c r="H86" s="100"/>
      <c r="AO86" s="138"/>
    </row>
    <row r="87" spans="5:42">
      <c r="E87" s="101"/>
      <c r="F87" s="101"/>
      <c r="G87" s="100"/>
      <c r="H87" s="100"/>
      <c r="AO87" s="138"/>
    </row>
    <row r="88" spans="5:42">
      <c r="E88" s="101"/>
      <c r="F88" s="101"/>
      <c r="G88" s="100"/>
      <c r="H88" s="100"/>
      <c r="AO88" s="138"/>
    </row>
    <row r="89" spans="5:42">
      <c r="E89" s="101"/>
      <c r="F89" s="101"/>
      <c r="G89" s="100"/>
      <c r="H89" s="100"/>
      <c r="AO89" s="138"/>
    </row>
    <row r="90" spans="5:42">
      <c r="E90" s="101"/>
      <c r="F90" s="101"/>
      <c r="G90" s="100"/>
      <c r="H90" s="100"/>
      <c r="AO90" s="138"/>
    </row>
    <row r="91" spans="5:42">
      <c r="E91" s="101"/>
      <c r="F91" s="101"/>
      <c r="G91" s="100"/>
      <c r="H91" s="100"/>
      <c r="AO91" s="138"/>
    </row>
    <row r="92" spans="5:42">
      <c r="E92" s="101"/>
      <c r="F92" s="101"/>
      <c r="G92" s="100"/>
      <c r="H92" s="100"/>
      <c r="AO92" s="138"/>
    </row>
    <row r="93" spans="5:42">
      <c r="E93" s="101"/>
      <c r="F93" s="101"/>
      <c r="G93" s="100"/>
      <c r="H93" s="100"/>
      <c r="AO93" s="138"/>
    </row>
    <row r="94" spans="5:42">
      <c r="E94" s="101"/>
      <c r="F94" s="101"/>
      <c r="G94" s="100"/>
      <c r="H94" s="100"/>
      <c r="AO94" s="138"/>
    </row>
    <row r="95" spans="5:42">
      <c r="E95" s="101"/>
      <c r="F95" s="101"/>
      <c r="G95" s="100"/>
      <c r="H95" s="100"/>
      <c r="AO95" s="138"/>
    </row>
    <row r="96" spans="5:42">
      <c r="F96" s="101"/>
      <c r="H96" s="100"/>
      <c r="AN96" s="137"/>
      <c r="AO96" s="100"/>
      <c r="AP96" s="140"/>
    </row>
    <row r="97" spans="6:42">
      <c r="F97" s="101"/>
      <c r="H97" s="100"/>
      <c r="AN97" s="137"/>
      <c r="AO97" s="100"/>
      <c r="AP97" s="140"/>
    </row>
    <row r="98" spans="6:42">
      <c r="F98" s="101"/>
      <c r="H98" s="100"/>
      <c r="AN98" s="137"/>
      <c r="AO98" s="100"/>
      <c r="AP98" s="140"/>
    </row>
    <row r="99" spans="6:42">
      <c r="F99" s="101"/>
      <c r="H99" s="100"/>
      <c r="AN99" s="137"/>
      <c r="AO99" s="100"/>
      <c r="AP99" s="140"/>
    </row>
    <row r="100" spans="6:42">
      <c r="F100" s="101"/>
      <c r="H100" s="100"/>
      <c r="AN100" s="137"/>
      <c r="AO100" s="100"/>
      <c r="AP100" s="140"/>
    </row>
    <row r="101" spans="6:42">
      <c r="F101" s="101"/>
      <c r="H101" s="100"/>
      <c r="AN101" s="137"/>
      <c r="AO101" s="100"/>
      <c r="AP101" s="140"/>
    </row>
    <row r="102" spans="6:42">
      <c r="F102" s="101"/>
      <c r="H102" s="100"/>
      <c r="AN102" s="137"/>
      <c r="AO102" s="100"/>
      <c r="AP102" s="140"/>
    </row>
    <row r="103" spans="6:42">
      <c r="F103" s="101"/>
      <c r="H103" s="100"/>
      <c r="AN103" s="137"/>
      <c r="AO103" s="100"/>
      <c r="AP103" s="140"/>
    </row>
    <row r="104" spans="6:42">
      <c r="F104" s="101"/>
      <c r="H104" s="100"/>
      <c r="AN104" s="137"/>
      <c r="AO104" s="100"/>
      <c r="AP104" s="140"/>
    </row>
    <row r="105" spans="6:42">
      <c r="F105" s="101"/>
      <c r="H105" s="100"/>
      <c r="AN105" s="137"/>
      <c r="AO105" s="100"/>
      <c r="AP105" s="140"/>
    </row>
    <row r="106" spans="6:42">
      <c r="F106" s="101"/>
      <c r="H106" s="100"/>
      <c r="AN106" s="137"/>
      <c r="AO106" s="100"/>
      <c r="AP106" s="140"/>
    </row>
    <row r="107" spans="6:42">
      <c r="F107" s="101"/>
      <c r="H107" s="100"/>
      <c r="AN107" s="137"/>
      <c r="AO107" s="100"/>
      <c r="AP107" s="140"/>
    </row>
    <row r="108" spans="6:42">
      <c r="F108" s="101"/>
      <c r="H108" s="100"/>
      <c r="AN108" s="137"/>
      <c r="AO108" s="100"/>
      <c r="AP108" s="140"/>
    </row>
    <row r="109" spans="6:42">
      <c r="F109" s="101"/>
      <c r="H109" s="100"/>
      <c r="AN109" s="137"/>
      <c r="AO109" s="100"/>
      <c r="AP109" s="140"/>
    </row>
    <row r="110" spans="6:42">
      <c r="F110" s="101"/>
      <c r="H110" s="100"/>
      <c r="AN110" s="137"/>
      <c r="AO110" s="100"/>
      <c r="AP110" s="140"/>
    </row>
    <row r="111" spans="6:42">
      <c r="F111" s="101"/>
      <c r="H111" s="100"/>
      <c r="AN111" s="137"/>
      <c r="AO111" s="100"/>
      <c r="AP111" s="140"/>
    </row>
    <row r="112" spans="6:42">
      <c r="F112" s="101"/>
      <c r="H112" s="100"/>
      <c r="AN112" s="137"/>
      <c r="AO112" s="100"/>
      <c r="AP112" s="140"/>
    </row>
    <row r="113" spans="6:42">
      <c r="F113" s="101"/>
      <c r="H113" s="100"/>
      <c r="AN113" s="137"/>
      <c r="AO113" s="100"/>
      <c r="AP113" s="140"/>
    </row>
    <row r="114" spans="6:42">
      <c r="F114" s="101"/>
      <c r="H114" s="100"/>
      <c r="AN114" s="137"/>
      <c r="AO114" s="100"/>
      <c r="AP114" s="140"/>
    </row>
    <row r="115" spans="6:42">
      <c r="F115" s="101"/>
      <c r="H115" s="100"/>
      <c r="AN115" s="137"/>
      <c r="AO115" s="100"/>
      <c r="AP115" s="140"/>
    </row>
    <row r="116" spans="6:42">
      <c r="F116" s="101"/>
      <c r="H116" s="100"/>
      <c r="AN116" s="137"/>
      <c r="AO116" s="100"/>
      <c r="AP116" s="140"/>
    </row>
    <row r="117" spans="6:42">
      <c r="F117" s="101"/>
      <c r="H117" s="100"/>
      <c r="AN117" s="137"/>
      <c r="AO117" s="100"/>
      <c r="AP117" s="140"/>
    </row>
    <row r="118" spans="6:42">
      <c r="F118" s="101"/>
      <c r="H118" s="100"/>
      <c r="AN118" s="137"/>
      <c r="AO118" s="100"/>
      <c r="AP118" s="140"/>
    </row>
    <row r="119" spans="6:42">
      <c r="F119" s="101"/>
      <c r="H119" s="100"/>
      <c r="AN119" s="137"/>
      <c r="AO119" s="100"/>
      <c r="AP119" s="140"/>
    </row>
    <row r="120" spans="6:42">
      <c r="F120" s="101"/>
      <c r="H120" s="100"/>
      <c r="AN120" s="137"/>
      <c r="AO120" s="100"/>
      <c r="AP120" s="140"/>
    </row>
    <row r="121" spans="6:42">
      <c r="F121" s="101"/>
      <c r="H121" s="100"/>
      <c r="AN121" s="137"/>
      <c r="AO121" s="100"/>
      <c r="AP121" s="140"/>
    </row>
    <row r="122" spans="6:42">
      <c r="F122" s="101"/>
      <c r="H122" s="100"/>
      <c r="AN122" s="137"/>
      <c r="AO122" s="100"/>
      <c r="AP122" s="140"/>
    </row>
    <row r="123" spans="6:42">
      <c r="F123" s="101"/>
      <c r="H123" s="100"/>
      <c r="AN123" s="137"/>
      <c r="AO123" s="100"/>
      <c r="AP123" s="140"/>
    </row>
    <row r="124" spans="6:42">
      <c r="F124" s="101"/>
      <c r="H124" s="100"/>
      <c r="AN124" s="137"/>
      <c r="AO124" s="100"/>
      <c r="AP124" s="140"/>
    </row>
    <row r="125" spans="6:42">
      <c r="F125" s="101"/>
      <c r="H125" s="100"/>
      <c r="AN125" s="137"/>
      <c r="AO125" s="100"/>
      <c r="AP125" s="140"/>
    </row>
    <row r="126" spans="6:42">
      <c r="F126" s="101"/>
      <c r="H126" s="100"/>
      <c r="AN126" s="137"/>
      <c r="AO126" s="100"/>
      <c r="AP126" s="140"/>
    </row>
    <row r="127" spans="6:42">
      <c r="F127" s="101"/>
      <c r="H127" s="100"/>
      <c r="AN127" s="137"/>
      <c r="AO127" s="100"/>
      <c r="AP127" s="140"/>
    </row>
    <row r="128" spans="6:42">
      <c r="F128" s="101"/>
      <c r="H128" s="100"/>
      <c r="AN128" s="137"/>
      <c r="AO128" s="100"/>
      <c r="AP128" s="140"/>
    </row>
    <row r="129" spans="6:42">
      <c r="F129" s="101"/>
      <c r="H129" s="100"/>
      <c r="AN129" s="137"/>
      <c r="AO129" s="100"/>
      <c r="AP129" s="140"/>
    </row>
    <row r="130" spans="6:42">
      <c r="F130" s="101"/>
      <c r="H130" s="100"/>
      <c r="AN130" s="137"/>
      <c r="AO130" s="100"/>
      <c r="AP130" s="140"/>
    </row>
    <row r="131" spans="6:42">
      <c r="F131" s="101"/>
      <c r="H131" s="100"/>
      <c r="AN131" s="137"/>
      <c r="AO131" s="100"/>
      <c r="AP131" s="140"/>
    </row>
    <row r="132" spans="6:42">
      <c r="F132" s="101"/>
      <c r="H132" s="100"/>
      <c r="AN132" s="137"/>
      <c r="AO132" s="100"/>
      <c r="AP132" s="140"/>
    </row>
    <row r="133" spans="6:42">
      <c r="F133" s="101"/>
      <c r="H133" s="100"/>
      <c r="AN133" s="137"/>
      <c r="AO133" s="100"/>
      <c r="AP133" s="140"/>
    </row>
    <row r="134" spans="6:42">
      <c r="F134" s="101"/>
      <c r="H134" s="100"/>
      <c r="AN134" s="137"/>
      <c r="AO134" s="100"/>
      <c r="AP134" s="140"/>
    </row>
    <row r="135" spans="6:42">
      <c r="F135" s="101"/>
      <c r="H135" s="100"/>
      <c r="AN135" s="137"/>
      <c r="AO135" s="100"/>
      <c r="AP135" s="140"/>
    </row>
    <row r="136" spans="6:42">
      <c r="F136" s="101"/>
      <c r="H136" s="100"/>
      <c r="AN136" s="137"/>
      <c r="AO136" s="100"/>
      <c r="AP136" s="140"/>
    </row>
    <row r="137" spans="6:42">
      <c r="F137" s="101"/>
      <c r="H137" s="100"/>
      <c r="AN137" s="137"/>
      <c r="AO137" s="100"/>
      <c r="AP137" s="140"/>
    </row>
  </sheetData>
  <mergeCells count="10">
    <mergeCell ref="A49:H49"/>
    <mergeCell ref="A55:H55"/>
    <mergeCell ref="A56:H56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B6:B48">
    <cfRule type="duplicateValues" dxfId="56" priority="335"/>
  </conditionalFormatting>
  <conditionalFormatting sqref="B50:B54">
    <cfRule type="duplicateValues" dxfId="55" priority="105"/>
  </conditionalFormatting>
  <conditionalFormatting sqref="B57:B1048576 B1:B5">
    <cfRule type="duplicateValues" dxfId="54" priority="33"/>
  </conditionalFormatting>
  <conditionalFormatting sqref="B6:C48">
    <cfRule type="duplicateValues" dxfId="53" priority="337"/>
  </conditionalFormatting>
  <conditionalFormatting sqref="B50:C54">
    <cfRule type="duplicateValues" dxfId="52" priority="107"/>
  </conditionalFormatting>
  <conditionalFormatting sqref="B57:C1048576 B1:C5">
    <cfRule type="duplicateValues" dxfId="51" priority="57"/>
  </conditionalFormatting>
  <conditionalFormatting sqref="C5">
    <cfRule type="duplicateValues" dxfId="50" priority="50"/>
    <cfRule type="duplicateValues" dxfId="49" priority="51"/>
    <cfRule type="duplicateValues" dxfId="48" priority="52"/>
  </conditionalFormatting>
  <conditionalFormatting sqref="C6:C48 E6:E48">
    <cfRule type="duplicateValues" dxfId="47" priority="339"/>
  </conditionalFormatting>
  <conditionalFormatting sqref="C6:C48">
    <cfRule type="duplicateValues" dxfId="46" priority="341"/>
    <cfRule type="duplicateValues" dxfId="45" priority="342"/>
    <cfRule type="duplicateValues" dxfId="44" priority="343"/>
  </conditionalFormatting>
  <conditionalFormatting sqref="C50:C54 E50:E54">
    <cfRule type="duplicateValues" dxfId="43" priority="109"/>
  </conditionalFormatting>
  <conditionalFormatting sqref="C50:C54">
    <cfRule type="duplicateValues" dxfId="42" priority="111"/>
    <cfRule type="duplicateValues" dxfId="41" priority="112"/>
    <cfRule type="duplicateValues" dxfId="40" priority="113"/>
  </conditionalFormatting>
  <conditionalFormatting sqref="C57:C1048576 C1:C5">
    <cfRule type="duplicateValues" dxfId="39" priority="34"/>
  </conditionalFormatting>
  <conditionalFormatting sqref="C57:C1048576 C4">
    <cfRule type="duplicateValues" dxfId="38" priority="49"/>
  </conditionalFormatting>
  <conditionalFormatting sqref="C57:C1048576 C4:C5">
    <cfRule type="duplicateValues" dxfId="37" priority="39"/>
    <cfRule type="duplicateValues" dxfId="36" priority="42"/>
    <cfRule type="duplicateValues" dxfId="35" priority="47"/>
  </conditionalFormatting>
  <conditionalFormatting sqref="C57:C1048576">
    <cfRule type="duplicateValues" dxfId="34" priority="43"/>
  </conditionalFormatting>
  <conditionalFormatting sqref="E5">
    <cfRule type="duplicateValues" dxfId="33" priority="53"/>
    <cfRule type="duplicateValues" dxfId="32" priority="54"/>
  </conditionalFormatting>
  <conditionalFormatting sqref="E6:E48">
    <cfRule type="duplicateValues" dxfId="31" priority="350"/>
    <cfRule type="duplicateValues" dxfId="30" priority="351"/>
    <cfRule type="duplicateValues" dxfId="29" priority="352"/>
  </conditionalFormatting>
  <conditionalFormatting sqref="E50:E54">
    <cfRule type="duplicateValues" dxfId="28" priority="119"/>
    <cfRule type="duplicateValues" dxfId="27" priority="120"/>
    <cfRule type="duplicateValues" dxfId="26" priority="121"/>
  </conditionalFormatting>
  <conditionalFormatting sqref="E57:E1048576 C4:C5 E4:E5 C57:C1048576">
    <cfRule type="duplicateValues" dxfId="25" priority="44"/>
  </conditionalFormatting>
  <conditionalFormatting sqref="E57:E1048576 E1:E5">
    <cfRule type="duplicateValues" dxfId="24" priority="36"/>
  </conditionalFormatting>
  <conditionalFormatting sqref="E57:E1048576 E4:E5">
    <cfRule type="duplicateValues" dxfId="23" priority="38"/>
    <cfRule type="duplicateValues" dxfId="22" priority="41"/>
    <cfRule type="duplicateValues" dxfId="21" priority="46"/>
  </conditionalFormatting>
  <conditionalFormatting sqref="G6:H48">
    <cfRule type="duplicateValues" dxfId="20" priority="360"/>
  </conditionalFormatting>
  <conditionalFormatting sqref="G50:H54">
    <cfRule type="duplicateValues" dxfId="19" priority="129"/>
  </conditionalFormatting>
  <conditionalFormatting sqref="G57:H1048576 G1:H5">
    <cfRule type="duplicateValues" dxfId="18" priority="35"/>
  </conditionalFormatting>
  <conditionalFormatting sqref="H5">
    <cfRule type="duplicateValues" dxfId="17" priority="55"/>
    <cfRule type="duplicateValues" dxfId="16" priority="56"/>
  </conditionalFormatting>
  <conditionalFormatting sqref="H6:H48">
    <cfRule type="duplicateValues" dxfId="15" priority="362"/>
    <cfRule type="duplicateValues" dxfId="14" priority="363"/>
    <cfRule type="duplicateValues" dxfId="13" priority="364"/>
    <cfRule type="duplicateValues" dxfId="12" priority="365"/>
    <cfRule type="duplicateValues" dxfId="11" priority="366"/>
    <cfRule type="duplicateValues" dxfId="10" priority="367"/>
  </conditionalFormatting>
  <conditionalFormatting sqref="H50:H54">
    <cfRule type="duplicateValues" dxfId="9" priority="131"/>
    <cfRule type="duplicateValues" dxfId="8" priority="132"/>
    <cfRule type="duplicateValues" dxfId="7" priority="133"/>
    <cfRule type="duplicateValues" dxfId="6" priority="134"/>
    <cfRule type="duplicateValues" dxfId="5" priority="135"/>
    <cfRule type="duplicateValues" dxfId="4" priority="136"/>
  </conditionalFormatting>
  <conditionalFormatting sqref="H57:H1048576 H4">
    <cfRule type="duplicateValues" dxfId="3" priority="48"/>
  </conditionalFormatting>
  <conditionalFormatting sqref="H57:H1048576 H4:H5">
    <cfRule type="duplicateValues" dxfId="2" priority="37"/>
    <cfRule type="duplicateValues" dxfId="1" priority="40"/>
    <cfRule type="duplicateValues" dxfId="0" priority="45"/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33" fitToHeight="0" orientation="landscape" r:id="rId1"/>
  <headerFooter>
    <oddFooter>&amp;C&amp;P/&amp;N</oddFooter>
  </headerFooter>
  <rowBreaks count="1" manualBreakCount="1">
    <brk id="49" max="16383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Q56"/>
  <sheetViews>
    <sheetView view="pageBreakPreview" zoomScale="85" zoomScaleNormal="70" zoomScaleSheetLayoutView="85" workbookViewId="0">
      <pane ySplit="5" topLeftCell="A35" activePane="bottomLeft" state="frozen"/>
      <selection activeCell="A16" sqref="A16"/>
      <selection pane="bottomLeft" activeCell="K32" activeCellId="1" sqref="P34 K32"/>
    </sheetView>
  </sheetViews>
  <sheetFormatPr defaultRowHeight="17.399999999999999"/>
  <cols>
    <col min="1" max="1" width="2.59765625" customWidth="1"/>
    <col min="2" max="2" width="25.59765625" customWidth="1"/>
    <col min="3" max="3" width="20.59765625" customWidth="1"/>
    <col min="4" max="5" width="8.59765625" customWidth="1"/>
    <col min="6" max="7" width="15.59765625" customWidth="1"/>
    <col min="8" max="8" width="20.59765625" customWidth="1"/>
    <col min="9" max="9" width="15.59765625" customWidth="1"/>
    <col min="10" max="10" width="20.59765625" customWidth="1"/>
    <col min="11" max="11" width="15.59765625" customWidth="1"/>
    <col min="12" max="12" width="20.59765625" customWidth="1"/>
    <col min="13" max="13" width="15.59765625" customWidth="1"/>
    <col min="14" max="14" width="20.59765625" customWidth="1"/>
    <col min="15" max="15" width="2.59765625" customWidth="1"/>
    <col min="16" max="16" width="12.3984375" bestFit="1" customWidth="1"/>
  </cols>
  <sheetData>
    <row r="2" spans="2:17" ht="37.799999999999997">
      <c r="B2" s="326" t="s">
        <v>513</v>
      </c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</row>
    <row r="3" spans="2:17" ht="19.2">
      <c r="B3" s="92" t="str">
        <f>'용역청구서 표지'!$B$7</f>
        <v>P4 Ph4 GAS 1공구 마감공사</v>
      </c>
      <c r="N3" s="42" t="s">
        <v>167</v>
      </c>
    </row>
    <row r="4" spans="2:17" ht="27.9" customHeight="1">
      <c r="B4" s="327" t="s">
        <v>168</v>
      </c>
      <c r="C4" s="327" t="s">
        <v>169</v>
      </c>
      <c r="D4" s="327" t="s">
        <v>170</v>
      </c>
      <c r="E4" s="328" t="s">
        <v>171</v>
      </c>
      <c r="F4" s="327" t="s">
        <v>172</v>
      </c>
      <c r="G4" s="327" t="s">
        <v>173</v>
      </c>
      <c r="H4" s="327"/>
      <c r="I4" s="327" t="s">
        <v>174</v>
      </c>
      <c r="J4" s="327"/>
      <c r="K4" s="327" t="s">
        <v>175</v>
      </c>
      <c r="L4" s="327"/>
      <c r="M4" s="327" t="s">
        <v>176</v>
      </c>
      <c r="N4" s="327"/>
    </row>
    <row r="5" spans="2:17" ht="27.9" customHeight="1">
      <c r="B5" s="327"/>
      <c r="C5" s="327"/>
      <c r="D5" s="327"/>
      <c r="E5" s="328"/>
      <c r="F5" s="327"/>
      <c r="G5" s="93" t="s">
        <v>177</v>
      </c>
      <c r="H5" s="93" t="s">
        <v>178</v>
      </c>
      <c r="I5" s="93" t="s">
        <v>177</v>
      </c>
      <c r="J5" s="93" t="s">
        <v>178</v>
      </c>
      <c r="K5" s="93" t="s">
        <v>177</v>
      </c>
      <c r="L5" s="93" t="s">
        <v>179</v>
      </c>
      <c r="M5" s="93" t="s">
        <v>177</v>
      </c>
      <c r="N5" s="93" t="s">
        <v>179</v>
      </c>
    </row>
    <row r="6" spans="2:17" ht="27.9" hidden="1" customHeight="1">
      <c r="B6" s="94" t="s">
        <v>180</v>
      </c>
      <c r="C6" s="38" t="s">
        <v>181</v>
      </c>
      <c r="D6" s="38" t="s">
        <v>182</v>
      </c>
      <c r="E6" s="95">
        <v>0</v>
      </c>
      <c r="F6" s="96">
        <v>437000</v>
      </c>
      <c r="G6" s="99">
        <f>M6</f>
        <v>0</v>
      </c>
      <c r="H6" s="97">
        <f>N6</f>
        <v>0</v>
      </c>
      <c r="I6" s="99">
        <v>0</v>
      </c>
      <c r="J6" s="94">
        <v>0</v>
      </c>
      <c r="K6" s="99">
        <f>$E6*'DIA-INCH'!$C5</f>
        <v>0</v>
      </c>
      <c r="L6" s="97">
        <f>$F6*$K6</f>
        <v>0</v>
      </c>
      <c r="M6" s="99">
        <f>I6+K6</f>
        <v>0</v>
      </c>
      <c r="N6" s="97">
        <f>J6+L6</f>
        <v>0</v>
      </c>
    </row>
    <row r="7" spans="2:17" ht="27.9" hidden="1" customHeight="1">
      <c r="B7" s="94" t="s">
        <v>183</v>
      </c>
      <c r="C7" s="38" t="s">
        <v>184</v>
      </c>
      <c r="D7" s="38" t="s">
        <v>185</v>
      </c>
      <c r="E7" s="95">
        <v>0</v>
      </c>
      <c r="F7" s="96">
        <v>437000</v>
      </c>
      <c r="G7" s="99">
        <f t="shared" ref="G7:H51" si="0">M7</f>
        <v>0</v>
      </c>
      <c r="H7" s="97">
        <f t="shared" si="0"/>
        <v>0</v>
      </c>
      <c r="I7" s="99">
        <v>0</v>
      </c>
      <c r="J7" s="94">
        <v>0</v>
      </c>
      <c r="K7" s="99">
        <f>$E7*'DIA-INCH'!$C6</f>
        <v>0</v>
      </c>
      <c r="L7" s="97">
        <f t="shared" ref="L7:L28" si="1">$F7*$K7</f>
        <v>0</v>
      </c>
      <c r="M7" s="99">
        <f t="shared" ref="M7:N51" si="2">I7+K7</f>
        <v>0</v>
      </c>
      <c r="N7" s="97">
        <f t="shared" si="2"/>
        <v>0</v>
      </c>
    </row>
    <row r="8" spans="2:17" ht="27.9" hidden="1" customHeight="1">
      <c r="B8" s="94" t="s">
        <v>180</v>
      </c>
      <c r="C8" s="38" t="s">
        <v>186</v>
      </c>
      <c r="D8" s="38" t="s">
        <v>182</v>
      </c>
      <c r="E8" s="95">
        <v>0</v>
      </c>
      <c r="F8" s="96">
        <v>437000</v>
      </c>
      <c r="G8" s="99">
        <f t="shared" si="0"/>
        <v>0</v>
      </c>
      <c r="H8" s="97">
        <f t="shared" si="0"/>
        <v>0</v>
      </c>
      <c r="I8" s="99">
        <v>0</v>
      </c>
      <c r="J8" s="94">
        <v>0</v>
      </c>
      <c r="K8" s="99">
        <f>$E8*'DIA-INCH'!$C7</f>
        <v>0</v>
      </c>
      <c r="L8" s="97">
        <f t="shared" si="1"/>
        <v>0</v>
      </c>
      <c r="M8" s="99">
        <f t="shared" si="2"/>
        <v>0</v>
      </c>
      <c r="N8" s="97">
        <f t="shared" si="2"/>
        <v>0</v>
      </c>
    </row>
    <row r="9" spans="2:17" ht="27.9" customHeight="1">
      <c r="B9" s="94" t="s">
        <v>180</v>
      </c>
      <c r="C9" s="38" t="s">
        <v>187</v>
      </c>
      <c r="D9" s="38" t="s">
        <v>182</v>
      </c>
      <c r="E9" s="95">
        <v>71</v>
      </c>
      <c r="F9" s="96">
        <v>437000</v>
      </c>
      <c r="G9" s="99">
        <f>M9</f>
        <v>1127</v>
      </c>
      <c r="H9" s="97">
        <f t="shared" si="0"/>
        <v>492499000</v>
      </c>
      <c r="I9" s="99">
        <v>1056</v>
      </c>
      <c r="J9" s="238">
        <v>461472000</v>
      </c>
      <c r="K9" s="99">
        <f>$E9*'DIA-INCH'!$C8</f>
        <v>71</v>
      </c>
      <c r="L9" s="97">
        <f t="shared" si="1"/>
        <v>31027000</v>
      </c>
      <c r="M9" s="99">
        <f t="shared" si="2"/>
        <v>1127</v>
      </c>
      <c r="N9" s="97">
        <f t="shared" si="2"/>
        <v>492499000</v>
      </c>
      <c r="P9" s="173"/>
      <c r="Q9" s="183"/>
    </row>
    <row r="10" spans="2:17" ht="27.9" hidden="1" customHeight="1">
      <c r="B10" s="94" t="s">
        <v>180</v>
      </c>
      <c r="C10" s="38" t="s">
        <v>188</v>
      </c>
      <c r="D10" s="38" t="s">
        <v>182</v>
      </c>
      <c r="E10" s="95"/>
      <c r="F10" s="96">
        <v>437000</v>
      </c>
      <c r="G10" s="99">
        <f t="shared" si="0"/>
        <v>0</v>
      </c>
      <c r="H10" s="97">
        <f t="shared" si="0"/>
        <v>0</v>
      </c>
      <c r="I10" s="99">
        <v>0</v>
      </c>
      <c r="J10" s="94">
        <v>0</v>
      </c>
      <c r="K10" s="99">
        <f>$E10*'DIA-INCH'!$C9</f>
        <v>0</v>
      </c>
      <c r="L10" s="97">
        <f t="shared" si="1"/>
        <v>0</v>
      </c>
      <c r="M10" s="99">
        <f t="shared" si="2"/>
        <v>0</v>
      </c>
      <c r="N10" s="97">
        <f t="shared" si="2"/>
        <v>0</v>
      </c>
      <c r="Q10" s="183"/>
    </row>
    <row r="11" spans="2:17" ht="27.9" customHeight="1">
      <c r="B11" s="94" t="s">
        <v>180</v>
      </c>
      <c r="C11" s="38" t="s">
        <v>189</v>
      </c>
      <c r="D11" s="38" t="s">
        <v>185</v>
      </c>
      <c r="E11" s="95">
        <v>-1</v>
      </c>
      <c r="F11" s="96">
        <v>437000</v>
      </c>
      <c r="G11" s="99">
        <f t="shared" si="0"/>
        <v>468</v>
      </c>
      <c r="H11" s="97">
        <f t="shared" si="0"/>
        <v>204516000</v>
      </c>
      <c r="I11" s="99">
        <v>469.5</v>
      </c>
      <c r="J11" s="94">
        <v>205171500</v>
      </c>
      <c r="K11" s="99">
        <f>$E11*'DIA-INCH'!$C10</f>
        <v>-1.5</v>
      </c>
      <c r="L11" s="97">
        <f t="shared" si="1"/>
        <v>-655500</v>
      </c>
      <c r="M11" s="99">
        <f t="shared" si="2"/>
        <v>468</v>
      </c>
      <c r="N11" s="97">
        <f t="shared" si="2"/>
        <v>204516000</v>
      </c>
      <c r="Q11" s="183"/>
    </row>
    <row r="12" spans="2:17" ht="27.9" customHeight="1">
      <c r="B12" s="94" t="s">
        <v>180</v>
      </c>
      <c r="C12" s="38" t="s">
        <v>190</v>
      </c>
      <c r="D12" s="38" t="s">
        <v>185</v>
      </c>
      <c r="E12" s="95">
        <v>3</v>
      </c>
      <c r="F12" s="96">
        <v>437000</v>
      </c>
      <c r="G12" s="99">
        <f t="shared" si="0"/>
        <v>1064</v>
      </c>
      <c r="H12" s="97">
        <f t="shared" si="0"/>
        <v>464968000</v>
      </c>
      <c r="I12" s="99">
        <v>1058</v>
      </c>
      <c r="J12" s="94">
        <v>462346000</v>
      </c>
      <c r="K12" s="99">
        <f>$E12*'DIA-INCH'!$C11</f>
        <v>6</v>
      </c>
      <c r="L12" s="97">
        <f t="shared" si="1"/>
        <v>2622000</v>
      </c>
      <c r="M12" s="99">
        <f t="shared" si="2"/>
        <v>1064</v>
      </c>
      <c r="N12" s="97">
        <f t="shared" si="2"/>
        <v>464968000</v>
      </c>
      <c r="Q12" s="183"/>
    </row>
    <row r="13" spans="2:17" ht="27.9" customHeight="1">
      <c r="B13" s="94" t="s">
        <v>183</v>
      </c>
      <c r="C13" s="38" t="s">
        <v>191</v>
      </c>
      <c r="D13" s="38" t="s">
        <v>182</v>
      </c>
      <c r="E13" s="95">
        <v>0</v>
      </c>
      <c r="F13" s="96">
        <v>437000</v>
      </c>
      <c r="G13" s="99">
        <f t="shared" si="0"/>
        <v>757.5</v>
      </c>
      <c r="H13" s="97">
        <f t="shared" si="0"/>
        <v>331027500</v>
      </c>
      <c r="I13" s="99">
        <v>757.5</v>
      </c>
      <c r="J13" s="94">
        <v>331027500</v>
      </c>
      <c r="K13" s="99">
        <f>$E13*'DIA-INCH'!$C12</f>
        <v>0</v>
      </c>
      <c r="L13" s="97">
        <f t="shared" si="1"/>
        <v>0</v>
      </c>
      <c r="M13" s="99">
        <f t="shared" si="2"/>
        <v>757.5</v>
      </c>
      <c r="N13" s="97">
        <f t="shared" si="2"/>
        <v>331027500</v>
      </c>
      <c r="Q13" s="183"/>
    </row>
    <row r="14" spans="2:17" ht="27.9" customHeight="1">
      <c r="B14" s="94" t="s">
        <v>180</v>
      </c>
      <c r="C14" s="38" t="s">
        <v>192</v>
      </c>
      <c r="D14" s="38" t="s">
        <v>182</v>
      </c>
      <c r="E14" s="95">
        <v>-2</v>
      </c>
      <c r="F14" s="96">
        <v>437000</v>
      </c>
      <c r="G14" s="99">
        <f t="shared" si="0"/>
        <v>633</v>
      </c>
      <c r="H14" s="97">
        <f t="shared" si="0"/>
        <v>276621000</v>
      </c>
      <c r="I14" s="99">
        <v>639</v>
      </c>
      <c r="J14" s="94">
        <v>279243000</v>
      </c>
      <c r="K14" s="99">
        <f>$E14*'DIA-INCH'!$C13</f>
        <v>-6</v>
      </c>
      <c r="L14" s="97">
        <f t="shared" si="1"/>
        <v>-2622000</v>
      </c>
      <c r="M14" s="99">
        <f t="shared" si="2"/>
        <v>633</v>
      </c>
      <c r="N14" s="97">
        <f t="shared" si="2"/>
        <v>276621000</v>
      </c>
      <c r="Q14" s="183"/>
    </row>
    <row r="15" spans="2:17" ht="27.9" customHeight="1">
      <c r="B15" s="94" t="s">
        <v>193</v>
      </c>
      <c r="C15" s="38" t="s">
        <v>194</v>
      </c>
      <c r="D15" s="38" t="s">
        <v>182</v>
      </c>
      <c r="E15" s="95">
        <v>-1</v>
      </c>
      <c r="F15" s="96">
        <v>437000</v>
      </c>
      <c r="G15" s="99">
        <f t="shared" si="0"/>
        <v>1288</v>
      </c>
      <c r="H15" s="97">
        <f t="shared" si="0"/>
        <v>562856000</v>
      </c>
      <c r="I15" s="99">
        <v>1292</v>
      </c>
      <c r="J15" s="94">
        <v>564604000</v>
      </c>
      <c r="K15" s="99">
        <f>$E15*'DIA-INCH'!$C14</f>
        <v>-4</v>
      </c>
      <c r="L15" s="97">
        <f t="shared" si="1"/>
        <v>-1748000</v>
      </c>
      <c r="M15" s="99">
        <f t="shared" si="2"/>
        <v>1288</v>
      </c>
      <c r="N15" s="97">
        <f t="shared" si="2"/>
        <v>562856000</v>
      </c>
      <c r="Q15" s="183"/>
    </row>
    <row r="16" spans="2:17" ht="27.9" hidden="1" customHeight="1">
      <c r="B16" s="94" t="s">
        <v>180</v>
      </c>
      <c r="C16" s="38" t="s">
        <v>195</v>
      </c>
      <c r="D16" s="38" t="s">
        <v>185</v>
      </c>
      <c r="E16" s="95"/>
      <c r="F16" s="96">
        <v>437000</v>
      </c>
      <c r="G16" s="99">
        <f t="shared" si="0"/>
        <v>0</v>
      </c>
      <c r="H16" s="97">
        <f t="shared" si="0"/>
        <v>0</v>
      </c>
      <c r="I16" s="99">
        <v>0</v>
      </c>
      <c r="J16" s="94">
        <v>0</v>
      </c>
      <c r="K16" s="99">
        <f>$E16*'DIA-INCH'!$C15</f>
        <v>0</v>
      </c>
      <c r="L16" s="97">
        <f t="shared" si="1"/>
        <v>0</v>
      </c>
      <c r="M16" s="99">
        <f t="shared" si="2"/>
        <v>0</v>
      </c>
      <c r="N16" s="97">
        <f t="shared" si="2"/>
        <v>0</v>
      </c>
      <c r="Q16" s="183"/>
    </row>
    <row r="17" spans="2:17" ht="27.9" customHeight="1">
      <c r="B17" s="94" t="s">
        <v>183</v>
      </c>
      <c r="C17" s="38" t="s">
        <v>196</v>
      </c>
      <c r="D17" s="38" t="s">
        <v>182</v>
      </c>
      <c r="E17" s="95">
        <v>8</v>
      </c>
      <c r="F17" s="96">
        <v>437000</v>
      </c>
      <c r="G17" s="99">
        <f t="shared" si="0"/>
        <v>2970</v>
      </c>
      <c r="H17" s="97">
        <f t="shared" si="0"/>
        <v>1297890000</v>
      </c>
      <c r="I17" s="99">
        <v>2930</v>
      </c>
      <c r="J17" s="94">
        <v>1280410000</v>
      </c>
      <c r="K17" s="99">
        <f>$E17*'DIA-INCH'!$C16</f>
        <v>40</v>
      </c>
      <c r="L17" s="97">
        <f t="shared" si="1"/>
        <v>17480000</v>
      </c>
      <c r="M17" s="99">
        <f t="shared" si="2"/>
        <v>2970</v>
      </c>
      <c r="N17" s="97">
        <f t="shared" si="2"/>
        <v>1297890000</v>
      </c>
      <c r="Q17" s="183"/>
    </row>
    <row r="18" spans="2:17" ht="27.9" customHeight="1">
      <c r="B18" s="94" t="s">
        <v>183</v>
      </c>
      <c r="C18" s="38" t="s">
        <v>197</v>
      </c>
      <c r="D18" s="38" t="s">
        <v>182</v>
      </c>
      <c r="E18" s="95">
        <v>1</v>
      </c>
      <c r="F18" s="96">
        <v>437000</v>
      </c>
      <c r="G18" s="99">
        <f t="shared" si="0"/>
        <v>144</v>
      </c>
      <c r="H18" s="97">
        <f t="shared" si="0"/>
        <v>62928000</v>
      </c>
      <c r="I18" s="99">
        <v>138</v>
      </c>
      <c r="J18" s="94">
        <v>60306000</v>
      </c>
      <c r="K18" s="99">
        <f>$E18*'DIA-INCH'!$C17</f>
        <v>6</v>
      </c>
      <c r="L18" s="97">
        <f t="shared" si="1"/>
        <v>2622000</v>
      </c>
      <c r="M18" s="99">
        <f t="shared" si="2"/>
        <v>144</v>
      </c>
      <c r="N18" s="97">
        <f t="shared" si="2"/>
        <v>62928000</v>
      </c>
      <c r="Q18" s="183"/>
    </row>
    <row r="19" spans="2:17" ht="27.9" hidden="1" customHeight="1">
      <c r="B19" s="94" t="s">
        <v>183</v>
      </c>
      <c r="C19" s="38" t="s">
        <v>198</v>
      </c>
      <c r="D19" s="38" t="s">
        <v>182</v>
      </c>
      <c r="E19" s="95"/>
      <c r="F19" s="96">
        <v>437000</v>
      </c>
      <c r="G19" s="99">
        <f t="shared" si="0"/>
        <v>0</v>
      </c>
      <c r="H19" s="97">
        <f t="shared" si="0"/>
        <v>0</v>
      </c>
      <c r="I19" s="99">
        <v>0</v>
      </c>
      <c r="J19" s="94">
        <v>0</v>
      </c>
      <c r="K19" s="99">
        <f>$E19*'DIA-INCH'!$C18</f>
        <v>0</v>
      </c>
      <c r="L19" s="97">
        <f t="shared" si="1"/>
        <v>0</v>
      </c>
      <c r="M19" s="99">
        <f t="shared" si="2"/>
        <v>0</v>
      </c>
      <c r="N19" s="97">
        <f t="shared" si="2"/>
        <v>0</v>
      </c>
      <c r="Q19" s="183"/>
    </row>
    <row r="20" spans="2:17" ht="27.9" customHeight="1">
      <c r="B20" s="94" t="s">
        <v>183</v>
      </c>
      <c r="C20" s="38" t="s">
        <v>199</v>
      </c>
      <c r="D20" s="38" t="s">
        <v>182</v>
      </c>
      <c r="E20" s="95">
        <v>2</v>
      </c>
      <c r="F20" s="96">
        <v>437000</v>
      </c>
      <c r="G20" s="99">
        <f t="shared" si="0"/>
        <v>904</v>
      </c>
      <c r="H20" s="97">
        <f t="shared" si="0"/>
        <v>395048000</v>
      </c>
      <c r="I20" s="99">
        <v>888</v>
      </c>
      <c r="J20" s="94">
        <v>388056000</v>
      </c>
      <c r="K20" s="99">
        <f>$E20*'DIA-INCH'!$C19</f>
        <v>16</v>
      </c>
      <c r="L20" s="97">
        <f t="shared" si="1"/>
        <v>6992000</v>
      </c>
      <c r="M20" s="99">
        <f t="shared" si="2"/>
        <v>904</v>
      </c>
      <c r="N20" s="97">
        <f t="shared" si="2"/>
        <v>395048000</v>
      </c>
      <c r="Q20" s="183"/>
    </row>
    <row r="21" spans="2:17" ht="27.9" hidden="1" customHeight="1">
      <c r="B21" s="94" t="s">
        <v>180</v>
      </c>
      <c r="C21" s="38" t="s">
        <v>200</v>
      </c>
      <c r="D21" s="38" t="s">
        <v>185</v>
      </c>
      <c r="E21" s="95"/>
      <c r="F21" s="96">
        <v>437000</v>
      </c>
      <c r="G21" s="99">
        <f t="shared" si="0"/>
        <v>0</v>
      </c>
      <c r="H21" s="97">
        <f t="shared" si="0"/>
        <v>0</v>
      </c>
      <c r="I21" s="99">
        <v>0</v>
      </c>
      <c r="J21" s="94">
        <v>0</v>
      </c>
      <c r="K21" s="99">
        <f>$E21*'DIA-INCH'!$C20</f>
        <v>0</v>
      </c>
      <c r="L21" s="97">
        <f t="shared" si="1"/>
        <v>0</v>
      </c>
      <c r="M21" s="99">
        <f t="shared" si="2"/>
        <v>0</v>
      </c>
      <c r="N21" s="97">
        <f t="shared" si="2"/>
        <v>0</v>
      </c>
      <c r="Q21" s="183"/>
    </row>
    <row r="22" spans="2:17" ht="27.9" customHeight="1">
      <c r="B22" s="94" t="s">
        <v>180</v>
      </c>
      <c r="C22" s="38" t="s">
        <v>201</v>
      </c>
      <c r="D22" s="38" t="s">
        <v>202</v>
      </c>
      <c r="E22" s="95">
        <v>0</v>
      </c>
      <c r="F22" s="96">
        <v>437000</v>
      </c>
      <c r="G22" s="99">
        <f t="shared" si="0"/>
        <v>1030</v>
      </c>
      <c r="H22" s="97">
        <f t="shared" si="0"/>
        <v>450110000</v>
      </c>
      <c r="I22" s="99">
        <v>1030</v>
      </c>
      <c r="J22" s="94">
        <v>450110000</v>
      </c>
      <c r="K22" s="99">
        <f>$E22*'DIA-INCH'!$C21</f>
        <v>0</v>
      </c>
      <c r="L22" s="97">
        <f t="shared" si="1"/>
        <v>0</v>
      </c>
      <c r="M22" s="99">
        <f t="shared" si="2"/>
        <v>1030</v>
      </c>
      <c r="N22" s="97">
        <f t="shared" si="2"/>
        <v>450110000</v>
      </c>
      <c r="Q22" s="183"/>
    </row>
    <row r="23" spans="2:17" ht="27.9" customHeight="1">
      <c r="B23" s="94" t="s">
        <v>183</v>
      </c>
      <c r="C23" s="38" t="s">
        <v>203</v>
      </c>
      <c r="D23" s="38" t="s">
        <v>204</v>
      </c>
      <c r="E23" s="95">
        <v>1</v>
      </c>
      <c r="F23" s="96">
        <v>437000</v>
      </c>
      <c r="G23" s="99">
        <f t="shared" si="0"/>
        <v>2184</v>
      </c>
      <c r="H23" s="97">
        <f t="shared" si="0"/>
        <v>954408000</v>
      </c>
      <c r="I23" s="99">
        <v>2172</v>
      </c>
      <c r="J23" s="94">
        <v>949164000</v>
      </c>
      <c r="K23" s="99">
        <f>$E23*'DIA-INCH'!$C22</f>
        <v>12</v>
      </c>
      <c r="L23" s="97">
        <f t="shared" si="1"/>
        <v>5244000</v>
      </c>
      <c r="M23" s="99">
        <f t="shared" si="2"/>
        <v>2184</v>
      </c>
      <c r="N23" s="97">
        <f t="shared" si="2"/>
        <v>954408000</v>
      </c>
      <c r="Q23" s="183"/>
    </row>
    <row r="24" spans="2:17" ht="27.9" hidden="1" customHeight="1">
      <c r="B24" s="94" t="s">
        <v>205</v>
      </c>
      <c r="C24" s="38" t="s">
        <v>206</v>
      </c>
      <c r="D24" s="38" t="s">
        <v>182</v>
      </c>
      <c r="E24" s="95">
        <v>0</v>
      </c>
      <c r="F24" s="96">
        <v>437000</v>
      </c>
      <c r="G24" s="99">
        <f t="shared" si="0"/>
        <v>0</v>
      </c>
      <c r="H24" s="97">
        <f t="shared" si="0"/>
        <v>0</v>
      </c>
      <c r="I24" s="99">
        <v>0</v>
      </c>
      <c r="J24" s="94">
        <v>0</v>
      </c>
      <c r="K24" s="99">
        <f>$E24*'DIA-INCH'!$C23</f>
        <v>0</v>
      </c>
      <c r="L24" s="97">
        <f t="shared" si="1"/>
        <v>0</v>
      </c>
      <c r="M24" s="99">
        <f t="shared" si="2"/>
        <v>0</v>
      </c>
      <c r="N24" s="97">
        <f t="shared" si="2"/>
        <v>0</v>
      </c>
    </row>
    <row r="25" spans="2:17" ht="27.9" hidden="1" customHeight="1">
      <c r="B25" s="94" t="s">
        <v>180</v>
      </c>
      <c r="C25" s="38" t="s">
        <v>207</v>
      </c>
      <c r="D25" s="38" t="s">
        <v>185</v>
      </c>
      <c r="E25" s="95">
        <v>0</v>
      </c>
      <c r="F25" s="96">
        <v>437000</v>
      </c>
      <c r="G25" s="99">
        <f t="shared" si="0"/>
        <v>0</v>
      </c>
      <c r="H25" s="97">
        <f t="shared" si="0"/>
        <v>0</v>
      </c>
      <c r="I25" s="99">
        <v>0</v>
      </c>
      <c r="J25" s="94">
        <v>0</v>
      </c>
      <c r="K25" s="99">
        <f>$E25*'DIA-INCH'!$C24</f>
        <v>0</v>
      </c>
      <c r="L25" s="97">
        <f t="shared" si="1"/>
        <v>0</v>
      </c>
      <c r="M25" s="99">
        <f t="shared" si="2"/>
        <v>0</v>
      </c>
      <c r="N25" s="97">
        <f t="shared" si="2"/>
        <v>0</v>
      </c>
    </row>
    <row r="26" spans="2:17" ht="27.9" hidden="1" customHeight="1">
      <c r="B26" s="94" t="s">
        <v>193</v>
      </c>
      <c r="C26" s="38" t="s">
        <v>208</v>
      </c>
      <c r="D26" s="38" t="s">
        <v>209</v>
      </c>
      <c r="E26" s="95">
        <v>0</v>
      </c>
      <c r="F26" s="96">
        <v>437000</v>
      </c>
      <c r="G26" s="99">
        <f t="shared" si="0"/>
        <v>0</v>
      </c>
      <c r="H26" s="97">
        <f t="shared" si="0"/>
        <v>0</v>
      </c>
      <c r="I26" s="99">
        <v>0</v>
      </c>
      <c r="J26" s="94">
        <v>0</v>
      </c>
      <c r="K26" s="99">
        <f>$E26*'DIA-INCH'!$C25</f>
        <v>0</v>
      </c>
      <c r="L26" s="97">
        <f t="shared" si="1"/>
        <v>0</v>
      </c>
      <c r="M26" s="99">
        <f t="shared" si="2"/>
        <v>0</v>
      </c>
      <c r="N26" s="97">
        <f t="shared" si="2"/>
        <v>0</v>
      </c>
    </row>
    <row r="27" spans="2:17" ht="27.9" hidden="1" customHeight="1">
      <c r="B27" s="94" t="s">
        <v>183</v>
      </c>
      <c r="C27" s="38" t="s">
        <v>210</v>
      </c>
      <c r="D27" s="38" t="s">
        <v>182</v>
      </c>
      <c r="E27" s="95">
        <v>0</v>
      </c>
      <c r="F27" s="96">
        <v>437000</v>
      </c>
      <c r="G27" s="99">
        <f t="shared" si="0"/>
        <v>0</v>
      </c>
      <c r="H27" s="97">
        <f t="shared" si="0"/>
        <v>0</v>
      </c>
      <c r="I27" s="99">
        <v>0</v>
      </c>
      <c r="J27" s="94">
        <v>0</v>
      </c>
      <c r="K27" s="99">
        <f>$E27*'DIA-INCH'!$C26</f>
        <v>0</v>
      </c>
      <c r="L27" s="97">
        <f t="shared" si="1"/>
        <v>0</v>
      </c>
      <c r="M27" s="99">
        <f t="shared" si="2"/>
        <v>0</v>
      </c>
      <c r="N27" s="97">
        <f t="shared" si="2"/>
        <v>0</v>
      </c>
    </row>
    <row r="28" spans="2:17" ht="27.9" hidden="1" customHeight="1">
      <c r="B28" s="94" t="s">
        <v>193</v>
      </c>
      <c r="C28" s="38" t="s">
        <v>211</v>
      </c>
      <c r="D28" s="38" t="s">
        <v>182</v>
      </c>
      <c r="E28" s="95">
        <v>0</v>
      </c>
      <c r="F28" s="96">
        <v>437000</v>
      </c>
      <c r="G28" s="99">
        <f t="shared" si="0"/>
        <v>0</v>
      </c>
      <c r="H28" s="97">
        <f t="shared" si="0"/>
        <v>0</v>
      </c>
      <c r="I28" s="99">
        <v>0</v>
      </c>
      <c r="J28" s="94">
        <v>0</v>
      </c>
      <c r="K28" s="99">
        <f>$E28*'DIA-INCH'!$C27</f>
        <v>0</v>
      </c>
      <c r="L28" s="97">
        <f t="shared" si="1"/>
        <v>0</v>
      </c>
      <c r="M28" s="99">
        <f t="shared" si="2"/>
        <v>0</v>
      </c>
      <c r="N28" s="97">
        <f t="shared" si="2"/>
        <v>0</v>
      </c>
    </row>
    <row r="29" spans="2:17" ht="27.9" hidden="1" customHeight="1">
      <c r="B29" s="94" t="s">
        <v>212</v>
      </c>
      <c r="C29" s="38" t="s">
        <v>181</v>
      </c>
      <c r="D29" s="38" t="s">
        <v>213</v>
      </c>
      <c r="E29" s="95">
        <v>0</v>
      </c>
      <c r="F29" s="96">
        <f>$F$32*'DIA-INCH'!$C5</f>
        <v>21875</v>
      </c>
      <c r="G29" s="97">
        <f t="shared" si="0"/>
        <v>0</v>
      </c>
      <c r="H29" s="97">
        <f t="shared" si="0"/>
        <v>0</v>
      </c>
      <c r="I29" s="94">
        <v>0</v>
      </c>
      <c r="J29" s="94">
        <v>0</v>
      </c>
      <c r="K29" s="97">
        <f>E29</f>
        <v>0</v>
      </c>
      <c r="L29" s="97">
        <f>$K29*$F29</f>
        <v>0</v>
      </c>
      <c r="M29" s="97">
        <f t="shared" si="2"/>
        <v>0</v>
      </c>
      <c r="N29" s="97">
        <f t="shared" si="2"/>
        <v>0</v>
      </c>
    </row>
    <row r="30" spans="2:17" ht="27.9" hidden="1" customHeight="1">
      <c r="B30" s="94" t="s">
        <v>214</v>
      </c>
      <c r="C30" s="38" t="s">
        <v>184</v>
      </c>
      <c r="D30" s="38" t="s">
        <v>213</v>
      </c>
      <c r="E30" s="95">
        <v>0</v>
      </c>
      <c r="F30" s="96">
        <f>$F$32*'DIA-INCH'!$C6</f>
        <v>43750</v>
      </c>
      <c r="G30" s="97">
        <f t="shared" si="0"/>
        <v>0</v>
      </c>
      <c r="H30" s="97">
        <f t="shared" si="0"/>
        <v>0</v>
      </c>
      <c r="I30" s="94">
        <v>0</v>
      </c>
      <c r="J30" s="94">
        <v>0</v>
      </c>
      <c r="K30" s="97">
        <f t="shared" ref="K30:K51" si="3">E30</f>
        <v>0</v>
      </c>
      <c r="L30" s="97">
        <f t="shared" ref="L30:L51" si="4">$K30*$F30</f>
        <v>0</v>
      </c>
      <c r="M30" s="97">
        <f t="shared" si="2"/>
        <v>0</v>
      </c>
      <c r="N30" s="97">
        <f t="shared" si="2"/>
        <v>0</v>
      </c>
    </row>
    <row r="31" spans="2:17" ht="27.9" hidden="1" customHeight="1">
      <c r="B31" s="94" t="s">
        <v>215</v>
      </c>
      <c r="C31" s="38" t="s">
        <v>186</v>
      </c>
      <c r="D31" s="38" t="s">
        <v>213</v>
      </c>
      <c r="E31" s="95">
        <v>0</v>
      </c>
      <c r="F31" s="96">
        <f>$F$32*'DIA-INCH'!$C7</f>
        <v>65625</v>
      </c>
      <c r="G31" s="97">
        <f t="shared" si="0"/>
        <v>0</v>
      </c>
      <c r="H31" s="97">
        <f t="shared" si="0"/>
        <v>0</v>
      </c>
      <c r="I31" s="94">
        <v>0</v>
      </c>
      <c r="J31" s="94">
        <v>0</v>
      </c>
      <c r="K31" s="97">
        <f t="shared" si="3"/>
        <v>0</v>
      </c>
      <c r="L31" s="97">
        <f t="shared" si="4"/>
        <v>0</v>
      </c>
      <c r="M31" s="97">
        <f t="shared" si="2"/>
        <v>0</v>
      </c>
      <c r="N31" s="97">
        <f t="shared" si="2"/>
        <v>0</v>
      </c>
    </row>
    <row r="32" spans="2:17" ht="27.9" customHeight="1">
      <c r="B32" s="94" t="s">
        <v>216</v>
      </c>
      <c r="C32" s="38" t="s">
        <v>187</v>
      </c>
      <c r="D32" s="38" t="s">
        <v>217</v>
      </c>
      <c r="E32" s="95">
        <v>21</v>
      </c>
      <c r="F32" s="96">
        <v>87500</v>
      </c>
      <c r="G32" s="97">
        <f t="shared" si="0"/>
        <v>186</v>
      </c>
      <c r="H32" s="97">
        <f t="shared" si="0"/>
        <v>16275000</v>
      </c>
      <c r="I32" s="94">
        <v>165</v>
      </c>
      <c r="J32" s="94">
        <v>14437500</v>
      </c>
      <c r="K32" s="364">
        <f t="shared" si="3"/>
        <v>21</v>
      </c>
      <c r="L32" s="97">
        <f t="shared" si="4"/>
        <v>1837500</v>
      </c>
      <c r="M32" s="97">
        <f t="shared" si="2"/>
        <v>186</v>
      </c>
      <c r="N32" s="97">
        <f t="shared" si="2"/>
        <v>16275000</v>
      </c>
    </row>
    <row r="33" spans="2:16" ht="27.9" customHeight="1">
      <c r="B33" s="94" t="s">
        <v>216</v>
      </c>
      <c r="C33" s="38" t="s">
        <v>188</v>
      </c>
      <c r="D33" s="38" t="s">
        <v>213</v>
      </c>
      <c r="E33" s="95">
        <v>0</v>
      </c>
      <c r="F33" s="96">
        <f>$F$32*'DIA-INCH'!$C9</f>
        <v>109375</v>
      </c>
      <c r="G33" s="97">
        <f t="shared" si="0"/>
        <v>90</v>
      </c>
      <c r="H33" s="97">
        <f t="shared" si="0"/>
        <v>9843750</v>
      </c>
      <c r="I33" s="94">
        <v>90</v>
      </c>
      <c r="J33" s="94">
        <v>9843750</v>
      </c>
      <c r="K33" s="97">
        <f t="shared" si="3"/>
        <v>0</v>
      </c>
      <c r="L33" s="97">
        <f t="shared" si="4"/>
        <v>0</v>
      </c>
      <c r="M33" s="97">
        <f t="shared" si="2"/>
        <v>90</v>
      </c>
      <c r="N33" s="97">
        <f t="shared" si="2"/>
        <v>9843750</v>
      </c>
    </row>
    <row r="34" spans="2:16" ht="27.9" customHeight="1">
      <c r="B34" s="94" t="s">
        <v>216</v>
      </c>
      <c r="C34" s="38" t="s">
        <v>189</v>
      </c>
      <c r="D34" s="38" t="s">
        <v>124</v>
      </c>
      <c r="E34" s="95">
        <v>6</v>
      </c>
      <c r="F34" s="96">
        <f>$F$32*'DIA-INCH'!$C10</f>
        <v>131250</v>
      </c>
      <c r="G34" s="97">
        <f t="shared" si="0"/>
        <v>39</v>
      </c>
      <c r="H34" s="97">
        <f t="shared" si="0"/>
        <v>5118750</v>
      </c>
      <c r="I34" s="94">
        <v>33</v>
      </c>
      <c r="J34" s="94">
        <v>4331250</v>
      </c>
      <c r="K34" s="97">
        <f t="shared" si="3"/>
        <v>6</v>
      </c>
      <c r="L34" s="97">
        <f t="shared" si="4"/>
        <v>787500</v>
      </c>
      <c r="M34" s="97">
        <f t="shared" si="2"/>
        <v>39</v>
      </c>
      <c r="N34" s="97">
        <f t="shared" si="2"/>
        <v>5118750</v>
      </c>
      <c r="P34" s="363">
        <f>+K34*1.5</f>
        <v>9</v>
      </c>
    </row>
    <row r="35" spans="2:16" ht="27.9" customHeight="1">
      <c r="B35" s="94" t="s">
        <v>216</v>
      </c>
      <c r="C35" s="38" t="s">
        <v>190</v>
      </c>
      <c r="D35" s="38" t="s">
        <v>213</v>
      </c>
      <c r="E35" s="95">
        <v>0</v>
      </c>
      <c r="F35" s="96">
        <f>$F$32*'DIA-INCH'!$C11</f>
        <v>175000</v>
      </c>
      <c r="G35" s="97">
        <f t="shared" si="0"/>
        <v>29</v>
      </c>
      <c r="H35" s="97">
        <f t="shared" si="0"/>
        <v>5075000</v>
      </c>
      <c r="I35" s="94">
        <v>29</v>
      </c>
      <c r="J35" s="94">
        <v>5075000</v>
      </c>
      <c r="K35" s="97">
        <f t="shared" si="3"/>
        <v>0</v>
      </c>
      <c r="L35" s="97">
        <f t="shared" si="4"/>
        <v>0</v>
      </c>
      <c r="M35" s="97">
        <f t="shared" si="2"/>
        <v>29</v>
      </c>
      <c r="N35" s="97">
        <f t="shared" si="2"/>
        <v>5075000</v>
      </c>
    </row>
    <row r="36" spans="2:16" ht="27.9" customHeight="1">
      <c r="B36" s="94" t="s">
        <v>212</v>
      </c>
      <c r="C36" s="38" t="s">
        <v>191</v>
      </c>
      <c r="D36" s="38" t="s">
        <v>124</v>
      </c>
      <c r="E36" s="95">
        <v>0</v>
      </c>
      <c r="F36" s="96">
        <f>$F$32*'DIA-INCH'!$C12</f>
        <v>218750</v>
      </c>
      <c r="G36" s="97">
        <f t="shared" si="0"/>
        <v>10</v>
      </c>
      <c r="H36" s="97">
        <f t="shared" si="0"/>
        <v>2187500</v>
      </c>
      <c r="I36" s="94">
        <v>10</v>
      </c>
      <c r="J36" s="94">
        <v>2187500</v>
      </c>
      <c r="K36" s="97">
        <f t="shared" si="3"/>
        <v>0</v>
      </c>
      <c r="L36" s="97">
        <f t="shared" si="4"/>
        <v>0</v>
      </c>
      <c r="M36" s="97">
        <f t="shared" si="2"/>
        <v>10</v>
      </c>
      <c r="N36" s="97">
        <f t="shared" si="2"/>
        <v>2187500</v>
      </c>
    </row>
    <row r="37" spans="2:16" ht="27.9" customHeight="1">
      <c r="B37" s="94" t="s">
        <v>212</v>
      </c>
      <c r="C37" s="38" t="s">
        <v>192</v>
      </c>
      <c r="D37" s="38" t="s">
        <v>213</v>
      </c>
      <c r="E37" s="95">
        <v>0</v>
      </c>
      <c r="F37" s="96">
        <f>$F$32*'DIA-INCH'!$C13</f>
        <v>262500</v>
      </c>
      <c r="G37" s="97">
        <f t="shared" si="0"/>
        <v>34</v>
      </c>
      <c r="H37" s="97">
        <f t="shared" si="0"/>
        <v>8925000</v>
      </c>
      <c r="I37" s="94">
        <v>34</v>
      </c>
      <c r="J37" s="94">
        <v>8925000</v>
      </c>
      <c r="K37" s="97">
        <f t="shared" si="3"/>
        <v>0</v>
      </c>
      <c r="L37" s="97">
        <f t="shared" si="4"/>
        <v>0</v>
      </c>
      <c r="M37" s="97">
        <f t="shared" si="2"/>
        <v>34</v>
      </c>
      <c r="N37" s="97">
        <f t="shared" si="2"/>
        <v>8925000</v>
      </c>
    </row>
    <row r="38" spans="2:16" ht="27.9" customHeight="1">
      <c r="B38" s="94" t="s">
        <v>214</v>
      </c>
      <c r="C38" s="38" t="s">
        <v>194</v>
      </c>
      <c r="D38" s="38" t="s">
        <v>213</v>
      </c>
      <c r="E38" s="95">
        <v>0</v>
      </c>
      <c r="F38" s="96">
        <f>$F$32*'DIA-INCH'!$C14</f>
        <v>350000</v>
      </c>
      <c r="G38" s="97">
        <f t="shared" si="0"/>
        <v>2</v>
      </c>
      <c r="H38" s="97">
        <f t="shared" si="0"/>
        <v>700000</v>
      </c>
      <c r="I38" s="94">
        <v>2</v>
      </c>
      <c r="J38" s="94">
        <v>700000</v>
      </c>
      <c r="K38" s="97">
        <f t="shared" si="3"/>
        <v>0</v>
      </c>
      <c r="L38" s="97">
        <f t="shared" si="4"/>
        <v>0</v>
      </c>
      <c r="M38" s="97">
        <f t="shared" si="2"/>
        <v>2</v>
      </c>
      <c r="N38" s="97">
        <f t="shared" si="2"/>
        <v>700000</v>
      </c>
    </row>
    <row r="39" spans="2:16" ht="27.9" hidden="1" customHeight="1">
      <c r="B39" s="94" t="s">
        <v>212</v>
      </c>
      <c r="C39" s="38" t="s">
        <v>195</v>
      </c>
      <c r="D39" s="38" t="s">
        <v>218</v>
      </c>
      <c r="E39" s="95">
        <v>0</v>
      </c>
      <c r="F39" s="96">
        <f>$F$32*'DIA-INCH'!$C15</f>
        <v>350000</v>
      </c>
      <c r="G39" s="97">
        <f t="shared" si="0"/>
        <v>0</v>
      </c>
      <c r="H39" s="97">
        <f t="shared" si="0"/>
        <v>0</v>
      </c>
      <c r="I39" s="94">
        <v>0</v>
      </c>
      <c r="J39" s="94">
        <v>0</v>
      </c>
      <c r="K39" s="97">
        <f t="shared" si="3"/>
        <v>0</v>
      </c>
      <c r="L39" s="97">
        <f t="shared" si="4"/>
        <v>0</v>
      </c>
      <c r="M39" s="97">
        <f t="shared" si="2"/>
        <v>0</v>
      </c>
      <c r="N39" s="97">
        <f t="shared" si="2"/>
        <v>0</v>
      </c>
    </row>
    <row r="40" spans="2:16" ht="27.9" customHeight="1">
      <c r="B40" s="94" t="s">
        <v>212</v>
      </c>
      <c r="C40" s="38" t="s">
        <v>196</v>
      </c>
      <c r="D40" s="38" t="s">
        <v>219</v>
      </c>
      <c r="E40" s="95">
        <v>0</v>
      </c>
      <c r="F40" s="96">
        <f>$F$32*'DIA-INCH'!$C16</f>
        <v>437500</v>
      </c>
      <c r="G40" s="97">
        <f t="shared" si="0"/>
        <v>43</v>
      </c>
      <c r="H40" s="97">
        <f t="shared" si="0"/>
        <v>18812500</v>
      </c>
      <c r="I40" s="94">
        <v>43</v>
      </c>
      <c r="J40" s="94">
        <v>18812500</v>
      </c>
      <c r="K40" s="97">
        <f t="shared" si="3"/>
        <v>0</v>
      </c>
      <c r="L40" s="97">
        <f t="shared" si="4"/>
        <v>0</v>
      </c>
      <c r="M40" s="97">
        <f t="shared" si="2"/>
        <v>43</v>
      </c>
      <c r="N40" s="97">
        <f t="shared" si="2"/>
        <v>18812500</v>
      </c>
    </row>
    <row r="41" spans="2:16" ht="27.9" customHeight="1">
      <c r="B41" s="94" t="s">
        <v>212</v>
      </c>
      <c r="C41" s="38" t="s">
        <v>197</v>
      </c>
      <c r="D41" s="38" t="s">
        <v>213</v>
      </c>
      <c r="E41" s="95">
        <v>0</v>
      </c>
      <c r="F41" s="96">
        <f>$F$32*'DIA-INCH'!$C17</f>
        <v>525000</v>
      </c>
      <c r="G41" s="97">
        <f t="shared" si="0"/>
        <v>1</v>
      </c>
      <c r="H41" s="97">
        <f t="shared" si="0"/>
        <v>525000</v>
      </c>
      <c r="I41" s="94">
        <v>1</v>
      </c>
      <c r="J41" s="94">
        <v>525000</v>
      </c>
      <c r="K41" s="97">
        <f t="shared" si="3"/>
        <v>0</v>
      </c>
      <c r="L41" s="97">
        <f t="shared" si="4"/>
        <v>0</v>
      </c>
      <c r="M41" s="97">
        <f t="shared" si="2"/>
        <v>1</v>
      </c>
      <c r="N41" s="97">
        <f t="shared" si="2"/>
        <v>525000</v>
      </c>
    </row>
    <row r="42" spans="2:16" ht="27.9" hidden="1" customHeight="1">
      <c r="B42" s="94" t="s">
        <v>212</v>
      </c>
      <c r="C42" s="38" t="s">
        <v>198</v>
      </c>
      <c r="D42" s="38" t="s">
        <v>124</v>
      </c>
      <c r="E42" s="95">
        <v>0</v>
      </c>
      <c r="F42" s="96">
        <f>$F$32*'DIA-INCH'!$C18</f>
        <v>612500</v>
      </c>
      <c r="G42" s="97">
        <f t="shared" si="0"/>
        <v>0</v>
      </c>
      <c r="H42" s="97">
        <f t="shared" si="0"/>
        <v>0</v>
      </c>
      <c r="I42" s="94">
        <v>0</v>
      </c>
      <c r="J42" s="94">
        <v>0</v>
      </c>
      <c r="K42" s="97">
        <f t="shared" si="3"/>
        <v>0</v>
      </c>
      <c r="L42" s="97">
        <f t="shared" si="4"/>
        <v>0</v>
      </c>
      <c r="M42" s="97">
        <f t="shared" si="2"/>
        <v>0</v>
      </c>
      <c r="N42" s="97">
        <f t="shared" si="2"/>
        <v>0</v>
      </c>
    </row>
    <row r="43" spans="2:16" ht="27.9" customHeight="1">
      <c r="B43" s="94" t="s">
        <v>212</v>
      </c>
      <c r="C43" s="38" t="s">
        <v>199</v>
      </c>
      <c r="D43" s="38" t="s">
        <v>213</v>
      </c>
      <c r="E43" s="95">
        <v>0</v>
      </c>
      <c r="F43" s="96">
        <f>$F$32*'DIA-INCH'!$C19</f>
        <v>700000</v>
      </c>
      <c r="G43" s="97">
        <f t="shared" si="0"/>
        <v>1</v>
      </c>
      <c r="H43" s="97">
        <f t="shared" si="0"/>
        <v>700000</v>
      </c>
      <c r="I43" s="94">
        <v>1</v>
      </c>
      <c r="J43" s="94">
        <v>700000</v>
      </c>
      <c r="K43" s="97">
        <f t="shared" si="3"/>
        <v>0</v>
      </c>
      <c r="L43" s="97">
        <f t="shared" si="4"/>
        <v>0</v>
      </c>
      <c r="M43" s="97">
        <f t="shared" si="2"/>
        <v>1</v>
      </c>
      <c r="N43" s="97">
        <f t="shared" si="2"/>
        <v>700000</v>
      </c>
    </row>
    <row r="44" spans="2:16" ht="27.9" hidden="1" customHeight="1">
      <c r="B44" s="94" t="s">
        <v>212</v>
      </c>
      <c r="C44" s="38" t="s">
        <v>200</v>
      </c>
      <c r="D44" s="38" t="s">
        <v>213</v>
      </c>
      <c r="E44" s="95">
        <v>0</v>
      </c>
      <c r="F44" s="96">
        <f>$F$32*'DIA-INCH'!$C20</f>
        <v>787500</v>
      </c>
      <c r="G44" s="97">
        <f t="shared" si="0"/>
        <v>0</v>
      </c>
      <c r="H44" s="97">
        <f t="shared" si="0"/>
        <v>0</v>
      </c>
      <c r="I44" s="94">
        <v>0</v>
      </c>
      <c r="J44" s="94">
        <v>0</v>
      </c>
      <c r="K44" s="97">
        <f t="shared" si="3"/>
        <v>0</v>
      </c>
      <c r="L44" s="97">
        <f t="shared" si="4"/>
        <v>0</v>
      </c>
      <c r="M44" s="97">
        <f t="shared" si="2"/>
        <v>0</v>
      </c>
      <c r="N44" s="97">
        <f t="shared" si="2"/>
        <v>0</v>
      </c>
    </row>
    <row r="45" spans="2:16" ht="27.9" customHeight="1">
      <c r="B45" s="94" t="s">
        <v>212</v>
      </c>
      <c r="C45" s="38" t="s">
        <v>201</v>
      </c>
      <c r="D45" s="38" t="s">
        <v>124</v>
      </c>
      <c r="E45" s="95">
        <v>0</v>
      </c>
      <c r="F45" s="96">
        <f>$F$32*'DIA-INCH'!$C21</f>
        <v>875000</v>
      </c>
      <c r="G45" s="97">
        <f t="shared" si="0"/>
        <v>2</v>
      </c>
      <c r="H45" s="97">
        <f t="shared" si="0"/>
        <v>1750000</v>
      </c>
      <c r="I45" s="94">
        <v>2</v>
      </c>
      <c r="J45" s="94">
        <v>1750000</v>
      </c>
      <c r="K45" s="97">
        <f t="shared" si="3"/>
        <v>0</v>
      </c>
      <c r="L45" s="97">
        <f t="shared" si="4"/>
        <v>0</v>
      </c>
      <c r="M45" s="97">
        <f t="shared" si="2"/>
        <v>2</v>
      </c>
      <c r="N45" s="97">
        <f t="shared" si="2"/>
        <v>1750000</v>
      </c>
    </row>
    <row r="46" spans="2:16" ht="27.9" hidden="1" customHeight="1">
      <c r="B46" s="94" t="s">
        <v>214</v>
      </c>
      <c r="C46" s="38" t="s">
        <v>203</v>
      </c>
      <c r="D46" s="38" t="s">
        <v>124</v>
      </c>
      <c r="E46" s="95">
        <v>0</v>
      </c>
      <c r="F46" s="96">
        <f>$F$32*'DIA-INCH'!$C22</f>
        <v>1050000</v>
      </c>
      <c r="G46" s="97">
        <f t="shared" si="0"/>
        <v>0</v>
      </c>
      <c r="H46" s="97">
        <f t="shared" si="0"/>
        <v>0</v>
      </c>
      <c r="I46" s="94">
        <v>0</v>
      </c>
      <c r="J46" s="94">
        <v>0</v>
      </c>
      <c r="K46" s="97">
        <f t="shared" si="3"/>
        <v>0</v>
      </c>
      <c r="L46" s="97">
        <f t="shared" si="4"/>
        <v>0</v>
      </c>
      <c r="M46" s="97">
        <f t="shared" si="2"/>
        <v>0</v>
      </c>
      <c r="N46" s="97">
        <f t="shared" si="2"/>
        <v>0</v>
      </c>
    </row>
    <row r="47" spans="2:16" ht="27.9" hidden="1" customHeight="1">
      <c r="B47" s="94" t="s">
        <v>212</v>
      </c>
      <c r="C47" s="38" t="s">
        <v>206</v>
      </c>
      <c r="D47" s="38" t="s">
        <v>213</v>
      </c>
      <c r="E47" s="95">
        <v>0</v>
      </c>
      <c r="F47" s="96">
        <f>$F$32*'DIA-INCH'!$C23</f>
        <v>1225000</v>
      </c>
      <c r="G47" s="97">
        <f t="shared" si="0"/>
        <v>0</v>
      </c>
      <c r="H47" s="97">
        <f t="shared" si="0"/>
        <v>0</v>
      </c>
      <c r="I47" s="94">
        <v>0</v>
      </c>
      <c r="J47" s="94">
        <v>0</v>
      </c>
      <c r="K47" s="97">
        <f t="shared" si="3"/>
        <v>0</v>
      </c>
      <c r="L47" s="97">
        <f t="shared" si="4"/>
        <v>0</v>
      </c>
      <c r="M47" s="97">
        <f t="shared" si="2"/>
        <v>0</v>
      </c>
      <c r="N47" s="97">
        <f t="shared" si="2"/>
        <v>0</v>
      </c>
    </row>
    <row r="48" spans="2:16" ht="27.9" hidden="1" customHeight="1">
      <c r="B48" s="94" t="s">
        <v>212</v>
      </c>
      <c r="C48" s="38" t="s">
        <v>207</v>
      </c>
      <c r="D48" s="38" t="s">
        <v>218</v>
      </c>
      <c r="E48" s="95">
        <v>0</v>
      </c>
      <c r="F48" s="96">
        <f>$F$32*'DIA-INCH'!$C24</f>
        <v>1400000</v>
      </c>
      <c r="G48" s="97">
        <f t="shared" si="0"/>
        <v>0</v>
      </c>
      <c r="H48" s="97">
        <f t="shared" si="0"/>
        <v>0</v>
      </c>
      <c r="I48" s="94">
        <v>0</v>
      </c>
      <c r="J48" s="94">
        <v>0</v>
      </c>
      <c r="K48" s="97">
        <f t="shared" si="3"/>
        <v>0</v>
      </c>
      <c r="L48" s="97">
        <f t="shared" si="4"/>
        <v>0</v>
      </c>
      <c r="M48" s="97">
        <f t="shared" si="2"/>
        <v>0</v>
      </c>
      <c r="N48" s="97">
        <f t="shared" si="2"/>
        <v>0</v>
      </c>
    </row>
    <row r="49" spans="2:14" ht="27.9" hidden="1" customHeight="1">
      <c r="B49" s="94" t="s">
        <v>215</v>
      </c>
      <c r="C49" s="38" t="s">
        <v>208</v>
      </c>
      <c r="D49" s="38" t="s">
        <v>213</v>
      </c>
      <c r="E49" s="95">
        <v>0</v>
      </c>
      <c r="F49" s="96">
        <f>$F$32*'DIA-INCH'!$C25</f>
        <v>1575000</v>
      </c>
      <c r="G49" s="97">
        <f t="shared" si="0"/>
        <v>0</v>
      </c>
      <c r="H49" s="97">
        <f t="shared" si="0"/>
        <v>0</v>
      </c>
      <c r="I49" s="94">
        <v>0</v>
      </c>
      <c r="J49" s="94">
        <v>0</v>
      </c>
      <c r="K49" s="97">
        <f t="shared" si="3"/>
        <v>0</v>
      </c>
      <c r="L49" s="97">
        <f t="shared" si="4"/>
        <v>0</v>
      </c>
      <c r="M49" s="97">
        <f t="shared" si="2"/>
        <v>0</v>
      </c>
      <c r="N49" s="97">
        <f t="shared" si="2"/>
        <v>0</v>
      </c>
    </row>
    <row r="50" spans="2:14" ht="27.9" hidden="1" customHeight="1">
      <c r="B50" s="94" t="s">
        <v>212</v>
      </c>
      <c r="C50" s="38" t="s">
        <v>210</v>
      </c>
      <c r="D50" s="38" t="s">
        <v>213</v>
      </c>
      <c r="E50" s="95">
        <v>0</v>
      </c>
      <c r="F50" s="96">
        <f>$F$32*'DIA-INCH'!$C26</f>
        <v>1750000</v>
      </c>
      <c r="G50" s="97">
        <f t="shared" si="0"/>
        <v>0</v>
      </c>
      <c r="H50" s="97">
        <f t="shared" si="0"/>
        <v>0</v>
      </c>
      <c r="I50" s="94">
        <v>0</v>
      </c>
      <c r="J50" s="94">
        <v>0</v>
      </c>
      <c r="K50" s="97">
        <f t="shared" si="3"/>
        <v>0</v>
      </c>
      <c r="L50" s="97">
        <f t="shared" si="4"/>
        <v>0</v>
      </c>
      <c r="M50" s="97">
        <f t="shared" si="2"/>
        <v>0</v>
      </c>
      <c r="N50" s="97">
        <f t="shared" si="2"/>
        <v>0</v>
      </c>
    </row>
    <row r="51" spans="2:14" ht="27.9" hidden="1" customHeight="1">
      <c r="B51" s="94" t="s">
        <v>215</v>
      </c>
      <c r="C51" s="38" t="s">
        <v>211</v>
      </c>
      <c r="D51" s="38" t="s">
        <v>218</v>
      </c>
      <c r="E51" s="95">
        <v>0</v>
      </c>
      <c r="F51" s="96">
        <f>$F$32*'DIA-INCH'!$C27</f>
        <v>1925000</v>
      </c>
      <c r="G51" s="97">
        <f t="shared" si="0"/>
        <v>0</v>
      </c>
      <c r="H51" s="97">
        <f t="shared" si="0"/>
        <v>0</v>
      </c>
      <c r="I51" s="94">
        <v>0</v>
      </c>
      <c r="J51" s="94">
        <v>0</v>
      </c>
      <c r="K51" s="97">
        <f t="shared" si="3"/>
        <v>0</v>
      </c>
      <c r="L51" s="97">
        <f t="shared" si="4"/>
        <v>0</v>
      </c>
      <c r="M51" s="97">
        <f t="shared" si="2"/>
        <v>0</v>
      </c>
      <c r="N51" s="97">
        <f t="shared" si="2"/>
        <v>0</v>
      </c>
    </row>
    <row r="52" spans="2:14" ht="27.9" customHeight="1">
      <c r="B52" s="323" t="s">
        <v>220</v>
      </c>
      <c r="C52" s="324"/>
      <c r="D52" s="324"/>
      <c r="E52" s="324"/>
      <c r="F52" s="325"/>
      <c r="G52" s="149">
        <f>SUM(G6:G51)</f>
        <v>13006.5</v>
      </c>
      <c r="H52" s="98">
        <f t="shared" ref="H52:N52" si="5">SUM(H6:H51)</f>
        <v>5562784000</v>
      </c>
      <c r="I52" s="149">
        <f t="shared" si="5"/>
        <v>12840</v>
      </c>
      <c r="J52" s="98">
        <f t="shared" si="5"/>
        <v>5499197500</v>
      </c>
      <c r="K52" s="149">
        <f t="shared" si="5"/>
        <v>166.5</v>
      </c>
      <c r="L52" s="98">
        <f t="shared" si="5"/>
        <v>63586500</v>
      </c>
      <c r="M52" s="149">
        <f t="shared" si="5"/>
        <v>13006.5</v>
      </c>
      <c r="N52" s="98">
        <f t="shared" si="5"/>
        <v>5562784000</v>
      </c>
    </row>
    <row r="56" spans="2:14">
      <c r="H56" s="173"/>
    </row>
  </sheetData>
  <mergeCells count="11">
    <mergeCell ref="B52:F52"/>
    <mergeCell ref="B2:N2"/>
    <mergeCell ref="B4:B5"/>
    <mergeCell ref="C4:C5"/>
    <mergeCell ref="D4:D5"/>
    <mergeCell ref="E4:E5"/>
    <mergeCell ref="F4:F5"/>
    <mergeCell ref="G4:H4"/>
    <mergeCell ref="I4:J4"/>
    <mergeCell ref="K4:L4"/>
    <mergeCell ref="M4:N4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56" fitToHeight="0" orientation="landscape" r:id="rId1"/>
  <headerFooter>
    <oddFooter>&amp;C&amp;P/&amp;N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603D-303A-4A18-8667-D6B882C32923}">
  <sheetPr>
    <pageSetUpPr fitToPage="1"/>
  </sheetPr>
  <dimension ref="A1:L14"/>
  <sheetViews>
    <sheetView view="pageBreakPreview" zoomScale="85" zoomScaleNormal="115" zoomScaleSheetLayoutView="85" workbookViewId="0">
      <selection activeCell="C13" sqref="C13"/>
    </sheetView>
  </sheetViews>
  <sheetFormatPr defaultRowHeight="15.6"/>
  <cols>
    <col min="1" max="1" width="9.3984375" style="160" customWidth="1"/>
    <col min="2" max="2" width="21.59765625" style="161" bestFit="1" customWidth="1"/>
    <col min="3" max="3" width="13.3984375" style="160" customWidth="1"/>
    <col min="4" max="4" width="41.19921875" style="161" bestFit="1" customWidth="1"/>
    <col min="5" max="5" width="41.09765625" style="161" bestFit="1" customWidth="1"/>
    <col min="6" max="6" width="20.09765625" style="161" bestFit="1" customWidth="1"/>
    <col min="7" max="7" width="8" style="162" customWidth="1"/>
    <col min="8" max="8" width="14.19921875" style="163" customWidth="1"/>
    <col min="9" max="9" width="15.09765625" style="163" bestFit="1" customWidth="1"/>
    <col min="10" max="10" width="23.3984375" style="161" customWidth="1"/>
    <col min="11" max="256" width="9" style="17"/>
    <col min="257" max="257" width="9.3984375" style="17" customWidth="1"/>
    <col min="258" max="258" width="21.59765625" style="17" bestFit="1" customWidth="1"/>
    <col min="259" max="259" width="13.3984375" style="17" customWidth="1"/>
    <col min="260" max="260" width="41.19921875" style="17" bestFit="1" customWidth="1"/>
    <col min="261" max="261" width="41.09765625" style="17" bestFit="1" customWidth="1"/>
    <col min="262" max="262" width="20.09765625" style="17" bestFit="1" customWidth="1"/>
    <col min="263" max="263" width="8" style="17" customWidth="1"/>
    <col min="264" max="264" width="14.19921875" style="17" customWidth="1"/>
    <col min="265" max="265" width="15.09765625" style="17" bestFit="1" customWidth="1"/>
    <col min="266" max="266" width="23.3984375" style="17" customWidth="1"/>
    <col min="267" max="512" width="9" style="17"/>
    <col min="513" max="513" width="9.3984375" style="17" customWidth="1"/>
    <col min="514" max="514" width="21.59765625" style="17" bestFit="1" customWidth="1"/>
    <col min="515" max="515" width="13.3984375" style="17" customWidth="1"/>
    <col min="516" max="516" width="41.19921875" style="17" bestFit="1" customWidth="1"/>
    <col min="517" max="517" width="41.09765625" style="17" bestFit="1" customWidth="1"/>
    <col min="518" max="518" width="20.09765625" style="17" bestFit="1" customWidth="1"/>
    <col min="519" max="519" width="8" style="17" customWidth="1"/>
    <col min="520" max="520" width="14.19921875" style="17" customWidth="1"/>
    <col min="521" max="521" width="15.09765625" style="17" bestFit="1" customWidth="1"/>
    <col min="522" max="522" width="23.3984375" style="17" customWidth="1"/>
    <col min="523" max="768" width="9" style="17"/>
    <col min="769" max="769" width="9.3984375" style="17" customWidth="1"/>
    <col min="770" max="770" width="21.59765625" style="17" bestFit="1" customWidth="1"/>
    <col min="771" max="771" width="13.3984375" style="17" customWidth="1"/>
    <col min="772" max="772" width="41.19921875" style="17" bestFit="1" customWidth="1"/>
    <col min="773" max="773" width="41.09765625" style="17" bestFit="1" customWidth="1"/>
    <col min="774" max="774" width="20.09765625" style="17" bestFit="1" customWidth="1"/>
    <col min="775" max="775" width="8" style="17" customWidth="1"/>
    <col min="776" max="776" width="14.19921875" style="17" customWidth="1"/>
    <col min="777" max="777" width="15.09765625" style="17" bestFit="1" customWidth="1"/>
    <col min="778" max="778" width="23.3984375" style="17" customWidth="1"/>
    <col min="779" max="1024" width="9" style="17"/>
    <col min="1025" max="1025" width="9.3984375" style="17" customWidth="1"/>
    <col min="1026" max="1026" width="21.59765625" style="17" bestFit="1" customWidth="1"/>
    <col min="1027" max="1027" width="13.3984375" style="17" customWidth="1"/>
    <col min="1028" max="1028" width="41.19921875" style="17" bestFit="1" customWidth="1"/>
    <col min="1029" max="1029" width="41.09765625" style="17" bestFit="1" customWidth="1"/>
    <col min="1030" max="1030" width="20.09765625" style="17" bestFit="1" customWidth="1"/>
    <col min="1031" max="1031" width="8" style="17" customWidth="1"/>
    <col min="1032" max="1032" width="14.19921875" style="17" customWidth="1"/>
    <col min="1033" max="1033" width="15.09765625" style="17" bestFit="1" customWidth="1"/>
    <col min="1034" max="1034" width="23.3984375" style="17" customWidth="1"/>
    <col min="1035" max="1280" width="9" style="17"/>
    <col min="1281" max="1281" width="9.3984375" style="17" customWidth="1"/>
    <col min="1282" max="1282" width="21.59765625" style="17" bestFit="1" customWidth="1"/>
    <col min="1283" max="1283" width="13.3984375" style="17" customWidth="1"/>
    <col min="1284" max="1284" width="41.19921875" style="17" bestFit="1" customWidth="1"/>
    <col min="1285" max="1285" width="41.09765625" style="17" bestFit="1" customWidth="1"/>
    <col min="1286" max="1286" width="20.09765625" style="17" bestFit="1" customWidth="1"/>
    <col min="1287" max="1287" width="8" style="17" customWidth="1"/>
    <col min="1288" max="1288" width="14.19921875" style="17" customWidth="1"/>
    <col min="1289" max="1289" width="15.09765625" style="17" bestFit="1" customWidth="1"/>
    <col min="1290" max="1290" width="23.3984375" style="17" customWidth="1"/>
    <col min="1291" max="1536" width="9" style="17"/>
    <col min="1537" max="1537" width="9.3984375" style="17" customWidth="1"/>
    <col min="1538" max="1538" width="21.59765625" style="17" bestFit="1" customWidth="1"/>
    <col min="1539" max="1539" width="13.3984375" style="17" customWidth="1"/>
    <col min="1540" max="1540" width="41.19921875" style="17" bestFit="1" customWidth="1"/>
    <col min="1541" max="1541" width="41.09765625" style="17" bestFit="1" customWidth="1"/>
    <col min="1542" max="1542" width="20.09765625" style="17" bestFit="1" customWidth="1"/>
    <col min="1543" max="1543" width="8" style="17" customWidth="1"/>
    <col min="1544" max="1544" width="14.19921875" style="17" customWidth="1"/>
    <col min="1545" max="1545" width="15.09765625" style="17" bestFit="1" customWidth="1"/>
    <col min="1546" max="1546" width="23.3984375" style="17" customWidth="1"/>
    <col min="1547" max="1792" width="9" style="17"/>
    <col min="1793" max="1793" width="9.3984375" style="17" customWidth="1"/>
    <col min="1794" max="1794" width="21.59765625" style="17" bestFit="1" customWidth="1"/>
    <col min="1795" max="1795" width="13.3984375" style="17" customWidth="1"/>
    <col min="1796" max="1796" width="41.19921875" style="17" bestFit="1" customWidth="1"/>
    <col min="1797" max="1797" width="41.09765625" style="17" bestFit="1" customWidth="1"/>
    <col min="1798" max="1798" width="20.09765625" style="17" bestFit="1" customWidth="1"/>
    <col min="1799" max="1799" width="8" style="17" customWidth="1"/>
    <col min="1800" max="1800" width="14.19921875" style="17" customWidth="1"/>
    <col min="1801" max="1801" width="15.09765625" style="17" bestFit="1" customWidth="1"/>
    <col min="1802" max="1802" width="23.3984375" style="17" customWidth="1"/>
    <col min="1803" max="2048" width="9" style="17"/>
    <col min="2049" max="2049" width="9.3984375" style="17" customWidth="1"/>
    <col min="2050" max="2050" width="21.59765625" style="17" bestFit="1" customWidth="1"/>
    <col min="2051" max="2051" width="13.3984375" style="17" customWidth="1"/>
    <col min="2052" max="2052" width="41.19921875" style="17" bestFit="1" customWidth="1"/>
    <col min="2053" max="2053" width="41.09765625" style="17" bestFit="1" customWidth="1"/>
    <col min="2054" max="2054" width="20.09765625" style="17" bestFit="1" customWidth="1"/>
    <col min="2055" max="2055" width="8" style="17" customWidth="1"/>
    <col min="2056" max="2056" width="14.19921875" style="17" customWidth="1"/>
    <col min="2057" max="2057" width="15.09765625" style="17" bestFit="1" customWidth="1"/>
    <col min="2058" max="2058" width="23.3984375" style="17" customWidth="1"/>
    <col min="2059" max="2304" width="9" style="17"/>
    <col min="2305" max="2305" width="9.3984375" style="17" customWidth="1"/>
    <col min="2306" max="2306" width="21.59765625" style="17" bestFit="1" customWidth="1"/>
    <col min="2307" max="2307" width="13.3984375" style="17" customWidth="1"/>
    <col min="2308" max="2308" width="41.19921875" style="17" bestFit="1" customWidth="1"/>
    <col min="2309" max="2309" width="41.09765625" style="17" bestFit="1" customWidth="1"/>
    <col min="2310" max="2310" width="20.09765625" style="17" bestFit="1" customWidth="1"/>
    <col min="2311" max="2311" width="8" style="17" customWidth="1"/>
    <col min="2312" max="2312" width="14.19921875" style="17" customWidth="1"/>
    <col min="2313" max="2313" width="15.09765625" style="17" bestFit="1" customWidth="1"/>
    <col min="2314" max="2314" width="23.3984375" style="17" customWidth="1"/>
    <col min="2315" max="2560" width="9" style="17"/>
    <col min="2561" max="2561" width="9.3984375" style="17" customWidth="1"/>
    <col min="2562" max="2562" width="21.59765625" style="17" bestFit="1" customWidth="1"/>
    <col min="2563" max="2563" width="13.3984375" style="17" customWidth="1"/>
    <col min="2564" max="2564" width="41.19921875" style="17" bestFit="1" customWidth="1"/>
    <col min="2565" max="2565" width="41.09765625" style="17" bestFit="1" customWidth="1"/>
    <col min="2566" max="2566" width="20.09765625" style="17" bestFit="1" customWidth="1"/>
    <col min="2567" max="2567" width="8" style="17" customWidth="1"/>
    <col min="2568" max="2568" width="14.19921875" style="17" customWidth="1"/>
    <col min="2569" max="2569" width="15.09765625" style="17" bestFit="1" customWidth="1"/>
    <col min="2570" max="2570" width="23.3984375" style="17" customWidth="1"/>
    <col min="2571" max="2816" width="9" style="17"/>
    <col min="2817" max="2817" width="9.3984375" style="17" customWidth="1"/>
    <col min="2818" max="2818" width="21.59765625" style="17" bestFit="1" customWidth="1"/>
    <col min="2819" max="2819" width="13.3984375" style="17" customWidth="1"/>
    <col min="2820" max="2820" width="41.19921875" style="17" bestFit="1" customWidth="1"/>
    <col min="2821" max="2821" width="41.09765625" style="17" bestFit="1" customWidth="1"/>
    <col min="2822" max="2822" width="20.09765625" style="17" bestFit="1" customWidth="1"/>
    <col min="2823" max="2823" width="8" style="17" customWidth="1"/>
    <col min="2824" max="2824" width="14.19921875" style="17" customWidth="1"/>
    <col min="2825" max="2825" width="15.09765625" style="17" bestFit="1" customWidth="1"/>
    <col min="2826" max="2826" width="23.3984375" style="17" customWidth="1"/>
    <col min="2827" max="3072" width="9" style="17"/>
    <col min="3073" max="3073" width="9.3984375" style="17" customWidth="1"/>
    <col min="3074" max="3074" width="21.59765625" style="17" bestFit="1" customWidth="1"/>
    <col min="3075" max="3075" width="13.3984375" style="17" customWidth="1"/>
    <col min="3076" max="3076" width="41.19921875" style="17" bestFit="1" customWidth="1"/>
    <col min="3077" max="3077" width="41.09765625" style="17" bestFit="1" customWidth="1"/>
    <col min="3078" max="3078" width="20.09765625" style="17" bestFit="1" customWidth="1"/>
    <col min="3079" max="3079" width="8" style="17" customWidth="1"/>
    <col min="3080" max="3080" width="14.19921875" style="17" customWidth="1"/>
    <col min="3081" max="3081" width="15.09765625" style="17" bestFit="1" customWidth="1"/>
    <col min="3082" max="3082" width="23.3984375" style="17" customWidth="1"/>
    <col min="3083" max="3328" width="9" style="17"/>
    <col min="3329" max="3329" width="9.3984375" style="17" customWidth="1"/>
    <col min="3330" max="3330" width="21.59765625" style="17" bestFit="1" customWidth="1"/>
    <col min="3331" max="3331" width="13.3984375" style="17" customWidth="1"/>
    <col min="3332" max="3332" width="41.19921875" style="17" bestFit="1" customWidth="1"/>
    <col min="3333" max="3333" width="41.09765625" style="17" bestFit="1" customWidth="1"/>
    <col min="3334" max="3334" width="20.09765625" style="17" bestFit="1" customWidth="1"/>
    <col min="3335" max="3335" width="8" style="17" customWidth="1"/>
    <col min="3336" max="3336" width="14.19921875" style="17" customWidth="1"/>
    <col min="3337" max="3337" width="15.09765625" style="17" bestFit="1" customWidth="1"/>
    <col min="3338" max="3338" width="23.3984375" style="17" customWidth="1"/>
    <col min="3339" max="3584" width="9" style="17"/>
    <col min="3585" max="3585" width="9.3984375" style="17" customWidth="1"/>
    <col min="3586" max="3586" width="21.59765625" style="17" bestFit="1" customWidth="1"/>
    <col min="3587" max="3587" width="13.3984375" style="17" customWidth="1"/>
    <col min="3588" max="3588" width="41.19921875" style="17" bestFit="1" customWidth="1"/>
    <col min="3589" max="3589" width="41.09765625" style="17" bestFit="1" customWidth="1"/>
    <col min="3590" max="3590" width="20.09765625" style="17" bestFit="1" customWidth="1"/>
    <col min="3591" max="3591" width="8" style="17" customWidth="1"/>
    <col min="3592" max="3592" width="14.19921875" style="17" customWidth="1"/>
    <col min="3593" max="3593" width="15.09765625" style="17" bestFit="1" customWidth="1"/>
    <col min="3594" max="3594" width="23.3984375" style="17" customWidth="1"/>
    <col min="3595" max="3840" width="9" style="17"/>
    <col min="3841" max="3841" width="9.3984375" style="17" customWidth="1"/>
    <col min="3842" max="3842" width="21.59765625" style="17" bestFit="1" customWidth="1"/>
    <col min="3843" max="3843" width="13.3984375" style="17" customWidth="1"/>
    <col min="3844" max="3844" width="41.19921875" style="17" bestFit="1" customWidth="1"/>
    <col min="3845" max="3845" width="41.09765625" style="17" bestFit="1" customWidth="1"/>
    <col min="3846" max="3846" width="20.09765625" style="17" bestFit="1" customWidth="1"/>
    <col min="3847" max="3847" width="8" style="17" customWidth="1"/>
    <col min="3848" max="3848" width="14.19921875" style="17" customWidth="1"/>
    <col min="3849" max="3849" width="15.09765625" style="17" bestFit="1" customWidth="1"/>
    <col min="3850" max="3850" width="23.3984375" style="17" customWidth="1"/>
    <col min="3851" max="4096" width="9" style="17"/>
    <col min="4097" max="4097" width="9.3984375" style="17" customWidth="1"/>
    <col min="4098" max="4098" width="21.59765625" style="17" bestFit="1" customWidth="1"/>
    <col min="4099" max="4099" width="13.3984375" style="17" customWidth="1"/>
    <col min="4100" max="4100" width="41.19921875" style="17" bestFit="1" customWidth="1"/>
    <col min="4101" max="4101" width="41.09765625" style="17" bestFit="1" customWidth="1"/>
    <col min="4102" max="4102" width="20.09765625" style="17" bestFit="1" customWidth="1"/>
    <col min="4103" max="4103" width="8" style="17" customWidth="1"/>
    <col min="4104" max="4104" width="14.19921875" style="17" customWidth="1"/>
    <col min="4105" max="4105" width="15.09765625" style="17" bestFit="1" customWidth="1"/>
    <col min="4106" max="4106" width="23.3984375" style="17" customWidth="1"/>
    <col min="4107" max="4352" width="9" style="17"/>
    <col min="4353" max="4353" width="9.3984375" style="17" customWidth="1"/>
    <col min="4354" max="4354" width="21.59765625" style="17" bestFit="1" customWidth="1"/>
    <col min="4355" max="4355" width="13.3984375" style="17" customWidth="1"/>
    <col min="4356" max="4356" width="41.19921875" style="17" bestFit="1" customWidth="1"/>
    <col min="4357" max="4357" width="41.09765625" style="17" bestFit="1" customWidth="1"/>
    <col min="4358" max="4358" width="20.09765625" style="17" bestFit="1" customWidth="1"/>
    <col min="4359" max="4359" width="8" style="17" customWidth="1"/>
    <col min="4360" max="4360" width="14.19921875" style="17" customWidth="1"/>
    <col min="4361" max="4361" width="15.09765625" style="17" bestFit="1" customWidth="1"/>
    <col min="4362" max="4362" width="23.3984375" style="17" customWidth="1"/>
    <col min="4363" max="4608" width="9" style="17"/>
    <col min="4609" max="4609" width="9.3984375" style="17" customWidth="1"/>
    <col min="4610" max="4610" width="21.59765625" style="17" bestFit="1" customWidth="1"/>
    <col min="4611" max="4611" width="13.3984375" style="17" customWidth="1"/>
    <col min="4612" max="4612" width="41.19921875" style="17" bestFit="1" customWidth="1"/>
    <col min="4613" max="4613" width="41.09765625" style="17" bestFit="1" customWidth="1"/>
    <col min="4614" max="4614" width="20.09765625" style="17" bestFit="1" customWidth="1"/>
    <col min="4615" max="4615" width="8" style="17" customWidth="1"/>
    <col min="4616" max="4616" width="14.19921875" style="17" customWidth="1"/>
    <col min="4617" max="4617" width="15.09765625" style="17" bestFit="1" customWidth="1"/>
    <col min="4618" max="4618" width="23.3984375" style="17" customWidth="1"/>
    <col min="4619" max="4864" width="9" style="17"/>
    <col min="4865" max="4865" width="9.3984375" style="17" customWidth="1"/>
    <col min="4866" max="4866" width="21.59765625" style="17" bestFit="1" customWidth="1"/>
    <col min="4867" max="4867" width="13.3984375" style="17" customWidth="1"/>
    <col min="4868" max="4868" width="41.19921875" style="17" bestFit="1" customWidth="1"/>
    <col min="4869" max="4869" width="41.09765625" style="17" bestFit="1" customWidth="1"/>
    <col min="4870" max="4870" width="20.09765625" style="17" bestFit="1" customWidth="1"/>
    <col min="4871" max="4871" width="8" style="17" customWidth="1"/>
    <col min="4872" max="4872" width="14.19921875" style="17" customWidth="1"/>
    <col min="4873" max="4873" width="15.09765625" style="17" bestFit="1" customWidth="1"/>
    <col min="4874" max="4874" width="23.3984375" style="17" customWidth="1"/>
    <col min="4875" max="5120" width="9" style="17"/>
    <col min="5121" max="5121" width="9.3984375" style="17" customWidth="1"/>
    <col min="5122" max="5122" width="21.59765625" style="17" bestFit="1" customWidth="1"/>
    <col min="5123" max="5123" width="13.3984375" style="17" customWidth="1"/>
    <col min="5124" max="5124" width="41.19921875" style="17" bestFit="1" customWidth="1"/>
    <col min="5125" max="5125" width="41.09765625" style="17" bestFit="1" customWidth="1"/>
    <col min="5126" max="5126" width="20.09765625" style="17" bestFit="1" customWidth="1"/>
    <col min="5127" max="5127" width="8" style="17" customWidth="1"/>
    <col min="5128" max="5128" width="14.19921875" style="17" customWidth="1"/>
    <col min="5129" max="5129" width="15.09765625" style="17" bestFit="1" customWidth="1"/>
    <col min="5130" max="5130" width="23.3984375" style="17" customWidth="1"/>
    <col min="5131" max="5376" width="9" style="17"/>
    <col min="5377" max="5377" width="9.3984375" style="17" customWidth="1"/>
    <col min="5378" max="5378" width="21.59765625" style="17" bestFit="1" customWidth="1"/>
    <col min="5379" max="5379" width="13.3984375" style="17" customWidth="1"/>
    <col min="5380" max="5380" width="41.19921875" style="17" bestFit="1" customWidth="1"/>
    <col min="5381" max="5381" width="41.09765625" style="17" bestFit="1" customWidth="1"/>
    <col min="5382" max="5382" width="20.09765625" style="17" bestFit="1" customWidth="1"/>
    <col min="5383" max="5383" width="8" style="17" customWidth="1"/>
    <col min="5384" max="5384" width="14.19921875" style="17" customWidth="1"/>
    <col min="5385" max="5385" width="15.09765625" style="17" bestFit="1" customWidth="1"/>
    <col min="5386" max="5386" width="23.3984375" style="17" customWidth="1"/>
    <col min="5387" max="5632" width="9" style="17"/>
    <col min="5633" max="5633" width="9.3984375" style="17" customWidth="1"/>
    <col min="5634" max="5634" width="21.59765625" style="17" bestFit="1" customWidth="1"/>
    <col min="5635" max="5635" width="13.3984375" style="17" customWidth="1"/>
    <col min="5636" max="5636" width="41.19921875" style="17" bestFit="1" customWidth="1"/>
    <col min="5637" max="5637" width="41.09765625" style="17" bestFit="1" customWidth="1"/>
    <col min="5638" max="5638" width="20.09765625" style="17" bestFit="1" customWidth="1"/>
    <col min="5639" max="5639" width="8" style="17" customWidth="1"/>
    <col min="5640" max="5640" width="14.19921875" style="17" customWidth="1"/>
    <col min="5641" max="5641" width="15.09765625" style="17" bestFit="1" customWidth="1"/>
    <col min="5642" max="5642" width="23.3984375" style="17" customWidth="1"/>
    <col min="5643" max="5888" width="9" style="17"/>
    <col min="5889" max="5889" width="9.3984375" style="17" customWidth="1"/>
    <col min="5890" max="5890" width="21.59765625" style="17" bestFit="1" customWidth="1"/>
    <col min="5891" max="5891" width="13.3984375" style="17" customWidth="1"/>
    <col min="5892" max="5892" width="41.19921875" style="17" bestFit="1" customWidth="1"/>
    <col min="5893" max="5893" width="41.09765625" style="17" bestFit="1" customWidth="1"/>
    <col min="5894" max="5894" width="20.09765625" style="17" bestFit="1" customWidth="1"/>
    <col min="5895" max="5895" width="8" style="17" customWidth="1"/>
    <col min="5896" max="5896" width="14.19921875" style="17" customWidth="1"/>
    <col min="5897" max="5897" width="15.09765625" style="17" bestFit="1" customWidth="1"/>
    <col min="5898" max="5898" width="23.3984375" style="17" customWidth="1"/>
    <col min="5899" max="6144" width="9" style="17"/>
    <col min="6145" max="6145" width="9.3984375" style="17" customWidth="1"/>
    <col min="6146" max="6146" width="21.59765625" style="17" bestFit="1" customWidth="1"/>
    <col min="6147" max="6147" width="13.3984375" style="17" customWidth="1"/>
    <col min="6148" max="6148" width="41.19921875" style="17" bestFit="1" customWidth="1"/>
    <col min="6149" max="6149" width="41.09765625" style="17" bestFit="1" customWidth="1"/>
    <col min="6150" max="6150" width="20.09765625" style="17" bestFit="1" customWidth="1"/>
    <col min="6151" max="6151" width="8" style="17" customWidth="1"/>
    <col min="6152" max="6152" width="14.19921875" style="17" customWidth="1"/>
    <col min="6153" max="6153" width="15.09765625" style="17" bestFit="1" customWidth="1"/>
    <col min="6154" max="6154" width="23.3984375" style="17" customWidth="1"/>
    <col min="6155" max="6400" width="9" style="17"/>
    <col min="6401" max="6401" width="9.3984375" style="17" customWidth="1"/>
    <col min="6402" max="6402" width="21.59765625" style="17" bestFit="1" customWidth="1"/>
    <col min="6403" max="6403" width="13.3984375" style="17" customWidth="1"/>
    <col min="6404" max="6404" width="41.19921875" style="17" bestFit="1" customWidth="1"/>
    <col min="6405" max="6405" width="41.09765625" style="17" bestFit="1" customWidth="1"/>
    <col min="6406" max="6406" width="20.09765625" style="17" bestFit="1" customWidth="1"/>
    <col min="6407" max="6407" width="8" style="17" customWidth="1"/>
    <col min="6408" max="6408" width="14.19921875" style="17" customWidth="1"/>
    <col min="6409" max="6409" width="15.09765625" style="17" bestFit="1" customWidth="1"/>
    <col min="6410" max="6410" width="23.3984375" style="17" customWidth="1"/>
    <col min="6411" max="6656" width="9" style="17"/>
    <col min="6657" max="6657" width="9.3984375" style="17" customWidth="1"/>
    <col min="6658" max="6658" width="21.59765625" style="17" bestFit="1" customWidth="1"/>
    <col min="6659" max="6659" width="13.3984375" style="17" customWidth="1"/>
    <col min="6660" max="6660" width="41.19921875" style="17" bestFit="1" customWidth="1"/>
    <col min="6661" max="6661" width="41.09765625" style="17" bestFit="1" customWidth="1"/>
    <col min="6662" max="6662" width="20.09765625" style="17" bestFit="1" customWidth="1"/>
    <col min="6663" max="6663" width="8" style="17" customWidth="1"/>
    <col min="6664" max="6664" width="14.19921875" style="17" customWidth="1"/>
    <col min="6665" max="6665" width="15.09765625" style="17" bestFit="1" customWidth="1"/>
    <col min="6666" max="6666" width="23.3984375" style="17" customWidth="1"/>
    <col min="6667" max="6912" width="9" style="17"/>
    <col min="6913" max="6913" width="9.3984375" style="17" customWidth="1"/>
    <col min="6914" max="6914" width="21.59765625" style="17" bestFit="1" customWidth="1"/>
    <col min="6915" max="6915" width="13.3984375" style="17" customWidth="1"/>
    <col min="6916" max="6916" width="41.19921875" style="17" bestFit="1" customWidth="1"/>
    <col min="6917" max="6917" width="41.09765625" style="17" bestFit="1" customWidth="1"/>
    <col min="6918" max="6918" width="20.09765625" style="17" bestFit="1" customWidth="1"/>
    <col min="6919" max="6919" width="8" style="17" customWidth="1"/>
    <col min="6920" max="6920" width="14.19921875" style="17" customWidth="1"/>
    <col min="6921" max="6921" width="15.09765625" style="17" bestFit="1" customWidth="1"/>
    <col min="6922" max="6922" width="23.3984375" style="17" customWidth="1"/>
    <col min="6923" max="7168" width="9" style="17"/>
    <col min="7169" max="7169" width="9.3984375" style="17" customWidth="1"/>
    <col min="7170" max="7170" width="21.59765625" style="17" bestFit="1" customWidth="1"/>
    <col min="7171" max="7171" width="13.3984375" style="17" customWidth="1"/>
    <col min="7172" max="7172" width="41.19921875" style="17" bestFit="1" customWidth="1"/>
    <col min="7173" max="7173" width="41.09765625" style="17" bestFit="1" customWidth="1"/>
    <col min="7174" max="7174" width="20.09765625" style="17" bestFit="1" customWidth="1"/>
    <col min="7175" max="7175" width="8" style="17" customWidth="1"/>
    <col min="7176" max="7176" width="14.19921875" style="17" customWidth="1"/>
    <col min="7177" max="7177" width="15.09765625" style="17" bestFit="1" customWidth="1"/>
    <col min="7178" max="7178" width="23.3984375" style="17" customWidth="1"/>
    <col min="7179" max="7424" width="9" style="17"/>
    <col min="7425" max="7425" width="9.3984375" style="17" customWidth="1"/>
    <col min="7426" max="7426" width="21.59765625" style="17" bestFit="1" customWidth="1"/>
    <col min="7427" max="7427" width="13.3984375" style="17" customWidth="1"/>
    <col min="7428" max="7428" width="41.19921875" style="17" bestFit="1" customWidth="1"/>
    <col min="7429" max="7429" width="41.09765625" style="17" bestFit="1" customWidth="1"/>
    <col min="7430" max="7430" width="20.09765625" style="17" bestFit="1" customWidth="1"/>
    <col min="7431" max="7431" width="8" style="17" customWidth="1"/>
    <col min="7432" max="7432" width="14.19921875" style="17" customWidth="1"/>
    <col min="7433" max="7433" width="15.09765625" style="17" bestFit="1" customWidth="1"/>
    <col min="7434" max="7434" width="23.3984375" style="17" customWidth="1"/>
    <col min="7435" max="7680" width="9" style="17"/>
    <col min="7681" max="7681" width="9.3984375" style="17" customWidth="1"/>
    <col min="7682" max="7682" width="21.59765625" style="17" bestFit="1" customWidth="1"/>
    <col min="7683" max="7683" width="13.3984375" style="17" customWidth="1"/>
    <col min="7684" max="7684" width="41.19921875" style="17" bestFit="1" customWidth="1"/>
    <col min="7685" max="7685" width="41.09765625" style="17" bestFit="1" customWidth="1"/>
    <col min="7686" max="7686" width="20.09765625" style="17" bestFit="1" customWidth="1"/>
    <col min="7687" max="7687" width="8" style="17" customWidth="1"/>
    <col min="7688" max="7688" width="14.19921875" style="17" customWidth="1"/>
    <col min="7689" max="7689" width="15.09765625" style="17" bestFit="1" customWidth="1"/>
    <col min="7690" max="7690" width="23.3984375" style="17" customWidth="1"/>
    <col min="7691" max="7936" width="9" style="17"/>
    <col min="7937" max="7937" width="9.3984375" style="17" customWidth="1"/>
    <col min="7938" max="7938" width="21.59765625" style="17" bestFit="1" customWidth="1"/>
    <col min="7939" max="7939" width="13.3984375" style="17" customWidth="1"/>
    <col min="7940" max="7940" width="41.19921875" style="17" bestFit="1" customWidth="1"/>
    <col min="7941" max="7941" width="41.09765625" style="17" bestFit="1" customWidth="1"/>
    <col min="7942" max="7942" width="20.09765625" style="17" bestFit="1" customWidth="1"/>
    <col min="7943" max="7943" width="8" style="17" customWidth="1"/>
    <col min="7944" max="7944" width="14.19921875" style="17" customWidth="1"/>
    <col min="7945" max="7945" width="15.09765625" style="17" bestFit="1" customWidth="1"/>
    <col min="7946" max="7946" width="23.3984375" style="17" customWidth="1"/>
    <col min="7947" max="8192" width="9" style="17"/>
    <col min="8193" max="8193" width="9.3984375" style="17" customWidth="1"/>
    <col min="8194" max="8194" width="21.59765625" style="17" bestFit="1" customWidth="1"/>
    <col min="8195" max="8195" width="13.3984375" style="17" customWidth="1"/>
    <col min="8196" max="8196" width="41.19921875" style="17" bestFit="1" customWidth="1"/>
    <col min="8197" max="8197" width="41.09765625" style="17" bestFit="1" customWidth="1"/>
    <col min="8198" max="8198" width="20.09765625" style="17" bestFit="1" customWidth="1"/>
    <col min="8199" max="8199" width="8" style="17" customWidth="1"/>
    <col min="8200" max="8200" width="14.19921875" style="17" customWidth="1"/>
    <col min="8201" max="8201" width="15.09765625" style="17" bestFit="1" customWidth="1"/>
    <col min="8202" max="8202" width="23.3984375" style="17" customWidth="1"/>
    <col min="8203" max="8448" width="9" style="17"/>
    <col min="8449" max="8449" width="9.3984375" style="17" customWidth="1"/>
    <col min="8450" max="8450" width="21.59765625" style="17" bestFit="1" customWidth="1"/>
    <col min="8451" max="8451" width="13.3984375" style="17" customWidth="1"/>
    <col min="8452" max="8452" width="41.19921875" style="17" bestFit="1" customWidth="1"/>
    <col min="8453" max="8453" width="41.09765625" style="17" bestFit="1" customWidth="1"/>
    <col min="8454" max="8454" width="20.09765625" style="17" bestFit="1" customWidth="1"/>
    <col min="8455" max="8455" width="8" style="17" customWidth="1"/>
    <col min="8456" max="8456" width="14.19921875" style="17" customWidth="1"/>
    <col min="8457" max="8457" width="15.09765625" style="17" bestFit="1" customWidth="1"/>
    <col min="8458" max="8458" width="23.3984375" style="17" customWidth="1"/>
    <col min="8459" max="8704" width="9" style="17"/>
    <col min="8705" max="8705" width="9.3984375" style="17" customWidth="1"/>
    <col min="8706" max="8706" width="21.59765625" style="17" bestFit="1" customWidth="1"/>
    <col min="8707" max="8707" width="13.3984375" style="17" customWidth="1"/>
    <col min="8708" max="8708" width="41.19921875" style="17" bestFit="1" customWidth="1"/>
    <col min="8709" max="8709" width="41.09765625" style="17" bestFit="1" customWidth="1"/>
    <col min="8710" max="8710" width="20.09765625" style="17" bestFit="1" customWidth="1"/>
    <col min="8711" max="8711" width="8" style="17" customWidth="1"/>
    <col min="8712" max="8712" width="14.19921875" style="17" customWidth="1"/>
    <col min="8713" max="8713" width="15.09765625" style="17" bestFit="1" customWidth="1"/>
    <col min="8714" max="8714" width="23.3984375" style="17" customWidth="1"/>
    <col min="8715" max="8960" width="9" style="17"/>
    <col min="8961" max="8961" width="9.3984375" style="17" customWidth="1"/>
    <col min="8962" max="8962" width="21.59765625" style="17" bestFit="1" customWidth="1"/>
    <col min="8963" max="8963" width="13.3984375" style="17" customWidth="1"/>
    <col min="8964" max="8964" width="41.19921875" style="17" bestFit="1" customWidth="1"/>
    <col min="8965" max="8965" width="41.09765625" style="17" bestFit="1" customWidth="1"/>
    <col min="8966" max="8966" width="20.09765625" style="17" bestFit="1" customWidth="1"/>
    <col min="8967" max="8967" width="8" style="17" customWidth="1"/>
    <col min="8968" max="8968" width="14.19921875" style="17" customWidth="1"/>
    <col min="8969" max="8969" width="15.09765625" style="17" bestFit="1" customWidth="1"/>
    <col min="8970" max="8970" width="23.3984375" style="17" customWidth="1"/>
    <col min="8971" max="9216" width="9" style="17"/>
    <col min="9217" max="9217" width="9.3984375" style="17" customWidth="1"/>
    <col min="9218" max="9218" width="21.59765625" style="17" bestFit="1" customWidth="1"/>
    <col min="9219" max="9219" width="13.3984375" style="17" customWidth="1"/>
    <col min="9220" max="9220" width="41.19921875" style="17" bestFit="1" customWidth="1"/>
    <col min="9221" max="9221" width="41.09765625" style="17" bestFit="1" customWidth="1"/>
    <col min="9222" max="9222" width="20.09765625" style="17" bestFit="1" customWidth="1"/>
    <col min="9223" max="9223" width="8" style="17" customWidth="1"/>
    <col min="9224" max="9224" width="14.19921875" style="17" customWidth="1"/>
    <col min="9225" max="9225" width="15.09765625" style="17" bestFit="1" customWidth="1"/>
    <col min="9226" max="9226" width="23.3984375" style="17" customWidth="1"/>
    <col min="9227" max="9472" width="9" style="17"/>
    <col min="9473" max="9473" width="9.3984375" style="17" customWidth="1"/>
    <col min="9474" max="9474" width="21.59765625" style="17" bestFit="1" customWidth="1"/>
    <col min="9475" max="9475" width="13.3984375" style="17" customWidth="1"/>
    <col min="9476" max="9476" width="41.19921875" style="17" bestFit="1" customWidth="1"/>
    <col min="9477" max="9477" width="41.09765625" style="17" bestFit="1" customWidth="1"/>
    <col min="9478" max="9478" width="20.09765625" style="17" bestFit="1" customWidth="1"/>
    <col min="9479" max="9479" width="8" style="17" customWidth="1"/>
    <col min="9480" max="9480" width="14.19921875" style="17" customWidth="1"/>
    <col min="9481" max="9481" width="15.09765625" style="17" bestFit="1" customWidth="1"/>
    <col min="9482" max="9482" width="23.3984375" style="17" customWidth="1"/>
    <col min="9483" max="9728" width="9" style="17"/>
    <col min="9729" max="9729" width="9.3984375" style="17" customWidth="1"/>
    <col min="9730" max="9730" width="21.59765625" style="17" bestFit="1" customWidth="1"/>
    <col min="9731" max="9731" width="13.3984375" style="17" customWidth="1"/>
    <col min="9732" max="9732" width="41.19921875" style="17" bestFit="1" customWidth="1"/>
    <col min="9733" max="9733" width="41.09765625" style="17" bestFit="1" customWidth="1"/>
    <col min="9734" max="9734" width="20.09765625" style="17" bestFit="1" customWidth="1"/>
    <col min="9735" max="9735" width="8" style="17" customWidth="1"/>
    <col min="9736" max="9736" width="14.19921875" style="17" customWidth="1"/>
    <col min="9737" max="9737" width="15.09765625" style="17" bestFit="1" customWidth="1"/>
    <col min="9738" max="9738" width="23.3984375" style="17" customWidth="1"/>
    <col min="9739" max="9984" width="9" style="17"/>
    <col min="9985" max="9985" width="9.3984375" style="17" customWidth="1"/>
    <col min="9986" max="9986" width="21.59765625" style="17" bestFit="1" customWidth="1"/>
    <col min="9987" max="9987" width="13.3984375" style="17" customWidth="1"/>
    <col min="9988" max="9988" width="41.19921875" style="17" bestFit="1" customWidth="1"/>
    <col min="9989" max="9989" width="41.09765625" style="17" bestFit="1" customWidth="1"/>
    <col min="9990" max="9990" width="20.09765625" style="17" bestFit="1" customWidth="1"/>
    <col min="9991" max="9991" width="8" style="17" customWidth="1"/>
    <col min="9992" max="9992" width="14.19921875" style="17" customWidth="1"/>
    <col min="9993" max="9993" width="15.09765625" style="17" bestFit="1" customWidth="1"/>
    <col min="9994" max="9994" width="23.3984375" style="17" customWidth="1"/>
    <col min="9995" max="10240" width="9" style="17"/>
    <col min="10241" max="10241" width="9.3984375" style="17" customWidth="1"/>
    <col min="10242" max="10242" width="21.59765625" style="17" bestFit="1" customWidth="1"/>
    <col min="10243" max="10243" width="13.3984375" style="17" customWidth="1"/>
    <col min="10244" max="10244" width="41.19921875" style="17" bestFit="1" customWidth="1"/>
    <col min="10245" max="10245" width="41.09765625" style="17" bestFit="1" customWidth="1"/>
    <col min="10246" max="10246" width="20.09765625" style="17" bestFit="1" customWidth="1"/>
    <col min="10247" max="10247" width="8" style="17" customWidth="1"/>
    <col min="10248" max="10248" width="14.19921875" style="17" customWidth="1"/>
    <col min="10249" max="10249" width="15.09765625" style="17" bestFit="1" customWidth="1"/>
    <col min="10250" max="10250" width="23.3984375" style="17" customWidth="1"/>
    <col min="10251" max="10496" width="9" style="17"/>
    <col min="10497" max="10497" width="9.3984375" style="17" customWidth="1"/>
    <col min="10498" max="10498" width="21.59765625" style="17" bestFit="1" customWidth="1"/>
    <col min="10499" max="10499" width="13.3984375" style="17" customWidth="1"/>
    <col min="10500" max="10500" width="41.19921875" style="17" bestFit="1" customWidth="1"/>
    <col min="10501" max="10501" width="41.09765625" style="17" bestFit="1" customWidth="1"/>
    <col min="10502" max="10502" width="20.09765625" style="17" bestFit="1" customWidth="1"/>
    <col min="10503" max="10503" width="8" style="17" customWidth="1"/>
    <col min="10504" max="10504" width="14.19921875" style="17" customWidth="1"/>
    <col min="10505" max="10505" width="15.09765625" style="17" bestFit="1" customWidth="1"/>
    <col min="10506" max="10506" width="23.3984375" style="17" customWidth="1"/>
    <col min="10507" max="10752" width="9" style="17"/>
    <col min="10753" max="10753" width="9.3984375" style="17" customWidth="1"/>
    <col min="10754" max="10754" width="21.59765625" style="17" bestFit="1" customWidth="1"/>
    <col min="10755" max="10755" width="13.3984375" style="17" customWidth="1"/>
    <col min="10756" max="10756" width="41.19921875" style="17" bestFit="1" customWidth="1"/>
    <col min="10757" max="10757" width="41.09765625" style="17" bestFit="1" customWidth="1"/>
    <col min="10758" max="10758" width="20.09765625" style="17" bestFit="1" customWidth="1"/>
    <col min="10759" max="10759" width="8" style="17" customWidth="1"/>
    <col min="10760" max="10760" width="14.19921875" style="17" customWidth="1"/>
    <col min="10761" max="10761" width="15.09765625" style="17" bestFit="1" customWidth="1"/>
    <col min="10762" max="10762" width="23.3984375" style="17" customWidth="1"/>
    <col min="10763" max="11008" width="9" style="17"/>
    <col min="11009" max="11009" width="9.3984375" style="17" customWidth="1"/>
    <col min="11010" max="11010" width="21.59765625" style="17" bestFit="1" customWidth="1"/>
    <col min="11011" max="11011" width="13.3984375" style="17" customWidth="1"/>
    <col min="11012" max="11012" width="41.19921875" style="17" bestFit="1" customWidth="1"/>
    <col min="11013" max="11013" width="41.09765625" style="17" bestFit="1" customWidth="1"/>
    <col min="11014" max="11014" width="20.09765625" style="17" bestFit="1" customWidth="1"/>
    <col min="11015" max="11015" width="8" style="17" customWidth="1"/>
    <col min="11016" max="11016" width="14.19921875" style="17" customWidth="1"/>
    <col min="11017" max="11017" width="15.09765625" style="17" bestFit="1" customWidth="1"/>
    <col min="11018" max="11018" width="23.3984375" style="17" customWidth="1"/>
    <col min="11019" max="11264" width="9" style="17"/>
    <col min="11265" max="11265" width="9.3984375" style="17" customWidth="1"/>
    <col min="11266" max="11266" width="21.59765625" style="17" bestFit="1" customWidth="1"/>
    <col min="11267" max="11267" width="13.3984375" style="17" customWidth="1"/>
    <col min="11268" max="11268" width="41.19921875" style="17" bestFit="1" customWidth="1"/>
    <col min="11269" max="11269" width="41.09765625" style="17" bestFit="1" customWidth="1"/>
    <col min="11270" max="11270" width="20.09765625" style="17" bestFit="1" customWidth="1"/>
    <col min="11271" max="11271" width="8" style="17" customWidth="1"/>
    <col min="11272" max="11272" width="14.19921875" style="17" customWidth="1"/>
    <col min="11273" max="11273" width="15.09765625" style="17" bestFit="1" customWidth="1"/>
    <col min="11274" max="11274" width="23.3984375" style="17" customWidth="1"/>
    <col min="11275" max="11520" width="9" style="17"/>
    <col min="11521" max="11521" width="9.3984375" style="17" customWidth="1"/>
    <col min="11522" max="11522" width="21.59765625" style="17" bestFit="1" customWidth="1"/>
    <col min="11523" max="11523" width="13.3984375" style="17" customWidth="1"/>
    <col min="11524" max="11524" width="41.19921875" style="17" bestFit="1" customWidth="1"/>
    <col min="11525" max="11525" width="41.09765625" style="17" bestFit="1" customWidth="1"/>
    <col min="11526" max="11526" width="20.09765625" style="17" bestFit="1" customWidth="1"/>
    <col min="11527" max="11527" width="8" style="17" customWidth="1"/>
    <col min="11528" max="11528" width="14.19921875" style="17" customWidth="1"/>
    <col min="11529" max="11529" width="15.09765625" style="17" bestFit="1" customWidth="1"/>
    <col min="11530" max="11530" width="23.3984375" style="17" customWidth="1"/>
    <col min="11531" max="11776" width="9" style="17"/>
    <col min="11777" max="11777" width="9.3984375" style="17" customWidth="1"/>
    <col min="11778" max="11778" width="21.59765625" style="17" bestFit="1" customWidth="1"/>
    <col min="11779" max="11779" width="13.3984375" style="17" customWidth="1"/>
    <col min="11780" max="11780" width="41.19921875" style="17" bestFit="1" customWidth="1"/>
    <col min="11781" max="11781" width="41.09765625" style="17" bestFit="1" customWidth="1"/>
    <col min="11782" max="11782" width="20.09765625" style="17" bestFit="1" customWidth="1"/>
    <col min="11783" max="11783" width="8" style="17" customWidth="1"/>
    <col min="11784" max="11784" width="14.19921875" style="17" customWidth="1"/>
    <col min="11785" max="11785" width="15.09765625" style="17" bestFit="1" customWidth="1"/>
    <col min="11786" max="11786" width="23.3984375" style="17" customWidth="1"/>
    <col min="11787" max="12032" width="9" style="17"/>
    <col min="12033" max="12033" width="9.3984375" style="17" customWidth="1"/>
    <col min="12034" max="12034" width="21.59765625" style="17" bestFit="1" customWidth="1"/>
    <col min="12035" max="12035" width="13.3984375" style="17" customWidth="1"/>
    <col min="12036" max="12036" width="41.19921875" style="17" bestFit="1" customWidth="1"/>
    <col min="12037" max="12037" width="41.09765625" style="17" bestFit="1" customWidth="1"/>
    <col min="12038" max="12038" width="20.09765625" style="17" bestFit="1" customWidth="1"/>
    <col min="12039" max="12039" width="8" style="17" customWidth="1"/>
    <col min="12040" max="12040" width="14.19921875" style="17" customWidth="1"/>
    <col min="12041" max="12041" width="15.09765625" style="17" bestFit="1" customWidth="1"/>
    <col min="12042" max="12042" width="23.3984375" style="17" customWidth="1"/>
    <col min="12043" max="12288" width="9" style="17"/>
    <col min="12289" max="12289" width="9.3984375" style="17" customWidth="1"/>
    <col min="12290" max="12290" width="21.59765625" style="17" bestFit="1" customWidth="1"/>
    <col min="12291" max="12291" width="13.3984375" style="17" customWidth="1"/>
    <col min="12292" max="12292" width="41.19921875" style="17" bestFit="1" customWidth="1"/>
    <col min="12293" max="12293" width="41.09765625" style="17" bestFit="1" customWidth="1"/>
    <col min="12294" max="12294" width="20.09765625" style="17" bestFit="1" customWidth="1"/>
    <col min="12295" max="12295" width="8" style="17" customWidth="1"/>
    <col min="12296" max="12296" width="14.19921875" style="17" customWidth="1"/>
    <col min="12297" max="12297" width="15.09765625" style="17" bestFit="1" customWidth="1"/>
    <col min="12298" max="12298" width="23.3984375" style="17" customWidth="1"/>
    <col min="12299" max="12544" width="9" style="17"/>
    <col min="12545" max="12545" width="9.3984375" style="17" customWidth="1"/>
    <col min="12546" max="12546" width="21.59765625" style="17" bestFit="1" customWidth="1"/>
    <col min="12547" max="12547" width="13.3984375" style="17" customWidth="1"/>
    <col min="12548" max="12548" width="41.19921875" style="17" bestFit="1" customWidth="1"/>
    <col min="12549" max="12549" width="41.09765625" style="17" bestFit="1" customWidth="1"/>
    <col min="12550" max="12550" width="20.09765625" style="17" bestFit="1" customWidth="1"/>
    <col min="12551" max="12551" width="8" style="17" customWidth="1"/>
    <col min="12552" max="12552" width="14.19921875" style="17" customWidth="1"/>
    <col min="12553" max="12553" width="15.09765625" style="17" bestFit="1" customWidth="1"/>
    <col min="12554" max="12554" width="23.3984375" style="17" customWidth="1"/>
    <col min="12555" max="12800" width="9" style="17"/>
    <col min="12801" max="12801" width="9.3984375" style="17" customWidth="1"/>
    <col min="12802" max="12802" width="21.59765625" style="17" bestFit="1" customWidth="1"/>
    <col min="12803" max="12803" width="13.3984375" style="17" customWidth="1"/>
    <col min="12804" max="12804" width="41.19921875" style="17" bestFit="1" customWidth="1"/>
    <col min="12805" max="12805" width="41.09765625" style="17" bestFit="1" customWidth="1"/>
    <col min="12806" max="12806" width="20.09765625" style="17" bestFit="1" customWidth="1"/>
    <col min="12807" max="12807" width="8" style="17" customWidth="1"/>
    <col min="12808" max="12808" width="14.19921875" style="17" customWidth="1"/>
    <col min="12809" max="12809" width="15.09765625" style="17" bestFit="1" customWidth="1"/>
    <col min="12810" max="12810" width="23.3984375" style="17" customWidth="1"/>
    <col min="12811" max="13056" width="9" style="17"/>
    <col min="13057" max="13057" width="9.3984375" style="17" customWidth="1"/>
    <col min="13058" max="13058" width="21.59765625" style="17" bestFit="1" customWidth="1"/>
    <col min="13059" max="13059" width="13.3984375" style="17" customWidth="1"/>
    <col min="13060" max="13060" width="41.19921875" style="17" bestFit="1" customWidth="1"/>
    <col min="13061" max="13061" width="41.09765625" style="17" bestFit="1" customWidth="1"/>
    <col min="13062" max="13062" width="20.09765625" style="17" bestFit="1" customWidth="1"/>
    <col min="13063" max="13063" width="8" style="17" customWidth="1"/>
    <col min="13064" max="13064" width="14.19921875" style="17" customWidth="1"/>
    <col min="13065" max="13065" width="15.09765625" style="17" bestFit="1" customWidth="1"/>
    <col min="13066" max="13066" width="23.3984375" style="17" customWidth="1"/>
    <col min="13067" max="13312" width="9" style="17"/>
    <col min="13313" max="13313" width="9.3984375" style="17" customWidth="1"/>
    <col min="13314" max="13314" width="21.59765625" style="17" bestFit="1" customWidth="1"/>
    <col min="13315" max="13315" width="13.3984375" style="17" customWidth="1"/>
    <col min="13316" max="13316" width="41.19921875" style="17" bestFit="1" customWidth="1"/>
    <col min="13317" max="13317" width="41.09765625" style="17" bestFit="1" customWidth="1"/>
    <col min="13318" max="13318" width="20.09765625" style="17" bestFit="1" customWidth="1"/>
    <col min="13319" max="13319" width="8" style="17" customWidth="1"/>
    <col min="13320" max="13320" width="14.19921875" style="17" customWidth="1"/>
    <col min="13321" max="13321" width="15.09765625" style="17" bestFit="1" customWidth="1"/>
    <col min="13322" max="13322" width="23.3984375" style="17" customWidth="1"/>
    <col min="13323" max="13568" width="9" style="17"/>
    <col min="13569" max="13569" width="9.3984375" style="17" customWidth="1"/>
    <col min="13570" max="13570" width="21.59765625" style="17" bestFit="1" customWidth="1"/>
    <col min="13571" max="13571" width="13.3984375" style="17" customWidth="1"/>
    <col min="13572" max="13572" width="41.19921875" style="17" bestFit="1" customWidth="1"/>
    <col min="13573" max="13573" width="41.09765625" style="17" bestFit="1" customWidth="1"/>
    <col min="13574" max="13574" width="20.09765625" style="17" bestFit="1" customWidth="1"/>
    <col min="13575" max="13575" width="8" style="17" customWidth="1"/>
    <col min="13576" max="13576" width="14.19921875" style="17" customWidth="1"/>
    <col min="13577" max="13577" width="15.09765625" style="17" bestFit="1" customWidth="1"/>
    <col min="13578" max="13578" width="23.3984375" style="17" customWidth="1"/>
    <col min="13579" max="13824" width="9" style="17"/>
    <col min="13825" max="13825" width="9.3984375" style="17" customWidth="1"/>
    <col min="13826" max="13826" width="21.59765625" style="17" bestFit="1" customWidth="1"/>
    <col min="13827" max="13827" width="13.3984375" style="17" customWidth="1"/>
    <col min="13828" max="13828" width="41.19921875" style="17" bestFit="1" customWidth="1"/>
    <col min="13829" max="13829" width="41.09765625" style="17" bestFit="1" customWidth="1"/>
    <col min="13830" max="13830" width="20.09765625" style="17" bestFit="1" customWidth="1"/>
    <col min="13831" max="13831" width="8" style="17" customWidth="1"/>
    <col min="13832" max="13832" width="14.19921875" style="17" customWidth="1"/>
    <col min="13833" max="13833" width="15.09765625" style="17" bestFit="1" customWidth="1"/>
    <col min="13834" max="13834" width="23.3984375" style="17" customWidth="1"/>
    <col min="13835" max="14080" width="9" style="17"/>
    <col min="14081" max="14081" width="9.3984375" style="17" customWidth="1"/>
    <col min="14082" max="14082" width="21.59765625" style="17" bestFit="1" customWidth="1"/>
    <col min="14083" max="14083" width="13.3984375" style="17" customWidth="1"/>
    <col min="14084" max="14084" width="41.19921875" style="17" bestFit="1" customWidth="1"/>
    <col min="14085" max="14085" width="41.09765625" style="17" bestFit="1" customWidth="1"/>
    <col min="14086" max="14086" width="20.09765625" style="17" bestFit="1" customWidth="1"/>
    <col min="14087" max="14087" width="8" style="17" customWidth="1"/>
    <col min="14088" max="14088" width="14.19921875" style="17" customWidth="1"/>
    <col min="14089" max="14089" width="15.09765625" style="17" bestFit="1" customWidth="1"/>
    <col min="14090" max="14090" width="23.3984375" style="17" customWidth="1"/>
    <col min="14091" max="14336" width="9" style="17"/>
    <col min="14337" max="14337" width="9.3984375" style="17" customWidth="1"/>
    <col min="14338" max="14338" width="21.59765625" style="17" bestFit="1" customWidth="1"/>
    <col min="14339" max="14339" width="13.3984375" style="17" customWidth="1"/>
    <col min="14340" max="14340" width="41.19921875" style="17" bestFit="1" customWidth="1"/>
    <col min="14341" max="14341" width="41.09765625" style="17" bestFit="1" customWidth="1"/>
    <col min="14342" max="14342" width="20.09765625" style="17" bestFit="1" customWidth="1"/>
    <col min="14343" max="14343" width="8" style="17" customWidth="1"/>
    <col min="14344" max="14344" width="14.19921875" style="17" customWidth="1"/>
    <col min="14345" max="14345" width="15.09765625" style="17" bestFit="1" customWidth="1"/>
    <col min="14346" max="14346" width="23.3984375" style="17" customWidth="1"/>
    <col min="14347" max="14592" width="9" style="17"/>
    <col min="14593" max="14593" width="9.3984375" style="17" customWidth="1"/>
    <col min="14594" max="14594" width="21.59765625" style="17" bestFit="1" customWidth="1"/>
    <col min="14595" max="14595" width="13.3984375" style="17" customWidth="1"/>
    <col min="14596" max="14596" width="41.19921875" style="17" bestFit="1" customWidth="1"/>
    <col min="14597" max="14597" width="41.09765625" style="17" bestFit="1" customWidth="1"/>
    <col min="14598" max="14598" width="20.09765625" style="17" bestFit="1" customWidth="1"/>
    <col min="14599" max="14599" width="8" style="17" customWidth="1"/>
    <col min="14600" max="14600" width="14.19921875" style="17" customWidth="1"/>
    <col min="14601" max="14601" width="15.09765625" style="17" bestFit="1" customWidth="1"/>
    <col min="14602" max="14602" width="23.3984375" style="17" customWidth="1"/>
    <col min="14603" max="14848" width="9" style="17"/>
    <col min="14849" max="14849" width="9.3984375" style="17" customWidth="1"/>
    <col min="14850" max="14850" width="21.59765625" style="17" bestFit="1" customWidth="1"/>
    <col min="14851" max="14851" width="13.3984375" style="17" customWidth="1"/>
    <col min="14852" max="14852" width="41.19921875" style="17" bestFit="1" customWidth="1"/>
    <col min="14853" max="14853" width="41.09765625" style="17" bestFit="1" customWidth="1"/>
    <col min="14854" max="14854" width="20.09765625" style="17" bestFit="1" customWidth="1"/>
    <col min="14855" max="14855" width="8" style="17" customWidth="1"/>
    <col min="14856" max="14856" width="14.19921875" style="17" customWidth="1"/>
    <col min="14857" max="14857" width="15.09765625" style="17" bestFit="1" customWidth="1"/>
    <col min="14858" max="14858" width="23.3984375" style="17" customWidth="1"/>
    <col min="14859" max="15104" width="9" style="17"/>
    <col min="15105" max="15105" width="9.3984375" style="17" customWidth="1"/>
    <col min="15106" max="15106" width="21.59765625" style="17" bestFit="1" customWidth="1"/>
    <col min="15107" max="15107" width="13.3984375" style="17" customWidth="1"/>
    <col min="15108" max="15108" width="41.19921875" style="17" bestFit="1" customWidth="1"/>
    <col min="15109" max="15109" width="41.09765625" style="17" bestFit="1" customWidth="1"/>
    <col min="15110" max="15110" width="20.09765625" style="17" bestFit="1" customWidth="1"/>
    <col min="15111" max="15111" width="8" style="17" customWidth="1"/>
    <col min="15112" max="15112" width="14.19921875" style="17" customWidth="1"/>
    <col min="15113" max="15113" width="15.09765625" style="17" bestFit="1" customWidth="1"/>
    <col min="15114" max="15114" width="23.3984375" style="17" customWidth="1"/>
    <col min="15115" max="15360" width="9" style="17"/>
    <col min="15361" max="15361" width="9.3984375" style="17" customWidth="1"/>
    <col min="15362" max="15362" width="21.59765625" style="17" bestFit="1" customWidth="1"/>
    <col min="15363" max="15363" width="13.3984375" style="17" customWidth="1"/>
    <col min="15364" max="15364" width="41.19921875" style="17" bestFit="1" customWidth="1"/>
    <col min="15365" max="15365" width="41.09765625" style="17" bestFit="1" customWidth="1"/>
    <col min="15366" max="15366" width="20.09765625" style="17" bestFit="1" customWidth="1"/>
    <col min="15367" max="15367" width="8" style="17" customWidth="1"/>
    <col min="15368" max="15368" width="14.19921875" style="17" customWidth="1"/>
    <col min="15369" max="15369" width="15.09765625" style="17" bestFit="1" customWidth="1"/>
    <col min="15370" max="15370" width="23.3984375" style="17" customWidth="1"/>
    <col min="15371" max="15616" width="9" style="17"/>
    <col min="15617" max="15617" width="9.3984375" style="17" customWidth="1"/>
    <col min="15618" max="15618" width="21.59765625" style="17" bestFit="1" customWidth="1"/>
    <col min="15619" max="15619" width="13.3984375" style="17" customWidth="1"/>
    <col min="15620" max="15620" width="41.19921875" style="17" bestFit="1" customWidth="1"/>
    <col min="15621" max="15621" width="41.09765625" style="17" bestFit="1" customWidth="1"/>
    <col min="15622" max="15622" width="20.09765625" style="17" bestFit="1" customWidth="1"/>
    <col min="15623" max="15623" width="8" style="17" customWidth="1"/>
    <col min="15624" max="15624" width="14.19921875" style="17" customWidth="1"/>
    <col min="15625" max="15625" width="15.09765625" style="17" bestFit="1" customWidth="1"/>
    <col min="15626" max="15626" width="23.3984375" style="17" customWidth="1"/>
    <col min="15627" max="15872" width="9" style="17"/>
    <col min="15873" max="15873" width="9.3984375" style="17" customWidth="1"/>
    <col min="15874" max="15874" width="21.59765625" style="17" bestFit="1" customWidth="1"/>
    <col min="15875" max="15875" width="13.3984375" style="17" customWidth="1"/>
    <col min="15876" max="15876" width="41.19921875" style="17" bestFit="1" customWidth="1"/>
    <col min="15877" max="15877" width="41.09765625" style="17" bestFit="1" customWidth="1"/>
    <col min="15878" max="15878" width="20.09765625" style="17" bestFit="1" customWidth="1"/>
    <col min="15879" max="15879" width="8" style="17" customWidth="1"/>
    <col min="15880" max="15880" width="14.19921875" style="17" customWidth="1"/>
    <col min="15881" max="15881" width="15.09765625" style="17" bestFit="1" customWidth="1"/>
    <col min="15882" max="15882" width="23.3984375" style="17" customWidth="1"/>
    <col min="15883" max="16128" width="9" style="17"/>
    <col min="16129" max="16129" width="9.3984375" style="17" customWidth="1"/>
    <col min="16130" max="16130" width="21.59765625" style="17" bestFit="1" customWidth="1"/>
    <col min="16131" max="16131" width="13.3984375" style="17" customWidth="1"/>
    <col min="16132" max="16132" width="41.19921875" style="17" bestFit="1" customWidth="1"/>
    <col min="16133" max="16133" width="41.09765625" style="17" bestFit="1" customWidth="1"/>
    <col min="16134" max="16134" width="20.09765625" style="17" bestFit="1" customWidth="1"/>
    <col min="16135" max="16135" width="8" style="17" customWidth="1"/>
    <col min="16136" max="16136" width="14.19921875" style="17" customWidth="1"/>
    <col min="16137" max="16137" width="15.09765625" style="17" bestFit="1" customWidth="1"/>
    <col min="16138" max="16138" width="23.3984375" style="17" customWidth="1"/>
    <col min="16139" max="16384" width="9" style="17"/>
  </cols>
  <sheetData>
    <row r="1" spans="1:12" ht="33.75" customHeight="1">
      <c r="A1" s="329" t="s">
        <v>293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2" s="151" customFormat="1" ht="19.5" customHeight="1">
      <c r="A2" s="332" t="s">
        <v>294</v>
      </c>
      <c r="B2" s="333" t="s">
        <v>287</v>
      </c>
      <c r="C2" s="332" t="s">
        <v>251</v>
      </c>
      <c r="D2" s="332" t="s">
        <v>252</v>
      </c>
      <c r="E2" s="335" t="s">
        <v>295</v>
      </c>
      <c r="F2" s="332" t="s">
        <v>280</v>
      </c>
      <c r="G2" s="336" t="s">
        <v>296</v>
      </c>
      <c r="H2" s="337" t="s">
        <v>289</v>
      </c>
      <c r="I2" s="150" t="s">
        <v>290</v>
      </c>
      <c r="J2" s="332" t="s">
        <v>291</v>
      </c>
    </row>
    <row r="3" spans="1:12" s="151" customFormat="1" ht="19.5" customHeight="1">
      <c r="A3" s="332"/>
      <c r="B3" s="334"/>
      <c r="C3" s="332"/>
      <c r="D3" s="332"/>
      <c r="E3" s="335"/>
      <c r="F3" s="332"/>
      <c r="G3" s="336"/>
      <c r="H3" s="337"/>
      <c r="I3" s="147">
        <f>ROUND(SUM(I4:I82),)</f>
        <v>0</v>
      </c>
      <c r="J3" s="332"/>
    </row>
    <row r="4" spans="1:12" s="157" customFormat="1" ht="15" customHeight="1">
      <c r="A4" s="153">
        <f t="shared" ref="A4:A9" si="0">ROW()-3</f>
        <v>1</v>
      </c>
      <c r="B4" s="154"/>
      <c r="C4" s="153"/>
      <c r="D4" s="153"/>
      <c r="E4" s="153"/>
      <c r="F4" s="153"/>
      <c r="G4" s="155"/>
      <c r="H4" s="156"/>
      <c r="I4" s="156"/>
      <c r="J4" s="153"/>
      <c r="L4" s="158" t="s">
        <v>248</v>
      </c>
    </row>
    <row r="5" spans="1:12" s="157" customFormat="1" ht="15" customHeight="1">
      <c r="A5" s="153">
        <f t="shared" si="0"/>
        <v>2</v>
      </c>
      <c r="B5" s="154"/>
      <c r="C5" s="153"/>
      <c r="D5" s="153"/>
      <c r="E5" s="153"/>
      <c r="F5" s="153"/>
      <c r="G5" s="155"/>
      <c r="H5" s="156"/>
      <c r="I5" s="156"/>
      <c r="J5" s="153"/>
      <c r="L5" s="158" t="s">
        <v>297</v>
      </c>
    </row>
    <row r="6" spans="1:12" s="157" customFormat="1" ht="15" customHeight="1">
      <c r="A6" s="153">
        <f t="shared" si="0"/>
        <v>3</v>
      </c>
      <c r="B6" s="154"/>
      <c r="C6" s="153"/>
      <c r="D6" s="153"/>
      <c r="E6" s="153"/>
      <c r="F6" s="153"/>
      <c r="G6" s="155"/>
      <c r="H6" s="156"/>
      <c r="I6" s="156"/>
      <c r="J6" s="153"/>
      <c r="L6" s="158" t="s">
        <v>287</v>
      </c>
    </row>
    <row r="7" spans="1:12" s="157" customFormat="1" ht="15" customHeight="1">
      <c r="A7" s="153">
        <f t="shared" si="0"/>
        <v>4</v>
      </c>
      <c r="B7" s="154"/>
      <c r="C7" s="153"/>
      <c r="D7" s="153"/>
      <c r="E7" s="153"/>
      <c r="F7" s="153"/>
      <c r="G7" s="155"/>
      <c r="H7" s="156"/>
      <c r="I7" s="156"/>
      <c r="J7" s="153"/>
      <c r="L7" s="158" t="s">
        <v>251</v>
      </c>
    </row>
    <row r="8" spans="1:12" s="157" customFormat="1" ht="15" customHeight="1">
      <c r="A8" s="153">
        <f t="shared" si="0"/>
        <v>5</v>
      </c>
      <c r="B8" s="154"/>
      <c r="C8" s="153"/>
      <c r="D8" s="153"/>
      <c r="E8" s="153"/>
      <c r="F8" s="153"/>
      <c r="G8" s="155"/>
      <c r="H8" s="156"/>
      <c r="I8" s="156"/>
      <c r="J8" s="153"/>
      <c r="L8" s="158" t="s">
        <v>252</v>
      </c>
    </row>
    <row r="9" spans="1:12" s="157" customFormat="1" ht="15" customHeight="1">
      <c r="A9" s="153">
        <f t="shared" si="0"/>
        <v>6</v>
      </c>
      <c r="B9" s="154"/>
      <c r="C9" s="153"/>
      <c r="D9" s="153"/>
      <c r="E9" s="153"/>
      <c r="F9" s="153"/>
      <c r="G9" s="155"/>
      <c r="H9" s="156"/>
      <c r="I9" s="156"/>
      <c r="J9" s="153"/>
      <c r="L9" s="158" t="s">
        <v>295</v>
      </c>
    </row>
    <row r="10" spans="1:12" s="157" customFormat="1" ht="15" customHeight="1">
      <c r="A10" s="161"/>
      <c r="B10" s="161"/>
      <c r="C10" s="161"/>
      <c r="D10" s="161"/>
      <c r="E10" s="161"/>
      <c r="F10" s="161"/>
      <c r="G10" s="161"/>
      <c r="H10" s="161"/>
      <c r="I10" s="161"/>
      <c r="J10" s="161"/>
      <c r="L10" s="158" t="s">
        <v>298</v>
      </c>
    </row>
    <row r="11" spans="1:12" s="157" customFormat="1" ht="15" customHeight="1">
      <c r="A11" s="161"/>
      <c r="B11" s="161"/>
      <c r="C11" s="161"/>
      <c r="D11" s="161"/>
      <c r="E11" s="161"/>
      <c r="F11" s="161"/>
      <c r="G11" s="161"/>
      <c r="H11" s="161"/>
      <c r="I11" s="161"/>
      <c r="J11" s="161"/>
      <c r="L11" s="158" t="s">
        <v>299</v>
      </c>
    </row>
    <row r="12" spans="1:12" ht="13.5" customHeight="1">
      <c r="L12" s="157" t="s">
        <v>289</v>
      </c>
    </row>
    <row r="13" spans="1:12">
      <c r="L13" s="157"/>
    </row>
    <row r="14" spans="1:12" ht="17.399999999999999">
      <c r="L14" s="159" t="s">
        <v>300</v>
      </c>
    </row>
  </sheetData>
  <autoFilter ref="A2:J19" xr:uid="{2E421254-DD27-4148-AC38-C00782AEA3D1}">
    <sortState ref="A5:J19">
      <sortCondition ref="F2:F12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2" fitToHeight="0" orientation="landscape" r:id="rId1"/>
  <headerFooter>
    <oddFooter>&amp;C&amp;P/&amp;N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AD13-2728-4954-97E1-8D3BBE13E608}">
  <sheetPr>
    <pageSetUpPr fitToPage="1"/>
  </sheetPr>
  <dimension ref="A1:N44"/>
  <sheetViews>
    <sheetView view="pageBreakPreview" zoomScaleNormal="115" zoomScaleSheetLayoutView="100" workbookViewId="0">
      <selection activeCell="H26" sqref="H26"/>
    </sheetView>
  </sheetViews>
  <sheetFormatPr defaultRowHeight="15.6"/>
  <cols>
    <col min="1" max="1" width="9.3984375" style="160" customWidth="1"/>
    <col min="2" max="2" width="21.59765625" style="161" bestFit="1" customWidth="1"/>
    <col min="3" max="3" width="13.3984375" style="160" customWidth="1"/>
    <col min="4" max="4" width="55" style="161" customWidth="1"/>
    <col min="5" max="5" width="41.09765625" style="161" bestFit="1" customWidth="1"/>
    <col min="6" max="6" width="20.09765625" style="161" bestFit="1" customWidth="1"/>
    <col min="7" max="7" width="8" style="162" customWidth="1"/>
    <col min="8" max="8" width="14.19921875" style="163" customWidth="1"/>
    <col min="9" max="9" width="15.09765625" style="163" bestFit="1" customWidth="1"/>
    <col min="10" max="10" width="23.3984375" style="161" customWidth="1"/>
    <col min="11" max="11" width="9" style="17" customWidth="1"/>
    <col min="12" max="256" width="9" style="17"/>
    <col min="257" max="257" width="9.3984375" style="17" customWidth="1"/>
    <col min="258" max="258" width="21.59765625" style="17" bestFit="1" customWidth="1"/>
    <col min="259" max="259" width="13.3984375" style="17" customWidth="1"/>
    <col min="260" max="260" width="41.19921875" style="17" bestFit="1" customWidth="1"/>
    <col min="261" max="261" width="41.09765625" style="17" bestFit="1" customWidth="1"/>
    <col min="262" max="262" width="20.09765625" style="17" bestFit="1" customWidth="1"/>
    <col min="263" max="263" width="8" style="17" customWidth="1"/>
    <col min="264" max="264" width="14.19921875" style="17" customWidth="1"/>
    <col min="265" max="265" width="15.09765625" style="17" bestFit="1" customWidth="1"/>
    <col min="266" max="266" width="23.3984375" style="17" customWidth="1"/>
    <col min="267" max="512" width="9" style="17"/>
    <col min="513" max="513" width="9.3984375" style="17" customWidth="1"/>
    <col min="514" max="514" width="21.59765625" style="17" bestFit="1" customWidth="1"/>
    <col min="515" max="515" width="13.3984375" style="17" customWidth="1"/>
    <col min="516" max="516" width="41.19921875" style="17" bestFit="1" customWidth="1"/>
    <col min="517" max="517" width="41.09765625" style="17" bestFit="1" customWidth="1"/>
    <col min="518" max="518" width="20.09765625" style="17" bestFit="1" customWidth="1"/>
    <col min="519" max="519" width="8" style="17" customWidth="1"/>
    <col min="520" max="520" width="14.19921875" style="17" customWidth="1"/>
    <col min="521" max="521" width="15.09765625" style="17" bestFit="1" customWidth="1"/>
    <col min="522" max="522" width="23.3984375" style="17" customWidth="1"/>
    <col min="523" max="768" width="9" style="17"/>
    <col min="769" max="769" width="9.3984375" style="17" customWidth="1"/>
    <col min="770" max="770" width="21.59765625" style="17" bestFit="1" customWidth="1"/>
    <col min="771" max="771" width="13.3984375" style="17" customWidth="1"/>
    <col min="772" max="772" width="41.19921875" style="17" bestFit="1" customWidth="1"/>
    <col min="773" max="773" width="41.09765625" style="17" bestFit="1" customWidth="1"/>
    <col min="774" max="774" width="20.09765625" style="17" bestFit="1" customWidth="1"/>
    <col min="775" max="775" width="8" style="17" customWidth="1"/>
    <col min="776" max="776" width="14.19921875" style="17" customWidth="1"/>
    <col min="777" max="777" width="15.09765625" style="17" bestFit="1" customWidth="1"/>
    <col min="778" max="778" width="23.3984375" style="17" customWidth="1"/>
    <col min="779" max="1024" width="9" style="17"/>
    <col min="1025" max="1025" width="9.3984375" style="17" customWidth="1"/>
    <col min="1026" max="1026" width="21.59765625" style="17" bestFit="1" customWidth="1"/>
    <col min="1027" max="1027" width="13.3984375" style="17" customWidth="1"/>
    <col min="1028" max="1028" width="41.19921875" style="17" bestFit="1" customWidth="1"/>
    <col min="1029" max="1029" width="41.09765625" style="17" bestFit="1" customWidth="1"/>
    <col min="1030" max="1030" width="20.09765625" style="17" bestFit="1" customWidth="1"/>
    <col min="1031" max="1031" width="8" style="17" customWidth="1"/>
    <col min="1032" max="1032" width="14.19921875" style="17" customWidth="1"/>
    <col min="1033" max="1033" width="15.09765625" style="17" bestFit="1" customWidth="1"/>
    <col min="1034" max="1034" width="23.3984375" style="17" customWidth="1"/>
    <col min="1035" max="1280" width="9" style="17"/>
    <col min="1281" max="1281" width="9.3984375" style="17" customWidth="1"/>
    <col min="1282" max="1282" width="21.59765625" style="17" bestFit="1" customWidth="1"/>
    <col min="1283" max="1283" width="13.3984375" style="17" customWidth="1"/>
    <col min="1284" max="1284" width="41.19921875" style="17" bestFit="1" customWidth="1"/>
    <col min="1285" max="1285" width="41.09765625" style="17" bestFit="1" customWidth="1"/>
    <col min="1286" max="1286" width="20.09765625" style="17" bestFit="1" customWidth="1"/>
    <col min="1287" max="1287" width="8" style="17" customWidth="1"/>
    <col min="1288" max="1288" width="14.19921875" style="17" customWidth="1"/>
    <col min="1289" max="1289" width="15.09765625" style="17" bestFit="1" customWidth="1"/>
    <col min="1290" max="1290" width="23.3984375" style="17" customWidth="1"/>
    <col min="1291" max="1536" width="9" style="17"/>
    <col min="1537" max="1537" width="9.3984375" style="17" customWidth="1"/>
    <col min="1538" max="1538" width="21.59765625" style="17" bestFit="1" customWidth="1"/>
    <col min="1539" max="1539" width="13.3984375" style="17" customWidth="1"/>
    <col min="1540" max="1540" width="41.19921875" style="17" bestFit="1" customWidth="1"/>
    <col min="1541" max="1541" width="41.09765625" style="17" bestFit="1" customWidth="1"/>
    <col min="1542" max="1542" width="20.09765625" style="17" bestFit="1" customWidth="1"/>
    <col min="1543" max="1543" width="8" style="17" customWidth="1"/>
    <col min="1544" max="1544" width="14.19921875" style="17" customWidth="1"/>
    <col min="1545" max="1545" width="15.09765625" style="17" bestFit="1" customWidth="1"/>
    <col min="1546" max="1546" width="23.3984375" style="17" customWidth="1"/>
    <col min="1547" max="1792" width="9" style="17"/>
    <col min="1793" max="1793" width="9.3984375" style="17" customWidth="1"/>
    <col min="1794" max="1794" width="21.59765625" style="17" bestFit="1" customWidth="1"/>
    <col min="1795" max="1795" width="13.3984375" style="17" customWidth="1"/>
    <col min="1796" max="1796" width="41.19921875" style="17" bestFit="1" customWidth="1"/>
    <col min="1797" max="1797" width="41.09765625" style="17" bestFit="1" customWidth="1"/>
    <col min="1798" max="1798" width="20.09765625" style="17" bestFit="1" customWidth="1"/>
    <col min="1799" max="1799" width="8" style="17" customWidth="1"/>
    <col min="1800" max="1800" width="14.19921875" style="17" customWidth="1"/>
    <col min="1801" max="1801" width="15.09765625" style="17" bestFit="1" customWidth="1"/>
    <col min="1802" max="1802" width="23.3984375" style="17" customWidth="1"/>
    <col min="1803" max="2048" width="9" style="17"/>
    <col min="2049" max="2049" width="9.3984375" style="17" customWidth="1"/>
    <col min="2050" max="2050" width="21.59765625" style="17" bestFit="1" customWidth="1"/>
    <col min="2051" max="2051" width="13.3984375" style="17" customWidth="1"/>
    <col min="2052" max="2052" width="41.19921875" style="17" bestFit="1" customWidth="1"/>
    <col min="2053" max="2053" width="41.09765625" style="17" bestFit="1" customWidth="1"/>
    <col min="2054" max="2054" width="20.09765625" style="17" bestFit="1" customWidth="1"/>
    <col min="2055" max="2055" width="8" style="17" customWidth="1"/>
    <col min="2056" max="2056" width="14.19921875" style="17" customWidth="1"/>
    <col min="2057" max="2057" width="15.09765625" style="17" bestFit="1" customWidth="1"/>
    <col min="2058" max="2058" width="23.3984375" style="17" customWidth="1"/>
    <col min="2059" max="2304" width="9" style="17"/>
    <col min="2305" max="2305" width="9.3984375" style="17" customWidth="1"/>
    <col min="2306" max="2306" width="21.59765625" style="17" bestFit="1" customWidth="1"/>
    <col min="2307" max="2307" width="13.3984375" style="17" customWidth="1"/>
    <col min="2308" max="2308" width="41.19921875" style="17" bestFit="1" customWidth="1"/>
    <col min="2309" max="2309" width="41.09765625" style="17" bestFit="1" customWidth="1"/>
    <col min="2310" max="2310" width="20.09765625" style="17" bestFit="1" customWidth="1"/>
    <col min="2311" max="2311" width="8" style="17" customWidth="1"/>
    <col min="2312" max="2312" width="14.19921875" style="17" customWidth="1"/>
    <col min="2313" max="2313" width="15.09765625" style="17" bestFit="1" customWidth="1"/>
    <col min="2314" max="2314" width="23.3984375" style="17" customWidth="1"/>
    <col min="2315" max="2560" width="9" style="17"/>
    <col min="2561" max="2561" width="9.3984375" style="17" customWidth="1"/>
    <col min="2562" max="2562" width="21.59765625" style="17" bestFit="1" customWidth="1"/>
    <col min="2563" max="2563" width="13.3984375" style="17" customWidth="1"/>
    <col min="2564" max="2564" width="41.19921875" style="17" bestFit="1" customWidth="1"/>
    <col min="2565" max="2565" width="41.09765625" style="17" bestFit="1" customWidth="1"/>
    <col min="2566" max="2566" width="20.09765625" style="17" bestFit="1" customWidth="1"/>
    <col min="2567" max="2567" width="8" style="17" customWidth="1"/>
    <col min="2568" max="2568" width="14.19921875" style="17" customWidth="1"/>
    <col min="2569" max="2569" width="15.09765625" style="17" bestFit="1" customWidth="1"/>
    <col min="2570" max="2570" width="23.3984375" style="17" customWidth="1"/>
    <col min="2571" max="2816" width="9" style="17"/>
    <col min="2817" max="2817" width="9.3984375" style="17" customWidth="1"/>
    <col min="2818" max="2818" width="21.59765625" style="17" bestFit="1" customWidth="1"/>
    <col min="2819" max="2819" width="13.3984375" style="17" customWidth="1"/>
    <col min="2820" max="2820" width="41.19921875" style="17" bestFit="1" customWidth="1"/>
    <col min="2821" max="2821" width="41.09765625" style="17" bestFit="1" customWidth="1"/>
    <col min="2822" max="2822" width="20.09765625" style="17" bestFit="1" customWidth="1"/>
    <col min="2823" max="2823" width="8" style="17" customWidth="1"/>
    <col min="2824" max="2824" width="14.19921875" style="17" customWidth="1"/>
    <col min="2825" max="2825" width="15.09765625" style="17" bestFit="1" customWidth="1"/>
    <col min="2826" max="2826" width="23.3984375" style="17" customWidth="1"/>
    <col min="2827" max="3072" width="9" style="17"/>
    <col min="3073" max="3073" width="9.3984375" style="17" customWidth="1"/>
    <col min="3074" max="3074" width="21.59765625" style="17" bestFit="1" customWidth="1"/>
    <col min="3075" max="3075" width="13.3984375" style="17" customWidth="1"/>
    <col min="3076" max="3076" width="41.19921875" style="17" bestFit="1" customWidth="1"/>
    <col min="3077" max="3077" width="41.09765625" style="17" bestFit="1" customWidth="1"/>
    <col min="3078" max="3078" width="20.09765625" style="17" bestFit="1" customWidth="1"/>
    <col min="3079" max="3079" width="8" style="17" customWidth="1"/>
    <col min="3080" max="3080" width="14.19921875" style="17" customWidth="1"/>
    <col min="3081" max="3081" width="15.09765625" style="17" bestFit="1" customWidth="1"/>
    <col min="3082" max="3082" width="23.3984375" style="17" customWidth="1"/>
    <col min="3083" max="3328" width="9" style="17"/>
    <col min="3329" max="3329" width="9.3984375" style="17" customWidth="1"/>
    <col min="3330" max="3330" width="21.59765625" style="17" bestFit="1" customWidth="1"/>
    <col min="3331" max="3331" width="13.3984375" style="17" customWidth="1"/>
    <col min="3332" max="3332" width="41.19921875" style="17" bestFit="1" customWidth="1"/>
    <col min="3333" max="3333" width="41.09765625" style="17" bestFit="1" customWidth="1"/>
    <col min="3334" max="3334" width="20.09765625" style="17" bestFit="1" customWidth="1"/>
    <col min="3335" max="3335" width="8" style="17" customWidth="1"/>
    <col min="3336" max="3336" width="14.19921875" style="17" customWidth="1"/>
    <col min="3337" max="3337" width="15.09765625" style="17" bestFit="1" customWidth="1"/>
    <col min="3338" max="3338" width="23.3984375" style="17" customWidth="1"/>
    <col min="3339" max="3584" width="9" style="17"/>
    <col min="3585" max="3585" width="9.3984375" style="17" customWidth="1"/>
    <col min="3586" max="3586" width="21.59765625" style="17" bestFit="1" customWidth="1"/>
    <col min="3587" max="3587" width="13.3984375" style="17" customWidth="1"/>
    <col min="3588" max="3588" width="41.19921875" style="17" bestFit="1" customWidth="1"/>
    <col min="3589" max="3589" width="41.09765625" style="17" bestFit="1" customWidth="1"/>
    <col min="3590" max="3590" width="20.09765625" style="17" bestFit="1" customWidth="1"/>
    <col min="3591" max="3591" width="8" style="17" customWidth="1"/>
    <col min="3592" max="3592" width="14.19921875" style="17" customWidth="1"/>
    <col min="3593" max="3593" width="15.09765625" style="17" bestFit="1" customWidth="1"/>
    <col min="3594" max="3594" width="23.3984375" style="17" customWidth="1"/>
    <col min="3595" max="3840" width="9" style="17"/>
    <col min="3841" max="3841" width="9.3984375" style="17" customWidth="1"/>
    <col min="3842" max="3842" width="21.59765625" style="17" bestFit="1" customWidth="1"/>
    <col min="3843" max="3843" width="13.3984375" style="17" customWidth="1"/>
    <col min="3844" max="3844" width="41.19921875" style="17" bestFit="1" customWidth="1"/>
    <col min="3845" max="3845" width="41.09765625" style="17" bestFit="1" customWidth="1"/>
    <col min="3846" max="3846" width="20.09765625" style="17" bestFit="1" customWidth="1"/>
    <col min="3847" max="3847" width="8" style="17" customWidth="1"/>
    <col min="3848" max="3848" width="14.19921875" style="17" customWidth="1"/>
    <col min="3849" max="3849" width="15.09765625" style="17" bestFit="1" customWidth="1"/>
    <col min="3850" max="3850" width="23.3984375" style="17" customWidth="1"/>
    <col min="3851" max="4096" width="9" style="17"/>
    <col min="4097" max="4097" width="9.3984375" style="17" customWidth="1"/>
    <col min="4098" max="4098" width="21.59765625" style="17" bestFit="1" customWidth="1"/>
    <col min="4099" max="4099" width="13.3984375" style="17" customWidth="1"/>
    <col min="4100" max="4100" width="41.19921875" style="17" bestFit="1" customWidth="1"/>
    <col min="4101" max="4101" width="41.09765625" style="17" bestFit="1" customWidth="1"/>
    <col min="4102" max="4102" width="20.09765625" style="17" bestFit="1" customWidth="1"/>
    <col min="4103" max="4103" width="8" style="17" customWidth="1"/>
    <col min="4104" max="4104" width="14.19921875" style="17" customWidth="1"/>
    <col min="4105" max="4105" width="15.09765625" style="17" bestFit="1" customWidth="1"/>
    <col min="4106" max="4106" width="23.3984375" style="17" customWidth="1"/>
    <col min="4107" max="4352" width="9" style="17"/>
    <col min="4353" max="4353" width="9.3984375" style="17" customWidth="1"/>
    <col min="4354" max="4354" width="21.59765625" style="17" bestFit="1" customWidth="1"/>
    <col min="4355" max="4355" width="13.3984375" style="17" customWidth="1"/>
    <col min="4356" max="4356" width="41.19921875" style="17" bestFit="1" customWidth="1"/>
    <col min="4357" max="4357" width="41.09765625" style="17" bestFit="1" customWidth="1"/>
    <col min="4358" max="4358" width="20.09765625" style="17" bestFit="1" customWidth="1"/>
    <col min="4359" max="4359" width="8" style="17" customWidth="1"/>
    <col min="4360" max="4360" width="14.19921875" style="17" customWidth="1"/>
    <col min="4361" max="4361" width="15.09765625" style="17" bestFit="1" customWidth="1"/>
    <col min="4362" max="4362" width="23.3984375" style="17" customWidth="1"/>
    <col min="4363" max="4608" width="9" style="17"/>
    <col min="4609" max="4609" width="9.3984375" style="17" customWidth="1"/>
    <col min="4610" max="4610" width="21.59765625" style="17" bestFit="1" customWidth="1"/>
    <col min="4611" max="4611" width="13.3984375" style="17" customWidth="1"/>
    <col min="4612" max="4612" width="41.19921875" style="17" bestFit="1" customWidth="1"/>
    <col min="4613" max="4613" width="41.09765625" style="17" bestFit="1" customWidth="1"/>
    <col min="4614" max="4614" width="20.09765625" style="17" bestFit="1" customWidth="1"/>
    <col min="4615" max="4615" width="8" style="17" customWidth="1"/>
    <col min="4616" max="4616" width="14.19921875" style="17" customWidth="1"/>
    <col min="4617" max="4617" width="15.09765625" style="17" bestFit="1" customWidth="1"/>
    <col min="4618" max="4618" width="23.3984375" style="17" customWidth="1"/>
    <col min="4619" max="4864" width="9" style="17"/>
    <col min="4865" max="4865" width="9.3984375" style="17" customWidth="1"/>
    <col min="4866" max="4866" width="21.59765625" style="17" bestFit="1" customWidth="1"/>
    <col min="4867" max="4867" width="13.3984375" style="17" customWidth="1"/>
    <col min="4868" max="4868" width="41.19921875" style="17" bestFit="1" customWidth="1"/>
    <col min="4869" max="4869" width="41.09765625" style="17" bestFit="1" customWidth="1"/>
    <col min="4870" max="4870" width="20.09765625" style="17" bestFit="1" customWidth="1"/>
    <col min="4871" max="4871" width="8" style="17" customWidth="1"/>
    <col min="4872" max="4872" width="14.19921875" style="17" customWidth="1"/>
    <col min="4873" max="4873" width="15.09765625" style="17" bestFit="1" customWidth="1"/>
    <col min="4874" max="4874" width="23.3984375" style="17" customWidth="1"/>
    <col min="4875" max="5120" width="9" style="17"/>
    <col min="5121" max="5121" width="9.3984375" style="17" customWidth="1"/>
    <col min="5122" max="5122" width="21.59765625" style="17" bestFit="1" customWidth="1"/>
    <col min="5123" max="5123" width="13.3984375" style="17" customWidth="1"/>
    <col min="5124" max="5124" width="41.19921875" style="17" bestFit="1" customWidth="1"/>
    <col min="5125" max="5125" width="41.09765625" style="17" bestFit="1" customWidth="1"/>
    <col min="5126" max="5126" width="20.09765625" style="17" bestFit="1" customWidth="1"/>
    <col min="5127" max="5127" width="8" style="17" customWidth="1"/>
    <col min="5128" max="5128" width="14.19921875" style="17" customWidth="1"/>
    <col min="5129" max="5129" width="15.09765625" style="17" bestFit="1" customWidth="1"/>
    <col min="5130" max="5130" width="23.3984375" style="17" customWidth="1"/>
    <col min="5131" max="5376" width="9" style="17"/>
    <col min="5377" max="5377" width="9.3984375" style="17" customWidth="1"/>
    <col min="5378" max="5378" width="21.59765625" style="17" bestFit="1" customWidth="1"/>
    <col min="5379" max="5379" width="13.3984375" style="17" customWidth="1"/>
    <col min="5380" max="5380" width="41.19921875" style="17" bestFit="1" customWidth="1"/>
    <col min="5381" max="5381" width="41.09765625" style="17" bestFit="1" customWidth="1"/>
    <col min="5382" max="5382" width="20.09765625" style="17" bestFit="1" customWidth="1"/>
    <col min="5383" max="5383" width="8" style="17" customWidth="1"/>
    <col min="5384" max="5384" width="14.19921875" style="17" customWidth="1"/>
    <col min="5385" max="5385" width="15.09765625" style="17" bestFit="1" customWidth="1"/>
    <col min="5386" max="5386" width="23.3984375" style="17" customWidth="1"/>
    <col min="5387" max="5632" width="9" style="17"/>
    <col min="5633" max="5633" width="9.3984375" style="17" customWidth="1"/>
    <col min="5634" max="5634" width="21.59765625" style="17" bestFit="1" customWidth="1"/>
    <col min="5635" max="5635" width="13.3984375" style="17" customWidth="1"/>
    <col min="5636" max="5636" width="41.19921875" style="17" bestFit="1" customWidth="1"/>
    <col min="5637" max="5637" width="41.09765625" style="17" bestFit="1" customWidth="1"/>
    <col min="5638" max="5638" width="20.09765625" style="17" bestFit="1" customWidth="1"/>
    <col min="5639" max="5639" width="8" style="17" customWidth="1"/>
    <col min="5640" max="5640" width="14.19921875" style="17" customWidth="1"/>
    <col min="5641" max="5641" width="15.09765625" style="17" bestFit="1" customWidth="1"/>
    <col min="5642" max="5642" width="23.3984375" style="17" customWidth="1"/>
    <col min="5643" max="5888" width="9" style="17"/>
    <col min="5889" max="5889" width="9.3984375" style="17" customWidth="1"/>
    <col min="5890" max="5890" width="21.59765625" style="17" bestFit="1" customWidth="1"/>
    <col min="5891" max="5891" width="13.3984375" style="17" customWidth="1"/>
    <col min="5892" max="5892" width="41.19921875" style="17" bestFit="1" customWidth="1"/>
    <col min="5893" max="5893" width="41.09765625" style="17" bestFit="1" customWidth="1"/>
    <col min="5894" max="5894" width="20.09765625" style="17" bestFit="1" customWidth="1"/>
    <col min="5895" max="5895" width="8" style="17" customWidth="1"/>
    <col min="5896" max="5896" width="14.19921875" style="17" customWidth="1"/>
    <col min="5897" max="5897" width="15.09765625" style="17" bestFit="1" customWidth="1"/>
    <col min="5898" max="5898" width="23.3984375" style="17" customWidth="1"/>
    <col min="5899" max="6144" width="9" style="17"/>
    <col min="6145" max="6145" width="9.3984375" style="17" customWidth="1"/>
    <col min="6146" max="6146" width="21.59765625" style="17" bestFit="1" customWidth="1"/>
    <col min="6147" max="6147" width="13.3984375" style="17" customWidth="1"/>
    <col min="6148" max="6148" width="41.19921875" style="17" bestFit="1" customWidth="1"/>
    <col min="6149" max="6149" width="41.09765625" style="17" bestFit="1" customWidth="1"/>
    <col min="6150" max="6150" width="20.09765625" style="17" bestFit="1" customWidth="1"/>
    <col min="6151" max="6151" width="8" style="17" customWidth="1"/>
    <col min="6152" max="6152" width="14.19921875" style="17" customWidth="1"/>
    <col min="6153" max="6153" width="15.09765625" style="17" bestFit="1" customWidth="1"/>
    <col min="6154" max="6154" width="23.3984375" style="17" customWidth="1"/>
    <col min="6155" max="6400" width="9" style="17"/>
    <col min="6401" max="6401" width="9.3984375" style="17" customWidth="1"/>
    <col min="6402" max="6402" width="21.59765625" style="17" bestFit="1" customWidth="1"/>
    <col min="6403" max="6403" width="13.3984375" style="17" customWidth="1"/>
    <col min="6404" max="6404" width="41.19921875" style="17" bestFit="1" customWidth="1"/>
    <col min="6405" max="6405" width="41.09765625" style="17" bestFit="1" customWidth="1"/>
    <col min="6406" max="6406" width="20.09765625" style="17" bestFit="1" customWidth="1"/>
    <col min="6407" max="6407" width="8" style="17" customWidth="1"/>
    <col min="6408" max="6408" width="14.19921875" style="17" customWidth="1"/>
    <col min="6409" max="6409" width="15.09765625" style="17" bestFit="1" customWidth="1"/>
    <col min="6410" max="6410" width="23.3984375" style="17" customWidth="1"/>
    <col min="6411" max="6656" width="9" style="17"/>
    <col min="6657" max="6657" width="9.3984375" style="17" customWidth="1"/>
    <col min="6658" max="6658" width="21.59765625" style="17" bestFit="1" customWidth="1"/>
    <col min="6659" max="6659" width="13.3984375" style="17" customWidth="1"/>
    <col min="6660" max="6660" width="41.19921875" style="17" bestFit="1" customWidth="1"/>
    <col min="6661" max="6661" width="41.09765625" style="17" bestFit="1" customWidth="1"/>
    <col min="6662" max="6662" width="20.09765625" style="17" bestFit="1" customWidth="1"/>
    <col min="6663" max="6663" width="8" style="17" customWidth="1"/>
    <col min="6664" max="6664" width="14.19921875" style="17" customWidth="1"/>
    <col min="6665" max="6665" width="15.09765625" style="17" bestFit="1" customWidth="1"/>
    <col min="6666" max="6666" width="23.3984375" style="17" customWidth="1"/>
    <col min="6667" max="6912" width="9" style="17"/>
    <col min="6913" max="6913" width="9.3984375" style="17" customWidth="1"/>
    <col min="6914" max="6914" width="21.59765625" style="17" bestFit="1" customWidth="1"/>
    <col min="6915" max="6915" width="13.3984375" style="17" customWidth="1"/>
    <col min="6916" max="6916" width="41.19921875" style="17" bestFit="1" customWidth="1"/>
    <col min="6917" max="6917" width="41.09765625" style="17" bestFit="1" customWidth="1"/>
    <col min="6918" max="6918" width="20.09765625" style="17" bestFit="1" customWidth="1"/>
    <col min="6919" max="6919" width="8" style="17" customWidth="1"/>
    <col min="6920" max="6920" width="14.19921875" style="17" customWidth="1"/>
    <col min="6921" max="6921" width="15.09765625" style="17" bestFit="1" customWidth="1"/>
    <col min="6922" max="6922" width="23.3984375" style="17" customWidth="1"/>
    <col min="6923" max="7168" width="9" style="17"/>
    <col min="7169" max="7169" width="9.3984375" style="17" customWidth="1"/>
    <col min="7170" max="7170" width="21.59765625" style="17" bestFit="1" customWidth="1"/>
    <col min="7171" max="7171" width="13.3984375" style="17" customWidth="1"/>
    <col min="7172" max="7172" width="41.19921875" style="17" bestFit="1" customWidth="1"/>
    <col min="7173" max="7173" width="41.09765625" style="17" bestFit="1" customWidth="1"/>
    <col min="7174" max="7174" width="20.09765625" style="17" bestFit="1" customWidth="1"/>
    <col min="7175" max="7175" width="8" style="17" customWidth="1"/>
    <col min="7176" max="7176" width="14.19921875" style="17" customWidth="1"/>
    <col min="7177" max="7177" width="15.09765625" style="17" bestFit="1" customWidth="1"/>
    <col min="7178" max="7178" width="23.3984375" style="17" customWidth="1"/>
    <col min="7179" max="7424" width="9" style="17"/>
    <col min="7425" max="7425" width="9.3984375" style="17" customWidth="1"/>
    <col min="7426" max="7426" width="21.59765625" style="17" bestFit="1" customWidth="1"/>
    <col min="7427" max="7427" width="13.3984375" style="17" customWidth="1"/>
    <col min="7428" max="7428" width="41.19921875" style="17" bestFit="1" customWidth="1"/>
    <col min="7429" max="7429" width="41.09765625" style="17" bestFit="1" customWidth="1"/>
    <col min="7430" max="7430" width="20.09765625" style="17" bestFit="1" customWidth="1"/>
    <col min="7431" max="7431" width="8" style="17" customWidth="1"/>
    <col min="7432" max="7432" width="14.19921875" style="17" customWidth="1"/>
    <col min="7433" max="7433" width="15.09765625" style="17" bestFit="1" customWidth="1"/>
    <col min="7434" max="7434" width="23.3984375" style="17" customWidth="1"/>
    <col min="7435" max="7680" width="9" style="17"/>
    <col min="7681" max="7681" width="9.3984375" style="17" customWidth="1"/>
    <col min="7682" max="7682" width="21.59765625" style="17" bestFit="1" customWidth="1"/>
    <col min="7683" max="7683" width="13.3984375" style="17" customWidth="1"/>
    <col min="7684" max="7684" width="41.19921875" style="17" bestFit="1" customWidth="1"/>
    <col min="7685" max="7685" width="41.09765625" style="17" bestFit="1" customWidth="1"/>
    <col min="7686" max="7686" width="20.09765625" style="17" bestFit="1" customWidth="1"/>
    <col min="7687" max="7687" width="8" style="17" customWidth="1"/>
    <col min="7688" max="7688" width="14.19921875" style="17" customWidth="1"/>
    <col min="7689" max="7689" width="15.09765625" style="17" bestFit="1" customWidth="1"/>
    <col min="7690" max="7690" width="23.3984375" style="17" customWidth="1"/>
    <col min="7691" max="7936" width="9" style="17"/>
    <col min="7937" max="7937" width="9.3984375" style="17" customWidth="1"/>
    <col min="7938" max="7938" width="21.59765625" style="17" bestFit="1" customWidth="1"/>
    <col min="7939" max="7939" width="13.3984375" style="17" customWidth="1"/>
    <col min="7940" max="7940" width="41.19921875" style="17" bestFit="1" customWidth="1"/>
    <col min="7941" max="7941" width="41.09765625" style="17" bestFit="1" customWidth="1"/>
    <col min="7942" max="7942" width="20.09765625" style="17" bestFit="1" customWidth="1"/>
    <col min="7943" max="7943" width="8" style="17" customWidth="1"/>
    <col min="7944" max="7944" width="14.19921875" style="17" customWidth="1"/>
    <col min="7945" max="7945" width="15.09765625" style="17" bestFit="1" customWidth="1"/>
    <col min="7946" max="7946" width="23.3984375" style="17" customWidth="1"/>
    <col min="7947" max="8192" width="9" style="17"/>
    <col min="8193" max="8193" width="9.3984375" style="17" customWidth="1"/>
    <col min="8194" max="8194" width="21.59765625" style="17" bestFit="1" customWidth="1"/>
    <col min="8195" max="8195" width="13.3984375" style="17" customWidth="1"/>
    <col min="8196" max="8196" width="41.19921875" style="17" bestFit="1" customWidth="1"/>
    <col min="8197" max="8197" width="41.09765625" style="17" bestFit="1" customWidth="1"/>
    <col min="8198" max="8198" width="20.09765625" style="17" bestFit="1" customWidth="1"/>
    <col min="8199" max="8199" width="8" style="17" customWidth="1"/>
    <col min="8200" max="8200" width="14.19921875" style="17" customWidth="1"/>
    <col min="8201" max="8201" width="15.09765625" style="17" bestFit="1" customWidth="1"/>
    <col min="8202" max="8202" width="23.3984375" style="17" customWidth="1"/>
    <col min="8203" max="8448" width="9" style="17"/>
    <col min="8449" max="8449" width="9.3984375" style="17" customWidth="1"/>
    <col min="8450" max="8450" width="21.59765625" style="17" bestFit="1" customWidth="1"/>
    <col min="8451" max="8451" width="13.3984375" style="17" customWidth="1"/>
    <col min="8452" max="8452" width="41.19921875" style="17" bestFit="1" customWidth="1"/>
    <col min="8453" max="8453" width="41.09765625" style="17" bestFit="1" customWidth="1"/>
    <col min="8454" max="8454" width="20.09765625" style="17" bestFit="1" customWidth="1"/>
    <col min="8455" max="8455" width="8" style="17" customWidth="1"/>
    <col min="8456" max="8456" width="14.19921875" style="17" customWidth="1"/>
    <col min="8457" max="8457" width="15.09765625" style="17" bestFit="1" customWidth="1"/>
    <col min="8458" max="8458" width="23.3984375" style="17" customWidth="1"/>
    <col min="8459" max="8704" width="9" style="17"/>
    <col min="8705" max="8705" width="9.3984375" style="17" customWidth="1"/>
    <col min="8706" max="8706" width="21.59765625" style="17" bestFit="1" customWidth="1"/>
    <col min="8707" max="8707" width="13.3984375" style="17" customWidth="1"/>
    <col min="8708" max="8708" width="41.19921875" style="17" bestFit="1" customWidth="1"/>
    <col min="8709" max="8709" width="41.09765625" style="17" bestFit="1" customWidth="1"/>
    <col min="8710" max="8710" width="20.09765625" style="17" bestFit="1" customWidth="1"/>
    <col min="8711" max="8711" width="8" style="17" customWidth="1"/>
    <col min="8712" max="8712" width="14.19921875" style="17" customWidth="1"/>
    <col min="8713" max="8713" width="15.09765625" style="17" bestFit="1" customWidth="1"/>
    <col min="8714" max="8714" width="23.3984375" style="17" customWidth="1"/>
    <col min="8715" max="8960" width="9" style="17"/>
    <col min="8961" max="8961" width="9.3984375" style="17" customWidth="1"/>
    <col min="8962" max="8962" width="21.59765625" style="17" bestFit="1" customWidth="1"/>
    <col min="8963" max="8963" width="13.3984375" style="17" customWidth="1"/>
    <col min="8964" max="8964" width="41.19921875" style="17" bestFit="1" customWidth="1"/>
    <col min="8965" max="8965" width="41.09765625" style="17" bestFit="1" customWidth="1"/>
    <col min="8966" max="8966" width="20.09765625" style="17" bestFit="1" customWidth="1"/>
    <col min="8967" max="8967" width="8" style="17" customWidth="1"/>
    <col min="8968" max="8968" width="14.19921875" style="17" customWidth="1"/>
    <col min="8969" max="8969" width="15.09765625" style="17" bestFit="1" customWidth="1"/>
    <col min="8970" max="8970" width="23.3984375" style="17" customWidth="1"/>
    <col min="8971" max="9216" width="9" style="17"/>
    <col min="9217" max="9217" width="9.3984375" style="17" customWidth="1"/>
    <col min="9218" max="9218" width="21.59765625" style="17" bestFit="1" customWidth="1"/>
    <col min="9219" max="9219" width="13.3984375" style="17" customWidth="1"/>
    <col min="9220" max="9220" width="41.19921875" style="17" bestFit="1" customWidth="1"/>
    <col min="9221" max="9221" width="41.09765625" style="17" bestFit="1" customWidth="1"/>
    <col min="9222" max="9222" width="20.09765625" style="17" bestFit="1" customWidth="1"/>
    <col min="9223" max="9223" width="8" style="17" customWidth="1"/>
    <col min="9224" max="9224" width="14.19921875" style="17" customWidth="1"/>
    <col min="9225" max="9225" width="15.09765625" style="17" bestFit="1" customWidth="1"/>
    <col min="9226" max="9226" width="23.3984375" style="17" customWidth="1"/>
    <col min="9227" max="9472" width="9" style="17"/>
    <col min="9473" max="9473" width="9.3984375" style="17" customWidth="1"/>
    <col min="9474" max="9474" width="21.59765625" style="17" bestFit="1" customWidth="1"/>
    <col min="9475" max="9475" width="13.3984375" style="17" customWidth="1"/>
    <col min="9476" max="9476" width="41.19921875" style="17" bestFit="1" customWidth="1"/>
    <col min="9477" max="9477" width="41.09765625" style="17" bestFit="1" customWidth="1"/>
    <col min="9478" max="9478" width="20.09765625" style="17" bestFit="1" customWidth="1"/>
    <col min="9479" max="9479" width="8" style="17" customWidth="1"/>
    <col min="9480" max="9480" width="14.19921875" style="17" customWidth="1"/>
    <col min="9481" max="9481" width="15.09765625" style="17" bestFit="1" customWidth="1"/>
    <col min="9482" max="9482" width="23.3984375" style="17" customWidth="1"/>
    <col min="9483" max="9728" width="9" style="17"/>
    <col min="9729" max="9729" width="9.3984375" style="17" customWidth="1"/>
    <col min="9730" max="9730" width="21.59765625" style="17" bestFit="1" customWidth="1"/>
    <col min="9731" max="9731" width="13.3984375" style="17" customWidth="1"/>
    <col min="9732" max="9732" width="41.19921875" style="17" bestFit="1" customWidth="1"/>
    <col min="9733" max="9733" width="41.09765625" style="17" bestFit="1" customWidth="1"/>
    <col min="9734" max="9734" width="20.09765625" style="17" bestFit="1" customWidth="1"/>
    <col min="9735" max="9735" width="8" style="17" customWidth="1"/>
    <col min="9736" max="9736" width="14.19921875" style="17" customWidth="1"/>
    <col min="9737" max="9737" width="15.09765625" style="17" bestFit="1" customWidth="1"/>
    <col min="9738" max="9738" width="23.3984375" style="17" customWidth="1"/>
    <col min="9739" max="9984" width="9" style="17"/>
    <col min="9985" max="9985" width="9.3984375" style="17" customWidth="1"/>
    <col min="9986" max="9986" width="21.59765625" style="17" bestFit="1" customWidth="1"/>
    <col min="9987" max="9987" width="13.3984375" style="17" customWidth="1"/>
    <col min="9988" max="9988" width="41.19921875" style="17" bestFit="1" customWidth="1"/>
    <col min="9989" max="9989" width="41.09765625" style="17" bestFit="1" customWidth="1"/>
    <col min="9990" max="9990" width="20.09765625" style="17" bestFit="1" customWidth="1"/>
    <col min="9991" max="9991" width="8" style="17" customWidth="1"/>
    <col min="9992" max="9992" width="14.19921875" style="17" customWidth="1"/>
    <col min="9993" max="9993" width="15.09765625" style="17" bestFit="1" customWidth="1"/>
    <col min="9994" max="9994" width="23.3984375" style="17" customWidth="1"/>
    <col min="9995" max="10240" width="9" style="17"/>
    <col min="10241" max="10241" width="9.3984375" style="17" customWidth="1"/>
    <col min="10242" max="10242" width="21.59765625" style="17" bestFit="1" customWidth="1"/>
    <col min="10243" max="10243" width="13.3984375" style="17" customWidth="1"/>
    <col min="10244" max="10244" width="41.19921875" style="17" bestFit="1" customWidth="1"/>
    <col min="10245" max="10245" width="41.09765625" style="17" bestFit="1" customWidth="1"/>
    <col min="10246" max="10246" width="20.09765625" style="17" bestFit="1" customWidth="1"/>
    <col min="10247" max="10247" width="8" style="17" customWidth="1"/>
    <col min="10248" max="10248" width="14.19921875" style="17" customWidth="1"/>
    <col min="10249" max="10249" width="15.09765625" style="17" bestFit="1" customWidth="1"/>
    <col min="10250" max="10250" width="23.3984375" style="17" customWidth="1"/>
    <col min="10251" max="10496" width="9" style="17"/>
    <col min="10497" max="10497" width="9.3984375" style="17" customWidth="1"/>
    <col min="10498" max="10498" width="21.59765625" style="17" bestFit="1" customWidth="1"/>
    <col min="10499" max="10499" width="13.3984375" style="17" customWidth="1"/>
    <col min="10500" max="10500" width="41.19921875" style="17" bestFit="1" customWidth="1"/>
    <col min="10501" max="10501" width="41.09765625" style="17" bestFit="1" customWidth="1"/>
    <col min="10502" max="10502" width="20.09765625" style="17" bestFit="1" customWidth="1"/>
    <col min="10503" max="10503" width="8" style="17" customWidth="1"/>
    <col min="10504" max="10504" width="14.19921875" style="17" customWidth="1"/>
    <col min="10505" max="10505" width="15.09765625" style="17" bestFit="1" customWidth="1"/>
    <col min="10506" max="10506" width="23.3984375" style="17" customWidth="1"/>
    <col min="10507" max="10752" width="9" style="17"/>
    <col min="10753" max="10753" width="9.3984375" style="17" customWidth="1"/>
    <col min="10754" max="10754" width="21.59765625" style="17" bestFit="1" customWidth="1"/>
    <col min="10755" max="10755" width="13.3984375" style="17" customWidth="1"/>
    <col min="10756" max="10756" width="41.19921875" style="17" bestFit="1" customWidth="1"/>
    <col min="10757" max="10757" width="41.09765625" style="17" bestFit="1" customWidth="1"/>
    <col min="10758" max="10758" width="20.09765625" style="17" bestFit="1" customWidth="1"/>
    <col min="10759" max="10759" width="8" style="17" customWidth="1"/>
    <col min="10760" max="10760" width="14.19921875" style="17" customWidth="1"/>
    <col min="10761" max="10761" width="15.09765625" style="17" bestFit="1" customWidth="1"/>
    <col min="10762" max="10762" width="23.3984375" style="17" customWidth="1"/>
    <col min="10763" max="11008" width="9" style="17"/>
    <col min="11009" max="11009" width="9.3984375" style="17" customWidth="1"/>
    <col min="11010" max="11010" width="21.59765625" style="17" bestFit="1" customWidth="1"/>
    <col min="11011" max="11011" width="13.3984375" style="17" customWidth="1"/>
    <col min="11012" max="11012" width="41.19921875" style="17" bestFit="1" customWidth="1"/>
    <col min="11013" max="11013" width="41.09765625" style="17" bestFit="1" customWidth="1"/>
    <col min="11014" max="11014" width="20.09765625" style="17" bestFit="1" customWidth="1"/>
    <col min="11015" max="11015" width="8" style="17" customWidth="1"/>
    <col min="11016" max="11016" width="14.19921875" style="17" customWidth="1"/>
    <col min="11017" max="11017" width="15.09765625" style="17" bestFit="1" customWidth="1"/>
    <col min="11018" max="11018" width="23.3984375" style="17" customWidth="1"/>
    <col min="11019" max="11264" width="9" style="17"/>
    <col min="11265" max="11265" width="9.3984375" style="17" customWidth="1"/>
    <col min="11266" max="11266" width="21.59765625" style="17" bestFit="1" customWidth="1"/>
    <col min="11267" max="11267" width="13.3984375" style="17" customWidth="1"/>
    <col min="11268" max="11268" width="41.19921875" style="17" bestFit="1" customWidth="1"/>
    <col min="11269" max="11269" width="41.09765625" style="17" bestFit="1" customWidth="1"/>
    <col min="11270" max="11270" width="20.09765625" style="17" bestFit="1" customWidth="1"/>
    <col min="11271" max="11271" width="8" style="17" customWidth="1"/>
    <col min="11272" max="11272" width="14.19921875" style="17" customWidth="1"/>
    <col min="11273" max="11273" width="15.09765625" style="17" bestFit="1" customWidth="1"/>
    <col min="11274" max="11274" width="23.3984375" style="17" customWidth="1"/>
    <col min="11275" max="11520" width="9" style="17"/>
    <col min="11521" max="11521" width="9.3984375" style="17" customWidth="1"/>
    <col min="11522" max="11522" width="21.59765625" style="17" bestFit="1" customWidth="1"/>
    <col min="11523" max="11523" width="13.3984375" style="17" customWidth="1"/>
    <col min="11524" max="11524" width="41.19921875" style="17" bestFit="1" customWidth="1"/>
    <col min="11525" max="11525" width="41.09765625" style="17" bestFit="1" customWidth="1"/>
    <col min="11526" max="11526" width="20.09765625" style="17" bestFit="1" customWidth="1"/>
    <col min="11527" max="11527" width="8" style="17" customWidth="1"/>
    <col min="11528" max="11528" width="14.19921875" style="17" customWidth="1"/>
    <col min="11529" max="11529" width="15.09765625" style="17" bestFit="1" customWidth="1"/>
    <col min="11530" max="11530" width="23.3984375" style="17" customWidth="1"/>
    <col min="11531" max="11776" width="9" style="17"/>
    <col min="11777" max="11777" width="9.3984375" style="17" customWidth="1"/>
    <col min="11778" max="11778" width="21.59765625" style="17" bestFit="1" customWidth="1"/>
    <col min="11779" max="11779" width="13.3984375" style="17" customWidth="1"/>
    <col min="11780" max="11780" width="41.19921875" style="17" bestFit="1" customWidth="1"/>
    <col min="11781" max="11781" width="41.09765625" style="17" bestFit="1" customWidth="1"/>
    <col min="11782" max="11782" width="20.09765625" style="17" bestFit="1" customWidth="1"/>
    <col min="11783" max="11783" width="8" style="17" customWidth="1"/>
    <col min="11784" max="11784" width="14.19921875" style="17" customWidth="1"/>
    <col min="11785" max="11785" width="15.09765625" style="17" bestFit="1" customWidth="1"/>
    <col min="11786" max="11786" width="23.3984375" style="17" customWidth="1"/>
    <col min="11787" max="12032" width="9" style="17"/>
    <col min="12033" max="12033" width="9.3984375" style="17" customWidth="1"/>
    <col min="12034" max="12034" width="21.59765625" style="17" bestFit="1" customWidth="1"/>
    <col min="12035" max="12035" width="13.3984375" style="17" customWidth="1"/>
    <col min="12036" max="12036" width="41.19921875" style="17" bestFit="1" customWidth="1"/>
    <col min="12037" max="12037" width="41.09765625" style="17" bestFit="1" customWidth="1"/>
    <col min="12038" max="12038" width="20.09765625" style="17" bestFit="1" customWidth="1"/>
    <col min="12039" max="12039" width="8" style="17" customWidth="1"/>
    <col min="12040" max="12040" width="14.19921875" style="17" customWidth="1"/>
    <col min="12041" max="12041" width="15.09765625" style="17" bestFit="1" customWidth="1"/>
    <col min="12042" max="12042" width="23.3984375" style="17" customWidth="1"/>
    <col min="12043" max="12288" width="9" style="17"/>
    <col min="12289" max="12289" width="9.3984375" style="17" customWidth="1"/>
    <col min="12290" max="12290" width="21.59765625" style="17" bestFit="1" customWidth="1"/>
    <col min="12291" max="12291" width="13.3984375" style="17" customWidth="1"/>
    <col min="12292" max="12292" width="41.19921875" style="17" bestFit="1" customWidth="1"/>
    <col min="12293" max="12293" width="41.09765625" style="17" bestFit="1" customWidth="1"/>
    <col min="12294" max="12294" width="20.09765625" style="17" bestFit="1" customWidth="1"/>
    <col min="12295" max="12295" width="8" style="17" customWidth="1"/>
    <col min="12296" max="12296" width="14.19921875" style="17" customWidth="1"/>
    <col min="12297" max="12297" width="15.09765625" style="17" bestFit="1" customWidth="1"/>
    <col min="12298" max="12298" width="23.3984375" style="17" customWidth="1"/>
    <col min="12299" max="12544" width="9" style="17"/>
    <col min="12545" max="12545" width="9.3984375" style="17" customWidth="1"/>
    <col min="12546" max="12546" width="21.59765625" style="17" bestFit="1" customWidth="1"/>
    <col min="12547" max="12547" width="13.3984375" style="17" customWidth="1"/>
    <col min="12548" max="12548" width="41.19921875" style="17" bestFit="1" customWidth="1"/>
    <col min="12549" max="12549" width="41.09765625" style="17" bestFit="1" customWidth="1"/>
    <col min="12550" max="12550" width="20.09765625" style="17" bestFit="1" customWidth="1"/>
    <col min="12551" max="12551" width="8" style="17" customWidth="1"/>
    <col min="12552" max="12552" width="14.19921875" style="17" customWidth="1"/>
    <col min="12553" max="12553" width="15.09765625" style="17" bestFit="1" customWidth="1"/>
    <col min="12554" max="12554" width="23.3984375" style="17" customWidth="1"/>
    <col min="12555" max="12800" width="9" style="17"/>
    <col min="12801" max="12801" width="9.3984375" style="17" customWidth="1"/>
    <col min="12802" max="12802" width="21.59765625" style="17" bestFit="1" customWidth="1"/>
    <col min="12803" max="12803" width="13.3984375" style="17" customWidth="1"/>
    <col min="12804" max="12804" width="41.19921875" style="17" bestFit="1" customWidth="1"/>
    <col min="12805" max="12805" width="41.09765625" style="17" bestFit="1" customWidth="1"/>
    <col min="12806" max="12806" width="20.09765625" style="17" bestFit="1" customWidth="1"/>
    <col min="12807" max="12807" width="8" style="17" customWidth="1"/>
    <col min="12808" max="12808" width="14.19921875" style="17" customWidth="1"/>
    <col min="12809" max="12809" width="15.09765625" style="17" bestFit="1" customWidth="1"/>
    <col min="12810" max="12810" width="23.3984375" style="17" customWidth="1"/>
    <col min="12811" max="13056" width="9" style="17"/>
    <col min="13057" max="13057" width="9.3984375" style="17" customWidth="1"/>
    <col min="13058" max="13058" width="21.59765625" style="17" bestFit="1" customWidth="1"/>
    <col min="13059" max="13059" width="13.3984375" style="17" customWidth="1"/>
    <col min="13060" max="13060" width="41.19921875" style="17" bestFit="1" customWidth="1"/>
    <col min="13061" max="13061" width="41.09765625" style="17" bestFit="1" customWidth="1"/>
    <col min="13062" max="13062" width="20.09765625" style="17" bestFit="1" customWidth="1"/>
    <col min="13063" max="13063" width="8" style="17" customWidth="1"/>
    <col min="13064" max="13064" width="14.19921875" style="17" customWidth="1"/>
    <col min="13065" max="13065" width="15.09765625" style="17" bestFit="1" customWidth="1"/>
    <col min="13066" max="13066" width="23.3984375" style="17" customWidth="1"/>
    <col min="13067" max="13312" width="9" style="17"/>
    <col min="13313" max="13313" width="9.3984375" style="17" customWidth="1"/>
    <col min="13314" max="13314" width="21.59765625" style="17" bestFit="1" customWidth="1"/>
    <col min="13315" max="13315" width="13.3984375" style="17" customWidth="1"/>
    <col min="13316" max="13316" width="41.19921875" style="17" bestFit="1" customWidth="1"/>
    <col min="13317" max="13317" width="41.09765625" style="17" bestFit="1" customWidth="1"/>
    <col min="13318" max="13318" width="20.09765625" style="17" bestFit="1" customWidth="1"/>
    <col min="13319" max="13319" width="8" style="17" customWidth="1"/>
    <col min="13320" max="13320" width="14.19921875" style="17" customWidth="1"/>
    <col min="13321" max="13321" width="15.09765625" style="17" bestFit="1" customWidth="1"/>
    <col min="13322" max="13322" width="23.3984375" style="17" customWidth="1"/>
    <col min="13323" max="13568" width="9" style="17"/>
    <col min="13569" max="13569" width="9.3984375" style="17" customWidth="1"/>
    <col min="13570" max="13570" width="21.59765625" style="17" bestFit="1" customWidth="1"/>
    <col min="13571" max="13571" width="13.3984375" style="17" customWidth="1"/>
    <col min="13572" max="13572" width="41.19921875" style="17" bestFit="1" customWidth="1"/>
    <col min="13573" max="13573" width="41.09765625" style="17" bestFit="1" customWidth="1"/>
    <col min="13574" max="13574" width="20.09765625" style="17" bestFit="1" customWidth="1"/>
    <col min="13575" max="13575" width="8" style="17" customWidth="1"/>
    <col min="13576" max="13576" width="14.19921875" style="17" customWidth="1"/>
    <col min="13577" max="13577" width="15.09765625" style="17" bestFit="1" customWidth="1"/>
    <col min="13578" max="13578" width="23.3984375" style="17" customWidth="1"/>
    <col min="13579" max="13824" width="9" style="17"/>
    <col min="13825" max="13825" width="9.3984375" style="17" customWidth="1"/>
    <col min="13826" max="13826" width="21.59765625" style="17" bestFit="1" customWidth="1"/>
    <col min="13827" max="13827" width="13.3984375" style="17" customWidth="1"/>
    <col min="13828" max="13828" width="41.19921875" style="17" bestFit="1" customWidth="1"/>
    <col min="13829" max="13829" width="41.09765625" style="17" bestFit="1" customWidth="1"/>
    <col min="13830" max="13830" width="20.09765625" style="17" bestFit="1" customWidth="1"/>
    <col min="13831" max="13831" width="8" style="17" customWidth="1"/>
    <col min="13832" max="13832" width="14.19921875" style="17" customWidth="1"/>
    <col min="13833" max="13833" width="15.09765625" style="17" bestFit="1" customWidth="1"/>
    <col min="13834" max="13834" width="23.3984375" style="17" customWidth="1"/>
    <col min="13835" max="14080" width="9" style="17"/>
    <col min="14081" max="14081" width="9.3984375" style="17" customWidth="1"/>
    <col min="14082" max="14082" width="21.59765625" style="17" bestFit="1" customWidth="1"/>
    <col min="14083" max="14083" width="13.3984375" style="17" customWidth="1"/>
    <col min="14084" max="14084" width="41.19921875" style="17" bestFit="1" customWidth="1"/>
    <col min="14085" max="14085" width="41.09765625" style="17" bestFit="1" customWidth="1"/>
    <col min="14086" max="14086" width="20.09765625" style="17" bestFit="1" customWidth="1"/>
    <col min="14087" max="14087" width="8" style="17" customWidth="1"/>
    <col min="14088" max="14088" width="14.19921875" style="17" customWidth="1"/>
    <col min="14089" max="14089" width="15.09765625" style="17" bestFit="1" customWidth="1"/>
    <col min="14090" max="14090" width="23.3984375" style="17" customWidth="1"/>
    <col min="14091" max="14336" width="9" style="17"/>
    <col min="14337" max="14337" width="9.3984375" style="17" customWidth="1"/>
    <col min="14338" max="14338" width="21.59765625" style="17" bestFit="1" customWidth="1"/>
    <col min="14339" max="14339" width="13.3984375" style="17" customWidth="1"/>
    <col min="14340" max="14340" width="41.19921875" style="17" bestFit="1" customWidth="1"/>
    <col min="14341" max="14341" width="41.09765625" style="17" bestFit="1" customWidth="1"/>
    <col min="14342" max="14342" width="20.09765625" style="17" bestFit="1" customWidth="1"/>
    <col min="14343" max="14343" width="8" style="17" customWidth="1"/>
    <col min="14344" max="14344" width="14.19921875" style="17" customWidth="1"/>
    <col min="14345" max="14345" width="15.09765625" style="17" bestFit="1" customWidth="1"/>
    <col min="14346" max="14346" width="23.3984375" style="17" customWidth="1"/>
    <col min="14347" max="14592" width="9" style="17"/>
    <col min="14593" max="14593" width="9.3984375" style="17" customWidth="1"/>
    <col min="14594" max="14594" width="21.59765625" style="17" bestFit="1" customWidth="1"/>
    <col min="14595" max="14595" width="13.3984375" style="17" customWidth="1"/>
    <col min="14596" max="14596" width="41.19921875" style="17" bestFit="1" customWidth="1"/>
    <col min="14597" max="14597" width="41.09765625" style="17" bestFit="1" customWidth="1"/>
    <col min="14598" max="14598" width="20.09765625" style="17" bestFit="1" customWidth="1"/>
    <col min="14599" max="14599" width="8" style="17" customWidth="1"/>
    <col min="14600" max="14600" width="14.19921875" style="17" customWidth="1"/>
    <col min="14601" max="14601" width="15.09765625" style="17" bestFit="1" customWidth="1"/>
    <col min="14602" max="14602" width="23.3984375" style="17" customWidth="1"/>
    <col min="14603" max="14848" width="9" style="17"/>
    <col min="14849" max="14849" width="9.3984375" style="17" customWidth="1"/>
    <col min="14850" max="14850" width="21.59765625" style="17" bestFit="1" customWidth="1"/>
    <col min="14851" max="14851" width="13.3984375" style="17" customWidth="1"/>
    <col min="14852" max="14852" width="41.19921875" style="17" bestFit="1" customWidth="1"/>
    <col min="14853" max="14853" width="41.09765625" style="17" bestFit="1" customWidth="1"/>
    <col min="14854" max="14854" width="20.09765625" style="17" bestFit="1" customWidth="1"/>
    <col min="14855" max="14855" width="8" style="17" customWidth="1"/>
    <col min="14856" max="14856" width="14.19921875" style="17" customWidth="1"/>
    <col min="14857" max="14857" width="15.09765625" style="17" bestFit="1" customWidth="1"/>
    <col min="14858" max="14858" width="23.3984375" style="17" customWidth="1"/>
    <col min="14859" max="15104" width="9" style="17"/>
    <col min="15105" max="15105" width="9.3984375" style="17" customWidth="1"/>
    <col min="15106" max="15106" width="21.59765625" style="17" bestFit="1" customWidth="1"/>
    <col min="15107" max="15107" width="13.3984375" style="17" customWidth="1"/>
    <col min="15108" max="15108" width="41.19921875" style="17" bestFit="1" customWidth="1"/>
    <col min="15109" max="15109" width="41.09765625" style="17" bestFit="1" customWidth="1"/>
    <col min="15110" max="15110" width="20.09765625" style="17" bestFit="1" customWidth="1"/>
    <col min="15111" max="15111" width="8" style="17" customWidth="1"/>
    <col min="15112" max="15112" width="14.19921875" style="17" customWidth="1"/>
    <col min="15113" max="15113" width="15.09765625" style="17" bestFit="1" customWidth="1"/>
    <col min="15114" max="15114" width="23.3984375" style="17" customWidth="1"/>
    <col min="15115" max="15360" width="9" style="17"/>
    <col min="15361" max="15361" width="9.3984375" style="17" customWidth="1"/>
    <col min="15362" max="15362" width="21.59765625" style="17" bestFit="1" customWidth="1"/>
    <col min="15363" max="15363" width="13.3984375" style="17" customWidth="1"/>
    <col min="15364" max="15364" width="41.19921875" style="17" bestFit="1" customWidth="1"/>
    <col min="15365" max="15365" width="41.09765625" style="17" bestFit="1" customWidth="1"/>
    <col min="15366" max="15366" width="20.09765625" style="17" bestFit="1" customWidth="1"/>
    <col min="15367" max="15367" width="8" style="17" customWidth="1"/>
    <col min="15368" max="15368" width="14.19921875" style="17" customWidth="1"/>
    <col min="15369" max="15369" width="15.09765625" style="17" bestFit="1" customWidth="1"/>
    <col min="15370" max="15370" width="23.3984375" style="17" customWidth="1"/>
    <col min="15371" max="15616" width="9" style="17"/>
    <col min="15617" max="15617" width="9.3984375" style="17" customWidth="1"/>
    <col min="15618" max="15618" width="21.59765625" style="17" bestFit="1" customWidth="1"/>
    <col min="15619" max="15619" width="13.3984375" style="17" customWidth="1"/>
    <col min="15620" max="15620" width="41.19921875" style="17" bestFit="1" customWidth="1"/>
    <col min="15621" max="15621" width="41.09765625" style="17" bestFit="1" customWidth="1"/>
    <col min="15622" max="15622" width="20.09765625" style="17" bestFit="1" customWidth="1"/>
    <col min="15623" max="15623" width="8" style="17" customWidth="1"/>
    <col min="15624" max="15624" width="14.19921875" style="17" customWidth="1"/>
    <col min="15625" max="15625" width="15.09765625" style="17" bestFit="1" customWidth="1"/>
    <col min="15626" max="15626" width="23.3984375" style="17" customWidth="1"/>
    <col min="15627" max="15872" width="9" style="17"/>
    <col min="15873" max="15873" width="9.3984375" style="17" customWidth="1"/>
    <col min="15874" max="15874" width="21.59765625" style="17" bestFit="1" customWidth="1"/>
    <col min="15875" max="15875" width="13.3984375" style="17" customWidth="1"/>
    <col min="15876" max="15876" width="41.19921875" style="17" bestFit="1" customWidth="1"/>
    <col min="15877" max="15877" width="41.09765625" style="17" bestFit="1" customWidth="1"/>
    <col min="15878" max="15878" width="20.09765625" style="17" bestFit="1" customWidth="1"/>
    <col min="15879" max="15879" width="8" style="17" customWidth="1"/>
    <col min="15880" max="15880" width="14.19921875" style="17" customWidth="1"/>
    <col min="15881" max="15881" width="15.09765625" style="17" bestFit="1" customWidth="1"/>
    <col min="15882" max="15882" width="23.3984375" style="17" customWidth="1"/>
    <col min="15883" max="16128" width="9" style="17"/>
    <col min="16129" max="16129" width="9.3984375" style="17" customWidth="1"/>
    <col min="16130" max="16130" width="21.59765625" style="17" bestFit="1" customWidth="1"/>
    <col min="16131" max="16131" width="13.3984375" style="17" customWidth="1"/>
    <col min="16132" max="16132" width="41.19921875" style="17" bestFit="1" customWidth="1"/>
    <col min="16133" max="16133" width="41.09765625" style="17" bestFit="1" customWidth="1"/>
    <col min="16134" max="16134" width="20.09765625" style="17" bestFit="1" customWidth="1"/>
    <col min="16135" max="16135" width="8" style="17" customWidth="1"/>
    <col min="16136" max="16136" width="14.19921875" style="17" customWidth="1"/>
    <col min="16137" max="16137" width="15.09765625" style="17" bestFit="1" customWidth="1"/>
    <col min="16138" max="16138" width="23.3984375" style="17" customWidth="1"/>
    <col min="16139" max="16384" width="9" style="17"/>
  </cols>
  <sheetData>
    <row r="1" spans="1:14" ht="33.75" customHeight="1">
      <c r="A1" s="329" t="s">
        <v>301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4" s="151" customFormat="1" ht="19.5" customHeight="1">
      <c r="A2" s="332" t="s">
        <v>294</v>
      </c>
      <c r="B2" s="333" t="s">
        <v>287</v>
      </c>
      <c r="C2" s="332" t="s">
        <v>251</v>
      </c>
      <c r="D2" s="332" t="s">
        <v>252</v>
      </c>
      <c r="E2" s="335" t="s">
        <v>295</v>
      </c>
      <c r="F2" s="332" t="s">
        <v>280</v>
      </c>
      <c r="G2" s="336" t="s">
        <v>296</v>
      </c>
      <c r="H2" s="337" t="s">
        <v>289</v>
      </c>
      <c r="I2" s="150" t="s">
        <v>290</v>
      </c>
      <c r="J2" s="332" t="s">
        <v>291</v>
      </c>
    </row>
    <row r="3" spans="1:14" s="151" customFormat="1" ht="19.5" customHeight="1">
      <c r="A3" s="332"/>
      <c r="B3" s="334"/>
      <c r="C3" s="332"/>
      <c r="D3" s="332"/>
      <c r="E3" s="335"/>
      <c r="F3" s="332"/>
      <c r="G3" s="336"/>
      <c r="H3" s="337"/>
      <c r="I3" s="147">
        <f>ROUND(SUM(I4:I34),)</f>
        <v>215736</v>
      </c>
      <c r="J3" s="332"/>
      <c r="L3" s="152" t="s">
        <v>248</v>
      </c>
    </row>
    <row r="4" spans="1:14" s="157" customFormat="1" ht="15" customHeight="1">
      <c r="A4" s="153">
        <f t="shared" ref="A4:A12" si="0">ROW()-3</f>
        <v>1</v>
      </c>
      <c r="B4" s="154">
        <v>46204</v>
      </c>
      <c r="C4" s="153" t="s">
        <v>554</v>
      </c>
      <c r="D4" s="153" t="s">
        <v>516</v>
      </c>
      <c r="E4" s="153" t="s">
        <v>517</v>
      </c>
      <c r="F4" s="153" t="s">
        <v>518</v>
      </c>
      <c r="G4" s="155">
        <v>1</v>
      </c>
      <c r="H4" s="156">
        <v>10909.090909090908</v>
      </c>
      <c r="I4" s="156">
        <v>10909.090909090908</v>
      </c>
      <c r="J4" s="153"/>
      <c r="L4" s="158" t="s">
        <v>297</v>
      </c>
    </row>
    <row r="5" spans="1:14" s="157" customFormat="1" ht="15" customHeight="1">
      <c r="A5" s="153">
        <f t="shared" si="0"/>
        <v>2</v>
      </c>
      <c r="B5" s="154">
        <v>46216</v>
      </c>
      <c r="C5" s="153" t="s">
        <v>554</v>
      </c>
      <c r="D5" s="153" t="s">
        <v>519</v>
      </c>
      <c r="E5" s="153" t="s">
        <v>520</v>
      </c>
      <c r="F5" s="153" t="s">
        <v>518</v>
      </c>
      <c r="G5" s="155">
        <v>1</v>
      </c>
      <c r="H5" s="156">
        <v>29999.999999999996</v>
      </c>
      <c r="I5" s="156">
        <v>29999.999999999996</v>
      </c>
      <c r="J5" s="153"/>
      <c r="L5" s="158" t="s">
        <v>287</v>
      </c>
    </row>
    <row r="6" spans="1:14" s="157" customFormat="1" ht="15" customHeight="1">
      <c r="A6" s="153">
        <f t="shared" si="0"/>
        <v>3</v>
      </c>
      <c r="B6" s="154">
        <v>46206</v>
      </c>
      <c r="C6" s="153" t="s">
        <v>554</v>
      </c>
      <c r="D6" s="153" t="s">
        <v>521</v>
      </c>
      <c r="E6" s="153" t="s">
        <v>522</v>
      </c>
      <c r="F6" s="153" t="s">
        <v>523</v>
      </c>
      <c r="G6" s="155">
        <v>2</v>
      </c>
      <c r="H6" s="156">
        <v>11200</v>
      </c>
      <c r="I6" s="156">
        <v>22400</v>
      </c>
      <c r="J6" s="239"/>
      <c r="L6" s="158" t="s">
        <v>251</v>
      </c>
    </row>
    <row r="7" spans="1:14" s="157" customFormat="1" ht="15" customHeight="1">
      <c r="A7" s="153">
        <f t="shared" si="0"/>
        <v>4</v>
      </c>
      <c r="B7" s="154">
        <v>46211</v>
      </c>
      <c r="C7" s="153" t="s">
        <v>554</v>
      </c>
      <c r="D7" s="153" t="s">
        <v>524</v>
      </c>
      <c r="E7" s="153" t="s">
        <v>525</v>
      </c>
      <c r="F7" s="153" t="s">
        <v>523</v>
      </c>
      <c r="G7" s="153">
        <v>4</v>
      </c>
      <c r="H7" s="156">
        <v>10000</v>
      </c>
      <c r="I7" s="156">
        <v>40000</v>
      </c>
      <c r="J7" s="153"/>
      <c r="L7" s="158" t="s">
        <v>252</v>
      </c>
    </row>
    <row r="8" spans="1:14" s="157" customFormat="1" ht="15" customHeight="1">
      <c r="A8" s="153">
        <f t="shared" si="0"/>
        <v>5</v>
      </c>
      <c r="B8" s="154">
        <v>46211</v>
      </c>
      <c r="C8" s="153" t="s">
        <v>554</v>
      </c>
      <c r="D8" s="153" t="s">
        <v>526</v>
      </c>
      <c r="E8" s="153" t="s">
        <v>527</v>
      </c>
      <c r="F8" s="153" t="s">
        <v>523</v>
      </c>
      <c r="G8" s="153">
        <v>50</v>
      </c>
      <c r="H8" s="156">
        <v>300</v>
      </c>
      <c r="I8" s="156">
        <v>15000</v>
      </c>
      <c r="J8" s="153"/>
      <c r="L8" s="158" t="s">
        <v>295</v>
      </c>
    </row>
    <row r="9" spans="1:14" s="157" customFormat="1" ht="15" customHeight="1">
      <c r="A9" s="153">
        <f t="shared" si="0"/>
        <v>6</v>
      </c>
      <c r="B9" s="154">
        <v>46218</v>
      </c>
      <c r="C9" s="153" t="s">
        <v>554</v>
      </c>
      <c r="D9" s="153" t="s">
        <v>528</v>
      </c>
      <c r="E9" s="153" t="s">
        <v>529</v>
      </c>
      <c r="F9" s="153" t="s">
        <v>530</v>
      </c>
      <c r="G9" s="155">
        <v>3</v>
      </c>
      <c r="H9" s="156">
        <v>1818.181818181818</v>
      </c>
      <c r="I9" s="156">
        <v>5454.545454545454</v>
      </c>
      <c r="J9" s="153"/>
      <c r="L9" s="158" t="s">
        <v>298</v>
      </c>
    </row>
    <row r="10" spans="1:14" s="157" customFormat="1" ht="15" customHeight="1">
      <c r="A10" s="153">
        <f t="shared" si="0"/>
        <v>7</v>
      </c>
      <c r="B10" s="154">
        <v>46204</v>
      </c>
      <c r="C10" s="153" t="s">
        <v>554</v>
      </c>
      <c r="D10" s="153" t="s">
        <v>531</v>
      </c>
      <c r="E10" s="153"/>
      <c r="F10" s="153" t="s">
        <v>532</v>
      </c>
      <c r="G10" s="155">
        <v>1</v>
      </c>
      <c r="H10" s="156">
        <v>9518.181818181818</v>
      </c>
      <c r="I10" s="156">
        <v>9518.181818181818</v>
      </c>
      <c r="J10" s="153"/>
      <c r="L10" s="158" t="s">
        <v>299</v>
      </c>
    </row>
    <row r="11" spans="1:14" s="157" customFormat="1" ht="15" customHeight="1">
      <c r="A11" s="153">
        <f t="shared" si="0"/>
        <v>8</v>
      </c>
      <c r="B11" s="154">
        <v>46205</v>
      </c>
      <c r="C11" s="153" t="s">
        <v>554</v>
      </c>
      <c r="D11" s="153" t="s">
        <v>533</v>
      </c>
      <c r="E11" s="153" t="s">
        <v>534</v>
      </c>
      <c r="F11" s="153" t="s">
        <v>532</v>
      </c>
      <c r="G11" s="155">
        <v>4</v>
      </c>
      <c r="H11" s="156">
        <v>14956.81818181818</v>
      </c>
      <c r="I11" s="156">
        <v>59827.272727272721</v>
      </c>
      <c r="J11" s="153"/>
      <c r="L11" s="158" t="s">
        <v>289</v>
      </c>
    </row>
    <row r="12" spans="1:14" s="157" customFormat="1" ht="15" customHeight="1">
      <c r="A12" s="153">
        <f t="shared" si="0"/>
        <v>9</v>
      </c>
      <c r="B12" s="154">
        <v>46206</v>
      </c>
      <c r="C12" s="153" t="s">
        <v>554</v>
      </c>
      <c r="D12" s="153" t="s">
        <v>533</v>
      </c>
      <c r="E12" s="153" t="s">
        <v>535</v>
      </c>
      <c r="F12" s="153" t="s">
        <v>532</v>
      </c>
      <c r="G12" s="155">
        <v>3</v>
      </c>
      <c r="H12" s="156">
        <v>7542.4242424242411</v>
      </c>
      <c r="I12" s="156">
        <v>22627.272727272724</v>
      </c>
      <c r="J12" s="239"/>
      <c r="L12" s="158"/>
    </row>
    <row r="13" spans="1:14" s="157" customFormat="1" ht="15" customHeight="1">
      <c r="A13" s="153"/>
      <c r="B13" s="154"/>
      <c r="C13" s="153"/>
      <c r="D13" s="153"/>
      <c r="E13" s="153"/>
      <c r="F13" s="153"/>
      <c r="G13" s="155"/>
      <c r="H13" s="156"/>
      <c r="I13" s="156"/>
      <c r="J13" s="153"/>
      <c r="N13" s="158" t="s">
        <v>300</v>
      </c>
    </row>
    <row r="14" spans="1:14" s="157" customFormat="1" ht="15" customHeight="1">
      <c r="A14" s="153"/>
      <c r="B14" s="154"/>
      <c r="C14" s="153"/>
      <c r="D14" s="153"/>
      <c r="E14" s="153"/>
      <c r="F14" s="153"/>
      <c r="G14" s="155"/>
      <c r="H14" s="156"/>
      <c r="I14" s="156"/>
      <c r="J14" s="153"/>
      <c r="L14" s="158"/>
    </row>
    <row r="15" spans="1:14" s="157" customFormat="1" ht="15" customHeight="1">
      <c r="A15" s="153"/>
      <c r="B15" s="154"/>
      <c r="C15" s="153"/>
      <c r="D15" s="153"/>
      <c r="E15" s="153"/>
      <c r="F15" s="153"/>
      <c r="G15" s="155"/>
      <c r="H15" s="156"/>
      <c r="I15" s="156"/>
      <c r="J15" s="153"/>
      <c r="L15" s="158"/>
    </row>
    <row r="16" spans="1:14" s="157" customFormat="1" ht="15" customHeight="1">
      <c r="A16" s="153"/>
      <c r="B16" s="154"/>
      <c r="C16" s="153"/>
      <c r="D16" s="153"/>
      <c r="E16" s="153"/>
      <c r="F16" s="153"/>
      <c r="G16" s="155"/>
      <c r="H16" s="156"/>
      <c r="I16" s="156"/>
      <c r="J16" s="153"/>
      <c r="L16" s="158"/>
    </row>
    <row r="17" spans="1:12" s="157" customFormat="1" ht="15" customHeight="1">
      <c r="A17" s="153"/>
      <c r="B17" s="154"/>
      <c r="C17" s="153"/>
      <c r="D17" s="153"/>
      <c r="E17" s="153"/>
      <c r="F17" s="153"/>
      <c r="G17" s="155"/>
      <c r="H17" s="156"/>
      <c r="I17" s="156"/>
      <c r="J17" s="153"/>
      <c r="L17" s="158"/>
    </row>
    <row r="18" spans="1:12" s="157" customFormat="1" ht="15" customHeight="1">
      <c r="A18" s="153"/>
      <c r="B18" s="154"/>
      <c r="C18" s="153"/>
      <c r="D18" s="153"/>
      <c r="E18" s="153"/>
      <c r="F18" s="153"/>
      <c r="G18" s="155"/>
      <c r="H18" s="156"/>
      <c r="I18" s="156"/>
      <c r="J18" s="153"/>
      <c r="L18" s="158"/>
    </row>
    <row r="19" spans="1:12" s="157" customFormat="1" ht="15" customHeight="1">
      <c r="A19" s="153"/>
      <c r="B19" s="154"/>
      <c r="C19" s="153"/>
      <c r="D19" s="153"/>
      <c r="E19" s="153"/>
      <c r="F19" s="153"/>
      <c r="G19" s="155"/>
      <c r="H19" s="156"/>
      <c r="I19" s="156"/>
      <c r="J19" s="153"/>
      <c r="L19" s="158"/>
    </row>
    <row r="20" spans="1:12" s="157" customFormat="1" ht="15" customHeight="1">
      <c r="A20" s="153"/>
      <c r="B20" s="154"/>
      <c r="C20" s="153"/>
      <c r="D20" s="153"/>
      <c r="E20" s="153"/>
      <c r="F20" s="153"/>
      <c r="G20" s="155"/>
      <c r="H20" s="156"/>
      <c r="I20" s="156"/>
      <c r="J20" s="153"/>
      <c r="L20" s="158"/>
    </row>
    <row r="21" spans="1:12" s="157" customFormat="1" ht="15" customHeight="1">
      <c r="A21" s="153"/>
      <c r="B21" s="154"/>
      <c r="C21" s="153"/>
      <c r="D21" s="153"/>
      <c r="E21" s="153"/>
      <c r="F21" s="153"/>
      <c r="G21" s="155"/>
      <c r="H21" s="156"/>
      <c r="I21" s="156"/>
      <c r="J21" s="153"/>
      <c r="L21" s="158"/>
    </row>
    <row r="22" spans="1:12" s="157" customFormat="1" ht="15" customHeight="1">
      <c r="A22" s="153"/>
      <c r="B22" s="154"/>
      <c r="C22" s="153"/>
      <c r="D22" s="153"/>
      <c r="E22" s="153"/>
      <c r="F22" s="153"/>
      <c r="G22" s="155"/>
      <c r="H22" s="156"/>
      <c r="I22" s="156"/>
      <c r="J22" s="153"/>
      <c r="L22" s="158"/>
    </row>
    <row r="23" spans="1:12" s="157" customFormat="1" ht="15" customHeight="1">
      <c r="A23" s="153"/>
      <c r="B23" s="154"/>
      <c r="C23" s="153"/>
      <c r="D23" s="153"/>
      <c r="E23" s="153"/>
      <c r="F23" s="153"/>
      <c r="G23" s="155"/>
      <c r="H23" s="156"/>
      <c r="I23" s="156"/>
      <c r="J23" s="153"/>
      <c r="L23" s="158"/>
    </row>
    <row r="24" spans="1:12" s="157" customFormat="1" ht="15" customHeight="1">
      <c r="A24" s="153"/>
      <c r="B24" s="154"/>
      <c r="C24" s="153"/>
      <c r="D24" s="153"/>
      <c r="E24" s="153"/>
      <c r="F24" s="153"/>
      <c r="G24" s="155"/>
      <c r="H24" s="156"/>
      <c r="I24" s="156"/>
      <c r="J24" s="153"/>
      <c r="L24" s="158"/>
    </row>
    <row r="25" spans="1:12" s="157" customFormat="1" ht="15" customHeight="1">
      <c r="A25" s="153"/>
      <c r="B25" s="154"/>
      <c r="C25" s="153"/>
      <c r="D25" s="153"/>
      <c r="E25" s="153"/>
      <c r="F25" s="153"/>
      <c r="G25" s="155"/>
      <c r="H25" s="156"/>
      <c r="I25" s="156"/>
      <c r="J25" s="153"/>
      <c r="L25" s="158"/>
    </row>
    <row r="26" spans="1:12" s="157" customFormat="1" ht="15" customHeight="1">
      <c r="A26" s="153"/>
      <c r="B26" s="154"/>
      <c r="C26" s="153"/>
      <c r="D26" s="153"/>
      <c r="E26" s="153"/>
      <c r="F26" s="153"/>
      <c r="G26" s="155"/>
      <c r="H26" s="156"/>
      <c r="I26" s="156"/>
      <c r="J26" s="153"/>
      <c r="L26" s="158"/>
    </row>
    <row r="27" spans="1:12" s="157" customFormat="1" ht="15" customHeight="1">
      <c r="A27" s="153"/>
      <c r="B27" s="154"/>
      <c r="C27" s="153"/>
      <c r="D27" s="153"/>
      <c r="E27" s="153"/>
      <c r="F27" s="153"/>
      <c r="G27" s="155"/>
      <c r="H27" s="156"/>
      <c r="I27" s="156"/>
      <c r="J27" s="153"/>
      <c r="L27" s="158"/>
    </row>
    <row r="28" spans="1:12" s="157" customFormat="1" ht="15" customHeight="1">
      <c r="A28" s="153"/>
      <c r="B28" s="154"/>
      <c r="C28" s="153"/>
      <c r="D28" s="153"/>
      <c r="E28" s="153"/>
      <c r="F28" s="153"/>
      <c r="G28" s="155"/>
      <c r="H28" s="156"/>
      <c r="I28" s="156"/>
      <c r="J28" s="153"/>
      <c r="L28" s="158"/>
    </row>
    <row r="29" spans="1:12" s="157" customFormat="1" ht="15" customHeight="1">
      <c r="A29" s="153"/>
      <c r="B29" s="154"/>
      <c r="C29" s="153"/>
      <c r="D29" s="153"/>
      <c r="E29" s="153"/>
      <c r="F29" s="153"/>
      <c r="G29" s="155"/>
      <c r="H29" s="156"/>
      <c r="I29" s="156"/>
      <c r="J29" s="153"/>
      <c r="L29" s="158"/>
    </row>
    <row r="30" spans="1:12" s="157" customFormat="1" ht="15" customHeight="1">
      <c r="A30" s="153"/>
      <c r="B30" s="154"/>
      <c r="C30" s="153"/>
      <c r="D30" s="153"/>
      <c r="E30" s="153"/>
      <c r="F30" s="153"/>
      <c r="G30" s="155"/>
      <c r="H30" s="156"/>
      <c r="I30" s="156"/>
      <c r="J30" s="153"/>
      <c r="L30" s="158"/>
    </row>
    <row r="31" spans="1:12" s="157" customFormat="1" ht="15" customHeight="1">
      <c r="A31" s="153"/>
      <c r="B31" s="154"/>
      <c r="C31" s="153"/>
      <c r="D31" s="153"/>
      <c r="E31" s="153"/>
      <c r="F31" s="153"/>
      <c r="G31" s="155"/>
      <c r="H31" s="156"/>
      <c r="I31" s="156"/>
      <c r="J31" s="153"/>
      <c r="L31" s="158"/>
    </row>
    <row r="32" spans="1:12" s="157" customFormat="1" ht="15" customHeight="1">
      <c r="A32" s="153"/>
      <c r="B32" s="154"/>
      <c r="C32" s="153"/>
      <c r="D32" s="153"/>
      <c r="E32" s="153"/>
      <c r="F32" s="153"/>
      <c r="G32" s="155"/>
      <c r="H32" s="156"/>
      <c r="I32" s="156"/>
      <c r="J32" s="153"/>
      <c r="L32" s="158"/>
    </row>
    <row r="33" spans="1:12" s="157" customFormat="1" ht="15" customHeight="1">
      <c r="A33" s="153"/>
      <c r="B33" s="154"/>
      <c r="C33" s="153"/>
      <c r="D33" s="153"/>
      <c r="E33" s="153"/>
      <c r="F33" s="153"/>
      <c r="G33" s="155"/>
      <c r="H33" s="156"/>
      <c r="I33" s="156"/>
      <c r="J33" s="153"/>
      <c r="L33" s="158"/>
    </row>
    <row r="34" spans="1:12" s="157" customFormat="1" ht="15" customHeight="1">
      <c r="A34" s="153"/>
      <c r="B34" s="154"/>
      <c r="C34" s="153"/>
      <c r="D34" s="153"/>
      <c r="E34" s="153"/>
      <c r="F34" s="153"/>
      <c r="G34" s="155"/>
      <c r="H34" s="156"/>
      <c r="I34" s="156"/>
      <c r="J34" s="153"/>
      <c r="L34" s="158"/>
    </row>
    <row r="35" spans="1:12" s="157" customFormat="1" ht="15" customHeight="1">
      <c r="A35" s="160"/>
      <c r="B35" s="161"/>
      <c r="C35" s="160"/>
      <c r="D35" s="161"/>
      <c r="E35" s="161"/>
      <c r="F35" s="161"/>
      <c r="G35" s="162"/>
      <c r="H35" s="163"/>
      <c r="I35" s="163"/>
      <c r="J35" s="161"/>
      <c r="L35" s="158"/>
    </row>
    <row r="36" spans="1:12" s="157" customFormat="1" ht="15" customHeight="1">
      <c r="A36" s="160"/>
      <c r="B36" s="161"/>
      <c r="C36" s="160"/>
      <c r="D36" s="161"/>
      <c r="E36" s="161"/>
      <c r="F36" s="161"/>
      <c r="G36" s="162"/>
      <c r="H36" s="163"/>
      <c r="I36" s="163"/>
      <c r="J36" s="161"/>
      <c r="L36" s="158"/>
    </row>
    <row r="37" spans="1:12" s="157" customFormat="1" ht="15" customHeight="1">
      <c r="A37" s="160"/>
      <c r="B37" s="161"/>
      <c r="C37" s="160"/>
      <c r="D37" s="161"/>
      <c r="E37" s="161"/>
      <c r="F37" s="161"/>
      <c r="G37" s="162"/>
      <c r="H37" s="163"/>
      <c r="I37" s="163"/>
      <c r="J37" s="161"/>
      <c r="L37" s="158"/>
    </row>
    <row r="38" spans="1:12" s="157" customFormat="1" ht="15" customHeight="1">
      <c r="A38" s="160"/>
      <c r="B38" s="161"/>
      <c r="C38" s="160"/>
      <c r="D38" s="161"/>
      <c r="E38" s="161"/>
      <c r="F38" s="161"/>
      <c r="G38" s="162"/>
      <c r="H38" s="163"/>
      <c r="I38" s="163"/>
      <c r="J38" s="161"/>
      <c r="L38" s="158"/>
    </row>
    <row r="39" spans="1:12" s="157" customFormat="1" ht="15" customHeight="1">
      <c r="A39" s="160"/>
      <c r="B39" s="161"/>
      <c r="C39" s="160"/>
      <c r="D39" s="161"/>
      <c r="E39" s="161"/>
      <c r="F39" s="161"/>
      <c r="G39" s="162"/>
      <c r="H39" s="163"/>
      <c r="I39" s="163"/>
      <c r="J39" s="161"/>
      <c r="L39" s="158"/>
    </row>
    <row r="40" spans="1:12" s="157" customFormat="1" ht="15" customHeight="1">
      <c r="A40" s="160"/>
      <c r="B40" s="161"/>
      <c r="C40" s="160"/>
      <c r="D40" s="161"/>
      <c r="E40" s="161"/>
      <c r="F40" s="161"/>
      <c r="G40" s="162"/>
      <c r="H40" s="163"/>
      <c r="I40" s="163"/>
      <c r="J40" s="161"/>
      <c r="L40" s="158"/>
    </row>
    <row r="41" spans="1:12" s="157" customFormat="1" ht="15" customHeight="1">
      <c r="A41" s="160"/>
      <c r="B41" s="161"/>
      <c r="C41" s="160"/>
      <c r="D41" s="161"/>
      <c r="E41" s="161"/>
      <c r="F41" s="161"/>
      <c r="G41" s="162"/>
      <c r="H41" s="163"/>
      <c r="I41" s="163"/>
      <c r="J41" s="161"/>
      <c r="L41" s="158"/>
    </row>
    <row r="42" spans="1:12" s="157" customFormat="1" ht="15" customHeight="1">
      <c r="A42" s="160"/>
      <c r="B42" s="161"/>
      <c r="C42" s="160"/>
      <c r="D42" s="161"/>
      <c r="E42" s="161"/>
      <c r="F42" s="161"/>
      <c r="G42" s="162"/>
      <c r="H42" s="163"/>
      <c r="I42" s="163"/>
      <c r="J42" s="161"/>
      <c r="L42" s="158"/>
    </row>
    <row r="43" spans="1:12" s="157" customFormat="1" ht="15" customHeight="1">
      <c r="A43" s="160"/>
      <c r="B43" s="161"/>
      <c r="C43" s="160"/>
      <c r="D43" s="161"/>
      <c r="E43" s="161"/>
      <c r="F43" s="161"/>
      <c r="G43" s="162"/>
      <c r="H43" s="163"/>
      <c r="I43" s="163"/>
      <c r="J43" s="161"/>
      <c r="L43" s="158"/>
    </row>
    <row r="44" spans="1:12" s="157" customFormat="1" ht="15" customHeight="1">
      <c r="A44" s="160"/>
      <c r="B44" s="161"/>
      <c r="C44" s="160"/>
      <c r="D44" s="161"/>
      <c r="E44" s="161"/>
      <c r="F44" s="161"/>
      <c r="G44" s="162"/>
      <c r="H44" s="163"/>
      <c r="I44" s="163"/>
      <c r="J44" s="161"/>
      <c r="L44" s="158"/>
    </row>
  </sheetData>
  <autoFilter ref="A2:J23" xr:uid="{2E421254-DD27-4148-AC38-C00782AEA3D1}">
    <sortState ref="A5:J55">
      <sortCondition ref="F2:F23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58" fitToHeight="0" orientation="landscape" r:id="rId1"/>
  <headerFooter>
    <oddFooter>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3"/>
  <sheetViews>
    <sheetView view="pageBreakPreview" zoomScaleNormal="100" zoomScaleSheetLayoutView="100" workbookViewId="0">
      <selection activeCell="E4" sqref="E4"/>
    </sheetView>
  </sheetViews>
  <sheetFormatPr defaultRowHeight="17.399999999999999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>
      <c r="A1" s="338" t="s">
        <v>237</v>
      </c>
      <c r="B1" s="339"/>
      <c r="C1" s="339"/>
      <c r="D1" s="339"/>
      <c r="E1" s="339"/>
      <c r="F1" s="339"/>
      <c r="G1" s="339"/>
      <c r="H1" s="339"/>
      <c r="I1" s="339"/>
      <c r="J1" s="340"/>
    </row>
    <row r="2" spans="1:12" ht="20.100000000000001" customHeight="1">
      <c r="A2" s="341" t="s">
        <v>238</v>
      </c>
      <c r="B2" s="341" t="s">
        <v>239</v>
      </c>
      <c r="C2" s="341" t="s">
        <v>240</v>
      </c>
      <c r="D2" s="341" t="s">
        <v>241</v>
      </c>
      <c r="E2" s="341" t="s">
        <v>242</v>
      </c>
      <c r="F2" s="341" t="s">
        <v>243</v>
      </c>
      <c r="G2" s="341" t="s">
        <v>244</v>
      </c>
      <c r="H2" s="341" t="s">
        <v>245</v>
      </c>
      <c r="I2" s="141" t="s">
        <v>246</v>
      </c>
      <c r="J2" s="341" t="s">
        <v>247</v>
      </c>
    </row>
    <row r="3" spans="1:12" ht="20.100000000000001" customHeight="1">
      <c r="A3" s="341"/>
      <c r="B3" s="341"/>
      <c r="C3" s="341"/>
      <c r="D3" s="341"/>
      <c r="E3" s="341"/>
      <c r="F3" s="341"/>
      <c r="G3" s="341"/>
      <c r="H3" s="341"/>
      <c r="I3" s="142">
        <f>SUM(I4:I13)</f>
        <v>8780645.1612903215</v>
      </c>
      <c r="J3" s="341"/>
      <c r="L3" s="143" t="s">
        <v>248</v>
      </c>
    </row>
    <row r="4" spans="1:12" ht="20.100000000000001" customHeight="1">
      <c r="A4" s="153">
        <f t="shared" ref="A4:A13" si="0">ROW()-3</f>
        <v>1</v>
      </c>
      <c r="B4" s="178">
        <v>46234</v>
      </c>
      <c r="C4" s="46" t="s">
        <v>536</v>
      </c>
      <c r="D4" s="46" t="s">
        <v>537</v>
      </c>
      <c r="E4" s="46" t="s">
        <v>538</v>
      </c>
      <c r="F4" s="46" t="s">
        <v>539</v>
      </c>
      <c r="G4" s="46">
        <v>1</v>
      </c>
      <c r="H4" s="46"/>
      <c r="I4" s="180">
        <f>800000/31*13</f>
        <v>335483.87096774194</v>
      </c>
      <c r="J4" s="46" t="s">
        <v>249</v>
      </c>
      <c r="L4" s="144" t="s">
        <v>250</v>
      </c>
    </row>
    <row r="5" spans="1:12" ht="20.100000000000001" customHeight="1">
      <c r="A5" s="153">
        <f t="shared" si="0"/>
        <v>2</v>
      </c>
      <c r="B5" s="178">
        <v>46234</v>
      </c>
      <c r="C5" s="46" t="s">
        <v>536</v>
      </c>
      <c r="D5" s="46" t="s">
        <v>537</v>
      </c>
      <c r="E5" s="46" t="s">
        <v>540</v>
      </c>
      <c r="F5" s="46" t="s">
        <v>541</v>
      </c>
      <c r="G5" s="46">
        <v>1</v>
      </c>
      <c r="H5" s="46"/>
      <c r="I5" s="180">
        <f>(1700000/31)*15</f>
        <v>822580.6451612903</v>
      </c>
      <c r="J5" s="46" t="s">
        <v>249</v>
      </c>
      <c r="L5" s="144" t="s">
        <v>251</v>
      </c>
    </row>
    <row r="6" spans="1:12" ht="20.100000000000001" customHeight="1">
      <c r="A6" s="153">
        <f t="shared" si="0"/>
        <v>3</v>
      </c>
      <c r="B6" s="178">
        <v>46234</v>
      </c>
      <c r="C6" s="46" t="s">
        <v>536</v>
      </c>
      <c r="D6" s="46" t="s">
        <v>537</v>
      </c>
      <c r="E6" s="46" t="s">
        <v>542</v>
      </c>
      <c r="F6" s="46" t="s">
        <v>543</v>
      </c>
      <c r="G6" s="46">
        <v>1</v>
      </c>
      <c r="H6" s="46"/>
      <c r="I6" s="180">
        <f>(1700000/31)*15</f>
        <v>822580.6451612903</v>
      </c>
      <c r="J6" s="46" t="s">
        <v>249</v>
      </c>
      <c r="L6" s="144" t="s">
        <v>252</v>
      </c>
    </row>
    <row r="7" spans="1:12" ht="20.100000000000001" customHeight="1">
      <c r="A7" s="153">
        <f t="shared" si="0"/>
        <v>4</v>
      </c>
      <c r="B7" s="178">
        <v>46234</v>
      </c>
      <c r="C7" s="46" t="s">
        <v>536</v>
      </c>
      <c r="D7" s="46" t="s">
        <v>537</v>
      </c>
      <c r="E7" s="46" t="s">
        <v>544</v>
      </c>
      <c r="F7" s="46" t="s">
        <v>545</v>
      </c>
      <c r="G7" s="46">
        <v>1</v>
      </c>
      <c r="H7" s="46"/>
      <c r="I7" s="180">
        <f>(1700000/31)*15</f>
        <v>822580.6451612903</v>
      </c>
      <c r="J7" s="46" t="s">
        <v>249</v>
      </c>
      <c r="L7" s="144" t="s">
        <v>253</v>
      </c>
    </row>
    <row r="8" spans="1:12" ht="20.100000000000001" customHeight="1">
      <c r="A8" s="153">
        <f t="shared" si="0"/>
        <v>5</v>
      </c>
      <c r="B8" s="178">
        <v>46234</v>
      </c>
      <c r="C8" s="46" t="s">
        <v>536</v>
      </c>
      <c r="D8" s="46" t="s">
        <v>537</v>
      </c>
      <c r="E8" s="46" t="s">
        <v>546</v>
      </c>
      <c r="F8" s="46" t="s">
        <v>547</v>
      </c>
      <c r="G8" s="46">
        <v>1</v>
      </c>
      <c r="H8" s="46"/>
      <c r="I8" s="181">
        <f>(1400000/31)*15</f>
        <v>677419.3548387097</v>
      </c>
      <c r="J8" s="46" t="s">
        <v>249</v>
      </c>
      <c r="L8" s="145" t="s">
        <v>254</v>
      </c>
    </row>
    <row r="9" spans="1:12" ht="20.100000000000001" customHeight="1">
      <c r="A9" s="153">
        <f t="shared" si="0"/>
        <v>6</v>
      </c>
      <c r="B9" s="178">
        <v>46234</v>
      </c>
      <c r="C9" s="46" t="s">
        <v>536</v>
      </c>
      <c r="D9" s="46" t="s">
        <v>537</v>
      </c>
      <c r="E9" s="46" t="s">
        <v>546</v>
      </c>
      <c r="F9" s="46" t="s">
        <v>548</v>
      </c>
      <c r="G9" s="46">
        <v>1</v>
      </c>
      <c r="H9" s="46"/>
      <c r="I9" s="181">
        <v>1400000</v>
      </c>
      <c r="J9" s="46" t="s">
        <v>249</v>
      </c>
      <c r="L9" s="145" t="s">
        <v>255</v>
      </c>
    </row>
    <row r="10" spans="1:12" ht="20.100000000000001" customHeight="1">
      <c r="A10" s="153">
        <f t="shared" si="0"/>
        <v>7</v>
      </c>
      <c r="B10" s="178">
        <v>46234</v>
      </c>
      <c r="C10" s="46" t="s">
        <v>536</v>
      </c>
      <c r="D10" s="46" t="s">
        <v>537</v>
      </c>
      <c r="E10" s="46" t="s">
        <v>549</v>
      </c>
      <c r="F10" s="46" t="s">
        <v>548</v>
      </c>
      <c r="G10" s="46">
        <v>1</v>
      </c>
      <c r="H10" s="46"/>
      <c r="I10" s="181">
        <v>1600000</v>
      </c>
      <c r="J10" s="46" t="s">
        <v>249</v>
      </c>
      <c r="L10" s="145" t="s">
        <v>256</v>
      </c>
    </row>
    <row r="11" spans="1:12" ht="20.100000000000001" customHeight="1">
      <c r="A11" s="153">
        <f t="shared" si="0"/>
        <v>8</v>
      </c>
      <c r="B11" s="178">
        <v>46234</v>
      </c>
      <c r="C11" s="46" t="s">
        <v>536</v>
      </c>
      <c r="D11" s="46" t="s">
        <v>537</v>
      </c>
      <c r="E11" s="46" t="s">
        <v>550</v>
      </c>
      <c r="F11" s="46" t="s">
        <v>551</v>
      </c>
      <c r="G11" s="46">
        <v>1</v>
      </c>
      <c r="H11" s="46"/>
      <c r="I11" s="181">
        <f>1000000/31*1</f>
        <v>32258.064516129034</v>
      </c>
      <c r="J11" s="46" t="s">
        <v>249</v>
      </c>
      <c r="L11" s="145"/>
    </row>
    <row r="12" spans="1:12" ht="20.100000000000001" customHeight="1">
      <c r="A12" s="153">
        <f t="shared" si="0"/>
        <v>9</v>
      </c>
      <c r="B12" s="178">
        <v>46234</v>
      </c>
      <c r="C12" s="46" t="s">
        <v>536</v>
      </c>
      <c r="D12" s="46" t="s">
        <v>537</v>
      </c>
      <c r="E12" s="46" t="s">
        <v>552</v>
      </c>
      <c r="F12" s="46" t="s">
        <v>548</v>
      </c>
      <c r="G12" s="46">
        <v>1</v>
      </c>
      <c r="H12" s="46"/>
      <c r="I12" s="181">
        <v>1700000</v>
      </c>
      <c r="J12" s="46" t="s">
        <v>249</v>
      </c>
      <c r="L12" s="143" t="s">
        <v>257</v>
      </c>
    </row>
    <row r="13" spans="1:12" ht="20.100000000000001" customHeight="1">
      <c r="A13" s="153">
        <f t="shared" si="0"/>
        <v>10</v>
      </c>
      <c r="B13" s="178">
        <v>46234</v>
      </c>
      <c r="C13" s="46" t="s">
        <v>536</v>
      </c>
      <c r="D13" s="46" t="s">
        <v>537</v>
      </c>
      <c r="E13" s="46" t="s">
        <v>553</v>
      </c>
      <c r="F13" s="46" t="s">
        <v>551</v>
      </c>
      <c r="G13" s="46">
        <v>1</v>
      </c>
      <c r="H13" s="46"/>
      <c r="I13" s="181">
        <f>(1100000/31)*16</f>
        <v>567741.93548387091</v>
      </c>
      <c r="J13" s="46" t="s">
        <v>249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conditionalFormatting sqref="E4">
    <cfRule type="expression" priority="1" stopIfTrue="1">
      <formula>AND(COUNTIF(#REF!, E4)+COUNTIF(#REF!, E4)+COUNTIF(#REF!, E4)&gt;1,NOT(ISBLANK(E4)))</formula>
    </cfRule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82" fitToHeight="0" orientation="landscape" r:id="rId1"/>
  <headerFooter>
    <oddFooter>&amp;C&amp;P/&amp;N</oddFooter>
  </headerFooter>
  <colBreaks count="1" manualBreakCount="1">
    <brk id="10" max="8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6"/>
  <sheetViews>
    <sheetView view="pageBreakPreview" zoomScaleNormal="100" zoomScaleSheetLayoutView="100" workbookViewId="0">
      <selection activeCell="I20" sqref="I20"/>
    </sheetView>
  </sheetViews>
  <sheetFormatPr defaultRowHeight="17.399999999999999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</cols>
  <sheetData>
    <row r="1" spans="1:10" ht="35.1" customHeight="1">
      <c r="A1" s="338" t="s">
        <v>258</v>
      </c>
      <c r="B1" s="339"/>
      <c r="C1" s="339"/>
      <c r="D1" s="339"/>
      <c r="E1" s="339"/>
      <c r="F1" s="339"/>
      <c r="G1" s="339"/>
      <c r="H1" s="339"/>
      <c r="I1" s="339"/>
      <c r="J1" s="340"/>
    </row>
    <row r="2" spans="1:10" ht="20.100000000000001" customHeight="1">
      <c r="A2" s="341" t="s">
        <v>259</v>
      </c>
      <c r="B2" s="341" t="s">
        <v>239</v>
      </c>
      <c r="C2" s="341" t="s">
        <v>260</v>
      </c>
      <c r="D2" s="341" t="s">
        <v>241</v>
      </c>
      <c r="E2" s="341" t="s">
        <v>261</v>
      </c>
      <c r="F2" s="341" t="s">
        <v>243</v>
      </c>
      <c r="G2" s="341" t="s">
        <v>262</v>
      </c>
      <c r="H2" s="341" t="s">
        <v>263</v>
      </c>
      <c r="I2" s="141" t="s">
        <v>264</v>
      </c>
      <c r="J2" s="341" t="s">
        <v>265</v>
      </c>
    </row>
    <row r="3" spans="1:10" ht="20.100000000000001" customHeight="1">
      <c r="A3" s="341"/>
      <c r="B3" s="341"/>
      <c r="C3" s="341"/>
      <c r="D3" s="341"/>
      <c r="E3" s="341"/>
      <c r="F3" s="341"/>
      <c r="G3" s="341"/>
      <c r="H3" s="341"/>
      <c r="I3" s="142">
        <f>SUM(I4:I17)</f>
        <v>2600620</v>
      </c>
      <c r="J3" s="341"/>
    </row>
    <row r="4" spans="1:10" ht="20.100000000000001" customHeight="1">
      <c r="A4" s="164">
        <f t="shared" ref="A4:A16" si="0">ROW()-3</f>
        <v>1</v>
      </c>
      <c r="B4" s="165">
        <v>46234</v>
      </c>
      <c r="C4" s="166" t="s">
        <v>555</v>
      </c>
      <c r="D4" s="167" t="s">
        <v>556</v>
      </c>
      <c r="E4" s="46" t="s">
        <v>546</v>
      </c>
      <c r="F4" s="46" t="s">
        <v>557</v>
      </c>
      <c r="G4" s="168">
        <v>1</v>
      </c>
      <c r="H4" s="185"/>
      <c r="I4" s="169">
        <v>39540</v>
      </c>
      <c r="J4" s="170"/>
    </row>
    <row r="5" spans="1:10" ht="20.100000000000001" customHeight="1">
      <c r="A5" s="164">
        <f t="shared" si="0"/>
        <v>2</v>
      </c>
      <c r="B5" s="165">
        <v>46234</v>
      </c>
      <c r="C5" s="166" t="s">
        <v>555</v>
      </c>
      <c r="D5" s="167" t="s">
        <v>556</v>
      </c>
      <c r="E5" s="46" t="s">
        <v>549</v>
      </c>
      <c r="F5" s="46" t="s">
        <v>557</v>
      </c>
      <c r="G5" s="168">
        <v>1</v>
      </c>
      <c r="H5" s="177"/>
      <c r="I5" s="181">
        <v>123710</v>
      </c>
      <c r="J5" s="177"/>
    </row>
    <row r="6" spans="1:10" ht="20.100000000000001" customHeight="1">
      <c r="A6" s="164">
        <f t="shared" si="0"/>
        <v>3</v>
      </c>
      <c r="B6" s="165">
        <v>46234</v>
      </c>
      <c r="C6" s="166" t="s">
        <v>555</v>
      </c>
      <c r="D6" s="167" t="s">
        <v>556</v>
      </c>
      <c r="E6" s="182" t="s">
        <v>552</v>
      </c>
      <c r="F6" s="46" t="s">
        <v>557</v>
      </c>
      <c r="G6" s="168">
        <v>1</v>
      </c>
      <c r="H6" s="177"/>
      <c r="I6" s="181">
        <v>145630</v>
      </c>
      <c r="J6" s="177"/>
    </row>
    <row r="7" spans="1:10" ht="20.100000000000001" customHeight="1">
      <c r="A7" s="164">
        <f t="shared" si="0"/>
        <v>4</v>
      </c>
      <c r="B7" s="165">
        <v>46234</v>
      </c>
      <c r="C7" s="166" t="s">
        <v>555</v>
      </c>
      <c r="D7" s="167" t="s">
        <v>558</v>
      </c>
      <c r="E7" s="46" t="s">
        <v>559</v>
      </c>
      <c r="F7" s="46" t="s">
        <v>539</v>
      </c>
      <c r="G7" s="168">
        <v>1</v>
      </c>
      <c r="H7" s="177"/>
      <c r="I7" s="181">
        <v>47870</v>
      </c>
      <c r="J7" s="177"/>
    </row>
    <row r="8" spans="1:10" ht="20.100000000000001" customHeight="1">
      <c r="A8" s="164">
        <f t="shared" si="0"/>
        <v>5</v>
      </c>
      <c r="B8" s="165">
        <v>46234</v>
      </c>
      <c r="C8" s="166" t="s">
        <v>555</v>
      </c>
      <c r="D8" s="167" t="s">
        <v>558</v>
      </c>
      <c r="E8" s="182" t="s">
        <v>560</v>
      </c>
      <c r="F8" s="46" t="s">
        <v>561</v>
      </c>
      <c r="G8" s="168">
        <v>1</v>
      </c>
      <c r="H8" s="177"/>
      <c r="I8" s="181">
        <v>37500</v>
      </c>
      <c r="J8" s="177"/>
    </row>
    <row r="9" spans="1:10" ht="20.100000000000001" customHeight="1">
      <c r="A9" s="164">
        <f t="shared" si="0"/>
        <v>6</v>
      </c>
      <c r="B9" s="165">
        <v>46234</v>
      </c>
      <c r="C9" s="166" t="s">
        <v>555</v>
      </c>
      <c r="D9" s="167" t="s">
        <v>558</v>
      </c>
      <c r="E9" s="46" t="s">
        <v>562</v>
      </c>
      <c r="F9" s="46" t="s">
        <v>563</v>
      </c>
      <c r="G9" s="168">
        <v>1</v>
      </c>
      <c r="H9" s="177"/>
      <c r="I9" s="181">
        <v>18480</v>
      </c>
      <c r="J9" s="177"/>
    </row>
    <row r="10" spans="1:10" ht="20.100000000000001" customHeight="1">
      <c r="A10" s="164">
        <f t="shared" si="0"/>
        <v>7</v>
      </c>
      <c r="B10" s="165">
        <v>46234</v>
      </c>
      <c r="C10" s="166" t="s">
        <v>555</v>
      </c>
      <c r="D10" s="167" t="s">
        <v>558</v>
      </c>
      <c r="E10" s="46" t="s">
        <v>546</v>
      </c>
      <c r="F10" s="46" t="s">
        <v>539</v>
      </c>
      <c r="G10" s="168">
        <v>1</v>
      </c>
      <c r="H10" s="177"/>
      <c r="I10" s="181">
        <v>58240</v>
      </c>
      <c r="J10" s="177"/>
    </row>
    <row r="11" spans="1:10" ht="20.100000000000001" customHeight="1">
      <c r="A11" s="164">
        <f t="shared" si="0"/>
        <v>8</v>
      </c>
      <c r="B11" s="165">
        <v>46234</v>
      </c>
      <c r="C11" s="166" t="s">
        <v>555</v>
      </c>
      <c r="D11" s="167" t="s">
        <v>558</v>
      </c>
      <c r="E11" s="46" t="s">
        <v>546</v>
      </c>
      <c r="F11" s="46" t="s">
        <v>557</v>
      </c>
      <c r="G11" s="168">
        <v>1</v>
      </c>
      <c r="H11" s="177"/>
      <c r="I11" s="181">
        <v>46140</v>
      </c>
      <c r="J11" s="177"/>
    </row>
    <row r="12" spans="1:10" ht="20.100000000000001" customHeight="1">
      <c r="A12" s="164">
        <f t="shared" si="0"/>
        <v>9</v>
      </c>
      <c r="B12" s="165">
        <v>46234</v>
      </c>
      <c r="C12" s="166" t="s">
        <v>555</v>
      </c>
      <c r="D12" s="167" t="s">
        <v>558</v>
      </c>
      <c r="E12" s="46" t="s">
        <v>549</v>
      </c>
      <c r="F12" s="46" t="s">
        <v>557</v>
      </c>
      <c r="G12" s="168">
        <v>1</v>
      </c>
      <c r="H12" s="177"/>
      <c r="I12" s="181">
        <v>68080</v>
      </c>
      <c r="J12" s="177"/>
    </row>
    <row r="13" spans="1:10" ht="20.100000000000001" customHeight="1">
      <c r="A13" s="164">
        <f t="shared" si="0"/>
        <v>10</v>
      </c>
      <c r="B13" s="165">
        <v>46234</v>
      </c>
      <c r="C13" s="166" t="s">
        <v>555</v>
      </c>
      <c r="D13" s="167" t="s">
        <v>558</v>
      </c>
      <c r="E13" s="182" t="s">
        <v>552</v>
      </c>
      <c r="F13" s="46" t="s">
        <v>557</v>
      </c>
      <c r="G13" s="168">
        <v>1</v>
      </c>
      <c r="H13" s="185"/>
      <c r="I13" s="169">
        <v>40950</v>
      </c>
      <c r="J13" s="170"/>
    </row>
    <row r="14" spans="1:10" ht="20.100000000000001" customHeight="1">
      <c r="A14" s="164">
        <f t="shared" si="0"/>
        <v>11</v>
      </c>
      <c r="B14" s="165">
        <v>46234</v>
      </c>
      <c r="C14" s="166" t="s">
        <v>555</v>
      </c>
      <c r="D14" s="167" t="s">
        <v>583</v>
      </c>
      <c r="E14" s="182" t="s">
        <v>584</v>
      </c>
      <c r="F14" s="46" t="s">
        <v>585</v>
      </c>
      <c r="G14" s="168">
        <v>1</v>
      </c>
      <c r="H14" s="185"/>
      <c r="I14" s="169">
        <v>571400</v>
      </c>
      <c r="J14" s="170"/>
    </row>
    <row r="15" spans="1:10" ht="20.100000000000001" customHeight="1">
      <c r="A15" s="164">
        <f t="shared" si="0"/>
        <v>12</v>
      </c>
      <c r="B15" s="165">
        <v>46234</v>
      </c>
      <c r="C15" s="166" t="s">
        <v>555</v>
      </c>
      <c r="D15" s="167" t="s">
        <v>583</v>
      </c>
      <c r="E15" s="182" t="s">
        <v>586</v>
      </c>
      <c r="F15" s="46" t="s">
        <v>587</v>
      </c>
      <c r="G15" s="168">
        <v>1</v>
      </c>
      <c r="H15" s="185"/>
      <c r="I15" s="169">
        <v>465300</v>
      </c>
      <c r="J15" s="170"/>
    </row>
    <row r="16" spans="1:10" ht="20.100000000000001" customHeight="1">
      <c r="A16" s="164">
        <f t="shared" si="0"/>
        <v>13</v>
      </c>
      <c r="B16" s="165">
        <v>46234</v>
      </c>
      <c r="C16" s="166" t="s">
        <v>555</v>
      </c>
      <c r="D16" s="167" t="s">
        <v>583</v>
      </c>
      <c r="E16" s="182" t="s">
        <v>588</v>
      </c>
      <c r="F16" s="46" t="s">
        <v>585</v>
      </c>
      <c r="G16" s="168">
        <v>1</v>
      </c>
      <c r="H16" s="185"/>
      <c r="I16" s="169">
        <v>937780</v>
      </c>
      <c r="J16" s="170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4">
    <cfRule type="duplicateValues" priority="5"/>
  </conditionalFormatting>
  <conditionalFormatting sqref="E5">
    <cfRule type="duplicateValues" priority="4"/>
  </conditionalFormatting>
  <conditionalFormatting sqref="E7">
    <cfRule type="duplicateValues" priority="3"/>
  </conditionalFormatting>
  <conditionalFormatting sqref="E11">
    <cfRule type="duplicateValues" priority="2"/>
  </conditionalFormatting>
  <conditionalFormatting sqref="E12">
    <cfRule type="duplicateValues" priority="1"/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82" fitToHeight="0" orientation="landscape" r:id="rId1"/>
  <headerFooter>
    <oddFooter>&amp;C&amp;P/&amp;N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33"/>
  <sheetViews>
    <sheetView view="pageBreakPreview" zoomScale="115" zoomScaleNormal="100" zoomScaleSheetLayoutView="115" workbookViewId="0">
      <selection activeCell="H25" sqref="H25"/>
    </sheetView>
  </sheetViews>
  <sheetFormatPr defaultRowHeight="17.399999999999999"/>
  <cols>
    <col min="1" max="1" width="9" style="55"/>
    <col min="2" max="3" width="12.59765625" style="55" customWidth="1"/>
    <col min="4" max="4" width="22.8984375" style="55" bestFit="1" customWidth="1"/>
    <col min="5" max="5" width="31.3984375" style="55" bestFit="1" customWidth="1"/>
    <col min="6" max="6" width="10.59765625" style="55" customWidth="1"/>
    <col min="7" max="7" width="8.09765625" style="55" customWidth="1"/>
    <col min="8" max="8" width="10.5" style="55" bestFit="1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>
      <c r="A1" s="338" t="s">
        <v>266</v>
      </c>
      <c r="B1" s="339"/>
      <c r="C1" s="339"/>
      <c r="D1" s="339"/>
      <c r="E1" s="339"/>
      <c r="F1" s="339"/>
      <c r="G1" s="339"/>
      <c r="H1" s="339"/>
      <c r="I1" s="339"/>
      <c r="J1" s="340"/>
    </row>
    <row r="2" spans="1:12" ht="24.9" customHeight="1">
      <c r="A2" s="341" t="s">
        <v>267</v>
      </c>
      <c r="B2" s="341" t="s">
        <v>268</v>
      </c>
      <c r="C2" s="341" t="s">
        <v>110</v>
      </c>
      <c r="D2" s="341" t="s">
        <v>269</v>
      </c>
      <c r="E2" s="341" t="s">
        <v>270</v>
      </c>
      <c r="F2" s="341" t="s">
        <v>271</v>
      </c>
      <c r="G2" s="341" t="s">
        <v>272</v>
      </c>
      <c r="H2" s="341" t="s">
        <v>273</v>
      </c>
      <c r="I2" s="141" t="s">
        <v>274</v>
      </c>
      <c r="J2" s="341" t="s">
        <v>247</v>
      </c>
    </row>
    <row r="3" spans="1:12" ht="24.9" customHeight="1">
      <c r="A3" s="341"/>
      <c r="B3" s="341"/>
      <c r="C3" s="341"/>
      <c r="D3" s="341"/>
      <c r="E3" s="341"/>
      <c r="F3" s="341"/>
      <c r="G3" s="341"/>
      <c r="H3" s="341"/>
      <c r="I3" s="142">
        <f>SUM(I4:I10)</f>
        <v>14057636</v>
      </c>
      <c r="J3" s="341"/>
      <c r="L3" s="143" t="s">
        <v>275</v>
      </c>
    </row>
    <row r="4" spans="1:12" ht="15" customHeight="1">
      <c r="A4" s="153">
        <f>ROW()-3</f>
        <v>1</v>
      </c>
      <c r="B4" s="178">
        <v>46228</v>
      </c>
      <c r="C4" s="46" t="s">
        <v>564</v>
      </c>
      <c r="D4" s="46" t="s">
        <v>565</v>
      </c>
      <c r="E4" s="46" t="s">
        <v>566</v>
      </c>
      <c r="F4" s="46">
        <v>1</v>
      </c>
      <c r="G4" s="46"/>
      <c r="H4" s="180">
        <v>715636</v>
      </c>
      <c r="I4" s="180">
        <f>F4*H4</f>
        <v>715636</v>
      </c>
      <c r="J4" s="46" t="s">
        <v>249</v>
      </c>
      <c r="L4" s="144" t="s">
        <v>276</v>
      </c>
    </row>
    <row r="5" spans="1:12" ht="15" customHeight="1">
      <c r="A5" s="153">
        <f>ROW()-3</f>
        <v>2</v>
      </c>
      <c r="B5" s="178">
        <v>46228</v>
      </c>
      <c r="C5" s="46" t="s">
        <v>564</v>
      </c>
      <c r="D5" s="46" t="s">
        <v>565</v>
      </c>
      <c r="E5" s="46" t="s">
        <v>567</v>
      </c>
      <c r="F5" s="46">
        <v>38</v>
      </c>
      <c r="G5" s="46"/>
      <c r="H5" s="180">
        <v>7000</v>
      </c>
      <c r="I5" s="180">
        <f t="shared" ref="I5:I10" si="0">F5*H5</f>
        <v>266000</v>
      </c>
      <c r="J5" s="46" t="s">
        <v>249</v>
      </c>
      <c r="L5" s="144" t="s">
        <v>277</v>
      </c>
    </row>
    <row r="6" spans="1:12" ht="15" customHeight="1">
      <c r="A6" s="153">
        <f t="shared" ref="A6:A10" si="1">ROW()-3</f>
        <v>3</v>
      </c>
      <c r="B6" s="178">
        <v>46228</v>
      </c>
      <c r="C6" s="46" t="s">
        <v>564</v>
      </c>
      <c r="D6" s="46" t="s">
        <v>565</v>
      </c>
      <c r="E6" s="46" t="s">
        <v>568</v>
      </c>
      <c r="F6" s="46">
        <v>1</v>
      </c>
      <c r="G6" s="46"/>
      <c r="H6" s="180">
        <v>1375000</v>
      </c>
      <c r="I6" s="180">
        <f t="shared" si="0"/>
        <v>1375000</v>
      </c>
      <c r="J6" s="46" t="s">
        <v>249</v>
      </c>
      <c r="L6" s="144" t="s">
        <v>278</v>
      </c>
    </row>
    <row r="7" spans="1:12" ht="15" customHeight="1">
      <c r="A7" s="153">
        <f t="shared" si="1"/>
        <v>4</v>
      </c>
      <c r="B7" s="178">
        <v>46228</v>
      </c>
      <c r="C7" s="46" t="s">
        <v>564</v>
      </c>
      <c r="D7" s="46" t="s">
        <v>565</v>
      </c>
      <c r="E7" s="46" t="s">
        <v>569</v>
      </c>
      <c r="F7" s="46">
        <v>1350</v>
      </c>
      <c r="G7" s="46"/>
      <c r="H7" s="180">
        <v>7000</v>
      </c>
      <c r="I7" s="180">
        <f t="shared" si="0"/>
        <v>9450000</v>
      </c>
      <c r="J7" s="46" t="s">
        <v>249</v>
      </c>
      <c r="L7" s="144" t="s">
        <v>279</v>
      </c>
    </row>
    <row r="8" spans="1:12" ht="15" customHeight="1">
      <c r="A8" s="153">
        <f t="shared" si="1"/>
        <v>5</v>
      </c>
      <c r="B8" s="178">
        <v>46228</v>
      </c>
      <c r="C8" s="46" t="s">
        <v>564</v>
      </c>
      <c r="D8" s="46" t="s">
        <v>565</v>
      </c>
      <c r="E8" s="46" t="s">
        <v>570</v>
      </c>
      <c r="F8" s="46">
        <v>70</v>
      </c>
      <c r="G8" s="46"/>
      <c r="H8" s="180">
        <v>7000</v>
      </c>
      <c r="I8" s="180">
        <f t="shared" si="0"/>
        <v>490000</v>
      </c>
      <c r="J8" s="46" t="s">
        <v>249</v>
      </c>
      <c r="L8" s="145" t="s">
        <v>280</v>
      </c>
    </row>
    <row r="9" spans="1:12" ht="15" customHeight="1">
      <c r="A9" s="153">
        <f t="shared" si="1"/>
        <v>6</v>
      </c>
      <c r="B9" s="178">
        <v>46228</v>
      </c>
      <c r="C9" s="46" t="s">
        <v>564</v>
      </c>
      <c r="D9" s="46" t="s">
        <v>565</v>
      </c>
      <c r="E9" s="46" t="s">
        <v>571</v>
      </c>
      <c r="F9" s="46">
        <v>1</v>
      </c>
      <c r="G9" s="46"/>
      <c r="H9" s="180">
        <v>1612727</v>
      </c>
      <c r="I9" s="180">
        <f t="shared" si="0"/>
        <v>1612727</v>
      </c>
      <c r="J9" s="46" t="s">
        <v>249</v>
      </c>
      <c r="L9" s="145" t="s">
        <v>281</v>
      </c>
    </row>
    <row r="10" spans="1:12" ht="15" customHeight="1">
      <c r="A10" s="153">
        <f t="shared" si="1"/>
        <v>7</v>
      </c>
      <c r="B10" s="178">
        <v>46228</v>
      </c>
      <c r="C10" s="46" t="s">
        <v>564</v>
      </c>
      <c r="D10" s="46" t="s">
        <v>565</v>
      </c>
      <c r="E10" s="46" t="s">
        <v>572</v>
      </c>
      <c r="F10" s="46">
        <v>1</v>
      </c>
      <c r="G10" s="46"/>
      <c r="H10" s="180">
        <v>148273</v>
      </c>
      <c r="I10" s="180">
        <f t="shared" si="0"/>
        <v>148273</v>
      </c>
      <c r="J10" s="46" t="s">
        <v>249</v>
      </c>
      <c r="L10" s="145" t="s">
        <v>282</v>
      </c>
    </row>
    <row r="11" spans="1:12" ht="15" customHeight="1">
      <c r="A11" s="153"/>
      <c r="B11" s="178"/>
      <c r="C11" s="46"/>
      <c r="D11" s="46"/>
      <c r="E11" s="46"/>
      <c r="F11" s="46"/>
      <c r="G11" s="46"/>
      <c r="H11" s="180"/>
      <c r="I11" s="180">
        <f t="shared" ref="I11" si="2">F11*H11</f>
        <v>0</v>
      </c>
      <c r="J11" s="46"/>
      <c r="L11" s="145" t="s">
        <v>283</v>
      </c>
    </row>
    <row r="12" spans="1:12" ht="15" customHeight="1">
      <c r="A12" s="179"/>
      <c r="B12" s="179"/>
      <c r="C12" s="179"/>
      <c r="D12" s="179"/>
      <c r="E12" s="179"/>
      <c r="F12" s="179"/>
      <c r="G12" s="179"/>
      <c r="H12" s="179"/>
      <c r="I12" s="179"/>
      <c r="J12" s="179"/>
      <c r="L12" s="145"/>
    </row>
    <row r="13" spans="1:12">
      <c r="A13" s="179"/>
      <c r="B13" s="179"/>
      <c r="C13" s="179"/>
      <c r="D13" s="179"/>
      <c r="E13" s="179"/>
      <c r="F13" s="179"/>
      <c r="G13" s="179"/>
      <c r="H13" s="179"/>
      <c r="I13" s="179"/>
      <c r="J13" s="179"/>
      <c r="L13" s="55" t="s">
        <v>284</v>
      </c>
    </row>
    <row r="14" spans="1:12">
      <c r="D14" s="179"/>
    </row>
    <row r="15" spans="1:12">
      <c r="D15" s="179"/>
    </row>
    <row r="16" spans="1:12">
      <c r="D16" s="179"/>
    </row>
    <row r="17" spans="4:9">
      <c r="D17" s="179"/>
      <c r="I17" s="174"/>
    </row>
    <row r="18" spans="4:9">
      <c r="D18" s="179"/>
      <c r="I18" s="174"/>
    </row>
    <row r="19" spans="4:9">
      <c r="D19" s="179"/>
    </row>
    <row r="20" spans="4:9">
      <c r="D20" s="179"/>
    </row>
    <row r="21" spans="4:9">
      <c r="D21" s="179"/>
    </row>
    <row r="22" spans="4:9">
      <c r="D22" s="179"/>
    </row>
    <row r="23" spans="4:9">
      <c r="D23" s="179"/>
    </row>
    <row r="24" spans="4:9">
      <c r="D24" s="179"/>
    </row>
    <row r="25" spans="4:9">
      <c r="D25" s="179"/>
    </row>
    <row r="26" spans="4:9">
      <c r="D26" s="179"/>
    </row>
    <row r="27" spans="4:9">
      <c r="D27" s="179"/>
    </row>
    <row r="28" spans="4:9">
      <c r="D28" s="179"/>
    </row>
    <row r="29" spans="4:9">
      <c r="D29" s="179"/>
    </row>
    <row r="30" spans="4:9">
      <c r="D30" s="179"/>
    </row>
    <row r="31" spans="4:9">
      <c r="D31" s="179"/>
    </row>
    <row r="32" spans="4:9">
      <c r="D32" s="179"/>
    </row>
    <row r="33" spans="4:4">
      <c r="D33" s="179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77" fitToHeight="0" orientation="landscape" r:id="rId1"/>
  <headerFooter>
    <oddFooter>&amp;C&amp;P/&amp;N</oddFooter>
  </headerFooter>
  <colBreaks count="1" manualBreakCount="1">
    <brk id="1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20"/>
  <sheetViews>
    <sheetView view="pageBreakPreview" zoomScale="85" zoomScaleNormal="100" zoomScaleSheetLayoutView="85" workbookViewId="0">
      <selection activeCell="H15" sqref="H15:H17"/>
    </sheetView>
  </sheetViews>
  <sheetFormatPr defaultRowHeight="17.399999999999999"/>
  <cols>
    <col min="2" max="2" width="11.09765625" bestFit="1" customWidth="1"/>
    <col min="3" max="3" width="10.59765625" bestFit="1" customWidth="1"/>
    <col min="4" max="4" width="32.19921875" customWidth="1"/>
    <col min="5" max="5" width="19.8984375" style="37" bestFit="1" customWidth="1"/>
    <col min="6" max="6" width="9" style="37"/>
    <col min="7" max="7" width="10.5" style="37" bestFit="1" customWidth="1"/>
    <col min="8" max="8" width="10.5" style="37" customWidth="1"/>
    <col min="9" max="9" width="18" customWidth="1"/>
    <col min="12" max="12" width="10" bestFit="1" customWidth="1"/>
  </cols>
  <sheetData>
    <row r="1" spans="1:20" ht="35.1" customHeight="1">
      <c r="A1" s="342" t="s">
        <v>285</v>
      </c>
      <c r="B1" s="342"/>
      <c r="C1" s="342"/>
      <c r="D1" s="342"/>
      <c r="E1" s="342"/>
      <c r="F1" s="342"/>
      <c r="G1" s="342"/>
      <c r="H1" s="342"/>
      <c r="I1" s="342"/>
      <c r="J1" s="55"/>
      <c r="K1" s="55"/>
      <c r="L1" s="55"/>
    </row>
    <row r="2" spans="1:20" ht="24.9" customHeight="1">
      <c r="A2" s="341" t="s">
        <v>286</v>
      </c>
      <c r="B2" s="343" t="s">
        <v>287</v>
      </c>
      <c r="C2" s="343" t="s">
        <v>288</v>
      </c>
      <c r="D2" s="344" t="s">
        <v>279</v>
      </c>
      <c r="E2" s="343" t="s">
        <v>280</v>
      </c>
      <c r="F2" s="343" t="s">
        <v>255</v>
      </c>
      <c r="G2" s="345" t="s">
        <v>289</v>
      </c>
      <c r="H2" s="146" t="s">
        <v>290</v>
      </c>
      <c r="I2" s="343" t="s">
        <v>291</v>
      </c>
      <c r="J2" s="55"/>
      <c r="K2" s="55"/>
      <c r="L2" s="55"/>
    </row>
    <row r="3" spans="1:20" ht="24.9" customHeight="1">
      <c r="A3" s="341"/>
      <c r="B3" s="343"/>
      <c r="C3" s="343"/>
      <c r="D3" s="344"/>
      <c r="E3" s="343"/>
      <c r="F3" s="343"/>
      <c r="G3" s="345"/>
      <c r="H3" s="147">
        <f>SUM(H4:H19)</f>
        <v>1166718.1818181819</v>
      </c>
      <c r="I3" s="343"/>
      <c r="J3" s="55"/>
      <c r="K3" s="175" t="s">
        <v>248</v>
      </c>
      <c r="L3" s="145"/>
      <c r="M3" s="145"/>
      <c r="N3" s="145"/>
      <c r="O3" s="145"/>
      <c r="P3" s="145"/>
      <c r="Q3" s="145"/>
      <c r="R3" s="145"/>
      <c r="S3" s="145"/>
      <c r="T3" s="145"/>
    </row>
    <row r="4" spans="1:20" ht="15" customHeight="1">
      <c r="A4" s="153">
        <f t="shared" ref="A4:A17" si="0">ROW()-3</f>
        <v>1</v>
      </c>
      <c r="B4" s="165">
        <v>46204</v>
      </c>
      <c r="C4" s="242" t="s">
        <v>580</v>
      </c>
      <c r="D4" s="170" t="s">
        <v>573</v>
      </c>
      <c r="E4" s="171" t="s">
        <v>574</v>
      </c>
      <c r="F4" s="170">
        <v>1</v>
      </c>
      <c r="G4" s="172">
        <f>70000/1.1</f>
        <v>63636.363636363632</v>
      </c>
      <c r="H4" s="172">
        <f>F4*G4</f>
        <v>63636.363636363632</v>
      </c>
      <c r="I4" s="180"/>
      <c r="J4" s="55"/>
      <c r="K4" s="144" t="s">
        <v>297</v>
      </c>
      <c r="L4" s="145"/>
      <c r="M4" s="145"/>
      <c r="N4" s="145"/>
      <c r="O4" s="145"/>
      <c r="P4" s="145"/>
      <c r="Q4" s="145"/>
      <c r="R4" s="145"/>
      <c r="S4" s="145"/>
      <c r="T4" s="145"/>
    </row>
    <row r="5" spans="1:20" ht="15" customHeight="1">
      <c r="A5" s="153">
        <f t="shared" si="0"/>
        <v>2</v>
      </c>
      <c r="B5" s="165">
        <v>46206</v>
      </c>
      <c r="C5" s="242" t="s">
        <v>580</v>
      </c>
      <c r="D5" s="170" t="s">
        <v>573</v>
      </c>
      <c r="E5" s="171" t="s">
        <v>574</v>
      </c>
      <c r="F5" s="170">
        <v>1</v>
      </c>
      <c r="G5" s="172">
        <f t="shared" ref="G5:G14" si="1">70000/1.1</f>
        <v>63636.363636363632</v>
      </c>
      <c r="H5" s="172">
        <f t="shared" ref="H5:H14" si="2">F5*G5</f>
        <v>63636.363636363632</v>
      </c>
      <c r="I5" s="180"/>
      <c r="J5" s="55"/>
      <c r="K5" s="144" t="s">
        <v>287</v>
      </c>
      <c r="L5" s="145"/>
      <c r="M5" s="145"/>
      <c r="N5" s="145"/>
      <c r="O5" s="145"/>
      <c r="P5" s="145"/>
      <c r="Q5" s="145"/>
      <c r="R5" s="145"/>
      <c r="S5" s="145"/>
      <c r="T5" s="145"/>
    </row>
    <row r="6" spans="1:20" ht="15" customHeight="1">
      <c r="A6" s="153">
        <f t="shared" si="0"/>
        <v>3</v>
      </c>
      <c r="B6" s="165">
        <v>46209</v>
      </c>
      <c r="C6" s="242" t="s">
        <v>580</v>
      </c>
      <c r="D6" s="170" t="s">
        <v>573</v>
      </c>
      <c r="E6" s="171" t="s">
        <v>574</v>
      </c>
      <c r="F6" s="170">
        <v>1</v>
      </c>
      <c r="G6" s="172">
        <f t="shared" si="1"/>
        <v>63636.363636363632</v>
      </c>
      <c r="H6" s="172">
        <f t="shared" si="2"/>
        <v>63636.363636363632</v>
      </c>
      <c r="I6" s="180"/>
      <c r="J6" s="55"/>
      <c r="K6" s="144" t="s">
        <v>251</v>
      </c>
      <c r="L6" s="145"/>
      <c r="M6" s="145"/>
      <c r="N6" s="145"/>
      <c r="O6" s="145"/>
      <c r="P6" s="145"/>
      <c r="Q6" s="145"/>
      <c r="R6" s="145"/>
      <c r="S6" s="145"/>
      <c r="T6" s="145"/>
    </row>
    <row r="7" spans="1:20" ht="15" customHeight="1">
      <c r="A7" s="153">
        <f t="shared" si="0"/>
        <v>4</v>
      </c>
      <c r="B7" s="165">
        <v>46211</v>
      </c>
      <c r="C7" s="242" t="s">
        <v>580</v>
      </c>
      <c r="D7" s="170" t="s">
        <v>573</v>
      </c>
      <c r="E7" s="171" t="s">
        <v>574</v>
      </c>
      <c r="F7" s="170">
        <v>1</v>
      </c>
      <c r="G7" s="172">
        <f t="shared" si="1"/>
        <v>63636.363636363632</v>
      </c>
      <c r="H7" s="172">
        <f t="shared" si="2"/>
        <v>63636.363636363632</v>
      </c>
      <c r="I7" s="180"/>
      <c r="J7" s="55"/>
      <c r="K7" s="144" t="s">
        <v>252</v>
      </c>
      <c r="L7" s="145"/>
      <c r="M7" s="145"/>
      <c r="N7" s="145"/>
      <c r="O7" s="145"/>
      <c r="P7" s="145"/>
      <c r="Q7" s="145"/>
      <c r="R7" s="145"/>
      <c r="S7" s="145"/>
      <c r="T7" s="145"/>
    </row>
    <row r="8" spans="1:20" ht="15" customHeight="1">
      <c r="A8" s="153">
        <f t="shared" si="0"/>
        <v>5</v>
      </c>
      <c r="B8" s="165">
        <v>46213</v>
      </c>
      <c r="C8" s="242" t="s">
        <v>580</v>
      </c>
      <c r="D8" s="170" t="s">
        <v>573</v>
      </c>
      <c r="E8" s="171" t="s">
        <v>574</v>
      </c>
      <c r="F8" s="170">
        <v>1</v>
      </c>
      <c r="G8" s="172">
        <f t="shared" si="1"/>
        <v>63636.363636363632</v>
      </c>
      <c r="H8" s="172">
        <f t="shared" si="2"/>
        <v>63636.363636363632</v>
      </c>
      <c r="I8" s="180"/>
      <c r="J8" s="55"/>
      <c r="K8" s="144" t="s">
        <v>298</v>
      </c>
      <c r="L8" s="145"/>
      <c r="M8" s="145"/>
      <c r="N8" s="145"/>
      <c r="O8" s="145"/>
      <c r="P8" s="145"/>
      <c r="Q8" s="145"/>
      <c r="R8" s="145"/>
      <c r="S8" s="145"/>
      <c r="T8" s="145"/>
    </row>
    <row r="9" spans="1:20" ht="15" customHeight="1">
      <c r="A9" s="153">
        <f t="shared" si="0"/>
        <v>6</v>
      </c>
      <c r="B9" s="165">
        <v>46216</v>
      </c>
      <c r="C9" s="242" t="s">
        <v>580</v>
      </c>
      <c r="D9" s="170" t="s">
        <v>573</v>
      </c>
      <c r="E9" s="171" t="s">
        <v>574</v>
      </c>
      <c r="F9" s="170">
        <v>1</v>
      </c>
      <c r="G9" s="172">
        <f t="shared" si="1"/>
        <v>63636.363636363632</v>
      </c>
      <c r="H9" s="172">
        <f t="shared" si="2"/>
        <v>63636.363636363632</v>
      </c>
      <c r="I9" s="180"/>
      <c r="J9" s="55"/>
      <c r="K9" s="145" t="s">
        <v>255</v>
      </c>
      <c r="L9" s="145"/>
      <c r="M9" s="145"/>
      <c r="N9" s="145"/>
      <c r="O9" s="145"/>
      <c r="P9" s="145"/>
      <c r="Q9" s="145"/>
      <c r="R9" s="145"/>
      <c r="S9" s="145"/>
      <c r="T9" s="145"/>
    </row>
    <row r="10" spans="1:20" ht="15" customHeight="1">
      <c r="A10" s="153">
        <f t="shared" si="0"/>
        <v>7</v>
      </c>
      <c r="B10" s="165">
        <v>46218</v>
      </c>
      <c r="C10" s="242" t="s">
        <v>580</v>
      </c>
      <c r="D10" s="170" t="s">
        <v>573</v>
      </c>
      <c r="E10" s="171" t="s">
        <v>574</v>
      </c>
      <c r="F10" s="170">
        <v>1</v>
      </c>
      <c r="G10" s="172">
        <f t="shared" si="1"/>
        <v>63636.363636363632</v>
      </c>
      <c r="H10" s="172">
        <f>F10*G10</f>
        <v>63636.363636363632</v>
      </c>
      <c r="I10" s="180"/>
      <c r="J10" s="55"/>
      <c r="K10" s="145" t="s">
        <v>289</v>
      </c>
      <c r="L10" s="176"/>
      <c r="M10" s="145"/>
      <c r="N10" s="145"/>
      <c r="O10" s="145"/>
      <c r="P10" s="145"/>
      <c r="Q10" s="145"/>
      <c r="R10" s="145"/>
      <c r="S10" s="145"/>
      <c r="T10" s="145"/>
    </row>
    <row r="11" spans="1:20" ht="15" customHeight="1">
      <c r="A11" s="153">
        <f t="shared" si="0"/>
        <v>8</v>
      </c>
      <c r="B11" s="165">
        <v>46223</v>
      </c>
      <c r="C11" s="242" t="s">
        <v>580</v>
      </c>
      <c r="D11" s="170" t="s">
        <v>573</v>
      </c>
      <c r="E11" s="171" t="s">
        <v>574</v>
      </c>
      <c r="F11" s="170">
        <v>1</v>
      </c>
      <c r="G11" s="172">
        <f t="shared" si="1"/>
        <v>63636.363636363632</v>
      </c>
      <c r="H11" s="172">
        <f>F11*G11</f>
        <v>63636.363636363632</v>
      </c>
      <c r="I11" s="180"/>
      <c r="J11" s="55"/>
      <c r="K11" s="145"/>
      <c r="L11" s="176"/>
      <c r="M11" s="145"/>
      <c r="N11" s="145"/>
      <c r="O11" s="145"/>
      <c r="P11" s="145"/>
      <c r="Q11" s="145"/>
      <c r="R11" s="145"/>
      <c r="S11" s="145"/>
      <c r="T11" s="145"/>
    </row>
    <row r="12" spans="1:20" ht="15" customHeight="1">
      <c r="A12" s="153">
        <f t="shared" si="0"/>
        <v>9</v>
      </c>
      <c r="B12" s="165">
        <v>46226</v>
      </c>
      <c r="C12" s="242" t="s">
        <v>580</v>
      </c>
      <c r="D12" s="170" t="s">
        <v>573</v>
      </c>
      <c r="E12" s="171" t="s">
        <v>574</v>
      </c>
      <c r="F12" s="170">
        <v>1</v>
      </c>
      <c r="G12" s="172">
        <f t="shared" si="1"/>
        <v>63636.363636363632</v>
      </c>
      <c r="H12" s="172">
        <f>F12*G12</f>
        <v>63636.363636363632</v>
      </c>
      <c r="I12" s="180"/>
      <c r="J12" s="55"/>
      <c r="K12" s="175" t="s">
        <v>308</v>
      </c>
      <c r="L12" s="176"/>
      <c r="M12" s="176"/>
      <c r="N12" s="176"/>
      <c r="O12" s="176"/>
      <c r="P12" s="176"/>
      <c r="Q12" s="176"/>
      <c r="R12" s="176"/>
      <c r="S12" s="176"/>
      <c r="T12" s="176"/>
    </row>
    <row r="13" spans="1:20" ht="15" customHeight="1">
      <c r="A13" s="153">
        <f t="shared" si="0"/>
        <v>10</v>
      </c>
      <c r="B13" s="165">
        <v>46230</v>
      </c>
      <c r="C13" s="242" t="s">
        <v>580</v>
      </c>
      <c r="D13" s="170" t="s">
        <v>573</v>
      </c>
      <c r="E13" s="171" t="s">
        <v>575</v>
      </c>
      <c r="F13" s="170">
        <v>1</v>
      </c>
      <c r="G13" s="172">
        <f t="shared" si="1"/>
        <v>63636.363636363632</v>
      </c>
      <c r="H13" s="172">
        <f>F13*G13</f>
        <v>63636.363636363632</v>
      </c>
      <c r="I13" s="180"/>
      <c r="J13" s="55"/>
      <c r="K13" s="55"/>
      <c r="L13" s="55"/>
    </row>
    <row r="14" spans="1:20" ht="15" customHeight="1">
      <c r="A14" s="153">
        <f t="shared" si="0"/>
        <v>11</v>
      </c>
      <c r="B14" s="165">
        <v>46233</v>
      </c>
      <c r="C14" s="242" t="s">
        <v>580</v>
      </c>
      <c r="D14" s="170" t="s">
        <v>573</v>
      </c>
      <c r="E14" s="171" t="s">
        <v>574</v>
      </c>
      <c r="F14" s="170">
        <v>1</v>
      </c>
      <c r="G14" s="172">
        <f t="shared" si="1"/>
        <v>63636.363636363632</v>
      </c>
      <c r="H14" s="172">
        <f t="shared" si="2"/>
        <v>63636.363636363632</v>
      </c>
      <c r="I14" s="180"/>
      <c r="J14" s="55"/>
      <c r="L14" s="55"/>
    </row>
    <row r="15" spans="1:20" ht="15" customHeight="1">
      <c r="A15" s="153">
        <f t="shared" si="0"/>
        <v>12</v>
      </c>
      <c r="B15" s="165">
        <v>46217</v>
      </c>
      <c r="C15" s="242" t="s">
        <v>580</v>
      </c>
      <c r="D15" s="170" t="s">
        <v>576</v>
      </c>
      <c r="E15" s="171" t="s">
        <v>577</v>
      </c>
      <c r="F15" s="170">
        <v>6</v>
      </c>
      <c r="G15" s="172">
        <v>72727.272727272721</v>
      </c>
      <c r="H15" s="172">
        <v>436363.63636363635</v>
      </c>
      <c r="I15" s="180"/>
      <c r="J15" s="55"/>
      <c r="L15" s="55"/>
    </row>
    <row r="16" spans="1:20" ht="15" customHeight="1">
      <c r="A16" s="153">
        <f t="shared" si="0"/>
        <v>13</v>
      </c>
      <c r="B16" s="165">
        <v>46226</v>
      </c>
      <c r="C16" s="170" t="s">
        <v>581</v>
      </c>
      <c r="D16" s="170" t="s">
        <v>578</v>
      </c>
      <c r="E16" s="171" t="s">
        <v>532</v>
      </c>
      <c r="F16" s="170">
        <v>1</v>
      </c>
      <c r="G16" s="243">
        <v>21263.63636363636</v>
      </c>
      <c r="H16" s="243">
        <v>21263.63636363636</v>
      </c>
      <c r="I16" s="180"/>
      <c r="J16" s="55"/>
      <c r="L16" s="55"/>
    </row>
    <row r="17" spans="1:12" ht="15" customHeight="1">
      <c r="A17" s="153">
        <f t="shared" si="0"/>
        <v>14</v>
      </c>
      <c r="B17" s="165">
        <v>46230</v>
      </c>
      <c r="C17" s="170" t="s">
        <v>582</v>
      </c>
      <c r="D17" s="170" t="s">
        <v>579</v>
      </c>
      <c r="E17" s="171" t="s">
        <v>530</v>
      </c>
      <c r="F17" s="170">
        <v>1</v>
      </c>
      <c r="G17" s="243">
        <v>9090.9090909090901</v>
      </c>
      <c r="H17" s="243">
        <v>9090.9090909090901</v>
      </c>
      <c r="I17" s="180"/>
      <c r="J17" s="55"/>
      <c r="L17" s="55"/>
    </row>
    <row r="18" spans="1:12" ht="15" customHeight="1">
      <c r="E18"/>
      <c r="F18"/>
      <c r="G18"/>
      <c r="H18"/>
      <c r="L18" s="55"/>
    </row>
    <row r="19" spans="1:12" ht="15" customHeight="1">
      <c r="E19"/>
      <c r="F19"/>
      <c r="G19"/>
      <c r="H19"/>
      <c r="L19" s="55"/>
    </row>
    <row r="20" spans="1:12">
      <c r="E20"/>
      <c r="F20"/>
      <c r="G20"/>
      <c r="H20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99" fitToHeight="0" orientation="landscape" r:id="rId1"/>
  <headerFooter>
    <oddFooter>&amp;C&amp;P/&amp;N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0288B-E95B-43D1-8D29-61F00B08125D}">
  <dimension ref="B2:G9"/>
  <sheetViews>
    <sheetView showGridLines="0" zoomScale="115" zoomScaleNormal="115" workbookViewId="0">
      <selection activeCell="G16" sqref="G16"/>
    </sheetView>
  </sheetViews>
  <sheetFormatPr defaultRowHeight="17.399999999999999"/>
  <cols>
    <col min="2" max="3" width="3.59765625" customWidth="1"/>
    <col min="4" max="7" width="16.59765625" style="37" customWidth="1"/>
  </cols>
  <sheetData>
    <row r="2" spans="2:7" ht="18" thickBot="1"/>
    <row r="3" spans="2:7" ht="20.100000000000001" customHeight="1">
      <c r="B3" s="351" t="s">
        <v>49</v>
      </c>
      <c r="C3" s="352"/>
      <c r="D3" s="346" t="s">
        <v>589</v>
      </c>
      <c r="E3" s="346" t="s">
        <v>590</v>
      </c>
      <c r="F3" s="346" t="s">
        <v>43</v>
      </c>
      <c r="G3" s="346" t="s">
        <v>591</v>
      </c>
    </row>
    <row r="4" spans="2:7" ht="20.100000000000001" customHeight="1">
      <c r="B4" s="353"/>
      <c r="C4" s="354"/>
      <c r="D4" s="349"/>
      <c r="E4" s="349"/>
      <c r="F4" s="347"/>
      <c r="G4" s="347"/>
    </row>
    <row r="5" spans="2:7" ht="20.100000000000001" customHeight="1" thickBot="1">
      <c r="B5" s="353"/>
      <c r="C5" s="354"/>
      <c r="D5" s="350"/>
      <c r="E5" s="350"/>
      <c r="F5" s="348"/>
      <c r="G5" s="348"/>
    </row>
    <row r="6" spans="2:7" ht="20.100000000000001" customHeight="1">
      <c r="B6" s="353"/>
      <c r="C6" s="354"/>
      <c r="D6" s="244"/>
      <c r="E6" s="244"/>
      <c r="F6" s="244"/>
      <c r="G6" s="244"/>
    </row>
    <row r="7" spans="2:7" ht="20.100000000000001" customHeight="1">
      <c r="B7" s="353"/>
      <c r="C7" s="354"/>
      <c r="D7" s="245"/>
      <c r="E7" s="245"/>
      <c r="F7" s="245"/>
      <c r="G7" s="245"/>
    </row>
    <row r="8" spans="2:7" ht="20.100000000000001" customHeight="1">
      <c r="B8" s="353"/>
      <c r="C8" s="354"/>
      <c r="D8" s="245"/>
      <c r="E8" s="245"/>
      <c r="F8" s="245"/>
      <c r="G8" s="245"/>
    </row>
    <row r="9" spans="2:7" ht="20.100000000000001" customHeight="1" thickBot="1">
      <c r="B9" s="355"/>
      <c r="C9" s="356"/>
      <c r="D9" s="246"/>
      <c r="E9" s="246"/>
      <c r="F9" s="246"/>
      <c r="G9" s="246"/>
    </row>
  </sheetData>
  <mergeCells count="5">
    <mergeCell ref="F3:F5"/>
    <mergeCell ref="G3:G5"/>
    <mergeCell ref="D3:D5"/>
    <mergeCell ref="E3:E5"/>
    <mergeCell ref="B3:C9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7.399999999999999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>
      <c r="B2" s="357" t="s">
        <v>41</v>
      </c>
      <c r="C2" s="38" t="s">
        <v>37</v>
      </c>
      <c r="D2" s="38"/>
      <c r="E2" s="38" t="s">
        <v>40</v>
      </c>
    </row>
    <row r="3" spans="2:18" ht="30" customHeight="1">
      <c r="B3" s="358"/>
      <c r="C3" s="38" t="s">
        <v>38</v>
      </c>
      <c r="D3" s="38"/>
      <c r="E3" s="38" t="s">
        <v>40</v>
      </c>
    </row>
    <row r="4" spans="2:18" ht="30" customHeight="1">
      <c r="B4" s="358"/>
      <c r="C4" s="38" t="s">
        <v>39</v>
      </c>
      <c r="D4" s="38"/>
      <c r="E4" s="38" t="s">
        <v>40</v>
      </c>
    </row>
    <row r="6" spans="2:18" ht="48.9" customHeight="1">
      <c r="G6" s="357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" customHeight="1">
      <c r="G7" s="357"/>
      <c r="H7" s="38"/>
      <c r="I7" s="38"/>
      <c r="J7" s="38"/>
      <c r="K7" s="37"/>
      <c r="L7" s="37"/>
      <c r="M7" s="37"/>
      <c r="N7" s="37"/>
      <c r="O7" s="37"/>
    </row>
    <row r="8" spans="2:18" ht="24.9" customHeight="1">
      <c r="G8" s="37"/>
      <c r="H8" s="37"/>
      <c r="I8" s="37"/>
      <c r="J8" s="37"/>
      <c r="K8" s="37"/>
      <c r="L8" s="359" t="s">
        <v>48</v>
      </c>
      <c r="M8" s="38" t="s">
        <v>44</v>
      </c>
      <c r="N8" s="38" t="s">
        <v>45</v>
      </c>
      <c r="O8" s="38" t="s">
        <v>46</v>
      </c>
    </row>
    <row r="9" spans="2:18" ht="39.9" customHeight="1">
      <c r="G9" s="37"/>
      <c r="H9" s="37"/>
      <c r="I9" s="37"/>
      <c r="J9" s="37"/>
      <c r="K9" s="37"/>
      <c r="L9" s="360"/>
      <c r="M9" s="38"/>
      <c r="N9" s="38"/>
      <c r="O9" s="38"/>
    </row>
    <row r="11" spans="2:18" ht="24.9" customHeight="1">
      <c r="Q11" s="38" t="s">
        <v>50</v>
      </c>
      <c r="R11" s="38" t="s">
        <v>53</v>
      </c>
    </row>
    <row r="12" spans="2:18" ht="24.9" customHeight="1">
      <c r="Q12" s="38" t="s">
        <v>51</v>
      </c>
      <c r="R12" s="38" t="s">
        <v>54</v>
      </c>
    </row>
    <row r="13" spans="2:18" ht="24.9" customHeight="1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0" sqref="C10"/>
    </sheetView>
  </sheetViews>
  <sheetFormatPr defaultRowHeight="17.399999999999999"/>
  <sheetData>
    <row r="3" spans="2:3">
      <c r="B3" s="361" t="s">
        <v>55</v>
      </c>
      <c r="C3" s="362"/>
    </row>
    <row r="4" spans="2:3">
      <c r="B4" s="40" t="s">
        <v>56</v>
      </c>
      <c r="C4" s="40" t="s">
        <v>57</v>
      </c>
    </row>
    <row r="5" spans="2:3">
      <c r="B5" s="38" t="s">
        <v>58</v>
      </c>
      <c r="C5" s="38">
        <v>0.25</v>
      </c>
    </row>
    <row r="6" spans="2:3">
      <c r="B6" s="38" t="s">
        <v>59</v>
      </c>
      <c r="C6" s="38">
        <v>0.5</v>
      </c>
    </row>
    <row r="7" spans="2:3">
      <c r="B7" s="38" t="s">
        <v>60</v>
      </c>
      <c r="C7" s="38">
        <v>0.75</v>
      </c>
    </row>
    <row r="8" spans="2:3">
      <c r="B8" s="38" t="s">
        <v>61</v>
      </c>
      <c r="C8" s="38">
        <v>1</v>
      </c>
    </row>
    <row r="9" spans="2:3">
      <c r="B9" s="38" t="s">
        <v>62</v>
      </c>
      <c r="C9" s="38">
        <v>1.25</v>
      </c>
    </row>
    <row r="10" spans="2:3">
      <c r="B10" s="38" t="s">
        <v>63</v>
      </c>
      <c r="C10" s="38">
        <v>1.5</v>
      </c>
    </row>
    <row r="11" spans="2:3">
      <c r="B11" s="38" t="s">
        <v>64</v>
      </c>
      <c r="C11" s="38">
        <v>2</v>
      </c>
    </row>
    <row r="12" spans="2:3">
      <c r="B12" s="38" t="s">
        <v>65</v>
      </c>
      <c r="C12" s="38">
        <v>2.5</v>
      </c>
    </row>
    <row r="13" spans="2:3">
      <c r="B13" s="38" t="s">
        <v>66</v>
      </c>
      <c r="C13" s="38">
        <v>3</v>
      </c>
    </row>
    <row r="14" spans="2:3">
      <c r="B14" s="38" t="s">
        <v>67</v>
      </c>
      <c r="C14" s="38">
        <v>4</v>
      </c>
    </row>
    <row r="15" spans="2:3">
      <c r="B15" s="38" t="s">
        <v>68</v>
      </c>
      <c r="C15" s="38">
        <v>4</v>
      </c>
    </row>
    <row r="16" spans="2:3">
      <c r="B16" s="38" t="s">
        <v>69</v>
      </c>
      <c r="C16" s="38">
        <v>5</v>
      </c>
    </row>
    <row r="17" spans="2:3">
      <c r="B17" s="38" t="s">
        <v>70</v>
      </c>
      <c r="C17" s="38">
        <v>6</v>
      </c>
    </row>
    <row r="18" spans="2:3">
      <c r="B18" s="38" t="s">
        <v>71</v>
      </c>
      <c r="C18" s="38">
        <v>7</v>
      </c>
    </row>
    <row r="19" spans="2:3">
      <c r="B19" s="38" t="s">
        <v>72</v>
      </c>
      <c r="C19" s="38">
        <v>8</v>
      </c>
    </row>
    <row r="20" spans="2:3">
      <c r="B20" s="38" t="s">
        <v>73</v>
      </c>
      <c r="C20" s="38">
        <v>9</v>
      </c>
    </row>
    <row r="21" spans="2:3">
      <c r="B21" s="38" t="s">
        <v>74</v>
      </c>
      <c r="C21" s="38">
        <v>10</v>
      </c>
    </row>
    <row r="22" spans="2:3">
      <c r="B22" s="38" t="s">
        <v>75</v>
      </c>
      <c r="C22" s="38">
        <v>12</v>
      </c>
    </row>
    <row r="23" spans="2:3">
      <c r="B23" s="38" t="s">
        <v>76</v>
      </c>
      <c r="C23" s="38">
        <v>14</v>
      </c>
    </row>
    <row r="24" spans="2:3">
      <c r="B24" s="38" t="s">
        <v>77</v>
      </c>
      <c r="C24" s="38">
        <v>16</v>
      </c>
    </row>
    <row r="25" spans="2:3">
      <c r="B25" s="38" t="s">
        <v>78</v>
      </c>
      <c r="C25" s="38">
        <v>18</v>
      </c>
    </row>
    <row r="26" spans="2:3">
      <c r="B26" s="38" t="s">
        <v>79</v>
      </c>
      <c r="C26" s="38">
        <v>20</v>
      </c>
    </row>
    <row r="27" spans="2:3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12</vt:i4>
      </vt:variant>
    </vt:vector>
  </HeadingPairs>
  <TitlesOfParts>
    <vt:vector size="28" baseType="lpstr">
      <vt:lpstr>용역청구서 표지</vt:lpstr>
      <vt:lpstr>용역 청구서(갑지)</vt:lpstr>
      <vt:lpstr>용역 내역서(을지)</vt:lpstr>
      <vt:lpstr>내역서(을지)</vt:lpstr>
      <vt:lpstr>집계장</vt:lpstr>
      <vt:lpstr>근로내역 (07월)</vt:lpstr>
      <vt:lpstr>물량 내역서</vt:lpstr>
      <vt:lpstr>용접기자재</vt:lpstr>
      <vt:lpstr>배관기자재</vt:lpstr>
      <vt:lpstr>숙소임차료</vt:lpstr>
      <vt:lpstr>숙소관리비</vt:lpstr>
      <vt:lpstr>식대비용</vt:lpstr>
      <vt:lpstr>기타비용</vt:lpstr>
      <vt:lpstr>Sheet1</vt:lpstr>
      <vt:lpstr>서명란</vt:lpstr>
      <vt:lpstr>DIA-INCH</vt:lpstr>
      <vt:lpstr>기타비용!Print_Area</vt:lpstr>
      <vt:lpstr>'물량 내역서'!Print_Area</vt:lpstr>
      <vt:lpstr>배관기자재!Print_Area</vt:lpstr>
      <vt:lpstr>숙소관리비!Print_Area</vt:lpstr>
      <vt:lpstr>숙소임차료!Print_Area</vt:lpstr>
      <vt:lpstr>식대비용!Print_Area</vt:lpstr>
      <vt:lpstr>'용역 청구서(갑지)'!Print_Area</vt:lpstr>
      <vt:lpstr>용접기자재!Print_Area</vt:lpstr>
      <vt:lpstr>집계장!Print_Area</vt:lpstr>
      <vt:lpstr>'내역서(을지)'!Print_Titles</vt:lpstr>
      <vt:lpstr>배관기자재!Print_Titles</vt:lpstr>
      <vt:lpstr>용접기자재!Print_Titles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2026-08-06T07:30:45Z</cp:lastPrinted>
  <dcterms:created xsi:type="dcterms:W3CDTF">2025-09-12T00:04:15Z</dcterms:created>
  <dcterms:modified xsi:type="dcterms:W3CDTF">2026-08-06T23:55:45Z</dcterms:modified>
</cp:coreProperties>
</file>