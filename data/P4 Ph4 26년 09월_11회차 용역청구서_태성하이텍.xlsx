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9월\S25-004\"/>
    </mc:Choice>
  </mc:AlternateContent>
  <xr:revisionPtr revIDLastSave="0" documentId="13_ncr:1_{8CB92469-ABD3-44CA-9E16-6F3EDC3ADB2C}" xr6:coauthVersionLast="36" xr6:coauthVersionMax="36" xr10:uidLastSave="{00000000-0000-0000-0000-000000000000}"/>
  <bookViews>
    <workbookView xWindow="28680" yWindow="-120" windowWidth="29040" windowHeight="15720" tabRatio="726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근로내역 (09월)" sheetId="8" r:id="rId6"/>
    <sheet name="물량 내역서" sheetId="7" r:id="rId7"/>
    <sheet name="용접기자재" sheetId="13" r:id="rId8"/>
    <sheet name="배관기자재" sheetId="14" r:id="rId9"/>
    <sheet name="숙소임차료" sheetId="9" r:id="rId10"/>
    <sheet name="숙소관리비" sheetId="10" r:id="rId11"/>
    <sheet name="식대비용" sheetId="11" r:id="rId12"/>
    <sheet name="기타비용" sheetId="12" r:id="rId13"/>
    <sheet name="서명란" sheetId="3" state="hidden" r:id="rId14"/>
    <sheet name="DIA-INCH" sheetId="4" state="hidden" r:id="rId15"/>
  </sheets>
  <externalReferences>
    <externalReference r:id="rId16"/>
  </externalReference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5">#REF!</definedName>
    <definedName name="___QQ123">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1" localSheetId="3">#REF!</definedName>
    <definedName name="_DAT11">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5" localSheetId="3">#REF!</definedName>
    <definedName name="_DAT5">#REF!</definedName>
    <definedName name="_xlnm._FilterDatabase" localSheetId="8" hidden="1">배관기자재!$A$2:$J$15</definedName>
    <definedName name="_xlnm._FilterDatabase" localSheetId="7" hidden="1">용접기자재!$A$2:$J$3</definedName>
    <definedName name="_xlnm._FilterDatabase" hidden="1">#REF!</definedName>
    <definedName name="_Key1" localSheetId="3" hidden="1">#REF!</definedName>
    <definedName name="_Key1" hidden="1">#REF!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Ⅱ" localSheetId="3" hidden="1">{#N/A,#N/A,FALSE,"정공"}</definedName>
    <definedName name="Ⅱ" hidden="1">{#N/A,#N/A,FALSE,"정공"}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Database" hidden="1">"C:\My Documents\입고현황_류\장비입고현황2.mdb"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s" localSheetId="3">[0]!BlankMacro1</definedName>
    <definedName name="as">[0]!BlankMacro1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ut" localSheetId="3">#REF!</definedName>
    <definedName name="aut">#REF!</definedName>
    <definedName name="AV">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HDDOR" localSheetId="3">#REF!</definedName>
    <definedName name="CHDDOR">#REF!</definedName>
    <definedName name="cho" localSheetId="3">[0]!BlankMacro1</definedName>
    <definedName name="cho">[0]!BlankMacro1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DANGA">#REF!,#REF!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NCOST">#N/A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_xlnm.Extract">#REF!</definedName>
    <definedName name="Extract_MI">#REF!</definedName>
    <definedName name="f">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hidden="1">#REF!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rdwar" hidden="1">#REF!</definedName>
    <definedName name="HEADER" localSheetId="3">#REF!</definedName>
    <definedName name="HEADER">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UMBER">#REF!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eriod_Const">#REF!</definedName>
    <definedName name="PERIOD_END" localSheetId="3">#REF!</definedName>
    <definedName name="PERIOD_END">#REF!</definedName>
    <definedName name="pihkj">#REF!</definedName>
    <definedName name="PIPE40">#REF!</definedName>
    <definedName name="PJT">#N/A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2">기타비용!$A$1:$I$3</definedName>
    <definedName name="_xlnm.Print_Area" localSheetId="8">배관기자재!$A$1:$J$3</definedName>
    <definedName name="_xlnm.Print_Area" localSheetId="10">숙소관리비!$A$1:$J$9</definedName>
    <definedName name="_xlnm.Print_Area" localSheetId="9">숙소임차료!$A$1:$J$4</definedName>
    <definedName name="_xlnm.Print_Area" localSheetId="11">식대비용!$A$1:$J$3</definedName>
    <definedName name="_xlnm.Print_Area" localSheetId="1">'용역 청구서(갑지)'!$A$1:$L$26</definedName>
    <definedName name="_xlnm.Print_Area" localSheetId="7">용접기자재!$A$1:$J$3</definedName>
    <definedName name="_xlnm.Print_Area" localSheetId="4">집계장!$A$1:$L$26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_xlnm.Print_Titles" localSheetId="3">'내역서(을지)'!$2:$4</definedName>
    <definedName name="_xlnm.Print_Titles" localSheetId="8">배관기자재!$1:$3</definedName>
    <definedName name="_xlnm.Print_Titles" localSheetId="7">용접기자재!$1:$3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CODE" localSheetId="3">#REF!</definedName>
    <definedName name="SCODE">#REF!</definedName>
    <definedName name="SD">#REF!</definedName>
    <definedName name="SDASDASDA" hidden="1">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ST0">#REF!</definedName>
    <definedName name="TESTKEYS" localSheetId="3">#REF!</definedName>
    <definedName name="TESTKEYS">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속도." localSheetId="3" hidden="1">{#N/A,#N/A,FALSE,"속도"}</definedName>
    <definedName name="wrn.속도." hidden="1">{#N/A,#N/A,FALSE,"속도"}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ㄱㄱ">#REF!</definedName>
    <definedName name="ㄱㄱㄱㄱ">#REF!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갤로" localSheetId="3" hidden="1">{#N/A,#N/A,FALSE,"정공"}</definedName>
    <definedName name="갤로" hidden="1">{#N/A,#N/A,FALSE,"정공"}</definedName>
    <definedName name="거리">#REF!</definedName>
    <definedName name="견적" localSheetId="3">#REF!</definedName>
    <definedName name="견적">#REF!</definedName>
    <definedName name="견적2" localSheetId="3">#REF!</definedName>
    <definedName name="견적2">#REF!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ㅇ">#REF!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2923">#REF!</definedName>
    <definedName name="ㅁㄴ" localSheetId="3">#REF!</definedName>
    <definedName name="ㅁㄴ">#REF!</definedName>
    <definedName name="ㅁㄴㄴ" localSheetId="3">[0]!BlankMacro1</definedName>
    <definedName name="ㅁㄴㄴ">[0]!BlankMacro1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ㅂㅂ" localSheetId="3">[0]!BlankMacro1</definedName>
    <definedName name="ㅂㅂㅂㅂ">[0]!BlankMacro1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방송">#REF!</definedName>
    <definedName name="방수">#REF!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부___문" localSheetId="3">#REF!</definedName>
    <definedName name="부___문">#REF!</definedName>
    <definedName name="부가가치세">#REF!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당내역서" hidden="1">#REF!</definedName>
    <definedName name="분당아파트">#REF!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공">#REF!</definedName>
    <definedName name="설비투자" localSheetId="3" hidden="1">{#N/A,#N/A,FALSE,"정공"}</definedName>
    <definedName name="설비투자" hidden="1">{#N/A,#N/A,FALSE,"정공"}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부실적" localSheetId="3">[0]!BlankMacro1</definedName>
    <definedName name="세부실적">[0]!BlankMacro1</definedName>
    <definedName name="소계">#REF!</definedName>
    <definedName name="소나무">#REF!</definedName>
    <definedName name="소방">#REF!</definedName>
    <definedName name="소방시설공사">#REF!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형차축부" localSheetId="3">#REF!</definedName>
    <definedName name="소형차축부">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숙직">#REF!</definedName>
    <definedName name="순공사비">#REF!</definedName>
    <definedName name="순공사원가">#REF!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십이월" localSheetId="3">#REF!</definedName>
    <definedName name="십이월">#REF!</definedName>
    <definedName name="ㅇ" localSheetId="3">#REF!</definedName>
    <definedName name="ㅇ">#REF!</definedName>
    <definedName name="ㅇㄴㄹㄴㅁㅇㄻ">#REF!</definedName>
    <definedName name="ㅇㄹ">#REF!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연결부하">#REF!</definedName>
    <definedName name="연도.도금">#REF!</definedName>
    <definedName name="연습">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윤율">#REF!</definedName>
    <definedName name="인동덩쿨">#REF!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[0]!BlankMacro1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컴">#REF!</definedName>
    <definedName name="컴퓨">#REF!</definedName>
    <definedName name="크레인">#REF!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ㅏㅏ" localSheetId="3">[0]!BlankMacro1</definedName>
    <definedName name="ㅏㅏ">[0]!BlankMacro1</definedName>
    <definedName name="ㅐㅐㅐㅐ" localSheetId="3">[0]!BlankMacro1</definedName>
    <definedName name="ㅐㅐㅐㅐ">[0]!BlankMacro1</definedName>
    <definedName name="ㅑ3081">#REF!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ㅕㅓ" localSheetId="3">[0]!BlankMacro1</definedName>
    <definedName name="ㅗㅕㅓ">[0]!BlankMacro1</definedName>
    <definedName name="ㅛㅛㅛㅛ" localSheetId="3">[0]!BlankMacro1</definedName>
    <definedName name="ㅛㅛㅛㅛ">[0]!BlankMacro1</definedName>
    <definedName name="ㅜㅜ" localSheetId="3">BlankMacro1</definedName>
    <definedName name="ㅜㅜ">BlankMacro1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" l="1"/>
  <c r="E14" i="2"/>
  <c r="E12" i="2"/>
  <c r="E11" i="2"/>
  <c r="E10" i="2"/>
  <c r="E9" i="2"/>
  <c r="G21" i="6"/>
  <c r="A9" i="10" l="1"/>
  <c r="A8" i="10"/>
  <c r="A7" i="10"/>
  <c r="A6" i="10" l="1"/>
  <c r="A5" i="10"/>
  <c r="A4" i="10"/>
  <c r="A4" i="9"/>
  <c r="A12" i="14"/>
  <c r="A11" i="14"/>
  <c r="A10" i="14"/>
  <c r="A9" i="14"/>
  <c r="A8" i="14"/>
  <c r="A7" i="14"/>
  <c r="A6" i="14"/>
  <c r="A5" i="14"/>
  <c r="A4" i="14"/>
  <c r="I3" i="10" l="1"/>
  <c r="I3" i="14"/>
  <c r="A9" i="13"/>
  <c r="A8" i="13"/>
  <c r="A7" i="13"/>
  <c r="A6" i="13"/>
  <c r="A5" i="13"/>
  <c r="A4" i="13"/>
  <c r="H3" i="12" l="1"/>
  <c r="E15" i="15"/>
  <c r="F11" i="15"/>
  <c r="F10" i="15"/>
  <c r="F9" i="15"/>
  <c r="F8" i="15"/>
  <c r="F7" i="15"/>
  <c r="F6" i="15"/>
  <c r="F5" i="15"/>
  <c r="F13" i="15" l="1"/>
  <c r="F15" i="15" s="1"/>
  <c r="G13" i="6" l="1"/>
  <c r="G14" i="6" s="1"/>
  <c r="G18" i="6" s="1"/>
  <c r="I3" i="11" l="1"/>
  <c r="I3" i="9"/>
  <c r="J8" i="7" l="1"/>
  <c r="K8" i="7" s="1"/>
  <c r="J10" i="7"/>
  <c r="K10" i="7" s="1"/>
  <c r="J11" i="7"/>
  <c r="K11" i="7" s="1"/>
  <c r="J12" i="7"/>
  <c r="K12" i="7" s="1"/>
  <c r="J13" i="7"/>
  <c r="K13" i="7" s="1"/>
  <c r="J14" i="7"/>
  <c r="K14" i="7" s="1"/>
  <c r="J16" i="7"/>
  <c r="K16" i="7" s="1"/>
  <c r="J9" i="7"/>
  <c r="K9" i="7" s="1"/>
  <c r="J15" i="7"/>
  <c r="K15" i="7"/>
  <c r="I3" i="13"/>
  <c r="I15" i="8" l="1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P22" i="8" l="1"/>
  <c r="O22" i="8"/>
  <c r="N22" i="8"/>
  <c r="Z22" i="8"/>
  <c r="AM22" i="8"/>
  <c r="AL22" i="8"/>
  <c r="Q22" i="8"/>
  <c r="AD22" i="8"/>
  <c r="T22" i="8"/>
  <c r="AF22" i="8"/>
  <c r="R22" i="8"/>
  <c r="AB22" i="8"/>
  <c r="AA22" i="8"/>
  <c r="AC22" i="8"/>
  <c r="AJ22" i="8"/>
  <c r="AE22" i="8"/>
  <c r="W22" i="8"/>
  <c r="AK22" i="8"/>
  <c r="Y22" i="8"/>
  <c r="M22" i="8"/>
  <c r="X22" i="8"/>
  <c r="L22" i="8"/>
  <c r="AI22" i="8"/>
  <c r="K22" i="8"/>
  <c r="V22" i="8"/>
  <c r="J22" i="8"/>
  <c r="AG22" i="8"/>
  <c r="U22" i="8"/>
  <c r="I22" i="8"/>
  <c r="S22" i="8"/>
  <c r="AH22" i="8"/>
  <c r="AN14" i="8" l="1"/>
  <c r="AP14" i="8" s="1"/>
  <c r="AN13" i="8"/>
  <c r="AP13" i="8" s="1"/>
  <c r="AN12" i="8"/>
  <c r="AP12" i="8" s="1"/>
  <c r="AN11" i="8" l="1"/>
  <c r="AP11" i="8" s="1"/>
  <c r="AN10" i="8"/>
  <c r="AP10" i="8" s="1"/>
  <c r="AN9" i="8"/>
  <c r="AP9" i="8" s="1"/>
  <c r="AN8" i="8"/>
  <c r="AP8" i="8" s="1"/>
  <c r="AN7" i="8"/>
  <c r="AP7" i="8" s="1"/>
  <c r="AN6" i="8"/>
  <c r="AP6" i="8" s="1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F11" i="6" l="1"/>
  <c r="F10" i="6"/>
  <c r="AM3" i="8" l="1"/>
  <c r="AM1" i="8"/>
  <c r="AN20" i="8"/>
  <c r="AP20" i="8" s="1"/>
  <c r="AN19" i="8"/>
  <c r="AP19" i="8" s="1"/>
  <c r="AN18" i="8"/>
  <c r="AP18" i="8" s="1"/>
  <c r="AN17" i="8"/>
  <c r="AP17" i="8" s="1"/>
  <c r="AN16" i="8"/>
  <c r="AP16" i="8" s="1"/>
  <c r="AP21" i="8" l="1"/>
  <c r="F6" i="6" s="1"/>
  <c r="AN15" i="8"/>
  <c r="AP15" i="8"/>
  <c r="AN21" i="8"/>
  <c r="E50" i="7"/>
  <c r="K50" i="7" s="1"/>
  <c r="E49" i="7"/>
  <c r="K49" i="7" s="1"/>
  <c r="E48" i="7"/>
  <c r="K48" i="7" s="1"/>
  <c r="E47" i="7"/>
  <c r="K47" i="7" s="1"/>
  <c r="E46" i="7"/>
  <c r="K46" i="7" s="1"/>
  <c r="E45" i="7"/>
  <c r="K45" i="7" s="1"/>
  <c r="E44" i="7"/>
  <c r="K44" i="7" s="1"/>
  <c r="E43" i="7"/>
  <c r="K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E32" i="7"/>
  <c r="K32" i="7" s="1"/>
  <c r="E30" i="7"/>
  <c r="E29" i="7"/>
  <c r="K29" i="7" s="1"/>
  <c r="E28" i="7"/>
  <c r="J27" i="7"/>
  <c r="J26" i="7"/>
  <c r="J25" i="7"/>
  <c r="K25" i="7" s="1"/>
  <c r="J24" i="7"/>
  <c r="K24" i="7" s="1"/>
  <c r="J23" i="7"/>
  <c r="J22" i="7"/>
  <c r="J21" i="7"/>
  <c r="K21" i="7" s="1"/>
  <c r="J20" i="7"/>
  <c r="J19" i="7"/>
  <c r="J18" i="7"/>
  <c r="K18" i="7" s="1"/>
  <c r="J17" i="7"/>
  <c r="J7" i="7"/>
  <c r="J6" i="7"/>
  <c r="J5" i="7"/>
  <c r="A2" i="7"/>
  <c r="K23" i="7"/>
  <c r="A1" i="6"/>
  <c r="L2" i="6"/>
  <c r="AN22" i="8" l="1"/>
  <c r="K26" i="7"/>
  <c r="K36" i="7"/>
  <c r="K37" i="7"/>
  <c r="K40" i="7"/>
  <c r="K41" i="7"/>
  <c r="K42" i="7"/>
  <c r="K38" i="7"/>
  <c r="K39" i="7"/>
  <c r="K28" i="7"/>
  <c r="K30" i="7"/>
  <c r="K35" i="7"/>
  <c r="K7" i="7"/>
  <c r="AP22" i="8"/>
  <c r="AO15" i="8"/>
  <c r="F7" i="6" s="1"/>
  <c r="H7" i="6" s="1"/>
  <c r="I7" i="6" s="1"/>
  <c r="K6" i="7"/>
  <c r="K22" i="7"/>
  <c r="K5" i="7"/>
  <c r="K19" i="7"/>
  <c r="K27" i="7"/>
  <c r="K17" i="7"/>
  <c r="K20" i="7"/>
  <c r="F20" i="6"/>
  <c r="H19" i="6"/>
  <c r="I19" i="6" s="1"/>
  <c r="H17" i="6"/>
  <c r="I17" i="6" s="1"/>
  <c r="H16" i="6"/>
  <c r="I16" i="6" s="1"/>
  <c r="H15" i="6"/>
  <c r="I15" i="6" s="1"/>
  <c r="F12" i="6"/>
  <c r="H6" i="6"/>
  <c r="I6" i="6" s="1"/>
  <c r="AO22" i="8" l="1"/>
  <c r="F9" i="6"/>
  <c r="H20" i="6"/>
  <c r="I20" i="6" s="1"/>
  <c r="L20" i="6" s="1"/>
  <c r="F5" i="6"/>
  <c r="F4" i="6"/>
  <c r="K51" i="7"/>
  <c r="J51" i="7"/>
  <c r="H11" i="6"/>
  <c r="I11" i="6" s="1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H5" i="6"/>
  <c r="I5" i="6" s="1"/>
  <c r="H9" i="6"/>
  <c r="F13" i="6"/>
  <c r="H13" i="6" s="1"/>
  <c r="I13" i="6" s="1"/>
  <c r="H4" i="6"/>
  <c r="I4" i="6" s="1"/>
  <c r="F13" i="5"/>
  <c r="F15" i="5" s="1"/>
  <c r="D14" i="2"/>
  <c r="D12" i="2"/>
  <c r="D11" i="2"/>
  <c r="D10" i="2"/>
  <c r="D9" i="2"/>
  <c r="D7" i="2"/>
  <c r="F14" i="6" l="1"/>
  <c r="H14" i="6" s="1"/>
  <c r="I14" i="6" s="1"/>
  <c r="F18" i="6" l="1"/>
  <c r="F21" i="6" s="1"/>
  <c r="F22" i="6" l="1"/>
  <c r="H21" i="6"/>
  <c r="I21" i="6" s="1"/>
  <c r="H18" i="6"/>
  <c r="I18" i="6" s="1"/>
  <c r="H22" i="6" l="1"/>
  <c r="I22" i="6" s="1"/>
  <c r="E5" i="2" s="1"/>
  <c r="D5" i="2" s="1"/>
  <c r="E8" i="2"/>
  <c r="I9" i="6"/>
  <c r="E13" i="2" l="1"/>
  <c r="E6" i="2" s="1"/>
  <c r="D6" i="2" s="1"/>
  <c r="D8" i="2"/>
  <c r="D13" i="2"/>
  <c r="M50" i="7" l="1"/>
  <c r="G50" i="7"/>
  <c r="L7" i="7"/>
  <c r="F7" i="7" s="1"/>
  <c r="M47" i="7"/>
  <c r="G47" i="7"/>
  <c r="L50" i="7"/>
  <c r="F50" i="7"/>
  <c r="M7" i="7"/>
  <c r="G7" i="7"/>
  <c r="M48" i="7"/>
  <c r="G48" i="7"/>
  <c r="M46" i="7"/>
  <c r="G46" i="7" s="1"/>
  <c r="L45" i="7"/>
  <c r="F45" i="7" s="1"/>
  <c r="L6" i="7"/>
  <c r="F6" i="7"/>
  <c r="L47" i="7"/>
  <c r="F47" i="7"/>
  <c r="M45" i="7"/>
  <c r="G45" i="7"/>
  <c r="L49" i="7"/>
  <c r="F49" i="7" s="1"/>
  <c r="L46" i="7"/>
  <c r="F46" i="7"/>
  <c r="L48" i="7"/>
  <c r="F48" i="7" s="1"/>
  <c r="M49" i="7"/>
  <c r="G49" i="7" s="1"/>
  <c r="M6" i="7"/>
  <c r="G6" i="7" s="1"/>
  <c r="L5" i="7"/>
  <c r="F5" i="7"/>
  <c r="M5" i="7"/>
  <c r="G5" i="7"/>
  <c r="M14" i="7"/>
  <c r="G14" i="7"/>
  <c r="L11" i="7"/>
  <c r="F11" i="7"/>
  <c r="M36" i="7"/>
  <c r="G36" i="7" s="1"/>
  <c r="M20" i="7"/>
  <c r="G20" i="7" s="1"/>
  <c r="L25" i="7"/>
  <c r="F25" i="7" s="1"/>
  <c r="M39" i="7"/>
  <c r="G39" i="7" s="1"/>
  <c r="M29" i="7"/>
  <c r="G29" i="7"/>
  <c r="M44" i="7"/>
  <c r="G44" i="7"/>
  <c r="L34" i="7"/>
  <c r="F34" i="7" s="1"/>
  <c r="L30" i="7"/>
  <c r="F30" i="7"/>
  <c r="M17" i="7"/>
  <c r="G17" i="7"/>
  <c r="M28" i="7"/>
  <c r="G28" i="7"/>
  <c r="L36" i="7"/>
  <c r="F36" i="7"/>
  <c r="M19" i="7"/>
  <c r="G19" i="7"/>
  <c r="M11" i="7"/>
  <c r="G11" i="7" s="1"/>
  <c r="L39" i="7"/>
  <c r="F39" i="7"/>
  <c r="M27" i="7"/>
  <c r="G27" i="7"/>
  <c r="L38" i="7"/>
  <c r="F38" i="7" s="1"/>
  <c r="L10" i="7"/>
  <c r="F10" i="7"/>
  <c r="M41" i="7"/>
  <c r="G41" i="7"/>
  <c r="M30" i="7"/>
  <c r="G30" i="7" s="1"/>
  <c r="L26" i="7"/>
  <c r="F26" i="7" s="1"/>
  <c r="L17" i="7"/>
  <c r="F17" i="7"/>
  <c r="L44" i="7"/>
  <c r="F44" i="7"/>
  <c r="L33" i="7"/>
  <c r="F33" i="7" s="1"/>
  <c r="L15" i="7"/>
  <c r="F15" i="7"/>
  <c r="M16" i="7"/>
  <c r="G16" i="7" s="1"/>
  <c r="M32" i="7"/>
  <c r="G32" i="7"/>
  <c r="L22" i="7"/>
  <c r="F22" i="7"/>
  <c r="L27" i="7"/>
  <c r="F27" i="7"/>
  <c r="L37" i="7"/>
  <c r="F37" i="7" s="1"/>
  <c r="M13" i="7"/>
  <c r="G13" i="7" s="1"/>
  <c r="M25" i="7"/>
  <c r="G25" i="7" s="1"/>
  <c r="M42" i="7"/>
  <c r="G42" i="7"/>
  <c r="M21" i="7"/>
  <c r="G21" i="7" s="1"/>
  <c r="L20" i="7"/>
  <c r="F20" i="7"/>
  <c r="L41" i="7"/>
  <c r="F41" i="7"/>
  <c r="M23" i="7"/>
  <c r="G23" i="7"/>
  <c r="L13" i="7"/>
  <c r="F13" i="7" s="1"/>
  <c r="M35" i="7"/>
  <c r="G35" i="7" s="1"/>
  <c r="L43" i="7"/>
  <c r="F43" i="7"/>
  <c r="L40" i="7"/>
  <c r="F40" i="7" s="1"/>
  <c r="H51" i="7"/>
  <c r="L32" i="7"/>
  <c r="F32" i="7"/>
  <c r="L21" i="7"/>
  <c r="F21" i="7" s="1"/>
  <c r="L9" i="7"/>
  <c r="F9" i="7" s="1"/>
  <c r="L29" i="7"/>
  <c r="F29" i="7"/>
  <c r="L28" i="7"/>
  <c r="F28" i="7"/>
  <c r="M9" i="7"/>
  <c r="G9" i="7" s="1"/>
  <c r="M43" i="7"/>
  <c r="G43" i="7"/>
  <c r="M40" i="7"/>
  <c r="G40" i="7"/>
  <c r="L24" i="7"/>
  <c r="F24" i="7"/>
  <c r="L18" i="7"/>
  <c r="F18" i="7"/>
  <c r="L19" i="7"/>
  <c r="F19" i="7"/>
  <c r="M18" i="7"/>
  <c r="G18" i="7" s="1"/>
  <c r="M15" i="7"/>
  <c r="G15" i="7"/>
  <c r="M38" i="7"/>
  <c r="G38" i="7"/>
  <c r="L31" i="7"/>
  <c r="F31" i="7" s="1"/>
  <c r="M10" i="7"/>
  <c r="G10" i="7"/>
  <c r="M24" i="7"/>
  <c r="G24" i="7"/>
  <c r="M37" i="7"/>
  <c r="G37" i="7" s="1"/>
  <c r="I51" i="7"/>
  <c r="L14" i="7"/>
  <c r="F14" i="7"/>
  <c r="L35" i="7"/>
  <c r="F35" i="7" s="1"/>
  <c r="L16" i="7"/>
  <c r="F16" i="7" s="1"/>
  <c r="L42" i="7"/>
  <c r="F42" i="7" s="1"/>
  <c r="M33" i="7"/>
  <c r="G33" i="7"/>
  <c r="M12" i="7"/>
  <c r="G12" i="7"/>
  <c r="L23" i="7"/>
  <c r="F23" i="7"/>
  <c r="M22" i="7"/>
  <c r="G22" i="7" s="1"/>
  <c r="M26" i="7"/>
  <c r="G26" i="7" s="1"/>
  <c r="L12" i="7"/>
  <c r="F12" i="7" s="1"/>
  <c r="M34" i="7"/>
  <c r="G34" i="7" s="1"/>
  <c r="M31" i="7"/>
  <c r="G31" i="7" s="1"/>
  <c r="L8" i="7"/>
  <c r="F8" i="7"/>
  <c r="M8" i="7"/>
  <c r="G8" i="7"/>
  <c r="L51" i="7" l="1"/>
  <c r="M51" i="7"/>
  <c r="G51" i="7"/>
  <c r="F5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김영광</author>
  </authors>
  <commentList>
    <comment ref="H8" authorId="0" shapeId="0" xr:uid="{046CF6CF-E596-46A4-A253-9F6C092FA68F}">
      <text>
        <r>
          <rPr>
            <b/>
            <sz val="9"/>
            <color indexed="81"/>
            <rFont val="돋움"/>
            <family val="3"/>
            <charset val="129"/>
          </rPr>
          <t>태성귀책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인치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차감
</t>
        </r>
      </text>
    </comment>
  </commentList>
</comments>
</file>

<file path=xl/sharedStrings.xml><?xml version="1.0" encoding="utf-8"?>
<sst xmlns="http://schemas.openxmlformats.org/spreadsheetml/2006/main" count="558" uniqueCount="339">
  <si>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</si>
  <si>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</si>
  <si>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</si>
  <si>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</si>
  <si>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</si>
  <si>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</si>
  <si>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</si>
  <si>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</si>
  <si>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</si>
  <si>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</si>
  <si>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</si>
  <si>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</si>
  <si>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</si>
  <si>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</si>
  <si>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</si>
  <si>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</si>
  <si>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</si>
  <si>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</si>
  <si>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</si>
  <si>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</si>
  <si>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</si>
  <si>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</si>
  <si>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</si>
  <si>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</si>
  <si>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</si>
  <si>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</si>
  <si>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</si>
  <si>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</si>
  <si>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</si>
  <si>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</si>
  <si>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</si>
  <si>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</si>
  <si>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</si>
  <si>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</si>
  <si>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</si>
  <si>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</si>
  <si>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</si>
  <si>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</si>
  <si>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</si>
  <si>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</si>
  <si>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</si>
  <si>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</si>
  <si>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</si>
  <si>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</si>
  <si>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</si>
  <si>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</si>
  <si>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</si>
  <si>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</si>
  <si>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</si>
  <si>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</si>
  <si>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</si>
  <si>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</si>
  <si>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</si>
  <si>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</si>
  <si>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</si>
  <si>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</si>
  <si>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</si>
  <si>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</si>
  <si>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</si>
  <si>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</si>
  <si>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</si>
  <si>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</si>
  <si>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</si>
  <si>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</si>
  <si>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</si>
  <si>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</si>
  <si>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</si>
  <si>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</si>
  <si>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</si>
  <si>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</si>
  <si>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</si>
  <si>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</si>
  <si>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</si>
  <si>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</si>
  <si>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</si>
  <si>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</si>
  <si>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</si>
  <si>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</si>
  <si>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</si>
  <si>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</si>
  <si>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</si>
  <si>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</si>
  <si>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</si>
  <si>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</si>
  <si>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</si>
  <si>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</si>
  <si>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</si>
  <si>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</si>
  <si>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</si>
  <si>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</si>
  <si>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</si>
  <si>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</si>
  <si>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</si>
  <si>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</si>
  <si>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</si>
  <si>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</si>
  <si>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</si>
  <si>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</si>
  <si>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</si>
  <si>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</si>
  <si>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</si>
  <si>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</si>
  <si>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</si>
  <si>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</si>
  <si>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</si>
  <si>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</si>
  <si>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</si>
  <si>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</si>
  <si>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</si>
  <si>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</si>
  <si>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</si>
  <si>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</si>
  <si>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</si>
  <si>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</si>
  <si>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</si>
  <si>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</si>
  <si>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</si>
  <si>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</si>
  <si>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</si>
  <si>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</si>
  <si>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</si>
  <si>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</si>
  <si>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</si>
  <si>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</si>
  <si>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</si>
  <si>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</si>
  <si>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</si>
  <si>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</si>
  <si>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</si>
  <si>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</si>
  <si>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</si>
  <si>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</si>
  <si>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</si>
  <si>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</si>
  <si>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</si>
  <si>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</si>
  <si>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</si>
  <si>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</si>
  <si>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</si>
  <si>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</si>
  <si>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</si>
  <si>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</si>
  <si>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</si>
  <si>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</si>
  <si>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</si>
  <si>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</si>
  <si>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</si>
  <si>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</si>
  <si>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</si>
  <si>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</si>
  <si>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</si>
  <si>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</si>
  <si>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</si>
  <si>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</si>
  <si>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</si>
  <si>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</si>
  <si>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</si>
  <si>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</si>
  <si>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</si>
  <si>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</si>
  <si>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</si>
  <si>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</si>
  <si>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</si>
  <si>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</si>
  <si>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</si>
  <si>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</si>
  <si>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</si>
  <si>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</si>
  <si>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</si>
  <si>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</si>
  <si>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</si>
  <si>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</si>
  <si>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</si>
  <si>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</si>
  <si>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</si>
  <si>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</si>
  <si>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</si>
  <si>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</si>
  <si>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</si>
  <si>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</si>
  <si>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</si>
  <si>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</si>
  <si>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</si>
  <si>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</si>
  <si>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</si>
  <si>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</si>
  <si>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</si>
  <si>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</si>
  <si>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</si>
  <si>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</si>
  <si>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</si>
  <si>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</si>
  <si>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</si>
  <si>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</si>
  <si>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</si>
  <si>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</si>
  <si>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</si>
  <si>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</si>
  <si>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</si>
  <si>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</si>
  <si>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</si>
  <si>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</si>
  <si>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</si>
  <si>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</si>
  <si>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</si>
  <si>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</si>
  <si>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</si>
  <si>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</si>
  <si>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</si>
  <si>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</si>
  <si>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</si>
  <si>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</si>
  <si>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</si>
  <si>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</si>
  <si>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</si>
  <si>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</si>
  <si>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</si>
  <si>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</si>
  <si>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</si>
  <si>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</si>
  <si>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</si>
  <si>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</si>
  <si>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</si>
  <si>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</si>
  <si>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</si>
  <si>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</si>
  <si>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</si>
  <si>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</si>
  <si>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</si>
  <si>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</si>
  <si>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</si>
  <si>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</si>
  <si>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</si>
  <si>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</si>
  <si>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</si>
  <si>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</si>
  <si>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</si>
  <si>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</si>
  <si>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</si>
  <si>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</si>
  <si>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</si>
  <si>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</si>
  <si>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</si>
  <si>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</si>
  <si>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</si>
  <si>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</si>
  <si>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</si>
  <si>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</si>
  <si>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</si>
  <si>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</si>
  <si>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</si>
  <si>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</si>
  <si>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</si>
  <si>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</si>
  <si>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</si>
  <si>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</si>
  <si>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</si>
  <si>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</si>
  <si>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</si>
  <si>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</si>
  <si>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</si>
  <si>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</si>
  <si>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</si>
  <si>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</si>
  <si>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</si>
  <si>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</si>
  <si>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</si>
  <si>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</si>
  <si>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</si>
  <si>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</si>
  <si>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</si>
  <si>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</si>
  <si>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</si>
  <si>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</si>
  <si>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</si>
  <si>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</si>
  <si>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</si>
  <si>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</si>
  <si>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</si>
  <si>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</si>
  <si>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</si>
  <si>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</si>
  <si>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</si>
  <si>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</si>
  <si>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</si>
  <si>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</si>
  <si>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</si>
  <si>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</si>
  <si>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</si>
  <si>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</si>
  <si>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</si>
  <si>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S25-004</t>
    <phoneticPr fontId="5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</si>
  <si>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</si>
  <si>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</si>
  <si>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</si>
  <si>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</si>
  <si>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</si>
  <si>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</si>
  <si>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</si>
  <si>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</si>
  <si>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배관 기자재</t>
    <phoneticPr fontId="5" type="noConversion"/>
  </si>
  <si>
    <t>장규철</t>
    <phoneticPr fontId="3" type="noConversion"/>
  </si>
  <si>
    <t>㈜태성하이텍</t>
    <phoneticPr fontId="5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</si>
  <si>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</si>
  <si>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</si>
  <si>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</si>
  <si>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</si>
  <si>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■ 구분은 [사무용품, 소모품비, 법인카드] 이외 항목은 입력금지</t>
    <phoneticPr fontId="5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</si>
  <si>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</si>
  <si>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</si>
  <si>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</si>
  <si>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</si>
  <si>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</si>
  <si>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</si>
  <si>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</si>
  <si>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7" type="noConversion"/>
  </si>
  <si>
    <t>수 량</t>
    <phoneticPr fontId="5" type="noConversion"/>
  </si>
  <si>
    <t>금  액</t>
    <phoneticPr fontId="5" type="noConversion"/>
  </si>
  <si>
    <t>고급기술인</t>
  </si>
  <si>
    <t/>
  </si>
  <si>
    <t>초급기술인</t>
    <phoneticPr fontId="3" type="noConversion"/>
  </si>
  <si>
    <t>총   계</t>
    <phoneticPr fontId="5" type="noConversion"/>
  </si>
  <si>
    <t>KC대납 임대료</t>
  </si>
  <si>
    <t>201호</t>
    <phoneticPr fontId="5" type="noConversion"/>
  </si>
  <si>
    <t xml:space="preserve">  함박산2길 32-2</t>
  </si>
  <si>
    <t>숙소전기요금(7월)</t>
    <phoneticPr fontId="5" type="noConversion"/>
  </si>
  <si>
    <t>숙소도시가스(7월)</t>
    <phoneticPr fontId="5" type="noConversion"/>
  </si>
  <si>
    <t>숙소수도요금(7월)</t>
    <phoneticPr fontId="5" type="noConversion"/>
  </si>
  <si>
    <t>2026년 09월</t>
    <phoneticPr fontId="5" type="noConversion"/>
  </si>
  <si>
    <t>작 성 일 :   2026  년  09 월   30 일</t>
    <phoneticPr fontId="9" type="noConversion"/>
  </si>
  <si>
    <t>2026. 09. 01 ~ 2026. 09. 30</t>
    <phoneticPr fontId="3" type="noConversion"/>
  </si>
  <si>
    <t>2026년 (    09   )월 일용 노무비명세서</t>
    <phoneticPr fontId="3" type="noConversion"/>
  </si>
  <si>
    <t>2026년 (09)월 물량 내역서</t>
    <phoneticPr fontId="3" type="noConversion"/>
  </si>
  <si>
    <t xml:space="preserve">숙소임대료(9월분) </t>
    <phoneticPr fontId="5" type="noConversion"/>
  </si>
  <si>
    <t>KC 대납_9/10만기퇴실 일할계산</t>
    <phoneticPr fontId="5" type="noConversion"/>
  </si>
  <si>
    <t>퇴실정산</t>
    <phoneticPr fontId="5" type="noConversion"/>
  </si>
  <si>
    <t>청소비</t>
    <phoneticPr fontId="5" type="noConversion"/>
  </si>
  <si>
    <t>도배 5면</t>
    <phoneticPr fontId="5" type="noConversion"/>
  </si>
  <si>
    <t>벽파손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</si>
</sst>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_ "/>
    <numFmt numFmtId="187" formatCode="#,##0.0000_ "/>
    <numFmt numFmtId="188" formatCode="_-* #,##0_-;&quot;₩&quot;\!\-* #,##0_-;_-* &quot;-&quot;_-;_-@_-"/>
    <numFmt numFmtId="189" formatCode="_-* #,##0.0_-;\-* #,##0.0_-;_-* &quot;-&quot;_-;_-@_-"/>
  </numFmts>
  <fonts count="63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0" fillId="0" borderId="0"/>
    <xf numFmtId="41" fontId="1" fillId="0" borderId="0" applyFont="0" applyFill="0" applyBorder="0" applyAlignment="0" applyProtection="0"/>
    <xf numFmtId="0" fontId="55" fillId="0" borderId="0"/>
    <xf numFmtId="0" fontId="61" fillId="0" borderId="0">
      <alignment vertical="center"/>
    </xf>
    <xf numFmtId="187" fontId="1" fillId="0" borderId="0" applyFont="0" applyFill="0" applyBorder="0" applyAlignment="0" applyProtection="0"/>
  </cellStyleXfs>
  <cellXfs count="349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6" fillId="2" borderId="45" xfId="6" applyNumberFormat="1" applyFont="1" applyFill="1" applyBorder="1" applyAlignment="1">
      <alignment horizontal="center" vertical="center" shrinkToFit="1"/>
    </xf>
    <xf numFmtId="185" fontId="36" fillId="2" borderId="43" xfId="6" applyNumberFormat="1" applyFont="1" applyFill="1" applyBorder="1" applyAlignment="1">
      <alignment horizontal="center" vertical="center" shrinkToFit="1"/>
    </xf>
    <xf numFmtId="185" fontId="36" fillId="2" borderId="42" xfId="6" applyNumberFormat="1" applyFont="1" applyFill="1" applyBorder="1" applyAlignment="1">
      <alignment horizontal="center" vertical="center" shrinkToFit="1"/>
    </xf>
    <xf numFmtId="41" fontId="36" fillId="2" borderId="43" xfId="6" applyFont="1" applyFill="1" applyBorder="1" applyAlignment="1">
      <alignment horizontal="center" vertical="center" shrinkToFit="1"/>
    </xf>
    <xf numFmtId="41" fontId="36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1" fillId="9" borderId="9" xfId="0" applyNumberFormat="1" applyFont="1" applyFill="1" applyBorder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43" fontId="45" fillId="10" borderId="9" xfId="0" applyNumberFormat="1" applyFont="1" applyFill="1" applyBorder="1" applyAlignment="1">
      <alignment horizontal="center" vertical="center"/>
    </xf>
    <xf numFmtId="41" fontId="46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4" fillId="0" borderId="0" xfId="3" applyFont="1" applyAlignment="1">
      <alignment vertical="center"/>
    </xf>
    <xf numFmtId="0" fontId="48" fillId="0" borderId="0" xfId="3" applyFont="1" applyAlignment="1">
      <alignment vertical="center"/>
    </xf>
    <xf numFmtId="0" fontId="45" fillId="0" borderId="9" xfId="3" applyFont="1" applyBorder="1" applyAlignment="1">
      <alignment horizontal="center" vertical="center"/>
    </xf>
    <xf numFmtId="14" fontId="45" fillId="0" borderId="9" xfId="3" applyNumberFormat="1" applyFont="1" applyBorder="1" applyAlignment="1">
      <alignment horizontal="center" vertical="center"/>
    </xf>
    <xf numFmtId="182" fontId="45" fillId="0" borderId="9" xfId="3" applyNumberFormat="1" applyFont="1" applyBorder="1" applyAlignment="1">
      <alignment horizontal="center" vertical="center"/>
    </xf>
    <xf numFmtId="41" fontId="45" fillId="0" borderId="9" xfId="3" applyNumberFormat="1" applyFont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5" fillId="0" borderId="0" xfId="3" applyFont="1"/>
    <xf numFmtId="0" fontId="45" fillId="0" borderId="0" xfId="3" applyFont="1" applyAlignment="1">
      <alignment horizontal="center"/>
    </xf>
    <xf numFmtId="182" fontId="45" fillId="0" borderId="0" xfId="3" applyNumberFormat="1" applyFont="1" applyAlignment="1">
      <alignment horizontal="center" vertical="center"/>
    </xf>
    <xf numFmtId="41" fontId="45" fillId="0" borderId="0" xfId="3" applyNumberFormat="1" applyFont="1" applyAlignment="1">
      <alignment horizontal="center" vertical="center"/>
    </xf>
    <xf numFmtId="0" fontId="49" fillId="12" borderId="9" xfId="0" applyFont="1" applyFill="1" applyBorder="1" applyAlignment="1">
      <alignment horizontal="center" vertical="center"/>
    </xf>
    <xf numFmtId="14" fontId="45" fillId="12" borderId="9" xfId="0" applyNumberFormat="1" applyFont="1" applyFill="1" applyBorder="1" applyAlignment="1">
      <alignment horizontal="center" vertical="center"/>
    </xf>
    <xf numFmtId="14" fontId="45" fillId="0" borderId="9" xfId="0" applyNumberFormat="1" applyFont="1" applyBorder="1" applyAlignment="1">
      <alignment horizontal="center" vertical="center"/>
    </xf>
    <xf numFmtId="49" fontId="45" fillId="0" borderId="9" xfId="0" applyNumberFormat="1" applyFont="1" applyBorder="1" applyAlignment="1">
      <alignment horizontal="center" vertical="center"/>
    </xf>
    <xf numFmtId="186" fontId="45" fillId="0" borderId="9" xfId="0" applyNumberFormat="1" applyFont="1" applyBorder="1" applyAlignment="1">
      <alignment horizontal="center" vertical="center"/>
    </xf>
    <xf numFmtId="41" fontId="45" fillId="0" borderId="9" xfId="0" applyNumberFormat="1" applyFont="1" applyBorder="1" applyAlignment="1">
      <alignment horizontal="center" vertical="center"/>
    </xf>
    <xf numFmtId="0" fontId="45" fillId="12" borderId="9" xfId="0" applyFont="1" applyFill="1" applyBorder="1" applyAlignment="1">
      <alignment horizontal="center" vertical="center"/>
    </xf>
    <xf numFmtId="0" fontId="51" fillId="0" borderId="9" xfId="0" applyFont="1" applyBorder="1" applyAlignment="1">
      <alignment horizontal="center" vertical="center" wrapText="1"/>
    </xf>
    <xf numFmtId="41" fontId="45" fillId="12" borderId="10" xfId="14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3" fontId="23" fillId="0" borderId="0" xfId="0" applyNumberFormat="1" applyFont="1">
      <alignment vertical="center"/>
    </xf>
    <xf numFmtId="0" fontId="48" fillId="0" borderId="0" xfId="0" applyFont="1">
      <alignment vertical="center"/>
    </xf>
    <xf numFmtId="0" fontId="0" fillId="0" borderId="0" xfId="0" applyAlignment="1"/>
    <xf numFmtId="0" fontId="13" fillId="0" borderId="9" xfId="0" applyFont="1" applyBorder="1">
      <alignment vertical="center"/>
    </xf>
    <xf numFmtId="14" fontId="13" fillId="0" borderId="9" xfId="0" applyNumberFormat="1" applyFont="1" applyBorder="1" applyAlignment="1">
      <alignment horizontal="center" vertical="center"/>
    </xf>
    <xf numFmtId="41" fontId="23" fillId="0" borderId="0" xfId="0" applyNumberFormat="1" applyFont="1">
      <alignment vertical="center"/>
    </xf>
    <xf numFmtId="41" fontId="13" fillId="0" borderId="9" xfId="14" applyFont="1" applyBorder="1" applyAlignment="1">
      <alignment horizontal="center" vertical="center"/>
    </xf>
    <xf numFmtId="41" fontId="13" fillId="0" borderId="9" xfId="0" applyNumberFormat="1" applyFont="1" applyBorder="1">
      <alignment vertical="center"/>
    </xf>
    <xf numFmtId="43" fontId="0" fillId="0" borderId="0" xfId="0" applyNumberFormat="1">
      <alignment vertical="center"/>
    </xf>
    <xf numFmtId="182" fontId="14" fillId="5" borderId="43" xfId="0" applyNumberFormat="1" applyFont="1" applyFill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41" fontId="53" fillId="2" borderId="0" xfId="2" applyNumberFormat="1" applyFont="1" applyFill="1">
      <alignment vertical="center"/>
    </xf>
    <xf numFmtId="0" fontId="53" fillId="0" borderId="0" xfId="2" quotePrefix="1" applyFont="1">
      <alignment vertical="center"/>
    </xf>
    <xf numFmtId="0" fontId="54" fillId="0" borderId="0" xfId="2" quotePrefix="1" applyFont="1">
      <alignment vertical="center"/>
    </xf>
    <xf numFmtId="0" fontId="54" fillId="0" borderId="0" xfId="2" applyFont="1" applyAlignment="1">
      <alignment horizontal="right" vertical="center"/>
    </xf>
    <xf numFmtId="41" fontId="53" fillId="13" borderId="9" xfId="4" applyFont="1" applyFill="1" applyBorder="1" applyAlignment="1">
      <alignment horizontal="center" vertical="center"/>
    </xf>
    <xf numFmtId="41" fontId="58" fillId="0" borderId="17" xfId="2" applyNumberFormat="1" applyFont="1" applyBorder="1" applyAlignment="1">
      <alignment horizontal="center" vertical="center"/>
    </xf>
    <xf numFmtId="0" fontId="58" fillId="0" borderId="9" xfId="2" applyFont="1" applyBorder="1" applyAlignment="1">
      <alignment horizontal="center" vertical="center"/>
    </xf>
    <xf numFmtId="41" fontId="58" fillId="0" borderId="9" xfId="10" applyFont="1" applyBorder="1" applyAlignment="1">
      <alignment horizontal="center" vertical="center"/>
    </xf>
    <xf numFmtId="41" fontId="58" fillId="0" borderId="9" xfId="4" applyFont="1" applyFill="1" applyBorder="1" applyAlignment="1">
      <alignment vertical="center" shrinkToFit="1"/>
    </xf>
    <xf numFmtId="184" fontId="59" fillId="0" borderId="18" xfId="2" applyNumberFormat="1" applyFont="1" applyBorder="1" applyAlignment="1">
      <alignment vertical="center" shrinkToFit="1"/>
    </xf>
    <xf numFmtId="184" fontId="59" fillId="0" borderId="18" xfId="2" quotePrefix="1" applyNumberFormat="1" applyFont="1" applyBorder="1" applyAlignment="1">
      <alignment vertical="center" shrinkToFit="1"/>
    </xf>
    <xf numFmtId="184" fontId="60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60" fillId="0" borderId="18" xfId="2" applyFont="1" applyBorder="1">
      <alignment vertical="center"/>
    </xf>
    <xf numFmtId="0" fontId="58" fillId="0" borderId="17" xfId="16" applyFont="1" applyBorder="1" applyAlignment="1">
      <alignment horizontal="left" vertical="center" wrapText="1"/>
    </xf>
    <xf numFmtId="0" fontId="58" fillId="0" borderId="9" xfId="16" applyFont="1" applyBorder="1" applyAlignment="1">
      <alignment horizontal="center" vertical="center"/>
    </xf>
    <xf numFmtId="0" fontId="58" fillId="0" borderId="17" xfId="16" applyFont="1" applyBorder="1" applyAlignment="1">
      <alignment horizontal="center" vertical="center" wrapText="1"/>
    </xf>
    <xf numFmtId="188" fontId="58" fillId="0" borderId="9" xfId="17" applyNumberFormat="1" applyFont="1" applyFill="1" applyBorder="1" applyAlignment="1">
      <alignment horizontal="center" vertical="center"/>
    </xf>
    <xf numFmtId="0" fontId="62" fillId="0" borderId="17" xfId="2" applyFont="1" applyBorder="1" applyAlignment="1">
      <alignment horizontal="left" vertical="center"/>
    </xf>
    <xf numFmtId="0" fontId="62" fillId="0" borderId="9" xfId="2" applyFont="1" applyBorder="1" applyAlignment="1">
      <alignment horizontal="center" vertical="center" shrinkToFit="1"/>
    </xf>
    <xf numFmtId="41" fontId="62" fillId="0" borderId="9" xfId="4" applyFont="1" applyBorder="1" applyAlignment="1">
      <alignment horizontal="center" vertical="center"/>
    </xf>
    <xf numFmtId="0" fontId="62" fillId="0" borderId="19" xfId="2" applyFont="1" applyBorder="1" applyAlignment="1">
      <alignment horizontal="center" vertical="center"/>
    </xf>
    <xf numFmtId="0" fontId="58" fillId="0" borderId="20" xfId="2" applyFont="1" applyBorder="1" applyAlignment="1">
      <alignment horizontal="center" vertical="center" shrinkToFit="1"/>
    </xf>
    <xf numFmtId="0" fontId="58" fillId="0" borderId="20" xfId="2" applyFont="1" applyBorder="1" applyAlignment="1">
      <alignment horizontal="center" vertical="center"/>
    </xf>
    <xf numFmtId="41" fontId="58" fillId="0" borderId="20" xfId="2" applyNumberFormat="1" applyFont="1" applyBorder="1" applyAlignment="1">
      <alignment horizontal="center" vertical="center"/>
    </xf>
    <xf numFmtId="189" fontId="58" fillId="0" borderId="20" xfId="2" applyNumberFormat="1" applyFont="1" applyBorder="1" applyAlignment="1">
      <alignment horizontal="center" vertical="center"/>
    </xf>
    <xf numFmtId="41" fontId="58" fillId="0" borderId="20" xfId="2" applyNumberFormat="1" applyFont="1" applyBorder="1" applyAlignment="1">
      <alignment vertical="center" shrinkToFit="1"/>
    </xf>
    <xf numFmtId="0" fontId="60" fillId="0" borderId="21" xfId="2" applyFont="1" applyBorder="1">
      <alignment vertical="center"/>
    </xf>
    <xf numFmtId="0" fontId="59" fillId="0" borderId="31" xfId="2" applyFont="1" applyBorder="1" applyAlignment="1">
      <alignment horizontal="center" vertical="center"/>
    </xf>
    <xf numFmtId="0" fontId="60" fillId="0" borderId="37" xfId="2" applyFont="1" applyBorder="1" applyAlignment="1">
      <alignment horizontal="center" vertical="center" shrinkToFit="1"/>
    </xf>
    <xf numFmtId="0" fontId="60" fillId="0" borderId="31" xfId="2" applyFont="1" applyBorder="1" applyAlignment="1">
      <alignment horizontal="center" vertical="center"/>
    </xf>
    <xf numFmtId="41" fontId="60" fillId="0" borderId="31" xfId="2" applyNumberFormat="1" applyFont="1" applyBorder="1" applyAlignment="1">
      <alignment horizontal="center" vertical="center"/>
    </xf>
    <xf numFmtId="41" fontId="60" fillId="0" borderId="11" xfId="2" applyNumberFormat="1" applyFont="1" applyBorder="1">
      <alignment vertical="center"/>
    </xf>
    <xf numFmtId="41" fontId="60" fillId="0" borderId="11" xfId="2" applyNumberFormat="1" applyFont="1" applyBorder="1" applyAlignment="1">
      <alignment vertical="center" shrinkToFit="1"/>
    </xf>
    <xf numFmtId="0" fontId="60" fillId="0" borderId="11" xfId="2" applyFont="1" applyBorder="1">
      <alignment vertical="center"/>
    </xf>
    <xf numFmtId="0" fontId="59" fillId="0" borderId="10" xfId="2" applyFont="1" applyBorder="1" applyAlignment="1">
      <alignment horizontal="center" vertical="center"/>
    </xf>
    <xf numFmtId="0" fontId="60" fillId="0" borderId="34" xfId="2" applyFont="1" applyBorder="1" applyAlignment="1">
      <alignment horizontal="center" vertical="center" shrinkToFit="1"/>
    </xf>
    <xf numFmtId="0" fontId="60" fillId="0" borderId="10" xfId="2" applyFont="1" applyBorder="1" applyAlignment="1">
      <alignment horizontal="center" vertical="center"/>
    </xf>
    <xf numFmtId="41" fontId="60" fillId="0" borderId="10" xfId="2" applyNumberFormat="1" applyFont="1" applyBorder="1" applyAlignment="1">
      <alignment horizontal="center" vertical="center"/>
    </xf>
    <xf numFmtId="41" fontId="60" fillId="0" borderId="9" xfId="2" applyNumberFormat="1" applyFont="1" applyBorder="1">
      <alignment vertical="center"/>
    </xf>
    <xf numFmtId="41" fontId="60" fillId="0" borderId="9" xfId="2" applyNumberFormat="1" applyFont="1" applyBorder="1" applyAlignment="1">
      <alignment vertical="center" shrinkToFit="1"/>
    </xf>
    <xf numFmtId="0" fontId="60" fillId="0" borderId="9" xfId="2" applyFont="1" applyBorder="1">
      <alignment vertical="center"/>
    </xf>
    <xf numFmtId="0" fontId="59" fillId="0" borderId="9" xfId="2" applyFont="1" applyBorder="1" applyAlignment="1">
      <alignment horizontal="center" vertical="center"/>
    </xf>
    <xf numFmtId="0" fontId="60" fillId="0" borderId="12" xfId="2" applyFont="1" applyBorder="1" applyAlignment="1">
      <alignment horizontal="center" vertical="center" shrinkToFit="1"/>
    </xf>
    <xf numFmtId="0" fontId="60" fillId="0" borderId="9" xfId="2" applyFont="1" applyBorder="1" applyAlignment="1">
      <alignment horizontal="center" vertical="center"/>
    </xf>
    <xf numFmtId="41" fontId="60" fillId="0" borderId="9" xfId="2" applyNumberFormat="1" applyFont="1" applyBorder="1" applyAlignment="1">
      <alignment horizontal="center" vertical="center"/>
    </xf>
    <xf numFmtId="0" fontId="59" fillId="0" borderId="0" xfId="2" applyFont="1" applyAlignment="1">
      <alignment horizontal="center" vertical="center"/>
    </xf>
    <xf numFmtId="0" fontId="60" fillId="0" borderId="0" xfId="2" applyFont="1" applyAlignment="1">
      <alignment horizontal="center" vertical="center" shrinkToFit="1"/>
    </xf>
    <xf numFmtId="0" fontId="60" fillId="0" borderId="0" xfId="2" applyFont="1" applyAlignment="1">
      <alignment horizontal="center" vertical="center"/>
    </xf>
    <xf numFmtId="41" fontId="1" fillId="0" borderId="0" xfId="4" applyFont="1">
      <alignment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41" fontId="0" fillId="0" borderId="0" xfId="6" applyFont="1">
      <alignment vertical="center"/>
    </xf>
    <xf numFmtId="43" fontId="0" fillId="0" borderId="9" xfId="0" applyNumberFormat="1" applyBorder="1">
      <alignment vertical="center"/>
    </xf>
    <xf numFmtId="0" fontId="45" fillId="0" borderId="9" xfId="3" applyFont="1" applyBorder="1" applyAlignment="1">
      <alignment horizontal="center"/>
    </xf>
    <xf numFmtId="182" fontId="14" fillId="5" borderId="46" xfId="0" applyNumberFormat="1" applyFont="1" applyFill="1" applyBorder="1" applyAlignment="1">
      <alignment horizontal="center" vertical="center"/>
    </xf>
    <xf numFmtId="21" fontId="45" fillId="12" borderId="9" xfId="0" applyNumberFormat="1" applyFont="1" applyFill="1" applyBorder="1" applyAlignment="1">
      <alignment horizontal="center" vertical="center"/>
    </xf>
    <xf numFmtId="182" fontId="34" fillId="5" borderId="45" xfId="0" applyNumberFormat="1" applyFont="1" applyFill="1" applyBorder="1" applyAlignment="1">
      <alignment horizontal="center" vertical="center"/>
    </xf>
    <xf numFmtId="9" fontId="58" fillId="0" borderId="9" xfId="7" applyFont="1" applyFill="1" applyBorder="1" applyAlignment="1">
      <alignment horizontal="center" vertical="center" shrinkToFit="1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2" fillId="2" borderId="0" xfId="2" applyFont="1" applyFill="1" applyAlignment="1">
      <alignment horizontal="center" vertical="center"/>
    </xf>
    <xf numFmtId="184" fontId="53" fillId="13" borderId="14" xfId="2" applyNumberFormat="1" applyFont="1" applyFill="1" applyBorder="1" applyAlignment="1">
      <alignment horizontal="center" vertical="center"/>
    </xf>
    <xf numFmtId="184" fontId="53" fillId="13" borderId="17" xfId="2" applyNumberFormat="1" applyFont="1" applyFill="1" applyBorder="1" applyAlignment="1">
      <alignment horizontal="center" vertical="center"/>
    </xf>
    <xf numFmtId="184" fontId="53" fillId="13" borderId="15" xfId="2" applyNumberFormat="1" applyFont="1" applyFill="1" applyBorder="1" applyAlignment="1">
      <alignment horizontal="center" vertical="center"/>
    </xf>
    <xf numFmtId="184" fontId="53" fillId="13" borderId="9" xfId="2" applyNumberFormat="1" applyFont="1" applyFill="1" applyBorder="1" applyAlignment="1">
      <alignment horizontal="center" vertical="center"/>
    </xf>
    <xf numFmtId="41" fontId="53" fillId="13" borderId="15" xfId="4" applyFont="1" applyFill="1" applyBorder="1" applyAlignment="1">
      <alignment horizontal="center" vertical="center"/>
    </xf>
    <xf numFmtId="41" fontId="53" fillId="13" borderId="9" xfId="4" applyFont="1" applyFill="1" applyBorder="1" applyAlignment="1">
      <alignment horizontal="center" vertical="center"/>
    </xf>
    <xf numFmtId="41" fontId="56" fillId="13" borderId="16" xfId="15" applyNumberFormat="1" applyFont="1" applyFill="1" applyBorder="1" applyAlignment="1">
      <alignment horizontal="center" vertical="center" shrinkToFit="1"/>
    </xf>
    <xf numFmtId="41" fontId="56" fillId="13" borderId="18" xfId="15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6" fillId="2" borderId="50" xfId="6" applyNumberFormat="1" applyFont="1" applyFill="1" applyBorder="1" applyAlignment="1">
      <alignment horizontal="center" vertical="center"/>
    </xf>
    <xf numFmtId="0" fontId="36" fillId="2" borderId="51" xfId="6" applyNumberFormat="1" applyFont="1" applyFill="1" applyBorder="1" applyAlignment="1">
      <alignment horizontal="center" vertical="center"/>
    </xf>
    <xf numFmtId="0" fontId="36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47" fillId="0" borderId="12" xfId="3" applyFont="1" applyBorder="1" applyAlignment="1">
      <alignment horizontal="center" vertical="center"/>
    </xf>
    <xf numFmtId="0" fontId="47" fillId="0" borderId="27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5" fillId="10" borderId="9" xfId="3" applyFont="1" applyFill="1" applyBorder="1" applyAlignment="1">
      <alignment horizontal="center" vertical="center"/>
    </xf>
    <xf numFmtId="0" fontId="45" fillId="10" borderId="10" xfId="3" applyFont="1" applyFill="1" applyBorder="1" applyAlignment="1">
      <alignment horizontal="center" vertical="center"/>
    </xf>
    <xf numFmtId="0" fontId="45" fillId="10" borderId="11" xfId="3" applyFont="1" applyFill="1" applyBorder="1" applyAlignment="1">
      <alignment horizontal="center" vertical="center"/>
    </xf>
    <xf numFmtId="49" fontId="45" fillId="10" borderId="9" xfId="3" applyNumberFormat="1" applyFont="1" applyFill="1" applyBorder="1" applyAlignment="1">
      <alignment horizontal="center" vertical="center"/>
    </xf>
    <xf numFmtId="182" fontId="45" fillId="10" borderId="9" xfId="3" applyNumberFormat="1" applyFont="1" applyFill="1" applyBorder="1" applyAlignment="1">
      <alignment horizontal="center" vertical="center"/>
    </xf>
    <xf numFmtId="41" fontId="45" fillId="10" borderId="9" xfId="3" applyNumberFormat="1" applyFont="1" applyFill="1" applyBorder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0" fillId="0" borderId="9" xfId="0" applyFont="1" applyBorder="1" applyAlignment="1">
      <alignment horizontal="center" vertical="center"/>
    </xf>
    <xf numFmtId="0" fontId="45" fillId="10" borderId="9" xfId="0" applyFont="1" applyFill="1" applyBorder="1" applyAlignment="1">
      <alignment horizontal="center" vertical="center"/>
    </xf>
    <xf numFmtId="49" fontId="45" fillId="10" borderId="9" xfId="0" applyNumberFormat="1" applyFont="1" applyFill="1" applyBorder="1" applyAlignment="1">
      <alignment horizontal="center" vertical="center"/>
    </xf>
    <xf numFmtId="43" fontId="45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8">
    <cellStyle name="백분율" xfId="7" builtinId="5"/>
    <cellStyle name="백분율 2" xfId="5" xr:uid="{00000000-0005-0000-0000-000001000000}"/>
    <cellStyle name="쉼표 [0]" xfId="6" builtinId="6"/>
    <cellStyle name="쉼표 [0] 101 2 2 2 2" xfId="14" xr:uid="{6145D325-C665-49FA-BDDA-53FDCB20A261}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쉼표 [0]_태준제약 기성청구서(3회)050219" xfId="17" xr:uid="{484DD91E-DF06-4F8D-9F15-86140A7D630D}"/>
    <cellStyle name="통화 [0]" xfId="8" builtinId="7"/>
    <cellStyle name="표준" xfId="0" builtinId="0"/>
    <cellStyle name="표준 103" xfId="13" xr:uid="{67305F8B-30F3-4A96-92D5-15B1F8166364}"/>
    <cellStyle name="표준 2" xfId="3" xr:uid="{00000000-0005-0000-0000-000007000000}"/>
    <cellStyle name="표준 2 2" xfId="2" xr:uid="{00000000-0005-0000-0000-000008000000}"/>
    <cellStyle name="표준 2 3" xfId="16" xr:uid="{DC46E561-9842-4383-B625-7F00C5AAF1AE}"/>
    <cellStyle name="표준 4" xfId="11" xr:uid="{72A51C34-A30B-44FF-BE15-2AE28992F6DB}"/>
    <cellStyle name="표준_QF-0402-25_일용직_노무비명세서_V1.0(07.07.12) - 7월" xfId="9" xr:uid="{00000000-0005-0000-0000-000009000000}"/>
    <cellStyle name="표준_설계 변경 내역서-1" xfId="15" xr:uid="{EC15A06E-7EA5-4098-A48A-5847AD6DA932}"/>
    <cellStyle name="표준_외주기성청구서_기성금청구양식" xfId="1" xr:uid="{00000000-0005-0000-0000-00000A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  <xdr:twoCellAnchor editAs="oneCell">
    <xdr:from>
      <xdr:col>6</xdr:col>
      <xdr:colOff>341534</xdr:colOff>
      <xdr:row>0</xdr:row>
      <xdr:rowOff>425820</xdr:rowOff>
    </xdr:from>
    <xdr:to>
      <xdr:col>10</xdr:col>
      <xdr:colOff>942754</xdr:colOff>
      <xdr:row>4</xdr:row>
      <xdr:rowOff>222043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9F8D2A3-4DF9-4CE7-B761-EBAC3401E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005" y="425820"/>
          <a:ext cx="3694043" cy="1140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348103</xdr:colOff>
      <xdr:row>9</xdr:row>
      <xdr:rowOff>181659</xdr:rowOff>
    </xdr:from>
    <xdr:to>
      <xdr:col>10</xdr:col>
      <xdr:colOff>949323</xdr:colOff>
      <xdr:row>13</xdr:row>
      <xdr:rowOff>154376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D42CCD5-06F0-4993-B5BB-4E9801694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2574" y="2927100"/>
          <a:ext cx="3694043" cy="1093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336175</xdr:colOff>
      <xdr:row>4</xdr:row>
      <xdr:rowOff>264065</xdr:rowOff>
    </xdr:from>
    <xdr:to>
      <xdr:col>10</xdr:col>
      <xdr:colOff>959403</xdr:colOff>
      <xdr:row>9</xdr:row>
      <xdr:rowOff>125363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ACE83C61-7045-4C2C-AFA2-A2B054C4B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90646" y="1608771"/>
          <a:ext cx="3716051" cy="12620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554131</xdr:colOff>
      <xdr:row>52</xdr:row>
      <xdr:rowOff>30816</xdr:rowOff>
    </xdr:from>
    <xdr:to>
      <xdr:col>12</xdr:col>
      <xdr:colOff>1229286</xdr:colOff>
      <xdr:row>59</xdr:row>
      <xdr:rowOff>7284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056C70A8-C987-5ECC-F446-2ADC39A41BF7}"/>
            </a:ext>
          </a:extLst>
        </xdr:cNvPr>
        <xdr:cNvGrpSpPr>
          <a:grpSpLocks noChangeAspect="1"/>
        </xdr:cNvGrpSpPr>
      </xdr:nvGrpSpPr>
      <xdr:grpSpPr bwMode="auto">
        <a:xfrm>
          <a:off x="12256274" y="18264387"/>
          <a:ext cx="3110833" cy="1405218"/>
          <a:chOff x="1797" y="1715"/>
          <a:chExt cx="305" cy="154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8D3BA742-557C-277C-06A8-B0FB34E95C0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797" y="1715"/>
            <a:ext cx="303" cy="1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AA7EAB80-F631-6505-E07B-4164583CC611}"/>
              </a:ext>
            </a:extLst>
          </xdr:cNvPr>
          <xdr:cNvSpPr>
            <a:spLocks noChangeArrowheads="1"/>
          </xdr:cNvSpPr>
        </xdr:nvSpPr>
        <xdr:spPr bwMode="auto">
          <a:xfrm>
            <a:off x="1821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DDE682D9-4274-47CE-35F6-368796EFA9A8}"/>
              </a:ext>
            </a:extLst>
          </xdr:cNvPr>
          <xdr:cNvSpPr>
            <a:spLocks noChangeArrowheads="1"/>
          </xdr:cNvSpPr>
        </xdr:nvSpPr>
        <xdr:spPr bwMode="auto">
          <a:xfrm>
            <a:off x="1973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972EF5D5-B462-2118-47B8-724F9216B22D}"/>
              </a:ext>
            </a:extLst>
          </xdr:cNvPr>
          <xdr:cNvSpPr>
            <a:spLocks noChangeArrowheads="1"/>
          </xdr:cNvSpPr>
        </xdr:nvSpPr>
        <xdr:spPr bwMode="auto">
          <a:xfrm>
            <a:off x="1830" y="1773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84D632FC-6DCA-967B-6348-DE8D919085E9}"/>
              </a:ext>
            </a:extLst>
          </xdr:cNvPr>
          <xdr:cNvSpPr>
            <a:spLocks noChangeArrowheads="1"/>
          </xdr:cNvSpPr>
        </xdr:nvSpPr>
        <xdr:spPr bwMode="auto">
          <a:xfrm>
            <a:off x="1934" y="1773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6CEC37A8-64FF-F37C-EAA1-4F341F1722FC}"/>
              </a:ext>
            </a:extLst>
          </xdr:cNvPr>
          <xdr:cNvSpPr>
            <a:spLocks noChangeArrowheads="1"/>
          </xdr:cNvSpPr>
        </xdr:nvSpPr>
        <xdr:spPr bwMode="auto">
          <a:xfrm>
            <a:off x="204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DCB82A43-A7AC-9C16-2F9B-387830B7D5AD}"/>
              </a:ext>
            </a:extLst>
          </xdr:cNvPr>
          <xdr:cNvSpPr>
            <a:spLocks noChangeArrowheads="1"/>
          </xdr:cNvSpPr>
        </xdr:nvSpPr>
        <xdr:spPr bwMode="auto">
          <a:xfrm>
            <a:off x="2048" y="1773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41F45E10-9BE0-5B3D-E73D-EBEBB2C57AAF}"/>
              </a:ext>
            </a:extLst>
          </xdr:cNvPr>
          <xdr:cNvSpPr>
            <a:spLocks noChangeArrowheads="1"/>
          </xdr:cNvSpPr>
        </xdr:nvSpPr>
        <xdr:spPr bwMode="auto">
          <a:xfrm>
            <a:off x="207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850B4A79-864A-BBCA-8CD9-BE5885D72E7B}"/>
              </a:ext>
            </a:extLst>
          </xdr:cNvPr>
          <xdr:cNvSpPr>
            <a:spLocks noChangeArrowheads="1"/>
          </xdr:cNvSpPr>
        </xdr:nvSpPr>
        <xdr:spPr bwMode="auto">
          <a:xfrm>
            <a:off x="1830" y="1824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494217F2-351B-DE0D-9E80-857FB4D11165}"/>
              </a:ext>
            </a:extLst>
          </xdr:cNvPr>
          <xdr:cNvSpPr>
            <a:spLocks noChangeArrowheads="1"/>
          </xdr:cNvSpPr>
        </xdr:nvSpPr>
        <xdr:spPr bwMode="auto">
          <a:xfrm>
            <a:off x="1934" y="1824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51328843-52D2-B50D-BA2E-B8A6652E1540}"/>
              </a:ext>
            </a:extLst>
          </xdr:cNvPr>
          <xdr:cNvSpPr>
            <a:spLocks noChangeArrowheads="1"/>
          </xdr:cNvSpPr>
        </xdr:nvSpPr>
        <xdr:spPr bwMode="auto">
          <a:xfrm>
            <a:off x="204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26E5B699-25FC-847D-83A9-B837D8A9FB0E}"/>
              </a:ext>
            </a:extLst>
          </xdr:cNvPr>
          <xdr:cNvSpPr>
            <a:spLocks noChangeArrowheads="1"/>
          </xdr:cNvSpPr>
        </xdr:nvSpPr>
        <xdr:spPr bwMode="auto">
          <a:xfrm>
            <a:off x="2048" y="1824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D8CC14C7-8C96-58EE-076B-798C78EDE0E8}"/>
              </a:ext>
            </a:extLst>
          </xdr:cNvPr>
          <xdr:cNvSpPr>
            <a:spLocks noChangeArrowheads="1"/>
          </xdr:cNvSpPr>
        </xdr:nvSpPr>
        <xdr:spPr bwMode="auto">
          <a:xfrm>
            <a:off x="207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32AD7B7D-AF76-B157-9DE2-68EC2DB6F9E5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3EB6628A-134A-D754-79F1-D88DB0367275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6747E572-D785-DE90-9CD3-6B9703E2D882}"/>
              </a:ext>
            </a:extLst>
          </xdr:cNvPr>
          <xdr:cNvSpPr>
            <a:spLocks noChangeShapeType="1"/>
          </xdr:cNvSpPr>
        </xdr:nvSpPr>
        <xdr:spPr bwMode="auto">
          <a:xfrm>
            <a:off x="1799" y="17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F7FC5B5B-F96E-BA04-6518-13E1160420CF}"/>
              </a:ext>
            </a:extLst>
          </xdr:cNvPr>
          <xdr:cNvSpPr>
            <a:spLocks noChangeArrowheads="1"/>
          </xdr:cNvSpPr>
        </xdr:nvSpPr>
        <xdr:spPr bwMode="auto">
          <a:xfrm>
            <a:off x="1799" y="17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B9238FE6-4F2B-92B1-EA63-8086CDC687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53FE6084-AC59-4E0C-CEC7-D1D98815F8F5}"/>
              </a:ext>
            </a:extLst>
          </xdr:cNvPr>
          <xdr:cNvSpPr>
            <a:spLocks noChangeShapeType="1"/>
          </xdr:cNvSpPr>
        </xdr:nvSpPr>
        <xdr:spPr bwMode="auto">
          <a:xfrm>
            <a:off x="1799" y="176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5CA6331F-CDDE-E14B-930D-229FCD34841E}"/>
              </a:ext>
            </a:extLst>
          </xdr:cNvPr>
          <xdr:cNvSpPr>
            <a:spLocks noChangeArrowheads="1"/>
          </xdr:cNvSpPr>
        </xdr:nvSpPr>
        <xdr:spPr bwMode="auto">
          <a:xfrm>
            <a:off x="1799" y="176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9F430FD9-9E66-3EF6-82A0-81521C6DB2F4}"/>
              </a:ext>
            </a:extLst>
          </xdr:cNvPr>
          <xdr:cNvSpPr>
            <a:spLocks noChangeShapeType="1"/>
          </xdr:cNvSpPr>
        </xdr:nvSpPr>
        <xdr:spPr bwMode="auto">
          <a:xfrm>
            <a:off x="1799" y="18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2A950621-F289-A41C-328A-F705176571BB}"/>
              </a:ext>
            </a:extLst>
          </xdr:cNvPr>
          <xdr:cNvSpPr>
            <a:spLocks noChangeArrowheads="1"/>
          </xdr:cNvSpPr>
        </xdr:nvSpPr>
        <xdr:spPr bwMode="auto">
          <a:xfrm>
            <a:off x="1799" y="18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533C0995-37F0-DB05-FF87-283B28CEBDC1}"/>
              </a:ext>
            </a:extLst>
          </xdr:cNvPr>
          <xdr:cNvSpPr>
            <a:spLocks noChangeShapeType="1"/>
          </xdr:cNvSpPr>
        </xdr:nvSpPr>
        <xdr:spPr bwMode="auto">
          <a:xfrm>
            <a:off x="1797" y="1715"/>
            <a:ext cx="0" cy="15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5EA6A7DA-FA39-D21B-04F9-3BC8442D6EAF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5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273618BE-6506-3660-5FFC-F1B7EA00D125}"/>
              </a:ext>
            </a:extLst>
          </xdr:cNvPr>
          <xdr:cNvSpPr>
            <a:spLocks noChangeShapeType="1"/>
          </xdr:cNvSpPr>
        </xdr:nvSpPr>
        <xdr:spPr bwMode="auto">
          <a:xfrm>
            <a:off x="1912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82072431-959B-EEBF-921E-03E3F0B96FCF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D5B38B77-C2E3-9BBF-C2AD-E5B09F861544}"/>
              </a:ext>
            </a:extLst>
          </xdr:cNvPr>
          <xdr:cNvSpPr>
            <a:spLocks noChangeShapeType="1"/>
          </xdr:cNvSpPr>
        </xdr:nvSpPr>
        <xdr:spPr bwMode="auto">
          <a:xfrm>
            <a:off x="1799" y="1866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D28AFE4E-C4C2-AAD5-B52F-60D3C6BAAE79}"/>
              </a:ext>
            </a:extLst>
          </xdr:cNvPr>
          <xdr:cNvSpPr>
            <a:spLocks noChangeArrowheads="1"/>
          </xdr:cNvSpPr>
        </xdr:nvSpPr>
        <xdr:spPr bwMode="auto">
          <a:xfrm>
            <a:off x="1799" y="1866"/>
            <a:ext cx="30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7B19F28C-8DB8-709E-EF78-DFC9C0C0D537}"/>
              </a:ext>
            </a:extLst>
          </xdr:cNvPr>
          <xdr:cNvSpPr>
            <a:spLocks noChangeShapeType="1"/>
          </xdr:cNvSpPr>
        </xdr:nvSpPr>
        <xdr:spPr bwMode="auto">
          <a:xfrm>
            <a:off x="2099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08173407-DC08-5DE6-E113-5663711A8132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99806136-9F4C-2595-E911-C90241DA432B}"/>
              </a:ext>
            </a:extLst>
          </xdr:cNvPr>
          <xdr:cNvSpPr>
            <a:spLocks noChangeShapeType="1"/>
          </xdr:cNvSpPr>
        </xdr:nvSpPr>
        <xdr:spPr bwMode="auto">
          <a:xfrm>
            <a:off x="1797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0BBB53EB-8C55-9EB6-711E-20E409208204}"/>
              </a:ext>
            </a:extLst>
          </xdr:cNvPr>
          <xdr:cNvSpPr>
            <a:spLocks noChangeArrowheads="1"/>
          </xdr:cNvSpPr>
        </xdr:nvSpPr>
        <xdr:spPr bwMode="auto">
          <a:xfrm>
            <a:off x="1797" y="1867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CF40CCCA-80D1-4005-8E4F-E2A0570B1868}"/>
              </a:ext>
            </a:extLst>
          </xdr:cNvPr>
          <xdr:cNvSpPr>
            <a:spLocks noChangeShapeType="1"/>
          </xdr:cNvSpPr>
        </xdr:nvSpPr>
        <xdr:spPr bwMode="auto">
          <a:xfrm>
            <a:off x="1912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6914C050-8AC1-51C5-2BBD-DB1482DE6C1C}"/>
              </a:ext>
            </a:extLst>
          </xdr:cNvPr>
          <xdr:cNvSpPr>
            <a:spLocks noChangeArrowheads="1"/>
          </xdr:cNvSpPr>
        </xdr:nvSpPr>
        <xdr:spPr bwMode="auto">
          <a:xfrm>
            <a:off x="1912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16A4F1C2-CC7D-1A35-EC79-E2D13E2C27F7}"/>
              </a:ext>
            </a:extLst>
          </xdr:cNvPr>
          <xdr:cNvSpPr>
            <a:spLocks noChangeShapeType="1"/>
          </xdr:cNvSpPr>
        </xdr:nvSpPr>
        <xdr:spPr bwMode="auto">
          <a:xfrm>
            <a:off x="2099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8EE8F548-FDDF-BD09-5B5C-5149DBA12C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0F49B72A-0747-6A35-659B-09BBD844EF61}"/>
              </a:ext>
            </a:extLst>
          </xdr:cNvPr>
          <xdr:cNvSpPr>
            <a:spLocks noChangeShapeType="1"/>
          </xdr:cNvSpPr>
        </xdr:nvSpPr>
        <xdr:spPr bwMode="auto">
          <a:xfrm>
            <a:off x="2100" y="17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DED63CD7-E07C-8F9C-00BC-BA0B1CF87666}"/>
              </a:ext>
            </a:extLst>
          </xdr:cNvPr>
          <xdr:cNvSpPr>
            <a:spLocks noChangeArrowheads="1"/>
          </xdr:cNvSpPr>
        </xdr:nvSpPr>
        <xdr:spPr bwMode="auto">
          <a:xfrm>
            <a:off x="2100" y="17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B5EC9152-7FFA-FBA5-1883-CBBAA6257263}"/>
              </a:ext>
            </a:extLst>
          </xdr:cNvPr>
          <xdr:cNvSpPr>
            <a:spLocks noChangeShapeType="1"/>
          </xdr:cNvSpPr>
        </xdr:nvSpPr>
        <xdr:spPr bwMode="auto">
          <a:xfrm>
            <a:off x="2100" y="176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9565177-7E05-C3DA-3E34-FF8EE9B3D619}"/>
              </a:ext>
            </a:extLst>
          </xdr:cNvPr>
          <xdr:cNvSpPr>
            <a:spLocks noChangeArrowheads="1"/>
          </xdr:cNvSpPr>
        </xdr:nvSpPr>
        <xdr:spPr bwMode="auto">
          <a:xfrm>
            <a:off x="2100" y="176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7C06D48B-4607-B1F3-A3B9-5A77F233C732}"/>
              </a:ext>
            </a:extLst>
          </xdr:cNvPr>
          <xdr:cNvSpPr>
            <a:spLocks noChangeShapeType="1"/>
          </xdr:cNvSpPr>
        </xdr:nvSpPr>
        <xdr:spPr bwMode="auto">
          <a:xfrm>
            <a:off x="2100" y="18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12E34373-ABF0-30E3-E9BB-AEF4E13F9FB0}"/>
              </a:ext>
            </a:extLst>
          </xdr:cNvPr>
          <xdr:cNvSpPr>
            <a:spLocks noChangeArrowheads="1"/>
          </xdr:cNvSpPr>
        </xdr:nvSpPr>
        <xdr:spPr bwMode="auto">
          <a:xfrm>
            <a:off x="2100" y="18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6D496BE5-EB65-4250-02D2-03D300179DD9}"/>
              </a:ext>
            </a:extLst>
          </xdr:cNvPr>
          <xdr:cNvSpPr>
            <a:spLocks noChangeShapeType="1"/>
          </xdr:cNvSpPr>
        </xdr:nvSpPr>
        <xdr:spPr bwMode="auto">
          <a:xfrm>
            <a:off x="2100" y="18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EA081357-12C6-D71B-2879-0EA781B7EC2B}"/>
              </a:ext>
            </a:extLst>
          </xdr:cNvPr>
          <xdr:cNvSpPr>
            <a:spLocks noChangeArrowheads="1"/>
          </xdr:cNvSpPr>
        </xdr:nvSpPr>
        <xdr:spPr bwMode="auto">
          <a:xfrm>
            <a:off x="2100" y="1866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3.244\KcencGD2_&#44277;&#47924;_NEW\02.%20P4\04.%20Ph4\03.%20&#45824;&#45236;&#50629;&#47924;\02.%20&#50808;&#51452;&#44592;&#49457;\11.%202026&#45380;%2008&#50900;%20&#50808;&#51452;&#44592;&#49457;\01.%20&#53468;&#49457;&#54616;&#51060;&#53581;\P4%20Ph4%2026&#45380;%2008&#50900;_11&#54924;&#52264;%20&#50857;&#50669;&#52397;&#44396;&#49436;_&#53468;&#49457;&#54616;&#51060;&#535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용역청구서 표지"/>
      <sheetName val="용역 청구서(갑지)"/>
      <sheetName val="용역 내역서(을지)"/>
      <sheetName val="내역서(을지)"/>
      <sheetName val="집계장"/>
      <sheetName val="근로내역 (08월)"/>
      <sheetName val="물량 내역서"/>
      <sheetName val="용접기자재"/>
      <sheetName val="배관기자재"/>
      <sheetName val="숙소임차료"/>
      <sheetName val="숙소관리비"/>
      <sheetName val="식대비용"/>
      <sheetName val="기타비용"/>
      <sheetName val="서명란"/>
      <sheetName val="DIA-INCH"/>
    </sheetNames>
    <sheetDataSet>
      <sheetData sheetId="0"/>
      <sheetData sheetId="1"/>
      <sheetData sheetId="2"/>
      <sheetData sheetId="3"/>
      <sheetData sheetId="4">
        <row r="16">
          <cell r="I16">
            <v>0</v>
          </cell>
        </row>
        <row r="20">
          <cell r="F20">
            <v>0</v>
          </cell>
          <cell r="K20">
            <v>0</v>
          </cell>
          <cell r="L20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M10" sqref="M10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46" t="s">
        <v>0</v>
      </c>
      <c r="C4" s="246"/>
      <c r="D4" s="246"/>
      <c r="E4" s="246"/>
      <c r="F4" s="7"/>
    </row>
    <row r="5" spans="1:6" ht="21.9" customHeight="1" x14ac:dyDescent="0.4">
      <c r="A5" s="8"/>
      <c r="B5" s="246"/>
      <c r="C5" s="246"/>
      <c r="D5" s="246"/>
      <c r="E5" s="246"/>
      <c r="F5" s="9"/>
    </row>
    <row r="6" spans="1:6" ht="21.9" customHeight="1" x14ac:dyDescent="0.4">
      <c r="A6" s="10"/>
      <c r="B6" s="246"/>
      <c r="C6" s="246"/>
      <c r="D6" s="246"/>
      <c r="E6" s="246"/>
      <c r="F6" s="11"/>
    </row>
    <row r="7" spans="1:6" ht="36.9" customHeight="1" x14ac:dyDescent="0.4">
      <c r="A7" s="12"/>
      <c r="B7" s="247" t="s">
        <v>1</v>
      </c>
      <c r="C7" s="247"/>
      <c r="D7" s="247"/>
      <c r="E7" s="247"/>
      <c r="F7" s="11"/>
    </row>
    <row r="8" spans="1:6" ht="29.1" customHeight="1" x14ac:dyDescent="0.4">
      <c r="A8" s="8"/>
      <c r="B8" s="13"/>
      <c r="C8" s="248" t="s">
        <v>291</v>
      </c>
      <c r="D8" s="249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250" t="s">
        <v>328</v>
      </c>
      <c r="D14" s="250"/>
      <c r="E14" s="13"/>
      <c r="F14" s="9"/>
    </row>
    <row r="15" spans="1:6" ht="21.9" customHeight="1" x14ac:dyDescent="0.4">
      <c r="A15" s="8"/>
      <c r="B15" s="13"/>
      <c r="C15" s="251" t="s">
        <v>302</v>
      </c>
      <c r="D15" s="251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45"/>
      <c r="D19" s="245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E13" sqref="E13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252" t="s">
        <v>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</row>
    <row r="2" spans="1:12" ht="21.9" customHeight="1" x14ac:dyDescent="0.25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 x14ac:dyDescent="0.25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 x14ac:dyDescent="0.25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 x14ac:dyDescent="0.25">
      <c r="A5" s="20">
        <v>3</v>
      </c>
      <c r="B5" s="21" t="s">
        <v>7</v>
      </c>
      <c r="C5" s="21" t="s">
        <v>4</v>
      </c>
      <c r="D5" s="25">
        <f>ROUNDUP(E5,0)</f>
        <v>1951000000</v>
      </c>
      <c r="E5" s="22">
        <f>집계장!I22</f>
        <v>1951000000</v>
      </c>
      <c r="F5" s="26" t="s">
        <v>8</v>
      </c>
      <c r="G5" s="18"/>
      <c r="H5" s="18"/>
      <c r="I5" s="18"/>
      <c r="J5" s="18"/>
      <c r="K5" s="18"/>
    </row>
    <row r="6" spans="1:12" ht="21.9" customHeight="1" x14ac:dyDescent="0.4">
      <c r="A6" s="20">
        <v>4</v>
      </c>
      <c r="B6" s="27" t="s">
        <v>9</v>
      </c>
      <c r="C6" s="21" t="s">
        <v>4</v>
      </c>
      <c r="D6" s="25">
        <f t="shared" ref="D6:D14" si="0">ROUNDUP(E6,0)</f>
        <v>1951000000</v>
      </c>
      <c r="E6" s="22">
        <f>E7+E13</f>
        <v>1951000000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 x14ac:dyDescent="0.4">
      <c r="A7" s="20">
        <v>5</v>
      </c>
      <c r="B7" s="21" t="s">
        <v>11</v>
      </c>
      <c r="C7" s="21" t="s">
        <v>12</v>
      </c>
      <c r="D7" s="25">
        <f t="shared" si="0"/>
        <v>1750000000</v>
      </c>
      <c r="E7" s="22">
        <f>집계장!G22</f>
        <v>1750000000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 x14ac:dyDescent="0.4">
      <c r="A8" s="20">
        <v>6</v>
      </c>
      <c r="B8" s="21" t="s">
        <v>14</v>
      </c>
      <c r="C8" s="21" t="s">
        <v>4</v>
      </c>
      <c r="D8" s="25">
        <f t="shared" si="0"/>
        <v>201000000</v>
      </c>
      <c r="E8" s="22">
        <f>집계장!F22</f>
        <v>201000000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 x14ac:dyDescent="0.4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[1]집계장!K20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 x14ac:dyDescent="0.4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[1]집계장!G20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 x14ac:dyDescent="0.4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[1]집계장!F20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 x14ac:dyDescent="0.4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[1]집계장!L20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 x14ac:dyDescent="0.4">
      <c r="A13" s="20">
        <v>11</v>
      </c>
      <c r="B13" s="24" t="s">
        <v>22</v>
      </c>
      <c r="C13" s="21" t="s">
        <v>23</v>
      </c>
      <c r="D13" s="31">
        <f>ROUNDUP(E13,0)</f>
        <v>201000000</v>
      </c>
      <c r="E13" s="32">
        <f>E8</f>
        <v>201000000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 x14ac:dyDescent="0.4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f>[1]집계장!I16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 x14ac:dyDescent="0.4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 x14ac:dyDescent="0.25">
      <c r="A16" s="20">
        <v>14</v>
      </c>
      <c r="B16" s="21" t="s">
        <v>27</v>
      </c>
      <c r="C16" s="21" t="s">
        <v>28</v>
      </c>
      <c r="D16" s="33" t="s">
        <v>330</v>
      </c>
      <c r="E16" s="34"/>
      <c r="F16" s="21"/>
      <c r="G16" s="21"/>
      <c r="H16" s="21"/>
      <c r="I16" s="21"/>
      <c r="J16" s="21"/>
      <c r="K16" s="21"/>
    </row>
    <row r="17" spans="1:11" ht="21.9" customHeight="1" x14ac:dyDescent="0.25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 x14ac:dyDescent="0.25">
      <c r="A18" s="20"/>
      <c r="B18" s="253" t="s">
        <v>29</v>
      </c>
      <c r="C18" s="253"/>
      <c r="D18" s="253"/>
      <c r="E18" s="253"/>
      <c r="F18" s="253"/>
      <c r="G18" s="253"/>
      <c r="H18" s="253"/>
      <c r="I18" s="253"/>
      <c r="J18" s="254"/>
      <c r="K18" s="21"/>
    </row>
    <row r="19" spans="1:11" ht="21.9" customHeight="1" x14ac:dyDescent="0.25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 x14ac:dyDescent="0.25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 x14ac:dyDescent="0.25">
      <c r="A21" s="35"/>
      <c r="B21" s="21"/>
      <c r="C21" s="21"/>
      <c r="D21" s="21"/>
      <c r="E21" s="34"/>
      <c r="F21" s="24" t="s">
        <v>329</v>
      </c>
      <c r="G21" s="24"/>
      <c r="H21" s="24"/>
      <c r="I21" s="24"/>
      <c r="J21" s="21"/>
      <c r="K21" s="21"/>
    </row>
    <row r="22" spans="1:11" ht="21.9" customHeight="1" x14ac:dyDescent="0.25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 x14ac:dyDescent="0.25">
      <c r="A23" s="35"/>
      <c r="B23" s="21"/>
      <c r="C23" s="21"/>
      <c r="D23" s="21"/>
      <c r="E23" s="34"/>
      <c r="F23" s="24" t="s">
        <v>32</v>
      </c>
      <c r="G23" s="255" t="s">
        <v>303</v>
      </c>
      <c r="H23" s="255"/>
      <c r="I23" s="255"/>
      <c r="J23" s="255"/>
      <c r="K23" s="255"/>
    </row>
    <row r="24" spans="1:11" ht="21.9" customHeight="1" x14ac:dyDescent="0.25">
      <c r="A24" s="35"/>
      <c r="B24" s="21" t="s">
        <v>33</v>
      </c>
      <c r="C24" s="21"/>
      <c r="D24" s="21"/>
      <c r="E24" s="34"/>
      <c r="F24" s="24" t="s">
        <v>34</v>
      </c>
      <c r="G24" s="255" t="s">
        <v>304</v>
      </c>
      <c r="H24" s="255"/>
      <c r="I24" s="255"/>
      <c r="J24" s="255"/>
      <c r="K24" s="255"/>
    </row>
    <row r="25" spans="1:11" ht="21.9" customHeight="1" x14ac:dyDescent="0.25">
      <c r="A25" s="18"/>
      <c r="B25" s="21"/>
      <c r="C25" s="21"/>
      <c r="D25" s="21"/>
      <c r="E25" s="34"/>
      <c r="F25" s="24" t="s">
        <v>35</v>
      </c>
      <c r="G25" s="255" t="s">
        <v>305</v>
      </c>
      <c r="H25" s="255"/>
      <c r="I25" s="23" t="s">
        <v>306</v>
      </c>
      <c r="J25" s="24"/>
      <c r="K25" s="24"/>
    </row>
    <row r="26" spans="1:11" ht="21.9" customHeight="1" x14ac:dyDescent="0.25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83" fitToHeight="0" orientation="landscape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7.399999999999999" x14ac:dyDescent="0.4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 x14ac:dyDescent="0.4">
      <c r="A1" s="256" t="s">
        <v>81</v>
      </c>
      <c r="B1" s="257"/>
      <c r="C1" s="257"/>
      <c r="D1" s="257"/>
      <c r="E1" s="257"/>
      <c r="F1" s="257"/>
      <c r="G1" s="257"/>
    </row>
    <row r="2" spans="1:7" ht="39.9" customHeight="1" thickBot="1" x14ac:dyDescent="0.45">
      <c r="A2" s="41" t="s">
        <v>82</v>
      </c>
      <c r="G2" s="42" t="s">
        <v>83</v>
      </c>
    </row>
    <row r="3" spans="1:7" ht="27.9" customHeight="1" x14ac:dyDescent="0.4">
      <c r="A3" s="258" t="s">
        <v>84</v>
      </c>
      <c r="B3" s="260" t="s">
        <v>85</v>
      </c>
      <c r="C3" s="260" t="s">
        <v>86</v>
      </c>
      <c r="D3" s="260" t="s">
        <v>87</v>
      </c>
      <c r="E3" s="260" t="s">
        <v>88</v>
      </c>
      <c r="F3" s="260"/>
      <c r="G3" s="262"/>
    </row>
    <row r="4" spans="1:7" ht="27.9" customHeight="1" x14ac:dyDescent="0.4">
      <c r="A4" s="259"/>
      <c r="B4" s="261"/>
      <c r="C4" s="261"/>
      <c r="D4" s="261"/>
      <c r="E4" s="43" t="s">
        <v>89</v>
      </c>
      <c r="F4" s="43" t="s">
        <v>90</v>
      </c>
      <c r="G4" s="44" t="s">
        <v>91</v>
      </c>
    </row>
    <row r="5" spans="1:7" ht="27.9" customHeight="1" x14ac:dyDescent="0.4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 x14ac:dyDescent="0.4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 x14ac:dyDescent="0.4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 x14ac:dyDescent="0.4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 x14ac:dyDescent="0.4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 x14ac:dyDescent="0.4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 x14ac:dyDescent="0.4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 x14ac:dyDescent="0.4">
      <c r="A12" s="45"/>
      <c r="B12" s="46"/>
      <c r="C12" s="46"/>
      <c r="D12" s="46"/>
      <c r="E12" s="46"/>
      <c r="F12" s="46"/>
      <c r="G12" s="48"/>
    </row>
    <row r="13" spans="1:7" ht="27.9" customHeight="1" x14ac:dyDescent="0.4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 x14ac:dyDescent="0.4">
      <c r="A14" s="45"/>
      <c r="B14" s="46"/>
      <c r="C14" s="46"/>
      <c r="D14" s="46"/>
      <c r="E14" s="46"/>
      <c r="F14" s="46"/>
      <c r="G14" s="48"/>
    </row>
    <row r="15" spans="1:7" ht="27.9" customHeight="1" thickBot="1" x14ac:dyDescent="0.45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1D32-6E2C-4203-AA47-2A2BE9488A41}">
  <sheetPr>
    <pageSetUpPr fitToPage="1"/>
  </sheetPr>
  <dimension ref="A1:L41"/>
  <sheetViews>
    <sheetView view="pageBreakPreview" zoomScaleNormal="100" zoomScaleSheetLayoutView="100" workbookViewId="0">
      <selection activeCell="C15" sqref="C15:D15"/>
    </sheetView>
  </sheetViews>
  <sheetFormatPr defaultColWidth="9" defaultRowHeight="17.399999999999999" x14ac:dyDescent="0.4"/>
  <cols>
    <col min="1" max="1" width="25.59765625" style="18" customWidth="1"/>
    <col min="2" max="2" width="20.09765625" style="18" customWidth="1"/>
    <col min="3" max="3" width="7.3984375" style="18" customWidth="1"/>
    <col min="4" max="4" width="10.59765625" style="237" customWidth="1"/>
    <col min="5" max="5" width="9.8984375" style="18" customWidth="1"/>
    <col min="6" max="6" width="17.59765625" style="18" customWidth="1"/>
    <col min="7" max="7" width="15.59765625" style="18" customWidth="1"/>
    <col min="8" max="11" width="9" style="18"/>
    <col min="12" max="12" width="15.59765625" style="18" bestFit="1" customWidth="1"/>
    <col min="13" max="16384" width="9" style="18"/>
  </cols>
  <sheetData>
    <row r="1" spans="1:12" ht="69" customHeight="1" x14ac:dyDescent="0.4">
      <c r="A1" s="263" t="s">
        <v>308</v>
      </c>
      <c r="B1" s="263"/>
      <c r="C1" s="263"/>
      <c r="D1" s="263"/>
      <c r="E1" s="263"/>
      <c r="F1" s="263"/>
      <c r="G1" s="263"/>
    </row>
    <row r="2" spans="1:12" ht="39.75" customHeight="1" thickBot="1" x14ac:dyDescent="0.45">
      <c r="A2" s="186" t="s">
        <v>82</v>
      </c>
      <c r="B2" s="187"/>
      <c r="C2" s="187"/>
      <c r="D2" s="187"/>
      <c r="E2" s="188"/>
      <c r="F2" s="189"/>
      <c r="G2" s="189" t="s">
        <v>309</v>
      </c>
    </row>
    <row r="3" spans="1:12" ht="27.9" customHeight="1" x14ac:dyDescent="0.4">
      <c r="A3" s="264" t="s">
        <v>310</v>
      </c>
      <c r="B3" s="266" t="s">
        <v>311</v>
      </c>
      <c r="C3" s="266" t="s">
        <v>312</v>
      </c>
      <c r="D3" s="268" t="s">
        <v>313</v>
      </c>
      <c r="E3" s="268" t="s">
        <v>314</v>
      </c>
      <c r="F3" s="268"/>
      <c r="G3" s="270" t="s">
        <v>315</v>
      </c>
    </row>
    <row r="4" spans="1:12" ht="27.9" customHeight="1" x14ac:dyDescent="0.4">
      <c r="A4" s="265"/>
      <c r="B4" s="267"/>
      <c r="C4" s="267"/>
      <c r="D4" s="269"/>
      <c r="E4" s="190" t="s">
        <v>316</v>
      </c>
      <c r="F4" s="190" t="s">
        <v>317</v>
      </c>
      <c r="G4" s="271"/>
    </row>
    <row r="5" spans="1:12" ht="27.9" customHeight="1" x14ac:dyDescent="0.4">
      <c r="A5" s="191" t="s">
        <v>92</v>
      </c>
      <c r="B5" s="192" t="s">
        <v>93</v>
      </c>
      <c r="C5" s="192" t="s">
        <v>94</v>
      </c>
      <c r="D5" s="193">
        <v>1400000</v>
      </c>
      <c r="E5" s="194">
        <v>37</v>
      </c>
      <c r="F5" s="194">
        <f>D5*E5</f>
        <v>51800000</v>
      </c>
      <c r="G5" s="195"/>
    </row>
    <row r="6" spans="1:12" ht="27.9" customHeight="1" x14ac:dyDescent="0.4">
      <c r="A6" s="191" t="s">
        <v>318</v>
      </c>
      <c r="B6" s="192" t="s">
        <v>95</v>
      </c>
      <c r="C6" s="192" t="s">
        <v>94</v>
      </c>
      <c r="D6" s="193">
        <v>1200000</v>
      </c>
      <c r="E6" s="194">
        <v>36</v>
      </c>
      <c r="F6" s="194">
        <f t="shared" ref="F6:F11" si="0">D6*E6</f>
        <v>43200000</v>
      </c>
      <c r="G6" s="196" t="s">
        <v>319</v>
      </c>
    </row>
    <row r="7" spans="1:12" ht="27.9" customHeight="1" x14ac:dyDescent="0.4">
      <c r="A7" s="191" t="s">
        <v>97</v>
      </c>
      <c r="B7" s="192" t="s">
        <v>98</v>
      </c>
      <c r="C7" s="192" t="s">
        <v>94</v>
      </c>
      <c r="D7" s="193">
        <v>1000000</v>
      </c>
      <c r="E7" s="194">
        <v>34</v>
      </c>
      <c r="F7" s="194">
        <f t="shared" si="0"/>
        <v>34000000</v>
      </c>
      <c r="G7" s="197" t="s">
        <v>319</v>
      </c>
      <c r="I7" s="30"/>
    </row>
    <row r="8" spans="1:12" ht="27.9" customHeight="1" x14ac:dyDescent="0.4">
      <c r="A8" s="191" t="s">
        <v>97</v>
      </c>
      <c r="B8" s="192" t="s">
        <v>100</v>
      </c>
      <c r="C8" s="192" t="s">
        <v>94</v>
      </c>
      <c r="D8" s="193">
        <v>900000</v>
      </c>
      <c r="E8" s="194">
        <v>30</v>
      </c>
      <c r="F8" s="194">
        <f t="shared" si="0"/>
        <v>27000000</v>
      </c>
      <c r="G8" s="197" t="s">
        <v>319</v>
      </c>
      <c r="J8" s="30"/>
    </row>
    <row r="9" spans="1:12" ht="27.9" customHeight="1" x14ac:dyDescent="0.4">
      <c r="A9" s="191" t="s">
        <v>97</v>
      </c>
      <c r="B9" s="192" t="s">
        <v>102</v>
      </c>
      <c r="C9" s="192" t="s">
        <v>94</v>
      </c>
      <c r="D9" s="193">
        <v>800000</v>
      </c>
      <c r="E9" s="194">
        <v>30</v>
      </c>
      <c r="F9" s="194">
        <f t="shared" si="0"/>
        <v>24000000</v>
      </c>
      <c r="G9" s="198"/>
      <c r="J9" s="30"/>
      <c r="L9" s="30"/>
    </row>
    <row r="10" spans="1:12" ht="27.9" customHeight="1" x14ac:dyDescent="0.4">
      <c r="A10" s="191" t="s">
        <v>97</v>
      </c>
      <c r="B10" s="192" t="s">
        <v>104</v>
      </c>
      <c r="C10" s="192" t="s">
        <v>94</v>
      </c>
      <c r="D10" s="193">
        <v>700000</v>
      </c>
      <c r="E10" s="194">
        <v>30</v>
      </c>
      <c r="F10" s="194">
        <f t="shared" si="0"/>
        <v>21000000</v>
      </c>
      <c r="G10" s="197"/>
    </row>
    <row r="11" spans="1:12" ht="27.9" customHeight="1" x14ac:dyDescent="0.4">
      <c r="A11" s="191" t="s">
        <v>320</v>
      </c>
      <c r="B11" s="192" t="s">
        <v>106</v>
      </c>
      <c r="C11" s="192" t="s">
        <v>94</v>
      </c>
      <c r="D11" s="193">
        <v>600000</v>
      </c>
      <c r="E11" s="194"/>
      <c r="F11" s="194">
        <f t="shared" si="0"/>
        <v>0</v>
      </c>
      <c r="G11" s="199"/>
    </row>
    <row r="12" spans="1:12" ht="27.9" customHeight="1" x14ac:dyDescent="0.4">
      <c r="A12" s="200"/>
      <c r="B12" s="192"/>
      <c r="C12" s="201"/>
      <c r="D12" s="193"/>
      <c r="E12" s="194"/>
      <c r="F12" s="194"/>
      <c r="G12" s="199"/>
    </row>
    <row r="13" spans="1:12" ht="27.9" customHeight="1" x14ac:dyDescent="0.4">
      <c r="A13" s="202" t="s">
        <v>108</v>
      </c>
      <c r="B13" s="192"/>
      <c r="C13" s="201"/>
      <c r="D13" s="203"/>
      <c r="E13" s="244">
        <v>0</v>
      </c>
      <c r="F13" s="194">
        <f>SUM(F5:F11)*E13</f>
        <v>0</v>
      </c>
      <c r="G13" s="199"/>
    </row>
    <row r="14" spans="1:12" ht="27.9" customHeight="1" x14ac:dyDescent="0.4">
      <c r="A14" s="204"/>
      <c r="B14" s="205"/>
      <c r="C14" s="206"/>
      <c r="D14" s="206"/>
      <c r="E14" s="194"/>
      <c r="F14" s="194"/>
      <c r="G14" s="199"/>
    </row>
    <row r="15" spans="1:12" ht="27.9" customHeight="1" thickBot="1" x14ac:dyDescent="0.45">
      <c r="A15" s="207" t="s">
        <v>321</v>
      </c>
      <c r="B15" s="208"/>
      <c r="C15" s="209"/>
      <c r="D15" s="210"/>
      <c r="E15" s="211">
        <f>SUM(E5:E14)</f>
        <v>197</v>
      </c>
      <c r="F15" s="212">
        <f>SUM(F5:F14)</f>
        <v>201000000</v>
      </c>
      <c r="G15" s="213"/>
    </row>
    <row r="16" spans="1:12" ht="27.9" hidden="1" customHeight="1" x14ac:dyDescent="0.4">
      <c r="A16" s="214"/>
      <c r="B16" s="215"/>
      <c r="C16" s="216"/>
      <c r="D16" s="217"/>
      <c r="E16" s="218"/>
      <c r="F16" s="219"/>
      <c r="G16" s="220"/>
    </row>
    <row r="17" spans="1:7" ht="27.9" hidden="1" customHeight="1" x14ac:dyDescent="0.4">
      <c r="A17" s="221"/>
      <c r="B17" s="222"/>
      <c r="C17" s="223"/>
      <c r="D17" s="224"/>
      <c r="E17" s="225"/>
      <c r="F17" s="226"/>
      <c r="G17" s="227"/>
    </row>
    <row r="18" spans="1:7" ht="27.9" hidden="1" customHeight="1" x14ac:dyDescent="0.4">
      <c r="A18" s="221"/>
      <c r="B18" s="222"/>
      <c r="C18" s="223"/>
      <c r="D18" s="224"/>
      <c r="E18" s="225"/>
      <c r="F18" s="226"/>
      <c r="G18" s="227"/>
    </row>
    <row r="19" spans="1:7" ht="27.9" hidden="1" customHeight="1" x14ac:dyDescent="0.4">
      <c r="A19" s="221"/>
      <c r="B19" s="222"/>
      <c r="C19" s="223"/>
      <c r="D19" s="224"/>
      <c r="E19" s="225"/>
      <c r="F19" s="226"/>
      <c r="G19" s="227"/>
    </row>
    <row r="20" spans="1:7" ht="27.9" hidden="1" customHeight="1" x14ac:dyDescent="0.4">
      <c r="A20" s="221"/>
      <c r="B20" s="222"/>
      <c r="C20" s="223"/>
      <c r="D20" s="224"/>
      <c r="E20" s="225"/>
      <c r="F20" s="226"/>
      <c r="G20" s="227"/>
    </row>
    <row r="21" spans="1:7" ht="27.9" hidden="1" customHeight="1" x14ac:dyDescent="0.4">
      <c r="A21" s="221"/>
      <c r="B21" s="222"/>
      <c r="C21" s="223"/>
      <c r="D21" s="224"/>
      <c r="E21" s="225"/>
      <c r="F21" s="226"/>
      <c r="G21" s="227"/>
    </row>
    <row r="22" spans="1:7" ht="27.9" hidden="1" customHeight="1" x14ac:dyDescent="0.4">
      <c r="A22" s="228"/>
      <c r="B22" s="229"/>
      <c r="C22" s="230"/>
      <c r="D22" s="231"/>
      <c r="E22" s="225"/>
      <c r="F22" s="226"/>
      <c r="G22" s="227"/>
    </row>
    <row r="23" spans="1:7" ht="14.4" x14ac:dyDescent="0.4">
      <c r="A23" s="232"/>
      <c r="B23" s="233"/>
      <c r="C23" s="234"/>
      <c r="D23" s="234"/>
    </row>
    <row r="24" spans="1:7" ht="14.4" x14ac:dyDescent="0.4">
      <c r="A24" s="234"/>
      <c r="B24" s="234"/>
      <c r="C24" s="234"/>
      <c r="D24" s="234"/>
      <c r="F24" s="235"/>
    </row>
    <row r="25" spans="1:7" s="30" customFormat="1" ht="14.4" x14ac:dyDescent="0.4">
      <c r="A25" s="234"/>
      <c r="B25" s="234"/>
      <c r="C25" s="234"/>
      <c r="D25" s="234"/>
      <c r="E25" s="18"/>
      <c r="F25" s="18"/>
      <c r="G25" s="18"/>
    </row>
    <row r="26" spans="1:7" s="30" customFormat="1" ht="14.4" x14ac:dyDescent="0.4">
      <c r="A26" s="234"/>
      <c r="B26" s="234"/>
      <c r="C26" s="234"/>
      <c r="D26" s="234"/>
      <c r="E26" s="18"/>
      <c r="F26" s="235"/>
      <c r="G26" s="18"/>
    </row>
    <row r="27" spans="1:7" s="30" customFormat="1" ht="14.4" x14ac:dyDescent="0.4">
      <c r="A27" s="234"/>
      <c r="B27" s="234"/>
      <c r="C27" s="234"/>
      <c r="D27" s="234"/>
      <c r="E27" s="18"/>
      <c r="F27" s="18"/>
      <c r="G27" s="18"/>
    </row>
    <row r="28" spans="1:7" s="30" customFormat="1" ht="14.4" x14ac:dyDescent="0.4">
      <c r="A28" s="236"/>
      <c r="B28" s="236"/>
      <c r="C28" s="236"/>
      <c r="D28" s="236"/>
      <c r="E28" s="18"/>
      <c r="F28" s="18"/>
      <c r="G28" s="18"/>
    </row>
    <row r="29" spans="1:7" s="30" customFormat="1" ht="14.4" x14ac:dyDescent="0.4">
      <c r="A29" s="236"/>
      <c r="B29" s="236"/>
      <c r="C29" s="236"/>
      <c r="D29" s="236"/>
      <c r="E29" s="18"/>
      <c r="F29" s="18"/>
      <c r="G29" s="18"/>
    </row>
    <row r="30" spans="1:7" s="30" customFormat="1" ht="14.4" x14ac:dyDescent="0.4">
      <c r="A30" s="236"/>
      <c r="B30" s="236"/>
      <c r="C30" s="236"/>
      <c r="D30" s="236"/>
      <c r="E30" s="18"/>
      <c r="F30" s="18"/>
      <c r="G30" s="18"/>
    </row>
    <row r="31" spans="1:7" s="30" customFormat="1" ht="14.4" x14ac:dyDescent="0.4">
      <c r="A31" s="236"/>
      <c r="B31" s="236"/>
      <c r="C31" s="236"/>
      <c r="D31" s="236"/>
      <c r="E31" s="18"/>
      <c r="F31" s="18"/>
      <c r="G31" s="18"/>
    </row>
    <row r="32" spans="1:7" s="30" customFormat="1" ht="14.4" x14ac:dyDescent="0.4">
      <c r="A32" s="236"/>
      <c r="B32" s="236"/>
      <c r="C32" s="236"/>
      <c r="D32" s="236"/>
      <c r="E32" s="18"/>
      <c r="F32" s="18"/>
      <c r="G32" s="18"/>
    </row>
    <row r="33" spans="1:7" s="30" customFormat="1" ht="14.4" x14ac:dyDescent="0.4">
      <c r="A33" s="236"/>
      <c r="B33" s="236"/>
      <c r="C33" s="236"/>
      <c r="D33" s="236"/>
      <c r="E33" s="18"/>
      <c r="F33" s="18"/>
      <c r="G33" s="18"/>
    </row>
    <row r="34" spans="1:7" s="30" customFormat="1" ht="14.4" x14ac:dyDescent="0.4">
      <c r="A34" s="236"/>
      <c r="B34" s="18"/>
      <c r="C34" s="236"/>
      <c r="D34" s="236"/>
      <c r="E34" s="18"/>
      <c r="F34" s="18"/>
      <c r="G34" s="18"/>
    </row>
    <row r="35" spans="1:7" s="30" customFormat="1" ht="14.4" x14ac:dyDescent="0.4">
      <c r="A35" s="236"/>
      <c r="B35" s="18"/>
      <c r="C35" s="236"/>
      <c r="D35" s="236"/>
      <c r="E35" s="18"/>
      <c r="F35" s="18"/>
      <c r="G35" s="18"/>
    </row>
    <row r="36" spans="1:7" s="30" customFormat="1" ht="14.4" x14ac:dyDescent="0.4">
      <c r="A36" s="236"/>
      <c r="B36" s="18"/>
      <c r="C36" s="236"/>
      <c r="D36" s="236"/>
      <c r="E36" s="18"/>
      <c r="F36" s="18"/>
      <c r="G36" s="18"/>
    </row>
    <row r="37" spans="1:7" s="30" customFormat="1" ht="14.4" x14ac:dyDescent="0.4">
      <c r="A37" s="236"/>
      <c r="B37" s="18"/>
      <c r="C37" s="236"/>
      <c r="D37" s="236"/>
      <c r="E37" s="18"/>
      <c r="F37" s="18"/>
      <c r="G37" s="18"/>
    </row>
    <row r="38" spans="1:7" s="30" customFormat="1" ht="14.4" x14ac:dyDescent="0.4">
      <c r="A38" s="236"/>
      <c r="B38" s="18"/>
      <c r="C38" s="236"/>
      <c r="D38" s="236"/>
      <c r="E38" s="18"/>
      <c r="F38" s="18"/>
      <c r="G38" s="18"/>
    </row>
    <row r="39" spans="1:7" s="30" customFormat="1" ht="14.4" x14ac:dyDescent="0.4">
      <c r="A39" s="18"/>
      <c r="B39" s="18"/>
      <c r="C39" s="236"/>
      <c r="D39" s="236"/>
      <c r="E39" s="18"/>
      <c r="F39" s="18"/>
      <c r="G39" s="18"/>
    </row>
    <row r="40" spans="1:7" s="30" customFormat="1" x14ac:dyDescent="0.4">
      <c r="A40" s="18"/>
      <c r="B40" s="18"/>
      <c r="C40" s="236"/>
      <c r="D40" s="237"/>
      <c r="E40" s="18"/>
      <c r="F40" s="18"/>
      <c r="G40" s="18"/>
    </row>
    <row r="41" spans="1:7" s="30" customFormat="1" x14ac:dyDescent="0.4">
      <c r="A41" s="18"/>
      <c r="B41" s="18"/>
      <c r="C41" s="236"/>
      <c r="D41" s="237"/>
      <c r="E41" s="18"/>
      <c r="F41" s="18"/>
      <c r="G41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fitToHeight="0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7"/>
  <sheetViews>
    <sheetView tabSelected="1" view="pageBreakPreview" zoomScale="85" zoomScaleNormal="100" zoomScaleSheetLayoutView="85" workbookViewId="0">
      <selection activeCell="G16" sqref="G16"/>
    </sheetView>
  </sheetViews>
  <sheetFormatPr defaultRowHeight="17.399999999999999" x14ac:dyDescent="0.4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  <col min="15" max="15" width="15.8984375" bestFit="1" customWidth="1"/>
    <col min="16" max="16" width="13" bestFit="1" customWidth="1"/>
    <col min="18" max="18" width="15.8984375" bestFit="1" customWidth="1"/>
  </cols>
  <sheetData>
    <row r="1" spans="1:15" ht="39.9" customHeight="1" thickTop="1" x14ac:dyDescent="0.4">
      <c r="A1" s="275" t="str">
        <f>'용역청구서 표지'!$B$7</f>
        <v>P4 Ph4 GAS 1공구 마감공사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7"/>
    </row>
    <row r="2" spans="1:15" ht="20.100000000000001" customHeight="1" x14ac:dyDescent="0.35">
      <c r="A2" s="54"/>
      <c r="J2" s="56"/>
      <c r="L2" s="57" t="str">
        <f>'용역청구서 표지'!$C$15</f>
        <v>㈜태성하이텍</v>
      </c>
    </row>
    <row r="3" spans="1:15" ht="30" customHeight="1" x14ac:dyDescent="0.4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278" t="s">
        <v>119</v>
      </c>
      <c r="K3" s="278"/>
      <c r="L3" s="279"/>
    </row>
    <row r="4" spans="1:15" ht="30" customHeight="1" x14ac:dyDescent="0.4">
      <c r="A4" s="63" t="s">
        <v>120</v>
      </c>
      <c r="B4" s="64" t="s">
        <v>121</v>
      </c>
      <c r="C4" s="46" t="s">
        <v>122</v>
      </c>
      <c r="D4" s="149"/>
      <c r="E4" s="47"/>
      <c r="F4" s="65">
        <f>SUM('물량 내역서'!$K$5:$K$27)</f>
        <v>0</v>
      </c>
      <c r="G4" s="66">
        <v>5458567000</v>
      </c>
      <c r="H4" s="47">
        <f t="shared" ref="H4:H20" si="0">F4</f>
        <v>0</v>
      </c>
      <c r="I4" s="67">
        <f>G4+H4</f>
        <v>5458567000</v>
      </c>
      <c r="J4" s="272"/>
      <c r="K4" s="273"/>
      <c r="L4" s="274"/>
    </row>
    <row r="5" spans="1:15" ht="30" customHeight="1" x14ac:dyDescent="0.4">
      <c r="A5" s="68"/>
      <c r="B5" s="64" t="s">
        <v>123</v>
      </c>
      <c r="C5" s="46" t="s">
        <v>124</v>
      </c>
      <c r="D5" s="148"/>
      <c r="E5" s="47"/>
      <c r="F5" s="65">
        <f>SUM('물량 내역서'!$K$28:$K$50)</f>
        <v>0</v>
      </c>
      <c r="G5" s="66">
        <v>69912500</v>
      </c>
      <c r="H5" s="47">
        <f t="shared" si="0"/>
        <v>0</v>
      </c>
      <c r="I5" s="67">
        <f t="shared" ref="I5:I7" si="1">G5+H5</f>
        <v>69912500</v>
      </c>
      <c r="J5" s="272"/>
      <c r="K5" s="273"/>
      <c r="L5" s="274"/>
    </row>
    <row r="6" spans="1:15" ht="30" customHeight="1" x14ac:dyDescent="0.4">
      <c r="A6" s="68"/>
      <c r="B6" s="64" t="s">
        <v>125</v>
      </c>
      <c r="C6" s="46" t="s">
        <v>126</v>
      </c>
      <c r="D6" s="69"/>
      <c r="E6" s="47"/>
      <c r="F6" s="65">
        <f>'근로내역 (09월)'!AP21</f>
        <v>0</v>
      </c>
      <c r="G6" s="66">
        <v>0</v>
      </c>
      <c r="H6" s="47">
        <f t="shared" si="0"/>
        <v>0</v>
      </c>
      <c r="I6" s="67">
        <f t="shared" si="1"/>
        <v>0</v>
      </c>
      <c r="J6" s="272"/>
      <c r="K6" s="273"/>
      <c r="L6" s="274"/>
    </row>
    <row r="7" spans="1:15" ht="30" customHeight="1" x14ac:dyDescent="0.4">
      <c r="A7" s="63" t="s">
        <v>127</v>
      </c>
      <c r="B7" s="70"/>
      <c r="C7" s="46" t="s">
        <v>128</v>
      </c>
      <c r="D7" s="46"/>
      <c r="E7" s="47"/>
      <c r="F7" s="65">
        <f t="shared" ref="F7:F12" si="2">D7*E7</f>
        <v>0</v>
      </c>
      <c r="G7" s="66">
        <v>787519347.10647774</v>
      </c>
      <c r="H7" s="47">
        <f t="shared" si="0"/>
        <v>0</v>
      </c>
      <c r="I7" s="67">
        <f t="shared" si="1"/>
        <v>787519347.10647774</v>
      </c>
      <c r="J7" s="272"/>
      <c r="K7" s="273"/>
      <c r="L7" s="274"/>
    </row>
    <row r="8" spans="1:15" ht="30" customHeight="1" x14ac:dyDescent="0.4">
      <c r="A8" s="71" t="s">
        <v>129</v>
      </c>
      <c r="B8" s="280" t="s">
        <v>130</v>
      </c>
      <c r="C8" s="281"/>
      <c r="D8" s="72"/>
      <c r="E8" s="72"/>
      <c r="F8" s="73">
        <f>SUM(F4:F7)</f>
        <v>0</v>
      </c>
      <c r="G8" s="74">
        <v>6351023523</v>
      </c>
      <c r="H8" s="75">
        <f t="shared" si="0"/>
        <v>0</v>
      </c>
      <c r="I8" s="76">
        <f>G8+H8</f>
        <v>6351023523</v>
      </c>
      <c r="J8" s="282"/>
      <c r="K8" s="283"/>
      <c r="L8" s="284"/>
    </row>
    <row r="9" spans="1:15" ht="30" customHeight="1" x14ac:dyDescent="0.4">
      <c r="A9" s="63" t="s">
        <v>131</v>
      </c>
      <c r="B9" s="64" t="s">
        <v>132</v>
      </c>
      <c r="C9" s="46" t="s">
        <v>133</v>
      </c>
      <c r="D9" s="69"/>
      <c r="E9" s="77"/>
      <c r="F9" s="65">
        <f>'근로내역 (09월)'!AP22</f>
        <v>0</v>
      </c>
      <c r="G9" s="66">
        <v>3677746250</v>
      </c>
      <c r="H9" s="47">
        <f t="shared" si="0"/>
        <v>0</v>
      </c>
      <c r="I9" s="67">
        <f>G9+H9</f>
        <v>3677746250</v>
      </c>
      <c r="J9" s="272"/>
      <c r="K9" s="273"/>
      <c r="L9" s="274"/>
    </row>
    <row r="10" spans="1:15" ht="30" customHeight="1" x14ac:dyDescent="0.4">
      <c r="A10" s="63" t="s">
        <v>134</v>
      </c>
      <c r="B10" s="64" t="s">
        <v>135</v>
      </c>
      <c r="C10" s="46" t="s">
        <v>128</v>
      </c>
      <c r="D10" s="46"/>
      <c r="E10" s="47"/>
      <c r="F10" s="65">
        <f>숙소임차료!I3+숙소관리비!I3</f>
        <v>0</v>
      </c>
      <c r="G10" s="66">
        <v>157140762</v>
      </c>
      <c r="H10" s="47">
        <f t="shared" si="0"/>
        <v>0</v>
      </c>
      <c r="I10" s="67">
        <f t="shared" ref="I10:I12" si="3">G10+H10</f>
        <v>157140762</v>
      </c>
      <c r="J10" s="272"/>
      <c r="K10" s="273"/>
      <c r="L10" s="274"/>
    </row>
    <row r="11" spans="1:15" ht="30" customHeight="1" x14ac:dyDescent="0.4">
      <c r="A11" s="63"/>
      <c r="B11" s="64" t="s">
        <v>136</v>
      </c>
      <c r="C11" s="46" t="s">
        <v>137</v>
      </c>
      <c r="D11" s="46"/>
      <c r="E11" s="47"/>
      <c r="F11" s="65">
        <f>식대비용!I3</f>
        <v>0</v>
      </c>
      <c r="G11" s="66">
        <v>264903818</v>
      </c>
      <c r="H11" s="47">
        <f t="shared" si="0"/>
        <v>0</v>
      </c>
      <c r="I11" s="67">
        <f t="shared" si="3"/>
        <v>264903818</v>
      </c>
      <c r="J11" s="272"/>
      <c r="K11" s="273"/>
      <c r="L11" s="274"/>
    </row>
    <row r="12" spans="1:15" ht="30" customHeight="1" x14ac:dyDescent="0.4">
      <c r="A12" s="63" t="s">
        <v>138</v>
      </c>
      <c r="B12" s="64"/>
      <c r="C12" s="46" t="s">
        <v>128</v>
      </c>
      <c r="D12" s="46"/>
      <c r="E12" s="47">
        <v>0</v>
      </c>
      <c r="F12" s="65">
        <f t="shared" si="2"/>
        <v>0</v>
      </c>
      <c r="G12" s="66">
        <v>0</v>
      </c>
      <c r="H12" s="47">
        <f t="shared" si="0"/>
        <v>0</v>
      </c>
      <c r="I12" s="67">
        <f t="shared" si="3"/>
        <v>0</v>
      </c>
      <c r="J12" s="272"/>
      <c r="K12" s="273"/>
      <c r="L12" s="274"/>
    </row>
    <row r="13" spans="1:15" ht="30" customHeight="1" x14ac:dyDescent="0.4">
      <c r="A13" s="71" t="s">
        <v>139</v>
      </c>
      <c r="B13" s="280" t="s">
        <v>140</v>
      </c>
      <c r="C13" s="281"/>
      <c r="D13" s="72"/>
      <c r="E13" s="72"/>
      <c r="F13" s="73">
        <f t="shared" ref="F13" si="4">SUM(F9:F12)</f>
        <v>0</v>
      </c>
      <c r="G13" s="74">
        <f>SUM(G9:G12)</f>
        <v>4099790830</v>
      </c>
      <c r="H13" s="75">
        <f t="shared" si="0"/>
        <v>0</v>
      </c>
      <c r="I13" s="76">
        <f>G13+H13</f>
        <v>4099790830</v>
      </c>
      <c r="J13" s="282"/>
      <c r="K13" s="283"/>
      <c r="L13" s="284"/>
    </row>
    <row r="14" spans="1:15" ht="30" customHeight="1" x14ac:dyDescent="0.4">
      <c r="A14" s="71" t="s">
        <v>141</v>
      </c>
      <c r="B14" s="280" t="s">
        <v>142</v>
      </c>
      <c r="C14" s="281"/>
      <c r="D14" s="72"/>
      <c r="E14" s="72"/>
      <c r="F14" s="73">
        <f>F8-F13</f>
        <v>0</v>
      </c>
      <c r="G14" s="74">
        <f>G8-G13</f>
        <v>2251232693</v>
      </c>
      <c r="H14" s="75">
        <f t="shared" si="0"/>
        <v>0</v>
      </c>
      <c r="I14" s="76">
        <f>G14+H14</f>
        <v>2251232693</v>
      </c>
      <c r="J14" s="282"/>
      <c r="K14" s="283"/>
      <c r="L14" s="284"/>
    </row>
    <row r="15" spans="1:15" ht="30" customHeight="1" x14ac:dyDescent="0.4">
      <c r="A15" s="63" t="s">
        <v>143</v>
      </c>
      <c r="B15" s="64" t="s">
        <v>144</v>
      </c>
      <c r="C15" s="46" t="s">
        <v>128</v>
      </c>
      <c r="D15" s="46"/>
      <c r="E15" s="46"/>
      <c r="F15" s="65">
        <v>-201000000</v>
      </c>
      <c r="G15" s="66">
        <v>501000000</v>
      </c>
      <c r="H15" s="47">
        <f t="shared" si="0"/>
        <v>-201000000</v>
      </c>
      <c r="I15" s="67">
        <f>G15+H15</f>
        <v>300000000</v>
      </c>
      <c r="J15" s="272"/>
      <c r="K15" s="273"/>
      <c r="L15" s="274"/>
      <c r="O15" s="174"/>
    </row>
    <row r="16" spans="1:15" ht="30" customHeight="1" x14ac:dyDescent="0.4">
      <c r="A16" s="63" t="s">
        <v>145</v>
      </c>
      <c r="B16" s="78" t="s">
        <v>146</v>
      </c>
      <c r="C16" s="46" t="s">
        <v>147</v>
      </c>
      <c r="D16" s="46"/>
      <c r="E16" s="46"/>
      <c r="F16" s="65"/>
      <c r="G16" s="66"/>
      <c r="H16" s="47">
        <f t="shared" si="0"/>
        <v>0</v>
      </c>
      <c r="I16" s="67">
        <f t="shared" ref="I16:I17" si="5">G16+H16</f>
        <v>0</v>
      </c>
      <c r="J16" s="272"/>
      <c r="K16" s="273"/>
      <c r="L16" s="274"/>
      <c r="N16" s="238"/>
    </row>
    <row r="17" spans="1:18" ht="30" customHeight="1" x14ac:dyDescent="0.4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 t="shared" si="0"/>
        <v>0</v>
      </c>
      <c r="I17" s="67">
        <f t="shared" si="5"/>
        <v>0</v>
      </c>
      <c r="J17" s="272"/>
      <c r="K17" s="273"/>
      <c r="L17" s="274"/>
      <c r="O17" s="174"/>
    </row>
    <row r="18" spans="1:18" ht="30" customHeight="1" x14ac:dyDescent="0.4">
      <c r="A18" s="71" t="s">
        <v>151</v>
      </c>
      <c r="B18" s="280" t="s">
        <v>152</v>
      </c>
      <c r="C18" s="281"/>
      <c r="D18" s="72"/>
      <c r="E18" s="72"/>
      <c r="F18" s="73">
        <f>F14-F15-F16-F17</f>
        <v>201000000</v>
      </c>
      <c r="G18" s="74">
        <f>G14-G15-G16-G17</f>
        <v>1750232693</v>
      </c>
      <c r="H18" s="75">
        <f t="shared" si="0"/>
        <v>201000000</v>
      </c>
      <c r="I18" s="76">
        <f>G18+H18</f>
        <v>1951232693</v>
      </c>
      <c r="J18" s="282"/>
      <c r="K18" s="283"/>
      <c r="L18" s="284"/>
      <c r="N18" s="174"/>
      <c r="O18" s="174"/>
      <c r="R18" s="174"/>
    </row>
    <row r="19" spans="1:18" ht="30" customHeight="1" x14ac:dyDescent="0.4">
      <c r="A19" s="289" t="s">
        <v>153</v>
      </c>
      <c r="B19" s="64" t="s">
        <v>154</v>
      </c>
      <c r="C19" s="46" t="s">
        <v>147</v>
      </c>
      <c r="D19" s="46"/>
      <c r="E19" s="46"/>
      <c r="F19" s="65"/>
      <c r="G19" s="66">
        <v>0</v>
      </c>
      <c r="H19" s="47">
        <f t="shared" si="0"/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8" ht="30" customHeight="1" x14ac:dyDescent="0.4">
      <c r="A20" s="289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90">
        <v>0</v>
      </c>
      <c r="L20" s="293">
        <f>K20-I20</f>
        <v>0</v>
      </c>
    </row>
    <row r="21" spans="1:18" ht="30" customHeight="1" x14ac:dyDescent="0.4">
      <c r="A21" s="296" t="s">
        <v>159</v>
      </c>
      <c r="B21" s="297"/>
      <c r="C21" s="298"/>
      <c r="D21" s="81"/>
      <c r="E21" s="81"/>
      <c r="F21" s="82">
        <f>F18-F20</f>
        <v>201000000</v>
      </c>
      <c r="G21" s="83">
        <f>G18-G19</f>
        <v>1750232693</v>
      </c>
      <c r="H21" s="84">
        <f>F21</f>
        <v>201000000</v>
      </c>
      <c r="I21" s="85">
        <f>G21+H21</f>
        <v>1951232693</v>
      </c>
      <c r="J21" s="81"/>
      <c r="K21" s="291"/>
      <c r="L21" s="294"/>
    </row>
    <row r="22" spans="1:18" ht="30" customHeight="1" x14ac:dyDescent="0.4">
      <c r="A22" s="296" t="s">
        <v>160</v>
      </c>
      <c r="B22" s="297"/>
      <c r="C22" s="298"/>
      <c r="D22" s="81"/>
      <c r="E22" s="81"/>
      <c r="F22" s="82">
        <f>ROUNDDOWN(F21,-5)</f>
        <v>201000000</v>
      </c>
      <c r="G22" s="83">
        <v>1750000000</v>
      </c>
      <c r="H22" s="84">
        <f t="shared" ref="H22" si="6">F22</f>
        <v>201000000</v>
      </c>
      <c r="I22" s="85">
        <f>G22+H22</f>
        <v>1951000000</v>
      </c>
      <c r="J22" s="86" t="s">
        <v>161</v>
      </c>
      <c r="K22" s="292"/>
      <c r="L22" s="295"/>
    </row>
    <row r="23" spans="1:18" ht="30" customHeight="1" x14ac:dyDescent="0.4">
      <c r="A23" s="285" t="s">
        <v>162</v>
      </c>
      <c r="B23" s="286"/>
      <c r="C23" s="287"/>
      <c r="D23" s="286" t="s">
        <v>163</v>
      </c>
      <c r="E23" s="286"/>
      <c r="F23" s="286"/>
      <c r="G23" s="286"/>
      <c r="H23" s="286"/>
      <c r="I23" s="286"/>
      <c r="J23" s="286"/>
      <c r="K23" s="286"/>
      <c r="L23" s="288"/>
    </row>
    <row r="24" spans="1:18" ht="21" customHeight="1" x14ac:dyDescent="0.4">
      <c r="A24" s="87" t="s">
        <v>164</v>
      </c>
      <c r="L24" s="88"/>
    </row>
    <row r="25" spans="1:18" ht="21" customHeight="1" x14ac:dyDescent="0.4">
      <c r="A25" s="87" t="s">
        <v>165</v>
      </c>
      <c r="L25" s="88"/>
    </row>
    <row r="26" spans="1:18" ht="21" customHeight="1" thickBot="1" x14ac:dyDescent="0.45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8" ht="18" thickTop="1" x14ac:dyDescent="0.4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6" fitToHeight="0" orientation="landscape" r:id="rId1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03"/>
  <sheetViews>
    <sheetView view="pageBreakPreview" zoomScale="60" zoomScaleNormal="70" workbookViewId="0">
      <selection activeCell="T10" sqref="T10"/>
    </sheetView>
  </sheetViews>
  <sheetFormatPr defaultRowHeight="17.399999999999999" x14ac:dyDescent="0.4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9" width="7.59765625" style="100" customWidth="1"/>
    <col min="40" max="40" width="11.8984375" style="100" customWidth="1"/>
    <col min="41" max="41" width="15.8984375" style="137" bestFit="1" customWidth="1"/>
    <col min="42" max="42" width="18.19921875" style="139" bestFit="1" customWidth="1"/>
  </cols>
  <sheetData>
    <row r="1" spans="1:42" ht="32.1" customHeight="1" x14ac:dyDescent="0.4">
      <c r="A1" s="311" t="s">
        <v>331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2"/>
      <c r="AC1" s="312"/>
      <c r="AD1" s="312"/>
      <c r="AE1" s="312"/>
      <c r="AF1" s="312"/>
      <c r="AG1" s="313"/>
      <c r="AH1" s="302" t="s">
        <v>221</v>
      </c>
      <c r="AI1" s="303"/>
      <c r="AJ1" s="303"/>
      <c r="AK1" s="303"/>
      <c r="AL1" s="304"/>
      <c r="AM1" s="299" t="str">
        <f>'용역청구서 표지'!$B$7</f>
        <v>P4 Ph4 GAS 1공구 마감공사</v>
      </c>
      <c r="AN1" s="300"/>
      <c r="AO1" s="300"/>
      <c r="AP1" s="301"/>
    </row>
    <row r="2" spans="1:42" ht="32.1" customHeight="1" x14ac:dyDescent="0.4">
      <c r="A2" s="314"/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5"/>
      <c r="W2" s="315"/>
      <c r="X2" s="315"/>
      <c r="Y2" s="315"/>
      <c r="Z2" s="315"/>
      <c r="AA2" s="315"/>
      <c r="AB2" s="315"/>
      <c r="AC2" s="315"/>
      <c r="AD2" s="315"/>
      <c r="AE2" s="315"/>
      <c r="AF2" s="315"/>
      <c r="AG2" s="316"/>
      <c r="AH2" s="302" t="s">
        <v>222</v>
      </c>
      <c r="AI2" s="303"/>
      <c r="AJ2" s="303"/>
      <c r="AK2" s="303"/>
      <c r="AL2" s="304"/>
      <c r="AM2" s="299" t="s">
        <v>301</v>
      </c>
      <c r="AN2" s="300"/>
      <c r="AO2" s="300"/>
      <c r="AP2" s="301"/>
    </row>
    <row r="3" spans="1:42" ht="32.1" customHeight="1" x14ac:dyDescent="0.4">
      <c r="A3" s="317"/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9"/>
      <c r="AH3" s="302" t="s">
        <v>223</v>
      </c>
      <c r="AI3" s="303"/>
      <c r="AJ3" s="303"/>
      <c r="AK3" s="303"/>
      <c r="AL3" s="304"/>
      <c r="AM3" s="299" t="str">
        <f>'용역청구서 표지'!$C$8</f>
        <v>S25-004</v>
      </c>
      <c r="AN3" s="300"/>
      <c r="AO3" s="300"/>
      <c r="AP3" s="301"/>
    </row>
    <row r="4" spans="1:42" ht="24.9" customHeight="1" thickBot="1" x14ac:dyDescent="0.45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 x14ac:dyDescent="0.45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243">
        <v>1</v>
      </c>
      <c r="J5" s="110">
        <v>2</v>
      </c>
      <c r="K5" s="184">
        <v>3</v>
      </c>
      <c r="L5" s="184">
        <v>4</v>
      </c>
      <c r="M5" s="184">
        <v>5</v>
      </c>
      <c r="N5" s="184">
        <v>6</v>
      </c>
      <c r="O5" s="184">
        <v>7</v>
      </c>
      <c r="P5" s="109">
        <v>8</v>
      </c>
      <c r="Q5" s="110">
        <v>9</v>
      </c>
      <c r="R5" s="184">
        <v>10</v>
      </c>
      <c r="S5" s="184">
        <v>11</v>
      </c>
      <c r="T5" s="184">
        <v>12</v>
      </c>
      <c r="U5" s="184">
        <v>13</v>
      </c>
      <c r="V5" s="184">
        <v>14</v>
      </c>
      <c r="W5" s="110">
        <v>15</v>
      </c>
      <c r="X5" s="110">
        <v>16</v>
      </c>
      <c r="Y5" s="110">
        <v>17</v>
      </c>
      <c r="Z5" s="184">
        <v>18</v>
      </c>
      <c r="AA5" s="184">
        <v>19</v>
      </c>
      <c r="AB5" s="184">
        <v>20</v>
      </c>
      <c r="AC5" s="184">
        <v>21</v>
      </c>
      <c r="AD5" s="109">
        <v>22</v>
      </c>
      <c r="AE5" s="110">
        <v>23</v>
      </c>
      <c r="AF5" s="184">
        <v>24</v>
      </c>
      <c r="AG5" s="184">
        <v>25</v>
      </c>
      <c r="AH5" s="184">
        <v>26</v>
      </c>
      <c r="AI5" s="184">
        <v>27</v>
      </c>
      <c r="AJ5" s="184">
        <v>28</v>
      </c>
      <c r="AK5" s="109">
        <v>29</v>
      </c>
      <c r="AL5" s="110">
        <v>30</v>
      </c>
      <c r="AM5" s="241">
        <v>31</v>
      </c>
      <c r="AN5" s="111" t="s">
        <v>232</v>
      </c>
      <c r="AO5" s="106" t="s">
        <v>233</v>
      </c>
      <c r="AP5" s="112" t="s">
        <v>234</v>
      </c>
    </row>
    <row r="6" spans="1:42" ht="24.9" customHeight="1" x14ac:dyDescent="0.4">
      <c r="A6" s="113">
        <v>1</v>
      </c>
      <c r="B6" s="114"/>
      <c r="C6" s="115"/>
      <c r="D6" s="115"/>
      <c r="E6" s="115"/>
      <c r="F6" s="116"/>
      <c r="G6" s="117"/>
      <c r="H6" s="118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20">
        <f>SUM(I6:AM6)</f>
        <v>0</v>
      </c>
      <c r="AO6" s="116"/>
      <c r="AP6" s="121">
        <f>AN6*AO6</f>
        <v>0</v>
      </c>
    </row>
    <row r="7" spans="1:42" ht="24.9" customHeight="1" x14ac:dyDescent="0.4">
      <c r="A7" s="122">
        <v>2</v>
      </c>
      <c r="B7" s="114"/>
      <c r="C7" s="115"/>
      <c r="D7" s="123"/>
      <c r="E7" s="115"/>
      <c r="F7" s="124"/>
      <c r="G7" s="117"/>
      <c r="H7" s="118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20">
        <f t="shared" ref="AN7:AN11" si="0">SUM(I7:AM7)</f>
        <v>0</v>
      </c>
      <c r="AO7" s="116"/>
      <c r="AP7" s="121">
        <f t="shared" ref="AP7:AP11" si="1">AN7*AO7</f>
        <v>0</v>
      </c>
    </row>
    <row r="8" spans="1:42" ht="24.9" customHeight="1" x14ac:dyDescent="0.4">
      <c r="A8" s="122">
        <v>3</v>
      </c>
      <c r="B8" s="114"/>
      <c r="C8" s="115"/>
      <c r="D8" s="125"/>
      <c r="E8" s="115"/>
      <c r="F8" s="124"/>
      <c r="G8" s="117"/>
      <c r="H8" s="118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20">
        <f t="shared" si="0"/>
        <v>0</v>
      </c>
      <c r="AO8" s="116"/>
      <c r="AP8" s="121">
        <f t="shared" si="1"/>
        <v>0</v>
      </c>
    </row>
    <row r="9" spans="1:42" ht="24.9" customHeight="1" x14ac:dyDescent="0.4">
      <c r="A9" s="122">
        <v>4</v>
      </c>
      <c r="B9" s="114"/>
      <c r="C9" s="115"/>
      <c r="D9" s="123"/>
      <c r="E9" s="115"/>
      <c r="F9" s="124"/>
      <c r="G9" s="117"/>
      <c r="H9" s="118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20">
        <f t="shared" si="0"/>
        <v>0</v>
      </c>
      <c r="AO9" s="116"/>
      <c r="AP9" s="121">
        <f t="shared" si="1"/>
        <v>0</v>
      </c>
    </row>
    <row r="10" spans="1:42" ht="24.9" customHeight="1" x14ac:dyDescent="0.4">
      <c r="A10" s="122">
        <v>5</v>
      </c>
      <c r="B10" s="114"/>
      <c r="C10" s="115"/>
      <c r="D10" s="123"/>
      <c r="E10" s="115"/>
      <c r="F10" s="124"/>
      <c r="G10" s="117"/>
      <c r="H10" s="118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20">
        <f t="shared" si="0"/>
        <v>0</v>
      </c>
      <c r="AO10" s="116"/>
      <c r="AP10" s="121">
        <f t="shared" si="1"/>
        <v>0</v>
      </c>
    </row>
    <row r="11" spans="1:42" ht="24.9" customHeight="1" x14ac:dyDescent="0.4">
      <c r="A11" s="122">
        <v>6</v>
      </c>
      <c r="B11" s="114"/>
      <c r="C11" s="115"/>
      <c r="D11" s="125"/>
      <c r="E11" s="115"/>
      <c r="F11" s="124"/>
      <c r="G11" s="117"/>
      <c r="H11" s="118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20">
        <f t="shared" si="0"/>
        <v>0</v>
      </c>
      <c r="AO11" s="116"/>
      <c r="AP11" s="121">
        <f t="shared" si="1"/>
        <v>0</v>
      </c>
    </row>
    <row r="12" spans="1:42" ht="24.9" customHeight="1" x14ac:dyDescent="0.4">
      <c r="A12" s="122">
        <v>7</v>
      </c>
      <c r="B12" s="114"/>
      <c r="C12" s="115"/>
      <c r="D12" s="123"/>
      <c r="E12" s="115"/>
      <c r="F12" s="124"/>
      <c r="G12" s="117"/>
      <c r="H12" s="118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20">
        <f t="shared" ref="AN12:AN14" si="2">SUM(I12:AM12)</f>
        <v>0</v>
      </c>
      <c r="AO12" s="116"/>
      <c r="AP12" s="121">
        <f t="shared" ref="AP12:AP14" si="3">AN12*AO12</f>
        <v>0</v>
      </c>
    </row>
    <row r="13" spans="1:42" ht="24.9" customHeight="1" x14ac:dyDescent="0.4">
      <c r="A13" s="122">
        <v>8</v>
      </c>
      <c r="B13" s="114"/>
      <c r="C13" s="115"/>
      <c r="D13" s="125"/>
      <c r="E13" s="115"/>
      <c r="F13" s="124"/>
      <c r="G13" s="117"/>
      <c r="H13" s="118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20">
        <f t="shared" si="2"/>
        <v>0</v>
      </c>
      <c r="AO13" s="116"/>
      <c r="AP13" s="121">
        <f t="shared" si="3"/>
        <v>0</v>
      </c>
    </row>
    <row r="14" spans="1:42" ht="24.9" customHeight="1" thickBot="1" x14ac:dyDescent="0.45">
      <c r="A14" s="122">
        <v>9</v>
      </c>
      <c r="B14" s="114"/>
      <c r="C14" s="115"/>
      <c r="D14" s="125"/>
      <c r="E14" s="115"/>
      <c r="F14" s="124"/>
      <c r="G14" s="117"/>
      <c r="H14" s="118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20">
        <f t="shared" si="2"/>
        <v>0</v>
      </c>
      <c r="AO14" s="116"/>
      <c r="AP14" s="121">
        <f t="shared" si="3"/>
        <v>0</v>
      </c>
    </row>
    <row r="15" spans="1:42" ht="30" customHeight="1" thickBot="1" x14ac:dyDescent="0.45">
      <c r="A15" s="305" t="s">
        <v>220</v>
      </c>
      <c r="B15" s="306"/>
      <c r="C15" s="306"/>
      <c r="D15" s="306"/>
      <c r="E15" s="306"/>
      <c r="F15" s="306"/>
      <c r="G15" s="306"/>
      <c r="H15" s="307"/>
      <c r="I15" s="126">
        <f t="shared" ref="I15:AN15" si="4">SUM(I6:I14)</f>
        <v>0</v>
      </c>
      <c r="J15" s="127">
        <f t="shared" si="4"/>
        <v>0</v>
      </c>
      <c r="K15" s="127">
        <f t="shared" si="4"/>
        <v>0</v>
      </c>
      <c r="L15" s="127">
        <f t="shared" si="4"/>
        <v>0</v>
      </c>
      <c r="M15" s="127">
        <f t="shared" si="4"/>
        <v>0</v>
      </c>
      <c r="N15" s="127">
        <f t="shared" si="4"/>
        <v>0</v>
      </c>
      <c r="O15" s="127">
        <f t="shared" si="4"/>
        <v>0</v>
      </c>
      <c r="P15" s="127">
        <f t="shared" si="4"/>
        <v>0</v>
      </c>
      <c r="Q15" s="127">
        <f t="shared" si="4"/>
        <v>0</v>
      </c>
      <c r="R15" s="127">
        <f t="shared" si="4"/>
        <v>0</v>
      </c>
      <c r="S15" s="127">
        <f t="shared" si="4"/>
        <v>0</v>
      </c>
      <c r="T15" s="127">
        <f t="shared" si="4"/>
        <v>0</v>
      </c>
      <c r="U15" s="127">
        <f t="shared" si="4"/>
        <v>0</v>
      </c>
      <c r="V15" s="127">
        <f t="shared" si="4"/>
        <v>0</v>
      </c>
      <c r="W15" s="127">
        <f t="shared" si="4"/>
        <v>0</v>
      </c>
      <c r="X15" s="127">
        <f t="shared" si="4"/>
        <v>0</v>
      </c>
      <c r="Y15" s="127">
        <f t="shared" si="4"/>
        <v>0</v>
      </c>
      <c r="Z15" s="127">
        <f t="shared" si="4"/>
        <v>0</v>
      </c>
      <c r="AA15" s="127">
        <f t="shared" si="4"/>
        <v>0</v>
      </c>
      <c r="AB15" s="127">
        <f t="shared" si="4"/>
        <v>0</v>
      </c>
      <c r="AC15" s="127">
        <f t="shared" si="4"/>
        <v>0</v>
      </c>
      <c r="AD15" s="127">
        <f t="shared" si="4"/>
        <v>0</v>
      </c>
      <c r="AE15" s="127">
        <f t="shared" si="4"/>
        <v>0</v>
      </c>
      <c r="AF15" s="127">
        <f t="shared" si="4"/>
        <v>0</v>
      </c>
      <c r="AG15" s="127">
        <f t="shared" si="4"/>
        <v>0</v>
      </c>
      <c r="AH15" s="127">
        <f t="shared" si="4"/>
        <v>0</v>
      </c>
      <c r="AI15" s="127">
        <f t="shared" si="4"/>
        <v>0</v>
      </c>
      <c r="AJ15" s="127">
        <f t="shared" si="4"/>
        <v>0</v>
      </c>
      <c r="AK15" s="127">
        <f t="shared" si="4"/>
        <v>0</v>
      </c>
      <c r="AL15" s="127">
        <f t="shared" si="4"/>
        <v>0</v>
      </c>
      <c r="AM15" s="128">
        <f t="shared" si="4"/>
        <v>0</v>
      </c>
      <c r="AN15" s="129">
        <f t="shared" si="4"/>
        <v>0</v>
      </c>
      <c r="AO15" s="130" t="e">
        <f>AP15/AN15</f>
        <v>#DIV/0!</v>
      </c>
      <c r="AP15" s="131">
        <f>SUM(AP6:AP14)</f>
        <v>0</v>
      </c>
    </row>
    <row r="16" spans="1:42" ht="24.9" customHeight="1" x14ac:dyDescent="0.4">
      <c r="A16" s="113">
        <v>1</v>
      </c>
      <c r="B16" s="114"/>
      <c r="C16" s="115"/>
      <c r="D16" s="115"/>
      <c r="E16" s="115"/>
      <c r="F16" s="116"/>
      <c r="G16" s="117"/>
      <c r="H16" s="118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20">
        <f>SUM(I16:AM16)</f>
        <v>0</v>
      </c>
      <c r="AO16" s="116"/>
      <c r="AP16" s="121">
        <f>AN16*AO16</f>
        <v>0</v>
      </c>
    </row>
    <row r="17" spans="1:42" ht="24.9" customHeight="1" x14ac:dyDescent="0.4">
      <c r="A17" s="122">
        <v>2</v>
      </c>
      <c r="B17" s="114"/>
      <c r="C17" s="115"/>
      <c r="D17" s="123"/>
      <c r="E17" s="115"/>
      <c r="F17" s="124"/>
      <c r="G17" s="117"/>
      <c r="H17" s="118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20">
        <f t="shared" ref="AN17:AN20" si="5">SUM(I17:AM17)</f>
        <v>0</v>
      </c>
      <c r="AO17" s="116"/>
      <c r="AP17" s="121">
        <f t="shared" ref="AP17:AP20" si="6">AN17*AO17</f>
        <v>0</v>
      </c>
    </row>
    <row r="18" spans="1:42" ht="24.9" customHeight="1" x14ac:dyDescent="0.4">
      <c r="A18" s="122">
        <v>3</v>
      </c>
      <c r="B18" s="114"/>
      <c r="C18" s="115"/>
      <c r="D18" s="125"/>
      <c r="E18" s="115"/>
      <c r="F18" s="124"/>
      <c r="G18" s="117"/>
      <c r="H18" s="118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20">
        <f t="shared" si="5"/>
        <v>0</v>
      </c>
      <c r="AO18" s="116"/>
      <c r="AP18" s="121">
        <f t="shared" si="6"/>
        <v>0</v>
      </c>
    </row>
    <row r="19" spans="1:42" ht="24.9" customHeight="1" x14ac:dyDescent="0.4">
      <c r="A19" s="122">
        <v>4</v>
      </c>
      <c r="B19" s="114"/>
      <c r="C19" s="115"/>
      <c r="D19" s="123"/>
      <c r="E19" s="115"/>
      <c r="F19" s="124"/>
      <c r="G19" s="117"/>
      <c r="H19" s="118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20">
        <f t="shared" si="5"/>
        <v>0</v>
      </c>
      <c r="AO19" s="116"/>
      <c r="AP19" s="121">
        <f t="shared" si="6"/>
        <v>0</v>
      </c>
    </row>
    <row r="20" spans="1:42" ht="24.9" customHeight="1" thickBot="1" x14ac:dyDescent="0.45">
      <c r="A20" s="122">
        <v>5</v>
      </c>
      <c r="B20" s="114"/>
      <c r="C20" s="115"/>
      <c r="D20" s="123"/>
      <c r="E20" s="115"/>
      <c r="F20" s="124"/>
      <c r="G20" s="117"/>
      <c r="H20" s="118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20">
        <f t="shared" si="5"/>
        <v>0</v>
      </c>
      <c r="AO20" s="116"/>
      <c r="AP20" s="121">
        <f t="shared" si="6"/>
        <v>0</v>
      </c>
    </row>
    <row r="21" spans="1:42" ht="30" customHeight="1" thickBot="1" x14ac:dyDescent="0.45">
      <c r="A21" s="305" t="s">
        <v>235</v>
      </c>
      <c r="B21" s="306"/>
      <c r="C21" s="306"/>
      <c r="D21" s="306"/>
      <c r="E21" s="306"/>
      <c r="F21" s="306"/>
      <c r="G21" s="306"/>
      <c r="H21" s="307"/>
      <c r="I21" s="126">
        <f t="shared" ref="I21:AN21" si="7">SUM(I16:I20)</f>
        <v>0</v>
      </c>
      <c r="J21" s="127">
        <f t="shared" si="7"/>
        <v>0</v>
      </c>
      <c r="K21" s="127">
        <f t="shared" si="7"/>
        <v>0</v>
      </c>
      <c r="L21" s="127">
        <f t="shared" si="7"/>
        <v>0</v>
      </c>
      <c r="M21" s="127">
        <f t="shared" si="7"/>
        <v>0</v>
      </c>
      <c r="N21" s="127">
        <f t="shared" si="7"/>
        <v>0</v>
      </c>
      <c r="O21" s="127">
        <f t="shared" si="7"/>
        <v>0</v>
      </c>
      <c r="P21" s="127">
        <f t="shared" si="7"/>
        <v>0</v>
      </c>
      <c r="Q21" s="127">
        <f t="shared" si="7"/>
        <v>0</v>
      </c>
      <c r="R21" s="127">
        <f t="shared" si="7"/>
        <v>0</v>
      </c>
      <c r="S21" s="127">
        <f t="shared" si="7"/>
        <v>0</v>
      </c>
      <c r="T21" s="127">
        <f t="shared" si="7"/>
        <v>0</v>
      </c>
      <c r="U21" s="127">
        <f t="shared" si="7"/>
        <v>0</v>
      </c>
      <c r="V21" s="127">
        <f t="shared" si="7"/>
        <v>0</v>
      </c>
      <c r="W21" s="127">
        <f t="shared" si="7"/>
        <v>0</v>
      </c>
      <c r="X21" s="127">
        <f t="shared" si="7"/>
        <v>0</v>
      </c>
      <c r="Y21" s="127">
        <f t="shared" si="7"/>
        <v>0</v>
      </c>
      <c r="Z21" s="127">
        <f t="shared" si="7"/>
        <v>0</v>
      </c>
      <c r="AA21" s="127">
        <f t="shared" si="7"/>
        <v>0</v>
      </c>
      <c r="AB21" s="127">
        <f t="shared" si="7"/>
        <v>0</v>
      </c>
      <c r="AC21" s="127">
        <f t="shared" si="7"/>
        <v>0</v>
      </c>
      <c r="AD21" s="127">
        <f t="shared" si="7"/>
        <v>0</v>
      </c>
      <c r="AE21" s="127">
        <f t="shared" si="7"/>
        <v>0</v>
      </c>
      <c r="AF21" s="127">
        <f t="shared" si="7"/>
        <v>0</v>
      </c>
      <c r="AG21" s="127">
        <f t="shared" si="7"/>
        <v>0</v>
      </c>
      <c r="AH21" s="127">
        <f t="shared" si="7"/>
        <v>0</v>
      </c>
      <c r="AI21" s="127">
        <f t="shared" si="7"/>
        <v>0</v>
      </c>
      <c r="AJ21" s="127">
        <f t="shared" si="7"/>
        <v>0</v>
      </c>
      <c r="AK21" s="127">
        <f t="shared" si="7"/>
        <v>0</v>
      </c>
      <c r="AL21" s="127">
        <f t="shared" si="7"/>
        <v>0</v>
      </c>
      <c r="AM21" s="128">
        <f t="shared" si="7"/>
        <v>0</v>
      </c>
      <c r="AN21" s="129">
        <f t="shared" si="7"/>
        <v>0</v>
      </c>
      <c r="AO21" s="130"/>
      <c r="AP21" s="131">
        <f>SUM(AP16:AP20)</f>
        <v>0</v>
      </c>
    </row>
    <row r="22" spans="1:42" ht="35.1" customHeight="1" thickBot="1" x14ac:dyDescent="0.45">
      <c r="A22" s="308" t="s">
        <v>236</v>
      </c>
      <c r="B22" s="309"/>
      <c r="C22" s="309"/>
      <c r="D22" s="309"/>
      <c r="E22" s="309"/>
      <c r="F22" s="309"/>
      <c r="G22" s="309"/>
      <c r="H22" s="310"/>
      <c r="I22" s="132">
        <f t="shared" ref="I22:AN22" si="8">I15+I21</f>
        <v>0</v>
      </c>
      <c r="J22" s="133">
        <f t="shared" si="8"/>
        <v>0</v>
      </c>
      <c r="K22" s="133">
        <f t="shared" si="8"/>
        <v>0</v>
      </c>
      <c r="L22" s="133">
        <f t="shared" si="8"/>
        <v>0</v>
      </c>
      <c r="M22" s="133">
        <f t="shared" si="8"/>
        <v>0</v>
      </c>
      <c r="N22" s="133">
        <f t="shared" si="8"/>
        <v>0</v>
      </c>
      <c r="O22" s="133">
        <f t="shared" si="8"/>
        <v>0</v>
      </c>
      <c r="P22" s="133">
        <f t="shared" si="8"/>
        <v>0</v>
      </c>
      <c r="Q22" s="133">
        <f t="shared" si="8"/>
        <v>0</v>
      </c>
      <c r="R22" s="133">
        <f t="shared" si="8"/>
        <v>0</v>
      </c>
      <c r="S22" s="133">
        <f t="shared" si="8"/>
        <v>0</v>
      </c>
      <c r="T22" s="133">
        <f t="shared" si="8"/>
        <v>0</v>
      </c>
      <c r="U22" s="133">
        <f t="shared" si="8"/>
        <v>0</v>
      </c>
      <c r="V22" s="133">
        <f t="shared" si="8"/>
        <v>0</v>
      </c>
      <c r="W22" s="133">
        <f t="shared" si="8"/>
        <v>0</v>
      </c>
      <c r="X22" s="133">
        <f t="shared" si="8"/>
        <v>0</v>
      </c>
      <c r="Y22" s="133">
        <f t="shared" si="8"/>
        <v>0</v>
      </c>
      <c r="Z22" s="133">
        <f t="shared" si="8"/>
        <v>0</v>
      </c>
      <c r="AA22" s="133">
        <f t="shared" si="8"/>
        <v>0</v>
      </c>
      <c r="AB22" s="133">
        <f t="shared" si="8"/>
        <v>0</v>
      </c>
      <c r="AC22" s="133">
        <f t="shared" si="8"/>
        <v>0</v>
      </c>
      <c r="AD22" s="133">
        <f t="shared" si="8"/>
        <v>0</v>
      </c>
      <c r="AE22" s="133">
        <f t="shared" si="8"/>
        <v>0</v>
      </c>
      <c r="AF22" s="133">
        <f t="shared" si="8"/>
        <v>0</v>
      </c>
      <c r="AG22" s="133">
        <f t="shared" si="8"/>
        <v>0</v>
      </c>
      <c r="AH22" s="133">
        <f t="shared" si="8"/>
        <v>0</v>
      </c>
      <c r="AI22" s="133">
        <f t="shared" si="8"/>
        <v>0</v>
      </c>
      <c r="AJ22" s="133">
        <f t="shared" si="8"/>
        <v>0</v>
      </c>
      <c r="AK22" s="133">
        <f t="shared" si="8"/>
        <v>0</v>
      </c>
      <c r="AL22" s="133">
        <f t="shared" si="8"/>
        <v>0</v>
      </c>
      <c r="AM22" s="133">
        <f t="shared" si="8"/>
        <v>0</v>
      </c>
      <c r="AN22" s="134">
        <f t="shared" si="8"/>
        <v>0</v>
      </c>
      <c r="AO22" s="135" t="e">
        <f>AP22/AN22</f>
        <v>#DIV/0!</v>
      </c>
      <c r="AP22" s="136">
        <f>AP15+AP21</f>
        <v>0</v>
      </c>
    </row>
    <row r="23" spans="1:42" x14ac:dyDescent="0.4">
      <c r="G23" s="100"/>
      <c r="H23" s="100"/>
      <c r="AG23" s="137"/>
      <c r="AI23" s="138"/>
      <c r="AO23" s="100"/>
    </row>
    <row r="24" spans="1:42" x14ac:dyDescent="0.4">
      <c r="G24" s="100"/>
      <c r="H24" s="100"/>
      <c r="AG24" s="137"/>
      <c r="AI24" s="138"/>
      <c r="AO24" s="100"/>
    </row>
    <row r="25" spans="1:42" x14ac:dyDescent="0.4">
      <c r="G25" s="100"/>
      <c r="H25" s="100"/>
      <c r="AG25" s="137"/>
      <c r="AI25" s="138"/>
      <c r="AO25" s="100"/>
    </row>
    <row r="26" spans="1:42" x14ac:dyDescent="0.4">
      <c r="G26" s="100"/>
      <c r="H26" s="100"/>
      <c r="AG26" s="137"/>
      <c r="AI26" s="138"/>
      <c r="AO26" s="100"/>
    </row>
    <row r="27" spans="1:42" x14ac:dyDescent="0.4">
      <c r="G27" s="100"/>
      <c r="H27" s="100"/>
      <c r="AI27" s="137"/>
      <c r="AM27" s="138"/>
      <c r="AO27" s="100"/>
    </row>
    <row r="28" spans="1:42" x14ac:dyDescent="0.4">
      <c r="G28" s="100"/>
      <c r="H28" s="100"/>
      <c r="AI28" s="137"/>
      <c r="AJ28" s="137"/>
      <c r="AM28" s="138"/>
      <c r="AO28" s="100"/>
    </row>
    <row r="29" spans="1:42" x14ac:dyDescent="0.4">
      <c r="G29" s="100"/>
      <c r="H29" s="100"/>
      <c r="AJ29" s="137"/>
      <c r="AK29" s="137"/>
      <c r="AL29" s="137"/>
      <c r="AO29" s="100"/>
    </row>
    <row r="30" spans="1:42" x14ac:dyDescent="0.4">
      <c r="G30" s="100"/>
      <c r="H30" s="100"/>
      <c r="AJ30" s="137"/>
      <c r="AK30" s="137"/>
      <c r="AL30" s="137"/>
      <c r="AO30" s="100"/>
    </row>
    <row r="31" spans="1:42" x14ac:dyDescent="0.4">
      <c r="G31" s="100"/>
      <c r="H31" s="100"/>
      <c r="AJ31" s="137"/>
      <c r="AK31" s="137"/>
      <c r="AL31" s="137"/>
      <c r="AO31" s="100"/>
    </row>
    <row r="32" spans="1:42" x14ac:dyDescent="0.4">
      <c r="G32" s="100"/>
      <c r="H32" s="100"/>
      <c r="AK32" s="137"/>
      <c r="AL32" s="137"/>
      <c r="AO32" s="100"/>
    </row>
    <row r="33" spans="3:41" x14ac:dyDescent="0.4">
      <c r="C33" s="101"/>
      <c r="D33" s="101"/>
      <c r="E33" s="101"/>
      <c r="G33" s="100"/>
      <c r="H33" s="100"/>
      <c r="AN33" s="138"/>
      <c r="AO33" s="100"/>
    </row>
    <row r="34" spans="3:41" x14ac:dyDescent="0.4">
      <c r="C34" s="101"/>
      <c r="D34" s="101"/>
      <c r="E34" s="101"/>
      <c r="G34" s="100"/>
      <c r="H34" s="100"/>
      <c r="AN34" s="138"/>
      <c r="AO34" s="100"/>
    </row>
    <row r="35" spans="3:41" x14ac:dyDescent="0.4">
      <c r="C35" s="101"/>
      <c r="D35" s="101"/>
      <c r="E35" s="101"/>
      <c r="G35" s="100"/>
      <c r="H35" s="100"/>
      <c r="AN35" s="138"/>
      <c r="AO35" s="100"/>
    </row>
    <row r="36" spans="3:41" x14ac:dyDescent="0.4">
      <c r="C36" s="101"/>
      <c r="D36" s="101"/>
      <c r="E36" s="101"/>
      <c r="G36" s="100"/>
      <c r="H36" s="100"/>
      <c r="AN36" s="138"/>
      <c r="AO36" s="100"/>
    </row>
    <row r="37" spans="3:41" x14ac:dyDescent="0.4">
      <c r="C37" s="101"/>
      <c r="D37" s="101"/>
      <c r="E37" s="101"/>
      <c r="G37" s="100"/>
      <c r="H37" s="100"/>
      <c r="AN37" s="138"/>
      <c r="AO37" s="100"/>
    </row>
    <row r="38" spans="3:41" x14ac:dyDescent="0.4">
      <c r="E38" s="101"/>
      <c r="F38" s="101"/>
      <c r="G38" s="100"/>
      <c r="H38" s="100"/>
      <c r="AO38" s="138"/>
    </row>
    <row r="39" spans="3:41" x14ac:dyDescent="0.4">
      <c r="E39" s="101"/>
      <c r="F39" s="101"/>
      <c r="G39" s="100"/>
      <c r="H39" s="100"/>
      <c r="AO39" s="138"/>
    </row>
    <row r="40" spans="3:41" x14ac:dyDescent="0.4">
      <c r="E40" s="101"/>
      <c r="F40" s="101"/>
      <c r="G40" s="100"/>
      <c r="H40" s="100"/>
      <c r="AO40" s="138"/>
    </row>
    <row r="41" spans="3:41" x14ac:dyDescent="0.4">
      <c r="E41" s="101"/>
      <c r="F41" s="101"/>
      <c r="G41" s="100"/>
      <c r="H41" s="100"/>
      <c r="AO41" s="138"/>
    </row>
    <row r="42" spans="3:41" x14ac:dyDescent="0.4">
      <c r="E42" s="101"/>
      <c r="F42" s="101"/>
      <c r="G42" s="100"/>
      <c r="H42" s="100"/>
      <c r="AO42" s="138"/>
    </row>
    <row r="43" spans="3:41" x14ac:dyDescent="0.4">
      <c r="E43" s="101"/>
      <c r="F43" s="101"/>
      <c r="G43" s="100"/>
      <c r="H43" s="100"/>
      <c r="AO43" s="138"/>
    </row>
    <row r="44" spans="3:41" x14ac:dyDescent="0.4">
      <c r="E44" s="101"/>
      <c r="F44" s="101"/>
      <c r="G44" s="100"/>
      <c r="H44" s="100"/>
      <c r="AO44" s="138"/>
    </row>
    <row r="45" spans="3:41" x14ac:dyDescent="0.4">
      <c r="E45" s="101"/>
      <c r="F45" s="101"/>
      <c r="G45" s="100"/>
      <c r="H45" s="100"/>
      <c r="AO45" s="138"/>
    </row>
    <row r="46" spans="3:41" x14ac:dyDescent="0.4">
      <c r="E46" s="101"/>
      <c r="F46" s="101"/>
      <c r="G46" s="100"/>
      <c r="H46" s="100"/>
      <c r="AO46" s="138"/>
    </row>
    <row r="47" spans="3:41" x14ac:dyDescent="0.4">
      <c r="E47" s="101"/>
      <c r="F47" s="101"/>
      <c r="G47" s="100"/>
      <c r="H47" s="100"/>
      <c r="AO47" s="138"/>
    </row>
    <row r="48" spans="3:41" x14ac:dyDescent="0.4">
      <c r="E48" s="101"/>
      <c r="F48" s="101"/>
      <c r="G48" s="100"/>
      <c r="H48" s="100"/>
      <c r="AO48" s="138"/>
    </row>
    <row r="49" spans="5:42" x14ac:dyDescent="0.4">
      <c r="E49" s="101"/>
      <c r="F49" s="101"/>
      <c r="G49" s="100"/>
      <c r="H49" s="100"/>
      <c r="AO49" s="138"/>
    </row>
    <row r="50" spans="5:42" x14ac:dyDescent="0.4">
      <c r="E50" s="101"/>
      <c r="F50" s="101"/>
      <c r="G50" s="100"/>
      <c r="H50" s="100"/>
      <c r="AO50" s="138"/>
    </row>
    <row r="51" spans="5:42" x14ac:dyDescent="0.4">
      <c r="E51" s="101"/>
      <c r="F51" s="101"/>
      <c r="G51" s="100"/>
      <c r="H51" s="100"/>
      <c r="AO51" s="138"/>
    </row>
    <row r="52" spans="5:42" x14ac:dyDescent="0.4">
      <c r="E52" s="101"/>
      <c r="F52" s="101"/>
      <c r="G52" s="100"/>
      <c r="H52" s="100"/>
      <c r="AO52" s="138"/>
    </row>
    <row r="53" spans="5:42" x14ac:dyDescent="0.4">
      <c r="E53" s="101"/>
      <c r="F53" s="101"/>
      <c r="G53" s="100"/>
      <c r="H53" s="100"/>
      <c r="AO53" s="138"/>
    </row>
    <row r="54" spans="5:42" x14ac:dyDescent="0.4">
      <c r="E54" s="101"/>
      <c r="F54" s="101"/>
      <c r="G54" s="100"/>
      <c r="H54" s="100"/>
      <c r="AO54" s="138"/>
    </row>
    <row r="55" spans="5:42" x14ac:dyDescent="0.4">
      <c r="E55" s="101"/>
      <c r="F55" s="101"/>
      <c r="G55" s="100"/>
      <c r="H55" s="100"/>
      <c r="AO55" s="138"/>
    </row>
    <row r="56" spans="5:42" x14ac:dyDescent="0.4">
      <c r="E56" s="101"/>
      <c r="F56" s="101"/>
      <c r="G56" s="100"/>
      <c r="H56" s="100"/>
      <c r="AO56" s="138"/>
    </row>
    <row r="57" spans="5:42" x14ac:dyDescent="0.4">
      <c r="E57" s="101"/>
      <c r="F57" s="101"/>
      <c r="G57" s="100"/>
      <c r="H57" s="100"/>
      <c r="AO57" s="138"/>
    </row>
    <row r="58" spans="5:42" x14ac:dyDescent="0.4">
      <c r="E58" s="101"/>
      <c r="F58" s="101"/>
      <c r="G58" s="100"/>
      <c r="H58" s="100"/>
      <c r="AO58" s="138"/>
    </row>
    <row r="59" spans="5:42" x14ac:dyDescent="0.4">
      <c r="E59" s="101"/>
      <c r="F59" s="101"/>
      <c r="G59" s="100"/>
      <c r="H59" s="100"/>
      <c r="AO59" s="138"/>
    </row>
    <row r="60" spans="5:42" x14ac:dyDescent="0.4">
      <c r="E60" s="101"/>
      <c r="F60" s="101"/>
      <c r="G60" s="100"/>
      <c r="H60" s="100"/>
      <c r="AO60" s="138"/>
    </row>
    <row r="61" spans="5:42" x14ac:dyDescent="0.4">
      <c r="E61" s="101"/>
      <c r="F61" s="101"/>
      <c r="G61" s="100"/>
      <c r="H61" s="100"/>
      <c r="AO61" s="138"/>
    </row>
    <row r="62" spans="5:42" x14ac:dyDescent="0.4">
      <c r="F62" s="101"/>
      <c r="H62" s="100"/>
      <c r="AN62" s="137"/>
      <c r="AO62" s="100"/>
      <c r="AP62" s="140"/>
    </row>
    <row r="63" spans="5:42" x14ac:dyDescent="0.4">
      <c r="F63" s="101"/>
      <c r="H63" s="100"/>
      <c r="AN63" s="137"/>
      <c r="AO63" s="100"/>
      <c r="AP63" s="140"/>
    </row>
    <row r="64" spans="5:42" x14ac:dyDescent="0.4">
      <c r="F64" s="101"/>
      <c r="H64" s="100"/>
      <c r="AN64" s="137"/>
      <c r="AO64" s="100"/>
      <c r="AP64" s="140"/>
    </row>
    <row r="65" spans="6:42" x14ac:dyDescent="0.4">
      <c r="F65" s="101"/>
      <c r="H65" s="100"/>
      <c r="AN65" s="137"/>
      <c r="AO65" s="100"/>
      <c r="AP65" s="140"/>
    </row>
    <row r="66" spans="6:42" x14ac:dyDescent="0.4">
      <c r="F66" s="101"/>
      <c r="H66" s="100"/>
      <c r="AN66" s="137"/>
      <c r="AO66" s="100"/>
      <c r="AP66" s="140"/>
    </row>
    <row r="67" spans="6:42" x14ac:dyDescent="0.4">
      <c r="F67" s="101"/>
      <c r="H67" s="100"/>
      <c r="AN67" s="137"/>
      <c r="AO67" s="100"/>
      <c r="AP67" s="140"/>
    </row>
    <row r="68" spans="6:42" x14ac:dyDescent="0.4">
      <c r="F68" s="101"/>
      <c r="H68" s="100"/>
      <c r="AN68" s="137"/>
      <c r="AO68" s="100"/>
      <c r="AP68" s="140"/>
    </row>
    <row r="69" spans="6:42" x14ac:dyDescent="0.4">
      <c r="F69" s="101"/>
      <c r="H69" s="100"/>
      <c r="AN69" s="137"/>
      <c r="AO69" s="100"/>
      <c r="AP69" s="140"/>
    </row>
    <row r="70" spans="6:42" x14ac:dyDescent="0.4">
      <c r="F70" s="101"/>
      <c r="H70" s="100"/>
      <c r="AN70" s="137"/>
      <c r="AO70" s="100"/>
      <c r="AP70" s="140"/>
    </row>
    <row r="71" spans="6:42" x14ac:dyDescent="0.4">
      <c r="F71" s="101"/>
      <c r="H71" s="100"/>
      <c r="AN71" s="137"/>
      <c r="AO71" s="100"/>
      <c r="AP71" s="140"/>
    </row>
    <row r="72" spans="6:42" x14ac:dyDescent="0.4">
      <c r="F72" s="101"/>
      <c r="H72" s="100"/>
      <c r="AN72" s="137"/>
      <c r="AO72" s="100"/>
      <c r="AP72" s="140"/>
    </row>
    <row r="73" spans="6:42" x14ac:dyDescent="0.4">
      <c r="F73" s="101"/>
      <c r="H73" s="100"/>
      <c r="AN73" s="137"/>
      <c r="AO73" s="100"/>
      <c r="AP73" s="140"/>
    </row>
    <row r="74" spans="6:42" x14ac:dyDescent="0.4">
      <c r="F74" s="101"/>
      <c r="H74" s="100"/>
      <c r="AN74" s="137"/>
      <c r="AO74" s="100"/>
      <c r="AP74" s="140"/>
    </row>
    <row r="75" spans="6:42" x14ac:dyDescent="0.4">
      <c r="F75" s="101"/>
      <c r="H75" s="100"/>
      <c r="AN75" s="137"/>
      <c r="AO75" s="100"/>
      <c r="AP75" s="140"/>
    </row>
    <row r="76" spans="6:42" x14ac:dyDescent="0.4">
      <c r="F76" s="101"/>
      <c r="H76" s="100"/>
      <c r="AN76" s="137"/>
      <c r="AO76" s="100"/>
      <c r="AP76" s="140"/>
    </row>
    <row r="77" spans="6:42" x14ac:dyDescent="0.4">
      <c r="F77" s="101"/>
      <c r="H77" s="100"/>
      <c r="AN77" s="137"/>
      <c r="AO77" s="100"/>
      <c r="AP77" s="140"/>
    </row>
    <row r="78" spans="6:42" x14ac:dyDescent="0.4">
      <c r="F78" s="101"/>
      <c r="H78" s="100"/>
      <c r="AN78" s="137"/>
      <c r="AO78" s="100"/>
      <c r="AP78" s="140"/>
    </row>
    <row r="79" spans="6:42" x14ac:dyDescent="0.4">
      <c r="F79" s="101"/>
      <c r="H79" s="100"/>
      <c r="AN79" s="137"/>
      <c r="AO79" s="100"/>
      <c r="AP79" s="140"/>
    </row>
    <row r="80" spans="6:42" x14ac:dyDescent="0.4">
      <c r="F80" s="101"/>
      <c r="H80" s="100"/>
      <c r="AN80" s="137"/>
      <c r="AO80" s="100"/>
      <c r="AP80" s="140"/>
    </row>
    <row r="81" spans="6:42" x14ac:dyDescent="0.4">
      <c r="F81" s="101"/>
      <c r="H81" s="100"/>
      <c r="AN81" s="137"/>
      <c r="AO81" s="100"/>
      <c r="AP81" s="140"/>
    </row>
    <row r="82" spans="6:42" x14ac:dyDescent="0.4">
      <c r="F82" s="101"/>
      <c r="H82" s="100"/>
      <c r="AN82" s="137"/>
      <c r="AO82" s="100"/>
      <c r="AP82" s="140"/>
    </row>
    <row r="83" spans="6:42" x14ac:dyDescent="0.4">
      <c r="F83" s="101"/>
      <c r="H83" s="100"/>
      <c r="AN83" s="137"/>
      <c r="AO83" s="100"/>
      <c r="AP83" s="140"/>
    </row>
    <row r="84" spans="6:42" x14ac:dyDescent="0.4">
      <c r="F84" s="101"/>
      <c r="H84" s="100"/>
      <c r="AN84" s="137"/>
      <c r="AO84" s="100"/>
      <c r="AP84" s="140"/>
    </row>
    <row r="85" spans="6:42" x14ac:dyDescent="0.4">
      <c r="F85" s="101"/>
      <c r="H85" s="100"/>
      <c r="AN85" s="137"/>
      <c r="AO85" s="100"/>
      <c r="AP85" s="140"/>
    </row>
    <row r="86" spans="6:42" x14ac:dyDescent="0.4">
      <c r="F86" s="101"/>
      <c r="H86" s="100"/>
      <c r="AN86" s="137"/>
      <c r="AO86" s="100"/>
      <c r="AP86" s="140"/>
    </row>
    <row r="87" spans="6:42" x14ac:dyDescent="0.4">
      <c r="F87" s="101"/>
      <c r="H87" s="100"/>
      <c r="AN87" s="137"/>
      <c r="AO87" s="100"/>
      <c r="AP87" s="140"/>
    </row>
    <row r="88" spans="6:42" x14ac:dyDescent="0.4">
      <c r="F88" s="101"/>
      <c r="H88" s="100"/>
      <c r="AN88" s="137"/>
      <c r="AO88" s="100"/>
      <c r="AP88" s="140"/>
    </row>
    <row r="89" spans="6:42" x14ac:dyDescent="0.4">
      <c r="F89" s="101"/>
      <c r="H89" s="100"/>
      <c r="AN89" s="137"/>
      <c r="AO89" s="100"/>
      <c r="AP89" s="140"/>
    </row>
    <row r="90" spans="6:42" x14ac:dyDescent="0.4">
      <c r="F90" s="101"/>
      <c r="H90" s="100"/>
      <c r="AN90" s="137"/>
      <c r="AO90" s="100"/>
      <c r="AP90" s="140"/>
    </row>
    <row r="91" spans="6:42" x14ac:dyDescent="0.4">
      <c r="F91" s="101"/>
      <c r="H91" s="100"/>
      <c r="AN91" s="137"/>
      <c r="AO91" s="100"/>
      <c r="AP91" s="140"/>
    </row>
    <row r="92" spans="6:42" x14ac:dyDescent="0.4">
      <c r="F92" s="101"/>
      <c r="H92" s="100"/>
      <c r="AN92" s="137"/>
      <c r="AO92" s="100"/>
      <c r="AP92" s="140"/>
    </row>
    <row r="93" spans="6:42" x14ac:dyDescent="0.4">
      <c r="F93" s="101"/>
      <c r="H93" s="100"/>
      <c r="AN93" s="137"/>
      <c r="AO93" s="100"/>
      <c r="AP93" s="140"/>
    </row>
    <row r="94" spans="6:42" x14ac:dyDescent="0.4">
      <c r="F94" s="101"/>
      <c r="H94" s="100"/>
      <c r="AN94" s="137"/>
      <c r="AO94" s="100"/>
      <c r="AP94" s="140"/>
    </row>
    <row r="95" spans="6:42" x14ac:dyDescent="0.4">
      <c r="F95" s="101"/>
      <c r="H95" s="100"/>
      <c r="AN95" s="137"/>
      <c r="AO95" s="100"/>
      <c r="AP95" s="140"/>
    </row>
    <row r="96" spans="6:42" x14ac:dyDescent="0.4">
      <c r="F96" s="101"/>
      <c r="H96" s="100"/>
      <c r="AN96" s="137"/>
      <c r="AO96" s="100"/>
      <c r="AP96" s="140"/>
    </row>
    <row r="97" spans="6:42" x14ac:dyDescent="0.4">
      <c r="F97" s="101"/>
      <c r="H97" s="100"/>
      <c r="AN97" s="137"/>
      <c r="AO97" s="100"/>
      <c r="AP97" s="140"/>
    </row>
    <row r="98" spans="6:42" x14ac:dyDescent="0.4">
      <c r="F98" s="101"/>
      <c r="H98" s="100"/>
      <c r="AN98" s="137"/>
      <c r="AO98" s="100"/>
      <c r="AP98" s="140"/>
    </row>
    <row r="99" spans="6:42" x14ac:dyDescent="0.4">
      <c r="F99" s="101"/>
      <c r="H99" s="100"/>
      <c r="AN99" s="137"/>
      <c r="AO99" s="100"/>
      <c r="AP99" s="140"/>
    </row>
    <row r="100" spans="6:42" x14ac:dyDescent="0.4">
      <c r="F100" s="101"/>
      <c r="H100" s="100"/>
      <c r="AN100" s="137"/>
      <c r="AO100" s="100"/>
      <c r="AP100" s="140"/>
    </row>
    <row r="101" spans="6:42" x14ac:dyDescent="0.4">
      <c r="F101" s="101"/>
      <c r="H101" s="100"/>
      <c r="AN101" s="137"/>
      <c r="AO101" s="100"/>
      <c r="AP101" s="140"/>
    </row>
    <row r="102" spans="6:42" x14ac:dyDescent="0.4">
      <c r="F102" s="101"/>
      <c r="H102" s="100"/>
      <c r="AN102" s="137"/>
      <c r="AO102" s="100"/>
      <c r="AP102" s="140"/>
    </row>
    <row r="103" spans="6:42" x14ac:dyDescent="0.4">
      <c r="F103" s="101"/>
      <c r="H103" s="100"/>
      <c r="AN103" s="137"/>
      <c r="AO103" s="100"/>
      <c r="AP103" s="140"/>
    </row>
  </sheetData>
  <mergeCells count="10">
    <mergeCell ref="A15:H15"/>
    <mergeCell ref="A21:H21"/>
    <mergeCell ref="A22:H22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6:B14">
    <cfRule type="duplicateValues" dxfId="56" priority="368"/>
  </conditionalFormatting>
  <conditionalFormatting sqref="B16:B20">
    <cfRule type="duplicateValues" dxfId="55" priority="105"/>
  </conditionalFormatting>
  <conditionalFormatting sqref="B23:B1048576 B1:B5">
    <cfRule type="duplicateValues" dxfId="54" priority="33"/>
  </conditionalFormatting>
  <conditionalFormatting sqref="B6:C14">
    <cfRule type="duplicateValues" dxfId="53" priority="370"/>
  </conditionalFormatting>
  <conditionalFormatting sqref="B16:C20">
    <cfRule type="duplicateValues" dxfId="52" priority="107"/>
  </conditionalFormatting>
  <conditionalFormatting sqref="B23:C1048576 B1:C5">
    <cfRule type="duplicateValues" dxfId="51" priority="57"/>
  </conditionalFormatting>
  <conditionalFormatting sqref="C5">
    <cfRule type="duplicateValues" dxfId="50" priority="50"/>
    <cfRule type="duplicateValues" dxfId="49" priority="51"/>
    <cfRule type="duplicateValues" dxfId="48" priority="52"/>
  </conditionalFormatting>
  <conditionalFormatting sqref="C6:C14 E6:E14">
    <cfRule type="duplicateValues" dxfId="47" priority="372"/>
  </conditionalFormatting>
  <conditionalFormatting sqref="C6:C14">
    <cfRule type="duplicateValues" dxfId="46" priority="374"/>
    <cfRule type="duplicateValues" dxfId="45" priority="375"/>
    <cfRule type="duplicateValues" dxfId="44" priority="376"/>
  </conditionalFormatting>
  <conditionalFormatting sqref="C16:C20 E16:E20">
    <cfRule type="duplicateValues" dxfId="43" priority="109"/>
  </conditionalFormatting>
  <conditionalFormatting sqref="C16:C20">
    <cfRule type="duplicateValues" dxfId="42" priority="111"/>
    <cfRule type="duplicateValues" dxfId="41" priority="112"/>
    <cfRule type="duplicateValues" dxfId="40" priority="113"/>
  </conditionalFormatting>
  <conditionalFormatting sqref="C23:C1048576 C1:C5">
    <cfRule type="duplicateValues" dxfId="39" priority="34"/>
  </conditionalFormatting>
  <conditionalFormatting sqref="C23:C1048576 C4">
    <cfRule type="duplicateValues" dxfId="38" priority="49"/>
  </conditionalFormatting>
  <conditionalFormatting sqref="C23:C1048576 C4:C5">
    <cfRule type="duplicateValues" dxfId="37" priority="39"/>
    <cfRule type="duplicateValues" dxfId="36" priority="42"/>
    <cfRule type="duplicateValues" dxfId="35" priority="47"/>
  </conditionalFormatting>
  <conditionalFormatting sqref="C23:C1048576">
    <cfRule type="duplicateValues" dxfId="34" priority="43"/>
  </conditionalFormatting>
  <conditionalFormatting sqref="E5">
    <cfRule type="duplicateValues" dxfId="33" priority="53"/>
    <cfRule type="duplicateValues" dxfId="32" priority="54"/>
  </conditionalFormatting>
  <conditionalFormatting sqref="E6:E14">
    <cfRule type="duplicateValues" dxfId="31" priority="383"/>
    <cfRule type="duplicateValues" dxfId="30" priority="384"/>
    <cfRule type="duplicateValues" dxfId="29" priority="385"/>
  </conditionalFormatting>
  <conditionalFormatting sqref="E16:E20">
    <cfRule type="duplicateValues" dxfId="28" priority="119"/>
    <cfRule type="duplicateValues" dxfId="27" priority="120"/>
    <cfRule type="duplicateValues" dxfId="26" priority="121"/>
  </conditionalFormatting>
  <conditionalFormatting sqref="E23:E1048576 C4:C5 E4:E5 C23:C1048576">
    <cfRule type="duplicateValues" dxfId="25" priority="44"/>
  </conditionalFormatting>
  <conditionalFormatting sqref="E23:E1048576 E1:E5">
    <cfRule type="duplicateValues" dxfId="24" priority="36"/>
  </conditionalFormatting>
  <conditionalFormatting sqref="E23:E1048576 E4:E5">
    <cfRule type="duplicateValues" dxfId="23" priority="38"/>
    <cfRule type="duplicateValues" dxfId="22" priority="41"/>
    <cfRule type="duplicateValues" dxfId="21" priority="46"/>
  </conditionalFormatting>
  <conditionalFormatting sqref="G6:H14">
    <cfRule type="duplicateValues" dxfId="20" priority="393"/>
  </conditionalFormatting>
  <conditionalFormatting sqref="G16:H20">
    <cfRule type="duplicateValues" dxfId="19" priority="129"/>
  </conditionalFormatting>
  <conditionalFormatting sqref="G23:H1048576 G1:H5">
    <cfRule type="duplicateValues" dxfId="18" priority="35"/>
  </conditionalFormatting>
  <conditionalFormatting sqref="H5">
    <cfRule type="duplicateValues" dxfId="17" priority="55"/>
    <cfRule type="duplicateValues" dxfId="16" priority="56"/>
  </conditionalFormatting>
  <conditionalFormatting sqref="H6:H14">
    <cfRule type="duplicateValues" dxfId="15" priority="395"/>
    <cfRule type="duplicateValues" dxfId="14" priority="396"/>
    <cfRule type="duplicateValues" dxfId="13" priority="397"/>
    <cfRule type="duplicateValues" dxfId="12" priority="398"/>
    <cfRule type="duplicateValues" dxfId="11" priority="399"/>
    <cfRule type="duplicateValues" dxfId="10" priority="400"/>
  </conditionalFormatting>
  <conditionalFormatting sqref="H16:H20"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</conditionalFormatting>
  <conditionalFormatting sqref="H23:H1048576 H4">
    <cfRule type="duplicateValues" dxfId="3" priority="48"/>
  </conditionalFormatting>
  <conditionalFormatting sqref="H23:H1048576 H4:H5">
    <cfRule type="duplicateValues" dxfId="2" priority="37"/>
    <cfRule type="duplicateValues" dxfId="1" priority="40"/>
    <cfRule type="duplicateValues" dxfId="0" priority="45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33" fitToHeight="0" orientation="landscape" r:id="rId1"/>
  <headerFooter>
    <oddFooter>&amp;C&amp;P/&amp;N</oddFooter>
  </headerFooter>
  <rowBreaks count="1" manualBreakCount="1">
    <brk id="15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5"/>
  <sheetViews>
    <sheetView view="pageBreakPreview" zoomScale="70" zoomScaleNormal="70" zoomScaleSheetLayoutView="70" workbookViewId="0">
      <pane ySplit="4" topLeftCell="A5" activePane="bottomLeft" state="frozen"/>
      <selection activeCell="B17" sqref="B17"/>
      <selection pane="bottomLeft" activeCell="A2" sqref="A2"/>
    </sheetView>
  </sheetViews>
  <sheetFormatPr defaultRowHeight="17.399999999999999" x14ac:dyDescent="0.4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3.19921875" customWidth="1"/>
    <col min="7" max="7" width="17.59765625" customWidth="1"/>
    <col min="8" max="8" width="14.09765625" customWidth="1"/>
    <col min="9" max="9" width="17.59765625" customWidth="1"/>
    <col min="10" max="10" width="11.59765625" customWidth="1"/>
    <col min="11" max="11" width="17.59765625" customWidth="1"/>
    <col min="12" max="12" width="14.19921875" customWidth="1"/>
    <col min="13" max="13" width="17.59765625" customWidth="1"/>
    <col min="15" max="15" width="12.3984375" bestFit="1" customWidth="1"/>
  </cols>
  <sheetData>
    <row r="1" spans="1:16" ht="37.799999999999997" x14ac:dyDescent="0.4">
      <c r="A1" s="323" t="s">
        <v>332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</row>
    <row r="2" spans="1:16" ht="19.2" x14ac:dyDescent="0.4">
      <c r="A2" s="92" t="str">
        <f>'용역청구서 표지'!$B$7</f>
        <v>P4 Ph4 GAS 1공구 마감공사</v>
      </c>
      <c r="M2" s="42" t="s">
        <v>167</v>
      </c>
    </row>
    <row r="3" spans="1:16" ht="27.9" customHeight="1" x14ac:dyDescent="0.4">
      <c r="A3" s="324" t="s">
        <v>168</v>
      </c>
      <c r="B3" s="324" t="s">
        <v>169</v>
      </c>
      <c r="C3" s="324" t="s">
        <v>170</v>
      </c>
      <c r="D3" s="325" t="s">
        <v>171</v>
      </c>
      <c r="E3" s="324" t="s">
        <v>172</v>
      </c>
      <c r="F3" s="324" t="s">
        <v>173</v>
      </c>
      <c r="G3" s="324"/>
      <c r="H3" s="324" t="s">
        <v>174</v>
      </c>
      <c r="I3" s="324"/>
      <c r="J3" s="324" t="s">
        <v>175</v>
      </c>
      <c r="K3" s="324"/>
      <c r="L3" s="324" t="s">
        <v>176</v>
      </c>
      <c r="M3" s="324"/>
    </row>
    <row r="4" spans="1:16" ht="27.9" customHeight="1" x14ac:dyDescent="0.4">
      <c r="A4" s="324"/>
      <c r="B4" s="324"/>
      <c r="C4" s="324"/>
      <c r="D4" s="325"/>
      <c r="E4" s="324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6" ht="27.9" customHeight="1" x14ac:dyDescent="0.4">
      <c r="A5" s="94" t="s">
        <v>180</v>
      </c>
      <c r="B5" s="38" t="s">
        <v>181</v>
      </c>
      <c r="C5" s="38" t="s">
        <v>182</v>
      </c>
      <c r="D5" s="95">
        <v>0</v>
      </c>
      <c r="E5" s="96">
        <v>437000</v>
      </c>
      <c r="F5" s="99">
        <f>L5</f>
        <v>0</v>
      </c>
      <c r="G5" s="97">
        <f>M5</f>
        <v>0</v>
      </c>
      <c r="H5" s="99">
        <v>0</v>
      </c>
      <c r="I5" s="94">
        <v>0</v>
      </c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6" ht="27.9" customHeight="1" x14ac:dyDescent="0.4">
      <c r="A6" s="94" t="s">
        <v>183</v>
      </c>
      <c r="B6" s="38" t="s">
        <v>184</v>
      </c>
      <c r="C6" s="38" t="s">
        <v>185</v>
      </c>
      <c r="D6" s="95">
        <v>0</v>
      </c>
      <c r="E6" s="96">
        <v>437000</v>
      </c>
      <c r="F6" s="99">
        <f t="shared" ref="F6:G50" si="0">L6</f>
        <v>0</v>
      </c>
      <c r="G6" s="97">
        <f t="shared" si="0"/>
        <v>0</v>
      </c>
      <c r="H6" s="99">
        <v>0</v>
      </c>
      <c r="I6" s="94">
        <v>0</v>
      </c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6" ht="27.9" customHeight="1" x14ac:dyDescent="0.4">
      <c r="A7" s="94" t="s">
        <v>180</v>
      </c>
      <c r="B7" s="38" t="s">
        <v>186</v>
      </c>
      <c r="C7" s="38" t="s">
        <v>182</v>
      </c>
      <c r="D7" s="95">
        <v>0</v>
      </c>
      <c r="E7" s="96">
        <v>437000</v>
      </c>
      <c r="F7" s="99">
        <f t="shared" si="0"/>
        <v>0</v>
      </c>
      <c r="G7" s="97">
        <f t="shared" si="0"/>
        <v>0</v>
      </c>
      <c r="H7" s="99">
        <v>0</v>
      </c>
      <c r="I7" s="94">
        <v>0</v>
      </c>
      <c r="J7" s="99">
        <f>$D7*'DIA-INCH'!$C7</f>
        <v>0</v>
      </c>
      <c r="K7" s="97">
        <f t="shared" si="1"/>
        <v>0</v>
      </c>
      <c r="L7" s="99">
        <f t="shared" si="2"/>
        <v>0</v>
      </c>
      <c r="M7" s="97">
        <f t="shared" si="2"/>
        <v>0</v>
      </c>
    </row>
    <row r="8" spans="1:16" ht="27.9" customHeight="1" x14ac:dyDescent="0.4">
      <c r="A8" s="94" t="s">
        <v>180</v>
      </c>
      <c r="B8" s="38" t="s">
        <v>187</v>
      </c>
      <c r="C8" s="38" t="s">
        <v>182</v>
      </c>
      <c r="D8" s="95">
        <v>0</v>
      </c>
      <c r="E8" s="96">
        <v>437000</v>
      </c>
      <c r="F8" s="99">
        <f>L8</f>
        <v>1117</v>
      </c>
      <c r="G8" s="97">
        <f t="shared" si="0"/>
        <v>488129000</v>
      </c>
      <c r="H8" s="99">
        <v>1117</v>
      </c>
      <c r="I8" s="239">
        <v>488129000</v>
      </c>
      <c r="J8" s="99">
        <f>$D8*'DIA-INCH'!$C8</f>
        <v>0</v>
      </c>
      <c r="K8" s="97">
        <f t="shared" si="1"/>
        <v>0</v>
      </c>
      <c r="L8" s="99">
        <f t="shared" si="2"/>
        <v>1117</v>
      </c>
      <c r="M8" s="97">
        <f t="shared" si="2"/>
        <v>488129000</v>
      </c>
      <c r="O8" s="174"/>
      <c r="P8" s="183"/>
    </row>
    <row r="9" spans="1:16" ht="27.9" customHeight="1" x14ac:dyDescent="0.4">
      <c r="A9" s="94" t="s">
        <v>180</v>
      </c>
      <c r="B9" s="38" t="s">
        <v>188</v>
      </c>
      <c r="C9" s="38" t="s">
        <v>182</v>
      </c>
      <c r="D9" s="95">
        <v>0</v>
      </c>
      <c r="E9" s="96">
        <v>437000</v>
      </c>
      <c r="F9" s="99">
        <f t="shared" si="0"/>
        <v>0</v>
      </c>
      <c r="G9" s="97">
        <f t="shared" si="0"/>
        <v>0</v>
      </c>
      <c r="H9" s="99">
        <v>0</v>
      </c>
      <c r="I9" s="94">
        <v>0</v>
      </c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  <c r="P9" s="183"/>
    </row>
    <row r="10" spans="1:16" ht="27.9" customHeight="1" x14ac:dyDescent="0.4">
      <c r="A10" s="94" t="s">
        <v>180</v>
      </c>
      <c r="B10" s="38" t="s">
        <v>189</v>
      </c>
      <c r="C10" s="38" t="s">
        <v>185</v>
      </c>
      <c r="D10" s="95">
        <v>0</v>
      </c>
      <c r="E10" s="96">
        <v>437000</v>
      </c>
      <c r="F10" s="99">
        <f t="shared" si="0"/>
        <v>469.5</v>
      </c>
      <c r="G10" s="97">
        <f t="shared" si="0"/>
        <v>205171500</v>
      </c>
      <c r="H10" s="99">
        <v>469.5</v>
      </c>
      <c r="I10" s="94">
        <v>205171500</v>
      </c>
      <c r="J10" s="99">
        <f>$D10*'DIA-INCH'!$C10</f>
        <v>0</v>
      </c>
      <c r="K10" s="97">
        <f t="shared" si="1"/>
        <v>0</v>
      </c>
      <c r="L10" s="99">
        <f t="shared" si="2"/>
        <v>469.5</v>
      </c>
      <c r="M10" s="97">
        <f t="shared" si="2"/>
        <v>205171500</v>
      </c>
      <c r="P10" s="183"/>
    </row>
    <row r="11" spans="1:16" ht="27.9" customHeight="1" x14ac:dyDescent="0.4">
      <c r="A11" s="94" t="s">
        <v>180</v>
      </c>
      <c r="B11" s="38" t="s">
        <v>190</v>
      </c>
      <c r="C11" s="38" t="s">
        <v>185</v>
      </c>
      <c r="D11" s="95">
        <v>0</v>
      </c>
      <c r="E11" s="96">
        <v>437000</v>
      </c>
      <c r="F11" s="99">
        <f t="shared" si="0"/>
        <v>1058</v>
      </c>
      <c r="G11" s="97">
        <f t="shared" si="0"/>
        <v>462346000</v>
      </c>
      <c r="H11" s="99">
        <v>1058</v>
      </c>
      <c r="I11" s="94">
        <v>462346000</v>
      </c>
      <c r="J11" s="99">
        <f>$D11*'DIA-INCH'!$C11</f>
        <v>0</v>
      </c>
      <c r="K11" s="97">
        <f t="shared" si="1"/>
        <v>0</v>
      </c>
      <c r="L11" s="99">
        <f t="shared" si="2"/>
        <v>1058</v>
      </c>
      <c r="M11" s="97">
        <f t="shared" si="2"/>
        <v>462346000</v>
      </c>
      <c r="P11" s="183"/>
    </row>
    <row r="12" spans="1:16" ht="27.9" customHeight="1" x14ac:dyDescent="0.4">
      <c r="A12" s="94" t="s">
        <v>183</v>
      </c>
      <c r="B12" s="38" t="s">
        <v>191</v>
      </c>
      <c r="C12" s="38" t="s">
        <v>182</v>
      </c>
      <c r="D12" s="95">
        <v>0</v>
      </c>
      <c r="E12" s="96">
        <v>437000</v>
      </c>
      <c r="F12" s="99">
        <f t="shared" si="0"/>
        <v>757.5</v>
      </c>
      <c r="G12" s="97">
        <f t="shared" si="0"/>
        <v>331027500</v>
      </c>
      <c r="H12" s="99">
        <v>757.5</v>
      </c>
      <c r="I12" s="94">
        <v>331027500</v>
      </c>
      <c r="J12" s="99">
        <f>$D12*'DIA-INCH'!$C12</f>
        <v>0</v>
      </c>
      <c r="K12" s="97">
        <f t="shared" si="1"/>
        <v>0</v>
      </c>
      <c r="L12" s="99">
        <f t="shared" si="2"/>
        <v>757.5</v>
      </c>
      <c r="M12" s="97">
        <f t="shared" si="2"/>
        <v>331027500</v>
      </c>
      <c r="P12" s="183"/>
    </row>
    <row r="13" spans="1:16" ht="27.9" customHeight="1" x14ac:dyDescent="0.4">
      <c r="A13" s="94" t="s">
        <v>180</v>
      </c>
      <c r="B13" s="38" t="s">
        <v>192</v>
      </c>
      <c r="C13" s="38" t="s">
        <v>182</v>
      </c>
      <c r="D13" s="95">
        <v>0</v>
      </c>
      <c r="E13" s="96">
        <v>437000</v>
      </c>
      <c r="F13" s="99">
        <f t="shared" si="0"/>
        <v>639</v>
      </c>
      <c r="G13" s="97">
        <f t="shared" si="0"/>
        <v>279243000</v>
      </c>
      <c r="H13" s="99">
        <v>639</v>
      </c>
      <c r="I13" s="94">
        <v>279243000</v>
      </c>
      <c r="J13" s="99">
        <f>$D13*'DIA-INCH'!$C13</f>
        <v>0</v>
      </c>
      <c r="K13" s="97">
        <f t="shared" si="1"/>
        <v>0</v>
      </c>
      <c r="L13" s="99">
        <f t="shared" si="2"/>
        <v>639</v>
      </c>
      <c r="M13" s="97">
        <f t="shared" si="2"/>
        <v>279243000</v>
      </c>
      <c r="P13" s="183"/>
    </row>
    <row r="14" spans="1:16" ht="27.9" customHeight="1" x14ac:dyDescent="0.4">
      <c r="A14" s="94" t="s">
        <v>193</v>
      </c>
      <c r="B14" s="38" t="s">
        <v>194</v>
      </c>
      <c r="C14" s="38" t="s">
        <v>182</v>
      </c>
      <c r="D14" s="95">
        <v>0</v>
      </c>
      <c r="E14" s="96">
        <v>437000</v>
      </c>
      <c r="F14" s="99">
        <f t="shared" si="0"/>
        <v>1292</v>
      </c>
      <c r="G14" s="97">
        <f t="shared" si="0"/>
        <v>564604000</v>
      </c>
      <c r="H14" s="99">
        <v>1292</v>
      </c>
      <c r="I14" s="94">
        <v>564604000</v>
      </c>
      <c r="J14" s="99">
        <f>$D14*'DIA-INCH'!$C14</f>
        <v>0</v>
      </c>
      <c r="K14" s="97">
        <f t="shared" si="1"/>
        <v>0</v>
      </c>
      <c r="L14" s="99">
        <f t="shared" si="2"/>
        <v>1292</v>
      </c>
      <c r="M14" s="97">
        <f t="shared" si="2"/>
        <v>564604000</v>
      </c>
      <c r="P14" s="183"/>
    </row>
    <row r="15" spans="1:16" ht="27.9" customHeight="1" x14ac:dyDescent="0.4">
      <c r="A15" s="94" t="s">
        <v>180</v>
      </c>
      <c r="B15" s="38" t="s">
        <v>195</v>
      </c>
      <c r="C15" s="38" t="s">
        <v>185</v>
      </c>
      <c r="D15" s="95">
        <v>0</v>
      </c>
      <c r="E15" s="96">
        <v>437000</v>
      </c>
      <c r="F15" s="99">
        <f t="shared" si="0"/>
        <v>0</v>
      </c>
      <c r="G15" s="97">
        <f t="shared" si="0"/>
        <v>0</v>
      </c>
      <c r="H15" s="99">
        <v>0</v>
      </c>
      <c r="I15" s="94">
        <v>0</v>
      </c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  <c r="P15" s="183"/>
    </row>
    <row r="16" spans="1:16" ht="27.9" customHeight="1" x14ac:dyDescent="0.4">
      <c r="A16" s="94" t="s">
        <v>183</v>
      </c>
      <c r="B16" s="38" t="s">
        <v>196</v>
      </c>
      <c r="C16" s="38" t="s">
        <v>182</v>
      </c>
      <c r="D16" s="95">
        <v>0</v>
      </c>
      <c r="E16" s="96">
        <v>437000</v>
      </c>
      <c r="F16" s="99">
        <f t="shared" si="0"/>
        <v>2930</v>
      </c>
      <c r="G16" s="97">
        <f t="shared" si="0"/>
        <v>1280410000</v>
      </c>
      <c r="H16" s="99">
        <v>2930</v>
      </c>
      <c r="I16" s="94">
        <v>1280410000</v>
      </c>
      <c r="J16" s="99">
        <f>$D16*'DIA-INCH'!$C16</f>
        <v>0</v>
      </c>
      <c r="K16" s="97">
        <f t="shared" si="1"/>
        <v>0</v>
      </c>
      <c r="L16" s="99">
        <f t="shared" si="2"/>
        <v>2930</v>
      </c>
      <c r="M16" s="97">
        <f t="shared" si="2"/>
        <v>1280410000</v>
      </c>
      <c r="P16" s="183"/>
    </row>
    <row r="17" spans="1:16" ht="27.9" customHeight="1" x14ac:dyDescent="0.4">
      <c r="A17" s="94" t="s">
        <v>183</v>
      </c>
      <c r="B17" s="38" t="s">
        <v>197</v>
      </c>
      <c r="C17" s="38" t="s">
        <v>182</v>
      </c>
      <c r="D17" s="95">
        <v>0</v>
      </c>
      <c r="E17" s="96">
        <v>437000</v>
      </c>
      <c r="F17" s="99">
        <f t="shared" si="0"/>
        <v>138</v>
      </c>
      <c r="G17" s="97">
        <f t="shared" si="0"/>
        <v>60306000</v>
      </c>
      <c r="H17" s="99">
        <v>138</v>
      </c>
      <c r="I17" s="94">
        <v>60306000</v>
      </c>
      <c r="J17" s="99">
        <f>$D17*'DIA-INCH'!$C17</f>
        <v>0</v>
      </c>
      <c r="K17" s="97">
        <f t="shared" si="1"/>
        <v>0</v>
      </c>
      <c r="L17" s="99">
        <f t="shared" si="2"/>
        <v>138</v>
      </c>
      <c r="M17" s="97">
        <f t="shared" si="2"/>
        <v>60306000</v>
      </c>
      <c r="P17" s="183"/>
    </row>
    <row r="18" spans="1:16" ht="27.9" customHeight="1" x14ac:dyDescent="0.4">
      <c r="A18" s="94" t="s">
        <v>183</v>
      </c>
      <c r="B18" s="38" t="s">
        <v>198</v>
      </c>
      <c r="C18" s="38" t="s">
        <v>182</v>
      </c>
      <c r="D18" s="95">
        <v>0</v>
      </c>
      <c r="E18" s="96">
        <v>437000</v>
      </c>
      <c r="F18" s="99">
        <f t="shared" si="0"/>
        <v>0</v>
      </c>
      <c r="G18" s="97">
        <f t="shared" si="0"/>
        <v>0</v>
      </c>
      <c r="H18" s="99">
        <v>0</v>
      </c>
      <c r="I18" s="94">
        <v>0</v>
      </c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  <c r="P18" s="183"/>
    </row>
    <row r="19" spans="1:16" ht="27.9" customHeight="1" x14ac:dyDescent="0.4">
      <c r="A19" s="94" t="s">
        <v>183</v>
      </c>
      <c r="B19" s="38" t="s">
        <v>199</v>
      </c>
      <c r="C19" s="38" t="s">
        <v>182</v>
      </c>
      <c r="D19" s="95">
        <v>0</v>
      </c>
      <c r="E19" s="96">
        <v>437000</v>
      </c>
      <c r="F19" s="99">
        <f t="shared" si="0"/>
        <v>888</v>
      </c>
      <c r="G19" s="97">
        <f t="shared" si="0"/>
        <v>388056000</v>
      </c>
      <c r="H19" s="99">
        <v>888</v>
      </c>
      <c r="I19" s="94">
        <v>388056000</v>
      </c>
      <c r="J19" s="99">
        <f>$D19*'DIA-INCH'!$C19</f>
        <v>0</v>
      </c>
      <c r="K19" s="97">
        <f t="shared" si="1"/>
        <v>0</v>
      </c>
      <c r="L19" s="99">
        <f t="shared" si="2"/>
        <v>888</v>
      </c>
      <c r="M19" s="97">
        <f t="shared" si="2"/>
        <v>388056000</v>
      </c>
      <c r="P19" s="183"/>
    </row>
    <row r="20" spans="1:16" ht="27.9" customHeight="1" x14ac:dyDescent="0.4">
      <c r="A20" s="94" t="s">
        <v>180</v>
      </c>
      <c r="B20" s="38" t="s">
        <v>200</v>
      </c>
      <c r="C20" s="38" t="s">
        <v>185</v>
      </c>
      <c r="D20" s="95">
        <v>0</v>
      </c>
      <c r="E20" s="96">
        <v>437000</v>
      </c>
      <c r="F20" s="99">
        <f t="shared" si="0"/>
        <v>0</v>
      </c>
      <c r="G20" s="97">
        <f t="shared" si="0"/>
        <v>0</v>
      </c>
      <c r="H20" s="99">
        <v>0</v>
      </c>
      <c r="I20" s="94">
        <v>0</v>
      </c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  <c r="P20" s="183"/>
    </row>
    <row r="21" spans="1:16" ht="27.9" customHeight="1" x14ac:dyDescent="0.4">
      <c r="A21" s="94" t="s">
        <v>180</v>
      </c>
      <c r="B21" s="38" t="s">
        <v>201</v>
      </c>
      <c r="C21" s="38" t="s">
        <v>202</v>
      </c>
      <c r="D21" s="95">
        <v>0</v>
      </c>
      <c r="E21" s="96">
        <v>437000</v>
      </c>
      <c r="F21" s="99">
        <f t="shared" si="0"/>
        <v>1030</v>
      </c>
      <c r="G21" s="97">
        <f t="shared" si="0"/>
        <v>450110000</v>
      </c>
      <c r="H21" s="99">
        <v>1030</v>
      </c>
      <c r="I21" s="94">
        <v>450110000</v>
      </c>
      <c r="J21" s="99">
        <f>$D21*'DIA-INCH'!$C21</f>
        <v>0</v>
      </c>
      <c r="K21" s="97">
        <f t="shared" si="1"/>
        <v>0</v>
      </c>
      <c r="L21" s="99">
        <f t="shared" si="2"/>
        <v>1030</v>
      </c>
      <c r="M21" s="97">
        <f t="shared" si="2"/>
        <v>450110000</v>
      </c>
      <c r="P21" s="183"/>
    </row>
    <row r="22" spans="1:16" ht="27.9" customHeight="1" x14ac:dyDescent="0.4">
      <c r="A22" s="94" t="s">
        <v>183</v>
      </c>
      <c r="B22" s="38" t="s">
        <v>203</v>
      </c>
      <c r="C22" s="38" t="s">
        <v>204</v>
      </c>
      <c r="D22" s="95">
        <v>0</v>
      </c>
      <c r="E22" s="96">
        <v>437000</v>
      </c>
      <c r="F22" s="99">
        <f t="shared" si="0"/>
        <v>2172</v>
      </c>
      <c r="G22" s="97">
        <f t="shared" si="0"/>
        <v>949164000</v>
      </c>
      <c r="H22" s="99">
        <v>2172</v>
      </c>
      <c r="I22" s="94">
        <v>949164000</v>
      </c>
      <c r="J22" s="99">
        <f>$D22*'DIA-INCH'!$C22</f>
        <v>0</v>
      </c>
      <c r="K22" s="97">
        <f t="shared" si="1"/>
        <v>0</v>
      </c>
      <c r="L22" s="99">
        <f t="shared" si="2"/>
        <v>2172</v>
      </c>
      <c r="M22" s="97">
        <f t="shared" si="2"/>
        <v>949164000</v>
      </c>
      <c r="P22" s="183"/>
    </row>
    <row r="23" spans="1:16" ht="27.9" customHeight="1" x14ac:dyDescent="0.4">
      <c r="A23" s="94" t="s">
        <v>205</v>
      </c>
      <c r="B23" s="38" t="s">
        <v>206</v>
      </c>
      <c r="C23" s="38" t="s">
        <v>182</v>
      </c>
      <c r="D23" s="95">
        <v>0</v>
      </c>
      <c r="E23" s="96">
        <v>437000</v>
      </c>
      <c r="F23" s="99">
        <f t="shared" si="0"/>
        <v>0</v>
      </c>
      <c r="G23" s="97">
        <f t="shared" si="0"/>
        <v>0</v>
      </c>
      <c r="H23" s="99">
        <v>0</v>
      </c>
      <c r="I23" s="94">
        <v>0</v>
      </c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6" ht="27.9" customHeight="1" x14ac:dyDescent="0.4">
      <c r="A24" s="94" t="s">
        <v>180</v>
      </c>
      <c r="B24" s="38" t="s">
        <v>207</v>
      </c>
      <c r="C24" s="38" t="s">
        <v>185</v>
      </c>
      <c r="D24" s="95">
        <v>0</v>
      </c>
      <c r="E24" s="96">
        <v>437000</v>
      </c>
      <c r="F24" s="99">
        <f t="shared" si="0"/>
        <v>0</v>
      </c>
      <c r="G24" s="97">
        <f t="shared" si="0"/>
        <v>0</v>
      </c>
      <c r="H24" s="99">
        <v>0</v>
      </c>
      <c r="I24" s="94">
        <v>0</v>
      </c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6" ht="27.9" customHeight="1" x14ac:dyDescent="0.4">
      <c r="A25" s="94" t="s">
        <v>193</v>
      </c>
      <c r="B25" s="38" t="s">
        <v>208</v>
      </c>
      <c r="C25" s="38" t="s">
        <v>209</v>
      </c>
      <c r="D25" s="95">
        <v>0</v>
      </c>
      <c r="E25" s="96">
        <v>437000</v>
      </c>
      <c r="F25" s="99">
        <f t="shared" si="0"/>
        <v>0</v>
      </c>
      <c r="G25" s="97">
        <f t="shared" si="0"/>
        <v>0</v>
      </c>
      <c r="H25" s="99">
        <v>0</v>
      </c>
      <c r="I25" s="94">
        <v>0</v>
      </c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6" ht="27.9" customHeight="1" x14ac:dyDescent="0.4">
      <c r="A26" s="94" t="s">
        <v>183</v>
      </c>
      <c r="B26" s="38" t="s">
        <v>210</v>
      </c>
      <c r="C26" s="38" t="s">
        <v>182</v>
      </c>
      <c r="D26" s="95">
        <v>0</v>
      </c>
      <c r="E26" s="96">
        <v>437000</v>
      </c>
      <c r="F26" s="99">
        <f t="shared" si="0"/>
        <v>0</v>
      </c>
      <c r="G26" s="97">
        <f t="shared" si="0"/>
        <v>0</v>
      </c>
      <c r="H26" s="99">
        <v>0</v>
      </c>
      <c r="I26" s="94">
        <v>0</v>
      </c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6" ht="27.9" customHeight="1" x14ac:dyDescent="0.4">
      <c r="A27" s="94" t="s">
        <v>193</v>
      </c>
      <c r="B27" s="38" t="s">
        <v>211</v>
      </c>
      <c r="C27" s="38" t="s">
        <v>182</v>
      </c>
      <c r="D27" s="95">
        <v>0</v>
      </c>
      <c r="E27" s="96">
        <v>437000</v>
      </c>
      <c r="F27" s="99">
        <f t="shared" si="0"/>
        <v>0</v>
      </c>
      <c r="G27" s="97">
        <f t="shared" si="0"/>
        <v>0</v>
      </c>
      <c r="H27" s="99">
        <v>0</v>
      </c>
      <c r="I27" s="94">
        <v>0</v>
      </c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6" ht="27.9" customHeight="1" x14ac:dyDescent="0.4">
      <c r="A28" s="94" t="s">
        <v>212</v>
      </c>
      <c r="B28" s="38" t="s">
        <v>181</v>
      </c>
      <c r="C28" s="38" t="s">
        <v>213</v>
      </c>
      <c r="D28" s="95">
        <v>0</v>
      </c>
      <c r="E28" s="96">
        <f>$E$31*'DIA-INCH'!$C5</f>
        <v>21875</v>
      </c>
      <c r="F28" s="97">
        <f t="shared" si="0"/>
        <v>0</v>
      </c>
      <c r="G28" s="97">
        <f t="shared" si="0"/>
        <v>0</v>
      </c>
      <c r="H28" s="94">
        <v>0</v>
      </c>
      <c r="I28" s="94">
        <v>0</v>
      </c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6" ht="27.9" customHeight="1" x14ac:dyDescent="0.4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43750</v>
      </c>
      <c r="F29" s="97">
        <f t="shared" si="0"/>
        <v>0</v>
      </c>
      <c r="G29" s="97">
        <f t="shared" si="0"/>
        <v>0</v>
      </c>
      <c r="H29" s="94">
        <v>0</v>
      </c>
      <c r="I29" s="94">
        <v>0</v>
      </c>
      <c r="J29" s="97">
        <f t="shared" ref="J29:J50" si="3">D29</f>
        <v>0</v>
      </c>
      <c r="K29" s="97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6" ht="27.9" customHeight="1" x14ac:dyDescent="0.4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65625</v>
      </c>
      <c r="F30" s="97">
        <f t="shared" si="0"/>
        <v>0</v>
      </c>
      <c r="G30" s="97">
        <f t="shared" si="0"/>
        <v>0</v>
      </c>
      <c r="H30" s="94">
        <v>0</v>
      </c>
      <c r="I30" s="94">
        <v>0</v>
      </c>
      <c r="J30" s="97">
        <f t="shared" si="3"/>
        <v>0</v>
      </c>
      <c r="K30" s="97">
        <f t="shared" si="4"/>
        <v>0</v>
      </c>
      <c r="L30" s="97">
        <f t="shared" si="2"/>
        <v>0</v>
      </c>
      <c r="M30" s="97">
        <f t="shared" si="2"/>
        <v>0</v>
      </c>
    </row>
    <row r="31" spans="1:16" ht="27.9" customHeight="1" x14ac:dyDescent="0.4">
      <c r="A31" s="94" t="s">
        <v>216</v>
      </c>
      <c r="B31" s="38" t="s">
        <v>187</v>
      </c>
      <c r="C31" s="38" t="s">
        <v>217</v>
      </c>
      <c r="D31" s="95">
        <v>0</v>
      </c>
      <c r="E31" s="96">
        <v>87500</v>
      </c>
      <c r="F31" s="97">
        <f t="shared" si="0"/>
        <v>186</v>
      </c>
      <c r="G31" s="97">
        <f t="shared" si="0"/>
        <v>16275000</v>
      </c>
      <c r="H31" s="94">
        <v>186</v>
      </c>
      <c r="I31" s="94">
        <v>16275000</v>
      </c>
      <c r="J31" s="97">
        <f t="shared" si="3"/>
        <v>0</v>
      </c>
      <c r="K31" s="97">
        <f t="shared" si="4"/>
        <v>0</v>
      </c>
      <c r="L31" s="97">
        <f t="shared" si="2"/>
        <v>186</v>
      </c>
      <c r="M31" s="97">
        <f t="shared" si="2"/>
        <v>16275000</v>
      </c>
    </row>
    <row r="32" spans="1:16" ht="27.9" customHeight="1" x14ac:dyDescent="0.4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109375</v>
      </c>
      <c r="F32" s="97">
        <f t="shared" si="0"/>
        <v>90</v>
      </c>
      <c r="G32" s="97">
        <f t="shared" si="0"/>
        <v>9843750</v>
      </c>
      <c r="H32" s="94">
        <v>90</v>
      </c>
      <c r="I32" s="94">
        <v>9843750</v>
      </c>
      <c r="J32" s="97">
        <f t="shared" si="3"/>
        <v>0</v>
      </c>
      <c r="K32" s="97">
        <f t="shared" si="4"/>
        <v>0</v>
      </c>
      <c r="L32" s="97">
        <f t="shared" si="2"/>
        <v>90</v>
      </c>
      <c r="M32" s="97">
        <f t="shared" si="2"/>
        <v>9843750</v>
      </c>
    </row>
    <row r="33" spans="1:13" ht="27.9" customHeight="1" x14ac:dyDescent="0.4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131250</v>
      </c>
      <c r="F33" s="97">
        <f t="shared" si="0"/>
        <v>39</v>
      </c>
      <c r="G33" s="97">
        <f t="shared" si="0"/>
        <v>5118750</v>
      </c>
      <c r="H33" s="94">
        <v>39</v>
      </c>
      <c r="I33" s="94">
        <v>5118750</v>
      </c>
      <c r="J33" s="97">
        <f t="shared" si="3"/>
        <v>0</v>
      </c>
      <c r="K33" s="97">
        <f t="shared" si="4"/>
        <v>0</v>
      </c>
      <c r="L33" s="97">
        <f t="shared" si="2"/>
        <v>39</v>
      </c>
      <c r="M33" s="97">
        <f t="shared" si="2"/>
        <v>5118750</v>
      </c>
    </row>
    <row r="34" spans="1:13" ht="27.9" customHeight="1" x14ac:dyDescent="0.4">
      <c r="A34" s="94" t="s">
        <v>216</v>
      </c>
      <c r="B34" s="38" t="s">
        <v>190</v>
      </c>
      <c r="C34" s="38" t="s">
        <v>213</v>
      </c>
      <c r="D34" s="95">
        <v>0</v>
      </c>
      <c r="E34" s="96">
        <f>$E$31*'DIA-INCH'!$C11</f>
        <v>175000</v>
      </c>
      <c r="F34" s="97">
        <f t="shared" si="0"/>
        <v>29</v>
      </c>
      <c r="G34" s="97">
        <f t="shared" si="0"/>
        <v>5075000</v>
      </c>
      <c r="H34" s="94">
        <v>29</v>
      </c>
      <c r="I34" s="94">
        <v>5075000</v>
      </c>
      <c r="J34" s="97">
        <f t="shared" si="3"/>
        <v>0</v>
      </c>
      <c r="K34" s="97">
        <f t="shared" si="4"/>
        <v>0</v>
      </c>
      <c r="L34" s="97">
        <f t="shared" si="2"/>
        <v>29</v>
      </c>
      <c r="M34" s="97">
        <f t="shared" si="2"/>
        <v>5075000</v>
      </c>
    </row>
    <row r="35" spans="1:13" ht="27.9" customHeight="1" x14ac:dyDescent="0.4">
      <c r="A35" s="94" t="s">
        <v>212</v>
      </c>
      <c r="B35" s="38" t="s">
        <v>191</v>
      </c>
      <c r="C35" s="38" t="s">
        <v>124</v>
      </c>
      <c r="D35" s="95">
        <v>0</v>
      </c>
      <c r="E35" s="96">
        <f>$E$31*'DIA-INCH'!$C12</f>
        <v>218750</v>
      </c>
      <c r="F35" s="97">
        <f t="shared" si="0"/>
        <v>10</v>
      </c>
      <c r="G35" s="97">
        <f t="shared" si="0"/>
        <v>2187500</v>
      </c>
      <c r="H35" s="94">
        <v>10</v>
      </c>
      <c r="I35" s="94">
        <v>2187500</v>
      </c>
      <c r="J35" s="97">
        <f t="shared" si="3"/>
        <v>0</v>
      </c>
      <c r="K35" s="97">
        <f t="shared" si="4"/>
        <v>0</v>
      </c>
      <c r="L35" s="97">
        <f t="shared" si="2"/>
        <v>10</v>
      </c>
      <c r="M35" s="97">
        <f t="shared" si="2"/>
        <v>2187500</v>
      </c>
    </row>
    <row r="36" spans="1:13" ht="27.9" customHeight="1" x14ac:dyDescent="0.4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262500</v>
      </c>
      <c r="F36" s="97">
        <f t="shared" si="0"/>
        <v>34</v>
      </c>
      <c r="G36" s="97">
        <f t="shared" si="0"/>
        <v>8925000</v>
      </c>
      <c r="H36" s="94">
        <v>34</v>
      </c>
      <c r="I36" s="94">
        <v>8925000</v>
      </c>
      <c r="J36" s="97">
        <f t="shared" si="3"/>
        <v>0</v>
      </c>
      <c r="K36" s="97">
        <f t="shared" si="4"/>
        <v>0</v>
      </c>
      <c r="L36" s="97">
        <f t="shared" si="2"/>
        <v>34</v>
      </c>
      <c r="M36" s="97">
        <f t="shared" si="2"/>
        <v>8925000</v>
      </c>
    </row>
    <row r="37" spans="1:13" ht="27.9" customHeight="1" x14ac:dyDescent="0.4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350000</v>
      </c>
      <c r="F37" s="97">
        <f t="shared" si="0"/>
        <v>2</v>
      </c>
      <c r="G37" s="97">
        <f t="shared" si="0"/>
        <v>700000</v>
      </c>
      <c r="H37" s="94">
        <v>2</v>
      </c>
      <c r="I37" s="94">
        <v>700000</v>
      </c>
      <c r="J37" s="97">
        <f t="shared" si="3"/>
        <v>0</v>
      </c>
      <c r="K37" s="97">
        <f t="shared" si="4"/>
        <v>0</v>
      </c>
      <c r="L37" s="97">
        <f t="shared" si="2"/>
        <v>2</v>
      </c>
      <c r="M37" s="97">
        <f t="shared" si="2"/>
        <v>700000</v>
      </c>
    </row>
    <row r="38" spans="1:13" ht="27.9" customHeight="1" x14ac:dyDescent="0.4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350000</v>
      </c>
      <c r="F38" s="97">
        <f t="shared" si="0"/>
        <v>0</v>
      </c>
      <c r="G38" s="97">
        <f t="shared" si="0"/>
        <v>0</v>
      </c>
      <c r="H38" s="94">
        <v>0</v>
      </c>
      <c r="I38" s="94">
        <v>0</v>
      </c>
      <c r="J38" s="97">
        <f t="shared" si="3"/>
        <v>0</v>
      </c>
      <c r="K38" s="97">
        <f t="shared" si="4"/>
        <v>0</v>
      </c>
      <c r="L38" s="97">
        <f t="shared" si="2"/>
        <v>0</v>
      </c>
      <c r="M38" s="97">
        <f t="shared" si="2"/>
        <v>0</v>
      </c>
    </row>
    <row r="39" spans="1:13" ht="27.9" customHeight="1" x14ac:dyDescent="0.4">
      <c r="A39" s="94" t="s">
        <v>212</v>
      </c>
      <c r="B39" s="38" t="s">
        <v>196</v>
      </c>
      <c r="C39" s="38" t="s">
        <v>219</v>
      </c>
      <c r="D39" s="95">
        <v>0</v>
      </c>
      <c r="E39" s="96">
        <f>$E$31*'DIA-INCH'!$C16</f>
        <v>437500</v>
      </c>
      <c r="F39" s="97">
        <f t="shared" si="0"/>
        <v>43</v>
      </c>
      <c r="G39" s="97">
        <f t="shared" si="0"/>
        <v>18812500</v>
      </c>
      <c r="H39" s="94">
        <v>43</v>
      </c>
      <c r="I39" s="94">
        <v>18812500</v>
      </c>
      <c r="J39" s="97">
        <f t="shared" si="3"/>
        <v>0</v>
      </c>
      <c r="K39" s="97">
        <f t="shared" si="4"/>
        <v>0</v>
      </c>
      <c r="L39" s="97">
        <f t="shared" si="2"/>
        <v>43</v>
      </c>
      <c r="M39" s="97">
        <f t="shared" si="2"/>
        <v>18812500</v>
      </c>
    </row>
    <row r="40" spans="1:13" ht="27.9" customHeight="1" x14ac:dyDescent="0.4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525000</v>
      </c>
      <c r="F40" s="97">
        <f t="shared" si="0"/>
        <v>1</v>
      </c>
      <c r="G40" s="97">
        <f t="shared" si="0"/>
        <v>525000</v>
      </c>
      <c r="H40" s="94">
        <v>1</v>
      </c>
      <c r="I40" s="94">
        <v>525000</v>
      </c>
      <c r="J40" s="97">
        <f t="shared" si="3"/>
        <v>0</v>
      </c>
      <c r="K40" s="97">
        <f t="shared" si="4"/>
        <v>0</v>
      </c>
      <c r="L40" s="97">
        <f t="shared" si="2"/>
        <v>1</v>
      </c>
      <c r="M40" s="97">
        <f t="shared" si="2"/>
        <v>525000</v>
      </c>
    </row>
    <row r="41" spans="1:13" ht="27.9" customHeight="1" x14ac:dyDescent="0.4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612500</v>
      </c>
      <c r="F41" s="97">
        <f t="shared" si="0"/>
        <v>0</v>
      </c>
      <c r="G41" s="97">
        <f t="shared" si="0"/>
        <v>0</v>
      </c>
      <c r="H41" s="94">
        <v>0</v>
      </c>
      <c r="I41" s="94">
        <v>0</v>
      </c>
      <c r="J41" s="97">
        <f t="shared" si="3"/>
        <v>0</v>
      </c>
      <c r="K41" s="97">
        <f t="shared" si="4"/>
        <v>0</v>
      </c>
      <c r="L41" s="97">
        <f t="shared" si="2"/>
        <v>0</v>
      </c>
      <c r="M41" s="97">
        <f t="shared" si="2"/>
        <v>0</v>
      </c>
    </row>
    <row r="42" spans="1:13" ht="27.9" customHeight="1" x14ac:dyDescent="0.4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700000</v>
      </c>
      <c r="F42" s="97">
        <f t="shared" si="0"/>
        <v>1</v>
      </c>
      <c r="G42" s="97">
        <f t="shared" si="0"/>
        <v>700000</v>
      </c>
      <c r="H42" s="94">
        <v>1</v>
      </c>
      <c r="I42" s="94">
        <v>700000</v>
      </c>
      <c r="J42" s="97">
        <f t="shared" si="3"/>
        <v>0</v>
      </c>
      <c r="K42" s="97">
        <f t="shared" si="4"/>
        <v>0</v>
      </c>
      <c r="L42" s="97">
        <f t="shared" si="2"/>
        <v>1</v>
      </c>
      <c r="M42" s="97">
        <f t="shared" si="2"/>
        <v>700000</v>
      </c>
    </row>
    <row r="43" spans="1:13" ht="27.9" customHeight="1" x14ac:dyDescent="0.4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787500</v>
      </c>
      <c r="F43" s="97">
        <f t="shared" si="0"/>
        <v>0</v>
      </c>
      <c r="G43" s="97">
        <f t="shared" si="0"/>
        <v>0</v>
      </c>
      <c r="H43" s="94">
        <v>0</v>
      </c>
      <c r="I43" s="94">
        <v>0</v>
      </c>
      <c r="J43" s="97">
        <f t="shared" si="3"/>
        <v>0</v>
      </c>
      <c r="K43" s="97">
        <f t="shared" si="4"/>
        <v>0</v>
      </c>
      <c r="L43" s="97">
        <f t="shared" si="2"/>
        <v>0</v>
      </c>
      <c r="M43" s="97">
        <f t="shared" si="2"/>
        <v>0</v>
      </c>
    </row>
    <row r="44" spans="1:13" ht="27.9" customHeight="1" x14ac:dyDescent="0.4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875000</v>
      </c>
      <c r="F44" s="97">
        <f t="shared" si="0"/>
        <v>2</v>
      </c>
      <c r="G44" s="97">
        <f t="shared" si="0"/>
        <v>1750000</v>
      </c>
      <c r="H44" s="94">
        <v>2</v>
      </c>
      <c r="I44" s="94">
        <v>1750000</v>
      </c>
      <c r="J44" s="97">
        <f t="shared" si="3"/>
        <v>0</v>
      </c>
      <c r="K44" s="97">
        <f t="shared" si="4"/>
        <v>0</v>
      </c>
      <c r="L44" s="97">
        <f t="shared" si="2"/>
        <v>2</v>
      </c>
      <c r="M44" s="97">
        <f t="shared" si="2"/>
        <v>1750000</v>
      </c>
    </row>
    <row r="45" spans="1:13" ht="27.9" customHeight="1" x14ac:dyDescent="0.4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1050000</v>
      </c>
      <c r="F45" s="97">
        <f t="shared" si="0"/>
        <v>0</v>
      </c>
      <c r="G45" s="97">
        <f t="shared" si="0"/>
        <v>0</v>
      </c>
      <c r="H45" s="94">
        <v>0</v>
      </c>
      <c r="I45" s="94">
        <v>0</v>
      </c>
      <c r="J45" s="97">
        <f t="shared" si="3"/>
        <v>0</v>
      </c>
      <c r="K45" s="97">
        <f t="shared" si="4"/>
        <v>0</v>
      </c>
      <c r="L45" s="97">
        <f t="shared" si="2"/>
        <v>0</v>
      </c>
      <c r="M45" s="97">
        <f t="shared" si="2"/>
        <v>0</v>
      </c>
    </row>
    <row r="46" spans="1:13" ht="27.9" customHeight="1" x14ac:dyDescent="0.4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1225000</v>
      </c>
      <c r="F46" s="97">
        <f t="shared" si="0"/>
        <v>0</v>
      </c>
      <c r="G46" s="97">
        <f t="shared" si="0"/>
        <v>0</v>
      </c>
      <c r="H46" s="94">
        <v>0</v>
      </c>
      <c r="I46" s="94">
        <v>0</v>
      </c>
      <c r="J46" s="97">
        <f t="shared" si="3"/>
        <v>0</v>
      </c>
      <c r="K46" s="97">
        <f t="shared" si="4"/>
        <v>0</v>
      </c>
      <c r="L46" s="97">
        <f t="shared" si="2"/>
        <v>0</v>
      </c>
      <c r="M46" s="97">
        <f t="shared" si="2"/>
        <v>0</v>
      </c>
    </row>
    <row r="47" spans="1:13" ht="27.9" customHeight="1" x14ac:dyDescent="0.4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1400000</v>
      </c>
      <c r="F47" s="97">
        <f t="shared" si="0"/>
        <v>0</v>
      </c>
      <c r="G47" s="97">
        <f t="shared" si="0"/>
        <v>0</v>
      </c>
      <c r="H47" s="94">
        <v>0</v>
      </c>
      <c r="I47" s="94">
        <v>0</v>
      </c>
      <c r="J47" s="97">
        <f t="shared" si="3"/>
        <v>0</v>
      </c>
      <c r="K47" s="97">
        <f t="shared" si="4"/>
        <v>0</v>
      </c>
      <c r="L47" s="97">
        <f t="shared" si="2"/>
        <v>0</v>
      </c>
      <c r="M47" s="97">
        <f t="shared" si="2"/>
        <v>0</v>
      </c>
    </row>
    <row r="48" spans="1:13" ht="27.9" customHeight="1" x14ac:dyDescent="0.4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1575000</v>
      </c>
      <c r="F48" s="97">
        <f t="shared" si="0"/>
        <v>0</v>
      </c>
      <c r="G48" s="97">
        <f t="shared" si="0"/>
        <v>0</v>
      </c>
      <c r="H48" s="94">
        <v>0</v>
      </c>
      <c r="I48" s="94">
        <v>0</v>
      </c>
      <c r="J48" s="97">
        <f t="shared" si="3"/>
        <v>0</v>
      </c>
      <c r="K48" s="97">
        <f t="shared" si="4"/>
        <v>0</v>
      </c>
      <c r="L48" s="97">
        <f t="shared" si="2"/>
        <v>0</v>
      </c>
      <c r="M48" s="97">
        <f t="shared" si="2"/>
        <v>0</v>
      </c>
    </row>
    <row r="49" spans="1:13" ht="27.9" customHeight="1" x14ac:dyDescent="0.4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1750000</v>
      </c>
      <c r="F49" s="97">
        <f t="shared" si="0"/>
        <v>0</v>
      </c>
      <c r="G49" s="97">
        <f t="shared" si="0"/>
        <v>0</v>
      </c>
      <c r="H49" s="94">
        <v>0</v>
      </c>
      <c r="I49" s="94">
        <v>0</v>
      </c>
      <c r="J49" s="97">
        <f t="shared" si="3"/>
        <v>0</v>
      </c>
      <c r="K49" s="97">
        <f t="shared" si="4"/>
        <v>0</v>
      </c>
      <c r="L49" s="97">
        <f t="shared" si="2"/>
        <v>0</v>
      </c>
      <c r="M49" s="97">
        <f t="shared" si="2"/>
        <v>0</v>
      </c>
    </row>
    <row r="50" spans="1:13" ht="27.9" customHeight="1" x14ac:dyDescent="0.4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1925000</v>
      </c>
      <c r="F50" s="97">
        <f t="shared" si="0"/>
        <v>0</v>
      </c>
      <c r="G50" s="97">
        <f t="shared" si="0"/>
        <v>0</v>
      </c>
      <c r="H50" s="94">
        <v>0</v>
      </c>
      <c r="I50" s="94">
        <v>0</v>
      </c>
      <c r="J50" s="97">
        <f t="shared" si="3"/>
        <v>0</v>
      </c>
      <c r="K50" s="97">
        <f t="shared" si="4"/>
        <v>0</v>
      </c>
      <c r="L50" s="97">
        <f t="shared" si="2"/>
        <v>0</v>
      </c>
      <c r="M50" s="97">
        <f t="shared" si="2"/>
        <v>0</v>
      </c>
    </row>
    <row r="51" spans="1:13" ht="27.9" customHeight="1" x14ac:dyDescent="0.4">
      <c r="A51" s="320" t="s">
        <v>220</v>
      </c>
      <c r="B51" s="321"/>
      <c r="C51" s="321"/>
      <c r="D51" s="321"/>
      <c r="E51" s="322"/>
      <c r="F51" s="150">
        <f>SUM(F5:F50)</f>
        <v>12928</v>
      </c>
      <c r="G51" s="98">
        <f t="shared" ref="G51:M51" si="5">SUM(G5:G50)</f>
        <v>5528479500</v>
      </c>
      <c r="H51" s="150">
        <f t="shared" si="5"/>
        <v>12928</v>
      </c>
      <c r="I51" s="98">
        <f t="shared" si="5"/>
        <v>5528479500</v>
      </c>
      <c r="J51" s="150">
        <f t="shared" si="5"/>
        <v>0</v>
      </c>
      <c r="K51" s="98">
        <f t="shared" si="5"/>
        <v>0</v>
      </c>
      <c r="L51" s="150">
        <f t="shared" si="5"/>
        <v>12928</v>
      </c>
      <c r="M51" s="98">
        <f t="shared" si="5"/>
        <v>5528479500</v>
      </c>
    </row>
    <row r="55" spans="1:13" x14ac:dyDescent="0.4">
      <c r="G55" s="174"/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fitToHeight="0" orientation="landscape" r:id="rId1"/>
  <headerFooter>
    <oddFooter>&amp;C&amp;P/&amp;N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L14"/>
  <sheetViews>
    <sheetView view="pageBreakPreview" zoomScale="85" zoomScaleNormal="115" zoomScaleSheetLayoutView="85" workbookViewId="0">
      <selection activeCell="B17" sqref="B17"/>
    </sheetView>
  </sheetViews>
  <sheetFormatPr defaultRowHeight="15.6" x14ac:dyDescent="0.35"/>
  <cols>
    <col min="1" max="1" width="9.3984375" style="161" customWidth="1"/>
    <col min="2" max="2" width="21.59765625" style="162" bestFit="1" customWidth="1"/>
    <col min="3" max="3" width="13.3984375" style="161" customWidth="1"/>
    <col min="4" max="4" width="41.19921875" style="162" bestFit="1" customWidth="1"/>
    <col min="5" max="5" width="41.09765625" style="162" bestFit="1" customWidth="1"/>
    <col min="6" max="6" width="20.09765625" style="162" bestFit="1" customWidth="1"/>
    <col min="7" max="7" width="8" style="163" customWidth="1"/>
    <col min="8" max="8" width="14.19921875" style="164" customWidth="1"/>
    <col min="9" max="9" width="15.09765625" style="164" bestFit="1" customWidth="1"/>
    <col min="10" max="10" width="23.3984375" style="162" customWidth="1"/>
    <col min="11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2" ht="33.75" customHeight="1" x14ac:dyDescent="0.25">
      <c r="A1" s="326" t="s">
        <v>292</v>
      </c>
      <c r="B1" s="327"/>
      <c r="C1" s="327"/>
      <c r="D1" s="327"/>
      <c r="E1" s="327"/>
      <c r="F1" s="327"/>
      <c r="G1" s="327"/>
      <c r="H1" s="327"/>
      <c r="I1" s="327"/>
      <c r="J1" s="328"/>
    </row>
    <row r="2" spans="1:12" s="152" customFormat="1" ht="19.5" customHeight="1" x14ac:dyDescent="0.4">
      <c r="A2" s="329" t="s">
        <v>293</v>
      </c>
      <c r="B2" s="330" t="s">
        <v>286</v>
      </c>
      <c r="C2" s="329" t="s">
        <v>250</v>
      </c>
      <c r="D2" s="329" t="s">
        <v>251</v>
      </c>
      <c r="E2" s="332" t="s">
        <v>294</v>
      </c>
      <c r="F2" s="329" t="s">
        <v>279</v>
      </c>
      <c r="G2" s="333" t="s">
        <v>295</v>
      </c>
      <c r="H2" s="334" t="s">
        <v>288</v>
      </c>
      <c r="I2" s="151" t="s">
        <v>289</v>
      </c>
      <c r="J2" s="329" t="s">
        <v>290</v>
      </c>
    </row>
    <row r="3" spans="1:12" s="152" customFormat="1" ht="19.5" customHeight="1" x14ac:dyDescent="0.4">
      <c r="A3" s="329"/>
      <c r="B3" s="331"/>
      <c r="C3" s="329"/>
      <c r="D3" s="329"/>
      <c r="E3" s="332"/>
      <c r="F3" s="329"/>
      <c r="G3" s="333"/>
      <c r="H3" s="334"/>
      <c r="I3" s="147">
        <f>ROUND(SUM(I4:I82),)</f>
        <v>0</v>
      </c>
      <c r="J3" s="329"/>
    </row>
    <row r="4" spans="1:12" s="158" customFormat="1" ht="15" customHeight="1" x14ac:dyDescent="0.4">
      <c r="A4" s="154">
        <f t="shared" ref="A4:A9" si="0">ROW()-3</f>
        <v>1</v>
      </c>
      <c r="B4" s="155"/>
      <c r="C4" s="154"/>
      <c r="D4" s="154"/>
      <c r="E4" s="154"/>
      <c r="F4" s="154"/>
      <c r="G4" s="156"/>
      <c r="H4" s="157"/>
      <c r="I4" s="157"/>
      <c r="J4" s="154"/>
      <c r="L4" s="159" t="s">
        <v>248</v>
      </c>
    </row>
    <row r="5" spans="1:12" s="158" customFormat="1" ht="15" customHeight="1" x14ac:dyDescent="0.4">
      <c r="A5" s="154">
        <f t="shared" si="0"/>
        <v>2</v>
      </c>
      <c r="B5" s="155"/>
      <c r="C5" s="154"/>
      <c r="D5" s="154"/>
      <c r="E5" s="154"/>
      <c r="F5" s="154"/>
      <c r="G5" s="156"/>
      <c r="H5" s="157"/>
      <c r="I5" s="157"/>
      <c r="J5" s="154"/>
      <c r="L5" s="159" t="s">
        <v>296</v>
      </c>
    </row>
    <row r="6" spans="1:12" s="158" customFormat="1" ht="15" customHeight="1" x14ac:dyDescent="0.4">
      <c r="A6" s="154">
        <f t="shared" si="0"/>
        <v>3</v>
      </c>
      <c r="B6" s="155"/>
      <c r="C6" s="154"/>
      <c r="D6" s="154"/>
      <c r="E6" s="154"/>
      <c r="F6" s="154"/>
      <c r="G6" s="156"/>
      <c r="H6" s="157"/>
      <c r="I6" s="157"/>
      <c r="J6" s="154"/>
      <c r="L6" s="159" t="s">
        <v>286</v>
      </c>
    </row>
    <row r="7" spans="1:12" s="158" customFormat="1" ht="15" customHeight="1" x14ac:dyDescent="0.4">
      <c r="A7" s="154">
        <f t="shared" si="0"/>
        <v>4</v>
      </c>
      <c r="B7" s="155"/>
      <c r="C7" s="154"/>
      <c r="D7" s="154"/>
      <c r="E7" s="154"/>
      <c r="F7" s="154"/>
      <c r="G7" s="156"/>
      <c r="H7" s="157"/>
      <c r="I7" s="157"/>
      <c r="J7" s="154"/>
      <c r="L7" s="159" t="s">
        <v>250</v>
      </c>
    </row>
    <row r="8" spans="1:12" s="158" customFormat="1" ht="15" customHeight="1" x14ac:dyDescent="0.4">
      <c r="A8" s="154">
        <f t="shared" si="0"/>
        <v>5</v>
      </c>
      <c r="B8" s="155"/>
      <c r="C8" s="154"/>
      <c r="D8" s="154"/>
      <c r="E8" s="154"/>
      <c r="F8" s="154"/>
      <c r="G8" s="156"/>
      <c r="H8" s="157"/>
      <c r="I8" s="157"/>
      <c r="J8" s="154"/>
      <c r="L8" s="159" t="s">
        <v>251</v>
      </c>
    </row>
    <row r="9" spans="1:12" s="158" customFormat="1" ht="15" customHeight="1" x14ac:dyDescent="0.4">
      <c r="A9" s="154">
        <f t="shared" si="0"/>
        <v>6</v>
      </c>
      <c r="B9" s="155"/>
      <c r="C9" s="154"/>
      <c r="D9" s="154"/>
      <c r="E9" s="154"/>
      <c r="F9" s="154"/>
      <c r="G9" s="156"/>
      <c r="H9" s="157"/>
      <c r="I9" s="157"/>
      <c r="J9" s="154"/>
      <c r="L9" s="159" t="s">
        <v>294</v>
      </c>
    </row>
    <row r="10" spans="1:12" s="158" customFormat="1" ht="15" customHeight="1" x14ac:dyDescent="0.35">
      <c r="A10" s="162"/>
      <c r="B10" s="162"/>
      <c r="C10" s="162"/>
      <c r="D10" s="162"/>
      <c r="E10" s="162"/>
      <c r="F10" s="162"/>
      <c r="G10" s="162"/>
      <c r="H10" s="162"/>
      <c r="I10" s="162"/>
      <c r="J10" s="162"/>
      <c r="L10" s="159" t="s">
        <v>297</v>
      </c>
    </row>
    <row r="11" spans="1:12" s="158" customFormat="1" ht="15" customHeight="1" x14ac:dyDescent="0.35">
      <c r="A11" s="162"/>
      <c r="B11" s="162"/>
      <c r="C11" s="162"/>
      <c r="D11" s="162"/>
      <c r="E11" s="162"/>
      <c r="F11" s="162"/>
      <c r="G11" s="162"/>
      <c r="H11" s="162"/>
      <c r="I11" s="162"/>
      <c r="J11" s="162"/>
      <c r="L11" s="159" t="s">
        <v>298</v>
      </c>
    </row>
    <row r="12" spans="1:12" ht="13.5" customHeight="1" x14ac:dyDescent="0.35">
      <c r="L12" s="158" t="s">
        <v>288</v>
      </c>
    </row>
    <row r="13" spans="1:12" x14ac:dyDescent="0.35">
      <c r="L13" s="158"/>
    </row>
    <row r="14" spans="1:12" ht="17.399999999999999" x14ac:dyDescent="0.35">
      <c r="L14" s="160" t="s">
        <v>299</v>
      </c>
    </row>
  </sheetData>
  <autoFilter ref="A2:J19" xr:uid="{2E421254-DD27-4148-AC38-C00782AEA3D1}">
    <sortState ref="A5:J19">
      <sortCondition ref="F2:F12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2" fitToHeight="0" orientation="landscape" r:id="rId1"/>
  <headerFoot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N44"/>
  <sheetViews>
    <sheetView view="pageBreakPreview" zoomScaleNormal="115" zoomScaleSheetLayoutView="100" workbookViewId="0">
      <selection activeCell="B17" sqref="B17"/>
    </sheetView>
  </sheetViews>
  <sheetFormatPr defaultRowHeight="15.6" x14ac:dyDescent="0.35"/>
  <cols>
    <col min="1" max="1" width="9.3984375" style="161" customWidth="1"/>
    <col min="2" max="2" width="21.59765625" style="162" bestFit="1" customWidth="1"/>
    <col min="3" max="3" width="13.3984375" style="161" customWidth="1"/>
    <col min="4" max="4" width="55" style="162" customWidth="1"/>
    <col min="5" max="5" width="41.09765625" style="162" bestFit="1" customWidth="1"/>
    <col min="6" max="6" width="20.09765625" style="162" bestFit="1" customWidth="1"/>
    <col min="7" max="7" width="8" style="163" customWidth="1"/>
    <col min="8" max="8" width="14.19921875" style="164" customWidth="1"/>
    <col min="9" max="9" width="15.09765625" style="164" bestFit="1" customWidth="1"/>
    <col min="10" max="10" width="23.3984375" style="162" customWidth="1"/>
    <col min="11" max="11" width="9" style="17" customWidth="1"/>
    <col min="12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4" ht="33.75" customHeight="1" x14ac:dyDescent="0.25">
      <c r="A1" s="326" t="s">
        <v>300</v>
      </c>
      <c r="B1" s="327"/>
      <c r="C1" s="327"/>
      <c r="D1" s="327"/>
      <c r="E1" s="327"/>
      <c r="F1" s="327"/>
      <c r="G1" s="327"/>
      <c r="H1" s="327"/>
      <c r="I1" s="327"/>
      <c r="J1" s="328"/>
    </row>
    <row r="2" spans="1:14" s="152" customFormat="1" ht="19.5" customHeight="1" x14ac:dyDescent="0.4">
      <c r="A2" s="329" t="s">
        <v>293</v>
      </c>
      <c r="B2" s="330" t="s">
        <v>286</v>
      </c>
      <c r="C2" s="329" t="s">
        <v>250</v>
      </c>
      <c r="D2" s="329" t="s">
        <v>251</v>
      </c>
      <c r="E2" s="332" t="s">
        <v>294</v>
      </c>
      <c r="F2" s="329" t="s">
        <v>279</v>
      </c>
      <c r="G2" s="333" t="s">
        <v>295</v>
      </c>
      <c r="H2" s="334" t="s">
        <v>288</v>
      </c>
      <c r="I2" s="151" t="s">
        <v>289</v>
      </c>
      <c r="J2" s="329" t="s">
        <v>290</v>
      </c>
    </row>
    <row r="3" spans="1:14" s="152" customFormat="1" ht="19.5" customHeight="1" x14ac:dyDescent="0.4">
      <c r="A3" s="329"/>
      <c r="B3" s="331"/>
      <c r="C3" s="329"/>
      <c r="D3" s="329"/>
      <c r="E3" s="332"/>
      <c r="F3" s="329"/>
      <c r="G3" s="333"/>
      <c r="H3" s="334"/>
      <c r="I3" s="147">
        <f>ROUND(SUM(I4:I34),)</f>
        <v>0</v>
      </c>
      <c r="J3" s="329"/>
      <c r="L3" s="153" t="s">
        <v>248</v>
      </c>
    </row>
    <row r="4" spans="1:14" s="158" customFormat="1" ht="15" customHeight="1" x14ac:dyDescent="0.4">
      <c r="A4" s="154">
        <f t="shared" ref="A4:A12" si="0">ROW()-3</f>
        <v>1</v>
      </c>
      <c r="B4" s="155"/>
      <c r="C4" s="154"/>
      <c r="D4" s="154"/>
      <c r="E4" s="154"/>
      <c r="F4" s="154"/>
      <c r="G4" s="156"/>
      <c r="H4" s="157"/>
      <c r="I4" s="157"/>
      <c r="J4" s="154"/>
      <c r="L4" s="159" t="s">
        <v>296</v>
      </c>
    </row>
    <row r="5" spans="1:14" s="158" customFormat="1" ht="15" customHeight="1" x14ac:dyDescent="0.4">
      <c r="A5" s="154">
        <f t="shared" si="0"/>
        <v>2</v>
      </c>
      <c r="B5" s="155"/>
      <c r="C5" s="154"/>
      <c r="D5" s="154"/>
      <c r="E5" s="154"/>
      <c r="F5" s="154"/>
      <c r="G5" s="156"/>
      <c r="H5" s="157"/>
      <c r="I5" s="157"/>
      <c r="J5" s="154"/>
      <c r="L5" s="159" t="s">
        <v>286</v>
      </c>
    </row>
    <row r="6" spans="1:14" s="158" customFormat="1" ht="15" customHeight="1" x14ac:dyDescent="0.35">
      <c r="A6" s="154">
        <f t="shared" si="0"/>
        <v>3</v>
      </c>
      <c r="B6" s="155"/>
      <c r="C6" s="154"/>
      <c r="D6" s="154"/>
      <c r="E6" s="154"/>
      <c r="F6" s="154"/>
      <c r="G6" s="156"/>
      <c r="H6" s="157"/>
      <c r="I6" s="157"/>
      <c r="J6" s="240"/>
      <c r="L6" s="159" t="s">
        <v>250</v>
      </c>
    </row>
    <row r="7" spans="1:14" s="158" customFormat="1" ht="15" customHeight="1" x14ac:dyDescent="0.4">
      <c r="A7" s="154">
        <f t="shared" si="0"/>
        <v>4</v>
      </c>
      <c r="B7" s="155"/>
      <c r="C7" s="154"/>
      <c r="D7" s="154"/>
      <c r="E7" s="154"/>
      <c r="F7" s="154"/>
      <c r="G7" s="154"/>
      <c r="H7" s="157"/>
      <c r="I7" s="157"/>
      <c r="J7" s="154"/>
      <c r="L7" s="159" t="s">
        <v>251</v>
      </c>
    </row>
    <row r="8" spans="1:14" s="158" customFormat="1" ht="15" customHeight="1" x14ac:dyDescent="0.4">
      <c r="A8" s="154">
        <f t="shared" si="0"/>
        <v>5</v>
      </c>
      <c r="B8" s="155"/>
      <c r="C8" s="154"/>
      <c r="D8" s="154"/>
      <c r="E8" s="154"/>
      <c r="F8" s="154"/>
      <c r="G8" s="154"/>
      <c r="H8" s="157"/>
      <c r="I8" s="157"/>
      <c r="J8" s="154"/>
      <c r="L8" s="159" t="s">
        <v>294</v>
      </c>
    </row>
    <row r="9" spans="1:14" s="158" customFormat="1" ht="15" customHeight="1" x14ac:dyDescent="0.4">
      <c r="A9" s="154">
        <f t="shared" si="0"/>
        <v>6</v>
      </c>
      <c r="B9" s="155"/>
      <c r="C9" s="154"/>
      <c r="D9" s="154"/>
      <c r="E9" s="154"/>
      <c r="F9" s="154"/>
      <c r="G9" s="156"/>
      <c r="H9" s="157"/>
      <c r="I9" s="157"/>
      <c r="J9" s="154"/>
      <c r="L9" s="159" t="s">
        <v>297</v>
      </c>
    </row>
    <row r="10" spans="1:14" s="158" customFormat="1" ht="15" customHeight="1" x14ac:dyDescent="0.4">
      <c r="A10" s="154">
        <f t="shared" si="0"/>
        <v>7</v>
      </c>
      <c r="B10" s="155"/>
      <c r="C10" s="154"/>
      <c r="D10" s="154"/>
      <c r="E10" s="154"/>
      <c r="F10" s="154"/>
      <c r="G10" s="156"/>
      <c r="H10" s="157"/>
      <c r="I10" s="157"/>
      <c r="J10" s="154"/>
      <c r="L10" s="159" t="s">
        <v>298</v>
      </c>
    </row>
    <row r="11" spans="1:14" s="158" customFormat="1" ht="15" customHeight="1" x14ac:dyDescent="0.4">
      <c r="A11" s="154">
        <f t="shared" si="0"/>
        <v>8</v>
      </c>
      <c r="B11" s="155"/>
      <c r="C11" s="154"/>
      <c r="D11" s="154"/>
      <c r="E11" s="154"/>
      <c r="F11" s="154"/>
      <c r="G11" s="156"/>
      <c r="H11" s="157"/>
      <c r="I11" s="157"/>
      <c r="J11" s="154"/>
      <c r="L11" s="159" t="s">
        <v>288</v>
      </c>
    </row>
    <row r="12" spans="1:14" s="158" customFormat="1" ht="15" customHeight="1" x14ac:dyDescent="0.35">
      <c r="A12" s="154">
        <f t="shared" si="0"/>
        <v>9</v>
      </c>
      <c r="B12" s="155"/>
      <c r="C12" s="154"/>
      <c r="D12" s="154"/>
      <c r="E12" s="154"/>
      <c r="F12" s="154"/>
      <c r="G12" s="156"/>
      <c r="H12" s="157"/>
      <c r="I12" s="157"/>
      <c r="J12" s="240"/>
      <c r="L12" s="159"/>
    </row>
    <row r="13" spans="1:14" s="158" customFormat="1" ht="15" customHeight="1" x14ac:dyDescent="0.4">
      <c r="A13" s="154"/>
      <c r="B13" s="155"/>
      <c r="C13" s="154"/>
      <c r="D13" s="154"/>
      <c r="E13" s="154"/>
      <c r="F13" s="154"/>
      <c r="G13" s="156"/>
      <c r="H13" s="157"/>
      <c r="I13" s="157"/>
      <c r="J13" s="154"/>
      <c r="N13" s="159" t="s">
        <v>299</v>
      </c>
    </row>
    <row r="14" spans="1:14" s="158" customFormat="1" ht="15" customHeight="1" x14ac:dyDescent="0.4">
      <c r="A14" s="154"/>
      <c r="B14" s="155"/>
      <c r="C14" s="154"/>
      <c r="D14" s="154"/>
      <c r="E14" s="154"/>
      <c r="F14" s="154"/>
      <c r="G14" s="156"/>
      <c r="H14" s="157"/>
      <c r="I14" s="157"/>
      <c r="J14" s="154"/>
      <c r="L14" s="159"/>
    </row>
    <row r="15" spans="1:14" s="158" customFormat="1" ht="15" customHeight="1" x14ac:dyDescent="0.4">
      <c r="A15" s="154"/>
      <c r="B15" s="155"/>
      <c r="C15" s="154"/>
      <c r="D15" s="154"/>
      <c r="E15" s="154"/>
      <c r="F15" s="154"/>
      <c r="G15" s="156"/>
      <c r="H15" s="157"/>
      <c r="I15" s="157"/>
      <c r="J15" s="154"/>
      <c r="L15" s="159"/>
    </row>
    <row r="16" spans="1:14" s="158" customFormat="1" ht="15" customHeight="1" x14ac:dyDescent="0.4">
      <c r="A16" s="154"/>
      <c r="B16" s="155"/>
      <c r="C16" s="154"/>
      <c r="D16" s="154"/>
      <c r="E16" s="154"/>
      <c r="F16" s="154"/>
      <c r="G16" s="156"/>
      <c r="H16" s="157"/>
      <c r="I16" s="157"/>
      <c r="J16" s="154"/>
      <c r="L16" s="159"/>
    </row>
    <row r="17" spans="1:12" s="158" customFormat="1" ht="15" customHeight="1" x14ac:dyDescent="0.4">
      <c r="A17" s="154"/>
      <c r="B17" s="155"/>
      <c r="C17" s="154"/>
      <c r="D17" s="154"/>
      <c r="E17" s="154"/>
      <c r="F17" s="154"/>
      <c r="G17" s="156"/>
      <c r="H17" s="157"/>
      <c r="I17" s="157"/>
      <c r="J17" s="154"/>
      <c r="L17" s="159"/>
    </row>
    <row r="18" spans="1:12" s="158" customFormat="1" ht="15" customHeight="1" x14ac:dyDescent="0.4">
      <c r="A18" s="154"/>
      <c r="B18" s="155"/>
      <c r="C18" s="154"/>
      <c r="D18" s="154"/>
      <c r="E18" s="154"/>
      <c r="F18" s="154"/>
      <c r="G18" s="156"/>
      <c r="H18" s="157"/>
      <c r="I18" s="157"/>
      <c r="J18" s="154"/>
      <c r="L18" s="159"/>
    </row>
    <row r="19" spans="1:12" s="158" customFormat="1" ht="15" customHeight="1" x14ac:dyDescent="0.4">
      <c r="A19" s="154"/>
      <c r="B19" s="155"/>
      <c r="C19" s="154"/>
      <c r="D19" s="154"/>
      <c r="E19" s="154"/>
      <c r="F19" s="154"/>
      <c r="G19" s="156"/>
      <c r="H19" s="157"/>
      <c r="I19" s="157"/>
      <c r="J19" s="154"/>
      <c r="L19" s="159"/>
    </row>
    <row r="20" spans="1:12" s="158" customFormat="1" ht="15" customHeight="1" x14ac:dyDescent="0.4">
      <c r="A20" s="154"/>
      <c r="B20" s="155"/>
      <c r="C20" s="154"/>
      <c r="D20" s="154"/>
      <c r="E20" s="154"/>
      <c r="F20" s="154"/>
      <c r="G20" s="156"/>
      <c r="H20" s="157"/>
      <c r="I20" s="157"/>
      <c r="J20" s="154"/>
      <c r="L20" s="159"/>
    </row>
    <row r="21" spans="1:12" s="158" customFormat="1" ht="15" customHeight="1" x14ac:dyDescent="0.4">
      <c r="A21" s="154"/>
      <c r="B21" s="155"/>
      <c r="C21" s="154"/>
      <c r="D21" s="154"/>
      <c r="E21" s="154"/>
      <c r="F21" s="154"/>
      <c r="G21" s="156"/>
      <c r="H21" s="157"/>
      <c r="I21" s="157"/>
      <c r="J21" s="154"/>
      <c r="L21" s="159"/>
    </row>
    <row r="22" spans="1:12" s="158" customFormat="1" ht="15" customHeight="1" x14ac:dyDescent="0.4">
      <c r="A22" s="154"/>
      <c r="B22" s="155"/>
      <c r="C22" s="154"/>
      <c r="D22" s="154"/>
      <c r="E22" s="154"/>
      <c r="F22" s="154"/>
      <c r="G22" s="156"/>
      <c r="H22" s="157"/>
      <c r="I22" s="157"/>
      <c r="J22" s="154"/>
      <c r="L22" s="159"/>
    </row>
    <row r="23" spans="1:12" s="158" customFormat="1" ht="15" customHeight="1" x14ac:dyDescent="0.4">
      <c r="A23" s="154"/>
      <c r="B23" s="155"/>
      <c r="C23" s="154"/>
      <c r="D23" s="154"/>
      <c r="E23" s="154"/>
      <c r="F23" s="154"/>
      <c r="G23" s="156"/>
      <c r="H23" s="157"/>
      <c r="I23" s="157"/>
      <c r="J23" s="154"/>
      <c r="L23" s="159"/>
    </row>
    <row r="24" spans="1:12" s="158" customFormat="1" ht="15" customHeight="1" x14ac:dyDescent="0.4">
      <c r="A24" s="154"/>
      <c r="B24" s="155"/>
      <c r="C24" s="154"/>
      <c r="D24" s="154"/>
      <c r="E24" s="154"/>
      <c r="F24" s="154"/>
      <c r="G24" s="156"/>
      <c r="H24" s="157"/>
      <c r="I24" s="157"/>
      <c r="J24" s="154"/>
      <c r="L24" s="159"/>
    </row>
    <row r="25" spans="1:12" s="158" customFormat="1" ht="15" customHeight="1" x14ac:dyDescent="0.4">
      <c r="A25" s="154"/>
      <c r="B25" s="155"/>
      <c r="C25" s="154"/>
      <c r="D25" s="154"/>
      <c r="E25" s="154"/>
      <c r="F25" s="154"/>
      <c r="G25" s="156"/>
      <c r="H25" s="157"/>
      <c r="I25" s="157"/>
      <c r="J25" s="154"/>
      <c r="L25" s="159"/>
    </row>
    <row r="26" spans="1:12" s="158" customFormat="1" ht="15" customHeight="1" x14ac:dyDescent="0.4">
      <c r="A26" s="154"/>
      <c r="B26" s="155"/>
      <c r="C26" s="154"/>
      <c r="D26" s="154"/>
      <c r="E26" s="154"/>
      <c r="F26" s="154"/>
      <c r="G26" s="156"/>
      <c r="H26" s="157"/>
      <c r="I26" s="157"/>
      <c r="J26" s="154"/>
      <c r="L26" s="159"/>
    </row>
    <row r="27" spans="1:12" s="158" customFormat="1" ht="15" customHeight="1" x14ac:dyDescent="0.4">
      <c r="A27" s="154"/>
      <c r="B27" s="155"/>
      <c r="C27" s="154"/>
      <c r="D27" s="154"/>
      <c r="E27" s="154"/>
      <c r="F27" s="154"/>
      <c r="G27" s="156"/>
      <c r="H27" s="157"/>
      <c r="I27" s="157"/>
      <c r="J27" s="154"/>
      <c r="L27" s="159"/>
    </row>
    <row r="28" spans="1:12" s="158" customFormat="1" ht="15" customHeight="1" x14ac:dyDescent="0.4">
      <c r="A28" s="154"/>
      <c r="B28" s="155"/>
      <c r="C28" s="154"/>
      <c r="D28" s="154"/>
      <c r="E28" s="154"/>
      <c r="F28" s="154"/>
      <c r="G28" s="156"/>
      <c r="H28" s="157"/>
      <c r="I28" s="157"/>
      <c r="J28" s="154"/>
      <c r="L28" s="159"/>
    </row>
    <row r="29" spans="1:12" s="158" customFormat="1" ht="15" customHeight="1" x14ac:dyDescent="0.4">
      <c r="A29" s="154"/>
      <c r="B29" s="155"/>
      <c r="C29" s="154"/>
      <c r="D29" s="154"/>
      <c r="E29" s="154"/>
      <c r="F29" s="154"/>
      <c r="G29" s="156"/>
      <c r="H29" s="157"/>
      <c r="I29" s="157"/>
      <c r="J29" s="154"/>
      <c r="L29" s="159"/>
    </row>
    <row r="30" spans="1:12" s="158" customFormat="1" ht="15" customHeight="1" x14ac:dyDescent="0.4">
      <c r="A30" s="154"/>
      <c r="B30" s="155"/>
      <c r="C30" s="154"/>
      <c r="D30" s="154"/>
      <c r="E30" s="154"/>
      <c r="F30" s="154"/>
      <c r="G30" s="156"/>
      <c r="H30" s="157"/>
      <c r="I30" s="157"/>
      <c r="J30" s="154"/>
      <c r="L30" s="159"/>
    </row>
    <row r="31" spans="1:12" s="158" customFormat="1" ht="15" customHeight="1" x14ac:dyDescent="0.4">
      <c r="A31" s="154"/>
      <c r="B31" s="155"/>
      <c r="C31" s="154"/>
      <c r="D31" s="154"/>
      <c r="E31" s="154"/>
      <c r="F31" s="154"/>
      <c r="G31" s="156"/>
      <c r="H31" s="157"/>
      <c r="I31" s="157"/>
      <c r="J31" s="154"/>
      <c r="L31" s="159"/>
    </row>
    <row r="32" spans="1:12" s="158" customFormat="1" ht="15" customHeight="1" x14ac:dyDescent="0.4">
      <c r="A32" s="154"/>
      <c r="B32" s="155"/>
      <c r="C32" s="154"/>
      <c r="D32" s="154"/>
      <c r="E32" s="154"/>
      <c r="F32" s="154"/>
      <c r="G32" s="156"/>
      <c r="H32" s="157"/>
      <c r="I32" s="157"/>
      <c r="J32" s="154"/>
      <c r="L32" s="159"/>
    </row>
    <row r="33" spans="1:12" s="158" customFormat="1" ht="15" customHeight="1" x14ac:dyDescent="0.4">
      <c r="A33" s="154"/>
      <c r="B33" s="155"/>
      <c r="C33" s="154"/>
      <c r="D33" s="154"/>
      <c r="E33" s="154"/>
      <c r="F33" s="154"/>
      <c r="G33" s="156"/>
      <c r="H33" s="157"/>
      <c r="I33" s="157"/>
      <c r="J33" s="154"/>
      <c r="L33" s="159"/>
    </row>
    <row r="34" spans="1:12" s="158" customFormat="1" ht="15" customHeight="1" x14ac:dyDescent="0.4">
      <c r="A34" s="154"/>
      <c r="B34" s="155"/>
      <c r="C34" s="154"/>
      <c r="D34" s="154"/>
      <c r="E34" s="154"/>
      <c r="F34" s="154"/>
      <c r="G34" s="156"/>
      <c r="H34" s="157"/>
      <c r="I34" s="157"/>
      <c r="J34" s="154"/>
      <c r="L34" s="159"/>
    </row>
    <row r="35" spans="1:12" s="158" customFormat="1" ht="15" customHeight="1" x14ac:dyDescent="0.35">
      <c r="A35" s="161"/>
      <c r="B35" s="162"/>
      <c r="C35" s="161"/>
      <c r="D35" s="162"/>
      <c r="E35" s="162"/>
      <c r="F35" s="162"/>
      <c r="G35" s="163"/>
      <c r="H35" s="164"/>
      <c r="I35" s="164"/>
      <c r="J35" s="162"/>
      <c r="L35" s="159"/>
    </row>
    <row r="36" spans="1:12" s="158" customFormat="1" ht="15" customHeight="1" x14ac:dyDescent="0.35">
      <c r="A36" s="161"/>
      <c r="B36" s="162"/>
      <c r="C36" s="161"/>
      <c r="D36" s="162"/>
      <c r="E36" s="162"/>
      <c r="F36" s="162"/>
      <c r="G36" s="163"/>
      <c r="H36" s="164"/>
      <c r="I36" s="164"/>
      <c r="J36" s="162"/>
      <c r="L36" s="159"/>
    </row>
    <row r="37" spans="1:12" s="158" customFormat="1" ht="15" customHeight="1" x14ac:dyDescent="0.35">
      <c r="A37" s="161"/>
      <c r="B37" s="162"/>
      <c r="C37" s="161"/>
      <c r="D37" s="162"/>
      <c r="E37" s="162"/>
      <c r="F37" s="162"/>
      <c r="G37" s="163"/>
      <c r="H37" s="164"/>
      <c r="I37" s="164"/>
      <c r="J37" s="162"/>
      <c r="L37" s="159"/>
    </row>
    <row r="38" spans="1:12" s="158" customFormat="1" ht="15" customHeight="1" x14ac:dyDescent="0.35">
      <c r="A38" s="161"/>
      <c r="B38" s="162"/>
      <c r="C38" s="161"/>
      <c r="D38" s="162"/>
      <c r="E38" s="162"/>
      <c r="F38" s="162"/>
      <c r="G38" s="163"/>
      <c r="H38" s="164"/>
      <c r="I38" s="164"/>
      <c r="J38" s="162"/>
      <c r="L38" s="159"/>
    </row>
    <row r="39" spans="1:12" s="158" customFormat="1" ht="15" customHeight="1" x14ac:dyDescent="0.35">
      <c r="A39" s="161"/>
      <c r="B39" s="162"/>
      <c r="C39" s="161"/>
      <c r="D39" s="162"/>
      <c r="E39" s="162"/>
      <c r="F39" s="162"/>
      <c r="G39" s="163"/>
      <c r="H39" s="164"/>
      <c r="I39" s="164"/>
      <c r="J39" s="162"/>
      <c r="L39" s="159"/>
    </row>
    <row r="40" spans="1:12" s="158" customFormat="1" ht="15" customHeight="1" x14ac:dyDescent="0.35">
      <c r="A40" s="161"/>
      <c r="B40" s="162"/>
      <c r="C40" s="161"/>
      <c r="D40" s="162"/>
      <c r="E40" s="162"/>
      <c r="F40" s="162"/>
      <c r="G40" s="163"/>
      <c r="H40" s="164"/>
      <c r="I40" s="164"/>
      <c r="J40" s="162"/>
      <c r="L40" s="159"/>
    </row>
    <row r="41" spans="1:12" s="158" customFormat="1" ht="15" customHeight="1" x14ac:dyDescent="0.35">
      <c r="A41" s="161"/>
      <c r="B41" s="162"/>
      <c r="C41" s="161"/>
      <c r="D41" s="162"/>
      <c r="E41" s="162"/>
      <c r="F41" s="162"/>
      <c r="G41" s="163"/>
      <c r="H41" s="164"/>
      <c r="I41" s="164"/>
      <c r="J41" s="162"/>
      <c r="L41" s="159"/>
    </row>
    <row r="42" spans="1:12" s="158" customFormat="1" ht="15" customHeight="1" x14ac:dyDescent="0.35">
      <c r="A42" s="161"/>
      <c r="B42" s="162"/>
      <c r="C42" s="161"/>
      <c r="D42" s="162"/>
      <c r="E42" s="162"/>
      <c r="F42" s="162"/>
      <c r="G42" s="163"/>
      <c r="H42" s="164"/>
      <c r="I42" s="164"/>
      <c r="J42" s="162"/>
      <c r="L42" s="159"/>
    </row>
    <row r="43" spans="1:12" s="158" customFormat="1" ht="15" customHeight="1" x14ac:dyDescent="0.35">
      <c r="A43" s="161"/>
      <c r="B43" s="162"/>
      <c r="C43" s="161"/>
      <c r="D43" s="162"/>
      <c r="E43" s="162"/>
      <c r="F43" s="162"/>
      <c r="G43" s="163"/>
      <c r="H43" s="164"/>
      <c r="I43" s="164"/>
      <c r="J43" s="162"/>
      <c r="L43" s="159"/>
    </row>
    <row r="44" spans="1:12" s="158" customFormat="1" ht="15" customHeight="1" x14ac:dyDescent="0.35">
      <c r="A44" s="161"/>
      <c r="B44" s="162"/>
      <c r="C44" s="161"/>
      <c r="D44" s="162"/>
      <c r="E44" s="162"/>
      <c r="F44" s="162"/>
      <c r="G44" s="163"/>
      <c r="H44" s="164"/>
      <c r="I44" s="164"/>
      <c r="J44" s="162"/>
      <c r="L44" s="159"/>
    </row>
  </sheetData>
  <autoFilter ref="A2:J23" xr:uid="{2E421254-DD27-4148-AC38-C00782AEA3D1}">
    <sortState ref="A5:J55">
      <sortCondition ref="F2:F23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58" fitToHeight="0" orientation="landscape" r:id="rId1"/>
  <headerFoot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3"/>
  <sheetViews>
    <sheetView view="pageBreakPreview" zoomScaleNormal="100" zoomScaleSheetLayoutView="100" workbookViewId="0">
      <selection activeCell="I5" sqref="I5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335" t="s">
        <v>237</v>
      </c>
      <c r="B1" s="336"/>
      <c r="C1" s="336"/>
      <c r="D1" s="336"/>
      <c r="E1" s="336"/>
      <c r="F1" s="336"/>
      <c r="G1" s="336"/>
      <c r="H1" s="336"/>
      <c r="I1" s="336"/>
      <c r="J1" s="337"/>
    </row>
    <row r="2" spans="1:12" ht="20.100000000000001" customHeight="1" x14ac:dyDescent="0.4">
      <c r="A2" s="338" t="s">
        <v>238</v>
      </c>
      <c r="B2" s="338" t="s">
        <v>239</v>
      </c>
      <c r="C2" s="338" t="s">
        <v>240</v>
      </c>
      <c r="D2" s="338" t="s">
        <v>241</v>
      </c>
      <c r="E2" s="338" t="s">
        <v>242</v>
      </c>
      <c r="F2" s="338" t="s">
        <v>243</v>
      </c>
      <c r="G2" s="338" t="s">
        <v>244</v>
      </c>
      <c r="H2" s="338" t="s">
        <v>245</v>
      </c>
      <c r="I2" s="141" t="s">
        <v>246</v>
      </c>
      <c r="J2" s="338" t="s">
        <v>247</v>
      </c>
    </row>
    <row r="3" spans="1:12" ht="20.100000000000001" customHeight="1" x14ac:dyDescent="0.4">
      <c r="A3" s="338"/>
      <c r="B3" s="338"/>
      <c r="C3" s="338"/>
      <c r="D3" s="338"/>
      <c r="E3" s="338"/>
      <c r="F3" s="338"/>
      <c r="G3" s="338"/>
      <c r="H3" s="338"/>
      <c r="I3" s="142">
        <f>SUM(I4:I13)</f>
        <v>0</v>
      </c>
      <c r="J3" s="338"/>
      <c r="L3" s="143" t="s">
        <v>248</v>
      </c>
    </row>
    <row r="4" spans="1:12" ht="20.100000000000001" customHeight="1" x14ac:dyDescent="0.4">
      <c r="A4" s="154">
        <f t="shared" ref="A4" si="0">ROW()-3</f>
        <v>1</v>
      </c>
      <c r="B4" s="179">
        <v>46295</v>
      </c>
      <c r="C4" s="46" t="s">
        <v>322</v>
      </c>
      <c r="D4" s="46" t="s">
        <v>333</v>
      </c>
      <c r="E4" s="46" t="s">
        <v>324</v>
      </c>
      <c r="F4" s="46" t="s">
        <v>323</v>
      </c>
      <c r="G4" s="46">
        <v>1</v>
      </c>
      <c r="H4" s="46"/>
      <c r="I4" s="182">
        <v>0</v>
      </c>
      <c r="J4" s="46" t="s">
        <v>334</v>
      </c>
      <c r="L4" s="144" t="s">
        <v>249</v>
      </c>
    </row>
    <row r="5" spans="1:12" ht="20.100000000000001" customHeight="1" x14ac:dyDescent="0.4">
      <c r="A5" s="154"/>
      <c r="B5" s="179"/>
      <c r="C5" s="46"/>
      <c r="D5" s="46"/>
      <c r="E5" s="46"/>
      <c r="F5" s="46"/>
      <c r="G5" s="46"/>
      <c r="H5" s="46"/>
      <c r="I5" s="182"/>
      <c r="J5" s="46"/>
      <c r="L5" s="144" t="s">
        <v>250</v>
      </c>
    </row>
    <row r="6" spans="1:12" ht="20.100000000000001" customHeight="1" x14ac:dyDescent="0.4">
      <c r="A6" s="154"/>
      <c r="B6" s="179"/>
      <c r="C6" s="46"/>
      <c r="D6" s="46"/>
      <c r="E6" s="46"/>
      <c r="F6" s="46"/>
      <c r="G6" s="46"/>
      <c r="H6" s="46"/>
      <c r="I6" s="182"/>
      <c r="J6" s="46"/>
      <c r="L6" s="144" t="s">
        <v>251</v>
      </c>
    </row>
    <row r="7" spans="1:12" ht="20.100000000000001" customHeight="1" x14ac:dyDescent="0.4">
      <c r="L7" s="144" t="s">
        <v>252</v>
      </c>
    </row>
    <row r="8" spans="1:12" ht="20.100000000000001" customHeight="1" x14ac:dyDescent="0.4">
      <c r="L8" s="145" t="s">
        <v>253</v>
      </c>
    </row>
    <row r="9" spans="1:12" ht="20.100000000000001" customHeight="1" x14ac:dyDescent="0.4">
      <c r="L9" s="145" t="s">
        <v>254</v>
      </c>
    </row>
    <row r="10" spans="1:12" ht="20.100000000000001" customHeight="1" x14ac:dyDescent="0.4">
      <c r="L10" s="145" t="s">
        <v>255</v>
      </c>
    </row>
    <row r="11" spans="1:12" ht="20.100000000000001" customHeight="1" x14ac:dyDescent="0.4">
      <c r="L11" s="145"/>
    </row>
    <row r="12" spans="1:12" ht="20.100000000000001" customHeight="1" x14ac:dyDescent="0.4">
      <c r="L12" s="143" t="s">
        <v>256</v>
      </c>
    </row>
    <row r="13" spans="1:12" ht="20.100000000000001" customHeight="1" x14ac:dyDescent="0.4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  <colBreaks count="1" manualBreakCount="1">
    <brk id="10" max="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2"/>
  <sheetViews>
    <sheetView view="pageBreakPreview" zoomScaleNormal="100" zoomScaleSheetLayoutView="100" workbookViewId="0">
      <selection activeCell="I4" sqref="I4:I9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 x14ac:dyDescent="0.4">
      <c r="A1" s="335" t="s">
        <v>257</v>
      </c>
      <c r="B1" s="336"/>
      <c r="C1" s="336"/>
      <c r="D1" s="336"/>
      <c r="E1" s="336"/>
      <c r="F1" s="336"/>
      <c r="G1" s="336"/>
      <c r="H1" s="336"/>
      <c r="I1" s="336"/>
      <c r="J1" s="337"/>
    </row>
    <row r="2" spans="1:10" ht="20.100000000000001" customHeight="1" x14ac:dyDescent="0.4">
      <c r="A2" s="338" t="s">
        <v>258</v>
      </c>
      <c r="B2" s="338" t="s">
        <v>239</v>
      </c>
      <c r="C2" s="338" t="s">
        <v>259</v>
      </c>
      <c r="D2" s="338" t="s">
        <v>241</v>
      </c>
      <c r="E2" s="338" t="s">
        <v>260</v>
      </c>
      <c r="F2" s="338" t="s">
        <v>243</v>
      </c>
      <c r="G2" s="338" t="s">
        <v>261</v>
      </c>
      <c r="H2" s="338" t="s">
        <v>262</v>
      </c>
      <c r="I2" s="141" t="s">
        <v>263</v>
      </c>
      <c r="J2" s="338" t="s">
        <v>264</v>
      </c>
    </row>
    <row r="3" spans="1:10" ht="20.100000000000001" customHeight="1" x14ac:dyDescent="0.4">
      <c r="A3" s="338"/>
      <c r="B3" s="338"/>
      <c r="C3" s="338"/>
      <c r="D3" s="338"/>
      <c r="E3" s="338"/>
      <c r="F3" s="338"/>
      <c r="G3" s="338"/>
      <c r="H3" s="338"/>
      <c r="I3" s="142">
        <f>SUM(I4:I12)</f>
        <v>0</v>
      </c>
      <c r="J3" s="338"/>
    </row>
    <row r="4" spans="1:10" ht="20.100000000000001" customHeight="1" x14ac:dyDescent="0.4">
      <c r="A4" s="165">
        <f t="shared" ref="A4:A9" si="0">ROW()-3</f>
        <v>1</v>
      </c>
      <c r="B4" s="166">
        <v>46295</v>
      </c>
      <c r="C4" s="167" t="s">
        <v>335</v>
      </c>
      <c r="D4" s="168" t="s">
        <v>325</v>
      </c>
      <c r="E4" s="46" t="s">
        <v>324</v>
      </c>
      <c r="F4" s="46" t="s">
        <v>323</v>
      </c>
      <c r="G4" s="169">
        <v>1</v>
      </c>
      <c r="H4" s="185"/>
      <c r="I4" s="170"/>
      <c r="J4" s="171"/>
    </row>
    <row r="5" spans="1:10" ht="20.100000000000001" customHeight="1" x14ac:dyDescent="0.4">
      <c r="A5" s="165">
        <f t="shared" si="0"/>
        <v>2</v>
      </c>
      <c r="B5" s="166">
        <v>46295</v>
      </c>
      <c r="C5" s="167" t="s">
        <v>335</v>
      </c>
      <c r="D5" s="168" t="s">
        <v>326</v>
      </c>
      <c r="E5" s="46" t="s">
        <v>324</v>
      </c>
      <c r="F5" s="46" t="s">
        <v>323</v>
      </c>
      <c r="G5" s="169">
        <v>1</v>
      </c>
      <c r="H5" s="178"/>
      <c r="I5" s="182"/>
      <c r="J5" s="178"/>
    </row>
    <row r="6" spans="1:10" ht="20.100000000000001" customHeight="1" x14ac:dyDescent="0.4">
      <c r="A6" s="165">
        <f t="shared" si="0"/>
        <v>3</v>
      </c>
      <c r="B6" s="166">
        <v>46295</v>
      </c>
      <c r="C6" s="167" t="s">
        <v>335</v>
      </c>
      <c r="D6" s="168" t="s">
        <v>327</v>
      </c>
      <c r="E6" s="46" t="s">
        <v>324</v>
      </c>
      <c r="F6" s="46" t="s">
        <v>323</v>
      </c>
      <c r="G6" s="169">
        <v>1</v>
      </c>
      <c r="H6" s="178"/>
      <c r="I6" s="182"/>
      <c r="J6" s="178"/>
    </row>
    <row r="7" spans="1:10" ht="20.100000000000001" customHeight="1" x14ac:dyDescent="0.4">
      <c r="A7" s="165">
        <f t="shared" si="0"/>
        <v>4</v>
      </c>
      <c r="B7" s="166">
        <v>46295</v>
      </c>
      <c r="C7" s="167" t="s">
        <v>335</v>
      </c>
      <c r="D7" s="168" t="s">
        <v>336</v>
      </c>
      <c r="E7" s="46" t="s">
        <v>324</v>
      </c>
      <c r="F7" s="46" t="s">
        <v>323</v>
      </c>
      <c r="G7" s="169">
        <v>1</v>
      </c>
      <c r="H7" s="178"/>
      <c r="I7" s="182"/>
      <c r="J7" s="178"/>
    </row>
    <row r="8" spans="1:10" ht="20.100000000000001" customHeight="1" x14ac:dyDescent="0.4">
      <c r="A8" s="165">
        <f t="shared" si="0"/>
        <v>5</v>
      </c>
      <c r="B8" s="166">
        <v>46295</v>
      </c>
      <c r="C8" s="167" t="s">
        <v>335</v>
      </c>
      <c r="D8" s="168" t="s">
        <v>337</v>
      </c>
      <c r="E8" s="46" t="s">
        <v>324</v>
      </c>
      <c r="F8" s="46" t="s">
        <v>323</v>
      </c>
      <c r="G8" s="169">
        <v>1</v>
      </c>
      <c r="H8" s="178"/>
      <c r="I8" s="182"/>
      <c r="J8" s="178"/>
    </row>
    <row r="9" spans="1:10" ht="20.100000000000001" customHeight="1" x14ac:dyDescent="0.4">
      <c r="A9" s="165">
        <f t="shared" si="0"/>
        <v>6</v>
      </c>
      <c r="B9" s="166">
        <v>46295</v>
      </c>
      <c r="C9" s="167" t="s">
        <v>335</v>
      </c>
      <c r="D9" s="168" t="s">
        <v>338</v>
      </c>
      <c r="E9" s="46" t="s">
        <v>324</v>
      </c>
      <c r="F9" s="46" t="s">
        <v>323</v>
      </c>
      <c r="G9" s="169">
        <v>1</v>
      </c>
      <c r="H9" s="178"/>
      <c r="I9" s="182"/>
      <c r="J9" s="178"/>
    </row>
    <row r="10" spans="1:10" ht="20.100000000000001" customHeight="1" x14ac:dyDescent="0.4"/>
    <row r="11" spans="1:10" ht="20.100000000000001" customHeight="1" x14ac:dyDescent="0.4"/>
    <row r="12" spans="1:10" ht="20.100000000000001" customHeight="1" x14ac:dyDescent="0.4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conditionalFormatting sqref="E6:E9">
    <cfRule type="duplicateValues" priority="401"/>
  </conditionalFormatting>
  <printOptions horizontalCentered="1"/>
  <pageMargins left="0.31496062992125984" right="0.31496062992125984" top="0.35433070866141736" bottom="0.51181102362204722" header="0.15748031496062992" footer="0.27559055118110237"/>
  <pageSetup paperSize="9" scale="82" fitToHeight="0" orientation="landscape" r:id="rId1"/>
  <headerFoot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3"/>
  <sheetViews>
    <sheetView view="pageBreakPreview" zoomScale="115" zoomScaleNormal="100" zoomScaleSheetLayoutView="115" workbookViewId="0">
      <selection activeCell="H18" sqref="H18"/>
    </sheetView>
  </sheetViews>
  <sheetFormatPr defaultRowHeight="17.399999999999999" x14ac:dyDescent="0.4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335" t="s">
        <v>265</v>
      </c>
      <c r="B1" s="336"/>
      <c r="C1" s="336"/>
      <c r="D1" s="336"/>
      <c r="E1" s="336"/>
      <c r="F1" s="336"/>
      <c r="G1" s="336"/>
      <c r="H1" s="336"/>
      <c r="I1" s="336"/>
      <c r="J1" s="337"/>
    </row>
    <row r="2" spans="1:12" ht="24.9" customHeight="1" x14ac:dyDescent="0.4">
      <c r="A2" s="338" t="s">
        <v>266</v>
      </c>
      <c r="B2" s="338" t="s">
        <v>267</v>
      </c>
      <c r="C2" s="338" t="s">
        <v>110</v>
      </c>
      <c r="D2" s="338" t="s">
        <v>268</v>
      </c>
      <c r="E2" s="338" t="s">
        <v>269</v>
      </c>
      <c r="F2" s="338" t="s">
        <v>270</v>
      </c>
      <c r="G2" s="338" t="s">
        <v>271</v>
      </c>
      <c r="H2" s="338" t="s">
        <v>272</v>
      </c>
      <c r="I2" s="141" t="s">
        <v>273</v>
      </c>
      <c r="J2" s="338" t="s">
        <v>247</v>
      </c>
    </row>
    <row r="3" spans="1:12" ht="24.9" customHeight="1" x14ac:dyDescent="0.4">
      <c r="A3" s="338"/>
      <c r="B3" s="338"/>
      <c r="C3" s="338"/>
      <c r="D3" s="338"/>
      <c r="E3" s="338"/>
      <c r="F3" s="338"/>
      <c r="G3" s="338"/>
      <c r="H3" s="338"/>
      <c r="I3" s="142">
        <f>SUM(I4:I10)</f>
        <v>0</v>
      </c>
      <c r="J3" s="338"/>
      <c r="L3" s="143" t="s">
        <v>274</v>
      </c>
    </row>
    <row r="4" spans="1:12" ht="15" customHeight="1" x14ac:dyDescent="0.4">
      <c r="A4" s="154"/>
      <c r="B4" s="179"/>
      <c r="C4" s="46"/>
      <c r="D4" s="46"/>
      <c r="E4" s="46"/>
      <c r="F4" s="46"/>
      <c r="G4" s="46"/>
      <c r="H4" s="181"/>
      <c r="I4" s="181"/>
      <c r="J4" s="46"/>
      <c r="L4" s="144" t="s">
        <v>275</v>
      </c>
    </row>
    <row r="5" spans="1:12" ht="15" customHeight="1" x14ac:dyDescent="0.4">
      <c r="A5" s="154"/>
      <c r="B5" s="179"/>
      <c r="C5" s="46"/>
      <c r="D5" s="46"/>
      <c r="E5" s="46"/>
      <c r="F5" s="46"/>
      <c r="G5" s="46"/>
      <c r="H5" s="181"/>
      <c r="I5" s="181"/>
      <c r="J5" s="46"/>
      <c r="L5" s="144" t="s">
        <v>276</v>
      </c>
    </row>
    <row r="6" spans="1:12" ht="15" customHeight="1" x14ac:dyDescent="0.4">
      <c r="A6" s="154"/>
      <c r="B6" s="179"/>
      <c r="C6" s="46"/>
      <c r="D6" s="46"/>
      <c r="E6" s="46"/>
      <c r="F6" s="46"/>
      <c r="G6" s="46"/>
      <c r="H6" s="181"/>
      <c r="I6" s="181"/>
      <c r="J6" s="46"/>
      <c r="L6" s="144" t="s">
        <v>277</v>
      </c>
    </row>
    <row r="7" spans="1:12" ht="15" customHeight="1" x14ac:dyDescent="0.4">
      <c r="A7" s="154"/>
      <c r="B7" s="179"/>
      <c r="C7" s="46"/>
      <c r="D7" s="46"/>
      <c r="E7" s="46"/>
      <c r="F7" s="46"/>
      <c r="G7" s="46"/>
      <c r="H7" s="181"/>
      <c r="I7" s="181"/>
      <c r="J7" s="46"/>
      <c r="L7" s="144" t="s">
        <v>278</v>
      </c>
    </row>
    <row r="8" spans="1:12" ht="15" customHeight="1" x14ac:dyDescent="0.4">
      <c r="A8" s="154"/>
      <c r="B8" s="179"/>
      <c r="C8" s="46"/>
      <c r="D8" s="46"/>
      <c r="E8" s="46"/>
      <c r="F8" s="46"/>
      <c r="G8" s="46"/>
      <c r="H8" s="181"/>
      <c r="I8" s="181"/>
      <c r="J8" s="46"/>
      <c r="L8" s="145" t="s">
        <v>279</v>
      </c>
    </row>
    <row r="9" spans="1:12" ht="15" customHeight="1" x14ac:dyDescent="0.4">
      <c r="A9" s="154"/>
      <c r="B9" s="179"/>
      <c r="C9" s="46"/>
      <c r="D9" s="46"/>
      <c r="E9" s="46"/>
      <c r="F9" s="46"/>
      <c r="G9" s="46"/>
      <c r="H9" s="181"/>
      <c r="I9" s="181"/>
      <c r="J9" s="46"/>
      <c r="L9" s="145" t="s">
        <v>280</v>
      </c>
    </row>
    <row r="10" spans="1:12" ht="15" customHeight="1" x14ac:dyDescent="0.4">
      <c r="A10" s="154"/>
      <c r="B10" s="179"/>
      <c r="C10" s="46"/>
      <c r="D10" s="46"/>
      <c r="E10" s="46"/>
      <c r="F10" s="46"/>
      <c r="G10" s="46"/>
      <c r="H10" s="181"/>
      <c r="I10" s="181"/>
      <c r="J10" s="46"/>
      <c r="L10" s="145" t="s">
        <v>281</v>
      </c>
    </row>
    <row r="11" spans="1:12" ht="15" customHeight="1" x14ac:dyDescent="0.4">
      <c r="A11" s="154"/>
      <c r="B11" s="179"/>
      <c r="C11" s="46"/>
      <c r="D11" s="46"/>
      <c r="E11" s="46"/>
      <c r="F11" s="46"/>
      <c r="G11" s="46"/>
      <c r="H11" s="181"/>
      <c r="I11" s="181"/>
      <c r="J11" s="46"/>
      <c r="L11" s="145" t="s">
        <v>282</v>
      </c>
    </row>
    <row r="12" spans="1:12" ht="15" customHeight="1" x14ac:dyDescent="0.4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L12" s="145"/>
    </row>
    <row r="13" spans="1:12" x14ac:dyDescent="0.4">
      <c r="A13" s="180"/>
      <c r="B13" s="180"/>
      <c r="C13" s="180"/>
      <c r="D13" s="180"/>
      <c r="E13" s="180"/>
      <c r="F13" s="180"/>
      <c r="G13" s="180"/>
      <c r="H13" s="180"/>
      <c r="I13" s="180"/>
      <c r="J13" s="180"/>
      <c r="L13" s="55" t="s">
        <v>283</v>
      </c>
    </row>
    <row r="14" spans="1:12" x14ac:dyDescent="0.4">
      <c r="D14" s="180"/>
    </row>
    <row r="15" spans="1:12" x14ac:dyDescent="0.4">
      <c r="D15" s="180"/>
    </row>
    <row r="16" spans="1:12" x14ac:dyDescent="0.4">
      <c r="D16" s="180"/>
    </row>
    <row r="17" spans="4:9" x14ac:dyDescent="0.4">
      <c r="D17" s="180"/>
      <c r="I17" s="175"/>
    </row>
    <row r="18" spans="4:9" x14ac:dyDescent="0.4">
      <c r="D18" s="180"/>
      <c r="I18" s="175"/>
    </row>
    <row r="19" spans="4:9" x14ac:dyDescent="0.4">
      <c r="D19" s="180"/>
    </row>
    <row r="20" spans="4:9" x14ac:dyDescent="0.4">
      <c r="D20" s="180"/>
    </row>
    <row r="21" spans="4:9" x14ac:dyDescent="0.4">
      <c r="D21" s="180"/>
    </row>
    <row r="22" spans="4:9" x14ac:dyDescent="0.4">
      <c r="D22" s="180"/>
    </row>
    <row r="23" spans="4:9" x14ac:dyDescent="0.4">
      <c r="D23" s="180"/>
    </row>
    <row r="24" spans="4:9" x14ac:dyDescent="0.4">
      <c r="D24" s="180"/>
    </row>
    <row r="25" spans="4:9" x14ac:dyDescent="0.4">
      <c r="D25" s="180"/>
    </row>
    <row r="26" spans="4:9" x14ac:dyDescent="0.4">
      <c r="D26" s="180"/>
    </row>
    <row r="27" spans="4:9" x14ac:dyDescent="0.4">
      <c r="D27" s="180"/>
    </row>
    <row r="28" spans="4:9" x14ac:dyDescent="0.4">
      <c r="D28" s="180"/>
    </row>
    <row r="29" spans="4:9" x14ac:dyDescent="0.4">
      <c r="D29" s="180"/>
    </row>
    <row r="30" spans="4:9" x14ac:dyDescent="0.4">
      <c r="D30" s="180"/>
    </row>
    <row r="31" spans="4:9" x14ac:dyDescent="0.4">
      <c r="D31" s="180"/>
    </row>
    <row r="32" spans="4:9" x14ac:dyDescent="0.4">
      <c r="D32" s="180"/>
    </row>
    <row r="33" spans="4:4" x14ac:dyDescent="0.4">
      <c r="D33" s="180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77" fitToHeight="0" orientation="landscape" r:id="rId1"/>
  <headerFooter>
    <oddFooter>&amp;C&amp;P/&amp;N</oddFooter>
  </headerFooter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0"/>
  <sheetViews>
    <sheetView view="pageBreakPreview" zoomScale="85" zoomScaleNormal="100" zoomScaleSheetLayoutView="85" workbookViewId="0">
      <selection activeCell="H12" sqref="H12"/>
    </sheetView>
  </sheetViews>
  <sheetFormatPr defaultRowHeight="17.399999999999999" x14ac:dyDescent="0.4"/>
  <cols>
    <col min="2" max="2" width="11.09765625" bestFit="1" customWidth="1"/>
    <col min="3" max="3" width="10.59765625" bestFit="1" customWidth="1"/>
    <col min="4" max="4" width="32.19921875" customWidth="1"/>
    <col min="5" max="5" width="19.8984375" style="37" bestFit="1" customWidth="1"/>
    <col min="6" max="6" width="9" style="37"/>
    <col min="7" max="7" width="10.5" style="37" bestFit="1" customWidth="1"/>
    <col min="8" max="8" width="10.5" style="37" customWidth="1"/>
    <col min="9" max="9" width="18" customWidth="1"/>
    <col min="12" max="12" width="10" bestFit="1" customWidth="1"/>
  </cols>
  <sheetData>
    <row r="1" spans="1:20" ht="35.1" customHeight="1" x14ac:dyDescent="0.4">
      <c r="A1" s="339" t="s">
        <v>284</v>
      </c>
      <c r="B1" s="339"/>
      <c r="C1" s="339"/>
      <c r="D1" s="339"/>
      <c r="E1" s="339"/>
      <c r="F1" s="339"/>
      <c r="G1" s="339"/>
      <c r="H1" s="339"/>
      <c r="I1" s="339"/>
      <c r="J1" s="55"/>
      <c r="K1" s="55"/>
      <c r="L1" s="55"/>
    </row>
    <row r="2" spans="1:20" ht="24.9" customHeight="1" x14ac:dyDescent="0.4">
      <c r="A2" s="338" t="s">
        <v>285</v>
      </c>
      <c r="B2" s="340" t="s">
        <v>286</v>
      </c>
      <c r="C2" s="340" t="s">
        <v>287</v>
      </c>
      <c r="D2" s="341" t="s">
        <v>278</v>
      </c>
      <c r="E2" s="340" t="s">
        <v>279</v>
      </c>
      <c r="F2" s="340" t="s">
        <v>254</v>
      </c>
      <c r="G2" s="342" t="s">
        <v>288</v>
      </c>
      <c r="H2" s="146" t="s">
        <v>289</v>
      </c>
      <c r="I2" s="340" t="s">
        <v>290</v>
      </c>
      <c r="J2" s="55"/>
      <c r="K2" s="55"/>
      <c r="L2" s="55"/>
    </row>
    <row r="3" spans="1:20" ht="24.9" customHeight="1" x14ac:dyDescent="0.4">
      <c r="A3" s="338"/>
      <c r="B3" s="340"/>
      <c r="C3" s="340"/>
      <c r="D3" s="341"/>
      <c r="E3" s="340"/>
      <c r="F3" s="340"/>
      <c r="G3" s="342"/>
      <c r="H3" s="147">
        <f>SUM(H4:H19)</f>
        <v>0</v>
      </c>
      <c r="I3" s="340"/>
      <c r="J3" s="55"/>
      <c r="K3" s="176" t="s">
        <v>248</v>
      </c>
      <c r="L3" s="145"/>
      <c r="M3" s="145"/>
      <c r="N3" s="145"/>
      <c r="O3" s="145"/>
      <c r="P3" s="145"/>
      <c r="Q3" s="145"/>
      <c r="R3" s="145"/>
      <c r="S3" s="145"/>
      <c r="T3" s="145"/>
    </row>
    <row r="4" spans="1:20" ht="15" customHeight="1" x14ac:dyDescent="0.4">
      <c r="A4" s="154"/>
      <c r="B4" s="166"/>
      <c r="C4" s="242"/>
      <c r="D4" s="171"/>
      <c r="E4" s="172"/>
      <c r="F4" s="171"/>
      <c r="G4" s="173"/>
      <c r="H4" s="173"/>
      <c r="I4" s="181"/>
      <c r="J4" s="55"/>
      <c r="K4" s="144" t="s">
        <v>296</v>
      </c>
      <c r="L4" s="145"/>
      <c r="M4" s="145"/>
      <c r="N4" s="145"/>
      <c r="O4" s="145"/>
      <c r="P4" s="145"/>
      <c r="Q4" s="145"/>
      <c r="R4" s="145"/>
      <c r="S4" s="145"/>
      <c r="T4" s="145"/>
    </row>
    <row r="5" spans="1:20" ht="15" customHeight="1" x14ac:dyDescent="0.4">
      <c r="A5" s="154"/>
      <c r="B5" s="166"/>
      <c r="C5" s="242"/>
      <c r="D5" s="171"/>
      <c r="E5" s="172"/>
      <c r="F5" s="171"/>
      <c r="G5" s="173"/>
      <c r="H5" s="173"/>
      <c r="I5" s="181"/>
      <c r="J5" s="55"/>
      <c r="K5" s="144" t="s">
        <v>286</v>
      </c>
      <c r="L5" s="145"/>
      <c r="M5" s="145"/>
      <c r="N5" s="145"/>
      <c r="O5" s="145"/>
      <c r="P5" s="145"/>
      <c r="Q5" s="145"/>
      <c r="R5" s="145"/>
      <c r="S5" s="145"/>
      <c r="T5" s="145"/>
    </row>
    <row r="6" spans="1:20" ht="15" customHeight="1" x14ac:dyDescent="0.4">
      <c r="A6" s="154"/>
      <c r="B6" s="166"/>
      <c r="C6" s="242"/>
      <c r="D6" s="171"/>
      <c r="E6" s="172"/>
      <c r="F6" s="171"/>
      <c r="G6" s="173"/>
      <c r="H6" s="173"/>
      <c r="I6" s="181"/>
      <c r="J6" s="55"/>
      <c r="K6" s="144" t="s">
        <v>250</v>
      </c>
      <c r="L6" s="145"/>
      <c r="M6" s="145"/>
      <c r="N6" s="145"/>
      <c r="O6" s="145"/>
      <c r="P6" s="145"/>
      <c r="Q6" s="145"/>
      <c r="R6" s="145"/>
      <c r="S6" s="145"/>
      <c r="T6" s="145"/>
    </row>
    <row r="7" spans="1:20" ht="15" customHeight="1" x14ac:dyDescent="0.4">
      <c r="A7" s="154"/>
      <c r="B7" s="166"/>
      <c r="C7" s="242"/>
      <c r="D7" s="171"/>
      <c r="E7" s="172"/>
      <c r="F7" s="171"/>
      <c r="G7" s="173"/>
      <c r="H7" s="173"/>
      <c r="I7" s="181"/>
      <c r="J7" s="55"/>
      <c r="K7" s="144" t="s">
        <v>251</v>
      </c>
      <c r="L7" s="145"/>
      <c r="M7" s="145"/>
      <c r="N7" s="145"/>
      <c r="O7" s="145"/>
      <c r="P7" s="145"/>
      <c r="Q7" s="145"/>
      <c r="R7" s="145"/>
      <c r="S7" s="145"/>
      <c r="T7" s="145"/>
    </row>
    <row r="8" spans="1:20" ht="15" customHeight="1" x14ac:dyDescent="0.4">
      <c r="J8" s="55"/>
      <c r="K8" s="144" t="s">
        <v>297</v>
      </c>
      <c r="L8" s="145"/>
      <c r="M8" s="145"/>
      <c r="N8" s="145"/>
      <c r="O8" s="145"/>
      <c r="P8" s="145"/>
      <c r="Q8" s="145"/>
      <c r="R8" s="145"/>
      <c r="S8" s="145"/>
      <c r="T8" s="145"/>
    </row>
    <row r="9" spans="1:20" ht="15" customHeight="1" x14ac:dyDescent="0.4">
      <c r="J9" s="55"/>
      <c r="K9" s="145" t="s">
        <v>254</v>
      </c>
      <c r="L9" s="145"/>
      <c r="M9" s="145"/>
      <c r="N9" s="145"/>
      <c r="O9" s="145"/>
      <c r="P9" s="145"/>
      <c r="Q9" s="145"/>
      <c r="R9" s="145"/>
      <c r="S9" s="145"/>
      <c r="T9" s="145"/>
    </row>
    <row r="10" spans="1:20" ht="15" customHeight="1" x14ac:dyDescent="0.4">
      <c r="J10" s="55"/>
      <c r="K10" s="145" t="s">
        <v>288</v>
      </c>
      <c r="L10" s="177"/>
      <c r="M10" s="145"/>
      <c r="N10" s="145"/>
      <c r="O10" s="145"/>
      <c r="P10" s="145"/>
      <c r="Q10" s="145"/>
      <c r="R10" s="145"/>
      <c r="S10" s="145"/>
      <c r="T10" s="145"/>
    </row>
    <row r="11" spans="1:20" ht="15" customHeight="1" x14ac:dyDescent="0.4">
      <c r="J11" s="55"/>
      <c r="K11" s="145"/>
      <c r="L11" s="177"/>
      <c r="M11" s="145"/>
      <c r="N11" s="145"/>
      <c r="O11" s="145"/>
      <c r="P11" s="145"/>
      <c r="Q11" s="145"/>
      <c r="R11" s="145"/>
      <c r="S11" s="145"/>
      <c r="T11" s="145"/>
    </row>
    <row r="12" spans="1:20" ht="15" customHeight="1" x14ac:dyDescent="0.4">
      <c r="J12" s="55"/>
      <c r="K12" s="176" t="s">
        <v>307</v>
      </c>
      <c r="L12" s="177"/>
      <c r="M12" s="177"/>
      <c r="N12" s="177"/>
      <c r="O12" s="177"/>
      <c r="P12" s="177"/>
      <c r="Q12" s="177"/>
      <c r="R12" s="177"/>
      <c r="S12" s="177"/>
      <c r="T12" s="177"/>
    </row>
    <row r="13" spans="1:20" ht="15" customHeight="1" x14ac:dyDescent="0.4">
      <c r="J13" s="55"/>
      <c r="K13" s="55"/>
      <c r="L13" s="55"/>
    </row>
    <row r="14" spans="1:20" ht="15" customHeight="1" x14ac:dyDescent="0.4">
      <c r="J14" s="55"/>
      <c r="L14" s="55"/>
    </row>
    <row r="15" spans="1:20" ht="15" customHeight="1" x14ac:dyDescent="0.4">
      <c r="J15" s="55"/>
      <c r="L15" s="55"/>
    </row>
    <row r="16" spans="1:20" ht="15" customHeight="1" x14ac:dyDescent="0.4">
      <c r="J16" s="55"/>
      <c r="L16" s="55"/>
    </row>
    <row r="17" spans="5:12" ht="15" customHeight="1" x14ac:dyDescent="0.4">
      <c r="J17" s="55"/>
      <c r="L17" s="55"/>
    </row>
    <row r="18" spans="5:12" ht="15" customHeight="1" x14ac:dyDescent="0.4">
      <c r="E18"/>
      <c r="F18"/>
      <c r="G18"/>
      <c r="H18"/>
      <c r="L18" s="55"/>
    </row>
    <row r="19" spans="5:12" ht="15" customHeight="1" x14ac:dyDescent="0.4">
      <c r="E19"/>
      <c r="F19"/>
      <c r="G19"/>
      <c r="H19"/>
      <c r="L19" s="55"/>
    </row>
    <row r="20" spans="5:12" x14ac:dyDescent="0.4">
      <c r="E20"/>
      <c r="F20"/>
      <c r="G20"/>
      <c r="H20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99" fitToHeight="0" orientation="landscape" r:id="rId1"/>
  <headerFooter>
    <oddFooter>&amp;C&amp;P/&amp;N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343" t="s">
        <v>41</v>
      </c>
      <c r="C2" s="38" t="s">
        <v>37</v>
      </c>
      <c r="D2" s="38"/>
      <c r="E2" s="38" t="s">
        <v>40</v>
      </c>
    </row>
    <row r="3" spans="2:18" ht="30" customHeight="1" x14ac:dyDescent="0.4">
      <c r="B3" s="344"/>
      <c r="C3" s="38" t="s">
        <v>38</v>
      </c>
      <c r="D3" s="38"/>
      <c r="E3" s="38" t="s">
        <v>40</v>
      </c>
    </row>
    <row r="4" spans="2:18" ht="30" customHeight="1" x14ac:dyDescent="0.4">
      <c r="B4" s="344"/>
      <c r="C4" s="38" t="s">
        <v>39</v>
      </c>
      <c r="D4" s="38"/>
      <c r="E4" s="38" t="s">
        <v>40</v>
      </c>
    </row>
    <row r="6" spans="2:18" ht="48.9" customHeight="1" x14ac:dyDescent="0.4">
      <c r="G6" s="343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 x14ac:dyDescent="0.4">
      <c r="G7" s="343"/>
      <c r="H7" s="38"/>
      <c r="I7" s="38"/>
      <c r="J7" s="38"/>
      <c r="K7" s="37"/>
      <c r="L7" s="37"/>
      <c r="M7" s="37"/>
      <c r="N7" s="37"/>
      <c r="O7" s="37"/>
    </row>
    <row r="8" spans="2:18" ht="24.9" customHeight="1" x14ac:dyDescent="0.4">
      <c r="G8" s="37"/>
      <c r="H8" s="37"/>
      <c r="I8" s="37"/>
      <c r="J8" s="37"/>
      <c r="K8" s="37"/>
      <c r="L8" s="345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 x14ac:dyDescent="0.4">
      <c r="G9" s="37"/>
      <c r="H9" s="37"/>
      <c r="I9" s="37"/>
      <c r="J9" s="37"/>
      <c r="K9" s="37"/>
      <c r="L9" s="346"/>
      <c r="M9" s="38"/>
      <c r="N9" s="38"/>
      <c r="O9" s="38"/>
    </row>
    <row r="11" spans="2:18" ht="24.9" customHeight="1" x14ac:dyDescent="0.4">
      <c r="Q11" s="38" t="s">
        <v>50</v>
      </c>
      <c r="R11" s="38" t="s">
        <v>53</v>
      </c>
    </row>
    <row r="12" spans="2:18" ht="24.9" customHeight="1" x14ac:dyDescent="0.4">
      <c r="Q12" s="38" t="s">
        <v>51</v>
      </c>
      <c r="R12" s="38" t="s">
        <v>54</v>
      </c>
    </row>
    <row r="13" spans="2:18" ht="24.9" customHeight="1" x14ac:dyDescent="0.4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7.399999999999999" x14ac:dyDescent="0.4"/>
  <sheetData>
    <row r="3" spans="2:3" x14ac:dyDescent="0.4">
      <c r="B3" s="347" t="s">
        <v>55</v>
      </c>
      <c r="C3" s="348"/>
    </row>
    <row r="4" spans="2:3" x14ac:dyDescent="0.4">
      <c r="B4" s="40" t="s">
        <v>56</v>
      </c>
      <c r="C4" s="40" t="s">
        <v>57</v>
      </c>
    </row>
    <row r="5" spans="2:3" x14ac:dyDescent="0.4">
      <c r="B5" s="38" t="s">
        <v>58</v>
      </c>
      <c r="C5" s="38">
        <v>0.25</v>
      </c>
    </row>
    <row r="6" spans="2:3" x14ac:dyDescent="0.4">
      <c r="B6" s="38" t="s">
        <v>59</v>
      </c>
      <c r="C6" s="38">
        <v>0.5</v>
      </c>
    </row>
    <row r="7" spans="2:3" x14ac:dyDescent="0.4">
      <c r="B7" s="38" t="s">
        <v>60</v>
      </c>
      <c r="C7" s="38">
        <v>0.75</v>
      </c>
    </row>
    <row r="8" spans="2:3" x14ac:dyDescent="0.4">
      <c r="B8" s="38" t="s">
        <v>61</v>
      </c>
      <c r="C8" s="38">
        <v>1</v>
      </c>
    </row>
    <row r="9" spans="2:3" x14ac:dyDescent="0.4">
      <c r="B9" s="38" t="s">
        <v>62</v>
      </c>
      <c r="C9" s="38">
        <v>1.25</v>
      </c>
    </row>
    <row r="10" spans="2:3" x14ac:dyDescent="0.4">
      <c r="B10" s="38" t="s">
        <v>63</v>
      </c>
      <c r="C10" s="38">
        <v>1.5</v>
      </c>
    </row>
    <row r="11" spans="2:3" x14ac:dyDescent="0.4">
      <c r="B11" s="38" t="s">
        <v>64</v>
      </c>
      <c r="C11" s="38">
        <v>2</v>
      </c>
    </row>
    <row r="12" spans="2:3" x14ac:dyDescent="0.4">
      <c r="B12" s="38" t="s">
        <v>65</v>
      </c>
      <c r="C12" s="38">
        <v>2.5</v>
      </c>
    </row>
    <row r="13" spans="2:3" x14ac:dyDescent="0.4">
      <c r="B13" s="38" t="s">
        <v>66</v>
      </c>
      <c r="C13" s="38">
        <v>3</v>
      </c>
    </row>
    <row r="14" spans="2:3" x14ac:dyDescent="0.4">
      <c r="B14" s="38" t="s">
        <v>67</v>
      </c>
      <c r="C14" s="38">
        <v>4</v>
      </c>
    </row>
    <row r="15" spans="2:3" x14ac:dyDescent="0.4">
      <c r="B15" s="38" t="s">
        <v>68</v>
      </c>
      <c r="C15" s="38">
        <v>4</v>
      </c>
    </row>
    <row r="16" spans="2:3" x14ac:dyDescent="0.4">
      <c r="B16" s="38" t="s">
        <v>69</v>
      </c>
      <c r="C16" s="38">
        <v>5</v>
      </c>
    </row>
    <row r="17" spans="2:3" x14ac:dyDescent="0.4">
      <c r="B17" s="38" t="s">
        <v>70</v>
      </c>
      <c r="C17" s="38">
        <v>6</v>
      </c>
    </row>
    <row r="18" spans="2:3" x14ac:dyDescent="0.4">
      <c r="B18" s="38" t="s">
        <v>71</v>
      </c>
      <c r="C18" s="38">
        <v>7</v>
      </c>
    </row>
    <row r="19" spans="2:3" x14ac:dyDescent="0.4">
      <c r="B19" s="38" t="s">
        <v>72</v>
      </c>
      <c r="C19" s="38">
        <v>8</v>
      </c>
    </row>
    <row r="20" spans="2:3" x14ac:dyDescent="0.4">
      <c r="B20" s="38" t="s">
        <v>73</v>
      </c>
      <c r="C20" s="38">
        <v>9</v>
      </c>
    </row>
    <row r="21" spans="2:3" x14ac:dyDescent="0.4">
      <c r="B21" s="38" t="s">
        <v>74</v>
      </c>
      <c r="C21" s="38">
        <v>10</v>
      </c>
    </row>
    <row r="22" spans="2:3" x14ac:dyDescent="0.4">
      <c r="B22" s="38" t="s">
        <v>75</v>
      </c>
      <c r="C22" s="38">
        <v>12</v>
      </c>
    </row>
    <row r="23" spans="2:3" x14ac:dyDescent="0.4">
      <c r="B23" s="38" t="s">
        <v>76</v>
      </c>
      <c r="C23" s="38">
        <v>14</v>
      </c>
    </row>
    <row r="24" spans="2:3" x14ac:dyDescent="0.4">
      <c r="B24" s="38" t="s">
        <v>77</v>
      </c>
      <c r="C24" s="38">
        <v>16</v>
      </c>
    </row>
    <row r="25" spans="2:3" x14ac:dyDescent="0.4">
      <c r="B25" s="38" t="s">
        <v>78</v>
      </c>
      <c r="C25" s="38">
        <v>18</v>
      </c>
    </row>
    <row r="26" spans="2:3" x14ac:dyDescent="0.4">
      <c r="B26" s="38" t="s">
        <v>79</v>
      </c>
      <c r="C26" s="38">
        <v>20</v>
      </c>
    </row>
    <row r="27" spans="2:3" x14ac:dyDescent="0.4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11</vt:i4>
      </vt:variant>
    </vt:vector>
  </HeadingPairs>
  <TitlesOfParts>
    <vt:vector size="26" baseType="lpstr">
      <vt:lpstr>용역청구서 표지</vt:lpstr>
      <vt:lpstr>용역 청구서(갑지)</vt:lpstr>
      <vt:lpstr>용역 내역서(을지)</vt:lpstr>
      <vt:lpstr>내역서(을지)</vt:lpstr>
      <vt:lpstr>집계장</vt:lpstr>
      <vt:lpstr>근로내역 (09월)</vt:lpstr>
      <vt:lpstr>물량 내역서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집계장!Print_Area</vt:lpstr>
      <vt:lpstr>'내역서(을지)'!Print_Titles</vt:lpstr>
      <vt:lpstr>배관기자재!Print_Titles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2026-10-02T00:46:33Z</cp:lastPrinted>
  <dcterms:created xsi:type="dcterms:W3CDTF">2025-09-12T00:04:15Z</dcterms:created>
  <dcterms:modified xsi:type="dcterms:W3CDTF">2026-10-02T01:55:06Z</dcterms:modified>
</cp:coreProperties>
</file>