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5년\11월\S25-004 - 완\"/>
    </mc:Choice>
  </mc:AlternateContent>
  <xr:revisionPtr revIDLastSave="0" documentId="13_ncr:1_{50CF3D19-F381-47FA-A713-9BD9AB56A848}" xr6:coauthVersionLast="36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집계장" sheetId="6" r:id="rId4"/>
    <sheet name="물량 내역서" sheetId="7" r:id="rId5"/>
    <sheet name="근로내역 (11월)" sheetId="8" r:id="rId6"/>
    <sheet name="숙소임차료" sheetId="9" r:id="rId7"/>
    <sheet name="숙소관리비" sheetId="10" r:id="rId8"/>
    <sheet name="식대비용" sheetId="11" r:id="rId9"/>
    <sheet name="기타비용" sheetId="12" r:id="rId10"/>
    <sheet name="서명란" sheetId="3" state="hidden" r:id="rId11"/>
    <sheet name="DIA-INCH" sheetId="4" r:id="rId12"/>
  </sheets>
  <definedNames>
    <definedName name="_xlnm.Print_Area" localSheetId="9">기타비용!$A$1:$I$6</definedName>
    <definedName name="_xlnm.Print_Area" localSheetId="6">숙소임차료!$A$1:$J$6</definedName>
    <definedName name="_xlnm.Print_Area" localSheetId="8">식대비용!$A$1:$J$4</definedName>
    <definedName name="_xlnm.Print_Area" localSheetId="1">'용역 청구서(갑지)'!$A$1:$L$26</definedName>
    <definedName name="_xlnm.Print_Area" localSheetId="3">집계장!$A$1:$L$26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6" l="1"/>
  <c r="S12" i="6" l="1"/>
  <c r="S11" i="6"/>
  <c r="S10" i="6"/>
  <c r="S9" i="6"/>
  <c r="R9" i="6"/>
  <c r="R10" i="6"/>
  <c r="R11" i="6"/>
  <c r="R12" i="6"/>
  <c r="D11" i="6" l="1"/>
  <c r="D10" i="6"/>
  <c r="F6" i="6"/>
  <c r="H9" i="6"/>
  <c r="I4" i="11"/>
  <c r="I3" i="9"/>
  <c r="I3" i="10"/>
  <c r="AP18" i="8" l="1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AN18" i="8"/>
  <c r="AN17" i="8"/>
  <c r="AP17" i="8" s="1"/>
  <c r="AN16" i="8"/>
  <c r="AP16" i="8" s="1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6" i="12"/>
  <c r="H5" i="12"/>
  <c r="H4" i="12"/>
  <c r="H3" i="12" l="1"/>
  <c r="I3" i="11"/>
  <c r="F11" i="6" s="1"/>
  <c r="H11" i="6" s="1"/>
  <c r="F10" i="6"/>
  <c r="H10" i="6" s="1"/>
  <c r="AM3" i="8" l="1"/>
  <c r="AM1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Q30" i="8" s="1"/>
  <c r="P29" i="8"/>
  <c r="O29" i="8"/>
  <c r="N29" i="8"/>
  <c r="M29" i="8"/>
  <c r="L29" i="8"/>
  <c r="K29" i="8"/>
  <c r="J29" i="8"/>
  <c r="I29" i="8"/>
  <c r="AN28" i="8"/>
  <c r="AP28" i="8" s="1"/>
  <c r="AN27" i="8"/>
  <c r="AP27" i="8" s="1"/>
  <c r="AN26" i="8"/>
  <c r="AP26" i="8" s="1"/>
  <c r="AN25" i="8"/>
  <c r="AP25" i="8" s="1"/>
  <c r="AN24" i="8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M18" i="8"/>
  <c r="AB30" i="8"/>
  <c r="AA30" i="8"/>
  <c r="Z30" i="8"/>
  <c r="X30" i="8"/>
  <c r="L30" i="8"/>
  <c r="K30" i="8"/>
  <c r="J30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G30" i="8" l="1"/>
  <c r="AH30" i="8"/>
  <c r="N30" i="8"/>
  <c r="AD30" i="8"/>
  <c r="O30" i="8"/>
  <c r="AE30" i="8"/>
  <c r="R30" i="8"/>
  <c r="I30" i="8"/>
  <c r="Y30" i="8"/>
  <c r="P30" i="8"/>
  <c r="AF30" i="8"/>
  <c r="AP29" i="8"/>
  <c r="AI30" i="8"/>
  <c r="T30" i="8"/>
  <c r="AJ30" i="8"/>
  <c r="AN30" i="8"/>
  <c r="D9" i="6" s="1"/>
  <c r="S30" i="8"/>
  <c r="U30" i="8"/>
  <c r="AK30" i="8"/>
  <c r="V30" i="8"/>
  <c r="AL30" i="8"/>
  <c r="W30" i="8"/>
  <c r="AM30" i="8"/>
  <c r="M30" i="8"/>
  <c r="AC30" i="8"/>
  <c r="AP6" i="8"/>
  <c r="AN29" i="8"/>
  <c r="E50" i="7"/>
  <c r="K50" i="7" s="1"/>
  <c r="E49" i="7"/>
  <c r="K49" i="7" s="1"/>
  <c r="E48" i="7"/>
  <c r="K48" i="7" s="1"/>
  <c r="E47" i="7"/>
  <c r="K47" i="7" s="1"/>
  <c r="E46" i="7"/>
  <c r="K46" i="7" s="1"/>
  <c r="E45" i="7"/>
  <c r="K45" i="7" s="1"/>
  <c r="E44" i="7"/>
  <c r="K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J25" i="7"/>
  <c r="J24" i="7"/>
  <c r="K24" i="7" s="1"/>
  <c r="M24" i="7" s="1"/>
  <c r="G24" i="7" s="1"/>
  <c r="J23" i="7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J17" i="7"/>
  <c r="J16" i="7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M50" i="7"/>
  <c r="G50" i="7" s="1"/>
  <c r="M49" i="7"/>
  <c r="G49" i="7" s="1"/>
  <c r="L49" i="7"/>
  <c r="F49" i="7" s="1"/>
  <c r="M48" i="7"/>
  <c r="G48" i="7" s="1"/>
  <c r="L48" i="7"/>
  <c r="F48" i="7" s="1"/>
  <c r="M47" i="7"/>
  <c r="G47" i="7" s="1"/>
  <c r="L47" i="7"/>
  <c r="F47" i="7" s="1"/>
  <c r="L46" i="7"/>
  <c r="F46" i="7" s="1"/>
  <c r="M46" i="7"/>
  <c r="G46" i="7" s="1"/>
  <c r="L45" i="7"/>
  <c r="F45" i="7" s="1"/>
  <c r="M45" i="7"/>
  <c r="G45" i="7" s="1"/>
  <c r="M44" i="7"/>
  <c r="G44" i="7" s="1"/>
  <c r="M43" i="7"/>
  <c r="G43" i="7" s="1"/>
  <c r="L34" i="7"/>
  <c r="F34" i="7" s="1"/>
  <c r="L33" i="7"/>
  <c r="F33" i="7" s="1"/>
  <c r="L32" i="7"/>
  <c r="F32" i="7" s="1"/>
  <c r="L31" i="7"/>
  <c r="M31" i="7"/>
  <c r="G31" i="7" s="1"/>
  <c r="F31" i="7"/>
  <c r="L26" i="7"/>
  <c r="F26" i="7" s="1"/>
  <c r="K26" i="7"/>
  <c r="M26" i="7" s="1"/>
  <c r="G26" i="7" s="1"/>
  <c r="K25" i="7"/>
  <c r="M25" i="7" s="1"/>
  <c r="G25" i="7" s="1"/>
  <c r="L23" i="7"/>
  <c r="F23" i="7" s="1"/>
  <c r="K23" i="7"/>
  <c r="M23" i="7" s="1"/>
  <c r="G23" i="7" s="1"/>
  <c r="L18" i="7"/>
  <c r="F18" i="7" s="1"/>
  <c r="K18" i="7"/>
  <c r="M18" i="7" s="1"/>
  <c r="G18" i="7" s="1"/>
  <c r="L17" i="7"/>
  <c r="F17" i="7" s="1"/>
  <c r="L16" i="7"/>
  <c r="F16" i="7" s="1"/>
  <c r="K16" i="7"/>
  <c r="M16" i="7" s="1"/>
  <c r="G16" i="7" s="1"/>
  <c r="A1" i="6"/>
  <c r="L2" i="6"/>
  <c r="K36" i="7" l="1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AO29" i="8"/>
  <c r="D6" i="6"/>
  <c r="K7" i="7"/>
  <c r="M7" i="7" s="1"/>
  <c r="G7" i="7" s="1"/>
  <c r="D4" i="6"/>
  <c r="L27" i="7"/>
  <c r="F27" i="7" s="1"/>
  <c r="L24" i="7"/>
  <c r="F24" i="7" s="1"/>
  <c r="AP30" i="8"/>
  <c r="AO18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F20" i="6"/>
  <c r="H19" i="6"/>
  <c r="I19" i="6" s="1"/>
  <c r="H17" i="6"/>
  <c r="I17" i="6" s="1"/>
  <c r="H16" i="6"/>
  <c r="I16" i="6" s="1"/>
  <c r="E14" i="2" s="1"/>
  <c r="H15" i="6"/>
  <c r="I15" i="6" s="1"/>
  <c r="F12" i="6"/>
  <c r="F7" i="6"/>
  <c r="H7" i="6" s="1"/>
  <c r="I7" i="6" s="1"/>
  <c r="H6" i="6"/>
  <c r="I6" i="6" s="1"/>
  <c r="AO30" i="8" l="1"/>
  <c r="F9" i="6"/>
  <c r="H20" i="6"/>
  <c r="I20" i="6" s="1"/>
  <c r="L20" i="6" s="1"/>
  <c r="E12" i="2" s="1"/>
  <c r="E11" i="2"/>
  <c r="F5" i="6"/>
  <c r="M38" i="7"/>
  <c r="G38" i="7" s="1"/>
  <c r="M27" i="7"/>
  <c r="G27" i="7" s="1"/>
  <c r="F4" i="6"/>
  <c r="L51" i="7"/>
  <c r="F5" i="7"/>
  <c r="F51" i="7" s="1"/>
  <c r="K51" i="7"/>
  <c r="M5" i="7"/>
  <c r="J51" i="7"/>
  <c r="E11" i="6"/>
  <c r="I11" i="6"/>
  <c r="E10" i="6"/>
  <c r="E6" i="6"/>
  <c r="H12" i="6"/>
  <c r="I12" i="6" s="1"/>
  <c r="I10" i="6"/>
  <c r="F6" i="5"/>
  <c r="F7" i="5"/>
  <c r="F8" i="5"/>
  <c r="F9" i="5"/>
  <c r="F10" i="5"/>
  <c r="F11" i="5"/>
  <c r="F5" i="5"/>
  <c r="E15" i="5"/>
  <c r="E3" i="2"/>
  <c r="D3" i="2"/>
  <c r="F8" i="6" l="1"/>
  <c r="H8" i="6" s="1"/>
  <c r="I8" i="6" s="1"/>
  <c r="E5" i="6"/>
  <c r="H5" i="6"/>
  <c r="I5" i="6" s="1"/>
  <c r="I9" i="6"/>
  <c r="E9" i="6"/>
  <c r="F13" i="6"/>
  <c r="H13" i="6" s="1"/>
  <c r="I13" i="6" s="1"/>
  <c r="H4" i="6"/>
  <c r="I4" i="6" s="1"/>
  <c r="E4" i="6"/>
  <c r="M51" i="7"/>
  <c r="G5" i="7"/>
  <c r="G51" i="7" s="1"/>
  <c r="F13" i="5"/>
  <c r="F15" i="5"/>
  <c r="D14" i="2"/>
  <c r="D12" i="2"/>
  <c r="D11" i="2"/>
  <c r="D10" i="2"/>
  <c r="D9" i="2"/>
  <c r="D7" i="2"/>
  <c r="F14" i="6" l="1"/>
  <c r="H14" i="6" s="1"/>
  <c r="I14" i="6" s="1"/>
  <c r="F18" i="6" l="1"/>
  <c r="F21" i="6" s="1"/>
  <c r="H21" i="6" s="1"/>
  <c r="I21" i="6" s="1"/>
  <c r="E8" i="2" l="1"/>
  <c r="D8" i="2" s="1"/>
  <c r="H18" i="6"/>
  <c r="I18" i="6" s="1"/>
  <c r="F22" i="6"/>
  <c r="H22" i="6" s="1"/>
  <c r="I22" i="6" s="1"/>
  <c r="E5" i="2" s="1"/>
  <c r="D5" i="2" s="1"/>
  <c r="E13" i="2" l="1"/>
  <c r="E6" i="2" s="1"/>
  <c r="D6" i="2" s="1"/>
  <c r="D1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<sst xmlns="http://schemas.openxmlformats.org/spreadsheetml/2006/main" count="624" uniqueCount="393">
  <si>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</si>
  <si>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</si>
  <si>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</si>
  <si>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</si>
  <si>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</si>
  <si>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</si>
  <si>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</si>
  <si>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</si>
  <si>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</si>
  <si>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</si>
  <si>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</si>
  <si>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</si>
  <si>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</si>
  <si>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</si>
  <si>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</si>
  <si>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</si>
  <si>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</si>
  <si>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</si>
  <si>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</si>
  <si>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</si>
  <si>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</si>
  <si>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</si>
  <si>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</si>
  <si>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</si>
  <si>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</si>
  <si>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</si>
  <si>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</si>
  <si>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</si>
  <si>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</si>
  <si>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</si>
  <si>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</si>
  <si>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</si>
  <si>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</si>
  <si>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</si>
  <si>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</si>
  <si>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</si>
  <si>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</si>
  <si>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</si>
  <si>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</si>
  <si>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</si>
  <si>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</si>
  <si>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</si>
  <si>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</si>
  <si>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</si>
  <si>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</si>
  <si>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</si>
  <si>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</si>
  <si>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</si>
  <si>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</si>
  <si>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</si>
  <si>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</si>
  <si>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</si>
  <si>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</si>
  <si>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</si>
  <si>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</si>
  <si>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</si>
  <si>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</si>
  <si>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</si>
  <si>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</si>
  <si>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</si>
  <si>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</si>
  <si>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</si>
  <si>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</si>
  <si>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</si>
  <si>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</si>
  <si>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</si>
  <si>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</si>
  <si>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</si>
  <si>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</si>
  <si>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</si>
  <si>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</si>
  <si>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</si>
  <si>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</si>
  <si>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</si>
  <si>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</si>
  <si>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</si>
  <si>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</si>
  <si>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</si>
  <si>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</si>
  <si>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</si>
  <si>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</si>
  <si>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</si>
  <si>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</si>
  <si>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</si>
  <si>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</si>
  <si>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</si>
  <si>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</si>
  <si>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</si>
  <si>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</si>
  <si>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</si>
  <si>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</si>
  <si>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</si>
  <si>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</si>
  <si>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</si>
  <si>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</si>
  <si>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</si>
  <si>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</si>
  <si>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</si>
  <si>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</si>
  <si>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</si>
  <si>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</si>
  <si>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</si>
  <si>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</si>
  <si>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</si>
  <si>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</si>
  <si>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</si>
  <si>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</si>
  <si>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</si>
  <si>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</si>
  <si>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</si>
  <si>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</si>
  <si>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</si>
  <si>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</si>
  <si>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</si>
  <si>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</si>
  <si>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</si>
  <si>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</si>
  <si>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</si>
  <si>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</si>
  <si>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</si>
  <si>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</si>
  <si>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</si>
  <si>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</si>
  <si>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</si>
  <si>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</si>
  <si>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</si>
  <si>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</si>
  <si>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</si>
  <si>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</si>
  <si>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</si>
  <si>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</si>
  <si>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</si>
  <si>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</si>
  <si>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</si>
  <si>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</si>
  <si>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</si>
  <si>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</si>
  <si>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</si>
  <si>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</si>
  <si>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</si>
  <si>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</si>
  <si>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</si>
  <si>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</si>
  <si>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</si>
  <si>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</si>
  <si>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</si>
  <si>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</si>
  <si>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</si>
  <si>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</si>
  <si>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</si>
  <si>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</si>
  <si>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</si>
  <si>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</si>
  <si>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</si>
  <si>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</si>
  <si>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</si>
  <si>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</si>
  <si>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</si>
  <si>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</si>
  <si>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</si>
  <si>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</si>
  <si>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</si>
  <si>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</si>
  <si>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</si>
  <si>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</si>
  <si>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</si>
  <si>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</si>
  <si>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</si>
  <si>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</si>
  <si>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</si>
  <si>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</si>
  <si>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</si>
  <si>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</si>
  <si>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</si>
  <si>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</si>
  <si>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</si>
  <si>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</si>
  <si>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</si>
  <si>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</si>
  <si>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</si>
  <si>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</si>
  <si>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</si>
  <si>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</si>
  <si>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</si>
  <si>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</si>
  <si>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</si>
  <si>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</si>
  <si>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</si>
  <si>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</si>
  <si>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</si>
  <si>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</si>
  <si>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</si>
  <si>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</si>
  <si>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</si>
  <si>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</si>
  <si>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</si>
  <si>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</si>
  <si>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</si>
  <si>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</si>
  <si>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</si>
  <si>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</si>
  <si>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</si>
  <si>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</si>
  <si>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</si>
  <si>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</si>
  <si>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</si>
  <si>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</si>
  <si>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</si>
  <si>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</si>
  <si>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</si>
  <si>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</si>
  <si>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</si>
  <si>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</si>
  <si>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</si>
  <si>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</si>
  <si>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</si>
  <si>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</si>
  <si>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</si>
  <si>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</si>
  <si>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</si>
  <si>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</si>
  <si>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</si>
  <si>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</si>
  <si>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</si>
  <si>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</si>
  <si>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</si>
  <si>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</si>
  <si>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</si>
  <si>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</si>
  <si>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</si>
  <si>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</si>
  <si>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</si>
  <si>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</si>
  <si>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</si>
  <si>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</si>
  <si>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</si>
  <si>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</si>
  <si>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</si>
  <si>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</si>
  <si>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</si>
  <si>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</si>
  <si>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</si>
  <si>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</si>
  <si>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</si>
  <si>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</si>
  <si>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</si>
  <si>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</si>
  <si>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</si>
  <si>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</si>
  <si>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</si>
  <si>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</si>
  <si>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</si>
  <si>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</si>
  <si>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</si>
  <si>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</si>
  <si>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</si>
  <si>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</si>
  <si>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</si>
  <si>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</si>
  <si>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</si>
  <si>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</si>
  <si>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</si>
  <si>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</si>
  <si>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</si>
  <si>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</si>
  <si>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</si>
  <si>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</si>
  <si>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</si>
  <si>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</si>
  <si>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</si>
  <si>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</si>
  <si>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</si>
  <si>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</si>
  <si>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</si>
  <si>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</si>
  <si>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</si>
  <si>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</si>
  <si>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</si>
  <si>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</si>
  <si>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</si>
  <si>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</si>
  <si>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</si>
  <si>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</si>
  <si>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</si>
  <si>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</si>
  <si>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</si>
  <si>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</si>
  <si>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</si>
  <si>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</si>
  <si>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</si>
  <si>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</si>
  <si>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</si>
  <si>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</si>
  <si>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</si>
  <si>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</si>
  <si>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</si>
  <si>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</si>
  <si>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</si>
  <si>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</si>
  <si>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</si>
  <si>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</si>
  <si>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</si>
  <si>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</si>
  <si>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</si>
  <si>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S25-004</t>
    <phoneticPr fontId="5" type="noConversion"/>
  </si>
  <si>
    <t>2025년 11월</t>
    <phoneticPr fontId="5" type="noConversion"/>
  </si>
  <si>
    <t>대성이엔지</t>
    <phoneticPr fontId="5" type="noConversion"/>
  </si>
  <si>
    <t>2025. 11. 01 ~ 2025. 11. 30</t>
    <phoneticPr fontId="3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</si>
  <si>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</si>
  <si>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</si>
  <si>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9" type="noConversion"/>
  </si>
  <si>
    <t>작 성 일 :   2025  년  11 월   30일</t>
    <phoneticPr fontId="9" type="noConversion"/>
  </si>
  <si>
    <t>2025년 (11)월 물량 내역서</t>
    <phoneticPr fontId="3" type="noConversion"/>
  </si>
  <si>
    <t>2025년 (    11   )월 일용 노무비명세서</t>
    <phoneticPr fontId="3" type="noConversion"/>
  </si>
  <si>
    <t>장 규 철</t>
    <phoneticPr fontId="3" type="noConversion"/>
  </si>
  <si>
    <t>김종완</t>
  </si>
  <si>
    <t>740404-1471013</t>
  </si>
  <si>
    <t>010-9983-3546</t>
  </si>
  <si>
    <t>우리</t>
  </si>
  <si>
    <t>1006-001-448823</t>
  </si>
  <si>
    <t>김철</t>
  </si>
  <si>
    <t>761102-1565911</t>
  </si>
  <si>
    <t>공사보조</t>
  </si>
  <si>
    <t>010-5534-8412</t>
  </si>
  <si>
    <t>110-470-878920</t>
  </si>
  <si>
    <t>박기태</t>
  </si>
  <si>
    <t>841117-1836338</t>
  </si>
  <si>
    <t>010-9800-6028</t>
  </si>
  <si>
    <t>883-12-137056</t>
  </si>
  <si>
    <t>서승희</t>
  </si>
  <si>
    <t>941121-2216111</t>
  </si>
  <si>
    <t>010-8540-8270</t>
  </si>
  <si>
    <t>865302-00-042896</t>
  </si>
  <si>
    <t>안병문</t>
  </si>
  <si>
    <t>751106-1239319</t>
  </si>
  <si>
    <t>010-9291-2123</t>
  </si>
  <si>
    <t>302-1102-5800-61</t>
  </si>
  <si>
    <t>오정석</t>
  </si>
  <si>
    <t>840327-1836316</t>
  </si>
  <si>
    <t>010-3646-6264</t>
  </si>
  <si>
    <t>1002-339-959255</t>
  </si>
  <si>
    <t>윤지환</t>
  </si>
  <si>
    <t>770812-1100111</t>
  </si>
  <si>
    <t>010-6455-8718</t>
  </si>
  <si>
    <t>새마을</t>
  </si>
  <si>
    <t>9002-1579-4799-1</t>
  </si>
  <si>
    <t>장세형</t>
  </si>
  <si>
    <t>780528-1233527</t>
  </si>
  <si>
    <t>안전보조</t>
  </si>
  <si>
    <t>010-3728-4671</t>
  </si>
  <si>
    <t>110-471-057532</t>
  </si>
  <si>
    <t>정은선</t>
  </si>
  <si>
    <t>670809-2233120</t>
  </si>
  <si>
    <t>010-2297-5059</t>
  </si>
  <si>
    <t>기업</t>
  </si>
  <si>
    <t>289-074002-02-015</t>
  </si>
  <si>
    <t>정회준</t>
  </si>
  <si>
    <t>711103-1057510</t>
  </si>
  <si>
    <t>010-6215-7585</t>
  </si>
  <si>
    <t>1002-638-676059</t>
  </si>
  <si>
    <t>최세재</t>
  </si>
  <si>
    <t>781010-1906517</t>
  </si>
  <si>
    <t>010-8548-3215</t>
  </si>
  <si>
    <t>356-0637-9273-33</t>
  </si>
  <si>
    <t>최현우</t>
  </si>
  <si>
    <t>780110-1901921</t>
  </si>
  <si>
    <t>010-2123-6107</t>
  </si>
  <si>
    <t>018302-04-192870</t>
  </si>
  <si>
    <t xml:space="preserve">숙소임대료(11월분) </t>
    <phoneticPr fontId="3" type="noConversion"/>
  </si>
  <si>
    <t>202호</t>
  </si>
  <si>
    <t>202호</t>
    <phoneticPr fontId="3" type="noConversion"/>
  </si>
  <si>
    <t>302호</t>
  </si>
  <si>
    <t>302호</t>
    <phoneticPr fontId="3" type="noConversion"/>
  </si>
  <si>
    <t>301호</t>
    <phoneticPr fontId="3" type="noConversion"/>
  </si>
  <si>
    <t>경기도 평택시 함박산1길 16, 202호</t>
  </si>
  <si>
    <t>경기도 평택시 함박산1길 16, 202호</t>
    <phoneticPr fontId="3" type="noConversion"/>
  </si>
  <si>
    <t>경기도 평택시 고덕여염12길 103, 302호</t>
  </si>
  <si>
    <t>경기도 평택시 고덕여염12길 103, 302호</t>
    <phoneticPr fontId="3" type="noConversion"/>
  </si>
  <si>
    <t>경기도 평택시 함박산4길 12, 301호</t>
  </si>
  <si>
    <t>경기도 평택시 함박산4길 12, 301호</t>
    <phoneticPr fontId="3" type="noConversion"/>
  </si>
  <si>
    <t xml:space="preserve">숙소수도세(11월분) </t>
    <phoneticPr fontId="3" type="noConversion"/>
  </si>
  <si>
    <t xml:space="preserve">숙소가스료(11월분) </t>
    <phoneticPr fontId="3" type="noConversion"/>
  </si>
  <si>
    <t xml:space="preserve">숙소전기료(11월분) </t>
    <phoneticPr fontId="3" type="noConversion"/>
  </si>
  <si>
    <t>관리비</t>
    <phoneticPr fontId="3" type="noConversion"/>
  </si>
  <si>
    <t>11월 미발생</t>
    <phoneticPr fontId="3" type="noConversion"/>
  </si>
  <si>
    <t>포세카</t>
    <phoneticPr fontId="3" type="noConversion"/>
  </si>
  <si>
    <t>현장 소모자재</t>
    <phoneticPr fontId="3" type="noConversion"/>
  </si>
  <si>
    <t>미래공구</t>
    <phoneticPr fontId="3" type="noConversion"/>
  </si>
  <si>
    <t>거래명세서 첨부</t>
    <phoneticPr fontId="3" type="noConversion"/>
  </si>
  <si>
    <t>100A</t>
    <phoneticPr fontId="3" type="noConversion"/>
  </si>
  <si>
    <t>125A</t>
    <phoneticPr fontId="3" type="noConversion"/>
  </si>
  <si>
    <t>150A</t>
    <phoneticPr fontId="3" type="noConversion"/>
  </si>
  <si>
    <t>200A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</si>
</sst>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.0%"/>
  </numFmts>
  <fonts count="4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</cellStyleXfs>
  <cellXfs count="251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Font="1" applyFill="1" applyBorder="1" applyAlignment="1">
      <alignment horizontal="center" vertical="center" shrinkToFit="1"/>
    </xf>
    <xf numFmtId="41" fontId="37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41" fontId="31" fillId="0" borderId="0" xfId="0" applyNumberFormat="1" applyFont="1">
      <alignment vertical="center"/>
    </xf>
    <xf numFmtId="14" fontId="23" fillId="0" borderId="9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177" fontId="23" fillId="0" borderId="9" xfId="0" applyNumberFormat="1" applyFont="1" applyBorder="1" applyAlignment="1">
      <alignment horizontal="center" vertical="center"/>
    </xf>
    <xf numFmtId="41" fontId="0" fillId="0" borderId="0" xfId="6" applyFont="1">
      <alignment vertical="center"/>
    </xf>
    <xf numFmtId="41" fontId="0" fillId="0" borderId="0" xfId="0" applyNumberFormat="1">
      <alignment vertical="center"/>
    </xf>
    <xf numFmtId="186" fontId="0" fillId="0" borderId="0" xfId="7" applyNumberFormat="1" applyFont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1">
    <cellStyle name="백분율" xfId="7" builtinId="5"/>
    <cellStyle name="백분율 2" xfId="5" xr:uid="{00000000-0005-0000-0000-000001000000}"/>
    <cellStyle name="쉼표 [0]" xfId="6" builtinId="6"/>
    <cellStyle name="쉼표 [0] 2" xfId="4" xr:uid="{00000000-0005-0000-0000-000003000000}"/>
    <cellStyle name="쉼표 [0] 2 2 8" xfId="10" xr:uid="{00000000-0005-0000-0000-000004000000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_QF-0402-25_일용직_노무비명세서_V1.0(07.07.12) - 7월" xfId="9" xr:uid="{00000000-0005-0000-0000-000009000000}"/>
    <cellStyle name="표준_외주기성청구서_기성금청구양식" xfId="1" xr:uid="{00000000-0005-0000-0000-00000A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624173</xdr:colOff>
      <xdr:row>51</xdr:row>
      <xdr:rowOff>123824</xdr:rowOff>
    </xdr:from>
    <xdr:to>
      <xdr:col>12</xdr:col>
      <xdr:colOff>1276350</xdr:colOff>
      <xdr:row>58</xdr:row>
      <xdr:rowOff>76199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7023" y="18087974"/>
          <a:ext cx="2881027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C15" sqref="C15:D15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166" t="s">
        <v>0</v>
      </c>
      <c r="C4" s="166"/>
      <c r="D4" s="166"/>
      <c r="E4" s="166"/>
      <c r="F4" s="7"/>
    </row>
    <row r="5" spans="1:6" ht="21.9" customHeight="1">
      <c r="A5" s="8"/>
      <c r="B5" s="166"/>
      <c r="C5" s="166"/>
      <c r="D5" s="166"/>
      <c r="E5" s="166"/>
      <c r="F5" s="9"/>
    </row>
    <row r="6" spans="1:6" ht="21.9" customHeight="1">
      <c r="A6" s="10"/>
      <c r="B6" s="166"/>
      <c r="C6" s="166"/>
      <c r="D6" s="166"/>
      <c r="E6" s="166"/>
      <c r="F6" s="11"/>
    </row>
    <row r="7" spans="1:6" ht="36.9" customHeight="1">
      <c r="A7" s="12"/>
      <c r="B7" s="167" t="s">
        <v>1</v>
      </c>
      <c r="C7" s="167"/>
      <c r="D7" s="167"/>
      <c r="E7" s="167"/>
      <c r="F7" s="11"/>
    </row>
    <row r="8" spans="1:6" ht="29.1" customHeight="1">
      <c r="A8" s="8"/>
      <c r="B8" s="13"/>
      <c r="C8" s="168" t="s">
        <v>304</v>
      </c>
      <c r="D8" s="169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170" t="s">
        <v>305</v>
      </c>
      <c r="D14" s="170"/>
      <c r="E14" s="13"/>
      <c r="F14" s="9"/>
    </row>
    <row r="15" spans="1:6" ht="21.9" customHeight="1">
      <c r="A15" s="8"/>
      <c r="B15" s="13"/>
      <c r="C15" s="171" t="s">
        <v>306</v>
      </c>
      <c r="D15" s="171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165"/>
      <c r="D19" s="165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Normal="100" zoomScaleSheetLayoutView="100" workbookViewId="0">
      <selection activeCell="D9" sqref="D9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172" t="s">
        <v>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7</v>
      </c>
      <c r="C5" s="21" t="s">
        <v>4</v>
      </c>
      <c r="D5" s="25">
        <f>ROUNDUP(E5,0)</f>
        <v>-25500000</v>
      </c>
      <c r="E5" s="22">
        <f>집계장!I22</f>
        <v>-25500000</v>
      </c>
      <c r="F5" s="26" t="s">
        <v>8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9</v>
      </c>
      <c r="C6" s="21" t="s">
        <v>4</v>
      </c>
      <c r="D6" s="25">
        <f t="shared" ref="D6:D14" si="0">ROUNDUP(E6,0)</f>
        <v>-25500000</v>
      </c>
      <c r="E6" s="22">
        <f>E7+E13</f>
        <v>-25500000</v>
      </c>
      <c r="F6" s="26" t="s">
        <v>10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11</v>
      </c>
      <c r="C7" s="21" t="s">
        <v>12</v>
      </c>
      <c r="D7" s="25">
        <f t="shared" si="0"/>
        <v>0</v>
      </c>
      <c r="E7" s="22">
        <f>집계장!G22</f>
        <v>0</v>
      </c>
      <c r="F7" s="26" t="s">
        <v>13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14</v>
      </c>
      <c r="C8" s="21" t="s">
        <v>4</v>
      </c>
      <c r="D8" s="25">
        <f t="shared" si="0"/>
        <v>-25593205</v>
      </c>
      <c r="E8" s="22">
        <f>집계장!F18</f>
        <v>-25593204.859999999</v>
      </c>
      <c r="F8" s="26" t="s">
        <v>15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" customHeight="1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" customHeight="1">
      <c r="A13" s="20">
        <v>11</v>
      </c>
      <c r="B13" s="24" t="s">
        <v>22</v>
      </c>
      <c r="C13" s="21" t="s">
        <v>23</v>
      </c>
      <c r="D13" s="31">
        <f>ROUNDUP(E13,0)</f>
        <v>-25500000</v>
      </c>
      <c r="E13" s="32">
        <f>집계장!F22</f>
        <v>-25500000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27</v>
      </c>
      <c r="C16" s="21" t="s">
        <v>28</v>
      </c>
      <c r="D16" s="33" t="s">
        <v>307</v>
      </c>
      <c r="E16" s="34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>
      <c r="A18" s="20"/>
      <c r="B18" s="173" t="s">
        <v>29</v>
      </c>
      <c r="C18" s="173"/>
      <c r="D18" s="173"/>
      <c r="E18" s="173"/>
      <c r="F18" s="173"/>
      <c r="G18" s="173"/>
      <c r="H18" s="173"/>
      <c r="I18" s="173"/>
      <c r="J18" s="174"/>
      <c r="K18" s="21"/>
    </row>
    <row r="19" spans="1:11" ht="21.9" customHeight="1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>
      <c r="A21" s="35"/>
      <c r="B21" s="21"/>
      <c r="C21" s="21"/>
      <c r="D21" s="21"/>
      <c r="E21" s="34"/>
      <c r="F21" s="24" t="s">
        <v>311</v>
      </c>
      <c r="G21" s="24"/>
      <c r="H21" s="24"/>
      <c r="I21" s="24"/>
      <c r="J21" s="21"/>
      <c r="K21" s="21"/>
    </row>
    <row r="22" spans="1:11" ht="21.9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>
      <c r="A23" s="35"/>
      <c r="B23" s="21"/>
      <c r="C23" s="21"/>
      <c r="D23" s="21"/>
      <c r="E23" s="34"/>
      <c r="F23" s="24" t="s">
        <v>32</v>
      </c>
      <c r="G23" s="175" t="s">
        <v>306</v>
      </c>
      <c r="H23" s="175"/>
      <c r="I23" s="175"/>
      <c r="J23" s="175"/>
      <c r="K23" s="175"/>
    </row>
    <row r="24" spans="1:11" ht="21.9" customHeight="1">
      <c r="A24" s="35"/>
      <c r="B24" s="21" t="s">
        <v>33</v>
      </c>
      <c r="C24" s="21"/>
      <c r="D24" s="21"/>
      <c r="E24" s="34"/>
      <c r="F24" s="24" t="s">
        <v>34</v>
      </c>
      <c r="G24" s="175" t="s">
        <v>308</v>
      </c>
      <c r="H24" s="175"/>
      <c r="I24" s="175"/>
      <c r="J24" s="175"/>
      <c r="K24" s="175"/>
    </row>
    <row r="25" spans="1:11" ht="21.9" customHeight="1">
      <c r="A25" s="18"/>
      <c r="B25" s="21"/>
      <c r="C25" s="21"/>
      <c r="D25" s="21"/>
      <c r="E25" s="34"/>
      <c r="F25" s="24" t="s">
        <v>35</v>
      </c>
      <c r="G25" s="175" t="s">
        <v>309</v>
      </c>
      <c r="H25" s="175"/>
      <c r="I25" s="23" t="s">
        <v>310</v>
      </c>
      <c r="J25" s="24"/>
      <c r="K25" s="24"/>
    </row>
    <row r="26" spans="1:11" ht="21.9" customHeight="1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>
      <c r="A1" s="176" t="s">
        <v>81</v>
      </c>
      <c r="B1" s="177"/>
      <c r="C1" s="177"/>
      <c r="D1" s="177"/>
      <c r="E1" s="177"/>
      <c r="F1" s="177"/>
      <c r="G1" s="177"/>
    </row>
    <row r="2" spans="1:7" ht="39.9" customHeight="1" thickBot="1">
      <c r="A2" s="41" t="s">
        <v>82</v>
      </c>
      <c r="G2" s="42" t="s">
        <v>83</v>
      </c>
    </row>
    <row r="3" spans="1:7" ht="27.9" customHeight="1">
      <c r="A3" s="178" t="s">
        <v>84</v>
      </c>
      <c r="B3" s="180" t="s">
        <v>85</v>
      </c>
      <c r="C3" s="180" t="s">
        <v>86</v>
      </c>
      <c r="D3" s="180" t="s">
        <v>87</v>
      </c>
      <c r="E3" s="180" t="s">
        <v>88</v>
      </c>
      <c r="F3" s="180"/>
      <c r="G3" s="182"/>
    </row>
    <row r="4" spans="1:7" ht="27.9" customHeight="1">
      <c r="A4" s="179"/>
      <c r="B4" s="181"/>
      <c r="C4" s="181"/>
      <c r="D4" s="181"/>
      <c r="E4" s="43" t="s">
        <v>89</v>
      </c>
      <c r="F4" s="43" t="s">
        <v>90</v>
      </c>
      <c r="G4" s="44" t="s">
        <v>91</v>
      </c>
    </row>
    <row r="5" spans="1:7" ht="27.9" customHeight="1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" customHeight="1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" customHeight="1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" customHeight="1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" customHeight="1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" customHeight="1">
      <c r="A12" s="45"/>
      <c r="B12" s="46"/>
      <c r="C12" s="46"/>
      <c r="D12" s="46"/>
      <c r="E12" s="46"/>
      <c r="F12" s="46"/>
      <c r="G12" s="48"/>
    </row>
    <row r="13" spans="1:7" ht="27.9" customHeight="1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>
      <c r="A14" s="45"/>
      <c r="B14" s="46"/>
      <c r="C14" s="46"/>
      <c r="D14" s="46"/>
      <c r="E14" s="46"/>
      <c r="F14" s="46"/>
      <c r="G14" s="48"/>
    </row>
    <row r="15" spans="1:7" ht="27.9" customHeight="1" thickBot="1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27"/>
  <sheetViews>
    <sheetView view="pageBreakPreview" topLeftCell="A2" zoomScale="85" zoomScaleNormal="100" zoomScaleSheetLayoutView="85" workbookViewId="0">
      <selection activeCell="N10" sqref="N10"/>
    </sheetView>
  </sheetViews>
  <sheetFormatPr defaultRowHeight="17.399999999999999"/>
  <cols>
    <col min="1" max="1" width="21.59765625" style="55" customWidth="1"/>
    <col min="2" max="2" width="20.59765625" style="55" customWidth="1"/>
    <col min="3" max="3" width="6.59765625" style="55" customWidth="1"/>
    <col min="4" max="4" width="12.09765625" style="55" customWidth="1"/>
    <col min="5" max="5" width="16.59765625" style="55" customWidth="1"/>
    <col min="6" max="9" width="19.59765625" style="55" customWidth="1"/>
    <col min="10" max="10" width="15.59765625" style="55" customWidth="1"/>
    <col min="11" max="12" width="11.59765625" style="55" customWidth="1"/>
    <col min="14" max="14" width="11.5" bestFit="1" customWidth="1"/>
    <col min="16" max="16" width="9.8984375" bestFit="1" customWidth="1"/>
  </cols>
  <sheetData>
    <row r="1" spans="1:19" ht="39.9" customHeight="1" thickTop="1">
      <c r="A1" s="186" t="str">
        <f>'용역청구서 표지'!$B$7</f>
        <v>P4 Ph4 GAS 1공구 마감공사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8"/>
    </row>
    <row r="2" spans="1:19" ht="20.100000000000001" customHeight="1">
      <c r="A2" s="54"/>
      <c r="J2" s="56"/>
      <c r="L2" s="57" t="str">
        <f>'용역청구서 표지'!$C$15</f>
        <v>대성이엔지</v>
      </c>
    </row>
    <row r="3" spans="1:19" ht="30" customHeight="1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189" t="s">
        <v>119</v>
      </c>
      <c r="K3" s="189"/>
      <c r="L3" s="190"/>
    </row>
    <row r="4" spans="1:19" ht="30" customHeight="1">
      <c r="A4" s="63" t="s">
        <v>120</v>
      </c>
      <c r="B4" s="64" t="s">
        <v>121</v>
      </c>
      <c r="C4" s="46" t="s">
        <v>122</v>
      </c>
      <c r="D4" s="156">
        <f>SUM('물량 내역서'!$J$5:$J$27)</f>
        <v>0</v>
      </c>
      <c r="E4" s="47" t="e">
        <f>F4/D4</f>
        <v>#DIV/0!</v>
      </c>
      <c r="F4" s="65">
        <f>SUM('물량 내역서'!$K$5:$K$27)</f>
        <v>0</v>
      </c>
      <c r="G4" s="66"/>
      <c r="H4" s="47">
        <f t="shared" ref="H4:H22" si="0">F4</f>
        <v>0</v>
      </c>
      <c r="I4" s="67">
        <f>G4+H4</f>
        <v>0</v>
      </c>
      <c r="J4" s="183"/>
      <c r="K4" s="184"/>
      <c r="L4" s="185"/>
    </row>
    <row r="5" spans="1:19" ht="30" customHeight="1">
      <c r="A5" s="68"/>
      <c r="B5" s="64" t="s">
        <v>123</v>
      </c>
      <c r="C5" s="46" t="s">
        <v>124</v>
      </c>
      <c r="D5" s="155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/>
      <c r="H5" s="47">
        <f t="shared" si="0"/>
        <v>0</v>
      </c>
      <c r="I5" s="67">
        <f t="shared" ref="I5:I7" si="1">G5+H5</f>
        <v>0</v>
      </c>
      <c r="J5" s="183"/>
      <c r="K5" s="184"/>
      <c r="L5" s="185"/>
    </row>
    <row r="6" spans="1:19" ht="30" customHeight="1">
      <c r="A6" s="68"/>
      <c r="B6" s="64" t="s">
        <v>125</v>
      </c>
      <c r="C6" s="46" t="s">
        <v>126</v>
      </c>
      <c r="D6" s="69">
        <f>'근로내역 (11월)'!AN29</f>
        <v>0</v>
      </c>
      <c r="E6" s="47" t="e">
        <f>F6/D6</f>
        <v>#DIV/0!</v>
      </c>
      <c r="F6" s="65">
        <f>'근로내역 (11월)'!AP29</f>
        <v>0</v>
      </c>
      <c r="G6" s="66"/>
      <c r="H6" s="47">
        <f t="shared" si="0"/>
        <v>0</v>
      </c>
      <c r="I6" s="67">
        <f t="shared" si="1"/>
        <v>0</v>
      </c>
      <c r="J6" s="183"/>
      <c r="K6" s="184"/>
      <c r="L6" s="185"/>
    </row>
    <row r="7" spans="1:19" ht="30" customHeight="1">
      <c r="A7" s="63" t="s">
        <v>127</v>
      </c>
      <c r="B7" s="70"/>
      <c r="C7" s="46" t="s">
        <v>128</v>
      </c>
      <c r="D7" s="46"/>
      <c r="E7" s="47">
        <v>0</v>
      </c>
      <c r="F7" s="65">
        <f t="shared" ref="F7:F12" si="2">D7*E7</f>
        <v>0</v>
      </c>
      <c r="G7" s="66"/>
      <c r="H7" s="47">
        <f t="shared" si="0"/>
        <v>0</v>
      </c>
      <c r="I7" s="67">
        <f t="shared" si="1"/>
        <v>0</v>
      </c>
      <c r="J7" s="183"/>
      <c r="K7" s="184"/>
      <c r="L7" s="185"/>
    </row>
    <row r="8" spans="1:19" ht="30" customHeight="1">
      <c r="A8" s="71" t="s">
        <v>129</v>
      </c>
      <c r="B8" s="191" t="s">
        <v>130</v>
      </c>
      <c r="C8" s="192"/>
      <c r="D8" s="72"/>
      <c r="E8" s="72"/>
      <c r="F8" s="73">
        <f>SUM(F4:F7)</f>
        <v>0</v>
      </c>
      <c r="G8" s="74"/>
      <c r="H8" s="75">
        <f t="shared" si="0"/>
        <v>0</v>
      </c>
      <c r="I8" s="76">
        <f>G8+H8</f>
        <v>0</v>
      </c>
      <c r="J8" s="193"/>
      <c r="K8" s="194"/>
      <c r="L8" s="195"/>
    </row>
    <row r="9" spans="1:19" ht="30" customHeight="1">
      <c r="A9" s="63" t="s">
        <v>131</v>
      </c>
      <c r="B9" s="64" t="s">
        <v>132</v>
      </c>
      <c r="C9" s="46" t="s">
        <v>133</v>
      </c>
      <c r="D9" s="69">
        <f>'근로내역 (11월)'!AN30</f>
        <v>100</v>
      </c>
      <c r="E9" s="77">
        <f>F9/D9</f>
        <v>218737.5</v>
      </c>
      <c r="F9" s="65">
        <f>'근로내역 (11월)'!AP30</f>
        <v>21873750</v>
      </c>
      <c r="G9" s="66"/>
      <c r="H9" s="47">
        <f>F9</f>
        <v>21873750</v>
      </c>
      <c r="I9" s="67">
        <f>G9+H9</f>
        <v>21873750</v>
      </c>
      <c r="J9" s="183"/>
      <c r="K9" s="184"/>
      <c r="L9" s="185"/>
      <c r="O9" t="s">
        <v>389</v>
      </c>
      <c r="P9" s="162">
        <v>96660</v>
      </c>
      <c r="Q9">
        <v>98450</v>
      </c>
      <c r="R9" s="163">
        <f>+Q9-P9</f>
        <v>1790</v>
      </c>
      <c r="S9" s="164">
        <f>+R9/Q9</f>
        <v>1.8181818181818181E-2</v>
      </c>
    </row>
    <row r="10" spans="1:19" ht="30" customHeight="1">
      <c r="A10" s="63" t="s">
        <v>134</v>
      </c>
      <c r="B10" s="64" t="s">
        <v>135</v>
      </c>
      <c r="C10" s="46" t="s">
        <v>128</v>
      </c>
      <c r="D10" s="46">
        <f>SUM(숙소임차료!H4:H6)+SUM(숙소관리비!H4:H8)</f>
        <v>28</v>
      </c>
      <c r="E10" s="47">
        <f>F10/D10</f>
        <v>94642.857142857145</v>
      </c>
      <c r="F10" s="65">
        <f>숙소임차료!I3+숙소관리비!I3</f>
        <v>2650000</v>
      </c>
      <c r="G10" s="66"/>
      <c r="H10" s="47">
        <f>F10</f>
        <v>2650000</v>
      </c>
      <c r="I10" s="67">
        <f t="shared" ref="I10:I12" si="3">G10+H10</f>
        <v>2650000</v>
      </c>
      <c r="J10" s="183"/>
      <c r="K10" s="184"/>
      <c r="L10" s="185"/>
      <c r="N10" s="163">
        <f>+H10+H11</f>
        <v>3719454.86</v>
      </c>
      <c r="O10" t="s">
        <v>390</v>
      </c>
      <c r="P10" s="162">
        <v>116640</v>
      </c>
      <c r="Q10">
        <v>118800</v>
      </c>
      <c r="R10" s="163">
        <f>+Q10-P10</f>
        <v>2160</v>
      </c>
      <c r="S10" s="164">
        <f t="shared" ref="S10:S12" si="4">+R10/Q10</f>
        <v>1.8181818181818181E-2</v>
      </c>
    </row>
    <row r="11" spans="1:19" ht="30" customHeight="1">
      <c r="A11" s="63"/>
      <c r="B11" s="64" t="s">
        <v>136</v>
      </c>
      <c r="C11" s="46" t="s">
        <v>137</v>
      </c>
      <c r="D11" s="46">
        <f>SUM(식대비용!G4:G4)</f>
        <v>11</v>
      </c>
      <c r="E11" s="47">
        <f>F11/D11</f>
        <v>97223.169090909083</v>
      </c>
      <c r="F11" s="65">
        <f>식대비용!I3</f>
        <v>1069454.8599999999</v>
      </c>
      <c r="G11" s="66"/>
      <c r="H11" s="47">
        <f>F11</f>
        <v>1069454.8599999999</v>
      </c>
      <c r="I11" s="67">
        <f t="shared" si="3"/>
        <v>1069454.8599999999</v>
      </c>
      <c r="J11" s="183"/>
      <c r="K11" s="184"/>
      <c r="L11" s="185"/>
      <c r="O11" t="s">
        <v>391</v>
      </c>
      <c r="P11" s="162">
        <v>139320</v>
      </c>
      <c r="Q11">
        <v>141900</v>
      </c>
      <c r="R11" s="163">
        <f>+Q11-P11</f>
        <v>2580</v>
      </c>
      <c r="S11" s="164">
        <f t="shared" si="4"/>
        <v>1.8181818181818181E-2</v>
      </c>
    </row>
    <row r="12" spans="1:19" ht="30" customHeight="1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/>
      <c r="H12" s="47">
        <f t="shared" si="0"/>
        <v>0</v>
      </c>
      <c r="I12" s="67">
        <f t="shared" si="3"/>
        <v>0</v>
      </c>
      <c r="J12" s="183"/>
      <c r="K12" s="184"/>
      <c r="L12" s="185"/>
      <c r="O12" t="s">
        <v>392</v>
      </c>
      <c r="P12" s="162">
        <v>218160</v>
      </c>
      <c r="Q12">
        <v>222200</v>
      </c>
      <c r="R12" s="163">
        <f>+Q12-P12</f>
        <v>4040</v>
      </c>
      <c r="S12" s="164">
        <f t="shared" si="4"/>
        <v>1.8181818181818181E-2</v>
      </c>
    </row>
    <row r="13" spans="1:19" ht="30" customHeight="1">
      <c r="A13" s="71" t="s">
        <v>139</v>
      </c>
      <c r="B13" s="191" t="s">
        <v>140</v>
      </c>
      <c r="C13" s="192"/>
      <c r="D13" s="72"/>
      <c r="E13" s="72"/>
      <c r="F13" s="73">
        <f t="shared" ref="F13" si="5">SUM(F9:F12)</f>
        <v>25593204.859999999</v>
      </c>
      <c r="G13" s="74"/>
      <c r="H13" s="75">
        <f t="shared" si="0"/>
        <v>25593204.859999999</v>
      </c>
      <c r="I13" s="76">
        <f>G13+H13</f>
        <v>25593204.859999999</v>
      </c>
      <c r="J13" s="193"/>
      <c r="K13" s="194"/>
      <c r="L13" s="195"/>
    </row>
    <row r="14" spans="1:19" ht="30" customHeight="1">
      <c r="A14" s="71" t="s">
        <v>141</v>
      </c>
      <c r="B14" s="191" t="s">
        <v>142</v>
      </c>
      <c r="C14" s="192"/>
      <c r="D14" s="72"/>
      <c r="E14" s="72"/>
      <c r="F14" s="73">
        <f>F8-F13</f>
        <v>-25593204.859999999</v>
      </c>
      <c r="G14" s="74"/>
      <c r="H14" s="75">
        <f t="shared" si="0"/>
        <v>-25593204.859999999</v>
      </c>
      <c r="I14" s="76">
        <f>G14+H14</f>
        <v>-25593204.859999999</v>
      </c>
      <c r="J14" s="193"/>
      <c r="K14" s="194"/>
      <c r="L14" s="195"/>
    </row>
    <row r="15" spans="1:19" ht="30" customHeight="1">
      <c r="A15" s="63" t="s">
        <v>143</v>
      </c>
      <c r="B15" s="64" t="s">
        <v>144</v>
      </c>
      <c r="C15" s="46" t="s">
        <v>128</v>
      </c>
      <c r="D15" s="46"/>
      <c r="E15" s="46"/>
      <c r="F15" s="65"/>
      <c r="G15" s="66"/>
      <c r="H15" s="47">
        <f t="shared" si="0"/>
        <v>0</v>
      </c>
      <c r="I15" s="67">
        <f>G15+H15</f>
        <v>0</v>
      </c>
      <c r="J15" s="183"/>
      <c r="K15" s="184"/>
      <c r="L15" s="185"/>
    </row>
    <row r="16" spans="1:19" ht="30" customHeight="1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6">G16+H16</f>
        <v>0</v>
      </c>
      <c r="J16" s="183"/>
      <c r="K16" s="184"/>
      <c r="L16" s="185"/>
    </row>
    <row r="17" spans="1:12" ht="30" customHeight="1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6"/>
        <v>0</v>
      </c>
      <c r="J17" s="183"/>
      <c r="K17" s="184"/>
      <c r="L17" s="185"/>
    </row>
    <row r="18" spans="1:12" ht="30" customHeight="1">
      <c r="A18" s="71" t="s">
        <v>151</v>
      </c>
      <c r="B18" s="191" t="s">
        <v>152</v>
      </c>
      <c r="C18" s="192"/>
      <c r="D18" s="72"/>
      <c r="E18" s="72"/>
      <c r="F18" s="73">
        <f>F14-F15-F16-F17</f>
        <v>-25593204.859999999</v>
      </c>
      <c r="G18" s="74"/>
      <c r="H18" s="75">
        <f t="shared" si="0"/>
        <v>-25593204.859999999</v>
      </c>
      <c r="I18" s="76">
        <f>G18+H18</f>
        <v>-25593204.859999999</v>
      </c>
      <c r="J18" s="193"/>
      <c r="K18" s="194"/>
      <c r="L18" s="195"/>
    </row>
    <row r="19" spans="1:12" ht="30" customHeight="1">
      <c r="A19" s="200" t="s">
        <v>153</v>
      </c>
      <c r="B19" s="64" t="s">
        <v>154</v>
      </c>
      <c r="C19" s="46" t="s">
        <v>147</v>
      </c>
      <c r="D19" s="46"/>
      <c r="E19" s="46"/>
      <c r="F19" s="65"/>
      <c r="G19" s="66"/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>
      <c r="A20" s="200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01">
        <v>0</v>
      </c>
      <c r="L20" s="204">
        <f>K20-I20</f>
        <v>0</v>
      </c>
    </row>
    <row r="21" spans="1:12" ht="30" customHeight="1">
      <c r="A21" s="207" t="s">
        <v>159</v>
      </c>
      <c r="B21" s="208"/>
      <c r="C21" s="209"/>
      <c r="D21" s="81"/>
      <c r="E21" s="81"/>
      <c r="F21" s="82">
        <f>F18-F20</f>
        <v>-25593204.859999999</v>
      </c>
      <c r="G21" s="83"/>
      <c r="H21" s="84">
        <f t="shared" si="0"/>
        <v>-25593204.859999999</v>
      </c>
      <c r="I21" s="85">
        <f>G21+H21</f>
        <v>-25593204.859999999</v>
      </c>
      <c r="J21" s="81"/>
      <c r="K21" s="202"/>
      <c r="L21" s="205"/>
    </row>
    <row r="22" spans="1:12" ht="30" customHeight="1">
      <c r="A22" s="207" t="s">
        <v>160</v>
      </c>
      <c r="B22" s="208"/>
      <c r="C22" s="209"/>
      <c r="D22" s="81"/>
      <c r="E22" s="81"/>
      <c r="F22" s="82">
        <f>ROUNDDOWN(F21,-5)</f>
        <v>-25500000</v>
      </c>
      <c r="G22" s="83"/>
      <c r="H22" s="84">
        <f t="shared" si="0"/>
        <v>-25500000</v>
      </c>
      <c r="I22" s="85">
        <f>G22+H22</f>
        <v>-25500000</v>
      </c>
      <c r="J22" s="86" t="s">
        <v>161</v>
      </c>
      <c r="K22" s="203"/>
      <c r="L22" s="206"/>
    </row>
    <row r="23" spans="1:12" ht="30" customHeight="1">
      <c r="A23" s="196" t="s">
        <v>162</v>
      </c>
      <c r="B23" s="197"/>
      <c r="C23" s="198"/>
      <c r="D23" s="197" t="s">
        <v>163</v>
      </c>
      <c r="E23" s="197"/>
      <c r="F23" s="197"/>
      <c r="G23" s="197"/>
      <c r="H23" s="197"/>
      <c r="I23" s="197"/>
      <c r="J23" s="197"/>
      <c r="K23" s="197"/>
      <c r="L23" s="199"/>
    </row>
    <row r="24" spans="1:12" ht="21" customHeight="1">
      <c r="A24" s="87" t="s">
        <v>164</v>
      </c>
      <c r="L24" s="88"/>
    </row>
    <row r="25" spans="1:12" ht="21" customHeight="1">
      <c r="A25" s="87" t="s">
        <v>165</v>
      </c>
      <c r="L25" s="88"/>
    </row>
    <row r="26" spans="1:12" ht="21" customHeight="1" thickBot="1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8" thickTop="1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2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workbookViewId="0">
      <pane ySplit="4" topLeftCell="A36" activePane="bottomLeft" state="frozen"/>
      <selection pane="bottomLeft" activeCell="A17" sqref="A17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1.59765625" customWidth="1"/>
    <col min="7" max="7" width="17.59765625" customWidth="1"/>
    <col min="8" max="8" width="11.59765625" customWidth="1"/>
    <col min="9" max="9" width="17.59765625" customWidth="1"/>
    <col min="10" max="10" width="11.59765625" customWidth="1"/>
    <col min="11" max="11" width="17.59765625" customWidth="1"/>
    <col min="12" max="12" width="11.59765625" customWidth="1"/>
    <col min="13" max="13" width="17.59765625" customWidth="1"/>
  </cols>
  <sheetData>
    <row r="1" spans="1:13" ht="37.799999999999997">
      <c r="A1" s="213" t="s">
        <v>312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3" ht="19.2">
      <c r="A2" s="92" t="str">
        <f>'용역청구서 표지'!$B$7</f>
        <v>P4 Ph4 GAS 1공구 마감공사</v>
      </c>
      <c r="M2" s="42" t="s">
        <v>167</v>
      </c>
    </row>
    <row r="3" spans="1:13" ht="27.9" customHeight="1">
      <c r="A3" s="214" t="s">
        <v>168</v>
      </c>
      <c r="B3" s="214" t="s">
        <v>169</v>
      </c>
      <c r="C3" s="214" t="s">
        <v>170</v>
      </c>
      <c r="D3" s="215" t="s">
        <v>171</v>
      </c>
      <c r="E3" s="214" t="s">
        <v>172</v>
      </c>
      <c r="F3" s="214" t="s">
        <v>173</v>
      </c>
      <c r="G3" s="214"/>
      <c r="H3" s="214" t="s">
        <v>174</v>
      </c>
      <c r="I3" s="214"/>
      <c r="J3" s="214" t="s">
        <v>175</v>
      </c>
      <c r="K3" s="214"/>
      <c r="L3" s="214" t="s">
        <v>176</v>
      </c>
      <c r="M3" s="214"/>
    </row>
    <row r="4" spans="1:13" ht="27.9" customHeight="1">
      <c r="A4" s="214"/>
      <c r="B4" s="214"/>
      <c r="C4" s="214"/>
      <c r="D4" s="215"/>
      <c r="E4" s="214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" customHeight="1">
      <c r="A5" s="94" t="s">
        <v>180</v>
      </c>
      <c r="B5" s="38" t="s">
        <v>181</v>
      </c>
      <c r="C5" s="38" t="s">
        <v>182</v>
      </c>
      <c r="D5" s="95"/>
      <c r="E5" s="96">
        <v>475000</v>
      </c>
      <c r="F5" s="99">
        <f>L5</f>
        <v>0</v>
      </c>
      <c r="G5" s="97">
        <f>M5</f>
        <v>0</v>
      </c>
      <c r="H5" s="99"/>
      <c r="I5" s="94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" customHeight="1">
      <c r="A6" s="94" t="s">
        <v>183</v>
      </c>
      <c r="B6" s="38" t="s">
        <v>184</v>
      </c>
      <c r="C6" s="38" t="s">
        <v>185</v>
      </c>
      <c r="D6" s="95"/>
      <c r="E6" s="96">
        <v>475000</v>
      </c>
      <c r="F6" s="99">
        <f t="shared" ref="F6:G50" si="0">L6</f>
        <v>0</v>
      </c>
      <c r="G6" s="97">
        <f t="shared" si="0"/>
        <v>0</v>
      </c>
      <c r="H6" s="99"/>
      <c r="I6" s="94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" customHeight="1">
      <c r="A7" s="94" t="s">
        <v>180</v>
      </c>
      <c r="B7" s="38" t="s">
        <v>186</v>
      </c>
      <c r="C7" s="38" t="s">
        <v>182</v>
      </c>
      <c r="D7" s="95"/>
      <c r="E7" s="96">
        <v>475000</v>
      </c>
      <c r="F7" s="99">
        <f t="shared" si="0"/>
        <v>0</v>
      </c>
      <c r="G7" s="97">
        <f t="shared" si="0"/>
        <v>0</v>
      </c>
      <c r="H7" s="99"/>
      <c r="I7" s="94"/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3" ht="27.9" customHeight="1">
      <c r="A8" s="94" t="s">
        <v>180</v>
      </c>
      <c r="B8" s="38" t="s">
        <v>187</v>
      </c>
      <c r="C8" s="38" t="s">
        <v>182</v>
      </c>
      <c r="D8" s="95">
        <v>0</v>
      </c>
      <c r="E8" s="96">
        <v>475000</v>
      </c>
      <c r="F8" s="99">
        <f t="shared" si="0"/>
        <v>0</v>
      </c>
      <c r="G8" s="97">
        <f t="shared" si="0"/>
        <v>0</v>
      </c>
      <c r="H8" s="99"/>
      <c r="I8" s="94"/>
      <c r="J8" s="99">
        <f>$D8*'DIA-INCH'!$C8</f>
        <v>0</v>
      </c>
      <c r="K8" s="97">
        <f t="shared" si="1"/>
        <v>0</v>
      </c>
      <c r="L8" s="99">
        <f t="shared" si="2"/>
        <v>0</v>
      </c>
      <c r="M8" s="97">
        <f t="shared" si="2"/>
        <v>0</v>
      </c>
    </row>
    <row r="9" spans="1:13" ht="27.9" customHeight="1">
      <c r="A9" s="94" t="s">
        <v>180</v>
      </c>
      <c r="B9" s="38" t="s">
        <v>188</v>
      </c>
      <c r="C9" s="38" t="s">
        <v>182</v>
      </c>
      <c r="D9" s="95">
        <v>0</v>
      </c>
      <c r="E9" s="96">
        <v>475000</v>
      </c>
      <c r="F9" s="99">
        <f t="shared" si="0"/>
        <v>0</v>
      </c>
      <c r="G9" s="97">
        <f t="shared" si="0"/>
        <v>0</v>
      </c>
      <c r="H9" s="99"/>
      <c r="I9" s="94"/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" customHeight="1">
      <c r="A10" s="94" t="s">
        <v>180</v>
      </c>
      <c r="B10" s="38" t="s">
        <v>189</v>
      </c>
      <c r="C10" s="38" t="s">
        <v>185</v>
      </c>
      <c r="D10" s="95">
        <v>0</v>
      </c>
      <c r="E10" s="96">
        <v>475000</v>
      </c>
      <c r="F10" s="99">
        <f t="shared" si="0"/>
        <v>0</v>
      </c>
      <c r="G10" s="97">
        <f t="shared" si="0"/>
        <v>0</v>
      </c>
      <c r="H10" s="99"/>
      <c r="I10" s="94"/>
      <c r="J10" s="99">
        <f>$D10*'DIA-INCH'!$C10</f>
        <v>0</v>
      </c>
      <c r="K10" s="97">
        <f t="shared" si="1"/>
        <v>0</v>
      </c>
      <c r="L10" s="99">
        <f t="shared" si="2"/>
        <v>0</v>
      </c>
      <c r="M10" s="97">
        <f t="shared" si="2"/>
        <v>0</v>
      </c>
    </row>
    <row r="11" spans="1:13" ht="27.9" customHeight="1">
      <c r="A11" s="94" t="s">
        <v>180</v>
      </c>
      <c r="B11" s="38" t="s">
        <v>190</v>
      </c>
      <c r="C11" s="38" t="s">
        <v>185</v>
      </c>
      <c r="D11" s="95">
        <v>0</v>
      </c>
      <c r="E11" s="96">
        <v>475000</v>
      </c>
      <c r="F11" s="99">
        <f t="shared" si="0"/>
        <v>0</v>
      </c>
      <c r="G11" s="97">
        <f t="shared" si="0"/>
        <v>0</v>
      </c>
      <c r="H11" s="99"/>
      <c r="I11" s="94"/>
      <c r="J11" s="99">
        <f>$D11*'DIA-INCH'!$C11</f>
        <v>0</v>
      </c>
      <c r="K11" s="97">
        <f t="shared" si="1"/>
        <v>0</v>
      </c>
      <c r="L11" s="99">
        <f t="shared" si="2"/>
        <v>0</v>
      </c>
      <c r="M11" s="97">
        <f t="shared" si="2"/>
        <v>0</v>
      </c>
    </row>
    <row r="12" spans="1:13" ht="27.9" customHeight="1">
      <c r="A12" s="94" t="s">
        <v>183</v>
      </c>
      <c r="B12" s="38" t="s">
        <v>191</v>
      </c>
      <c r="C12" s="38" t="s">
        <v>182</v>
      </c>
      <c r="D12" s="95">
        <v>0</v>
      </c>
      <c r="E12" s="96">
        <v>475000</v>
      </c>
      <c r="F12" s="99">
        <f t="shared" si="0"/>
        <v>0</v>
      </c>
      <c r="G12" s="97">
        <f t="shared" si="0"/>
        <v>0</v>
      </c>
      <c r="H12" s="99"/>
      <c r="I12" s="94"/>
      <c r="J12" s="99">
        <f>$D12*'DIA-INCH'!$C12</f>
        <v>0</v>
      </c>
      <c r="K12" s="97">
        <f t="shared" si="1"/>
        <v>0</v>
      </c>
      <c r="L12" s="99">
        <f t="shared" si="2"/>
        <v>0</v>
      </c>
      <c r="M12" s="97">
        <f t="shared" si="2"/>
        <v>0</v>
      </c>
    </row>
    <row r="13" spans="1:13" ht="27.9" customHeight="1">
      <c r="A13" s="94" t="s">
        <v>180</v>
      </c>
      <c r="B13" s="38" t="s">
        <v>192</v>
      </c>
      <c r="C13" s="38" t="s">
        <v>182</v>
      </c>
      <c r="D13" s="95">
        <v>0</v>
      </c>
      <c r="E13" s="96">
        <v>475000</v>
      </c>
      <c r="F13" s="99">
        <f t="shared" si="0"/>
        <v>0</v>
      </c>
      <c r="G13" s="97">
        <f t="shared" si="0"/>
        <v>0</v>
      </c>
      <c r="H13" s="99"/>
      <c r="I13" s="94"/>
      <c r="J13" s="99">
        <f>$D13*'DIA-INCH'!$C13</f>
        <v>0</v>
      </c>
      <c r="K13" s="97">
        <f t="shared" si="1"/>
        <v>0</v>
      </c>
      <c r="L13" s="99">
        <f t="shared" si="2"/>
        <v>0</v>
      </c>
      <c r="M13" s="97">
        <f t="shared" si="2"/>
        <v>0</v>
      </c>
    </row>
    <row r="14" spans="1:13" ht="27.9" customHeight="1">
      <c r="A14" s="94" t="s">
        <v>193</v>
      </c>
      <c r="B14" s="38" t="s">
        <v>194</v>
      </c>
      <c r="C14" s="38" t="s">
        <v>182</v>
      </c>
      <c r="D14" s="95">
        <v>0</v>
      </c>
      <c r="E14" s="96">
        <v>475000</v>
      </c>
      <c r="F14" s="99">
        <f t="shared" si="0"/>
        <v>0</v>
      </c>
      <c r="G14" s="97">
        <f t="shared" si="0"/>
        <v>0</v>
      </c>
      <c r="H14" s="99"/>
      <c r="I14" s="94"/>
      <c r="J14" s="99">
        <f>$D14*'DIA-INCH'!$C14</f>
        <v>0</v>
      </c>
      <c r="K14" s="97">
        <f t="shared" si="1"/>
        <v>0</v>
      </c>
      <c r="L14" s="99">
        <f t="shared" si="2"/>
        <v>0</v>
      </c>
      <c r="M14" s="97">
        <f t="shared" si="2"/>
        <v>0</v>
      </c>
    </row>
    <row r="15" spans="1:13" ht="27.9" customHeight="1">
      <c r="A15" s="94" t="s">
        <v>180</v>
      </c>
      <c r="B15" s="38" t="s">
        <v>195</v>
      </c>
      <c r="C15" s="38" t="s">
        <v>185</v>
      </c>
      <c r="D15" s="95">
        <v>0</v>
      </c>
      <c r="E15" s="96">
        <v>475000</v>
      </c>
      <c r="F15" s="99">
        <f t="shared" si="0"/>
        <v>0</v>
      </c>
      <c r="G15" s="97">
        <f t="shared" si="0"/>
        <v>0</v>
      </c>
      <c r="H15" s="99"/>
      <c r="I15" s="94"/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" customHeight="1">
      <c r="A16" s="94" t="s">
        <v>183</v>
      </c>
      <c r="B16" s="38" t="s">
        <v>196</v>
      </c>
      <c r="C16" s="38" t="s">
        <v>182</v>
      </c>
      <c r="D16" s="95">
        <v>0</v>
      </c>
      <c r="E16" s="96">
        <v>475000</v>
      </c>
      <c r="F16" s="99">
        <f t="shared" si="0"/>
        <v>0</v>
      </c>
      <c r="G16" s="97">
        <f t="shared" si="0"/>
        <v>0</v>
      </c>
      <c r="H16" s="99"/>
      <c r="I16" s="94"/>
      <c r="J16" s="99">
        <f>$D16*'DIA-INCH'!$C16</f>
        <v>0</v>
      </c>
      <c r="K16" s="97">
        <f t="shared" si="1"/>
        <v>0</v>
      </c>
      <c r="L16" s="99">
        <f t="shared" si="2"/>
        <v>0</v>
      </c>
      <c r="M16" s="97">
        <f t="shared" si="2"/>
        <v>0</v>
      </c>
    </row>
    <row r="17" spans="1:13" ht="27.9" customHeight="1">
      <c r="A17" s="94" t="s">
        <v>183</v>
      </c>
      <c r="B17" s="38" t="s">
        <v>197</v>
      </c>
      <c r="C17" s="38" t="s">
        <v>182</v>
      </c>
      <c r="D17" s="95">
        <v>0</v>
      </c>
      <c r="E17" s="96">
        <v>475000</v>
      </c>
      <c r="F17" s="99">
        <f t="shared" si="0"/>
        <v>0</v>
      </c>
      <c r="G17" s="97">
        <f t="shared" si="0"/>
        <v>0</v>
      </c>
      <c r="H17" s="99"/>
      <c r="I17" s="94"/>
      <c r="J17" s="99">
        <f>$D17*'DIA-INCH'!$C17</f>
        <v>0</v>
      </c>
      <c r="K17" s="97">
        <f t="shared" si="1"/>
        <v>0</v>
      </c>
      <c r="L17" s="99">
        <f t="shared" si="2"/>
        <v>0</v>
      </c>
      <c r="M17" s="97">
        <f t="shared" si="2"/>
        <v>0</v>
      </c>
    </row>
    <row r="18" spans="1:13" ht="27.9" customHeight="1">
      <c r="A18" s="94" t="s">
        <v>183</v>
      </c>
      <c r="B18" s="38" t="s">
        <v>198</v>
      </c>
      <c r="C18" s="38" t="s">
        <v>182</v>
      </c>
      <c r="D18" s="95">
        <v>0</v>
      </c>
      <c r="E18" s="96">
        <v>475000</v>
      </c>
      <c r="F18" s="99">
        <f t="shared" si="0"/>
        <v>0</v>
      </c>
      <c r="G18" s="97">
        <f t="shared" si="0"/>
        <v>0</v>
      </c>
      <c r="H18" s="99"/>
      <c r="I18" s="94"/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" customHeight="1">
      <c r="A19" s="94" t="s">
        <v>183</v>
      </c>
      <c r="B19" s="38" t="s">
        <v>199</v>
      </c>
      <c r="C19" s="38" t="s">
        <v>182</v>
      </c>
      <c r="D19" s="95">
        <v>0</v>
      </c>
      <c r="E19" s="96">
        <v>475000</v>
      </c>
      <c r="F19" s="99">
        <f t="shared" si="0"/>
        <v>0</v>
      </c>
      <c r="G19" s="97">
        <f t="shared" si="0"/>
        <v>0</v>
      </c>
      <c r="H19" s="99"/>
      <c r="I19" s="94"/>
      <c r="J19" s="99">
        <f>$D19*'DIA-INCH'!$C19</f>
        <v>0</v>
      </c>
      <c r="K19" s="97">
        <f t="shared" si="1"/>
        <v>0</v>
      </c>
      <c r="L19" s="99">
        <f t="shared" si="2"/>
        <v>0</v>
      </c>
      <c r="M19" s="97">
        <f t="shared" si="2"/>
        <v>0</v>
      </c>
    </row>
    <row r="20" spans="1:13" ht="27.9" customHeight="1">
      <c r="A20" s="94" t="s">
        <v>180</v>
      </c>
      <c r="B20" s="38" t="s">
        <v>200</v>
      </c>
      <c r="C20" s="38" t="s">
        <v>185</v>
      </c>
      <c r="D20" s="95">
        <v>0</v>
      </c>
      <c r="E20" s="96">
        <v>475000</v>
      </c>
      <c r="F20" s="99">
        <f t="shared" si="0"/>
        <v>0</v>
      </c>
      <c r="G20" s="97">
        <f t="shared" si="0"/>
        <v>0</v>
      </c>
      <c r="H20" s="99"/>
      <c r="I20" s="94"/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" customHeight="1">
      <c r="A21" s="94" t="s">
        <v>180</v>
      </c>
      <c r="B21" s="38" t="s">
        <v>201</v>
      </c>
      <c r="C21" s="38" t="s">
        <v>202</v>
      </c>
      <c r="D21" s="95">
        <v>0</v>
      </c>
      <c r="E21" s="96">
        <v>475000</v>
      </c>
      <c r="F21" s="99">
        <f t="shared" si="0"/>
        <v>0</v>
      </c>
      <c r="G21" s="97">
        <f t="shared" si="0"/>
        <v>0</v>
      </c>
      <c r="H21" s="99"/>
      <c r="I21" s="94"/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" customHeight="1">
      <c r="A22" s="94" t="s">
        <v>183</v>
      </c>
      <c r="B22" s="38" t="s">
        <v>203</v>
      </c>
      <c r="C22" s="38" t="s">
        <v>204</v>
      </c>
      <c r="D22" s="95">
        <v>0</v>
      </c>
      <c r="E22" s="96">
        <v>475000</v>
      </c>
      <c r="F22" s="99">
        <f t="shared" si="0"/>
        <v>0</v>
      </c>
      <c r="G22" s="97">
        <f t="shared" si="0"/>
        <v>0</v>
      </c>
      <c r="H22" s="99"/>
      <c r="I22" s="94"/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" customHeight="1">
      <c r="A23" s="94" t="s">
        <v>205</v>
      </c>
      <c r="B23" s="38" t="s">
        <v>206</v>
      </c>
      <c r="C23" s="38" t="s">
        <v>182</v>
      </c>
      <c r="D23" s="95">
        <v>0</v>
      </c>
      <c r="E23" s="96">
        <v>475000</v>
      </c>
      <c r="F23" s="99">
        <f t="shared" si="0"/>
        <v>0</v>
      </c>
      <c r="G23" s="97">
        <f t="shared" si="0"/>
        <v>0</v>
      </c>
      <c r="H23" s="99"/>
      <c r="I23" s="94"/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" customHeight="1">
      <c r="A24" s="94" t="s">
        <v>180</v>
      </c>
      <c r="B24" s="38" t="s">
        <v>207</v>
      </c>
      <c r="C24" s="38" t="s">
        <v>185</v>
      </c>
      <c r="D24" s="95">
        <v>0</v>
      </c>
      <c r="E24" s="96">
        <v>475000</v>
      </c>
      <c r="F24" s="99">
        <f t="shared" si="0"/>
        <v>0</v>
      </c>
      <c r="G24" s="97">
        <f t="shared" si="0"/>
        <v>0</v>
      </c>
      <c r="H24" s="99"/>
      <c r="I24" s="94"/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" customHeight="1">
      <c r="A25" s="94" t="s">
        <v>193</v>
      </c>
      <c r="B25" s="38" t="s">
        <v>208</v>
      </c>
      <c r="C25" s="38" t="s">
        <v>209</v>
      </c>
      <c r="D25" s="95">
        <v>0</v>
      </c>
      <c r="E25" s="96">
        <v>475000</v>
      </c>
      <c r="F25" s="99">
        <f t="shared" si="0"/>
        <v>0</v>
      </c>
      <c r="G25" s="97">
        <f t="shared" si="0"/>
        <v>0</v>
      </c>
      <c r="H25" s="99"/>
      <c r="I25" s="94"/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" customHeight="1">
      <c r="A26" s="94" t="s">
        <v>183</v>
      </c>
      <c r="B26" s="38" t="s">
        <v>210</v>
      </c>
      <c r="C26" s="38" t="s">
        <v>182</v>
      </c>
      <c r="D26" s="95">
        <v>0</v>
      </c>
      <c r="E26" s="96">
        <v>475000</v>
      </c>
      <c r="F26" s="99">
        <f t="shared" si="0"/>
        <v>0</v>
      </c>
      <c r="G26" s="97">
        <f t="shared" si="0"/>
        <v>0</v>
      </c>
      <c r="H26" s="99"/>
      <c r="I26" s="94"/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" customHeight="1">
      <c r="A27" s="94" t="s">
        <v>193</v>
      </c>
      <c r="B27" s="38" t="s">
        <v>211</v>
      </c>
      <c r="C27" s="38" t="s">
        <v>182</v>
      </c>
      <c r="D27" s="95">
        <v>0</v>
      </c>
      <c r="E27" s="96">
        <v>475000</v>
      </c>
      <c r="F27" s="99">
        <f t="shared" si="0"/>
        <v>0</v>
      </c>
      <c r="G27" s="97">
        <f t="shared" si="0"/>
        <v>0</v>
      </c>
      <c r="H27" s="99"/>
      <c r="I27" s="94"/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" customHeight="1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12500</v>
      </c>
      <c r="F28" s="97">
        <f t="shared" si="0"/>
        <v>0</v>
      </c>
      <c r="G28" s="97">
        <f t="shared" si="0"/>
        <v>0</v>
      </c>
      <c r="H28" s="94"/>
      <c r="I28" s="94"/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" customHeight="1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25000</v>
      </c>
      <c r="F29" s="97">
        <f t="shared" si="0"/>
        <v>0</v>
      </c>
      <c r="G29" s="97">
        <f t="shared" si="0"/>
        <v>0</v>
      </c>
      <c r="H29" s="94"/>
      <c r="I29" s="94"/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3" ht="27.9" customHeight="1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37500</v>
      </c>
      <c r="F30" s="97">
        <f t="shared" si="0"/>
        <v>0</v>
      </c>
      <c r="G30" s="97">
        <f t="shared" si="0"/>
        <v>0</v>
      </c>
      <c r="H30" s="94"/>
      <c r="I30" s="94"/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3" ht="27.9" customHeight="1">
      <c r="A31" s="94" t="s">
        <v>216</v>
      </c>
      <c r="B31" s="38" t="s">
        <v>187</v>
      </c>
      <c r="C31" s="38" t="s">
        <v>217</v>
      </c>
      <c r="D31" s="95">
        <v>0</v>
      </c>
      <c r="E31" s="96">
        <v>50000</v>
      </c>
      <c r="F31" s="97">
        <f t="shared" si="0"/>
        <v>0</v>
      </c>
      <c r="G31" s="97">
        <f t="shared" si="0"/>
        <v>0</v>
      </c>
      <c r="H31" s="94"/>
      <c r="I31" s="94"/>
      <c r="J31" s="97">
        <f t="shared" si="3"/>
        <v>0</v>
      </c>
      <c r="K31" s="97">
        <f t="shared" si="4"/>
        <v>0</v>
      </c>
      <c r="L31" s="97">
        <f t="shared" si="2"/>
        <v>0</v>
      </c>
      <c r="M31" s="97">
        <f t="shared" si="2"/>
        <v>0</v>
      </c>
    </row>
    <row r="32" spans="1:13" ht="27.9" customHeight="1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62500</v>
      </c>
      <c r="F32" s="97">
        <f t="shared" si="0"/>
        <v>0</v>
      </c>
      <c r="G32" s="97">
        <f t="shared" si="0"/>
        <v>0</v>
      </c>
      <c r="H32" s="94"/>
      <c r="I32" s="94"/>
      <c r="J32" s="97">
        <f t="shared" si="3"/>
        <v>0</v>
      </c>
      <c r="K32" s="97">
        <f t="shared" si="4"/>
        <v>0</v>
      </c>
      <c r="L32" s="97">
        <f t="shared" si="2"/>
        <v>0</v>
      </c>
      <c r="M32" s="97">
        <f t="shared" si="2"/>
        <v>0</v>
      </c>
    </row>
    <row r="33" spans="1:13" ht="27.9" customHeight="1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75000</v>
      </c>
      <c r="F33" s="97">
        <f t="shared" si="0"/>
        <v>0</v>
      </c>
      <c r="G33" s="97">
        <f t="shared" si="0"/>
        <v>0</v>
      </c>
      <c r="H33" s="94"/>
      <c r="I33" s="94"/>
      <c r="J33" s="97">
        <f t="shared" si="3"/>
        <v>0</v>
      </c>
      <c r="K33" s="97">
        <f t="shared" si="4"/>
        <v>0</v>
      </c>
      <c r="L33" s="97">
        <f t="shared" si="2"/>
        <v>0</v>
      </c>
      <c r="M33" s="97">
        <f t="shared" si="2"/>
        <v>0</v>
      </c>
    </row>
    <row r="34" spans="1:13" ht="27.9" customHeight="1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100000</v>
      </c>
      <c r="F34" s="97">
        <f t="shared" si="0"/>
        <v>0</v>
      </c>
      <c r="G34" s="97">
        <f t="shared" si="0"/>
        <v>0</v>
      </c>
      <c r="H34" s="94"/>
      <c r="I34" s="94"/>
      <c r="J34" s="97">
        <f t="shared" si="3"/>
        <v>0</v>
      </c>
      <c r="K34" s="97">
        <f t="shared" si="4"/>
        <v>0</v>
      </c>
      <c r="L34" s="97">
        <f t="shared" si="2"/>
        <v>0</v>
      </c>
      <c r="M34" s="97">
        <f t="shared" si="2"/>
        <v>0</v>
      </c>
    </row>
    <row r="35" spans="1:13" ht="27.9" customHeight="1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125000</v>
      </c>
      <c r="F35" s="97">
        <f t="shared" si="0"/>
        <v>0</v>
      </c>
      <c r="G35" s="97">
        <f t="shared" si="0"/>
        <v>0</v>
      </c>
      <c r="H35" s="94"/>
      <c r="I35" s="94"/>
      <c r="J35" s="97">
        <f t="shared" si="3"/>
        <v>0</v>
      </c>
      <c r="K35" s="97">
        <f t="shared" si="4"/>
        <v>0</v>
      </c>
      <c r="L35" s="97">
        <f t="shared" si="2"/>
        <v>0</v>
      </c>
      <c r="M35" s="97">
        <f t="shared" si="2"/>
        <v>0</v>
      </c>
    </row>
    <row r="36" spans="1:13" ht="27.9" customHeight="1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150000</v>
      </c>
      <c r="F36" s="97">
        <f t="shared" si="0"/>
        <v>0</v>
      </c>
      <c r="G36" s="97">
        <f t="shared" si="0"/>
        <v>0</v>
      </c>
      <c r="H36" s="94"/>
      <c r="I36" s="94"/>
      <c r="J36" s="97">
        <f t="shared" si="3"/>
        <v>0</v>
      </c>
      <c r="K36" s="97">
        <f t="shared" si="4"/>
        <v>0</v>
      </c>
      <c r="L36" s="97">
        <f t="shared" si="2"/>
        <v>0</v>
      </c>
      <c r="M36" s="97">
        <f t="shared" si="2"/>
        <v>0</v>
      </c>
    </row>
    <row r="37" spans="1:13" ht="27.9" customHeight="1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200000</v>
      </c>
      <c r="F37" s="97">
        <f t="shared" si="0"/>
        <v>0</v>
      </c>
      <c r="G37" s="97">
        <f t="shared" si="0"/>
        <v>0</v>
      </c>
      <c r="H37" s="94"/>
      <c r="I37" s="94"/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</row>
    <row r="38" spans="1:13" ht="27.9" customHeight="1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200000</v>
      </c>
      <c r="F38" s="97">
        <f t="shared" si="0"/>
        <v>0</v>
      </c>
      <c r="G38" s="97">
        <f t="shared" si="0"/>
        <v>0</v>
      </c>
      <c r="H38" s="94"/>
      <c r="I38" s="94"/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" customHeight="1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250000</v>
      </c>
      <c r="F39" s="97">
        <f t="shared" si="0"/>
        <v>0</v>
      </c>
      <c r="G39" s="97">
        <f t="shared" si="0"/>
        <v>0</v>
      </c>
      <c r="H39" s="94"/>
      <c r="I39" s="94"/>
      <c r="J39" s="97">
        <f t="shared" si="3"/>
        <v>0</v>
      </c>
      <c r="K39" s="97">
        <f t="shared" si="4"/>
        <v>0</v>
      </c>
      <c r="L39" s="97">
        <f t="shared" si="2"/>
        <v>0</v>
      </c>
      <c r="M39" s="97">
        <f t="shared" si="2"/>
        <v>0</v>
      </c>
    </row>
    <row r="40" spans="1:13" ht="27.9" customHeight="1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300000</v>
      </c>
      <c r="F40" s="97">
        <f t="shared" si="0"/>
        <v>0</v>
      </c>
      <c r="G40" s="97">
        <f t="shared" si="0"/>
        <v>0</v>
      </c>
      <c r="H40" s="94"/>
      <c r="I40" s="94"/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3" ht="27.9" customHeight="1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350000</v>
      </c>
      <c r="F41" s="97">
        <f t="shared" si="0"/>
        <v>0</v>
      </c>
      <c r="G41" s="97">
        <f t="shared" si="0"/>
        <v>0</v>
      </c>
      <c r="H41" s="94"/>
      <c r="I41" s="94"/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" customHeight="1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400000</v>
      </c>
      <c r="F42" s="97">
        <f t="shared" si="0"/>
        <v>0</v>
      </c>
      <c r="G42" s="97">
        <f t="shared" si="0"/>
        <v>0</v>
      </c>
      <c r="H42" s="94"/>
      <c r="I42" s="94"/>
      <c r="J42" s="97">
        <f t="shared" si="3"/>
        <v>0</v>
      </c>
      <c r="K42" s="97">
        <f t="shared" si="4"/>
        <v>0</v>
      </c>
      <c r="L42" s="97">
        <f t="shared" si="2"/>
        <v>0</v>
      </c>
      <c r="M42" s="97">
        <f t="shared" si="2"/>
        <v>0</v>
      </c>
    </row>
    <row r="43" spans="1:13" ht="27.9" customHeight="1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450000</v>
      </c>
      <c r="F43" s="97">
        <f t="shared" si="0"/>
        <v>0</v>
      </c>
      <c r="G43" s="97">
        <f t="shared" si="0"/>
        <v>0</v>
      </c>
      <c r="H43" s="94"/>
      <c r="I43" s="94"/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" customHeight="1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500000</v>
      </c>
      <c r="F44" s="97">
        <f t="shared" si="0"/>
        <v>0</v>
      </c>
      <c r="G44" s="97">
        <f t="shared" si="0"/>
        <v>0</v>
      </c>
      <c r="H44" s="94"/>
      <c r="I44" s="94"/>
      <c r="J44" s="97">
        <f t="shared" si="3"/>
        <v>0</v>
      </c>
      <c r="K44" s="97">
        <f t="shared" si="4"/>
        <v>0</v>
      </c>
      <c r="L44" s="97">
        <f t="shared" si="2"/>
        <v>0</v>
      </c>
      <c r="M44" s="97">
        <f t="shared" si="2"/>
        <v>0</v>
      </c>
    </row>
    <row r="45" spans="1:13" ht="27.9" customHeight="1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600000</v>
      </c>
      <c r="F45" s="97">
        <f t="shared" si="0"/>
        <v>0</v>
      </c>
      <c r="G45" s="97">
        <f t="shared" si="0"/>
        <v>0</v>
      </c>
      <c r="H45" s="94"/>
      <c r="I45" s="94"/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" customHeight="1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700000</v>
      </c>
      <c r="F46" s="97">
        <f t="shared" si="0"/>
        <v>0</v>
      </c>
      <c r="G46" s="97">
        <f t="shared" si="0"/>
        <v>0</v>
      </c>
      <c r="H46" s="94"/>
      <c r="I46" s="94"/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" customHeight="1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800000</v>
      </c>
      <c r="F47" s="97">
        <f t="shared" si="0"/>
        <v>0</v>
      </c>
      <c r="G47" s="97">
        <f t="shared" si="0"/>
        <v>0</v>
      </c>
      <c r="H47" s="94"/>
      <c r="I47" s="94"/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" customHeight="1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900000</v>
      </c>
      <c r="F48" s="97">
        <f t="shared" si="0"/>
        <v>0</v>
      </c>
      <c r="G48" s="97">
        <f t="shared" si="0"/>
        <v>0</v>
      </c>
      <c r="H48" s="94"/>
      <c r="I48" s="94"/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" customHeight="1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1000000</v>
      </c>
      <c r="F49" s="97">
        <f t="shared" si="0"/>
        <v>0</v>
      </c>
      <c r="G49" s="97">
        <f t="shared" si="0"/>
        <v>0</v>
      </c>
      <c r="H49" s="94"/>
      <c r="I49" s="94"/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" customHeight="1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1100000</v>
      </c>
      <c r="F50" s="97">
        <f t="shared" si="0"/>
        <v>0</v>
      </c>
      <c r="G50" s="97">
        <f t="shared" si="0"/>
        <v>0</v>
      </c>
      <c r="H50" s="94"/>
      <c r="I50" s="94"/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" customHeight="1">
      <c r="A51" s="210" t="s">
        <v>220</v>
      </c>
      <c r="B51" s="211"/>
      <c r="C51" s="211"/>
      <c r="D51" s="211"/>
      <c r="E51" s="212"/>
      <c r="F51" s="157">
        <f>SUM(F5:F50)</f>
        <v>0</v>
      </c>
      <c r="G51" s="98">
        <f t="shared" ref="G51:M51" si="5">SUM(G5:G50)</f>
        <v>0</v>
      </c>
      <c r="H51" s="157">
        <f t="shared" si="5"/>
        <v>0</v>
      </c>
      <c r="I51" s="98">
        <f t="shared" si="5"/>
        <v>0</v>
      </c>
      <c r="J51" s="157">
        <f t="shared" si="5"/>
        <v>0</v>
      </c>
      <c r="K51" s="98">
        <f t="shared" si="5"/>
        <v>0</v>
      </c>
      <c r="L51" s="157">
        <f t="shared" si="5"/>
        <v>0</v>
      </c>
      <c r="M51" s="98">
        <f t="shared" si="5"/>
        <v>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11"/>
  <sheetViews>
    <sheetView view="pageBreakPreview" zoomScale="70" zoomScaleNormal="70" zoomScaleSheetLayoutView="70" workbookViewId="0">
      <selection activeCell="H34" sqref="H34"/>
    </sheetView>
  </sheetViews>
  <sheetFormatPr defaultRowHeight="17.399999999999999"/>
  <cols>
    <col min="1" max="1" width="6.3984375" style="100" bestFit="1" customWidth="1"/>
    <col min="2" max="2" width="9.19921875" style="100" customWidth="1"/>
    <col min="3" max="3" width="18.09765625" style="100" customWidth="1"/>
    <col min="4" max="4" width="11.19921875" style="100" customWidth="1"/>
    <col min="5" max="5" width="18.09765625" style="100" customWidth="1"/>
    <col min="6" max="6" width="11.09765625" style="100" customWidth="1"/>
    <col min="7" max="7" width="9.3984375" style="101" customWidth="1"/>
    <col min="8" max="8" width="21.59765625" style="101" customWidth="1"/>
    <col min="9" max="38" width="7.59765625" style="100" customWidth="1"/>
    <col min="39" max="39" width="7.59765625" style="100" hidden="1" customWidth="1"/>
    <col min="40" max="40" width="11.8984375" style="100" customWidth="1"/>
    <col min="41" max="41" width="15.8984375" style="142" bestFit="1" customWidth="1"/>
    <col min="42" max="42" width="18.19921875" style="144" bestFit="1" customWidth="1"/>
  </cols>
  <sheetData>
    <row r="1" spans="1:42" ht="32.1" customHeight="1">
      <c r="A1" s="228" t="s">
        <v>313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30"/>
      <c r="AH1" s="219" t="s">
        <v>221</v>
      </c>
      <c r="AI1" s="220"/>
      <c r="AJ1" s="220"/>
      <c r="AK1" s="220"/>
      <c r="AL1" s="221"/>
      <c r="AM1" s="216" t="str">
        <f>'용역청구서 표지'!$B$7</f>
        <v>P4 Ph4 GAS 1공구 마감공사</v>
      </c>
      <c r="AN1" s="217"/>
      <c r="AO1" s="217"/>
      <c r="AP1" s="218"/>
    </row>
    <row r="2" spans="1:42" ht="32.1" customHeight="1">
      <c r="A2" s="231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  <c r="AH2" s="219" t="s">
        <v>222</v>
      </c>
      <c r="AI2" s="220"/>
      <c r="AJ2" s="220"/>
      <c r="AK2" s="220"/>
      <c r="AL2" s="221"/>
      <c r="AM2" s="216" t="s">
        <v>314</v>
      </c>
      <c r="AN2" s="217"/>
      <c r="AO2" s="217"/>
      <c r="AP2" s="218"/>
    </row>
    <row r="3" spans="1:42" ht="32.1" customHeight="1">
      <c r="A3" s="234"/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6"/>
      <c r="AH3" s="219" t="s">
        <v>223</v>
      </c>
      <c r="AI3" s="220"/>
      <c r="AJ3" s="220"/>
      <c r="AK3" s="220"/>
      <c r="AL3" s="221"/>
      <c r="AM3" s="216" t="str">
        <f>'용역청구서 표지'!$C$8</f>
        <v>S25-004</v>
      </c>
      <c r="AN3" s="217"/>
      <c r="AO3" s="217"/>
      <c r="AP3" s="218"/>
    </row>
    <row r="4" spans="1:42" ht="24.9" customHeight="1" thickBot="1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" customHeight="1" thickBot="1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10">
        <v>1</v>
      </c>
      <c r="J5" s="111">
        <v>2</v>
      </c>
      <c r="K5" s="109">
        <v>3</v>
      </c>
      <c r="L5" s="109">
        <v>4</v>
      </c>
      <c r="M5" s="109">
        <v>5</v>
      </c>
      <c r="N5" s="109">
        <v>6</v>
      </c>
      <c r="O5" s="109">
        <v>7</v>
      </c>
      <c r="P5" s="110">
        <v>8</v>
      </c>
      <c r="Q5" s="111">
        <v>9</v>
      </c>
      <c r="R5" s="109">
        <v>10</v>
      </c>
      <c r="S5" s="109">
        <v>11</v>
      </c>
      <c r="T5" s="109">
        <v>12</v>
      </c>
      <c r="U5" s="109">
        <v>13</v>
      </c>
      <c r="V5" s="109">
        <v>14</v>
      </c>
      <c r="W5" s="110">
        <v>15</v>
      </c>
      <c r="X5" s="111">
        <v>16</v>
      </c>
      <c r="Y5" s="109">
        <v>17</v>
      </c>
      <c r="Z5" s="109">
        <v>18</v>
      </c>
      <c r="AA5" s="109">
        <v>19</v>
      </c>
      <c r="AB5" s="109">
        <v>20</v>
      </c>
      <c r="AC5" s="109">
        <v>21</v>
      </c>
      <c r="AD5" s="110">
        <v>22</v>
      </c>
      <c r="AE5" s="111">
        <v>23</v>
      </c>
      <c r="AF5" s="109">
        <v>24</v>
      </c>
      <c r="AG5" s="109">
        <v>25</v>
      </c>
      <c r="AH5" s="109">
        <v>26</v>
      </c>
      <c r="AI5" s="109">
        <v>27</v>
      </c>
      <c r="AJ5" s="109">
        <v>28</v>
      </c>
      <c r="AK5" s="110">
        <v>29</v>
      </c>
      <c r="AL5" s="111">
        <v>30</v>
      </c>
      <c r="AM5" s="112">
        <v>31</v>
      </c>
      <c r="AN5" s="113" t="s">
        <v>232</v>
      </c>
      <c r="AO5" s="106" t="s">
        <v>233</v>
      </c>
      <c r="AP5" s="114" t="s">
        <v>234</v>
      </c>
    </row>
    <row r="6" spans="1:42" ht="24.9" customHeight="1">
      <c r="A6" s="115">
        <v>1</v>
      </c>
      <c r="B6" s="116" t="s">
        <v>315</v>
      </c>
      <c r="C6" s="117" t="s">
        <v>316</v>
      </c>
      <c r="D6" s="117" t="s">
        <v>238</v>
      </c>
      <c r="E6" s="117" t="s">
        <v>317</v>
      </c>
      <c r="F6" s="118" t="s">
        <v>318</v>
      </c>
      <c r="G6" s="119" t="s">
        <v>315</v>
      </c>
      <c r="H6" s="120" t="s">
        <v>319</v>
      </c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>
        <v>0.875</v>
      </c>
      <c r="Z6" s="121"/>
      <c r="AA6" s="121">
        <v>1</v>
      </c>
      <c r="AB6" s="121">
        <v>1</v>
      </c>
      <c r="AC6" s="121">
        <v>1</v>
      </c>
      <c r="AD6" s="121"/>
      <c r="AE6" s="121"/>
      <c r="AF6" s="121">
        <v>1</v>
      </c>
      <c r="AG6" s="121">
        <v>1</v>
      </c>
      <c r="AH6" s="121">
        <v>1</v>
      </c>
      <c r="AI6" s="121">
        <v>1</v>
      </c>
      <c r="AJ6" s="121">
        <v>1</v>
      </c>
      <c r="AK6" s="121"/>
      <c r="AL6" s="121"/>
      <c r="AM6" s="121"/>
      <c r="AN6" s="122">
        <f>SUM(I6:AM6)</f>
        <v>8.875</v>
      </c>
      <c r="AO6" s="118">
        <v>210000</v>
      </c>
      <c r="AP6" s="123">
        <f>AN6*AO6</f>
        <v>1863750</v>
      </c>
    </row>
    <row r="7" spans="1:42" ht="24.9" customHeight="1">
      <c r="A7" s="124">
        <v>2</v>
      </c>
      <c r="B7" s="116" t="s">
        <v>320</v>
      </c>
      <c r="C7" s="117" t="s">
        <v>321</v>
      </c>
      <c r="D7" s="125" t="s">
        <v>322</v>
      </c>
      <c r="E7" s="117" t="s">
        <v>323</v>
      </c>
      <c r="F7" s="126" t="s">
        <v>240</v>
      </c>
      <c r="G7" s="119" t="s">
        <v>320</v>
      </c>
      <c r="H7" s="120" t="s">
        <v>324</v>
      </c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>
        <v>0.625</v>
      </c>
      <c r="Z7" s="121"/>
      <c r="AA7" s="121">
        <v>0.5</v>
      </c>
      <c r="AB7" s="121">
        <v>1</v>
      </c>
      <c r="AC7" s="121">
        <v>1</v>
      </c>
      <c r="AD7" s="121"/>
      <c r="AE7" s="121"/>
      <c r="AF7" s="121">
        <v>1</v>
      </c>
      <c r="AG7" s="121">
        <v>1</v>
      </c>
      <c r="AH7" s="121">
        <v>1</v>
      </c>
      <c r="AI7" s="121">
        <v>1</v>
      </c>
      <c r="AJ7" s="121">
        <v>1</v>
      </c>
      <c r="AK7" s="121"/>
      <c r="AL7" s="121"/>
      <c r="AM7" s="121"/>
      <c r="AN7" s="122">
        <f t="shared" ref="AN7:AN15" si="0">SUM(I7:AM7)</f>
        <v>8.125</v>
      </c>
      <c r="AO7" s="118">
        <v>250000</v>
      </c>
      <c r="AP7" s="123">
        <f t="shared" ref="AP7:AP15" si="1">AN7*AO7</f>
        <v>2031250</v>
      </c>
    </row>
    <row r="8" spans="1:42" ht="24.9" customHeight="1">
      <c r="A8" s="124">
        <v>3</v>
      </c>
      <c r="B8" s="116" t="s">
        <v>325</v>
      </c>
      <c r="C8" s="117" t="s">
        <v>326</v>
      </c>
      <c r="D8" s="127" t="s">
        <v>238</v>
      </c>
      <c r="E8" s="117" t="s">
        <v>327</v>
      </c>
      <c r="F8" s="126" t="s">
        <v>239</v>
      </c>
      <c r="G8" s="119" t="s">
        <v>325</v>
      </c>
      <c r="H8" s="120" t="s">
        <v>328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>
        <v>0.875</v>
      </c>
      <c r="Z8" s="121"/>
      <c r="AA8" s="121">
        <v>1</v>
      </c>
      <c r="AB8" s="121"/>
      <c r="AC8" s="121">
        <v>1</v>
      </c>
      <c r="AD8" s="121"/>
      <c r="AE8" s="121"/>
      <c r="AF8" s="121">
        <v>1</v>
      </c>
      <c r="AG8" s="121">
        <v>1</v>
      </c>
      <c r="AH8" s="121">
        <v>1</v>
      </c>
      <c r="AI8" s="121">
        <v>1</v>
      </c>
      <c r="AJ8" s="121">
        <v>1</v>
      </c>
      <c r="AK8" s="121"/>
      <c r="AL8" s="121"/>
      <c r="AM8" s="121"/>
      <c r="AN8" s="122">
        <f t="shared" si="0"/>
        <v>7.875</v>
      </c>
      <c r="AO8" s="118">
        <v>210000</v>
      </c>
      <c r="AP8" s="123">
        <f t="shared" si="1"/>
        <v>1653750</v>
      </c>
    </row>
    <row r="9" spans="1:42" ht="24.9" customHeight="1">
      <c r="A9" s="124">
        <v>4</v>
      </c>
      <c r="B9" s="116" t="s">
        <v>329</v>
      </c>
      <c r="C9" s="117" t="s">
        <v>330</v>
      </c>
      <c r="D9" s="125" t="s">
        <v>235</v>
      </c>
      <c r="E9" s="117" t="s">
        <v>331</v>
      </c>
      <c r="F9" s="126" t="s">
        <v>236</v>
      </c>
      <c r="G9" s="119" t="s">
        <v>329</v>
      </c>
      <c r="H9" s="120" t="s">
        <v>332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>
        <v>0.625</v>
      </c>
      <c r="Z9" s="121"/>
      <c r="AA9" s="121">
        <v>1</v>
      </c>
      <c r="AB9" s="121">
        <v>1</v>
      </c>
      <c r="AC9" s="121">
        <v>1</v>
      </c>
      <c r="AD9" s="121"/>
      <c r="AE9" s="121"/>
      <c r="AF9" s="121">
        <v>1</v>
      </c>
      <c r="AG9" s="121">
        <v>1</v>
      </c>
      <c r="AH9" s="121">
        <v>1</v>
      </c>
      <c r="AI9" s="121">
        <v>1</v>
      </c>
      <c r="AJ9" s="121">
        <v>1</v>
      </c>
      <c r="AK9" s="121"/>
      <c r="AL9" s="121"/>
      <c r="AM9" s="121"/>
      <c r="AN9" s="122">
        <f t="shared" si="0"/>
        <v>8.625</v>
      </c>
      <c r="AO9" s="118">
        <v>180000</v>
      </c>
      <c r="AP9" s="123">
        <f t="shared" si="1"/>
        <v>1552500</v>
      </c>
    </row>
    <row r="10" spans="1:42" ht="24.9" customHeight="1">
      <c r="A10" s="124">
        <v>5</v>
      </c>
      <c r="B10" s="116" t="s">
        <v>333</v>
      </c>
      <c r="C10" s="117" t="s">
        <v>334</v>
      </c>
      <c r="D10" s="125" t="s">
        <v>237</v>
      </c>
      <c r="E10" s="117" t="s">
        <v>335</v>
      </c>
      <c r="F10" s="126" t="s">
        <v>239</v>
      </c>
      <c r="G10" s="119" t="s">
        <v>333</v>
      </c>
      <c r="H10" s="120" t="s">
        <v>336</v>
      </c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>
        <v>0.875</v>
      </c>
      <c r="Z10" s="121"/>
      <c r="AA10" s="121">
        <v>1</v>
      </c>
      <c r="AB10" s="121">
        <v>1</v>
      </c>
      <c r="AC10" s="121">
        <v>1</v>
      </c>
      <c r="AD10" s="121"/>
      <c r="AE10" s="121"/>
      <c r="AF10" s="121">
        <v>1</v>
      </c>
      <c r="AG10" s="121">
        <v>1</v>
      </c>
      <c r="AH10" s="121">
        <v>1</v>
      </c>
      <c r="AI10" s="121">
        <v>1</v>
      </c>
      <c r="AJ10" s="121">
        <v>1</v>
      </c>
      <c r="AK10" s="121"/>
      <c r="AL10" s="121"/>
      <c r="AM10" s="121"/>
      <c r="AN10" s="122">
        <f t="shared" si="0"/>
        <v>8.875</v>
      </c>
      <c r="AO10" s="118">
        <v>240000</v>
      </c>
      <c r="AP10" s="123">
        <f t="shared" si="1"/>
        <v>2130000</v>
      </c>
    </row>
    <row r="11" spans="1:42" ht="24.9" customHeight="1">
      <c r="A11" s="124">
        <v>6</v>
      </c>
      <c r="B11" s="116" t="s">
        <v>337</v>
      </c>
      <c r="C11" s="117" t="s">
        <v>338</v>
      </c>
      <c r="D11" s="127" t="s">
        <v>238</v>
      </c>
      <c r="E11" s="117" t="s">
        <v>339</v>
      </c>
      <c r="F11" s="126" t="s">
        <v>318</v>
      </c>
      <c r="G11" s="119" t="s">
        <v>337</v>
      </c>
      <c r="H11" s="120" t="s">
        <v>340</v>
      </c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>
        <v>0.875</v>
      </c>
      <c r="Z11" s="121"/>
      <c r="AA11" s="121">
        <v>1</v>
      </c>
      <c r="AB11" s="121">
        <v>1</v>
      </c>
      <c r="AC11" s="121">
        <v>1</v>
      </c>
      <c r="AD11" s="121"/>
      <c r="AE11" s="121"/>
      <c r="AF11" s="121">
        <v>1</v>
      </c>
      <c r="AG11" s="121">
        <v>1</v>
      </c>
      <c r="AH11" s="121">
        <v>1</v>
      </c>
      <c r="AI11" s="121">
        <v>1</v>
      </c>
      <c r="AJ11" s="121">
        <v>1</v>
      </c>
      <c r="AK11" s="121"/>
      <c r="AL11" s="121"/>
      <c r="AM11" s="121"/>
      <c r="AN11" s="122">
        <f t="shared" si="0"/>
        <v>8.875</v>
      </c>
      <c r="AO11" s="118">
        <v>240000</v>
      </c>
      <c r="AP11" s="123">
        <f t="shared" si="1"/>
        <v>2130000</v>
      </c>
    </row>
    <row r="12" spans="1:42" ht="24.9" customHeight="1">
      <c r="A12" s="124">
        <v>7</v>
      </c>
      <c r="B12" s="116" t="s">
        <v>341</v>
      </c>
      <c r="C12" s="117" t="s">
        <v>342</v>
      </c>
      <c r="D12" s="125" t="s">
        <v>322</v>
      </c>
      <c r="E12" s="117" t="s">
        <v>343</v>
      </c>
      <c r="F12" s="126" t="s">
        <v>344</v>
      </c>
      <c r="G12" s="119" t="s">
        <v>341</v>
      </c>
      <c r="H12" s="120" t="s">
        <v>345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>
        <v>0.625</v>
      </c>
      <c r="Z12" s="121"/>
      <c r="AA12" s="121">
        <v>0.5</v>
      </c>
      <c r="AB12" s="121">
        <v>1</v>
      </c>
      <c r="AC12" s="121">
        <v>1</v>
      </c>
      <c r="AD12" s="121"/>
      <c r="AE12" s="121"/>
      <c r="AF12" s="121">
        <v>1</v>
      </c>
      <c r="AG12" s="121">
        <v>1</v>
      </c>
      <c r="AH12" s="121">
        <v>1</v>
      </c>
      <c r="AI12" s="121">
        <v>1</v>
      </c>
      <c r="AJ12" s="121">
        <v>1</v>
      </c>
      <c r="AK12" s="121"/>
      <c r="AL12" s="121"/>
      <c r="AM12" s="121"/>
      <c r="AN12" s="122">
        <f t="shared" si="0"/>
        <v>8.125</v>
      </c>
      <c r="AO12" s="118">
        <v>240000</v>
      </c>
      <c r="AP12" s="123">
        <f t="shared" si="1"/>
        <v>1950000</v>
      </c>
    </row>
    <row r="13" spans="1:42" ht="24.9" customHeight="1">
      <c r="A13" s="124">
        <v>8</v>
      </c>
      <c r="B13" s="116" t="s">
        <v>346</v>
      </c>
      <c r="C13" s="117" t="s">
        <v>347</v>
      </c>
      <c r="D13" s="127" t="s">
        <v>348</v>
      </c>
      <c r="E13" s="117" t="s">
        <v>349</v>
      </c>
      <c r="F13" s="126" t="s">
        <v>240</v>
      </c>
      <c r="G13" s="119" t="s">
        <v>346</v>
      </c>
      <c r="H13" s="120" t="s">
        <v>350</v>
      </c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>
        <v>0.625</v>
      </c>
      <c r="Z13" s="121"/>
      <c r="AA13" s="121">
        <v>0.5</v>
      </c>
      <c r="AB13" s="121">
        <v>1</v>
      </c>
      <c r="AC13" s="121">
        <v>1</v>
      </c>
      <c r="AD13" s="121"/>
      <c r="AE13" s="121"/>
      <c r="AF13" s="121">
        <v>1</v>
      </c>
      <c r="AG13" s="121">
        <v>1</v>
      </c>
      <c r="AH13" s="121">
        <v>1</v>
      </c>
      <c r="AI13" s="121">
        <v>1</v>
      </c>
      <c r="AJ13" s="121">
        <v>1</v>
      </c>
      <c r="AK13" s="121"/>
      <c r="AL13" s="121"/>
      <c r="AM13" s="121"/>
      <c r="AN13" s="122">
        <f t="shared" si="0"/>
        <v>8.125</v>
      </c>
      <c r="AO13" s="118">
        <v>240000</v>
      </c>
      <c r="AP13" s="123">
        <f t="shared" si="1"/>
        <v>1950000</v>
      </c>
    </row>
    <row r="14" spans="1:42" ht="24.9" customHeight="1">
      <c r="A14" s="124">
        <v>9</v>
      </c>
      <c r="B14" s="116" t="s">
        <v>351</v>
      </c>
      <c r="C14" s="117" t="s">
        <v>352</v>
      </c>
      <c r="D14" s="127" t="s">
        <v>235</v>
      </c>
      <c r="E14" s="117" t="s">
        <v>353</v>
      </c>
      <c r="F14" s="126" t="s">
        <v>354</v>
      </c>
      <c r="G14" s="119" t="s">
        <v>351</v>
      </c>
      <c r="H14" s="120" t="s">
        <v>355</v>
      </c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>
        <v>0.625</v>
      </c>
      <c r="Z14" s="121"/>
      <c r="AA14" s="121">
        <v>1</v>
      </c>
      <c r="AB14" s="121">
        <v>1</v>
      </c>
      <c r="AC14" s="121">
        <v>1</v>
      </c>
      <c r="AD14" s="121"/>
      <c r="AE14" s="121"/>
      <c r="AF14" s="121">
        <v>1</v>
      </c>
      <c r="AG14" s="121">
        <v>1</v>
      </c>
      <c r="AH14" s="121">
        <v>1</v>
      </c>
      <c r="AI14" s="121">
        <v>1</v>
      </c>
      <c r="AJ14" s="121">
        <v>1</v>
      </c>
      <c r="AK14" s="121"/>
      <c r="AL14" s="121"/>
      <c r="AM14" s="121"/>
      <c r="AN14" s="122">
        <f t="shared" si="0"/>
        <v>8.625</v>
      </c>
      <c r="AO14" s="118">
        <v>190000</v>
      </c>
      <c r="AP14" s="123">
        <f t="shared" si="1"/>
        <v>1638750</v>
      </c>
    </row>
    <row r="15" spans="1:42" ht="24.9" customHeight="1">
      <c r="A15" s="128">
        <v>10</v>
      </c>
      <c r="B15" s="116" t="s">
        <v>356</v>
      </c>
      <c r="C15" s="117" t="s">
        <v>357</v>
      </c>
      <c r="D15" s="129" t="s">
        <v>235</v>
      </c>
      <c r="E15" s="117" t="s">
        <v>358</v>
      </c>
      <c r="F15" s="130" t="s">
        <v>318</v>
      </c>
      <c r="G15" s="119" t="s">
        <v>356</v>
      </c>
      <c r="H15" s="120" t="s">
        <v>359</v>
      </c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>
        <v>0.625</v>
      </c>
      <c r="Z15" s="121"/>
      <c r="AA15" s="121">
        <v>1</v>
      </c>
      <c r="AB15" s="121">
        <v>1</v>
      </c>
      <c r="AC15" s="121">
        <v>1</v>
      </c>
      <c r="AD15" s="121"/>
      <c r="AE15" s="121"/>
      <c r="AF15" s="121">
        <v>1</v>
      </c>
      <c r="AG15" s="121">
        <v>1</v>
      </c>
      <c r="AH15" s="121">
        <v>1</v>
      </c>
      <c r="AI15" s="121">
        <v>1</v>
      </c>
      <c r="AJ15" s="121">
        <v>1</v>
      </c>
      <c r="AK15" s="121"/>
      <c r="AL15" s="121"/>
      <c r="AM15" s="121"/>
      <c r="AN15" s="122">
        <f t="shared" si="0"/>
        <v>8.625</v>
      </c>
      <c r="AO15" s="118">
        <v>180000</v>
      </c>
      <c r="AP15" s="123">
        <f t="shared" si="1"/>
        <v>1552500</v>
      </c>
    </row>
    <row r="16" spans="1:42" ht="24.9" customHeight="1">
      <c r="A16" s="124">
        <v>9</v>
      </c>
      <c r="B16" s="116" t="s">
        <v>360</v>
      </c>
      <c r="C16" s="117" t="s">
        <v>361</v>
      </c>
      <c r="D16" s="127" t="s">
        <v>235</v>
      </c>
      <c r="E16" s="117" t="s">
        <v>362</v>
      </c>
      <c r="F16" s="126" t="s">
        <v>239</v>
      </c>
      <c r="G16" s="119" t="s">
        <v>360</v>
      </c>
      <c r="H16" s="120" t="s">
        <v>363</v>
      </c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>
        <v>0.625</v>
      </c>
      <c r="Z16" s="121"/>
      <c r="AA16" s="121">
        <v>1</v>
      </c>
      <c r="AB16" s="121">
        <v>1</v>
      </c>
      <c r="AC16" s="121">
        <v>1</v>
      </c>
      <c r="AD16" s="121"/>
      <c r="AE16" s="121"/>
      <c r="AF16" s="121"/>
      <c r="AG16" s="121"/>
      <c r="AH16" s="121">
        <v>1</v>
      </c>
      <c r="AI16" s="121">
        <v>1</v>
      </c>
      <c r="AJ16" s="121">
        <v>1</v>
      </c>
      <c r="AK16" s="121"/>
      <c r="AL16" s="121"/>
      <c r="AM16" s="121"/>
      <c r="AN16" s="122">
        <f t="shared" ref="AN16:AN17" si="2">SUM(I16:AM16)</f>
        <v>6.625</v>
      </c>
      <c r="AO16" s="118">
        <v>230000</v>
      </c>
      <c r="AP16" s="123">
        <f t="shared" ref="AP16:AP17" si="3">AN16*AO16</f>
        <v>1523750</v>
      </c>
    </row>
    <row r="17" spans="1:42" ht="24.9" customHeight="1" thickBot="1">
      <c r="A17" s="128">
        <v>10</v>
      </c>
      <c r="B17" s="116" t="s">
        <v>364</v>
      </c>
      <c r="C17" s="117" t="s">
        <v>365</v>
      </c>
      <c r="D17" s="129" t="s">
        <v>235</v>
      </c>
      <c r="E17" s="117" t="s">
        <v>366</v>
      </c>
      <c r="F17" s="130" t="s">
        <v>236</v>
      </c>
      <c r="G17" s="119" t="s">
        <v>364</v>
      </c>
      <c r="H17" s="120" t="s">
        <v>367</v>
      </c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>
        <v>0.625</v>
      </c>
      <c r="Z17" s="121"/>
      <c r="AA17" s="121">
        <v>1</v>
      </c>
      <c r="AB17" s="121">
        <v>1</v>
      </c>
      <c r="AC17" s="121">
        <v>1</v>
      </c>
      <c r="AD17" s="121"/>
      <c r="AE17" s="121"/>
      <c r="AF17" s="121">
        <v>1</v>
      </c>
      <c r="AG17" s="121">
        <v>1</v>
      </c>
      <c r="AH17" s="121">
        <v>1</v>
      </c>
      <c r="AI17" s="121">
        <v>1</v>
      </c>
      <c r="AJ17" s="121">
        <v>1</v>
      </c>
      <c r="AK17" s="121"/>
      <c r="AL17" s="121"/>
      <c r="AM17" s="121"/>
      <c r="AN17" s="122">
        <f t="shared" si="2"/>
        <v>8.625</v>
      </c>
      <c r="AO17" s="118">
        <v>220000</v>
      </c>
      <c r="AP17" s="123">
        <f t="shared" si="3"/>
        <v>1897500</v>
      </c>
    </row>
    <row r="18" spans="1:42" ht="30" customHeight="1" thickBot="1">
      <c r="A18" s="222" t="s">
        <v>220</v>
      </c>
      <c r="B18" s="223"/>
      <c r="C18" s="223"/>
      <c r="D18" s="223"/>
      <c r="E18" s="223"/>
      <c r="F18" s="223"/>
      <c r="G18" s="223"/>
      <c r="H18" s="224"/>
      <c r="I18" s="131">
        <f>SUM(I6:I17)</f>
        <v>0</v>
      </c>
      <c r="J18" s="131">
        <f t="shared" ref="J18:AK18" si="4">SUM(J6:J17)</f>
        <v>0</v>
      </c>
      <c r="K18" s="131">
        <f t="shared" si="4"/>
        <v>0</v>
      </c>
      <c r="L18" s="131">
        <f t="shared" si="4"/>
        <v>0</v>
      </c>
      <c r="M18" s="131">
        <f t="shared" si="4"/>
        <v>0</v>
      </c>
      <c r="N18" s="131">
        <f t="shared" si="4"/>
        <v>0</v>
      </c>
      <c r="O18" s="131">
        <f t="shared" si="4"/>
        <v>0</v>
      </c>
      <c r="P18" s="131">
        <f t="shared" si="4"/>
        <v>0</v>
      </c>
      <c r="Q18" s="131">
        <f t="shared" si="4"/>
        <v>0</v>
      </c>
      <c r="R18" s="131">
        <f t="shared" si="4"/>
        <v>0</v>
      </c>
      <c r="S18" s="131">
        <f t="shared" si="4"/>
        <v>0</v>
      </c>
      <c r="T18" s="131">
        <f t="shared" si="4"/>
        <v>0</v>
      </c>
      <c r="U18" s="131">
        <f t="shared" si="4"/>
        <v>0</v>
      </c>
      <c r="V18" s="131">
        <f t="shared" si="4"/>
        <v>0</v>
      </c>
      <c r="W18" s="131">
        <f t="shared" si="4"/>
        <v>0</v>
      </c>
      <c r="X18" s="131">
        <f t="shared" si="4"/>
        <v>0</v>
      </c>
      <c r="Y18" s="131">
        <f t="shared" si="4"/>
        <v>8.5</v>
      </c>
      <c r="Z18" s="131">
        <f t="shared" si="4"/>
        <v>0</v>
      </c>
      <c r="AA18" s="131">
        <f t="shared" si="4"/>
        <v>10.5</v>
      </c>
      <c r="AB18" s="131">
        <f t="shared" si="4"/>
        <v>11</v>
      </c>
      <c r="AC18" s="131">
        <f t="shared" si="4"/>
        <v>12</v>
      </c>
      <c r="AD18" s="131">
        <f t="shared" si="4"/>
        <v>0</v>
      </c>
      <c r="AE18" s="131">
        <f t="shared" si="4"/>
        <v>0</v>
      </c>
      <c r="AF18" s="131">
        <f t="shared" si="4"/>
        <v>11</v>
      </c>
      <c r="AG18" s="131">
        <f t="shared" si="4"/>
        <v>11</v>
      </c>
      <c r="AH18" s="131">
        <f t="shared" si="4"/>
        <v>12</v>
      </c>
      <c r="AI18" s="131">
        <f t="shared" si="4"/>
        <v>12</v>
      </c>
      <c r="AJ18" s="131">
        <f t="shared" si="4"/>
        <v>12</v>
      </c>
      <c r="AK18" s="131">
        <f t="shared" si="4"/>
        <v>0</v>
      </c>
      <c r="AL18" s="132">
        <f>SUM(AL6:AL17)</f>
        <v>0</v>
      </c>
      <c r="AM18" s="133">
        <f t="shared" ref="AM18" si="5">SUM(AM6:AM15)</f>
        <v>0</v>
      </c>
      <c r="AN18" s="134">
        <f>SUM(AN6:AN17)</f>
        <v>100</v>
      </c>
      <c r="AO18" s="135">
        <f>AP18/AN18</f>
        <v>218737.5</v>
      </c>
      <c r="AP18" s="136">
        <f>SUM(AP6:AP17)</f>
        <v>21873750</v>
      </c>
    </row>
    <row r="19" spans="1:42" ht="24.9" hidden="1" customHeight="1">
      <c r="A19" s="115">
        <v>1</v>
      </c>
      <c r="B19" s="116"/>
      <c r="C19" s="117"/>
      <c r="D19" s="117"/>
      <c r="E19" s="117"/>
      <c r="F19" s="118"/>
      <c r="G19" s="119"/>
      <c r="H19" s="120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2">
        <f>SUM(I19:AM19)</f>
        <v>0</v>
      </c>
      <c r="AO19" s="118"/>
      <c r="AP19" s="123">
        <f>AN19*AO19</f>
        <v>0</v>
      </c>
    </row>
    <row r="20" spans="1:42" ht="24.9" hidden="1" customHeight="1">
      <c r="A20" s="124">
        <v>2</v>
      </c>
      <c r="B20" s="116"/>
      <c r="C20" s="117"/>
      <c r="D20" s="125"/>
      <c r="E20" s="117"/>
      <c r="F20" s="126"/>
      <c r="G20" s="119"/>
      <c r="H20" s="120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2">
        <f t="shared" ref="AN20:AN28" si="6">SUM(I20:AM20)</f>
        <v>0</v>
      </c>
      <c r="AO20" s="118"/>
      <c r="AP20" s="123">
        <f t="shared" ref="AP20:AP28" si="7">AN20*AO20</f>
        <v>0</v>
      </c>
    </row>
    <row r="21" spans="1:42" ht="24.9" hidden="1" customHeight="1">
      <c r="A21" s="124">
        <v>3</v>
      </c>
      <c r="B21" s="116"/>
      <c r="C21" s="117"/>
      <c r="D21" s="127"/>
      <c r="E21" s="117"/>
      <c r="F21" s="126"/>
      <c r="G21" s="119"/>
      <c r="H21" s="120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2">
        <f t="shared" si="6"/>
        <v>0</v>
      </c>
      <c r="AO21" s="118"/>
      <c r="AP21" s="123">
        <f t="shared" si="7"/>
        <v>0</v>
      </c>
    </row>
    <row r="22" spans="1:42" ht="24.9" hidden="1" customHeight="1">
      <c r="A22" s="124">
        <v>4</v>
      </c>
      <c r="B22" s="116"/>
      <c r="C22" s="117"/>
      <c r="D22" s="125"/>
      <c r="E22" s="117"/>
      <c r="F22" s="126"/>
      <c r="G22" s="119"/>
      <c r="H22" s="120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2">
        <f t="shared" si="6"/>
        <v>0</v>
      </c>
      <c r="AO22" s="118"/>
      <c r="AP22" s="123">
        <f t="shared" si="7"/>
        <v>0</v>
      </c>
    </row>
    <row r="23" spans="1:42" ht="24.9" hidden="1" customHeight="1">
      <c r="A23" s="124">
        <v>5</v>
      </c>
      <c r="B23" s="116"/>
      <c r="C23" s="117"/>
      <c r="D23" s="125"/>
      <c r="E23" s="117"/>
      <c r="F23" s="126"/>
      <c r="G23" s="119"/>
      <c r="H23" s="120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2">
        <f t="shared" si="6"/>
        <v>0</v>
      </c>
      <c r="AO23" s="118"/>
      <c r="AP23" s="123">
        <f t="shared" si="7"/>
        <v>0</v>
      </c>
    </row>
    <row r="24" spans="1:42" ht="24.9" hidden="1" customHeight="1">
      <c r="A24" s="124">
        <v>6</v>
      </c>
      <c r="B24" s="116"/>
      <c r="C24" s="117"/>
      <c r="D24" s="127"/>
      <c r="E24" s="117"/>
      <c r="F24" s="126"/>
      <c r="G24" s="119"/>
      <c r="H24" s="120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2">
        <f t="shared" si="6"/>
        <v>0</v>
      </c>
      <c r="AO24" s="118"/>
      <c r="AP24" s="123">
        <f t="shared" si="7"/>
        <v>0</v>
      </c>
    </row>
    <row r="25" spans="1:42" ht="24.9" hidden="1" customHeight="1">
      <c r="A25" s="124">
        <v>7</v>
      </c>
      <c r="B25" s="116"/>
      <c r="C25" s="117"/>
      <c r="D25" s="125"/>
      <c r="E25" s="117"/>
      <c r="F25" s="126"/>
      <c r="G25" s="119"/>
      <c r="H25" s="120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2">
        <f t="shared" si="6"/>
        <v>0</v>
      </c>
      <c r="AO25" s="118"/>
      <c r="AP25" s="123">
        <f t="shared" si="7"/>
        <v>0</v>
      </c>
    </row>
    <row r="26" spans="1:42" ht="24.9" hidden="1" customHeight="1">
      <c r="A26" s="124">
        <v>8</v>
      </c>
      <c r="B26" s="116"/>
      <c r="C26" s="117"/>
      <c r="D26" s="127"/>
      <c r="E26" s="117"/>
      <c r="F26" s="126"/>
      <c r="G26" s="119"/>
      <c r="H26" s="120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2">
        <f t="shared" si="6"/>
        <v>0</v>
      </c>
      <c r="AO26" s="118"/>
      <c r="AP26" s="123">
        <f t="shared" si="7"/>
        <v>0</v>
      </c>
    </row>
    <row r="27" spans="1:42" ht="24.9" hidden="1" customHeight="1">
      <c r="A27" s="124">
        <v>9</v>
      </c>
      <c r="B27" s="116"/>
      <c r="C27" s="117"/>
      <c r="D27" s="127"/>
      <c r="E27" s="117"/>
      <c r="F27" s="126"/>
      <c r="G27" s="119"/>
      <c r="H27" s="120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2">
        <f t="shared" si="6"/>
        <v>0</v>
      </c>
      <c r="AO27" s="118"/>
      <c r="AP27" s="123">
        <f t="shared" si="7"/>
        <v>0</v>
      </c>
    </row>
    <row r="28" spans="1:42" ht="24.9" hidden="1" customHeight="1" thickBot="1">
      <c r="A28" s="128">
        <v>10</v>
      </c>
      <c r="B28" s="116"/>
      <c r="C28" s="117"/>
      <c r="D28" s="129"/>
      <c r="E28" s="117"/>
      <c r="F28" s="130"/>
      <c r="G28" s="119"/>
      <c r="H28" s="120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2">
        <f t="shared" si="6"/>
        <v>0</v>
      </c>
      <c r="AO28" s="118"/>
      <c r="AP28" s="123">
        <f t="shared" si="7"/>
        <v>0</v>
      </c>
    </row>
    <row r="29" spans="1:42" ht="30" hidden="1" customHeight="1" thickBot="1">
      <c r="A29" s="222" t="s">
        <v>241</v>
      </c>
      <c r="B29" s="223"/>
      <c r="C29" s="223"/>
      <c r="D29" s="223"/>
      <c r="E29" s="223"/>
      <c r="F29" s="223"/>
      <c r="G29" s="223"/>
      <c r="H29" s="224"/>
      <c r="I29" s="131">
        <f t="shared" ref="I29:AN29" si="8">SUM(I19:I28)</f>
        <v>0</v>
      </c>
      <c r="J29" s="132">
        <f t="shared" si="8"/>
        <v>0</v>
      </c>
      <c r="K29" s="132">
        <f t="shared" si="8"/>
        <v>0</v>
      </c>
      <c r="L29" s="132">
        <f t="shared" si="8"/>
        <v>0</v>
      </c>
      <c r="M29" s="132">
        <f t="shared" si="8"/>
        <v>0</v>
      </c>
      <c r="N29" s="132">
        <f t="shared" si="8"/>
        <v>0</v>
      </c>
      <c r="O29" s="132">
        <f t="shared" si="8"/>
        <v>0</v>
      </c>
      <c r="P29" s="132">
        <f t="shared" si="8"/>
        <v>0</v>
      </c>
      <c r="Q29" s="132">
        <f t="shared" si="8"/>
        <v>0</v>
      </c>
      <c r="R29" s="132">
        <f t="shared" si="8"/>
        <v>0</v>
      </c>
      <c r="S29" s="132">
        <f t="shared" si="8"/>
        <v>0</v>
      </c>
      <c r="T29" s="132">
        <f t="shared" si="8"/>
        <v>0</v>
      </c>
      <c r="U29" s="132">
        <f t="shared" si="8"/>
        <v>0</v>
      </c>
      <c r="V29" s="132">
        <f t="shared" si="8"/>
        <v>0</v>
      </c>
      <c r="W29" s="132">
        <f t="shared" si="8"/>
        <v>0</v>
      </c>
      <c r="X29" s="132">
        <f t="shared" si="8"/>
        <v>0</v>
      </c>
      <c r="Y29" s="132">
        <f t="shared" si="8"/>
        <v>0</v>
      </c>
      <c r="Z29" s="132">
        <f t="shared" si="8"/>
        <v>0</v>
      </c>
      <c r="AA29" s="132">
        <f t="shared" si="8"/>
        <v>0</v>
      </c>
      <c r="AB29" s="132">
        <f t="shared" si="8"/>
        <v>0</v>
      </c>
      <c r="AC29" s="132">
        <f t="shared" si="8"/>
        <v>0</v>
      </c>
      <c r="AD29" s="132">
        <f t="shared" si="8"/>
        <v>0</v>
      </c>
      <c r="AE29" s="132">
        <f t="shared" si="8"/>
        <v>0</v>
      </c>
      <c r="AF29" s="132">
        <f t="shared" si="8"/>
        <v>0</v>
      </c>
      <c r="AG29" s="132">
        <f t="shared" si="8"/>
        <v>0</v>
      </c>
      <c r="AH29" s="132">
        <f t="shared" si="8"/>
        <v>0</v>
      </c>
      <c r="AI29" s="132">
        <f t="shared" si="8"/>
        <v>0</v>
      </c>
      <c r="AJ29" s="132">
        <f t="shared" si="8"/>
        <v>0</v>
      </c>
      <c r="AK29" s="132">
        <f t="shared" si="8"/>
        <v>0</v>
      </c>
      <c r="AL29" s="132">
        <f t="shared" si="8"/>
        <v>0</v>
      </c>
      <c r="AM29" s="133">
        <f t="shared" si="8"/>
        <v>0</v>
      </c>
      <c r="AN29" s="134">
        <f t="shared" si="8"/>
        <v>0</v>
      </c>
      <c r="AO29" s="135" t="e">
        <f>AP29/AN29</f>
        <v>#DIV/0!</v>
      </c>
      <c r="AP29" s="136">
        <f>SUM(AP19:AP28)</f>
        <v>0</v>
      </c>
    </row>
    <row r="30" spans="1:42" ht="35.1" customHeight="1" thickBot="1">
      <c r="A30" s="225" t="s">
        <v>242</v>
      </c>
      <c r="B30" s="226"/>
      <c r="C30" s="226"/>
      <c r="D30" s="226"/>
      <c r="E30" s="226"/>
      <c r="F30" s="226"/>
      <c r="G30" s="226"/>
      <c r="H30" s="227"/>
      <c r="I30" s="137">
        <f>I18+I29</f>
        <v>0</v>
      </c>
      <c r="J30" s="138">
        <f>J18+J29</f>
        <v>0</v>
      </c>
      <c r="K30" s="138">
        <f t="shared" ref="K30:AM30" si="9">K18+K29</f>
        <v>0</v>
      </c>
      <c r="L30" s="138">
        <f t="shared" si="9"/>
        <v>0</v>
      </c>
      <c r="M30" s="138">
        <f t="shared" si="9"/>
        <v>0</v>
      </c>
      <c r="N30" s="138">
        <f t="shared" si="9"/>
        <v>0</v>
      </c>
      <c r="O30" s="138">
        <f t="shared" si="9"/>
        <v>0</v>
      </c>
      <c r="P30" s="138">
        <f t="shared" si="9"/>
        <v>0</v>
      </c>
      <c r="Q30" s="138">
        <f t="shared" si="9"/>
        <v>0</v>
      </c>
      <c r="R30" s="138">
        <f t="shared" si="9"/>
        <v>0</v>
      </c>
      <c r="S30" s="138">
        <f t="shared" si="9"/>
        <v>0</v>
      </c>
      <c r="T30" s="138">
        <f t="shared" si="9"/>
        <v>0</v>
      </c>
      <c r="U30" s="138">
        <f t="shared" si="9"/>
        <v>0</v>
      </c>
      <c r="V30" s="138">
        <f t="shared" si="9"/>
        <v>0</v>
      </c>
      <c r="W30" s="138">
        <f t="shared" si="9"/>
        <v>0</v>
      </c>
      <c r="X30" s="138">
        <f t="shared" si="9"/>
        <v>0</v>
      </c>
      <c r="Y30" s="138">
        <f t="shared" si="9"/>
        <v>8.5</v>
      </c>
      <c r="Z30" s="138">
        <f t="shared" si="9"/>
        <v>0</v>
      </c>
      <c r="AA30" s="138">
        <f t="shared" si="9"/>
        <v>10.5</v>
      </c>
      <c r="AB30" s="138">
        <f t="shared" si="9"/>
        <v>11</v>
      </c>
      <c r="AC30" s="138">
        <f t="shared" si="9"/>
        <v>12</v>
      </c>
      <c r="AD30" s="138">
        <f t="shared" si="9"/>
        <v>0</v>
      </c>
      <c r="AE30" s="138">
        <f t="shared" si="9"/>
        <v>0</v>
      </c>
      <c r="AF30" s="138">
        <f t="shared" si="9"/>
        <v>11</v>
      </c>
      <c r="AG30" s="138">
        <f t="shared" si="9"/>
        <v>11</v>
      </c>
      <c r="AH30" s="138">
        <f t="shared" si="9"/>
        <v>12</v>
      </c>
      <c r="AI30" s="138">
        <f t="shared" si="9"/>
        <v>12</v>
      </c>
      <c r="AJ30" s="138">
        <f t="shared" si="9"/>
        <v>12</v>
      </c>
      <c r="AK30" s="138">
        <f t="shared" si="9"/>
        <v>0</v>
      </c>
      <c r="AL30" s="138">
        <f t="shared" si="9"/>
        <v>0</v>
      </c>
      <c r="AM30" s="138">
        <f t="shared" si="9"/>
        <v>0</v>
      </c>
      <c r="AN30" s="139">
        <f>AN18+AN29</f>
        <v>100</v>
      </c>
      <c r="AO30" s="140">
        <f>AP30/AN30</f>
        <v>218737.5</v>
      </c>
      <c r="AP30" s="141">
        <f>AP18+AP29</f>
        <v>21873750</v>
      </c>
    </row>
    <row r="31" spans="1:42">
      <c r="G31" s="100"/>
      <c r="H31" s="100"/>
      <c r="AG31" s="142"/>
      <c r="AI31" s="143"/>
      <c r="AO31" s="100"/>
    </row>
    <row r="32" spans="1:42">
      <c r="G32" s="100"/>
      <c r="H32" s="100"/>
      <c r="AG32" s="142"/>
      <c r="AI32" s="143"/>
      <c r="AO32" s="158"/>
    </row>
    <row r="33" spans="3:41">
      <c r="G33" s="100"/>
      <c r="H33" s="100"/>
      <c r="AG33" s="142"/>
      <c r="AI33" s="143"/>
      <c r="AO33" s="100"/>
    </row>
    <row r="34" spans="3:41">
      <c r="G34" s="100"/>
      <c r="H34" s="100"/>
      <c r="AG34" s="142"/>
      <c r="AI34" s="143"/>
      <c r="AO34" s="100"/>
    </row>
    <row r="35" spans="3:41">
      <c r="G35" s="100"/>
      <c r="H35" s="100"/>
      <c r="AI35" s="142"/>
      <c r="AM35" s="143"/>
      <c r="AO35" s="100"/>
    </row>
    <row r="36" spans="3:41">
      <c r="G36" s="100"/>
      <c r="H36" s="100"/>
      <c r="AI36" s="142"/>
      <c r="AJ36" s="142"/>
      <c r="AM36" s="143"/>
      <c r="AO36" s="100"/>
    </row>
    <row r="37" spans="3:41">
      <c r="G37" s="100"/>
      <c r="H37" s="100"/>
      <c r="AJ37" s="142"/>
      <c r="AK37" s="142"/>
      <c r="AL37" s="142"/>
      <c r="AO37" s="100"/>
    </row>
    <row r="38" spans="3:41">
      <c r="G38" s="100"/>
      <c r="H38" s="100"/>
      <c r="AJ38" s="142"/>
      <c r="AK38" s="142"/>
      <c r="AL38" s="142"/>
      <c r="AO38" s="100"/>
    </row>
    <row r="39" spans="3:41">
      <c r="G39" s="100"/>
      <c r="H39" s="100"/>
      <c r="AJ39" s="142"/>
      <c r="AK39" s="142"/>
      <c r="AL39" s="142"/>
      <c r="AO39" s="100"/>
    </row>
    <row r="40" spans="3:41">
      <c r="G40" s="100"/>
      <c r="H40" s="100"/>
      <c r="AK40" s="142"/>
      <c r="AL40" s="142"/>
      <c r="AO40" s="100"/>
    </row>
    <row r="41" spans="3:41">
      <c r="C41" s="101"/>
      <c r="D41" s="101"/>
      <c r="E41" s="101"/>
      <c r="G41" s="100"/>
      <c r="H41" s="100"/>
      <c r="AN41" s="143"/>
      <c r="AO41" s="100"/>
    </row>
    <row r="42" spans="3:41">
      <c r="C42" s="101"/>
      <c r="D42" s="101"/>
      <c r="E42" s="101"/>
      <c r="G42" s="100"/>
      <c r="H42" s="100"/>
      <c r="AN42" s="143"/>
      <c r="AO42" s="100"/>
    </row>
    <row r="43" spans="3:41">
      <c r="C43" s="101"/>
      <c r="D43" s="101"/>
      <c r="E43" s="101"/>
      <c r="G43" s="100"/>
      <c r="H43" s="100"/>
      <c r="AN43" s="143"/>
      <c r="AO43" s="100"/>
    </row>
    <row r="44" spans="3:41">
      <c r="C44" s="101"/>
      <c r="D44" s="101"/>
      <c r="E44" s="101"/>
      <c r="G44" s="100"/>
      <c r="H44" s="100"/>
      <c r="AN44" s="143"/>
      <c r="AO44" s="100"/>
    </row>
    <row r="45" spans="3:41">
      <c r="C45" s="101"/>
      <c r="D45" s="101"/>
      <c r="E45" s="101"/>
      <c r="G45" s="100"/>
      <c r="H45" s="100"/>
      <c r="AN45" s="143"/>
      <c r="AO45" s="100"/>
    </row>
    <row r="46" spans="3:41">
      <c r="E46" s="101"/>
      <c r="F46" s="101"/>
      <c r="G46" s="100"/>
      <c r="H46" s="100"/>
      <c r="AO46" s="143"/>
    </row>
    <row r="47" spans="3:41">
      <c r="E47" s="101"/>
      <c r="F47" s="101"/>
      <c r="G47" s="100"/>
      <c r="H47" s="100"/>
      <c r="AO47" s="143"/>
    </row>
    <row r="48" spans="3:41">
      <c r="E48" s="101"/>
      <c r="F48" s="101"/>
      <c r="G48" s="100"/>
      <c r="H48" s="100"/>
      <c r="AO48" s="143"/>
    </row>
    <row r="49" spans="5:41">
      <c r="E49" s="101"/>
      <c r="F49" s="101"/>
      <c r="G49" s="100"/>
      <c r="H49" s="100"/>
      <c r="AO49" s="143"/>
    </row>
    <row r="50" spans="5:41">
      <c r="E50" s="101"/>
      <c r="F50" s="101"/>
      <c r="G50" s="100"/>
      <c r="H50" s="100"/>
      <c r="AO50" s="143"/>
    </row>
    <row r="51" spans="5:41">
      <c r="E51" s="101"/>
      <c r="F51" s="101"/>
      <c r="G51" s="100"/>
      <c r="H51" s="100"/>
      <c r="AO51" s="143"/>
    </row>
    <row r="52" spans="5:41">
      <c r="E52" s="101"/>
      <c r="F52" s="101"/>
      <c r="G52" s="100"/>
      <c r="H52" s="100"/>
      <c r="AO52" s="143"/>
    </row>
    <row r="53" spans="5:41">
      <c r="E53" s="101"/>
      <c r="F53" s="101"/>
      <c r="G53" s="100"/>
      <c r="H53" s="100"/>
      <c r="AO53" s="143"/>
    </row>
    <row r="54" spans="5:41">
      <c r="E54" s="101"/>
      <c r="F54" s="101"/>
      <c r="G54" s="100"/>
      <c r="H54" s="100"/>
      <c r="AO54" s="143"/>
    </row>
    <row r="55" spans="5:41">
      <c r="E55" s="101"/>
      <c r="F55" s="101"/>
      <c r="G55" s="100"/>
      <c r="H55" s="100"/>
      <c r="AO55" s="143"/>
    </row>
    <row r="56" spans="5:41">
      <c r="E56" s="101"/>
      <c r="F56" s="101"/>
      <c r="G56" s="100"/>
      <c r="H56" s="100"/>
      <c r="AO56" s="143"/>
    </row>
    <row r="57" spans="5:41">
      <c r="E57" s="101"/>
      <c r="F57" s="101"/>
      <c r="G57" s="100"/>
      <c r="H57" s="100"/>
      <c r="AO57" s="143"/>
    </row>
    <row r="58" spans="5:41">
      <c r="E58" s="101"/>
      <c r="F58" s="101"/>
      <c r="G58" s="100"/>
      <c r="H58" s="100"/>
      <c r="AO58" s="143"/>
    </row>
    <row r="59" spans="5:41">
      <c r="E59" s="101"/>
      <c r="F59" s="101"/>
      <c r="G59" s="100"/>
      <c r="H59" s="100"/>
      <c r="AO59" s="143"/>
    </row>
    <row r="60" spans="5:41">
      <c r="E60" s="101"/>
      <c r="F60" s="101"/>
      <c r="G60" s="100"/>
      <c r="H60" s="100"/>
      <c r="AO60" s="143"/>
    </row>
    <row r="61" spans="5:41">
      <c r="E61" s="101"/>
      <c r="F61" s="101"/>
      <c r="G61" s="100"/>
      <c r="H61" s="100"/>
      <c r="AO61" s="143"/>
    </row>
    <row r="62" spans="5:41">
      <c r="E62" s="101"/>
      <c r="F62" s="101"/>
      <c r="G62" s="100"/>
      <c r="H62" s="100"/>
      <c r="AO62" s="143"/>
    </row>
    <row r="63" spans="5:41">
      <c r="E63" s="101"/>
      <c r="F63" s="101"/>
      <c r="G63" s="100"/>
      <c r="H63" s="100"/>
      <c r="AO63" s="143"/>
    </row>
    <row r="64" spans="5:41">
      <c r="E64" s="101"/>
      <c r="F64" s="101"/>
      <c r="G64" s="100"/>
      <c r="H64" s="100"/>
      <c r="AO64" s="143"/>
    </row>
    <row r="65" spans="5:42">
      <c r="E65" s="101"/>
      <c r="F65" s="101"/>
      <c r="G65" s="100"/>
      <c r="H65" s="100"/>
      <c r="AO65" s="143"/>
    </row>
    <row r="66" spans="5:42">
      <c r="E66" s="101"/>
      <c r="F66" s="101"/>
      <c r="G66" s="100"/>
      <c r="H66" s="100"/>
      <c r="AO66" s="143"/>
    </row>
    <row r="67" spans="5:42">
      <c r="E67" s="101"/>
      <c r="F67" s="101"/>
      <c r="G67" s="100"/>
      <c r="H67" s="100"/>
      <c r="AO67" s="143"/>
    </row>
    <row r="68" spans="5:42">
      <c r="E68" s="101"/>
      <c r="F68" s="101"/>
      <c r="G68" s="100"/>
      <c r="H68" s="100"/>
      <c r="AO68" s="143"/>
    </row>
    <row r="69" spans="5:42">
      <c r="E69" s="101"/>
      <c r="F69" s="101"/>
      <c r="G69" s="100"/>
      <c r="H69" s="100"/>
      <c r="AO69" s="143"/>
    </row>
    <row r="70" spans="5:42">
      <c r="F70" s="101"/>
      <c r="H70" s="100"/>
      <c r="AN70" s="142"/>
      <c r="AO70" s="100"/>
      <c r="AP70" s="145"/>
    </row>
    <row r="71" spans="5:42">
      <c r="F71" s="101"/>
      <c r="H71" s="100"/>
      <c r="AN71" s="142"/>
      <c r="AO71" s="100"/>
      <c r="AP71" s="145"/>
    </row>
    <row r="72" spans="5:42">
      <c r="F72" s="101"/>
      <c r="H72" s="100"/>
      <c r="AN72" s="142"/>
      <c r="AO72" s="100"/>
      <c r="AP72" s="145"/>
    </row>
    <row r="73" spans="5:42">
      <c r="F73" s="101"/>
      <c r="H73" s="100"/>
      <c r="AN73" s="142"/>
      <c r="AO73" s="100"/>
      <c r="AP73" s="145"/>
    </row>
    <row r="74" spans="5:42">
      <c r="F74" s="101"/>
      <c r="H74" s="100"/>
      <c r="AN74" s="142"/>
      <c r="AO74" s="100"/>
      <c r="AP74" s="145"/>
    </row>
    <row r="75" spans="5:42">
      <c r="F75" s="101"/>
      <c r="H75" s="100"/>
      <c r="AN75" s="142"/>
      <c r="AO75" s="100"/>
      <c r="AP75" s="145"/>
    </row>
    <row r="76" spans="5:42">
      <c r="F76" s="101"/>
      <c r="H76" s="100"/>
      <c r="AN76" s="142"/>
      <c r="AO76" s="100"/>
      <c r="AP76" s="145"/>
    </row>
    <row r="77" spans="5:42">
      <c r="F77" s="101"/>
      <c r="H77" s="100"/>
      <c r="AN77" s="142"/>
      <c r="AO77" s="100"/>
      <c r="AP77" s="145"/>
    </row>
    <row r="78" spans="5:42">
      <c r="F78" s="101"/>
      <c r="H78" s="100"/>
      <c r="AN78" s="142"/>
      <c r="AO78" s="100"/>
      <c r="AP78" s="145"/>
    </row>
    <row r="79" spans="5:42">
      <c r="F79" s="101"/>
      <c r="H79" s="100"/>
      <c r="AN79" s="142"/>
      <c r="AO79" s="100"/>
      <c r="AP79" s="145"/>
    </row>
    <row r="80" spans="5:42">
      <c r="F80" s="101"/>
      <c r="H80" s="100"/>
      <c r="AN80" s="142"/>
      <c r="AO80" s="100"/>
      <c r="AP80" s="145"/>
    </row>
    <row r="81" spans="6:42">
      <c r="F81" s="101"/>
      <c r="H81" s="100"/>
      <c r="AN81" s="142"/>
      <c r="AO81" s="100"/>
      <c r="AP81" s="145"/>
    </row>
    <row r="82" spans="6:42">
      <c r="F82" s="101"/>
      <c r="H82" s="100"/>
      <c r="AN82" s="142"/>
      <c r="AO82" s="100"/>
      <c r="AP82" s="145"/>
    </row>
    <row r="83" spans="6:42">
      <c r="F83" s="101"/>
      <c r="H83" s="100"/>
      <c r="AN83" s="142"/>
      <c r="AO83" s="100"/>
      <c r="AP83" s="145"/>
    </row>
    <row r="84" spans="6:42">
      <c r="F84" s="101"/>
      <c r="H84" s="100"/>
      <c r="AN84" s="142"/>
      <c r="AO84" s="100"/>
      <c r="AP84" s="145"/>
    </row>
    <row r="85" spans="6:42">
      <c r="F85" s="101"/>
      <c r="H85" s="100"/>
      <c r="AN85" s="142"/>
      <c r="AO85" s="100"/>
      <c r="AP85" s="145"/>
    </row>
    <row r="86" spans="6:42">
      <c r="F86" s="101"/>
      <c r="H86" s="100"/>
      <c r="AN86" s="142"/>
      <c r="AO86" s="100"/>
      <c r="AP86" s="145"/>
    </row>
    <row r="87" spans="6:42">
      <c r="F87" s="101"/>
      <c r="H87" s="100"/>
      <c r="AN87" s="142"/>
      <c r="AO87" s="100"/>
      <c r="AP87" s="145"/>
    </row>
    <row r="88" spans="6:42">
      <c r="F88" s="101"/>
      <c r="H88" s="100"/>
      <c r="AN88" s="142"/>
      <c r="AO88" s="100"/>
      <c r="AP88" s="145"/>
    </row>
    <row r="89" spans="6:42">
      <c r="F89" s="101"/>
      <c r="H89" s="100"/>
      <c r="AN89" s="142"/>
      <c r="AO89" s="100"/>
      <c r="AP89" s="145"/>
    </row>
    <row r="90" spans="6:42">
      <c r="F90" s="101"/>
      <c r="H90" s="100"/>
      <c r="AN90" s="142"/>
      <c r="AO90" s="100"/>
      <c r="AP90" s="145"/>
    </row>
    <row r="91" spans="6:42">
      <c r="F91" s="101"/>
      <c r="H91" s="100"/>
      <c r="AN91" s="142"/>
      <c r="AO91" s="100"/>
      <c r="AP91" s="145"/>
    </row>
    <row r="92" spans="6:42">
      <c r="F92" s="101"/>
      <c r="H92" s="100"/>
      <c r="AN92" s="142"/>
      <c r="AO92" s="100"/>
      <c r="AP92" s="145"/>
    </row>
    <row r="93" spans="6:42">
      <c r="F93" s="101"/>
      <c r="H93" s="100"/>
      <c r="AN93" s="142"/>
      <c r="AO93" s="100"/>
      <c r="AP93" s="145"/>
    </row>
    <row r="94" spans="6:42">
      <c r="F94" s="101"/>
      <c r="H94" s="100"/>
      <c r="AN94" s="142"/>
      <c r="AO94" s="100"/>
      <c r="AP94" s="145"/>
    </row>
    <row r="95" spans="6:42">
      <c r="F95" s="101"/>
      <c r="H95" s="100"/>
      <c r="AN95" s="142"/>
      <c r="AO95" s="100"/>
      <c r="AP95" s="145"/>
    </row>
    <row r="96" spans="6:42">
      <c r="F96" s="101"/>
      <c r="H96" s="100"/>
      <c r="AN96" s="142"/>
      <c r="AO96" s="100"/>
      <c r="AP96" s="145"/>
    </row>
    <row r="97" spans="6:42">
      <c r="F97" s="101"/>
      <c r="H97" s="100"/>
      <c r="AN97" s="142"/>
      <c r="AO97" s="100"/>
      <c r="AP97" s="145"/>
    </row>
    <row r="98" spans="6:42">
      <c r="F98" s="101"/>
      <c r="H98" s="100"/>
      <c r="AN98" s="142"/>
      <c r="AO98" s="100"/>
      <c r="AP98" s="145"/>
    </row>
    <row r="99" spans="6:42">
      <c r="F99" s="101"/>
      <c r="H99" s="100"/>
      <c r="AN99" s="142"/>
      <c r="AO99" s="100"/>
      <c r="AP99" s="145"/>
    </row>
    <row r="100" spans="6:42">
      <c r="F100" s="101"/>
      <c r="H100" s="100"/>
      <c r="AN100" s="142"/>
      <c r="AO100" s="100"/>
      <c r="AP100" s="145"/>
    </row>
    <row r="101" spans="6:42">
      <c r="F101" s="101"/>
      <c r="H101" s="100"/>
      <c r="AN101" s="142"/>
      <c r="AO101" s="100"/>
      <c r="AP101" s="145"/>
    </row>
    <row r="102" spans="6:42">
      <c r="F102" s="101"/>
      <c r="H102" s="100"/>
      <c r="AN102" s="142"/>
      <c r="AO102" s="100"/>
      <c r="AP102" s="145"/>
    </row>
    <row r="103" spans="6:42">
      <c r="F103" s="101"/>
      <c r="H103" s="100"/>
      <c r="AN103" s="142"/>
      <c r="AO103" s="100"/>
      <c r="AP103" s="145"/>
    </row>
    <row r="104" spans="6:42">
      <c r="F104" s="101"/>
      <c r="H104" s="100"/>
      <c r="AN104" s="142"/>
      <c r="AO104" s="100"/>
      <c r="AP104" s="145"/>
    </row>
    <row r="105" spans="6:42">
      <c r="F105" s="101"/>
      <c r="H105" s="100"/>
      <c r="AN105" s="142"/>
      <c r="AO105" s="100"/>
      <c r="AP105" s="145"/>
    </row>
    <row r="106" spans="6:42">
      <c r="F106" s="101"/>
      <c r="H106" s="100"/>
      <c r="AN106" s="142"/>
      <c r="AO106" s="100"/>
      <c r="AP106" s="145"/>
    </row>
    <row r="107" spans="6:42">
      <c r="F107" s="101"/>
      <c r="H107" s="100"/>
      <c r="AN107" s="142"/>
      <c r="AO107" s="100"/>
      <c r="AP107" s="145"/>
    </row>
    <row r="108" spans="6:42">
      <c r="F108" s="101"/>
      <c r="H108" s="100"/>
      <c r="AN108" s="142"/>
      <c r="AO108" s="100"/>
      <c r="AP108" s="145"/>
    </row>
    <row r="109" spans="6:42">
      <c r="F109" s="101"/>
      <c r="H109" s="100"/>
      <c r="AN109" s="142"/>
      <c r="AO109" s="100"/>
      <c r="AP109" s="145"/>
    </row>
    <row r="110" spans="6:42">
      <c r="F110" s="101"/>
      <c r="H110" s="100"/>
      <c r="AN110" s="142"/>
      <c r="AO110" s="100"/>
      <c r="AP110" s="145"/>
    </row>
    <row r="111" spans="6:42">
      <c r="F111" s="101"/>
      <c r="H111" s="100"/>
      <c r="AN111" s="142"/>
      <c r="AO111" s="100"/>
      <c r="AP111" s="145"/>
    </row>
  </sheetData>
  <mergeCells count="10">
    <mergeCell ref="A18:H18"/>
    <mergeCell ref="A29:H29"/>
    <mergeCell ref="A30:H30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19:B28">
    <cfRule type="duplicateValues" dxfId="55" priority="1"/>
  </conditionalFormatting>
  <conditionalFormatting sqref="B31:B1048576 B1:B17">
    <cfRule type="duplicateValues" dxfId="54" priority="17"/>
  </conditionalFormatting>
  <conditionalFormatting sqref="B6:C17">
    <cfRule type="duplicateValues" dxfId="53" priority="53"/>
  </conditionalFormatting>
  <conditionalFormatting sqref="B19:C28">
    <cfRule type="duplicateValues" dxfId="52" priority="13"/>
  </conditionalFormatting>
  <conditionalFormatting sqref="B31:C1048576 B1:C5">
    <cfRule type="duplicateValues" dxfId="51" priority="41"/>
  </conditionalFormatting>
  <conditionalFormatting sqref="C5">
    <cfRule type="duplicateValues" dxfId="50" priority="34"/>
    <cfRule type="duplicateValues" dxfId="49" priority="35"/>
    <cfRule type="duplicateValues" dxfId="48" priority="36"/>
  </conditionalFormatting>
  <conditionalFormatting sqref="C6:C17 E6:E17">
    <cfRule type="duplicateValues" dxfId="47" priority="43"/>
  </conditionalFormatting>
  <conditionalFormatting sqref="C6:C17">
    <cfRule type="duplicateValues" dxfId="46" priority="42"/>
    <cfRule type="duplicateValues" dxfId="45" priority="46"/>
    <cfRule type="duplicateValues" dxfId="44" priority="47"/>
  </conditionalFormatting>
  <conditionalFormatting sqref="C19:C28 E19:E28">
    <cfRule type="duplicateValues" dxfId="43" priority="3"/>
  </conditionalFormatting>
  <conditionalFormatting sqref="C19:C28">
    <cfRule type="duplicateValues" dxfId="42" priority="2"/>
    <cfRule type="duplicateValues" dxfId="41" priority="6"/>
    <cfRule type="duplicateValues" dxfId="40" priority="7"/>
  </conditionalFormatting>
  <conditionalFormatting sqref="C31:C1048576 C1:C5">
    <cfRule type="duplicateValues" dxfId="39" priority="18"/>
  </conditionalFormatting>
  <conditionalFormatting sqref="C31:C1048576 C4">
    <cfRule type="duplicateValues" dxfId="38" priority="33"/>
  </conditionalFormatting>
  <conditionalFormatting sqref="C31:C1048576 C4:C5">
    <cfRule type="duplicateValues" dxfId="37" priority="23"/>
    <cfRule type="duplicateValues" dxfId="36" priority="26"/>
    <cfRule type="duplicateValues" dxfId="35" priority="31"/>
  </conditionalFormatting>
  <conditionalFormatting sqref="C31:C1048576">
    <cfRule type="duplicateValues" dxfId="34" priority="27"/>
  </conditionalFormatting>
  <conditionalFormatting sqref="E5">
    <cfRule type="duplicateValues" dxfId="33" priority="37"/>
    <cfRule type="duplicateValues" dxfId="32" priority="38"/>
  </conditionalFormatting>
  <conditionalFormatting sqref="E6:E17">
    <cfRule type="duplicateValues" dxfId="31" priority="44"/>
    <cfRule type="duplicateValues" dxfId="30" priority="48"/>
    <cfRule type="duplicateValues" dxfId="29" priority="49"/>
  </conditionalFormatting>
  <conditionalFormatting sqref="E19:E28">
    <cfRule type="duplicateValues" dxfId="28" priority="4"/>
    <cfRule type="duplicateValues" dxfId="27" priority="8"/>
    <cfRule type="duplicateValues" dxfId="26" priority="9"/>
  </conditionalFormatting>
  <conditionalFormatting sqref="E31:E1048576 C4:C5 E4:E5 C31:C1048576">
    <cfRule type="duplicateValues" dxfId="25" priority="28"/>
  </conditionalFormatting>
  <conditionalFormatting sqref="E31:E1048576 E1:E5">
    <cfRule type="duplicateValues" dxfId="24" priority="20"/>
  </conditionalFormatting>
  <conditionalFormatting sqref="E31:E1048576 E4:E5">
    <cfRule type="duplicateValues" dxfId="23" priority="22"/>
    <cfRule type="duplicateValues" dxfId="22" priority="25"/>
    <cfRule type="duplicateValues" dxfId="21" priority="30"/>
  </conditionalFormatting>
  <conditionalFormatting sqref="G6:H17">
    <cfRule type="duplicateValues" dxfId="20" priority="52"/>
  </conditionalFormatting>
  <conditionalFormatting sqref="G19:H28">
    <cfRule type="duplicateValues" dxfId="19" priority="12"/>
  </conditionalFormatting>
  <conditionalFormatting sqref="G31:H1048576 G1:H5">
    <cfRule type="duplicateValues" dxfId="18" priority="19"/>
  </conditionalFormatting>
  <conditionalFormatting sqref="H5">
    <cfRule type="duplicateValues" dxfId="17" priority="39"/>
    <cfRule type="duplicateValues" dxfId="16" priority="40"/>
  </conditionalFormatting>
  <conditionalFormatting sqref="H6:H17">
    <cfRule type="duplicateValues" dxfId="15" priority="45"/>
    <cfRule type="duplicateValues" dxfId="14" priority="50"/>
    <cfRule type="duplicateValues" dxfId="13" priority="51"/>
    <cfRule type="duplicateValues" dxfId="12" priority="54"/>
    <cfRule type="duplicateValues" dxfId="11" priority="55"/>
    <cfRule type="duplicateValues" dxfId="10" priority="56"/>
  </conditionalFormatting>
  <conditionalFormatting sqref="H19:H28">
    <cfRule type="duplicateValues" dxfId="9" priority="5"/>
    <cfRule type="duplicateValues" dxfId="8" priority="10"/>
    <cfRule type="duplicateValues" dxfId="7" priority="11"/>
    <cfRule type="duplicateValues" dxfId="6" priority="14"/>
    <cfRule type="duplicateValues" dxfId="5" priority="15"/>
    <cfRule type="duplicateValues" dxfId="4" priority="16"/>
  </conditionalFormatting>
  <conditionalFormatting sqref="H31:H1048576 H4">
    <cfRule type="duplicateValues" dxfId="3" priority="32"/>
  </conditionalFormatting>
  <conditionalFormatting sqref="H31:H1048576 H4:H5">
    <cfRule type="duplicateValues" dxfId="2" priority="21"/>
    <cfRule type="duplicateValues" dxfId="1" priority="24"/>
    <cfRule type="duplicateValues" dxfId="0" priority="29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Normal="100" zoomScaleSheetLayoutView="100" workbookViewId="0">
      <selection activeCell="E21" sqref="E21:E22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37" t="s">
        <v>243</v>
      </c>
      <c r="B1" s="238"/>
      <c r="C1" s="238"/>
      <c r="D1" s="238"/>
      <c r="E1" s="238"/>
      <c r="F1" s="238"/>
      <c r="G1" s="238"/>
      <c r="H1" s="238"/>
      <c r="I1" s="238"/>
      <c r="J1" s="239"/>
    </row>
    <row r="2" spans="1:12" ht="20.100000000000001" customHeight="1">
      <c r="A2" s="240" t="s">
        <v>244</v>
      </c>
      <c r="B2" s="240" t="s">
        <v>245</v>
      </c>
      <c r="C2" s="240" t="s">
        <v>246</v>
      </c>
      <c r="D2" s="240" t="s">
        <v>247</v>
      </c>
      <c r="E2" s="240" t="s">
        <v>248</v>
      </c>
      <c r="F2" s="240" t="s">
        <v>249</v>
      </c>
      <c r="G2" s="240" t="s">
        <v>250</v>
      </c>
      <c r="H2" s="240" t="s">
        <v>251</v>
      </c>
      <c r="I2" s="146" t="s">
        <v>252</v>
      </c>
      <c r="J2" s="240" t="s">
        <v>253</v>
      </c>
    </row>
    <row r="3" spans="1:12" ht="20.100000000000001" customHeight="1">
      <c r="A3" s="240"/>
      <c r="B3" s="240"/>
      <c r="C3" s="240"/>
      <c r="D3" s="240"/>
      <c r="E3" s="240"/>
      <c r="F3" s="240"/>
      <c r="G3" s="240"/>
      <c r="H3" s="240"/>
      <c r="I3" s="147">
        <f>SUM(I4:I6)</f>
        <v>2650000</v>
      </c>
      <c r="J3" s="240"/>
      <c r="L3" s="148" t="s">
        <v>254</v>
      </c>
    </row>
    <row r="4" spans="1:12" ht="20.100000000000001" customHeight="1">
      <c r="A4" s="149">
        <v>1</v>
      </c>
      <c r="B4" s="159">
        <v>45980</v>
      </c>
      <c r="C4" s="149" t="s">
        <v>255</v>
      </c>
      <c r="D4" s="149" t="s">
        <v>368</v>
      </c>
      <c r="E4" s="160" t="s">
        <v>375</v>
      </c>
      <c r="F4" s="149" t="s">
        <v>370</v>
      </c>
      <c r="G4" s="149">
        <v>1</v>
      </c>
      <c r="H4" s="149">
        <v>2</v>
      </c>
      <c r="I4" s="150">
        <v>800000</v>
      </c>
      <c r="J4" s="149" t="s">
        <v>257</v>
      </c>
      <c r="L4" s="151" t="s">
        <v>258</v>
      </c>
    </row>
    <row r="5" spans="1:12" ht="20.100000000000001" customHeight="1">
      <c r="A5" s="149">
        <v>2</v>
      </c>
      <c r="B5" s="159">
        <v>45980</v>
      </c>
      <c r="C5" s="149" t="s">
        <v>255</v>
      </c>
      <c r="D5" s="149" t="s">
        <v>368</v>
      </c>
      <c r="E5" s="160" t="s">
        <v>377</v>
      </c>
      <c r="F5" s="149" t="s">
        <v>372</v>
      </c>
      <c r="G5" s="149">
        <v>1</v>
      </c>
      <c r="H5" s="149">
        <v>5</v>
      </c>
      <c r="I5" s="150">
        <v>950000</v>
      </c>
      <c r="J5" s="149" t="s">
        <v>257</v>
      </c>
      <c r="L5" s="151" t="s">
        <v>259</v>
      </c>
    </row>
    <row r="6" spans="1:12" ht="20.100000000000001" customHeight="1">
      <c r="A6" s="149">
        <v>3</v>
      </c>
      <c r="B6" s="159">
        <v>45980</v>
      </c>
      <c r="C6" s="149" t="s">
        <v>255</v>
      </c>
      <c r="D6" s="149" t="s">
        <v>368</v>
      </c>
      <c r="E6" s="160" t="s">
        <v>379</v>
      </c>
      <c r="F6" s="149" t="s">
        <v>373</v>
      </c>
      <c r="G6" s="149">
        <v>1</v>
      </c>
      <c r="H6" s="149">
        <v>5</v>
      </c>
      <c r="I6" s="150">
        <v>900000</v>
      </c>
      <c r="J6" s="149" t="s">
        <v>257</v>
      </c>
      <c r="L6" s="151" t="s">
        <v>260</v>
      </c>
    </row>
    <row r="7" spans="1:12" ht="20.100000000000001" customHeight="1">
      <c r="L7" s="151" t="s">
        <v>261</v>
      </c>
    </row>
    <row r="8" spans="1:12" ht="20.100000000000001" customHeight="1">
      <c r="L8" s="152" t="s">
        <v>262</v>
      </c>
    </row>
    <row r="9" spans="1:12" ht="20.100000000000001" customHeight="1">
      <c r="L9" s="152" t="s">
        <v>263</v>
      </c>
    </row>
    <row r="10" spans="1:12">
      <c r="L10" s="152" t="s">
        <v>264</v>
      </c>
    </row>
    <row r="11" spans="1:12">
      <c r="L11" s="152"/>
    </row>
    <row r="12" spans="1:12">
      <c r="L12" s="148" t="s">
        <v>265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12"/>
  <sheetViews>
    <sheetView view="pageBreakPreview" zoomScaleNormal="100" zoomScaleSheetLayoutView="100" workbookViewId="0">
      <selection activeCell="E19" sqref="E19"/>
    </sheetView>
  </sheetViews>
  <sheetFormatPr defaultRowHeight="17.399999999999999"/>
  <cols>
    <col min="1" max="1" width="9" style="55"/>
    <col min="2" max="3" width="12.59765625" style="55" customWidth="1"/>
    <col min="4" max="4" width="16" style="55" bestFit="1" customWidth="1"/>
    <col min="5" max="5" width="31.3984375" style="55" bestFit="1" customWidth="1"/>
    <col min="6" max="6" width="10.59765625" style="55" customWidth="1"/>
    <col min="7" max="8" width="8.09765625" style="55" customWidth="1"/>
    <col min="9" max="9" width="13.59765625" style="55" customWidth="1"/>
    <col min="10" max="10" width="35.59765625" style="55" customWidth="1"/>
  </cols>
  <sheetData>
    <row r="1" spans="1:10" ht="35.1" customHeight="1">
      <c r="A1" s="237" t="s">
        <v>266</v>
      </c>
      <c r="B1" s="238"/>
      <c r="C1" s="238"/>
      <c r="D1" s="238"/>
      <c r="E1" s="238"/>
      <c r="F1" s="238"/>
      <c r="G1" s="238"/>
      <c r="H1" s="238"/>
      <c r="I1" s="238"/>
      <c r="J1" s="239"/>
    </row>
    <row r="2" spans="1:10" ht="20.100000000000001" customHeight="1">
      <c r="A2" s="240" t="s">
        <v>267</v>
      </c>
      <c r="B2" s="240" t="s">
        <v>245</v>
      </c>
      <c r="C2" s="240" t="s">
        <v>268</v>
      </c>
      <c r="D2" s="240" t="s">
        <v>247</v>
      </c>
      <c r="E2" s="240" t="s">
        <v>269</v>
      </c>
      <c r="F2" s="240" t="s">
        <v>249</v>
      </c>
      <c r="G2" s="240" t="s">
        <v>270</v>
      </c>
      <c r="H2" s="240" t="s">
        <v>271</v>
      </c>
      <c r="I2" s="146" t="s">
        <v>383</v>
      </c>
      <c r="J2" s="240" t="s">
        <v>272</v>
      </c>
    </row>
    <row r="3" spans="1:10" ht="20.100000000000001" customHeight="1">
      <c r="A3" s="240"/>
      <c r="B3" s="240"/>
      <c r="C3" s="240"/>
      <c r="D3" s="240"/>
      <c r="E3" s="240"/>
      <c r="F3" s="240"/>
      <c r="G3" s="240"/>
      <c r="H3" s="240"/>
      <c r="I3" s="147">
        <f>SUM(I4:I12)</f>
        <v>0</v>
      </c>
      <c r="J3" s="240"/>
    </row>
    <row r="4" spans="1:10" ht="20.100000000000001" customHeight="1">
      <c r="A4" s="149">
        <v>1</v>
      </c>
      <c r="B4" s="149"/>
      <c r="C4" s="149" t="s">
        <v>273</v>
      </c>
      <c r="D4" s="149" t="s">
        <v>380</v>
      </c>
      <c r="E4" s="149" t="s">
        <v>374</v>
      </c>
      <c r="F4" s="149" t="s">
        <v>369</v>
      </c>
      <c r="G4" s="149">
        <v>1</v>
      </c>
      <c r="H4" s="149">
        <v>2</v>
      </c>
      <c r="I4" s="150" t="s">
        <v>384</v>
      </c>
      <c r="J4" s="149" t="s">
        <v>257</v>
      </c>
    </row>
    <row r="5" spans="1:10" ht="20.100000000000001" customHeight="1">
      <c r="A5" s="149">
        <v>2</v>
      </c>
      <c r="B5" s="149"/>
      <c r="C5" s="149" t="s">
        <v>274</v>
      </c>
      <c r="D5" s="149" t="s">
        <v>381</v>
      </c>
      <c r="E5" s="149" t="s">
        <v>374</v>
      </c>
      <c r="F5" s="149" t="s">
        <v>369</v>
      </c>
      <c r="G5" s="149">
        <v>1</v>
      </c>
      <c r="H5" s="149">
        <v>2</v>
      </c>
      <c r="I5" s="150" t="s">
        <v>384</v>
      </c>
      <c r="J5" s="149" t="s">
        <v>257</v>
      </c>
    </row>
    <row r="6" spans="1:10" ht="20.100000000000001" customHeight="1">
      <c r="A6" s="149">
        <v>3</v>
      </c>
      <c r="B6" s="149"/>
      <c r="C6" s="149" t="s">
        <v>274</v>
      </c>
      <c r="D6" s="149" t="s">
        <v>382</v>
      </c>
      <c r="E6" s="149" t="s">
        <v>374</v>
      </c>
      <c r="F6" s="149" t="s">
        <v>369</v>
      </c>
      <c r="G6" s="149">
        <v>1</v>
      </c>
      <c r="H6" s="149">
        <v>2</v>
      </c>
      <c r="I6" s="150" t="s">
        <v>384</v>
      </c>
      <c r="J6" s="149" t="s">
        <v>257</v>
      </c>
    </row>
    <row r="7" spans="1:10" ht="20.100000000000001" customHeight="1">
      <c r="A7" s="149">
        <v>4</v>
      </c>
      <c r="B7" s="149"/>
      <c r="C7" s="149" t="s">
        <v>274</v>
      </c>
      <c r="D7" s="149" t="s">
        <v>380</v>
      </c>
      <c r="E7" s="149" t="s">
        <v>376</v>
      </c>
      <c r="F7" s="149" t="s">
        <v>371</v>
      </c>
      <c r="G7" s="149">
        <v>1</v>
      </c>
      <c r="H7" s="149">
        <v>5</v>
      </c>
      <c r="I7" s="150" t="s">
        <v>384</v>
      </c>
      <c r="J7" s="149" t="s">
        <v>257</v>
      </c>
    </row>
    <row r="8" spans="1:10" ht="19.5" customHeight="1">
      <c r="A8" s="149">
        <v>5</v>
      </c>
      <c r="B8" s="149"/>
      <c r="C8" s="149" t="s">
        <v>274</v>
      </c>
      <c r="D8" s="149" t="s">
        <v>381</v>
      </c>
      <c r="E8" s="149" t="s">
        <v>376</v>
      </c>
      <c r="F8" s="149" t="s">
        <v>371</v>
      </c>
      <c r="G8" s="149">
        <v>1</v>
      </c>
      <c r="H8" s="149">
        <v>5</v>
      </c>
      <c r="I8" s="150" t="s">
        <v>384</v>
      </c>
      <c r="J8" s="149" t="s">
        <v>257</v>
      </c>
    </row>
    <row r="9" spans="1:10" ht="20.100000000000001" customHeight="1">
      <c r="A9" s="149">
        <v>6</v>
      </c>
      <c r="B9" s="149"/>
      <c r="C9" s="149" t="s">
        <v>273</v>
      </c>
      <c r="D9" s="149" t="s">
        <v>382</v>
      </c>
      <c r="E9" s="149" t="s">
        <v>376</v>
      </c>
      <c r="F9" s="149" t="s">
        <v>371</v>
      </c>
      <c r="G9" s="149">
        <v>1</v>
      </c>
      <c r="H9" s="149">
        <v>5</v>
      </c>
      <c r="I9" s="150" t="s">
        <v>384</v>
      </c>
      <c r="J9" s="149" t="s">
        <v>257</v>
      </c>
    </row>
    <row r="10" spans="1:10" ht="20.100000000000001" customHeight="1">
      <c r="A10" s="149">
        <v>7</v>
      </c>
      <c r="B10" s="149"/>
      <c r="C10" s="149" t="s">
        <v>273</v>
      </c>
      <c r="D10" s="149" t="s">
        <v>380</v>
      </c>
      <c r="E10" s="149" t="s">
        <v>378</v>
      </c>
      <c r="F10" s="149" t="s">
        <v>256</v>
      </c>
      <c r="G10" s="149">
        <v>1</v>
      </c>
      <c r="H10" s="149">
        <v>5</v>
      </c>
      <c r="I10" s="150" t="s">
        <v>384</v>
      </c>
      <c r="J10" s="149" t="s">
        <v>257</v>
      </c>
    </row>
    <row r="11" spans="1:10" ht="19.5" customHeight="1">
      <c r="A11" s="149">
        <v>8</v>
      </c>
      <c r="B11" s="149"/>
      <c r="C11" s="149" t="s">
        <v>273</v>
      </c>
      <c r="D11" s="149" t="s">
        <v>381</v>
      </c>
      <c r="E11" s="149" t="s">
        <v>378</v>
      </c>
      <c r="F11" s="149" t="s">
        <v>256</v>
      </c>
      <c r="G11" s="149">
        <v>1</v>
      </c>
      <c r="H11" s="149">
        <v>5</v>
      </c>
      <c r="I11" s="150" t="s">
        <v>384</v>
      </c>
      <c r="J11" s="149" t="s">
        <v>257</v>
      </c>
    </row>
    <row r="12" spans="1:10" ht="20.100000000000001" customHeight="1">
      <c r="A12" s="149">
        <v>9</v>
      </c>
      <c r="B12" s="149"/>
      <c r="C12" s="149" t="s">
        <v>273</v>
      </c>
      <c r="D12" s="149" t="s">
        <v>382</v>
      </c>
      <c r="E12" s="149" t="s">
        <v>378</v>
      </c>
      <c r="F12" s="149" t="s">
        <v>256</v>
      </c>
      <c r="G12" s="149">
        <v>1</v>
      </c>
      <c r="H12" s="149">
        <v>5</v>
      </c>
      <c r="I12" s="150" t="s">
        <v>384</v>
      </c>
      <c r="J12" s="149" t="s">
        <v>257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E19" sqref="E19"/>
    </sheetView>
  </sheetViews>
  <sheetFormatPr defaultRowHeight="17.399999999999999"/>
  <cols>
    <col min="1" max="1" width="9" style="55"/>
    <col min="2" max="3" width="12.59765625" style="55" customWidth="1"/>
    <col min="4" max="4" width="22.8984375" style="55" bestFit="1" customWidth="1"/>
    <col min="5" max="5" width="31.3984375" style="55" bestFit="1" customWidth="1"/>
    <col min="6" max="6" width="10.59765625" style="55" customWidth="1"/>
    <col min="7" max="7" width="8.09765625" style="55" customWidth="1"/>
    <col min="8" max="8" width="10.5" style="55" bestFit="1" customWidth="1"/>
    <col min="9" max="9" width="13.59765625" style="55" customWidth="1"/>
    <col min="10" max="10" width="35.59765625" style="55" customWidth="1"/>
    <col min="11" max="12" width="9" style="55"/>
  </cols>
  <sheetData>
    <row r="1" spans="1:12" ht="35.1" customHeight="1">
      <c r="A1" s="237" t="s">
        <v>275</v>
      </c>
      <c r="B1" s="238"/>
      <c r="C1" s="238"/>
      <c r="D1" s="238"/>
      <c r="E1" s="238"/>
      <c r="F1" s="238"/>
      <c r="G1" s="238"/>
      <c r="H1" s="238"/>
      <c r="I1" s="238"/>
      <c r="J1" s="239"/>
    </row>
    <row r="2" spans="1:12" ht="24.9" customHeight="1">
      <c r="A2" s="240" t="s">
        <v>276</v>
      </c>
      <c r="B2" s="240" t="s">
        <v>277</v>
      </c>
      <c r="C2" s="240" t="s">
        <v>110</v>
      </c>
      <c r="D2" s="240" t="s">
        <v>278</v>
      </c>
      <c r="E2" s="240" t="s">
        <v>279</v>
      </c>
      <c r="F2" s="240" t="s">
        <v>280</v>
      </c>
      <c r="G2" s="240" t="s">
        <v>281</v>
      </c>
      <c r="H2" s="240" t="s">
        <v>282</v>
      </c>
      <c r="I2" s="146" t="s">
        <v>283</v>
      </c>
      <c r="J2" s="240" t="s">
        <v>253</v>
      </c>
    </row>
    <row r="3" spans="1:12" ht="24.9" customHeight="1">
      <c r="A3" s="240"/>
      <c r="B3" s="240"/>
      <c r="C3" s="240"/>
      <c r="D3" s="240"/>
      <c r="E3" s="240"/>
      <c r="F3" s="240"/>
      <c r="G3" s="240"/>
      <c r="H3" s="240"/>
      <c r="I3" s="147">
        <f>SUM(I4:I4)</f>
        <v>1069454.8599999999</v>
      </c>
      <c r="J3" s="240"/>
      <c r="L3" s="148" t="s">
        <v>284</v>
      </c>
    </row>
    <row r="4" spans="1:12" ht="24.9" customHeight="1">
      <c r="A4" s="149">
        <v>1</v>
      </c>
      <c r="B4" s="161">
        <v>45991</v>
      </c>
      <c r="C4" s="149" t="s">
        <v>285</v>
      </c>
      <c r="D4" s="149" t="s">
        <v>286</v>
      </c>
      <c r="E4" s="149" t="s">
        <v>385</v>
      </c>
      <c r="F4" s="149">
        <v>173</v>
      </c>
      <c r="G4" s="149">
        <v>11</v>
      </c>
      <c r="H4" s="150">
        <v>6181.82</v>
      </c>
      <c r="I4" s="150">
        <f>F4*H4</f>
        <v>1069454.8599999999</v>
      </c>
      <c r="J4" s="149" t="s">
        <v>257</v>
      </c>
      <c r="L4" s="151" t="s">
        <v>287</v>
      </c>
    </row>
    <row r="5" spans="1:12" ht="24.9" customHeight="1">
      <c r="L5" s="151" t="s">
        <v>288</v>
      </c>
    </row>
    <row r="6" spans="1:12" ht="24.9" customHeight="1">
      <c r="L6" s="151" t="s">
        <v>289</v>
      </c>
    </row>
    <row r="7" spans="1:12" ht="24.9" customHeight="1">
      <c r="L7" s="151" t="s">
        <v>290</v>
      </c>
    </row>
    <row r="8" spans="1:12" ht="24.9" customHeight="1">
      <c r="L8" s="152" t="s">
        <v>291</v>
      </c>
    </row>
    <row r="9" spans="1:12" ht="24.9" customHeight="1">
      <c r="L9" s="152" t="s">
        <v>292</v>
      </c>
    </row>
    <row r="10" spans="1:12">
      <c r="L10" s="152" t="s">
        <v>293</v>
      </c>
    </row>
    <row r="11" spans="1:12">
      <c r="L11" s="152" t="s">
        <v>294</v>
      </c>
    </row>
    <row r="12" spans="1:12">
      <c r="L12" s="148"/>
    </row>
    <row r="13" spans="1:12">
      <c r="L13" s="55" t="s">
        <v>295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"/>
  <sheetViews>
    <sheetView view="pageBreakPreview" zoomScale="115" zoomScaleNormal="100" zoomScaleSheetLayoutView="115" workbookViewId="0">
      <selection activeCell="I15" sqref="I15:I16"/>
    </sheetView>
  </sheetViews>
  <sheetFormatPr defaultRowHeight="17.399999999999999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</cols>
  <sheetData>
    <row r="1" spans="1:12" ht="35.1" customHeight="1">
      <c r="A1" s="241" t="s">
        <v>296</v>
      </c>
      <c r="B1" s="241"/>
      <c r="C1" s="241"/>
      <c r="D1" s="241"/>
      <c r="E1" s="241"/>
      <c r="F1" s="241"/>
      <c r="G1" s="241"/>
      <c r="H1" s="241"/>
      <c r="I1" s="241"/>
      <c r="J1" s="55"/>
      <c r="K1" s="55"/>
      <c r="L1" s="55"/>
    </row>
    <row r="2" spans="1:12" ht="24.9" customHeight="1">
      <c r="A2" s="240" t="s">
        <v>297</v>
      </c>
      <c r="B2" s="242" t="s">
        <v>298</v>
      </c>
      <c r="C2" s="242" t="s">
        <v>299</v>
      </c>
      <c r="D2" s="243" t="s">
        <v>290</v>
      </c>
      <c r="E2" s="242" t="s">
        <v>291</v>
      </c>
      <c r="F2" s="242" t="s">
        <v>263</v>
      </c>
      <c r="G2" s="244" t="s">
        <v>300</v>
      </c>
      <c r="H2" s="153" t="s">
        <v>301</v>
      </c>
      <c r="I2" s="242" t="s">
        <v>302</v>
      </c>
      <c r="J2" s="55"/>
      <c r="K2" s="55"/>
      <c r="L2" s="55"/>
    </row>
    <row r="3" spans="1:12" ht="24.9" customHeight="1">
      <c r="A3" s="240"/>
      <c r="B3" s="242"/>
      <c r="C3" s="242"/>
      <c r="D3" s="243"/>
      <c r="E3" s="242"/>
      <c r="F3" s="242"/>
      <c r="G3" s="244"/>
      <c r="H3" s="154">
        <f>SUM(H4:H30)</f>
        <v>221500</v>
      </c>
      <c r="I3" s="242"/>
      <c r="J3" s="55"/>
      <c r="K3" s="148" t="s">
        <v>284</v>
      </c>
      <c r="L3" s="55"/>
    </row>
    <row r="4" spans="1:12" ht="24.9" customHeight="1">
      <c r="A4" s="149">
        <v>1</v>
      </c>
      <c r="B4" s="159">
        <v>45987</v>
      </c>
      <c r="C4" s="149" t="s">
        <v>303</v>
      </c>
      <c r="D4" s="149" t="s">
        <v>386</v>
      </c>
      <c r="E4" s="149" t="s">
        <v>387</v>
      </c>
      <c r="F4" s="149">
        <v>2</v>
      </c>
      <c r="G4" s="150">
        <v>25000</v>
      </c>
      <c r="H4" s="150">
        <f>F4*G4</f>
        <v>50000</v>
      </c>
      <c r="I4" s="150" t="s">
        <v>388</v>
      </c>
      <c r="J4" s="55"/>
      <c r="K4" s="151" t="s">
        <v>287</v>
      </c>
      <c r="L4" s="55"/>
    </row>
    <row r="5" spans="1:12" ht="24.9" customHeight="1">
      <c r="A5" s="149">
        <v>2</v>
      </c>
      <c r="B5" s="159">
        <v>45987</v>
      </c>
      <c r="C5" s="149" t="s">
        <v>303</v>
      </c>
      <c r="D5" s="149" t="s">
        <v>386</v>
      </c>
      <c r="E5" s="149" t="s">
        <v>387</v>
      </c>
      <c r="F5" s="149">
        <v>5</v>
      </c>
      <c r="G5" s="150">
        <v>32000</v>
      </c>
      <c r="H5" s="150">
        <f t="shared" ref="H5:H6" si="0">F5*G5</f>
        <v>160000</v>
      </c>
      <c r="I5" s="150" t="s">
        <v>388</v>
      </c>
      <c r="J5" s="55"/>
      <c r="K5" s="151" t="s">
        <v>288</v>
      </c>
      <c r="L5" s="55"/>
    </row>
    <row r="6" spans="1:12" ht="24.9" customHeight="1">
      <c r="A6" s="149">
        <v>3</v>
      </c>
      <c r="B6" s="159">
        <v>45988</v>
      </c>
      <c r="C6" s="149" t="s">
        <v>303</v>
      </c>
      <c r="D6" s="149" t="s">
        <v>386</v>
      </c>
      <c r="E6" s="149" t="s">
        <v>387</v>
      </c>
      <c r="F6" s="149">
        <v>5</v>
      </c>
      <c r="G6" s="150">
        <v>2300</v>
      </c>
      <c r="H6" s="150">
        <f t="shared" si="0"/>
        <v>11500</v>
      </c>
      <c r="I6" s="150" t="s">
        <v>388</v>
      </c>
      <c r="J6" s="55"/>
      <c r="K6" s="151" t="s">
        <v>289</v>
      </c>
      <c r="L6" s="55"/>
    </row>
    <row r="7" spans="1:12" ht="24.9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151" t="s">
        <v>290</v>
      </c>
      <c r="L7" s="55"/>
    </row>
    <row r="8" spans="1:12" ht="24.9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152" t="s">
        <v>291</v>
      </c>
      <c r="L8" s="55"/>
    </row>
    <row r="9" spans="1:12" ht="24.9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152" t="s">
        <v>292</v>
      </c>
      <c r="L9" s="55"/>
    </row>
    <row r="10" spans="1:12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152" t="s">
        <v>293</v>
      </c>
      <c r="L10" s="55"/>
    </row>
    <row r="11" spans="1:12">
      <c r="J11" s="55"/>
      <c r="K11" s="152" t="s">
        <v>294</v>
      </c>
      <c r="L11" s="55"/>
    </row>
    <row r="12" spans="1:12">
      <c r="J12" s="55"/>
      <c r="K12" s="148"/>
      <c r="L12" s="55"/>
    </row>
    <row r="13" spans="1:12">
      <c r="J13" s="55"/>
      <c r="K13" s="55" t="s">
        <v>295</v>
      </c>
      <c r="L13" s="55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245" t="s">
        <v>41</v>
      </c>
      <c r="C2" s="38" t="s">
        <v>37</v>
      </c>
      <c r="D2" s="38"/>
      <c r="E2" s="38" t="s">
        <v>40</v>
      </c>
    </row>
    <row r="3" spans="2:18" ht="30" customHeight="1">
      <c r="B3" s="246"/>
      <c r="C3" s="38" t="s">
        <v>38</v>
      </c>
      <c r="D3" s="38"/>
      <c r="E3" s="38" t="s">
        <v>40</v>
      </c>
    </row>
    <row r="4" spans="2:18" ht="30" customHeight="1">
      <c r="B4" s="246"/>
      <c r="C4" s="38" t="s">
        <v>39</v>
      </c>
      <c r="D4" s="38"/>
      <c r="E4" s="38" t="s">
        <v>40</v>
      </c>
    </row>
    <row r="6" spans="2:18" ht="48.9" customHeight="1">
      <c r="G6" s="245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" customHeight="1">
      <c r="G7" s="245"/>
      <c r="H7" s="38"/>
      <c r="I7" s="38"/>
      <c r="J7" s="38"/>
      <c r="K7" s="37"/>
      <c r="L7" s="37"/>
      <c r="M7" s="37"/>
      <c r="N7" s="37"/>
      <c r="O7" s="37"/>
    </row>
    <row r="8" spans="2:18" ht="24.9" customHeight="1">
      <c r="G8" s="37"/>
      <c r="H8" s="37"/>
      <c r="I8" s="37"/>
      <c r="J8" s="37"/>
      <c r="K8" s="37"/>
      <c r="L8" s="247" t="s">
        <v>48</v>
      </c>
      <c r="M8" s="38" t="s">
        <v>44</v>
      </c>
      <c r="N8" s="38" t="s">
        <v>45</v>
      </c>
      <c r="O8" s="38" t="s">
        <v>46</v>
      </c>
    </row>
    <row r="9" spans="2:18" ht="39.9" customHeight="1">
      <c r="G9" s="37"/>
      <c r="H9" s="37"/>
      <c r="I9" s="37"/>
      <c r="J9" s="37"/>
      <c r="K9" s="37"/>
      <c r="L9" s="248"/>
      <c r="M9" s="38"/>
      <c r="N9" s="38"/>
      <c r="O9" s="38"/>
    </row>
    <row r="11" spans="2:18" ht="24.9" customHeight="1">
      <c r="Q11" s="38" t="s">
        <v>50</v>
      </c>
      <c r="R11" s="38" t="s">
        <v>53</v>
      </c>
    </row>
    <row r="12" spans="2:18" ht="24.9" customHeight="1">
      <c r="Q12" s="38" t="s">
        <v>51</v>
      </c>
      <c r="R12" s="38" t="s">
        <v>54</v>
      </c>
    </row>
    <row r="13" spans="2:18" ht="24.9" customHeight="1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H16" sqref="H16"/>
    </sheetView>
  </sheetViews>
  <sheetFormatPr defaultRowHeight="17.399999999999999"/>
  <sheetData>
    <row r="3" spans="2:3">
      <c r="B3" s="249" t="s">
        <v>55</v>
      </c>
      <c r="C3" s="250"/>
    </row>
    <row r="4" spans="2:3">
      <c r="B4" s="40" t="s">
        <v>56</v>
      </c>
      <c r="C4" s="40" t="s">
        <v>57</v>
      </c>
    </row>
    <row r="5" spans="2:3">
      <c r="B5" s="38" t="s">
        <v>58</v>
      </c>
      <c r="C5" s="38">
        <v>0.25</v>
      </c>
    </row>
    <row r="6" spans="2:3">
      <c r="B6" s="38" t="s">
        <v>59</v>
      </c>
      <c r="C6" s="38">
        <v>0.5</v>
      </c>
    </row>
    <row r="7" spans="2:3">
      <c r="B7" s="38" t="s">
        <v>60</v>
      </c>
      <c r="C7" s="38">
        <v>0.75</v>
      </c>
    </row>
    <row r="8" spans="2:3">
      <c r="B8" s="38" t="s">
        <v>61</v>
      </c>
      <c r="C8" s="38">
        <v>1</v>
      </c>
    </row>
    <row r="9" spans="2:3">
      <c r="B9" s="38" t="s">
        <v>62</v>
      </c>
      <c r="C9" s="38">
        <v>1.25</v>
      </c>
    </row>
    <row r="10" spans="2:3">
      <c r="B10" s="38" t="s">
        <v>63</v>
      </c>
      <c r="C10" s="38">
        <v>1.5</v>
      </c>
    </row>
    <row r="11" spans="2:3">
      <c r="B11" s="38" t="s">
        <v>64</v>
      </c>
      <c r="C11" s="38">
        <v>2</v>
      </c>
    </row>
    <row r="12" spans="2:3">
      <c r="B12" s="38" t="s">
        <v>65</v>
      </c>
      <c r="C12" s="38">
        <v>2.5</v>
      </c>
    </row>
    <row r="13" spans="2:3">
      <c r="B13" s="38" t="s">
        <v>66</v>
      </c>
      <c r="C13" s="38">
        <v>3</v>
      </c>
    </row>
    <row r="14" spans="2:3">
      <c r="B14" s="38" t="s">
        <v>67</v>
      </c>
      <c r="C14" s="38">
        <v>4</v>
      </c>
    </row>
    <row r="15" spans="2:3">
      <c r="B15" s="38" t="s">
        <v>68</v>
      </c>
      <c r="C15" s="38">
        <v>4</v>
      </c>
    </row>
    <row r="16" spans="2:3">
      <c r="B16" s="38" t="s">
        <v>69</v>
      </c>
      <c r="C16" s="38">
        <v>5</v>
      </c>
    </row>
    <row r="17" spans="2:3">
      <c r="B17" s="38" t="s">
        <v>70</v>
      </c>
      <c r="C17" s="38">
        <v>6</v>
      </c>
    </row>
    <row r="18" spans="2:3">
      <c r="B18" s="38" t="s">
        <v>71</v>
      </c>
      <c r="C18" s="38">
        <v>7</v>
      </c>
    </row>
    <row r="19" spans="2:3">
      <c r="B19" s="38" t="s">
        <v>72</v>
      </c>
      <c r="C19" s="38">
        <v>8</v>
      </c>
    </row>
    <row r="20" spans="2:3">
      <c r="B20" s="38" t="s">
        <v>73</v>
      </c>
      <c r="C20" s="38">
        <v>9</v>
      </c>
    </row>
    <row r="21" spans="2:3">
      <c r="B21" s="38" t="s">
        <v>74</v>
      </c>
      <c r="C21" s="38">
        <v>10</v>
      </c>
    </row>
    <row r="22" spans="2:3">
      <c r="B22" s="38" t="s">
        <v>75</v>
      </c>
      <c r="C22" s="38">
        <v>12</v>
      </c>
    </row>
    <row r="23" spans="2:3">
      <c r="B23" s="38" t="s">
        <v>76</v>
      </c>
      <c r="C23" s="38">
        <v>14</v>
      </c>
    </row>
    <row r="24" spans="2:3">
      <c r="B24" s="38" t="s">
        <v>77</v>
      </c>
      <c r="C24" s="38">
        <v>16</v>
      </c>
    </row>
    <row r="25" spans="2:3">
      <c r="B25" s="38" t="s">
        <v>78</v>
      </c>
      <c r="C25" s="38">
        <v>18</v>
      </c>
    </row>
    <row r="26" spans="2:3">
      <c r="B26" s="38" t="s">
        <v>79</v>
      </c>
      <c r="C26" s="38">
        <v>20</v>
      </c>
    </row>
    <row r="27" spans="2: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5</vt:i4>
      </vt:variant>
    </vt:vector>
  </HeadingPairs>
  <TitlesOfParts>
    <vt:vector size="17" baseType="lpstr">
      <vt:lpstr>용역청구서 표지</vt:lpstr>
      <vt:lpstr>용역 청구서(갑지)</vt:lpstr>
      <vt:lpstr>용역 내역서(을지)</vt:lpstr>
      <vt:lpstr>집계장</vt:lpstr>
      <vt:lpstr>물량 내역서</vt:lpstr>
      <vt:lpstr>근로내역 (11월)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숙소임차료!Print_Area</vt:lpstr>
      <vt:lpstr>식대비용!Print_Area</vt:lpstr>
      <vt:lpstr>'용역 청구서(갑지)'!Print_Area</vt:lpstr>
      <vt:lpstr>집계장!Print_Area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2025-09-12T00:35:21Z</cp:lastPrinted>
  <dcterms:created xsi:type="dcterms:W3CDTF">2025-09-12T00:04:15Z</dcterms:created>
  <dcterms:modified xsi:type="dcterms:W3CDTF">2025-12-15T00:09:11Z</dcterms:modified>
</cp:coreProperties>
</file>