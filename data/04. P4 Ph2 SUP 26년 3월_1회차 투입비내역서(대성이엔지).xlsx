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153.244\KcencGD2_공무_NEW\02. P4\02. Ph2_재개공사\03. 대내업무\02. 외주기성\02. 26년 3월 외주기성\04. 26년 03월 P4_PH2 기성내역서 (대성이엔지)\"/>
    </mc:Choice>
  </mc:AlternateContent>
  <xr:revisionPtr revIDLastSave="0" documentId="13_ncr:1_{4787E425-27C7-460A-BECE-124E7FE0775F}" xr6:coauthVersionLast="36" xr6:coauthVersionMax="47" xr10:uidLastSave="{00000000-0000-0000-0000-000000000000}"/>
  <bookViews>
    <workbookView xWindow="28680" yWindow="-120" windowWidth="29040" windowHeight="15720" tabRatio="753" activeTab="7" xr2:uid="{00000000-000D-0000-FFFF-FFFF00000000}"/>
  </bookViews>
  <sheets>
    <sheet name="용역청구서 표지" sheetId="1" r:id="rId1"/>
    <sheet name="용역 청구서(갑지)" sheetId="2" state="hidden" r:id="rId2"/>
    <sheet name="용역 내역서(을지)" sheetId="5" state="hidden" r:id="rId3"/>
    <sheet name="내역서(을지)" sheetId="13" state="hidden" r:id="rId4"/>
    <sheet name="집계장" sheetId="6" r:id="rId5"/>
    <sheet name="물량 내역서" sheetId="7" r:id="rId6"/>
    <sheet name="근로내역 (03월)" sheetId="8" r:id="rId7"/>
    <sheet name="숙소임차료" sheetId="9" r:id="rId8"/>
    <sheet name="숙소관리비" sheetId="10" r:id="rId9"/>
    <sheet name="식대비용" sheetId="11" r:id="rId10"/>
    <sheet name="기타비용" sheetId="12" r:id="rId11"/>
    <sheet name="서명란" sheetId="3" state="hidden" r:id="rId12"/>
    <sheet name="DIA-INCH" sheetId="4" r:id="rId13"/>
  </sheets>
  <definedNames>
    <definedName name="_xlnm._FilterDatabase" localSheetId="8" hidden="1">숙소관리비!$A$3:$J$36</definedName>
    <definedName name="_xlnm.Print_Area" localSheetId="10">기타비용!$A$1:$I$37</definedName>
    <definedName name="_xlnm.Print_Area" localSheetId="5">'물량 내역서'!$A$1:$M$51</definedName>
    <definedName name="_xlnm.Print_Area" localSheetId="7">숙소임차료!$A$1:$J$14</definedName>
    <definedName name="_xlnm.Print_Area" localSheetId="9">식대비용!$A$1:$J$5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3" l="1"/>
  <c r="F6" i="13"/>
  <c r="F7" i="13"/>
  <c r="F8" i="13"/>
  <c r="F9" i="13"/>
  <c r="F10" i="13"/>
  <c r="F11" i="13"/>
  <c r="E27" i="13"/>
  <c r="F27" i="13" l="1"/>
  <c r="E14" i="2" l="1"/>
  <c r="D14" i="2" s="1"/>
  <c r="H37" i="12"/>
  <c r="H36" i="12"/>
  <c r="H35" i="12"/>
  <c r="H34" i="12"/>
  <c r="H33" i="12"/>
  <c r="H32" i="12"/>
  <c r="H18" i="6"/>
  <c r="I18" i="6" s="1"/>
  <c r="H16" i="6"/>
  <c r="AO42" i="8" l="1"/>
  <c r="AO48" i="8" s="1"/>
  <c r="AM42" i="8"/>
  <c r="AK42" i="8"/>
  <c r="AJ42" i="8"/>
  <c r="AI42" i="8"/>
  <c r="AH42" i="8"/>
  <c r="AG42" i="8"/>
  <c r="AF42" i="8"/>
  <c r="AE42" i="8"/>
  <c r="AC42" i="8"/>
  <c r="AB42" i="8"/>
  <c r="AA42" i="8"/>
  <c r="Z42" i="8"/>
  <c r="Y42" i="8"/>
  <c r="X42" i="8"/>
  <c r="V42" i="8"/>
  <c r="Q42" i="8"/>
  <c r="AL42" i="8" l="1"/>
  <c r="AD42" i="8"/>
  <c r="W42" i="8"/>
  <c r="U42" i="8"/>
  <c r="T42" i="8"/>
  <c r="S42" i="8"/>
  <c r="R42" i="8"/>
  <c r="P42" i="8"/>
  <c r="O42" i="8"/>
  <c r="N42" i="8"/>
  <c r="M42" i="8"/>
  <c r="L42" i="8"/>
  <c r="K42" i="8"/>
  <c r="J42" i="8"/>
  <c r="I42" i="8"/>
  <c r="AN43" i="8" l="1"/>
  <c r="AP43" i="8" s="1"/>
  <c r="AN44" i="8"/>
  <c r="AP44" i="8" s="1"/>
  <c r="AN45" i="8"/>
  <c r="AP45" i="8" s="1"/>
  <c r="AN46" i="8"/>
  <c r="AP46" i="8" s="1"/>
  <c r="H13" i="12"/>
  <c r="AN41" i="8"/>
  <c r="AP41" i="8" s="1"/>
  <c r="AN40" i="8"/>
  <c r="AP40" i="8" s="1"/>
  <c r="AN39" i="8"/>
  <c r="AP39" i="8" s="1"/>
  <c r="I5" i="11" l="1"/>
  <c r="I3" i="10"/>
  <c r="I3" i="9"/>
  <c r="H31" i="12" l="1"/>
  <c r="H30" i="12"/>
  <c r="H29" i="12"/>
  <c r="H28" i="12"/>
  <c r="H27" i="12"/>
  <c r="H26" i="12"/>
  <c r="H25" i="12"/>
  <c r="H24" i="12"/>
  <c r="H23" i="12"/>
  <c r="H22" i="12"/>
  <c r="AN38" i="8" l="1"/>
  <c r="AP38" i="8" s="1"/>
  <c r="AN37" i="8"/>
  <c r="AP37" i="8" s="1"/>
  <c r="AN36" i="8"/>
  <c r="AP36" i="8" s="1"/>
  <c r="AN35" i="8"/>
  <c r="AP35" i="8" s="1"/>
  <c r="AN34" i="8"/>
  <c r="AP34" i="8" s="1"/>
  <c r="AN33" i="8"/>
  <c r="AP33" i="8" s="1"/>
  <c r="AN32" i="8"/>
  <c r="AP32" i="8" s="1"/>
  <c r="AN31" i="8"/>
  <c r="AP31" i="8" s="1"/>
  <c r="AN30" i="8"/>
  <c r="AP30" i="8" s="1"/>
  <c r="AN29" i="8"/>
  <c r="AP29" i="8" s="1"/>
  <c r="AN28" i="8"/>
  <c r="AP28" i="8" s="1"/>
  <c r="AN27" i="8"/>
  <c r="AP27" i="8" s="1"/>
  <c r="AN26" i="8"/>
  <c r="AP26" i="8" s="1"/>
  <c r="AN25" i="8"/>
  <c r="AP25" i="8" s="1"/>
  <c r="F7" i="6" l="1"/>
  <c r="H7" i="6" s="1"/>
  <c r="H21" i="12"/>
  <c r="H20" i="12"/>
  <c r="H19" i="12"/>
  <c r="H18" i="12"/>
  <c r="H17" i="12"/>
  <c r="H16" i="12"/>
  <c r="H15" i="12"/>
  <c r="H14" i="12"/>
  <c r="H12" i="12"/>
  <c r="H11" i="12"/>
  <c r="H10" i="12"/>
  <c r="H9" i="12"/>
  <c r="H8" i="12"/>
  <c r="H7" i="12"/>
  <c r="I3" i="11" l="1"/>
  <c r="AN24" i="8" l="1"/>
  <c r="AP24" i="8" s="1"/>
  <c r="AN23" i="8"/>
  <c r="AP23" i="8" s="1"/>
  <c r="AN22" i="8"/>
  <c r="AP22" i="8" s="1"/>
  <c r="AN21" i="8"/>
  <c r="AP21" i="8" s="1"/>
  <c r="AN20" i="8"/>
  <c r="AP20" i="8" s="1"/>
  <c r="AN19" i="8"/>
  <c r="AP19" i="8" s="1"/>
  <c r="AN18" i="8"/>
  <c r="AP18" i="8" s="1"/>
  <c r="D11" i="6" l="1"/>
  <c r="D10" i="6"/>
  <c r="AN17" i="8" l="1"/>
  <c r="AP17" i="8" s="1"/>
  <c r="AN16" i="8"/>
  <c r="AP16" i="8" s="1"/>
  <c r="E10" i="2" l="1"/>
  <c r="E9" i="2"/>
  <c r="E7" i="2"/>
  <c r="J50" i="7" l="1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K31" i="7" s="1"/>
  <c r="J30" i="7"/>
  <c r="J29" i="7"/>
  <c r="J28" i="7"/>
  <c r="D5" i="6" l="1"/>
  <c r="H6" i="12"/>
  <c r="H5" i="12"/>
  <c r="H4" i="12"/>
  <c r="H3" i="12" s="1"/>
  <c r="F11" i="6" l="1"/>
  <c r="H11" i="6" s="1"/>
  <c r="F10" i="6"/>
  <c r="H10" i="6" s="1"/>
  <c r="AM3" i="8" l="1"/>
  <c r="AM1" i="8"/>
  <c r="AM47" i="8"/>
  <c r="AL47" i="8"/>
  <c r="AK47" i="8"/>
  <c r="AJ47" i="8"/>
  <c r="AI47" i="8"/>
  <c r="AH47" i="8"/>
  <c r="AG47" i="8"/>
  <c r="AF47" i="8"/>
  <c r="AE47" i="8"/>
  <c r="AD47" i="8"/>
  <c r="AC47" i="8"/>
  <c r="AB47" i="8"/>
  <c r="AB48" i="8" s="1"/>
  <c r="AA47" i="8"/>
  <c r="AA48" i="8" s="1"/>
  <c r="Z47" i="8"/>
  <c r="Z48" i="8" s="1"/>
  <c r="Y47" i="8"/>
  <c r="X47" i="8"/>
  <c r="X48" i="8" s="1"/>
  <c r="W47" i="8"/>
  <c r="V47" i="8"/>
  <c r="U47" i="8"/>
  <c r="T47" i="8"/>
  <c r="S47" i="8"/>
  <c r="R47" i="8"/>
  <c r="Q47" i="8"/>
  <c r="Q48" i="8" s="1"/>
  <c r="P47" i="8"/>
  <c r="O47" i="8"/>
  <c r="N47" i="8"/>
  <c r="M47" i="8"/>
  <c r="L47" i="8"/>
  <c r="L48" i="8" s="1"/>
  <c r="K47" i="8"/>
  <c r="K48" i="8" s="1"/>
  <c r="J47" i="8"/>
  <c r="J48" i="8" s="1"/>
  <c r="I47" i="8"/>
  <c r="AN15" i="8"/>
  <c r="AP15" i="8" s="1"/>
  <c r="AN14" i="8"/>
  <c r="AP14" i="8" s="1"/>
  <c r="AN13" i="8"/>
  <c r="AP13" i="8" s="1"/>
  <c r="AN12" i="8"/>
  <c r="AP12" i="8" s="1"/>
  <c r="AN11" i="8"/>
  <c r="AP11" i="8" s="1"/>
  <c r="AN10" i="8"/>
  <c r="AP10" i="8" s="1"/>
  <c r="AN9" i="8"/>
  <c r="AP9" i="8" s="1"/>
  <c r="AN8" i="8"/>
  <c r="AP8" i="8" s="1"/>
  <c r="AN7" i="8"/>
  <c r="AP7" i="8" s="1"/>
  <c r="AN6" i="8"/>
  <c r="AN42" i="8" l="1"/>
  <c r="D9" i="6"/>
  <c r="AG48" i="8"/>
  <c r="AH48" i="8"/>
  <c r="N48" i="8"/>
  <c r="AD48" i="8"/>
  <c r="O48" i="8"/>
  <c r="AE48" i="8"/>
  <c r="R48" i="8"/>
  <c r="I48" i="8"/>
  <c r="Y48" i="8"/>
  <c r="P48" i="8"/>
  <c r="AF48" i="8"/>
  <c r="AP47" i="8"/>
  <c r="F6" i="6" s="1"/>
  <c r="AI48" i="8"/>
  <c r="T48" i="8"/>
  <c r="AJ48" i="8"/>
  <c r="S48" i="8"/>
  <c r="U48" i="8"/>
  <c r="AK48" i="8"/>
  <c r="V48" i="8"/>
  <c r="AL48" i="8"/>
  <c r="W48" i="8"/>
  <c r="AM48" i="8"/>
  <c r="M48" i="8"/>
  <c r="AC48" i="8"/>
  <c r="AP6" i="8"/>
  <c r="AP42" i="8" s="1"/>
  <c r="AN47" i="8"/>
  <c r="E50" i="7"/>
  <c r="K50" i="7" s="1"/>
  <c r="E49" i="7"/>
  <c r="K49" i="7" s="1"/>
  <c r="M49" i="7" s="1"/>
  <c r="G49" i="7" s="1"/>
  <c r="E48" i="7"/>
  <c r="K48" i="7" s="1"/>
  <c r="E47" i="7"/>
  <c r="K47" i="7" s="1"/>
  <c r="M47" i="7" s="1"/>
  <c r="G47" i="7" s="1"/>
  <c r="E46" i="7"/>
  <c r="K46" i="7" s="1"/>
  <c r="M46" i="7" s="1"/>
  <c r="G46" i="7" s="1"/>
  <c r="E45" i="7"/>
  <c r="K45" i="7" s="1"/>
  <c r="M45" i="7" s="1"/>
  <c r="G45" i="7" s="1"/>
  <c r="E44" i="7"/>
  <c r="K44" i="7" s="1"/>
  <c r="M44" i="7" s="1"/>
  <c r="G44" i="7" s="1"/>
  <c r="E43" i="7"/>
  <c r="K43" i="7" s="1"/>
  <c r="M43" i="7" s="1"/>
  <c r="G43" i="7" s="1"/>
  <c r="E42" i="7"/>
  <c r="E41" i="7"/>
  <c r="E40" i="7"/>
  <c r="E39" i="7"/>
  <c r="E38" i="7"/>
  <c r="E37" i="7"/>
  <c r="E36" i="7"/>
  <c r="E35" i="7"/>
  <c r="E34" i="7"/>
  <c r="K34" i="7" s="1"/>
  <c r="E33" i="7"/>
  <c r="K33" i="7" s="1"/>
  <c r="M33" i="7" s="1"/>
  <c r="G33" i="7" s="1"/>
  <c r="E32" i="7"/>
  <c r="K32" i="7" s="1"/>
  <c r="M32" i="7" s="1"/>
  <c r="G32" i="7" s="1"/>
  <c r="E30" i="7"/>
  <c r="E29" i="7"/>
  <c r="K29" i="7" s="1"/>
  <c r="M29" i="7" s="1"/>
  <c r="G29" i="7" s="1"/>
  <c r="E28" i="7"/>
  <c r="J27" i="7"/>
  <c r="J26" i="7"/>
  <c r="L26" i="7" s="1"/>
  <c r="F26" i="7" s="1"/>
  <c r="J25" i="7"/>
  <c r="K25" i="7" s="1"/>
  <c r="M25" i="7" s="1"/>
  <c r="G25" i="7" s="1"/>
  <c r="J24" i="7"/>
  <c r="K24" i="7" s="1"/>
  <c r="M24" i="7" s="1"/>
  <c r="G24" i="7" s="1"/>
  <c r="J23" i="7"/>
  <c r="L23" i="7" s="1"/>
  <c r="F23" i="7" s="1"/>
  <c r="J22" i="7"/>
  <c r="L22" i="7" s="1"/>
  <c r="F22" i="7" s="1"/>
  <c r="J21" i="7"/>
  <c r="K21" i="7" s="1"/>
  <c r="M21" i="7" s="1"/>
  <c r="G21" i="7" s="1"/>
  <c r="J20" i="7"/>
  <c r="L20" i="7" s="1"/>
  <c r="F20" i="7" s="1"/>
  <c r="J19" i="7"/>
  <c r="L19" i="7" s="1"/>
  <c r="F19" i="7" s="1"/>
  <c r="J18" i="7"/>
  <c r="K18" i="7" s="1"/>
  <c r="M18" i="7" s="1"/>
  <c r="G18" i="7" s="1"/>
  <c r="J17" i="7"/>
  <c r="L17" i="7" s="1"/>
  <c r="F17" i="7" s="1"/>
  <c r="J16" i="7"/>
  <c r="L16" i="7" s="1"/>
  <c r="F16" i="7" s="1"/>
  <c r="J15" i="7"/>
  <c r="L15" i="7" s="1"/>
  <c r="F15" i="7" s="1"/>
  <c r="J14" i="7"/>
  <c r="L14" i="7" s="1"/>
  <c r="F14" i="7" s="1"/>
  <c r="J13" i="7"/>
  <c r="K13" i="7" s="1"/>
  <c r="M13" i="7" s="1"/>
  <c r="G13" i="7" s="1"/>
  <c r="J12" i="7"/>
  <c r="L12" i="7" s="1"/>
  <c r="F12" i="7" s="1"/>
  <c r="J11" i="7"/>
  <c r="L11" i="7" s="1"/>
  <c r="F11" i="7" s="1"/>
  <c r="J10" i="7"/>
  <c r="L10" i="7" s="1"/>
  <c r="F10" i="7" s="1"/>
  <c r="J9" i="7"/>
  <c r="L9" i="7" s="1"/>
  <c r="F9" i="7" s="1"/>
  <c r="J8" i="7"/>
  <c r="K8" i="7" s="1"/>
  <c r="M8" i="7" s="1"/>
  <c r="G8" i="7" s="1"/>
  <c r="J7" i="7"/>
  <c r="J6" i="7"/>
  <c r="L6" i="7" s="1"/>
  <c r="F6" i="7" s="1"/>
  <c r="J5" i="7"/>
  <c r="A2" i="7"/>
  <c r="I51" i="7"/>
  <c r="H51" i="7"/>
  <c r="M50" i="7"/>
  <c r="G50" i="7" s="1"/>
  <c r="L49" i="7"/>
  <c r="F49" i="7" s="1"/>
  <c r="M48" i="7"/>
  <c r="G48" i="7" s="1"/>
  <c r="L48" i="7"/>
  <c r="F48" i="7" s="1"/>
  <c r="L47" i="7"/>
  <c r="F47" i="7" s="1"/>
  <c r="L46" i="7"/>
  <c r="F46" i="7" s="1"/>
  <c r="L45" i="7"/>
  <c r="F45" i="7" s="1"/>
  <c r="L34" i="7"/>
  <c r="F34" i="7" s="1"/>
  <c r="L33" i="7"/>
  <c r="F33" i="7" s="1"/>
  <c r="L32" i="7"/>
  <c r="F32" i="7" s="1"/>
  <c r="L31" i="7"/>
  <c r="F31" i="7" s="1"/>
  <c r="M31" i="7"/>
  <c r="G31" i="7" s="1"/>
  <c r="A1" i="6"/>
  <c r="A2" i="13" s="1"/>
  <c r="L2" i="6"/>
  <c r="K26" i="7" l="1"/>
  <c r="M26" i="7" s="1"/>
  <c r="G26" i="7" s="1"/>
  <c r="L7" i="7"/>
  <c r="F7" i="7" s="1"/>
  <c r="J51" i="7"/>
  <c r="F9" i="6"/>
  <c r="L18" i="7"/>
  <c r="F18" i="7" s="1"/>
  <c r="K16" i="7"/>
  <c r="M16" i="7" s="1"/>
  <c r="G16" i="7" s="1"/>
  <c r="AN48" i="8"/>
  <c r="K23" i="7"/>
  <c r="M23" i="7" s="1"/>
  <c r="G23" i="7" s="1"/>
  <c r="K36" i="7"/>
  <c r="M36" i="7" s="1"/>
  <c r="G36" i="7" s="1"/>
  <c r="K37" i="7"/>
  <c r="M37" i="7" s="1"/>
  <c r="G37" i="7" s="1"/>
  <c r="K40" i="7"/>
  <c r="M40" i="7" s="1"/>
  <c r="G40" i="7" s="1"/>
  <c r="K41" i="7"/>
  <c r="M41" i="7" s="1"/>
  <c r="G41" i="7" s="1"/>
  <c r="L42" i="7"/>
  <c r="F42" i="7" s="1"/>
  <c r="K42" i="7"/>
  <c r="M42" i="7" s="1"/>
  <c r="G42" i="7" s="1"/>
  <c r="L8" i="7"/>
  <c r="F8" i="7" s="1"/>
  <c r="K38" i="7"/>
  <c r="K39" i="7"/>
  <c r="M39" i="7" s="1"/>
  <c r="G39" i="7" s="1"/>
  <c r="K10" i="7"/>
  <c r="M10" i="7" s="1"/>
  <c r="G10" i="7" s="1"/>
  <c r="K28" i="7"/>
  <c r="M28" i="7" s="1"/>
  <c r="G28" i="7" s="1"/>
  <c r="K30" i="7"/>
  <c r="M30" i="7" s="1"/>
  <c r="G30" i="7" s="1"/>
  <c r="K35" i="7"/>
  <c r="M35" i="7" s="1"/>
  <c r="G35" i="7" s="1"/>
  <c r="D6" i="6"/>
  <c r="K7" i="7"/>
  <c r="D4" i="6"/>
  <c r="L27" i="7"/>
  <c r="F27" i="7" s="1"/>
  <c r="L24" i="7"/>
  <c r="F24" i="7" s="1"/>
  <c r="AP48" i="8"/>
  <c r="L40" i="7"/>
  <c r="F40" i="7" s="1"/>
  <c r="L38" i="7"/>
  <c r="F38" i="7" s="1"/>
  <c r="K6" i="7"/>
  <c r="M6" i="7" s="1"/>
  <c r="G6" i="7" s="1"/>
  <c r="K14" i="7"/>
  <c r="M14" i="7" s="1"/>
  <c r="G14" i="7" s="1"/>
  <c r="K22" i="7"/>
  <c r="M22" i="7" s="1"/>
  <c r="G22" i="7" s="1"/>
  <c r="K15" i="7"/>
  <c r="M15" i="7" s="1"/>
  <c r="G15" i="7" s="1"/>
  <c r="K5" i="7"/>
  <c r="L5" i="7"/>
  <c r="L13" i="7"/>
  <c r="F13" i="7" s="1"/>
  <c r="L21" i="7"/>
  <c r="F21" i="7" s="1"/>
  <c r="L29" i="7"/>
  <c r="F29" i="7" s="1"/>
  <c r="L36" i="7"/>
  <c r="F36" i="7" s="1"/>
  <c r="L43" i="7"/>
  <c r="F43" i="7" s="1"/>
  <c r="L50" i="7"/>
  <c r="F50" i="7" s="1"/>
  <c r="K11" i="7"/>
  <c r="M11" i="7" s="1"/>
  <c r="G11" i="7" s="1"/>
  <c r="K19" i="7"/>
  <c r="M19" i="7" s="1"/>
  <c r="G19" i="7" s="1"/>
  <c r="K27" i="7"/>
  <c r="M34" i="7"/>
  <c r="G34" i="7" s="1"/>
  <c r="L41" i="7"/>
  <c r="F41" i="7" s="1"/>
  <c r="L30" i="7"/>
  <c r="F30" i="7" s="1"/>
  <c r="L37" i="7"/>
  <c r="F37" i="7" s="1"/>
  <c r="L39" i="7"/>
  <c r="F39" i="7" s="1"/>
  <c r="K17" i="7"/>
  <c r="M17" i="7" s="1"/>
  <c r="G17" i="7" s="1"/>
  <c r="L25" i="7"/>
  <c r="F25" i="7" s="1"/>
  <c r="L44" i="7"/>
  <c r="F44" i="7" s="1"/>
  <c r="K9" i="7"/>
  <c r="M9" i="7" s="1"/>
  <c r="G9" i="7" s="1"/>
  <c r="K12" i="7"/>
  <c r="M12" i="7" s="1"/>
  <c r="G12" i="7" s="1"/>
  <c r="K20" i="7"/>
  <c r="M20" i="7" s="1"/>
  <c r="G20" i="7" s="1"/>
  <c r="L28" i="7"/>
  <c r="F28" i="7" s="1"/>
  <c r="L35" i="7"/>
  <c r="F35" i="7" s="1"/>
  <c r="F21" i="6"/>
  <c r="F22" i="6" s="1"/>
  <c r="H20" i="6"/>
  <c r="I20" i="6" s="1"/>
  <c r="H17" i="6"/>
  <c r="I17" i="6" s="1"/>
  <c r="H15" i="6"/>
  <c r="I15" i="6" s="1"/>
  <c r="F12" i="6"/>
  <c r="I7" i="6"/>
  <c r="H6" i="6"/>
  <c r="I6" i="6" s="1"/>
  <c r="F23" i="6" l="1"/>
  <c r="H23" i="6" s="1"/>
  <c r="I23" i="6" s="1"/>
  <c r="H22" i="6"/>
  <c r="I22" i="6" s="1"/>
  <c r="M7" i="7"/>
  <c r="G7" i="7" s="1"/>
  <c r="F4" i="6"/>
  <c r="H4" i="6" s="1"/>
  <c r="H21" i="6"/>
  <c r="I21" i="6" s="1"/>
  <c r="L21" i="6" s="1"/>
  <c r="E12" i="2" s="1"/>
  <c r="E11" i="2"/>
  <c r="F5" i="6"/>
  <c r="M38" i="7"/>
  <c r="G38" i="7" s="1"/>
  <c r="M27" i="7"/>
  <c r="G27" i="7" s="1"/>
  <c r="L51" i="7"/>
  <c r="F5" i="7"/>
  <c r="F51" i="7" s="1"/>
  <c r="K51" i="7"/>
  <c r="M5" i="7"/>
  <c r="E11" i="6"/>
  <c r="I11" i="6"/>
  <c r="E10" i="6"/>
  <c r="E6" i="6"/>
  <c r="H12" i="6"/>
  <c r="I12" i="6" s="1"/>
  <c r="I10" i="6"/>
  <c r="F6" i="5"/>
  <c r="F7" i="5"/>
  <c r="F8" i="5"/>
  <c r="F9" i="5"/>
  <c r="F10" i="5"/>
  <c r="F11" i="5"/>
  <c r="F5" i="5"/>
  <c r="E15" i="5"/>
  <c r="E3" i="2"/>
  <c r="D3" i="2"/>
  <c r="F8" i="6" l="1"/>
  <c r="H8" i="6" s="1"/>
  <c r="I8" i="6" s="1"/>
  <c r="H9" i="6"/>
  <c r="I9" i="6" s="1"/>
  <c r="F13" i="6"/>
  <c r="E5" i="6"/>
  <c r="H5" i="6"/>
  <c r="I5" i="6" s="1"/>
  <c r="E9" i="6"/>
  <c r="I4" i="6"/>
  <c r="E4" i="6"/>
  <c r="M51" i="7"/>
  <c r="G5" i="7"/>
  <c r="G51" i="7" s="1"/>
  <c r="F13" i="5"/>
  <c r="F15" i="5"/>
  <c r="D12" i="2"/>
  <c r="D11" i="2"/>
  <c r="D10" i="2"/>
  <c r="D9" i="2"/>
  <c r="D7" i="2"/>
  <c r="F14" i="6" l="1"/>
  <c r="F19" i="6" s="1"/>
  <c r="H13" i="6"/>
  <c r="I13" i="6" s="1"/>
  <c r="H14" i="6" l="1"/>
  <c r="I14" i="6" s="1"/>
  <c r="H19" i="6"/>
  <c r="I19" i="6" s="1"/>
  <c r="I16" i="6"/>
  <c r="E8" i="2" l="1"/>
  <c r="D8" i="2" s="1"/>
  <c r="E13" i="2" l="1"/>
  <c r="E5" i="2"/>
  <c r="D5" i="2" s="1"/>
  <c r="E6" i="2" l="1"/>
  <c r="D6" i="2" s="1"/>
  <c r="D1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KCENC</author>
  </authors>
  <commentList>
    <comment ref="E5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연락처로
급여명세서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<sst xmlns="http://schemas.openxmlformats.org/spreadsheetml/2006/main" count="1138" uniqueCount="564">
  <si>
    <t>용 역 청 구 서</t>
    <phoneticPr fontId="5" type="noConversion"/>
  </si>
  <si>
    <t>공      사      명</t>
    <phoneticPr fontId="9" type="noConversion"/>
  </si>
  <si>
    <t>:</t>
    <phoneticPr fontId="9" type="noConversion"/>
  </si>
  <si>
    <t>공               종</t>
    <phoneticPr fontId="9" type="noConversion"/>
  </si>
  <si>
    <t xml:space="preserve"> 외주용역(M/M부분)</t>
    <phoneticPr fontId="3" type="noConversion"/>
  </si>
  <si>
    <t>계   약    금   액</t>
    <phoneticPr fontId="9" type="noConversion"/>
  </si>
  <si>
    <t>(VAT 별도)</t>
    <phoneticPr fontId="9" type="noConversion"/>
  </si>
  <si>
    <t>누 계 기 성 금 액</t>
    <phoneticPr fontId="9" type="noConversion"/>
  </si>
  <si>
    <t>(VAT 별도)</t>
    <phoneticPr fontId="9" type="noConversion"/>
  </si>
  <si>
    <t>전 회 기 성 금 액</t>
    <phoneticPr fontId="9" type="noConversion"/>
  </si>
  <si>
    <t>:</t>
    <phoneticPr fontId="9" type="noConversion"/>
  </si>
  <si>
    <t>(VAT 별도)</t>
    <phoneticPr fontId="9" type="noConversion"/>
  </si>
  <si>
    <t>금 회 기 성 금 액</t>
    <phoneticPr fontId="9" type="noConversion"/>
  </si>
  <si>
    <t>(VAT 별도)</t>
    <phoneticPr fontId="9" type="noConversion"/>
  </si>
  <si>
    <t>선      금       액</t>
    <phoneticPr fontId="9" type="noConversion"/>
  </si>
  <si>
    <t>:</t>
    <phoneticPr fontId="9" type="noConversion"/>
  </si>
  <si>
    <t xml:space="preserve">선 금 전 회 공 제    </t>
    <phoneticPr fontId="9" type="noConversion"/>
  </si>
  <si>
    <t>:</t>
    <phoneticPr fontId="3" type="noConversion"/>
  </si>
  <si>
    <t>선 금 금 회 공 제</t>
    <phoneticPr fontId="9" type="noConversion"/>
  </si>
  <si>
    <t>선 금 잔 여 금 액</t>
    <phoneticPr fontId="9" type="noConversion"/>
  </si>
  <si>
    <t>금 회 청 구 금 액</t>
    <phoneticPr fontId="9" type="noConversion"/>
  </si>
  <si>
    <t>:</t>
    <phoneticPr fontId="9" type="noConversion"/>
  </si>
  <si>
    <t>잔 여 기 성 금 액</t>
    <phoneticPr fontId="9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</si>
  <si>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</si>
  <si>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</si>
  <si>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</si>
  <si>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</si>
  <si>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9" type="noConversion"/>
  </si>
  <si>
    <t>관하여 하자가 발견된 때에는 즉시 실액배상 또는 재 시공할것을 서약하고 이에 기성 청구서를 제출합니다.</t>
    <phoneticPr fontId="9" type="noConversion"/>
  </si>
  <si>
    <t>상기건과 관련하여 본 청구 이전까지의 모든 대금은 수령하였음을 확약합니다.</t>
    <phoneticPr fontId="3" type="noConversion"/>
  </si>
  <si>
    <t>상      호 :</t>
    <phoneticPr fontId="9" type="noConversion"/>
  </si>
  <si>
    <t xml:space="preserve">※첨  부 : 기성내역서            1부. </t>
    <phoneticPr fontId="9" type="noConversion"/>
  </si>
  <si>
    <t>주      소 :</t>
    <phoneticPr fontId="9" type="noConversion"/>
  </si>
  <si>
    <t>대표이사 :</t>
    <phoneticPr fontId="9" type="noConversion"/>
  </si>
  <si>
    <t>㈜케이씨이앤씨 귀하</t>
    <phoneticPr fontId="9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</si>
  <si>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</si>
  <si>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</si>
  <si>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</si>
  <si>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</si>
  <si>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</si>
  <si>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</si>
  <si>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</si>
  <si>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</si>
  <si>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</si>
  <si>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</si>
  <si>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</si>
  <si>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</si>
  <si>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</si>
  <si>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</si>
  <si>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</si>
  <si>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</si>
  <si>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</si>
  <si>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</si>
  <si>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</si>
  <si>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</si>
  <si>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</si>
  <si>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</si>
  <si>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</si>
  <si>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</si>
  <si>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</si>
  <si>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</si>
  <si>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</si>
  <si>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</si>
  <si>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</si>
  <si>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</si>
  <si>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</si>
  <si>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</si>
  <si>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</si>
  <si>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</si>
  <si>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</si>
  <si>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</si>
  <si>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</si>
  <si>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</si>
  <si>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</si>
  <si>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</si>
  <si>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</si>
  <si>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</si>
  <si>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</si>
  <si>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</si>
  <si>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</si>
  <si>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</si>
  <si>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</si>
  <si>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</si>
  <si>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</si>
  <si>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</si>
  <si>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</si>
  <si>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</si>
  <si>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</si>
  <si>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</si>
  <si>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</si>
  <si>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</si>
  <si>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</si>
  <si>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</si>
  <si>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</si>
  <si>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</si>
  <si>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</si>
  <si>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</si>
  <si>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</si>
  <si>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</si>
  <si>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</si>
  <si>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</si>
  <si>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</si>
  <si>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</si>
  <si>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</si>
  <si>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</si>
  <si>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</si>
  <si>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</si>
  <si>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</si>
  <si>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</si>
  <si>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</si>
  <si>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</si>
  <si>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</si>
  <si>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</si>
  <si>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</si>
  <si>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</si>
  <si>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</si>
  <si>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</si>
  <si>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</si>
  <si>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</si>
  <si>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</si>
  <si>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</si>
  <si>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</si>
  <si>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</si>
  <si>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</si>
  <si>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</si>
  <si>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 xml:space="preserve"> 2. 기타비용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</si>
  <si>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</si>
  <si>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</si>
  <si>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</si>
  <si>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 xml:space="preserve"> 3. 노무비</t>
    <phoneticPr fontId="3" type="noConversion"/>
  </si>
  <si>
    <t>직접노무비</t>
    <phoneticPr fontId="3" type="noConversion"/>
  </si>
  <si>
    <t>式</t>
    <phoneticPr fontId="3" type="noConversion"/>
  </si>
  <si>
    <t xml:space="preserve"> 4. 숙소 및 식대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</si>
  <si>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</si>
  <si>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</si>
  <si>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</si>
  <si>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 xml:space="preserve"> 5. 기타 공제 내역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</si>
  <si>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</si>
  <si>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</si>
  <si>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</si>
  <si>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</si>
  <si>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 xml:space="preserve"> 6. 유보금</t>
    <phoneticPr fontId="3" type="noConversion"/>
  </si>
  <si>
    <t>기성금*XX%</t>
    <phoneticPr fontId="3" type="noConversion"/>
  </si>
  <si>
    <t xml:space="preserve"> 7. 유보금 차액</t>
    <phoneticPr fontId="3" type="noConversion"/>
  </si>
  <si>
    <t>전회 누계유보금+적자 기성액</t>
    <phoneticPr fontId="3" type="noConversion"/>
  </si>
  <si>
    <t>式</t>
    <phoneticPr fontId="3" type="noConversion"/>
  </si>
  <si>
    <t xml:space="preserve"> 8. NEGO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</si>
  <si>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</si>
  <si>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</si>
  <si>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</si>
  <si>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</si>
  <si>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</si>
  <si>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선수공제</t>
    <phoneticPr fontId="3" type="noConversion"/>
  </si>
  <si>
    <t>지급 선급금</t>
    <phoneticPr fontId="3" type="noConversion"/>
  </si>
  <si>
    <t>선급금 차액</t>
    <phoneticPr fontId="3" type="noConversion"/>
  </si>
  <si>
    <t>단수정리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</si>
  <si>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</si>
  <si>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</si>
  <si>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</si>
  <si>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만 단위 이하 절사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</si>
  <si>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</si>
  <si>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</si>
  <si>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</si>
  <si>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</si>
  <si>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</si>
  <si>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</si>
  <si>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</si>
  <si>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</si>
  <si>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</si>
  <si>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</si>
  <si>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</si>
  <si>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</si>
  <si>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</si>
  <si>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</si>
  <si>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</si>
  <si>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</si>
  <si>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</si>
  <si>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</si>
  <si>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</si>
  <si>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</si>
  <si>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</si>
  <si>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</si>
  <si>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</si>
  <si>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</si>
  <si>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</si>
  <si>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</si>
  <si>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</si>
  <si>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</si>
  <si>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</si>
  <si>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</si>
  <si>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</si>
  <si>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</si>
  <si>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</si>
  <si>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</si>
  <si>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</si>
  <si>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</si>
  <si>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</si>
  <si>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</si>
  <si>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</si>
  <si>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</si>
  <si>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</si>
  <si>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</si>
  <si>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</si>
  <si>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</si>
  <si>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</si>
  <si>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</si>
  <si>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</si>
  <si>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</si>
  <si>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</si>
  <si>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</si>
  <si>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</si>
  <si>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</si>
  <si>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</si>
  <si>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</si>
  <si>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</si>
  <si>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</si>
  <si>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</si>
  <si>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</si>
  <si>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</si>
  <si>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</si>
  <si>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</si>
  <si>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</si>
  <si>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</si>
  <si>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</si>
  <si>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</si>
  <si>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</si>
  <si>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</si>
  <si>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</si>
  <si>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</si>
  <si>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</si>
  <si>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</si>
  <si>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</si>
  <si>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</si>
  <si>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보통인부</t>
  </si>
  <si>
    <t>국민</t>
  </si>
  <si>
    <t>용접공</t>
  </si>
  <si>
    <t>배관공</t>
  </si>
  <si>
    <t>농협</t>
  </si>
  <si>
    <t>신한</t>
  </si>
  <si>
    <t>추가 공사건 투입인원 합   계</t>
    <phoneticPr fontId="3" type="noConversion"/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</si>
  <si>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</si>
  <si>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</si>
  <si>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</si>
  <si>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</si>
  <si>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</si>
  <si>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</si>
  <si>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</si>
  <si>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</si>
  <si>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</si>
  <si>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</si>
  <si>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</si>
  <si>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</si>
  <si>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</si>
  <si>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KC대납 임대료</t>
  </si>
  <si>
    <t>301호</t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</si>
  <si>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</si>
  <si>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</si>
  <si>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</si>
  <si>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</si>
  <si>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</si>
  <si>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</si>
  <si>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</si>
  <si>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</si>
  <si>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</si>
  <si>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</si>
  <si>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</si>
  <si>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</si>
  <si>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</si>
  <si>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</si>
  <si>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</si>
  <si>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비     고</t>
    <phoneticPr fontId="3" type="noConversion"/>
  </si>
  <si>
    <t>KC대납 관리비</t>
    <phoneticPr fontId="3" type="noConversion"/>
  </si>
  <si>
    <t>KC대납 관리비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</si>
  <si>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</si>
  <si>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</si>
  <si>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</si>
  <si>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</si>
  <si>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</si>
  <si>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</si>
  <si>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</si>
  <si>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</si>
  <si>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</si>
  <si>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</si>
  <si>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KC대납 식대</t>
  </si>
  <si>
    <t>기술인및관리자 (현장 식당)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</si>
  <si>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</si>
  <si>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</si>
  <si>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</si>
  <si>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</si>
  <si>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</si>
  <si>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</si>
  <si>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</si>
  <si>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</si>
  <si>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</si>
  <si>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</si>
  <si>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</si>
  <si>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</si>
  <si>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</si>
  <si>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</si>
  <si>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</si>
  <si>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</si>
  <si>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소모품비</t>
  </si>
  <si>
    <t>대성이엔지</t>
    <phoneticPr fontId="5" type="noConversion"/>
  </si>
  <si>
    <t>경기도 파주시 파주읍 주라위길 380</t>
    <phoneticPr fontId="3" type="noConversion"/>
  </si>
  <si>
    <t>정 성 기</t>
    <phoneticPr fontId="3" type="noConversion"/>
  </si>
  <si>
    <t>(인)</t>
    <phoneticPr fontId="9" type="noConversion"/>
  </si>
  <si>
    <t>우리</t>
  </si>
  <si>
    <t>기업</t>
  </si>
  <si>
    <t>202호</t>
  </si>
  <si>
    <t>202호</t>
    <phoneticPr fontId="3" type="noConversion"/>
  </si>
  <si>
    <t>301호</t>
    <phoneticPr fontId="3" type="noConversion"/>
  </si>
  <si>
    <t>관리비</t>
    <phoneticPr fontId="3" type="noConversion"/>
  </si>
  <si>
    <t>포세카</t>
    <phoneticPr fontId="3" type="noConversion"/>
  </si>
  <si>
    <t>미래공구</t>
    <phoneticPr fontId="3" type="noConversion"/>
  </si>
  <si>
    <t>거래명세서 첨부</t>
    <phoneticPr fontId="3" type="noConversion"/>
  </si>
  <si>
    <t>밥심</t>
    <phoneticPr fontId="3" type="noConversion"/>
  </si>
  <si>
    <t>하나</t>
  </si>
  <si>
    <t>우체국</t>
  </si>
  <si>
    <t>401호</t>
  </si>
  <si>
    <t>석임수</t>
  </si>
  <si>
    <t>911020-1685317</t>
  </si>
  <si>
    <t>공사보조</t>
    <phoneticPr fontId="3" type="noConversion"/>
  </si>
  <si>
    <t>안전보조</t>
    <phoneticPr fontId="3" type="noConversion"/>
  </si>
  <si>
    <t>238-910260-47407</t>
  </si>
  <si>
    <t>010-4183-1119</t>
  </si>
  <si>
    <t>수평 [자석,MML-100 [SB]]</t>
  </si>
  <si>
    <t>보루 [5KG,면 [백호]]</t>
  </si>
  <si>
    <t>청보호랩 [500mm*150m [다성]]</t>
  </si>
  <si>
    <t>작 성 일 :   2026  년  03 월   31일</t>
    <phoneticPr fontId="9" type="noConversion"/>
  </si>
  <si>
    <t>2026년 (    03   )월 일용 노무비명세서</t>
    <phoneticPr fontId="3" type="noConversion"/>
  </si>
  <si>
    <t>2026년 (03)월 물량 내역서</t>
    <phoneticPr fontId="3" type="noConversion"/>
  </si>
  <si>
    <t xml:space="preserve">숙소임대료(03월분) </t>
    <phoneticPr fontId="3" type="noConversion"/>
  </si>
  <si>
    <t xml:space="preserve">숙소수도세(03월분) </t>
  </si>
  <si>
    <t xml:space="preserve">숙소가스료(03월분) </t>
  </si>
  <si>
    <t xml:space="preserve">숙소전기료(03월분) </t>
  </si>
  <si>
    <t xml:space="preserve"> 9. 보류금액</t>
    <phoneticPr fontId="3" type="noConversion"/>
  </si>
  <si>
    <t>3월분 보류금액(97,963,959)</t>
    <phoneticPr fontId="3" type="noConversion"/>
  </si>
  <si>
    <t>건전지 [AAA,2개 [벡셀]]</t>
  </si>
  <si>
    <t>절연테이프 [19*10m,검정,CTX [금성]]</t>
  </si>
  <si>
    <t>수세미 [MIGHTY BLUE PAD,녹색 [3M]]</t>
  </si>
  <si>
    <t>순간접착제 [401,20g,CTX [록타이트]]</t>
  </si>
  <si>
    <t>번호열쇠 [XD-40,4열 [자커]]</t>
  </si>
  <si>
    <t>청보호랩 [250mm*150m [다성]]</t>
  </si>
  <si>
    <t>총   계</t>
    <phoneticPr fontId="5" type="noConversion"/>
  </si>
  <si>
    <t>M/M</t>
  </si>
  <si>
    <t>C</t>
  </si>
  <si>
    <t>초급기술인</t>
  </si>
  <si>
    <t>B</t>
  </si>
  <si>
    <t>중급기술인</t>
  </si>
  <si>
    <t>B+</t>
  </si>
  <si>
    <t/>
  </si>
  <si>
    <t>A</t>
  </si>
  <si>
    <t>A+</t>
  </si>
  <si>
    <t>S</t>
  </si>
  <si>
    <t>고급기술인</t>
  </si>
  <si>
    <t>S+</t>
  </si>
  <si>
    <t>금  액</t>
    <phoneticPr fontId="5" type="noConversion"/>
  </si>
  <si>
    <t>수 량</t>
    <phoneticPr fontId="5" type="noConversion"/>
  </si>
  <si>
    <t>비 고</t>
    <phoneticPr fontId="52" type="noConversion"/>
  </si>
  <si>
    <t>금 회 청 구</t>
    <phoneticPr fontId="5" type="noConversion"/>
  </si>
  <si>
    <t>단 가</t>
    <phoneticPr fontId="5" type="noConversion"/>
  </si>
  <si>
    <t>단위</t>
  </si>
  <si>
    <t>규   격</t>
    <phoneticPr fontId="5" type="noConversion"/>
  </si>
  <si>
    <t>품          명</t>
  </si>
  <si>
    <t>단위 : 원</t>
    <phoneticPr fontId="5" type="noConversion"/>
  </si>
  <si>
    <t>용 역 내 역 서</t>
    <phoneticPr fontId="5" type="noConversion"/>
  </si>
  <si>
    <t>S26-001</t>
    <phoneticPr fontId="5" type="noConversion"/>
  </si>
  <si>
    <t>조 수 원</t>
    <phoneticPr fontId="3" type="noConversion"/>
  </si>
  <si>
    <t>강민석</t>
  </si>
  <si>
    <t>000819-3823434</t>
  </si>
  <si>
    <t>010-4796-2063</t>
  </si>
  <si>
    <t>110-552-336273</t>
  </si>
  <si>
    <t>강희수</t>
  </si>
  <si>
    <t>730210-1029411</t>
  </si>
  <si>
    <t>도비공</t>
  </si>
  <si>
    <t>010-9561-6101</t>
  </si>
  <si>
    <t>110-490-486591</t>
  </si>
  <si>
    <t>김금성</t>
  </si>
  <si>
    <t>870118-1162639</t>
  </si>
  <si>
    <t>010-5125-5154</t>
  </si>
  <si>
    <t>351-1130-0614-23</t>
  </si>
  <si>
    <t>김동욱</t>
  </si>
  <si>
    <t>810302-1830628</t>
  </si>
  <si>
    <t>010-5022-0444</t>
  </si>
  <si>
    <t>302-5022-0444-11</t>
  </si>
  <si>
    <t>김마태</t>
  </si>
  <si>
    <t>830224-1912010</t>
  </si>
  <si>
    <t>010-2725-6089</t>
  </si>
  <si>
    <t>175-073189-01-013</t>
  </si>
  <si>
    <t>김승태</t>
  </si>
  <si>
    <t>720112-1019646</t>
  </si>
  <si>
    <t>010-7166-5282</t>
  </si>
  <si>
    <t>토스뱅크</t>
  </si>
  <si>
    <t>1000-2078-6151</t>
  </si>
  <si>
    <t>김정인</t>
  </si>
  <si>
    <t>911224-1235320</t>
  </si>
  <si>
    <t>010-3175-7994</t>
  </si>
  <si>
    <t>김진</t>
  </si>
  <si>
    <t>840728-1235014</t>
  </si>
  <si>
    <t>010-6246-4588</t>
  </si>
  <si>
    <t>458-013758-02-012</t>
  </si>
  <si>
    <t>김치헌</t>
  </si>
  <si>
    <t>790914-1567115</t>
  </si>
  <si>
    <t>010-4191-6886</t>
  </si>
  <si>
    <t>257602-04-003063</t>
  </si>
  <si>
    <t>김형태</t>
  </si>
  <si>
    <t>700430-1069427</t>
  </si>
  <si>
    <t>010-3186-7175</t>
  </si>
  <si>
    <t>352-1156-5484-53</t>
  </si>
  <si>
    <t>남현빈</t>
  </si>
  <si>
    <t>990907-1842410</t>
  </si>
  <si>
    <t>010-7131-4342</t>
  </si>
  <si>
    <t>카카오뱅크</t>
  </si>
  <si>
    <t>3333-13-8378173</t>
  </si>
  <si>
    <t>빈상원</t>
  </si>
  <si>
    <t>810410-1522211</t>
  </si>
  <si>
    <t>010-8778-9123</t>
  </si>
  <si>
    <t>신협</t>
  </si>
  <si>
    <t>137-012-596819</t>
  </si>
  <si>
    <t>성지현</t>
  </si>
  <si>
    <t>861110-1351114</t>
  </si>
  <si>
    <t>010-9197-9732</t>
  </si>
  <si>
    <t>3333-01-9967097</t>
  </si>
  <si>
    <t>신민철</t>
  </si>
  <si>
    <t>830814-1183120</t>
  </si>
  <si>
    <t>010-7706-5000</t>
  </si>
  <si>
    <t>289-082628-01-018</t>
  </si>
  <si>
    <t>양정운</t>
  </si>
  <si>
    <t>821019-1449616</t>
  </si>
  <si>
    <t>010-3641-8181</t>
  </si>
  <si>
    <t>302-1350-3060-51</t>
  </si>
  <si>
    <t>양정인</t>
  </si>
  <si>
    <t>810207-1455012</t>
  </si>
  <si>
    <t>010-8824-6401</t>
  </si>
  <si>
    <t>472301-04-019277</t>
  </si>
  <si>
    <t>연승렬</t>
  </si>
  <si>
    <t>700216-1011916</t>
  </si>
  <si>
    <t>010-8098-3356</t>
  </si>
  <si>
    <t>186-086062-01-011</t>
  </si>
  <si>
    <t>옥유정</t>
  </si>
  <si>
    <t>850715-2093511</t>
  </si>
  <si>
    <t>010-2313-8731</t>
  </si>
  <si>
    <t>3333-17-6983150</t>
  </si>
  <si>
    <t>이강남</t>
  </si>
  <si>
    <t>750810-1106711</t>
  </si>
  <si>
    <t>010-2369-7579</t>
  </si>
  <si>
    <t>102319-02-095386</t>
  </si>
  <si>
    <t>이백창</t>
  </si>
  <si>
    <t>761016-1110611</t>
  </si>
  <si>
    <t>010-9815-0818</t>
  </si>
  <si>
    <t>NH투자증권</t>
  </si>
  <si>
    <t>207-01-565429</t>
  </si>
  <si>
    <t>이상덕</t>
  </si>
  <si>
    <t>730801-1545424</t>
  </si>
  <si>
    <t>010-2495-1870</t>
  </si>
  <si>
    <t>183-015807-01020</t>
  </si>
  <si>
    <t>이수빈</t>
  </si>
  <si>
    <t>940912-1105528</t>
  </si>
  <si>
    <t>010-7774-4872</t>
  </si>
  <si>
    <t>110802-04-289399</t>
  </si>
  <si>
    <t>이진</t>
  </si>
  <si>
    <t>900815-1066311</t>
  </si>
  <si>
    <t>010-8738-7072</t>
  </si>
  <si>
    <t>757102-04-212989</t>
  </si>
  <si>
    <t>이희준</t>
  </si>
  <si>
    <t>840808-1002416</t>
  </si>
  <si>
    <t>010-7612-6003</t>
  </si>
  <si>
    <t>1000-3396-8736</t>
  </si>
  <si>
    <t>정춘식</t>
  </si>
  <si>
    <t>870321-1050411</t>
  </si>
  <si>
    <t xml:space="preserve">010-3413-8703 </t>
  </si>
  <si>
    <t>352-1195-1823-93</t>
  </si>
  <si>
    <t>조봉연</t>
  </si>
  <si>
    <t>911016-1030818</t>
  </si>
  <si>
    <t>010-7608-9991</t>
  </si>
  <si>
    <t>3333-17-3476329</t>
  </si>
  <si>
    <t>조영래</t>
  </si>
  <si>
    <t>690909-1458513</t>
  </si>
  <si>
    <t>010-5345-0591</t>
  </si>
  <si>
    <t>078-24-0643-341</t>
  </si>
  <si>
    <t>최대용</t>
  </si>
  <si>
    <t>760327-1842514</t>
  </si>
  <si>
    <t>010-2264-7990</t>
  </si>
  <si>
    <t>354-910341-40407</t>
  </si>
  <si>
    <t>최원석</t>
  </si>
  <si>
    <t>791023-1065216</t>
  </si>
  <si>
    <t>010-6307-9819</t>
  </si>
  <si>
    <t>604401-01-239264</t>
  </si>
  <si>
    <t>최형권</t>
  </si>
  <si>
    <t>820625-1411930</t>
  </si>
  <si>
    <t>010-3121-3146</t>
  </si>
  <si>
    <t>1002-337-154871</t>
  </si>
  <si>
    <t>하성호</t>
  </si>
  <si>
    <t>770108-1468427</t>
  </si>
  <si>
    <t>010-8962-6247</t>
  </si>
  <si>
    <t>110-175-083529</t>
  </si>
  <si>
    <t>허남일</t>
  </si>
  <si>
    <t>771202-1452815</t>
  </si>
  <si>
    <t>010-8096-7102</t>
  </si>
  <si>
    <t>312363-02-228401</t>
  </si>
  <si>
    <t>황동우</t>
  </si>
  <si>
    <t>770113-1558817</t>
  </si>
  <si>
    <t>010-2360-6689</t>
  </si>
  <si>
    <t>688801-00-122509</t>
  </si>
  <si>
    <t>황민일</t>
  </si>
  <si>
    <t>030404-3253526</t>
  </si>
  <si>
    <t>010-5539-7068</t>
  </si>
  <si>
    <t>110-512-016280</t>
  </si>
  <si>
    <t>황순일</t>
  </si>
  <si>
    <t>960117-1254015</t>
  </si>
  <si>
    <t>010-3900-7068</t>
  </si>
  <si>
    <t>2026. 03. 03 ~ 2026. 03. 31</t>
    <phoneticPr fontId="3" type="noConversion"/>
  </si>
  <si>
    <t>401호</t>
    <phoneticPr fontId="3" type="noConversion"/>
  </si>
  <si>
    <t>고덕갈평10길 40, 301호</t>
    <phoneticPr fontId="3" type="noConversion"/>
  </si>
  <si>
    <t>고덕갈평10길 40, 301호</t>
    <phoneticPr fontId="3" type="noConversion"/>
  </si>
  <si>
    <t>함박산1길 50, 401호</t>
    <phoneticPr fontId="3" type="noConversion"/>
  </si>
  <si>
    <t>함박산1길 50, 401호</t>
    <phoneticPr fontId="3" type="noConversion"/>
  </si>
  <si>
    <t>함박산4길 3, 301호</t>
    <phoneticPr fontId="3" type="noConversion"/>
  </si>
  <si>
    <t>함박산4길 3, 301호</t>
    <phoneticPr fontId="3" type="noConversion"/>
  </si>
  <si>
    <t>고덕여염11길 14, 202호</t>
    <phoneticPr fontId="3" type="noConversion"/>
  </si>
  <si>
    <t>고덕여염11길 14, 202호</t>
    <phoneticPr fontId="3" type="noConversion"/>
  </si>
  <si>
    <t>함박산3길37, 301호</t>
    <phoneticPr fontId="3" type="noConversion"/>
  </si>
  <si>
    <t>함박산3길37, 301호</t>
    <phoneticPr fontId="3" type="noConversion"/>
  </si>
  <si>
    <t>함박산9길28, 401호(복층)</t>
    <phoneticPr fontId="3" type="noConversion"/>
  </si>
  <si>
    <t>함박산9길28, 401호(복층)</t>
    <phoneticPr fontId="3" type="noConversion"/>
  </si>
  <si>
    <t>고덕국제4길 60-16 202호</t>
    <phoneticPr fontId="3" type="noConversion"/>
  </si>
  <si>
    <t>고덕국제4길 60-16 202호</t>
    <phoneticPr fontId="3" type="noConversion"/>
  </si>
  <si>
    <t>고덕여염11길 149, 202호</t>
    <phoneticPr fontId="3" type="noConversion"/>
  </si>
  <si>
    <t>고덕여염6길 199 202호</t>
    <phoneticPr fontId="3" type="noConversion"/>
  </si>
  <si>
    <t>고덕여염6길 199 202호</t>
    <phoneticPr fontId="3" type="noConversion"/>
  </si>
  <si>
    <t>함박산1길 34 301호</t>
    <phoneticPr fontId="3" type="noConversion"/>
  </si>
  <si>
    <t>함박산1길 34 301호</t>
    <phoneticPr fontId="3" type="noConversion"/>
  </si>
  <si>
    <t>함박산9길26, 202호</t>
    <phoneticPr fontId="3" type="noConversion"/>
  </si>
  <si>
    <t>함박산9길26, 202호</t>
    <phoneticPr fontId="3" type="noConversion"/>
  </si>
  <si>
    <t>익월청구예정</t>
    <phoneticPr fontId="3" type="noConversion"/>
  </si>
  <si>
    <t>301호</t>
    <phoneticPr fontId="3" type="noConversion"/>
  </si>
  <si>
    <t>401호</t>
    <phoneticPr fontId="3" type="noConversion"/>
  </si>
  <si>
    <t>케이블타이 [200mm(1봉=1000개),백색 [HNS]]</t>
  </si>
  <si>
    <t>가위 [SB-P300,CTX [세신]]</t>
  </si>
  <si>
    <t>보드마카 [흑색,12개 [모나미]]</t>
  </si>
  <si>
    <t>물파스 [90ML [현대약품]]</t>
  </si>
  <si>
    <t>라인테이프 [50*30,PURPLE [A1]]</t>
  </si>
  <si>
    <t>단프라시트 [청색,900*1800*3T,플로베니아 [HNS]]</t>
  </si>
  <si>
    <t>PP로프 [10mm [HNS]]</t>
  </si>
  <si>
    <t>양면테이프 [50mm*6m,핫멧트 [HNS]]</t>
  </si>
  <si>
    <t>양면테이프 [25mm*6m,핫멧트 [HNS]]</t>
  </si>
  <si>
    <t>체인 [4mm,CTX [KBC]]</t>
  </si>
  <si>
    <t>철근절단비트 [MSRC-18 [모스툴]]</t>
  </si>
  <si>
    <t>충전후레쉬 [K2202,충전건전지포함 [수입]]</t>
  </si>
  <si>
    <t>레이저포인트 [A11,그린 [수입]]</t>
  </si>
  <si>
    <t>절연테이프 [19*10m,녹색,CTX [성우]]</t>
  </si>
  <si>
    <t>우레탄호스 [1/2",투명 [CDC]]</t>
  </si>
  <si>
    <t>안전화 [ZB-171S-6"N,265mm [지벤]]</t>
  </si>
  <si>
    <t>컷쏘날 [S922BF,철재,바이메탈,5개입 [보쉬]]</t>
  </si>
  <si>
    <t>열수축튜브 [16Q*50M 투명]</t>
  </si>
  <si>
    <t>다이아몬드줄 [160mm,원형 [삼익]]</t>
  </si>
  <si>
    <t>다이아몬드줄 [180mm,원형 [삼익]]</t>
  </si>
  <si>
    <t>티브러쉬 [75*6.스텐 [동양]]</t>
  </si>
  <si>
    <t>알곤게이지 [KX-3 [코리아나]]</t>
  </si>
  <si>
    <t>피스복 [아야지도장복,투피스,3XL [수입/SW]]</t>
  </si>
  <si>
    <t>제(  1  )회  기 성 청 구 서</t>
    <phoneticPr fontId="5" type="noConversion"/>
  </si>
  <si>
    <t>P4 Ph2 GAS&amp;PWC 1공구 배관공사 (FAB)</t>
    <phoneticPr fontId="9" type="noConversion"/>
  </si>
  <si>
    <t>2026년 3월</t>
    <phoneticPr fontId="5" type="noConversion"/>
  </si>
  <si>
    <t>대성이엔지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</si>
</sst>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43" formatCode="_-* #,##0.00_-;\-* #,##0.00_-;_-* &quot;-&quot;??_-;_-@_-"/>
    <numFmt numFmtId="176" formatCode="mm&quot;월&quot;\ dd&quot;일&quot;"/>
    <numFmt numFmtId="177" formatCode="[DBNum4]&quot;一&quot;&quot;金&quot;[$-412]General&quot;원&quot;&quot;정&quot;"/>
    <numFmt numFmtId="178" formatCode="0.000"/>
    <numFmt numFmtId="179" formatCode="_-* #,##0.00_-;\-* #,##0.00_-;_-* &quot;-&quot;_-;_-@_-"/>
    <numFmt numFmtId="180" formatCode="#,##0.000;[Red]\-#,##0.000"/>
    <numFmt numFmtId="181" formatCode="0_);[Red]\(0\)"/>
    <numFmt numFmtId="182" formatCode="000000\-0000000"/>
    <numFmt numFmtId="183" formatCode="#,##0_ "/>
    <numFmt numFmtId="184" formatCode="_-* #,##0.000_-;\-* #,##0.000_-;_-* &quot;-&quot;_-;_-@_-"/>
    <numFmt numFmtId="185" formatCode="_-* #,##0.0_-;\-* #,##0.0_-;_-* &quot;-&quot;_-;_-@_-"/>
    <numFmt numFmtId="186" formatCode="_-* #,##0_-;&quot;₩&quot;\!\-* #,##0_-;_-* &quot;-&quot;_-;_-@_-"/>
    <numFmt numFmtId="187" formatCode="0.00000000000000000000000"/>
    <numFmt numFmtId="188" formatCode="_-* #,##0_-;\-* #,##0_-;_-* &quot;-&quot;??_-;_-@_-"/>
  </numFmts>
  <fonts count="55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name val="새굴림"/>
      <family val="1"/>
      <charset val="129"/>
    </font>
    <font>
      <b/>
      <sz val="10"/>
      <name val="새굴림"/>
      <family val="1"/>
      <charset val="129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0"/>
      <name val="굴림체"/>
      <family val="3"/>
      <charset val="129"/>
    </font>
    <font>
      <b/>
      <sz val="12"/>
      <name val="돋움"/>
      <family val="3"/>
      <charset val="129"/>
    </font>
    <font>
      <sz val="12"/>
      <name val="굴림체"/>
      <family val="3"/>
      <charset val="129"/>
    </font>
    <font>
      <sz val="12"/>
      <name val="돋움"/>
      <family val="3"/>
      <charset val="129"/>
    </font>
    <font>
      <b/>
      <sz val="20"/>
      <name val="돋움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5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2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>
      <alignment vertical="center"/>
    </xf>
    <xf numFmtId="41" fontId="0" fillId="0" borderId="0" xfId="0" applyNumberFormat="1" applyFont="1" applyFill="1" applyBorder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41" fontId="13" fillId="0" borderId="0" xfId="0" applyNumberFormat="1" applyFont="1">
      <alignment vertical="center"/>
    </xf>
    <xf numFmtId="0" fontId="14" fillId="0" borderId="0" xfId="0" applyFont="1" applyAlignment="1">
      <alignment horizontal="right" vertical="center"/>
    </xf>
    <xf numFmtId="0" fontId="14" fillId="0" borderId="0" xfId="0" applyFont="1">
      <alignment vertical="center"/>
    </xf>
    <xf numFmtId="177" fontId="13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vertical="center" shrinkToFit="1"/>
    </xf>
    <xf numFmtId="9" fontId="0" fillId="0" borderId="0" xfId="0" applyNumberFormat="1" applyFont="1">
      <alignment vertical="center"/>
    </xf>
    <xf numFmtId="41" fontId="0" fillId="0" borderId="0" xfId="0" applyNumberFormat="1" applyFont="1">
      <alignment vertical="center"/>
    </xf>
    <xf numFmtId="41" fontId="1" fillId="0" borderId="0" xfId="0" applyNumberFormat="1" applyFont="1">
      <alignment vertical="center"/>
    </xf>
    <xf numFmtId="177" fontId="14" fillId="0" borderId="0" xfId="0" applyNumberFormat="1" applyFont="1" applyAlignment="1">
      <alignment horizontal="left" vertical="center"/>
    </xf>
    <xf numFmtId="41" fontId="14" fillId="0" borderId="0" xfId="0" applyNumberFormat="1" applyFont="1">
      <alignment vertical="center"/>
    </xf>
    <xf numFmtId="9" fontId="14" fillId="0" borderId="0" xfId="0" applyNumberFormat="1" applyFont="1" applyFill="1" applyAlignment="1">
      <alignment horizontal="left" vertical="center"/>
    </xf>
    <xf numFmtId="41" fontId="13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21" fillId="4" borderId="9" xfId="0" applyFont="1" applyFill="1" applyBorder="1" applyAlignment="1">
      <alignment horizontal="center" vertical="center"/>
    </xf>
    <xf numFmtId="0" fontId="21" fillId="4" borderId="18" xfId="0" applyFont="1" applyFill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13" fillId="0" borderId="9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1" fontId="16" fillId="0" borderId="20" xfId="0" applyNumberFormat="1" applyFont="1" applyBorder="1" applyAlignment="1">
      <alignment horizontal="center" vertical="center"/>
    </xf>
    <xf numFmtId="0" fontId="22" fillId="0" borderId="4" xfId="0" applyFont="1" applyBorder="1">
      <alignment vertical="center"/>
    </xf>
    <xf numFmtId="0" fontId="22" fillId="0" borderId="0" xfId="0" applyFont="1">
      <alignment vertical="center"/>
    </xf>
    <xf numFmtId="0" fontId="14" fillId="0" borderId="0" xfId="0" applyFont="1" applyAlignment="1">
      <alignment horizontal="right"/>
    </xf>
    <xf numFmtId="0" fontId="14" fillId="0" borderId="5" xfId="0" applyFont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25" xfId="0" applyFont="1" applyBorder="1">
      <alignment vertical="center"/>
    </xf>
    <xf numFmtId="41" fontId="23" fillId="0" borderId="9" xfId="0" applyNumberFormat="1" applyFont="1" applyBorder="1">
      <alignment vertical="center"/>
    </xf>
    <xf numFmtId="41" fontId="13" fillId="0" borderId="26" xfId="0" applyNumberFormat="1" applyFont="1" applyBorder="1" applyAlignment="1">
      <alignment horizontal="center" vertical="center"/>
    </xf>
    <xf numFmtId="41" fontId="13" fillId="0" borderId="13" xfId="0" applyNumberFormat="1" applyFont="1" applyBorder="1" applyAlignment="1">
      <alignment horizontal="center" vertical="center"/>
    </xf>
    <xf numFmtId="41" fontId="13" fillId="0" borderId="12" xfId="0" applyNumberFormat="1" applyFont="1" applyBorder="1" applyAlignment="1">
      <alignment horizontal="center" vertical="center"/>
    </xf>
    <xf numFmtId="0" fontId="13" fillId="0" borderId="25" xfId="0" applyFont="1" applyBorder="1">
      <alignment vertical="center"/>
    </xf>
    <xf numFmtId="178" fontId="13" fillId="0" borderId="9" xfId="0" applyNumberFormat="1" applyFont="1" applyBorder="1" applyAlignment="1">
      <alignment horizontal="center" vertical="center"/>
    </xf>
    <xf numFmtId="41" fontId="23" fillId="0" borderId="9" xfId="0" applyNumberFormat="1" applyFont="1" applyBorder="1" applyAlignment="1">
      <alignment horizontal="left" vertical="center" indent="1"/>
    </xf>
    <xf numFmtId="41" fontId="24" fillId="6" borderId="25" xfId="0" applyNumberFormat="1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center" vertical="center"/>
    </xf>
    <xf numFmtId="41" fontId="14" fillId="6" borderId="26" xfId="0" applyNumberFormat="1" applyFont="1" applyFill="1" applyBorder="1" applyAlignment="1">
      <alignment horizontal="center" vertical="center"/>
    </xf>
    <xf numFmtId="41" fontId="14" fillId="6" borderId="13" xfId="0" applyNumberFormat="1" applyFont="1" applyFill="1" applyBorder="1" applyAlignment="1">
      <alignment horizontal="center" vertical="center"/>
    </xf>
    <xf numFmtId="41" fontId="14" fillId="6" borderId="9" xfId="0" applyNumberFormat="1" applyFont="1" applyFill="1" applyBorder="1" applyAlignment="1">
      <alignment horizontal="center" vertical="center"/>
    </xf>
    <xf numFmtId="41" fontId="14" fillId="6" borderId="12" xfId="0" applyNumberFormat="1" applyFont="1" applyFill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41" fontId="23" fillId="0" borderId="9" xfId="0" applyNumberFormat="1" applyFont="1" applyBorder="1" applyAlignment="1">
      <alignment vertical="center" shrinkToFit="1"/>
    </xf>
    <xf numFmtId="0" fontId="14" fillId="4" borderId="9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41" fontId="14" fillId="2" borderId="26" xfId="0" applyNumberFormat="1" applyFont="1" applyFill="1" applyBorder="1" applyAlignment="1">
      <alignment horizontal="center" vertical="center"/>
    </xf>
    <xf numFmtId="41" fontId="14" fillId="2" borderId="13" xfId="0" applyNumberFormat="1" applyFont="1" applyFill="1" applyBorder="1" applyAlignment="1">
      <alignment horizontal="center" vertical="center"/>
    </xf>
    <xf numFmtId="41" fontId="14" fillId="2" borderId="9" xfId="0" applyNumberFormat="1" applyFont="1" applyFill="1" applyBorder="1" applyAlignment="1">
      <alignment horizontal="center" vertical="center"/>
    </xf>
    <xf numFmtId="41" fontId="14" fillId="2" borderId="12" xfId="0" applyNumberFormat="1" applyFont="1" applyFill="1" applyBorder="1" applyAlignment="1">
      <alignment horizontal="center" vertical="center"/>
    </xf>
    <xf numFmtId="41" fontId="23" fillId="2" borderId="9" xfId="0" applyNumberFormat="1" applyFont="1" applyFill="1" applyBorder="1">
      <alignment vertical="center"/>
    </xf>
    <xf numFmtId="0" fontId="14" fillId="0" borderId="4" xfId="0" applyFont="1" applyBorder="1">
      <alignment vertical="center"/>
    </xf>
    <xf numFmtId="0" fontId="22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22" fillId="0" borderId="7" xfId="0" applyFont="1" applyBorder="1">
      <alignment vertical="center"/>
    </xf>
    <xf numFmtId="0" fontId="22" fillId="0" borderId="8" xfId="0" applyFont="1" applyBorder="1">
      <alignment vertical="center"/>
    </xf>
    <xf numFmtId="0" fontId="16" fillId="0" borderId="0" xfId="0" applyFont="1">
      <alignment vertical="center"/>
    </xf>
    <xf numFmtId="0" fontId="21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0" applyNumberFormat="1" applyFont="1" applyBorder="1">
      <alignment vertical="center"/>
    </xf>
    <xf numFmtId="41" fontId="0" fillId="0" borderId="9" xfId="0" applyNumberFormat="1" applyBorder="1">
      <alignment vertical="center"/>
    </xf>
    <xf numFmtId="41" fontId="26" fillId="2" borderId="9" xfId="0" applyNumberFormat="1" applyFont="1" applyFill="1" applyBorder="1">
      <alignment vertical="center"/>
    </xf>
    <xf numFmtId="179" fontId="0" fillId="0" borderId="9" xfId="0" applyNumberFormat="1" applyBorder="1">
      <alignment vertical="center"/>
    </xf>
    <xf numFmtId="0" fontId="30" fillId="0" borderId="0" xfId="0" applyFont="1">
      <alignment vertical="center"/>
    </xf>
    <xf numFmtId="181" fontId="30" fillId="0" borderId="0" xfId="0" applyNumberFormat="1" applyFont="1">
      <alignment vertical="center"/>
    </xf>
    <xf numFmtId="0" fontId="31" fillId="0" borderId="0" xfId="0" applyFont="1" applyAlignment="1" applyProtection="1">
      <alignment horizontal="left" vertical="center"/>
      <protection locked="0"/>
    </xf>
    <xf numFmtId="40" fontId="32" fillId="0" borderId="0" xfId="0" applyNumberFormat="1" applyFont="1" applyAlignment="1" applyProtection="1">
      <alignment horizontal="left" vertical="center"/>
      <protection locked="0"/>
    </xf>
    <xf numFmtId="180" fontId="32" fillId="0" borderId="0" xfId="0" applyNumberFormat="1" applyFont="1" applyAlignment="1" applyProtection="1">
      <alignment horizontal="right" vertical="center"/>
      <protection locked="0"/>
    </xf>
    <xf numFmtId="41" fontId="14" fillId="5" borderId="42" xfId="0" applyNumberFormat="1" applyFont="1" applyFill="1" applyBorder="1" applyAlignment="1">
      <alignment horizontal="center" vertical="center"/>
    </xf>
    <xf numFmtId="41" fontId="14" fillId="5" borderId="43" xfId="0" applyNumberFormat="1" applyFont="1" applyFill="1" applyBorder="1" applyAlignment="1">
      <alignment horizontal="center" vertical="center"/>
    </xf>
    <xf numFmtId="181" fontId="14" fillId="5" borderId="43" xfId="0" applyNumberFormat="1" applyFont="1" applyFill="1" applyBorder="1" applyAlignment="1">
      <alignment horizontal="center" vertical="center"/>
    </xf>
    <xf numFmtId="181" fontId="14" fillId="5" borderId="44" xfId="0" applyNumberFormat="1" applyFont="1" applyFill="1" applyBorder="1" applyAlignment="1">
      <alignment horizontal="center" vertical="center"/>
    </xf>
    <xf numFmtId="180" fontId="14" fillId="5" borderId="42" xfId="0" applyNumberFormat="1" applyFont="1" applyFill="1" applyBorder="1" applyAlignment="1">
      <alignment horizontal="center" vertical="center"/>
    </xf>
    <xf numFmtId="180" fontId="14" fillId="5" borderId="44" xfId="0" applyNumberFormat="1" applyFont="1" applyFill="1" applyBorder="1" applyAlignment="1">
      <alignment horizontal="center" vertical="center"/>
    </xf>
    <xf numFmtId="0" fontId="14" fillId="0" borderId="11" xfId="0" applyNumberFormat="1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82" fontId="14" fillId="0" borderId="11" xfId="0" applyNumberFormat="1" applyFont="1" applyFill="1" applyBorder="1" applyAlignment="1">
      <alignment horizontal="center" vertical="center"/>
    </xf>
    <xf numFmtId="41" fontId="14" fillId="0" borderId="11" xfId="0" applyNumberFormat="1" applyFont="1" applyFill="1" applyBorder="1" applyAlignment="1">
      <alignment horizontal="center" vertical="center"/>
    </xf>
    <xf numFmtId="181" fontId="14" fillId="0" borderId="11" xfId="0" applyNumberFormat="1" applyFont="1" applyFill="1" applyBorder="1" applyAlignment="1">
      <alignment horizontal="center" vertical="center"/>
    </xf>
    <xf numFmtId="181" fontId="14" fillId="0" borderId="47" xfId="0" applyNumberFormat="1" applyFont="1" applyFill="1" applyBorder="1" applyAlignment="1">
      <alignment horizontal="center" vertical="center"/>
    </xf>
    <xf numFmtId="178" fontId="0" fillId="0" borderId="48" xfId="0" applyNumberFormat="1" applyBorder="1" applyAlignment="1">
      <alignment horizontal="center" vertical="center"/>
    </xf>
    <xf numFmtId="180" fontId="14" fillId="0" borderId="49" xfId="0" applyNumberFormat="1" applyFont="1" applyFill="1" applyBorder="1" applyAlignment="1">
      <alignment horizontal="center" vertical="center"/>
    </xf>
    <xf numFmtId="183" fontId="14" fillId="0" borderId="47" xfId="0" applyNumberFormat="1" applyFont="1" applyBorder="1">
      <alignment vertical="center"/>
    </xf>
    <xf numFmtId="0" fontId="14" fillId="0" borderId="9" xfId="0" applyNumberFormat="1" applyFont="1" applyFill="1" applyBorder="1" applyAlignment="1">
      <alignment horizontal="center" vertical="center"/>
    </xf>
    <xf numFmtId="182" fontId="14" fillId="0" borderId="9" xfId="0" applyNumberFormat="1" applyFont="1" applyFill="1" applyBorder="1" applyAlignment="1">
      <alignment horizontal="center" vertical="center"/>
    </xf>
    <xf numFmtId="41" fontId="14" fillId="0" borderId="9" xfId="0" applyNumberFormat="1" applyFont="1" applyFill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41" fontId="14" fillId="0" borderId="10" xfId="0" applyNumberFormat="1" applyFont="1" applyFill="1" applyBorder="1" applyAlignment="1">
      <alignment horizontal="center" vertical="center"/>
    </xf>
    <xf numFmtId="184" fontId="16" fillId="6" borderId="45" xfId="0" applyNumberFormat="1" applyFont="1" applyFill="1" applyBorder="1" applyAlignment="1">
      <alignment horizontal="center" vertical="center" shrinkToFit="1"/>
    </xf>
    <xf numFmtId="184" fontId="16" fillId="6" borderId="43" xfId="0" applyNumberFormat="1" applyFont="1" applyFill="1" applyBorder="1" applyAlignment="1">
      <alignment horizontal="center" vertical="center" shrinkToFit="1"/>
    </xf>
    <xf numFmtId="184" fontId="16" fillId="6" borderId="46" xfId="0" applyNumberFormat="1" applyFont="1" applyFill="1" applyBorder="1" applyAlignment="1">
      <alignment horizontal="center" vertical="center" shrinkToFit="1"/>
    </xf>
    <xf numFmtId="184" fontId="16" fillId="6" borderId="42" xfId="0" applyNumberFormat="1" applyFont="1" applyFill="1" applyBorder="1" applyAlignment="1">
      <alignment horizontal="center" vertical="center" shrinkToFit="1"/>
    </xf>
    <xf numFmtId="41" fontId="16" fillId="6" borderId="43" xfId="0" applyNumberFormat="1" applyFont="1" applyFill="1" applyBorder="1" applyAlignment="1">
      <alignment horizontal="center" vertical="center" shrinkToFit="1"/>
    </xf>
    <xf numFmtId="41" fontId="16" fillId="6" borderId="44" xfId="0" applyNumberFormat="1" applyFont="1" applyFill="1" applyBorder="1" applyAlignment="1">
      <alignment horizontal="center" vertical="center" shrinkToFit="1"/>
    </xf>
    <xf numFmtId="184" fontId="34" fillId="2" borderId="45" xfId="0" applyNumberFormat="1" applyFont="1" applyFill="1" applyBorder="1" applyAlignment="1">
      <alignment horizontal="center" vertical="center" shrinkToFit="1"/>
    </xf>
    <xf numFmtId="184" fontId="34" fillId="2" borderId="43" xfId="0" applyNumberFormat="1" applyFont="1" applyFill="1" applyBorder="1" applyAlignment="1">
      <alignment horizontal="center" vertical="center" shrinkToFit="1"/>
    </xf>
    <xf numFmtId="184" fontId="34" fillId="2" borderId="42" xfId="0" applyNumberFormat="1" applyFont="1" applyFill="1" applyBorder="1" applyAlignment="1">
      <alignment horizontal="center" vertical="center" shrinkToFit="1"/>
    </xf>
    <xf numFmtId="41" fontId="34" fillId="2" borderId="43" xfId="0" applyNumberFormat="1" applyFont="1" applyFill="1" applyBorder="1" applyAlignment="1">
      <alignment horizontal="center" vertical="center" shrinkToFit="1"/>
    </xf>
    <xf numFmtId="41" fontId="34" fillId="2" borderId="44" xfId="0" applyNumberFormat="1" applyFont="1" applyFill="1" applyBorder="1" applyAlignment="1">
      <alignment horizontal="center" vertical="center" shrinkToFit="1"/>
    </xf>
    <xf numFmtId="40" fontId="30" fillId="0" borderId="0" xfId="0" applyNumberFormat="1" applyFont="1">
      <alignment vertical="center"/>
    </xf>
    <xf numFmtId="0" fontId="30" fillId="0" borderId="0" xfId="0" applyFont="1" applyAlignment="1">
      <alignment horizontal="center" vertical="center"/>
    </xf>
    <xf numFmtId="180" fontId="30" fillId="0" borderId="0" xfId="0" applyNumberFormat="1" applyFont="1">
      <alignment vertical="center"/>
    </xf>
    <xf numFmtId="180" fontId="30" fillId="0" borderId="0" xfId="0" applyNumberFormat="1" applyFont="1" applyAlignment="1">
      <alignment horizontal="center" vertical="center"/>
    </xf>
    <xf numFmtId="0" fontId="22" fillId="8" borderId="9" xfId="0" applyFont="1" applyFill="1" applyBorder="1" applyAlignment="1">
      <alignment horizontal="center" vertical="center"/>
    </xf>
    <xf numFmtId="41" fontId="39" fillId="9" borderId="9" xfId="0" applyNumberFormat="1" applyFont="1" applyFill="1" applyBorder="1">
      <alignment vertical="center"/>
    </xf>
    <xf numFmtId="0" fontId="40" fillId="0" borderId="0" xfId="0" applyFont="1">
      <alignment vertical="center"/>
    </xf>
    <xf numFmtId="0" fontId="22" fillId="0" borderId="9" xfId="0" applyFont="1" applyBorder="1" applyAlignment="1">
      <alignment horizontal="center" vertical="center"/>
    </xf>
    <xf numFmtId="41" fontId="22" fillId="0" borderId="9" xfId="0" applyNumberFormat="1" applyFont="1" applyBorder="1" applyAlignment="1">
      <alignment horizontal="center" vertical="center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43" fontId="43" fillId="10" borderId="9" xfId="0" applyNumberFormat="1" applyFont="1" applyFill="1" applyBorder="1" applyAlignment="1">
      <alignment horizontal="center" vertical="center"/>
    </xf>
    <xf numFmtId="41" fontId="44" fillId="11" borderId="9" xfId="0" applyNumberFormat="1" applyFont="1" applyFill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179" fontId="13" fillId="0" borderId="9" xfId="0" applyNumberFormat="1" applyFont="1" applyBorder="1" applyAlignment="1">
      <alignment horizontal="center" vertical="center"/>
    </xf>
    <xf numFmtId="179" fontId="26" fillId="2" borderId="9" xfId="0" applyNumberFormat="1" applyFont="1" applyFill="1" applyBorder="1">
      <alignment vertical="center"/>
    </xf>
    <xf numFmtId="41" fontId="30" fillId="0" borderId="0" xfId="0" applyNumberFormat="1" applyFont="1">
      <alignment vertical="center"/>
    </xf>
    <xf numFmtId="14" fontId="22" fillId="0" borderId="9" xfId="0" applyNumberFormat="1" applyFont="1" applyBorder="1" applyAlignment="1">
      <alignment horizontal="center" vertical="center"/>
    </xf>
    <xf numFmtId="0" fontId="22" fillId="0" borderId="9" xfId="0" applyFont="1" applyBorder="1" applyAlignment="1">
      <alignment horizontal="left" vertical="center"/>
    </xf>
    <xf numFmtId="176" fontId="22" fillId="0" borderId="9" xfId="0" applyNumberFormat="1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181" fontId="33" fillId="5" borderId="15" xfId="0" applyNumberFormat="1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1" fontId="22" fillId="0" borderId="9" xfId="0" applyNumberFormat="1" applyFont="1" applyFill="1" applyBorder="1" applyAlignment="1">
      <alignment horizontal="center" vertical="center"/>
    </xf>
    <xf numFmtId="0" fontId="45" fillId="0" borderId="9" xfId="0" applyFont="1" applyBorder="1" applyAlignment="1">
      <alignment horizontal="center" vertical="center"/>
    </xf>
    <xf numFmtId="41" fontId="1" fillId="0" borderId="0" xfId="0" applyNumberFormat="1" applyFont="1">
      <alignment vertical="center"/>
    </xf>
    <xf numFmtId="41" fontId="0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 shrinkToFit="1"/>
    </xf>
    <xf numFmtId="0" fontId="47" fillId="0" borderId="0" xfId="0" applyFont="1" applyAlignment="1">
      <alignment horizontal="center" vertical="center"/>
    </xf>
    <xf numFmtId="0" fontId="46" fillId="0" borderId="21" xfId="0" applyFont="1" applyBorder="1">
      <alignment vertical="center"/>
    </xf>
    <xf numFmtId="41" fontId="48" fillId="0" borderId="20" xfId="0" applyNumberFormat="1" applyFont="1" applyBorder="1" applyAlignment="1">
      <alignment vertical="center" shrinkToFit="1"/>
    </xf>
    <xf numFmtId="185" fontId="48" fillId="0" borderId="20" xfId="0" applyNumberFormat="1" applyFont="1" applyBorder="1" applyAlignment="1">
      <alignment horizontal="center" vertical="center"/>
    </xf>
    <xf numFmtId="41" fontId="48" fillId="0" borderId="20" xfId="0" applyNumberFormat="1" applyFont="1" applyBorder="1" applyAlignment="1">
      <alignment horizontal="center" vertical="center"/>
    </xf>
    <xf numFmtId="0" fontId="48" fillId="0" borderId="20" xfId="0" applyFont="1" applyBorder="1" applyAlignment="1">
      <alignment horizontal="center" vertical="center"/>
    </xf>
    <xf numFmtId="0" fontId="48" fillId="0" borderId="20" xfId="0" applyFont="1" applyBorder="1" applyAlignment="1">
      <alignment horizontal="center" vertical="center" shrinkToFit="1"/>
    </xf>
    <xf numFmtId="0" fontId="49" fillId="0" borderId="19" xfId="0" applyFont="1" applyBorder="1" applyAlignment="1">
      <alignment horizontal="center" vertical="center"/>
    </xf>
    <xf numFmtId="0" fontId="46" fillId="0" borderId="18" xfId="0" applyFont="1" applyBorder="1">
      <alignment vertical="center"/>
    </xf>
    <xf numFmtId="41" fontId="48" fillId="0" borderId="9" xfId="0" applyNumberFormat="1" applyFont="1" applyFill="1" applyBorder="1" applyAlignment="1">
      <alignment vertical="center" shrinkToFit="1"/>
    </xf>
    <xf numFmtId="41" fontId="49" fillId="0" borderId="9" xfId="0" applyNumberFormat="1" applyFont="1" applyBorder="1" applyAlignment="1">
      <alignment horizontal="center" vertical="center"/>
    </xf>
    <xf numFmtId="0" fontId="49" fillId="0" borderId="9" xfId="0" applyFont="1" applyBorder="1" applyAlignment="1">
      <alignment horizontal="center" vertical="center" shrinkToFit="1"/>
    </xf>
    <xf numFmtId="0" fontId="49" fillId="0" borderId="17" xfId="0" applyFont="1" applyBorder="1" applyAlignment="1">
      <alignment horizontal="left" vertical="center"/>
    </xf>
    <xf numFmtId="41" fontId="48" fillId="0" borderId="9" xfId="0" applyNumberFormat="1" applyFont="1" applyBorder="1" applyAlignment="1">
      <alignment vertical="center"/>
    </xf>
    <xf numFmtId="41" fontId="48" fillId="0" borderId="9" xfId="0" applyNumberFormat="1" applyFont="1" applyBorder="1" applyAlignment="1">
      <alignment horizontal="center" vertical="center"/>
    </xf>
    <xf numFmtId="0" fontId="48" fillId="0" borderId="9" xfId="0" applyFont="1" applyBorder="1" applyAlignment="1">
      <alignment horizontal="center" vertical="center" shrinkToFit="1"/>
    </xf>
    <xf numFmtId="0" fontId="48" fillId="0" borderId="17" xfId="0" applyFont="1" applyBorder="1" applyAlignment="1">
      <alignment horizontal="left" vertical="center" indent="1"/>
    </xf>
    <xf numFmtId="0" fontId="48" fillId="0" borderId="9" xfId="0" applyFont="1" applyBorder="1" applyAlignment="1">
      <alignment horizontal="center" vertical="center"/>
    </xf>
    <xf numFmtId="0" fontId="48" fillId="0" borderId="9" xfId="0" applyFont="1" applyBorder="1" applyAlignment="1">
      <alignment horizontal="center" vertical="center" wrapText="1"/>
    </xf>
    <xf numFmtId="0" fontId="48" fillId="0" borderId="17" xfId="0" applyFont="1" applyBorder="1" applyAlignment="1">
      <alignment horizontal="left" vertical="center" wrapText="1" indent="1"/>
    </xf>
    <xf numFmtId="0" fontId="48" fillId="0" borderId="9" xfId="0" applyFont="1" applyBorder="1" applyAlignment="1">
      <alignment horizontal="center" vertical="center" shrinkToFit="1"/>
    </xf>
    <xf numFmtId="0" fontId="48" fillId="0" borderId="17" xfId="0" applyFont="1" applyBorder="1" applyAlignment="1">
      <alignment vertical="center" shrinkToFit="1"/>
    </xf>
    <xf numFmtId="41" fontId="48" fillId="0" borderId="9" xfId="0" applyNumberFormat="1" applyFont="1" applyBorder="1" applyAlignment="1">
      <alignment vertical="center" shrinkToFit="1"/>
    </xf>
    <xf numFmtId="0" fontId="48" fillId="12" borderId="17" xfId="0" applyFont="1" applyFill="1" applyBorder="1" applyAlignment="1">
      <alignment horizontal="left" vertical="center" indent="1"/>
    </xf>
    <xf numFmtId="186" fontId="48" fillId="0" borderId="9" xfId="0" applyNumberFormat="1" applyFont="1" applyFill="1" applyBorder="1" applyAlignment="1">
      <alignment horizontal="center" vertical="center"/>
    </xf>
    <xf numFmtId="0" fontId="48" fillId="0" borderId="17" xfId="0" applyFont="1" applyBorder="1" applyAlignment="1">
      <alignment horizontal="left" vertical="center" wrapText="1"/>
    </xf>
    <xf numFmtId="0" fontId="48" fillId="0" borderId="9" xfId="0" applyFont="1" applyBorder="1" applyAlignment="1">
      <alignment horizontal="center" vertical="center"/>
    </xf>
    <xf numFmtId="187" fontId="1" fillId="0" borderId="0" xfId="0" applyNumberFormat="1" applyFont="1">
      <alignment vertical="center"/>
    </xf>
    <xf numFmtId="10" fontId="1" fillId="0" borderId="0" xfId="0" applyNumberFormat="1" applyFont="1">
      <alignment vertical="center"/>
    </xf>
    <xf numFmtId="188" fontId="48" fillId="0" borderId="9" xfId="0" applyNumberFormat="1" applyFont="1" applyFill="1" applyBorder="1" applyAlignment="1">
      <alignment vertical="center" shrinkToFit="1"/>
    </xf>
    <xf numFmtId="9" fontId="48" fillId="0" borderId="9" xfId="0" applyNumberFormat="1" applyFont="1" applyFill="1" applyBorder="1" applyAlignment="1">
      <alignment vertical="center" shrinkToFit="1"/>
    </xf>
    <xf numFmtId="0" fontId="48" fillId="0" borderId="17" xfId="0" applyFont="1" applyBorder="1" applyAlignment="1">
      <alignment horizontal="center" vertical="center" wrapText="1"/>
    </xf>
    <xf numFmtId="41" fontId="48" fillId="0" borderId="9" xfId="0" applyNumberFormat="1" applyFont="1" applyBorder="1" applyAlignment="1">
      <alignment horizontal="center" vertical="center"/>
    </xf>
    <xf numFmtId="41" fontId="48" fillId="0" borderId="17" xfId="0" applyNumberFormat="1" applyFont="1" applyBorder="1" applyAlignment="1">
      <alignment horizontal="center" vertical="center"/>
    </xf>
    <xf numFmtId="183" fontId="46" fillId="0" borderId="18" xfId="0" quotePrefix="1" applyNumberFormat="1" applyFont="1" applyBorder="1" applyAlignment="1">
      <alignment vertical="center" shrinkToFit="1"/>
    </xf>
    <xf numFmtId="43" fontId="1" fillId="0" borderId="0" xfId="0" applyNumberFormat="1" applyFont="1">
      <alignment vertical="center"/>
    </xf>
    <xf numFmtId="41" fontId="1" fillId="0" borderId="0" xfId="0" applyNumberFormat="1" applyFont="1" applyAlignment="1">
      <alignment vertical="center"/>
    </xf>
    <xf numFmtId="0" fontId="1" fillId="0" borderId="18" xfId="0" applyFont="1" applyBorder="1">
      <alignment vertical="center"/>
    </xf>
    <xf numFmtId="183" fontId="47" fillId="0" borderId="18" xfId="0" quotePrefix="1" applyNumberFormat="1" applyFont="1" applyBorder="1" applyAlignment="1">
      <alignment vertical="center" shrinkToFit="1"/>
    </xf>
    <xf numFmtId="183" fontId="47" fillId="0" borderId="18" xfId="0" applyNumberFormat="1" applyFont="1" applyBorder="1" applyAlignment="1">
      <alignment vertical="center" shrinkToFit="1"/>
    </xf>
    <xf numFmtId="41" fontId="51" fillId="13" borderId="9" xfId="0" applyNumberFormat="1" applyFont="1" applyFill="1" applyBorder="1" applyAlignment="1">
      <alignment horizontal="center" vertical="center"/>
    </xf>
    <xf numFmtId="0" fontId="53" fillId="0" borderId="0" xfId="0" applyFont="1" applyAlignment="1">
      <alignment horizontal="right" vertical="center"/>
    </xf>
    <xf numFmtId="0" fontId="53" fillId="0" borderId="0" xfId="0" quotePrefix="1" applyFont="1">
      <alignment vertical="center"/>
    </xf>
    <xf numFmtId="0" fontId="51" fillId="0" borderId="0" xfId="0" quotePrefix="1" applyFont="1">
      <alignment vertical="center"/>
    </xf>
    <xf numFmtId="41" fontId="51" fillId="2" borderId="0" xfId="0" applyNumberFormat="1" applyFont="1" applyFill="1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6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6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1" fillId="0" borderId="0" xfId="0" applyFont="1">
      <alignment vertical="center"/>
    </xf>
    <xf numFmtId="0" fontId="14" fillId="0" borderId="0" xfId="0" applyFont="1">
      <alignment vertical="center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1" fillId="4" borderId="14" xfId="0" applyFont="1" applyFill="1" applyBorder="1" applyAlignment="1">
      <alignment horizontal="center" vertical="center"/>
    </xf>
    <xf numFmtId="0" fontId="21" fillId="4" borderId="17" xfId="0" applyFont="1" applyFill="1" applyBorder="1" applyAlignment="1">
      <alignment horizontal="center" vertical="center"/>
    </xf>
    <xf numFmtId="0" fontId="21" fillId="4" borderId="15" xfId="0" applyFont="1" applyFill="1" applyBorder="1" applyAlignment="1">
      <alignment horizontal="center" vertical="center"/>
    </xf>
    <xf numFmtId="0" fontId="21" fillId="4" borderId="9" xfId="0" applyFont="1" applyFill="1" applyBorder="1" applyAlignment="1">
      <alignment horizontal="center" vertical="center"/>
    </xf>
    <xf numFmtId="0" fontId="21" fillId="4" borderId="16" xfId="0" applyFont="1" applyFill="1" applyBorder="1" applyAlignment="1">
      <alignment horizontal="center" vertical="center"/>
    </xf>
    <xf numFmtId="0" fontId="54" fillId="2" borderId="0" xfId="0" applyFont="1" applyFill="1" applyAlignment="1">
      <alignment horizontal="center" vertical="center"/>
    </xf>
    <xf numFmtId="183" fontId="51" fillId="13" borderId="14" xfId="0" applyNumberFormat="1" applyFont="1" applyFill="1" applyBorder="1" applyAlignment="1">
      <alignment horizontal="center" vertical="center"/>
    </xf>
    <xf numFmtId="183" fontId="51" fillId="13" borderId="17" xfId="0" applyNumberFormat="1" applyFont="1" applyFill="1" applyBorder="1" applyAlignment="1">
      <alignment horizontal="center" vertical="center"/>
    </xf>
    <xf numFmtId="183" fontId="51" fillId="13" borderId="15" xfId="0" applyNumberFormat="1" applyFont="1" applyFill="1" applyBorder="1" applyAlignment="1">
      <alignment horizontal="center" vertical="center"/>
    </xf>
    <xf numFmtId="183" fontId="51" fillId="13" borderId="9" xfId="0" applyNumberFormat="1" applyFont="1" applyFill="1" applyBorder="1" applyAlignment="1">
      <alignment horizontal="center" vertical="center"/>
    </xf>
    <xf numFmtId="41" fontId="51" fillId="13" borderId="15" xfId="0" applyNumberFormat="1" applyFont="1" applyFill="1" applyBorder="1" applyAlignment="1">
      <alignment horizontal="center" vertical="center"/>
    </xf>
    <xf numFmtId="41" fontId="51" fillId="13" borderId="9" xfId="0" applyNumberFormat="1" applyFont="1" applyFill="1" applyBorder="1" applyAlignment="1">
      <alignment horizontal="center" vertical="center"/>
    </xf>
    <xf numFmtId="41" fontId="50" fillId="13" borderId="16" xfId="0" applyNumberFormat="1" applyFont="1" applyFill="1" applyBorder="1" applyAlignment="1">
      <alignment horizontal="center" vertical="center" shrinkToFit="1"/>
    </xf>
    <xf numFmtId="41" fontId="50" fillId="13" borderId="18" xfId="0" applyNumberFormat="1" applyFont="1" applyFill="1" applyBorder="1" applyAlignment="1">
      <alignment horizontal="center" vertical="center" shrinkToFit="1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41" fontId="24" fillId="6" borderId="12" xfId="0" applyNumberFormat="1" applyFont="1" applyFill="1" applyBorder="1" applyAlignment="1">
      <alignment horizontal="center" vertical="center"/>
    </xf>
    <xf numFmtId="41" fontId="24" fillId="6" borderId="13" xfId="0" applyNumberFormat="1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1" fontId="14" fillId="4" borderId="10" xfId="0" applyNumberFormat="1" applyFont="1" applyFill="1" applyBorder="1" applyAlignment="1">
      <alignment horizontal="center" vertical="center"/>
    </xf>
    <xf numFmtId="41" fontId="14" fillId="4" borderId="31" xfId="0" applyNumberFormat="1" applyFont="1" applyFill="1" applyBorder="1" applyAlignment="1">
      <alignment horizontal="center" vertical="center"/>
    </xf>
    <xf numFmtId="41" fontId="14" fillId="4" borderId="11" xfId="0" applyNumberFormat="1" applyFont="1" applyFill="1" applyBorder="1" applyAlignment="1">
      <alignment horizontal="center" vertical="center"/>
    </xf>
    <xf numFmtId="41" fontId="14" fillId="4" borderId="29" xfId="0" applyNumberFormat="1" applyFont="1" applyFill="1" applyBorder="1" applyAlignment="1">
      <alignment horizontal="center" vertical="center"/>
    </xf>
    <xf numFmtId="41" fontId="14" fillId="4" borderId="32" xfId="0" applyNumberFormat="1" applyFont="1" applyFill="1" applyBorder="1" applyAlignment="1">
      <alignment horizontal="center" vertical="center"/>
    </xf>
    <xf numFmtId="41" fontId="14" fillId="4" borderId="33" xfId="0" applyNumberFormat="1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26" fillId="2" borderId="12" xfId="0" applyFont="1" applyFill="1" applyBorder="1" applyAlignment="1">
      <alignment horizontal="center" vertical="center"/>
    </xf>
    <xf numFmtId="0" fontId="26" fillId="2" borderId="27" xfId="0" applyFont="1" applyFill="1" applyBorder="1" applyAlignment="1">
      <alignment horizontal="center" vertical="center"/>
    </xf>
    <xf numFmtId="0" fontId="26" fillId="2" borderId="13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1" fillId="7" borderId="9" xfId="0" applyFont="1" applyFill="1" applyBorder="1" applyAlignment="1">
      <alignment horizontal="center" vertical="center"/>
    </xf>
    <xf numFmtId="0" fontId="21" fillId="7" borderId="9" xfId="0" applyFont="1" applyFill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29" fillId="0" borderId="27" xfId="0" applyFont="1" applyBorder="1" applyAlignment="1">
      <alignment horizontal="center" vertical="center" wrapText="1"/>
    </xf>
    <xf numFmtId="180" fontId="29" fillId="0" borderId="13" xfId="0" applyNumberFormat="1" applyFont="1" applyBorder="1" applyAlignment="1">
      <alignment horizontal="center" vertical="center" wrapText="1"/>
    </xf>
    <xf numFmtId="0" fontId="28" fillId="5" borderId="12" xfId="0" applyFont="1" applyFill="1" applyBorder="1" applyAlignment="1">
      <alignment horizontal="center" vertical="center" wrapText="1"/>
    </xf>
    <xf numFmtId="0" fontId="28" fillId="5" borderId="27" xfId="0" applyFont="1" applyFill="1" applyBorder="1" applyAlignment="1">
      <alignment horizontal="center" vertical="center" wrapText="1"/>
    </xf>
    <xf numFmtId="0" fontId="28" fillId="5" borderId="13" xfId="0" applyFont="1" applyFill="1" applyBorder="1" applyAlignment="1">
      <alignment horizontal="center" vertical="center" wrapText="1"/>
    </xf>
    <xf numFmtId="0" fontId="16" fillId="6" borderId="50" xfId="0" applyNumberFormat="1" applyFont="1" applyFill="1" applyBorder="1" applyAlignment="1">
      <alignment horizontal="center" vertical="center"/>
    </xf>
    <xf numFmtId="0" fontId="16" fillId="6" borderId="51" xfId="0" applyNumberFormat="1" applyFont="1" applyFill="1" applyBorder="1" applyAlignment="1">
      <alignment horizontal="center" vertical="center"/>
    </xf>
    <xf numFmtId="0" fontId="16" fillId="6" borderId="52" xfId="0" applyNumberFormat="1" applyFont="1" applyFill="1" applyBorder="1" applyAlignment="1">
      <alignment horizontal="center" vertical="center"/>
    </xf>
    <xf numFmtId="0" fontId="34" fillId="2" borderId="50" xfId="0" applyNumberFormat="1" applyFont="1" applyFill="1" applyBorder="1" applyAlignment="1">
      <alignment horizontal="center" vertical="center"/>
    </xf>
    <xf numFmtId="0" fontId="34" fillId="2" borderId="51" xfId="0" applyNumberFormat="1" applyFont="1" applyFill="1" applyBorder="1" applyAlignment="1">
      <alignment horizontal="center" vertical="center"/>
    </xf>
    <xf numFmtId="0" fontId="34" fillId="2" borderId="52" xfId="0" applyNumberFormat="1" applyFont="1" applyFill="1" applyBorder="1" applyAlignment="1">
      <alignment horizontal="center" vertical="center"/>
    </xf>
    <xf numFmtId="0" fontId="27" fillId="0" borderId="34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6" xfId="0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27" fillId="0" borderId="40" xfId="0" applyFont="1" applyBorder="1" applyAlignment="1">
      <alignment horizontal="center" vertical="center" wrapText="1"/>
    </xf>
    <xf numFmtId="0" fontId="27" fillId="0" borderId="41" xfId="0" applyFont="1" applyBorder="1" applyAlignment="1">
      <alignment horizontal="center" vertical="center" wrapText="1"/>
    </xf>
    <xf numFmtId="0" fontId="38" fillId="0" borderId="12" xfId="0" applyFont="1" applyBorder="1" applyAlignment="1">
      <alignment horizontal="center" vertical="center"/>
    </xf>
    <xf numFmtId="0" fontId="38" fillId="0" borderId="27" xfId="0" applyFont="1" applyBorder="1" applyAlignment="1">
      <alignment horizontal="center" vertical="center"/>
    </xf>
    <xf numFmtId="0" fontId="38" fillId="0" borderId="13" xfId="0" applyFont="1" applyBorder="1" applyAlignment="1">
      <alignment horizontal="center" vertical="center"/>
    </xf>
    <xf numFmtId="0" fontId="22" fillId="8" borderId="9" xfId="0" applyFont="1" applyFill="1" applyBorder="1" applyAlignment="1">
      <alignment horizontal="center" vertical="center"/>
    </xf>
    <xf numFmtId="0" fontId="38" fillId="0" borderId="9" xfId="0" applyFont="1" applyBorder="1" applyAlignment="1">
      <alignment horizontal="center" vertical="center"/>
    </xf>
    <xf numFmtId="0" fontId="43" fillId="10" borderId="9" xfId="0" applyFont="1" applyFill="1" applyBorder="1" applyAlignment="1">
      <alignment horizontal="center" vertical="center"/>
    </xf>
    <xf numFmtId="49" fontId="43" fillId="10" borderId="9" xfId="0" applyNumberFormat="1" applyFont="1" applyFill="1" applyBorder="1" applyAlignment="1">
      <alignment horizontal="center" vertical="center"/>
    </xf>
    <xf numFmtId="43" fontId="43" fillId="1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41" fontId="22" fillId="2" borderId="9" xfId="0" applyNumberFormat="1" applyFont="1" applyFill="1" applyBorder="1" applyAlignment="1">
      <alignment horizontal="center" vertical="center"/>
    </xf>
  </cellXfs>
  <cellStyles count="2">
    <cellStyle name="표준" xfId="0" builtinId="0"/>
    <cellStyle name="표준_외주기성청구서_기성금청구양식" xfId="1" xr:uid="{1D22E006-ADFF-4786-AFB4-C1B3F41922A7}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161925</xdr:rowOff>
    </xdr:from>
    <xdr:to>
      <xdr:col>11</xdr:col>
      <xdr:colOff>9525</xdr:colOff>
      <xdr:row>10</xdr:row>
      <xdr:rowOff>100853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1786778"/>
          <a:ext cx="3685055" cy="1339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179293</xdr:rowOff>
    </xdr:from>
    <xdr:to>
      <xdr:col>11</xdr:col>
      <xdr:colOff>0</xdr:colOff>
      <xdr:row>14</xdr:row>
      <xdr:rowOff>179294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3204881"/>
          <a:ext cx="3675530" cy="1120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313764</xdr:colOff>
      <xdr:row>23</xdr:row>
      <xdr:rowOff>156882</xdr:rowOff>
    </xdr:from>
    <xdr:ext cx="628401" cy="591366"/>
    <xdr:pic>
      <xdr:nvPicPr>
        <xdr:cNvPr id="5" name="Picture 24">
          <a:extLst>
            <a:ext uri="{FF2B5EF4-FFF2-40B4-BE49-F238E27FC236}">
              <a16:creationId xmlns:a16="http://schemas.microsoft.com/office/drawing/2014/main" id="{68B73E7A-128C-4B68-98D4-0199792AD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114864" y="6424332"/>
          <a:ext cx="628401" cy="5913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778120</xdr:colOff>
      <xdr:row>51</xdr:row>
      <xdr:rowOff>91363</xdr:rowOff>
    </xdr:from>
    <xdr:to>
      <xdr:col>10</xdr:col>
      <xdr:colOff>682870</xdr:colOff>
      <xdr:row>58</xdr:row>
      <xdr:rowOff>21981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2A696AD-36D6-6DA6-E48A-1B7E3CC8363A}"/>
            </a:ext>
          </a:extLst>
        </xdr:cNvPr>
        <xdr:cNvSpPr/>
      </xdr:nvSpPr>
      <xdr:spPr>
        <a:xfrm>
          <a:off x="11277601" y="18020344"/>
          <a:ext cx="791307" cy="1417983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539750</xdr:colOff>
      <xdr:row>1</xdr:row>
      <xdr:rowOff>79375</xdr:rowOff>
    </xdr:from>
    <xdr:to>
      <xdr:col>4</xdr:col>
      <xdr:colOff>158750</xdr:colOff>
      <xdr:row>50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555625"/>
          <a:ext cx="933450" cy="17246600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677741</xdr:colOff>
      <xdr:row>51</xdr:row>
      <xdr:rowOff>82794</xdr:rowOff>
    </xdr:from>
    <xdr:to>
      <xdr:col>12</xdr:col>
      <xdr:colOff>1334966</xdr:colOff>
      <xdr:row>58</xdr:row>
      <xdr:rowOff>54219</xdr:rowOff>
    </xdr:to>
    <xdr:grpSp>
      <xdr:nvGrpSpPr>
        <xdr:cNvPr id="2051" name="Group 3">
          <a:extLst>
            <a:ext uri="{FF2B5EF4-FFF2-40B4-BE49-F238E27FC236}">
              <a16:creationId xmlns:a16="http://schemas.microsoft.com/office/drawing/2014/main" id="{1C091012-2E0E-7E53-D48B-C7CC0100074E}"/>
            </a:ext>
          </a:extLst>
        </xdr:cNvPr>
        <xdr:cNvGrpSpPr>
          <a:grpSpLocks noChangeAspect="1"/>
        </xdr:cNvGrpSpPr>
      </xdr:nvGrpSpPr>
      <xdr:grpSpPr bwMode="auto">
        <a:xfrm>
          <a:off x="12314116" y="17894544"/>
          <a:ext cx="3022600" cy="1416050"/>
          <a:chOff x="475" y="1880"/>
          <a:chExt cx="303" cy="151"/>
        </a:xfrm>
      </xdr:grpSpPr>
      <xdr:sp macro="" textlink="">
        <xdr:nvSpPr>
          <xdr:cNvPr id="2052" name="Rectangle 4">
            <a:extLst>
              <a:ext uri="{FF2B5EF4-FFF2-40B4-BE49-F238E27FC236}">
                <a16:creationId xmlns:a16="http://schemas.microsoft.com/office/drawing/2014/main" id="{8B88C853-E828-1B6A-FF21-E65F6C46E1E0}"/>
              </a:ext>
            </a:extLst>
          </xdr:cNvPr>
          <xdr:cNvSpPr>
            <a:spLocks noChangeArrowheads="1"/>
          </xdr:cNvSpPr>
        </xdr:nvSpPr>
        <xdr:spPr bwMode="auto">
          <a:xfrm>
            <a:off x="500" y="1889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구   분</a:t>
            </a:r>
          </a:p>
        </xdr:txBody>
      </xdr:sp>
      <xdr:sp macro="" textlink="">
        <xdr:nvSpPr>
          <xdr:cNvPr id="2053" name="Rectangle 5">
            <a:extLst>
              <a:ext uri="{FF2B5EF4-FFF2-40B4-BE49-F238E27FC236}">
                <a16:creationId xmlns:a16="http://schemas.microsoft.com/office/drawing/2014/main" id="{CD880D5C-7101-7DAC-9376-7367D2890F19}"/>
              </a:ext>
            </a:extLst>
          </xdr:cNvPr>
          <xdr:cNvSpPr>
            <a:spLocks noChangeArrowheads="1"/>
          </xdr:cNvSpPr>
        </xdr:nvSpPr>
        <xdr:spPr bwMode="auto">
          <a:xfrm>
            <a:off x="651" y="1889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확   인</a:t>
            </a:r>
          </a:p>
        </xdr:txBody>
      </xdr:sp>
      <xdr:sp macro="" textlink="">
        <xdr:nvSpPr>
          <xdr:cNvPr id="2054" name="Rectangle 6">
            <a:extLst>
              <a:ext uri="{FF2B5EF4-FFF2-40B4-BE49-F238E27FC236}">
                <a16:creationId xmlns:a16="http://schemas.microsoft.com/office/drawing/2014/main" id="{61E1C243-ABEA-1EFA-F847-7BEE6630373B}"/>
              </a:ext>
            </a:extLst>
          </xdr:cNvPr>
          <xdr:cNvSpPr>
            <a:spLocks noChangeArrowheads="1"/>
          </xdr:cNvSpPr>
        </xdr:nvSpPr>
        <xdr:spPr bwMode="auto">
          <a:xfrm>
            <a:off x="508" y="1938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품 질</a:t>
            </a:r>
          </a:p>
        </xdr:txBody>
      </xdr:sp>
      <xdr:sp macro="" textlink="">
        <xdr:nvSpPr>
          <xdr:cNvPr id="2055" name="Rectangle 7">
            <a:extLst>
              <a:ext uri="{FF2B5EF4-FFF2-40B4-BE49-F238E27FC236}">
                <a16:creationId xmlns:a16="http://schemas.microsoft.com/office/drawing/2014/main" id="{15D3B28B-3354-78A6-B10C-1C9F4884F2E0}"/>
              </a:ext>
            </a:extLst>
          </xdr:cNvPr>
          <xdr:cNvSpPr>
            <a:spLocks noChangeArrowheads="1"/>
          </xdr:cNvSpPr>
        </xdr:nvSpPr>
        <xdr:spPr bwMode="auto">
          <a:xfrm>
            <a:off x="612" y="1938"/>
            <a:ext cx="120" cy="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김 재 윤     </a:t>
            </a:r>
          </a:p>
        </xdr:txBody>
      </xdr:sp>
      <xdr:sp macro="" textlink="">
        <xdr:nvSpPr>
          <xdr:cNvPr id="2056" name="Rectangle 8">
            <a:extLst>
              <a:ext uri="{FF2B5EF4-FFF2-40B4-BE49-F238E27FC236}">
                <a16:creationId xmlns:a16="http://schemas.microsoft.com/office/drawing/2014/main" id="{3D1BA967-ECE0-6F05-FFF5-DE000FFBE2DB}"/>
              </a:ext>
            </a:extLst>
          </xdr:cNvPr>
          <xdr:cNvSpPr>
            <a:spLocks noChangeArrowheads="1"/>
          </xdr:cNvSpPr>
        </xdr:nvSpPr>
        <xdr:spPr bwMode="auto">
          <a:xfrm>
            <a:off x="718" y="1938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57" name="Rectangle 9">
            <a:extLst>
              <a:ext uri="{FF2B5EF4-FFF2-40B4-BE49-F238E27FC236}">
                <a16:creationId xmlns:a16="http://schemas.microsoft.com/office/drawing/2014/main" id="{521A5B01-EB1C-6392-7504-536D1A11C869}"/>
              </a:ext>
            </a:extLst>
          </xdr:cNvPr>
          <xdr:cNvSpPr>
            <a:spLocks noChangeArrowheads="1"/>
          </xdr:cNvSpPr>
        </xdr:nvSpPr>
        <xdr:spPr bwMode="auto">
          <a:xfrm>
            <a:off x="725" y="1938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58" name="Rectangle 10">
            <a:extLst>
              <a:ext uri="{FF2B5EF4-FFF2-40B4-BE49-F238E27FC236}">
                <a16:creationId xmlns:a16="http://schemas.microsoft.com/office/drawing/2014/main" id="{BF2B5AC6-75CD-0719-D2FD-B6E1A1BD2D55}"/>
              </a:ext>
            </a:extLst>
          </xdr:cNvPr>
          <xdr:cNvSpPr>
            <a:spLocks noChangeArrowheads="1"/>
          </xdr:cNvSpPr>
        </xdr:nvSpPr>
        <xdr:spPr bwMode="auto">
          <a:xfrm>
            <a:off x="747" y="1938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59" name="Rectangle 11">
            <a:extLst>
              <a:ext uri="{FF2B5EF4-FFF2-40B4-BE49-F238E27FC236}">
                <a16:creationId xmlns:a16="http://schemas.microsoft.com/office/drawing/2014/main" id="{53E8B429-87C7-4C09-D14B-EA16EDFA4427}"/>
              </a:ext>
            </a:extLst>
          </xdr:cNvPr>
          <xdr:cNvSpPr>
            <a:spLocks noChangeArrowheads="1"/>
          </xdr:cNvSpPr>
        </xdr:nvSpPr>
        <xdr:spPr bwMode="auto">
          <a:xfrm>
            <a:off x="508" y="1987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공 무</a:t>
            </a:r>
          </a:p>
        </xdr:txBody>
      </xdr:sp>
      <xdr:sp macro="" textlink="">
        <xdr:nvSpPr>
          <xdr:cNvPr id="2060" name="Rectangle 12">
            <a:extLst>
              <a:ext uri="{FF2B5EF4-FFF2-40B4-BE49-F238E27FC236}">
                <a16:creationId xmlns:a16="http://schemas.microsoft.com/office/drawing/2014/main" id="{AC2BAA3D-CBE8-915D-16B4-4660E3D3DAC1}"/>
              </a:ext>
            </a:extLst>
          </xdr:cNvPr>
          <xdr:cNvSpPr>
            <a:spLocks noChangeArrowheads="1"/>
          </xdr:cNvSpPr>
        </xdr:nvSpPr>
        <xdr:spPr bwMode="auto">
          <a:xfrm>
            <a:off x="612" y="1987"/>
            <a:ext cx="120" cy="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김 정 환     </a:t>
            </a:r>
          </a:p>
        </xdr:txBody>
      </xdr:sp>
      <xdr:sp macro="" textlink="">
        <xdr:nvSpPr>
          <xdr:cNvPr id="2061" name="Rectangle 13">
            <a:extLst>
              <a:ext uri="{FF2B5EF4-FFF2-40B4-BE49-F238E27FC236}">
                <a16:creationId xmlns:a16="http://schemas.microsoft.com/office/drawing/2014/main" id="{80A577B4-8EAD-EED6-42D7-D150B716D44D}"/>
              </a:ext>
            </a:extLst>
          </xdr:cNvPr>
          <xdr:cNvSpPr>
            <a:spLocks noChangeArrowheads="1"/>
          </xdr:cNvSpPr>
        </xdr:nvSpPr>
        <xdr:spPr bwMode="auto">
          <a:xfrm>
            <a:off x="718" y="1987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62" name="Rectangle 14">
            <a:extLst>
              <a:ext uri="{FF2B5EF4-FFF2-40B4-BE49-F238E27FC236}">
                <a16:creationId xmlns:a16="http://schemas.microsoft.com/office/drawing/2014/main" id="{C7AA1A71-90E1-4FD7-F72C-F1A7ADB8860C}"/>
              </a:ext>
            </a:extLst>
          </xdr:cNvPr>
          <xdr:cNvSpPr>
            <a:spLocks noChangeArrowheads="1"/>
          </xdr:cNvSpPr>
        </xdr:nvSpPr>
        <xdr:spPr bwMode="auto">
          <a:xfrm>
            <a:off x="725" y="1987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63" name="Rectangle 15">
            <a:extLst>
              <a:ext uri="{FF2B5EF4-FFF2-40B4-BE49-F238E27FC236}">
                <a16:creationId xmlns:a16="http://schemas.microsoft.com/office/drawing/2014/main" id="{1FA31970-1CE4-DE3D-795E-6CA6EFBD739D}"/>
              </a:ext>
            </a:extLst>
          </xdr:cNvPr>
          <xdr:cNvSpPr>
            <a:spLocks noChangeArrowheads="1"/>
          </xdr:cNvSpPr>
        </xdr:nvSpPr>
        <xdr:spPr bwMode="auto">
          <a:xfrm>
            <a:off x="747" y="1987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64" name="Rectangle 16">
            <a:extLst>
              <a:ext uri="{FF2B5EF4-FFF2-40B4-BE49-F238E27FC236}">
                <a16:creationId xmlns:a16="http://schemas.microsoft.com/office/drawing/2014/main" id="{F4983D6B-2B7A-21D1-1D4B-A493FA2854F8}"/>
              </a:ext>
            </a:extLst>
          </xdr:cNvPr>
          <xdr:cNvSpPr>
            <a:spLocks noChangeArrowheads="1"/>
          </xdr:cNvSpPr>
        </xdr:nvSpPr>
        <xdr:spPr bwMode="auto">
          <a:xfrm>
            <a:off x="475" y="1880"/>
            <a:ext cx="2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5" name="Rectangle 17">
            <a:extLst>
              <a:ext uri="{FF2B5EF4-FFF2-40B4-BE49-F238E27FC236}">
                <a16:creationId xmlns:a16="http://schemas.microsoft.com/office/drawing/2014/main" id="{891C768F-9AF8-81C5-0FFF-FD24EC1DE45A}"/>
              </a:ext>
            </a:extLst>
          </xdr:cNvPr>
          <xdr:cNvSpPr>
            <a:spLocks noChangeArrowheads="1"/>
          </xdr:cNvSpPr>
        </xdr:nvSpPr>
        <xdr:spPr bwMode="auto">
          <a:xfrm>
            <a:off x="590" y="1880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6" name="Line 18">
            <a:extLst>
              <a:ext uri="{FF2B5EF4-FFF2-40B4-BE49-F238E27FC236}">
                <a16:creationId xmlns:a16="http://schemas.microsoft.com/office/drawing/2014/main" id="{83AA3BFA-AAF5-F8D9-5AD7-772B1A5D68AF}"/>
              </a:ext>
            </a:extLst>
          </xdr:cNvPr>
          <xdr:cNvSpPr>
            <a:spLocks noChangeShapeType="1"/>
          </xdr:cNvSpPr>
        </xdr:nvSpPr>
        <xdr:spPr bwMode="auto">
          <a:xfrm>
            <a:off x="477" y="1880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7" name="Rectangle 19">
            <a:extLst>
              <a:ext uri="{FF2B5EF4-FFF2-40B4-BE49-F238E27FC236}">
                <a16:creationId xmlns:a16="http://schemas.microsoft.com/office/drawing/2014/main" id="{6F2BC1FB-9E2D-7659-6C61-5EA31EE5176E}"/>
              </a:ext>
            </a:extLst>
          </xdr:cNvPr>
          <xdr:cNvSpPr>
            <a:spLocks noChangeArrowheads="1"/>
          </xdr:cNvSpPr>
        </xdr:nvSpPr>
        <xdr:spPr bwMode="auto">
          <a:xfrm>
            <a:off x="477" y="1880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8" name="Rectangle 20">
            <a:extLst>
              <a:ext uri="{FF2B5EF4-FFF2-40B4-BE49-F238E27FC236}">
                <a16:creationId xmlns:a16="http://schemas.microsoft.com/office/drawing/2014/main" id="{6C60A9BF-CD0E-E68E-848B-D46DB6CFDC76}"/>
              </a:ext>
            </a:extLst>
          </xdr:cNvPr>
          <xdr:cNvSpPr>
            <a:spLocks noChangeArrowheads="1"/>
          </xdr:cNvSpPr>
        </xdr:nvSpPr>
        <xdr:spPr bwMode="auto">
          <a:xfrm>
            <a:off x="776" y="1880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9" name="Line 21">
            <a:extLst>
              <a:ext uri="{FF2B5EF4-FFF2-40B4-BE49-F238E27FC236}">
                <a16:creationId xmlns:a16="http://schemas.microsoft.com/office/drawing/2014/main" id="{D6FDBF84-EE64-8086-D042-B0FB7554D456}"/>
              </a:ext>
            </a:extLst>
          </xdr:cNvPr>
          <xdr:cNvSpPr>
            <a:spLocks noChangeShapeType="1"/>
          </xdr:cNvSpPr>
        </xdr:nvSpPr>
        <xdr:spPr bwMode="auto">
          <a:xfrm>
            <a:off x="477" y="1929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0" name="Rectangle 22">
            <a:extLst>
              <a:ext uri="{FF2B5EF4-FFF2-40B4-BE49-F238E27FC236}">
                <a16:creationId xmlns:a16="http://schemas.microsoft.com/office/drawing/2014/main" id="{0F002B9E-E815-0A23-0B06-BB622F336897}"/>
              </a:ext>
            </a:extLst>
          </xdr:cNvPr>
          <xdr:cNvSpPr>
            <a:spLocks noChangeArrowheads="1"/>
          </xdr:cNvSpPr>
        </xdr:nvSpPr>
        <xdr:spPr bwMode="auto">
          <a:xfrm>
            <a:off x="477" y="1929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1" name="Line 23">
            <a:extLst>
              <a:ext uri="{FF2B5EF4-FFF2-40B4-BE49-F238E27FC236}">
                <a16:creationId xmlns:a16="http://schemas.microsoft.com/office/drawing/2014/main" id="{C9BF5E87-B6DC-2287-71AD-B2965BC06CF6}"/>
              </a:ext>
            </a:extLst>
          </xdr:cNvPr>
          <xdr:cNvSpPr>
            <a:spLocks noChangeShapeType="1"/>
          </xdr:cNvSpPr>
        </xdr:nvSpPr>
        <xdr:spPr bwMode="auto">
          <a:xfrm>
            <a:off x="477" y="1978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2" name="Rectangle 24">
            <a:extLst>
              <a:ext uri="{FF2B5EF4-FFF2-40B4-BE49-F238E27FC236}">
                <a16:creationId xmlns:a16="http://schemas.microsoft.com/office/drawing/2014/main" id="{ABF8EF7E-E612-E118-7FE1-47F0B2FE9BD5}"/>
              </a:ext>
            </a:extLst>
          </xdr:cNvPr>
          <xdr:cNvSpPr>
            <a:spLocks noChangeArrowheads="1"/>
          </xdr:cNvSpPr>
        </xdr:nvSpPr>
        <xdr:spPr bwMode="auto">
          <a:xfrm>
            <a:off x="477" y="1978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3" name="Line 25">
            <a:extLst>
              <a:ext uri="{FF2B5EF4-FFF2-40B4-BE49-F238E27FC236}">
                <a16:creationId xmlns:a16="http://schemas.microsoft.com/office/drawing/2014/main" id="{A59BE880-23DB-D008-290D-DBED1393D0FC}"/>
              </a:ext>
            </a:extLst>
          </xdr:cNvPr>
          <xdr:cNvSpPr>
            <a:spLocks noChangeShapeType="1"/>
          </xdr:cNvSpPr>
        </xdr:nvSpPr>
        <xdr:spPr bwMode="auto">
          <a:xfrm>
            <a:off x="475" y="1880"/>
            <a:ext cx="0" cy="149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4" name="Rectangle 26">
            <a:extLst>
              <a:ext uri="{FF2B5EF4-FFF2-40B4-BE49-F238E27FC236}">
                <a16:creationId xmlns:a16="http://schemas.microsoft.com/office/drawing/2014/main" id="{35395A9C-F173-6913-789A-05B03DA30C2A}"/>
              </a:ext>
            </a:extLst>
          </xdr:cNvPr>
          <xdr:cNvSpPr>
            <a:spLocks noChangeArrowheads="1"/>
          </xdr:cNvSpPr>
        </xdr:nvSpPr>
        <xdr:spPr bwMode="auto">
          <a:xfrm>
            <a:off x="475" y="1880"/>
            <a:ext cx="2" cy="14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5" name="Line 27">
            <a:extLst>
              <a:ext uri="{FF2B5EF4-FFF2-40B4-BE49-F238E27FC236}">
                <a16:creationId xmlns:a16="http://schemas.microsoft.com/office/drawing/2014/main" id="{A4FE1D6B-5807-3B73-8D10-B84BEEF6A6B5}"/>
              </a:ext>
            </a:extLst>
          </xdr:cNvPr>
          <xdr:cNvSpPr>
            <a:spLocks noChangeShapeType="1"/>
          </xdr:cNvSpPr>
        </xdr:nvSpPr>
        <xdr:spPr bwMode="auto">
          <a:xfrm>
            <a:off x="590" y="1882"/>
            <a:ext cx="0" cy="14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6" name="Rectangle 28">
            <a:extLst>
              <a:ext uri="{FF2B5EF4-FFF2-40B4-BE49-F238E27FC236}">
                <a16:creationId xmlns:a16="http://schemas.microsoft.com/office/drawing/2014/main" id="{5979402F-1249-19FF-12F6-1610C4F6FF0B}"/>
              </a:ext>
            </a:extLst>
          </xdr:cNvPr>
          <xdr:cNvSpPr>
            <a:spLocks noChangeArrowheads="1"/>
          </xdr:cNvSpPr>
        </xdr:nvSpPr>
        <xdr:spPr bwMode="auto">
          <a:xfrm>
            <a:off x="590" y="1882"/>
            <a:ext cx="1" cy="147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7" name="Line 29">
            <a:extLst>
              <a:ext uri="{FF2B5EF4-FFF2-40B4-BE49-F238E27FC236}">
                <a16:creationId xmlns:a16="http://schemas.microsoft.com/office/drawing/2014/main" id="{E3F9D6CB-5DC3-C2FA-1742-C9A88C8B8C84}"/>
              </a:ext>
            </a:extLst>
          </xdr:cNvPr>
          <xdr:cNvSpPr>
            <a:spLocks noChangeShapeType="1"/>
          </xdr:cNvSpPr>
        </xdr:nvSpPr>
        <xdr:spPr bwMode="auto">
          <a:xfrm>
            <a:off x="477" y="2028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8" name="Rectangle 30">
            <a:extLst>
              <a:ext uri="{FF2B5EF4-FFF2-40B4-BE49-F238E27FC236}">
                <a16:creationId xmlns:a16="http://schemas.microsoft.com/office/drawing/2014/main" id="{7713BB59-670F-1430-579F-3BE12CEC0AC8}"/>
              </a:ext>
            </a:extLst>
          </xdr:cNvPr>
          <xdr:cNvSpPr>
            <a:spLocks noChangeArrowheads="1"/>
          </xdr:cNvSpPr>
        </xdr:nvSpPr>
        <xdr:spPr bwMode="auto">
          <a:xfrm>
            <a:off x="477" y="2028"/>
            <a:ext cx="30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9" name="Line 31">
            <a:extLst>
              <a:ext uri="{FF2B5EF4-FFF2-40B4-BE49-F238E27FC236}">
                <a16:creationId xmlns:a16="http://schemas.microsoft.com/office/drawing/2014/main" id="{09A41913-E0EF-60FC-BC0F-9203D03845AD}"/>
              </a:ext>
            </a:extLst>
          </xdr:cNvPr>
          <xdr:cNvSpPr>
            <a:spLocks noChangeShapeType="1"/>
          </xdr:cNvSpPr>
        </xdr:nvSpPr>
        <xdr:spPr bwMode="auto">
          <a:xfrm>
            <a:off x="776" y="1882"/>
            <a:ext cx="0" cy="14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0" name="Rectangle 32">
            <a:extLst>
              <a:ext uri="{FF2B5EF4-FFF2-40B4-BE49-F238E27FC236}">
                <a16:creationId xmlns:a16="http://schemas.microsoft.com/office/drawing/2014/main" id="{79CB723C-7130-40D0-11F6-426B023F8316}"/>
              </a:ext>
            </a:extLst>
          </xdr:cNvPr>
          <xdr:cNvSpPr>
            <a:spLocks noChangeArrowheads="1"/>
          </xdr:cNvSpPr>
        </xdr:nvSpPr>
        <xdr:spPr bwMode="auto">
          <a:xfrm>
            <a:off x="776" y="1882"/>
            <a:ext cx="1" cy="147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1" name="Line 33">
            <a:extLst>
              <a:ext uri="{FF2B5EF4-FFF2-40B4-BE49-F238E27FC236}">
                <a16:creationId xmlns:a16="http://schemas.microsoft.com/office/drawing/2014/main" id="{F06D04DA-5D7C-AAF3-9CB0-0EADECF35868}"/>
              </a:ext>
            </a:extLst>
          </xdr:cNvPr>
          <xdr:cNvSpPr>
            <a:spLocks noChangeShapeType="1"/>
          </xdr:cNvSpPr>
        </xdr:nvSpPr>
        <xdr:spPr bwMode="auto">
          <a:xfrm>
            <a:off x="475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2" name="Rectangle 34">
            <a:extLst>
              <a:ext uri="{FF2B5EF4-FFF2-40B4-BE49-F238E27FC236}">
                <a16:creationId xmlns:a16="http://schemas.microsoft.com/office/drawing/2014/main" id="{36244F1C-B625-7721-65C6-D853B49D41D2}"/>
              </a:ext>
            </a:extLst>
          </xdr:cNvPr>
          <xdr:cNvSpPr>
            <a:spLocks noChangeArrowheads="1"/>
          </xdr:cNvSpPr>
        </xdr:nvSpPr>
        <xdr:spPr bwMode="auto">
          <a:xfrm>
            <a:off x="475" y="2029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3" name="Line 35">
            <a:extLst>
              <a:ext uri="{FF2B5EF4-FFF2-40B4-BE49-F238E27FC236}">
                <a16:creationId xmlns:a16="http://schemas.microsoft.com/office/drawing/2014/main" id="{5CF2E9E6-6C64-5B89-C680-6536AB6AF452}"/>
              </a:ext>
            </a:extLst>
          </xdr:cNvPr>
          <xdr:cNvSpPr>
            <a:spLocks noChangeShapeType="1"/>
          </xdr:cNvSpPr>
        </xdr:nvSpPr>
        <xdr:spPr bwMode="auto">
          <a:xfrm>
            <a:off x="590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4" name="Rectangle 36">
            <a:extLst>
              <a:ext uri="{FF2B5EF4-FFF2-40B4-BE49-F238E27FC236}">
                <a16:creationId xmlns:a16="http://schemas.microsoft.com/office/drawing/2014/main" id="{D1788C9D-B2A1-3B9A-B9A4-1E2FD2F1B5AF}"/>
              </a:ext>
            </a:extLst>
          </xdr:cNvPr>
          <xdr:cNvSpPr>
            <a:spLocks noChangeArrowheads="1"/>
          </xdr:cNvSpPr>
        </xdr:nvSpPr>
        <xdr:spPr bwMode="auto">
          <a:xfrm>
            <a:off x="590" y="20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5" name="Line 37">
            <a:extLst>
              <a:ext uri="{FF2B5EF4-FFF2-40B4-BE49-F238E27FC236}">
                <a16:creationId xmlns:a16="http://schemas.microsoft.com/office/drawing/2014/main" id="{8AB53304-9501-1D85-D8F9-3D54B411D0B8}"/>
              </a:ext>
            </a:extLst>
          </xdr:cNvPr>
          <xdr:cNvSpPr>
            <a:spLocks noChangeShapeType="1"/>
          </xdr:cNvSpPr>
        </xdr:nvSpPr>
        <xdr:spPr bwMode="auto">
          <a:xfrm>
            <a:off x="776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6" name="Rectangle 38">
            <a:extLst>
              <a:ext uri="{FF2B5EF4-FFF2-40B4-BE49-F238E27FC236}">
                <a16:creationId xmlns:a16="http://schemas.microsoft.com/office/drawing/2014/main" id="{931511A3-9088-6168-89AF-418F719F634B}"/>
              </a:ext>
            </a:extLst>
          </xdr:cNvPr>
          <xdr:cNvSpPr>
            <a:spLocks noChangeArrowheads="1"/>
          </xdr:cNvSpPr>
        </xdr:nvSpPr>
        <xdr:spPr bwMode="auto">
          <a:xfrm>
            <a:off x="776" y="20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7" name="Line 39">
            <a:extLst>
              <a:ext uri="{FF2B5EF4-FFF2-40B4-BE49-F238E27FC236}">
                <a16:creationId xmlns:a16="http://schemas.microsoft.com/office/drawing/2014/main" id="{39F8CB06-0A51-B068-FA64-3BBF9871B0BE}"/>
              </a:ext>
            </a:extLst>
          </xdr:cNvPr>
          <xdr:cNvSpPr>
            <a:spLocks noChangeShapeType="1"/>
          </xdr:cNvSpPr>
        </xdr:nvSpPr>
        <xdr:spPr bwMode="auto">
          <a:xfrm>
            <a:off x="777" y="1880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8" name="Rectangle 40">
            <a:extLst>
              <a:ext uri="{FF2B5EF4-FFF2-40B4-BE49-F238E27FC236}">
                <a16:creationId xmlns:a16="http://schemas.microsoft.com/office/drawing/2014/main" id="{6A429A0D-F910-68B9-4285-4DCC2476ABC6}"/>
              </a:ext>
            </a:extLst>
          </xdr:cNvPr>
          <xdr:cNvSpPr>
            <a:spLocks noChangeArrowheads="1"/>
          </xdr:cNvSpPr>
        </xdr:nvSpPr>
        <xdr:spPr bwMode="auto">
          <a:xfrm>
            <a:off x="777" y="1880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9" name="Line 41">
            <a:extLst>
              <a:ext uri="{FF2B5EF4-FFF2-40B4-BE49-F238E27FC236}">
                <a16:creationId xmlns:a16="http://schemas.microsoft.com/office/drawing/2014/main" id="{15A87687-A171-4CD5-031D-74AEB4452FA9}"/>
              </a:ext>
            </a:extLst>
          </xdr:cNvPr>
          <xdr:cNvSpPr>
            <a:spLocks noChangeShapeType="1"/>
          </xdr:cNvSpPr>
        </xdr:nvSpPr>
        <xdr:spPr bwMode="auto">
          <a:xfrm>
            <a:off x="777" y="19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0" name="Rectangle 42">
            <a:extLst>
              <a:ext uri="{FF2B5EF4-FFF2-40B4-BE49-F238E27FC236}">
                <a16:creationId xmlns:a16="http://schemas.microsoft.com/office/drawing/2014/main" id="{3D159731-8FBA-A424-7F6E-F2EBFA205B24}"/>
              </a:ext>
            </a:extLst>
          </xdr:cNvPr>
          <xdr:cNvSpPr>
            <a:spLocks noChangeArrowheads="1"/>
          </xdr:cNvSpPr>
        </xdr:nvSpPr>
        <xdr:spPr bwMode="auto">
          <a:xfrm>
            <a:off x="777" y="19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1" name="Line 43">
            <a:extLst>
              <a:ext uri="{FF2B5EF4-FFF2-40B4-BE49-F238E27FC236}">
                <a16:creationId xmlns:a16="http://schemas.microsoft.com/office/drawing/2014/main" id="{C42EBEFB-99BC-2662-5A28-357EB6725CF6}"/>
              </a:ext>
            </a:extLst>
          </xdr:cNvPr>
          <xdr:cNvSpPr>
            <a:spLocks noChangeShapeType="1"/>
          </xdr:cNvSpPr>
        </xdr:nvSpPr>
        <xdr:spPr bwMode="auto">
          <a:xfrm>
            <a:off x="777" y="1978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2" name="Rectangle 44">
            <a:extLst>
              <a:ext uri="{FF2B5EF4-FFF2-40B4-BE49-F238E27FC236}">
                <a16:creationId xmlns:a16="http://schemas.microsoft.com/office/drawing/2014/main" id="{C4CA0C80-34C3-18A1-51E0-F9DB5A665D21}"/>
              </a:ext>
            </a:extLst>
          </xdr:cNvPr>
          <xdr:cNvSpPr>
            <a:spLocks noChangeArrowheads="1"/>
          </xdr:cNvSpPr>
        </xdr:nvSpPr>
        <xdr:spPr bwMode="auto">
          <a:xfrm>
            <a:off x="777" y="1978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3" name="Line 45">
            <a:extLst>
              <a:ext uri="{FF2B5EF4-FFF2-40B4-BE49-F238E27FC236}">
                <a16:creationId xmlns:a16="http://schemas.microsoft.com/office/drawing/2014/main" id="{0BB13F34-4C12-EC41-085D-6CAC026EF376}"/>
              </a:ext>
            </a:extLst>
          </xdr:cNvPr>
          <xdr:cNvSpPr>
            <a:spLocks noChangeShapeType="1"/>
          </xdr:cNvSpPr>
        </xdr:nvSpPr>
        <xdr:spPr bwMode="auto">
          <a:xfrm>
            <a:off x="777" y="2028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4" name="Rectangle 46">
            <a:extLst>
              <a:ext uri="{FF2B5EF4-FFF2-40B4-BE49-F238E27FC236}">
                <a16:creationId xmlns:a16="http://schemas.microsoft.com/office/drawing/2014/main" id="{4F1AEAC3-09EA-BDD5-7210-D1ED03A2F287}"/>
              </a:ext>
            </a:extLst>
          </xdr:cNvPr>
          <xdr:cNvSpPr>
            <a:spLocks noChangeArrowheads="1"/>
          </xdr:cNvSpPr>
        </xdr:nvSpPr>
        <xdr:spPr bwMode="auto">
          <a:xfrm>
            <a:off x="777" y="2028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oneCellAnchor>
    <xdr:from>
      <xdr:col>10</xdr:col>
      <xdr:colOff>131885</xdr:colOff>
      <xdr:row>52</xdr:row>
      <xdr:rowOff>124557</xdr:rowOff>
    </xdr:from>
    <xdr:ext cx="364202" cy="93243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A0B1ED8-217B-6915-029B-EB20BC7D4BF0}"/>
            </a:ext>
          </a:extLst>
        </xdr:cNvPr>
        <xdr:cNvSpPr txBox="1"/>
      </xdr:nvSpPr>
      <xdr:spPr>
        <a:xfrm>
          <a:off x="11517923" y="18266019"/>
          <a:ext cx="364202" cy="9324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400"/>
            <a:t>검</a:t>
          </a:r>
          <a:endParaRPr lang="en-US" altLang="ko-KR" sz="1400"/>
        </a:p>
        <a:p>
          <a:endParaRPr lang="en-US" altLang="ko-KR" sz="1400"/>
        </a:p>
        <a:p>
          <a:r>
            <a:rPr lang="ko-KR" altLang="en-US" sz="1400"/>
            <a:t>토</a:t>
          </a:r>
          <a:endParaRPr lang="en-US" altLang="ko-KR" sz="14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showGridLines="0" view="pageBreakPreview" zoomScale="85" zoomScaleNormal="100" zoomScaleSheetLayoutView="85" workbookViewId="0">
      <selection activeCell="I5" sqref="I5"/>
    </sheetView>
  </sheetViews>
  <sheetFormatPr defaultRowHeight="16.5"/>
  <cols>
    <col min="1" max="6" width="21.625" customWidth="1"/>
  </cols>
  <sheetData>
    <row r="1" spans="1:6" ht="21.95" customHeight="1" thickTop="1">
      <c r="A1" s="195"/>
      <c r="B1" s="196"/>
      <c r="C1" s="196"/>
      <c r="D1" s="196"/>
      <c r="E1" s="196"/>
      <c r="F1" s="197"/>
    </row>
    <row r="2" spans="1:6" ht="21.95" customHeight="1">
      <c r="A2" s="198"/>
      <c r="B2" s="199"/>
      <c r="C2" s="199"/>
      <c r="D2" s="200"/>
      <c r="E2" s="199"/>
      <c r="F2" s="201"/>
    </row>
    <row r="3" spans="1:6" ht="21.95" customHeight="1">
      <c r="A3" s="198"/>
      <c r="B3" s="199"/>
      <c r="C3" s="199"/>
      <c r="D3" s="199"/>
      <c r="E3" s="199"/>
      <c r="F3" s="201"/>
    </row>
    <row r="4" spans="1:6" ht="21.95" customHeight="1">
      <c r="A4" s="198"/>
      <c r="B4" s="208" t="s">
        <v>560</v>
      </c>
      <c r="C4" s="208"/>
      <c r="D4" s="208"/>
      <c r="E4" s="208"/>
      <c r="F4" s="201"/>
    </row>
    <row r="5" spans="1:6" ht="21.95" customHeight="1">
      <c r="A5" s="202"/>
      <c r="B5" s="208"/>
      <c r="C5" s="208"/>
      <c r="D5" s="208"/>
      <c r="E5" s="208"/>
      <c r="F5" s="203"/>
    </row>
    <row r="6" spans="1:6" ht="21.95" customHeight="1">
      <c r="A6" s="204"/>
      <c r="B6" s="208"/>
      <c r="C6" s="208"/>
      <c r="D6" s="208"/>
      <c r="E6" s="208"/>
      <c r="F6" s="205"/>
    </row>
    <row r="7" spans="1:6" ht="36.950000000000003" customHeight="1">
      <c r="A7" s="206"/>
      <c r="B7" s="209" t="s">
        <v>561</v>
      </c>
      <c r="C7" s="209"/>
      <c r="D7" s="209"/>
      <c r="E7" s="209"/>
      <c r="F7" s="205"/>
    </row>
    <row r="8" spans="1:6" ht="29.1" customHeight="1">
      <c r="A8" s="202"/>
      <c r="B8" s="207"/>
      <c r="C8" s="210" t="s">
        <v>366</v>
      </c>
      <c r="D8" s="211"/>
      <c r="E8" s="207"/>
      <c r="F8" s="203"/>
    </row>
    <row r="9" spans="1:6" ht="21.95" customHeight="1">
      <c r="A9" s="202"/>
      <c r="B9" s="207"/>
      <c r="C9" s="207"/>
      <c r="D9" s="207"/>
      <c r="E9" s="207"/>
      <c r="F9" s="203"/>
    </row>
    <row r="10" spans="1:6" ht="21.95" customHeight="1">
      <c r="A10" s="202"/>
      <c r="B10" s="207"/>
      <c r="C10" s="207"/>
      <c r="D10" s="207"/>
      <c r="E10" s="207"/>
      <c r="F10" s="203"/>
    </row>
    <row r="11" spans="1:6" ht="21.95" customHeight="1">
      <c r="A11" s="202"/>
      <c r="B11" s="207"/>
      <c r="C11" s="207"/>
      <c r="D11" s="207"/>
      <c r="E11" s="207"/>
      <c r="F11" s="203"/>
    </row>
    <row r="12" spans="1:6" ht="21.95" customHeight="1">
      <c r="A12" s="202"/>
      <c r="B12" s="207"/>
      <c r="C12" s="207"/>
      <c r="D12" s="207"/>
      <c r="E12" s="207"/>
      <c r="F12" s="203"/>
    </row>
    <row r="13" spans="1:6" ht="21.95" customHeight="1">
      <c r="A13" s="202"/>
      <c r="B13" s="207"/>
      <c r="C13" s="207"/>
      <c r="D13" s="207"/>
      <c r="E13" s="207"/>
      <c r="F13" s="203"/>
    </row>
    <row r="14" spans="1:6" ht="21.95" customHeight="1">
      <c r="A14" s="202"/>
      <c r="B14" s="207"/>
      <c r="C14" s="207"/>
      <c r="D14" s="207"/>
      <c r="E14" s="207"/>
      <c r="F14" s="203"/>
    </row>
    <row r="15" spans="1:6" ht="21.95" customHeight="1">
      <c r="A15" s="202"/>
      <c r="B15" s="207"/>
      <c r="C15" s="212" t="s">
        <v>562</v>
      </c>
      <c r="D15" s="212"/>
      <c r="E15" s="207"/>
      <c r="F15" s="203"/>
    </row>
    <row r="16" spans="1:6" ht="21.95" customHeight="1">
      <c r="A16" s="202"/>
      <c r="B16" s="207"/>
      <c r="C16" s="207"/>
      <c r="D16" s="207"/>
      <c r="E16" s="207"/>
      <c r="F16" s="203"/>
    </row>
    <row r="17" spans="1:6" ht="21.95" customHeight="1">
      <c r="A17" s="202"/>
      <c r="B17" s="207"/>
      <c r="C17" s="207"/>
      <c r="D17" s="207"/>
      <c r="E17" s="207"/>
      <c r="F17" s="203"/>
    </row>
    <row r="18" spans="1:6" ht="21.95" customHeight="1">
      <c r="A18" s="202"/>
      <c r="B18" s="207"/>
      <c r="C18" s="207"/>
      <c r="D18" s="207"/>
      <c r="E18" s="207"/>
      <c r="F18" s="203"/>
    </row>
    <row r="19" spans="1:6" ht="48" customHeight="1">
      <c r="A19" s="202"/>
      <c r="B19" s="207"/>
      <c r="C19" s="207"/>
      <c r="D19" s="207"/>
      <c r="E19" s="207"/>
      <c r="F19" s="203"/>
    </row>
    <row r="20" spans="1:6" ht="21.95" customHeight="1">
      <c r="A20" s="202"/>
      <c r="B20" s="207"/>
      <c r="C20" s="208" t="s">
        <v>563</v>
      </c>
      <c r="D20" s="208"/>
      <c r="E20" s="207"/>
      <c r="F20" s="203"/>
    </row>
    <row r="21" spans="1:6" ht="21.95" customHeight="1">
      <c r="A21" s="202"/>
      <c r="B21" s="207"/>
      <c r="C21" s="207"/>
      <c r="D21" s="207"/>
      <c r="E21" s="207"/>
      <c r="F21" s="203"/>
    </row>
  </sheetData>
  <mergeCells count="5">
    <mergeCell ref="C20:D20"/>
    <mergeCell ref="B4:E6"/>
    <mergeCell ref="B7:E7"/>
    <mergeCell ref="C8:D8"/>
    <mergeCell ref="C15:D15"/>
  </mergeCells>
  <phoneticPr fontId="3" type="noConversion"/>
  <pageMargins left="0.7" right="0.7" top="0.75" bottom="0.75" header="0.3" footer="0.3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view="pageBreakPreview" zoomScaleNormal="100" zoomScaleSheetLayoutView="100" workbookViewId="0">
      <selection activeCell="B18" sqref="B18:J18"/>
    </sheetView>
  </sheetViews>
  <sheetFormatPr defaultRowHeight="16.5"/>
  <cols>
    <col min="1" max="1" width="5.375" style="1" customWidth="1"/>
    <col min="2" max="2" width="18.125" style="1" customWidth="1"/>
    <col min="3" max="3" width="3.125" style="1" customWidth="1"/>
    <col min="4" max="4" width="47.25" style="1" customWidth="1"/>
    <col min="5" max="5" width="17" style="1" customWidth="1"/>
    <col min="6" max="6" width="10.875" style="1" customWidth="1"/>
    <col min="7" max="7" width="5.25" style="1" customWidth="1"/>
    <col min="8" max="8" width="8.5" style="1" customWidth="1"/>
    <col min="9" max="9" width="10.5" style="1" customWidth="1"/>
    <col min="10" max="10" width="16.375" style="1" customWidth="1"/>
    <col min="11" max="11" width="13" style="1" customWidth="1"/>
    <col min="12" max="12" width="0.875" style="1" customWidth="1"/>
  </cols>
  <sheetData>
    <row r="1" spans="1:12" ht="39.950000000000003" customHeight="1">
      <c r="A1" s="213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</row>
    <row r="2" spans="1:12" ht="21.95" customHeight="1">
      <c r="A2" s="2"/>
      <c r="B2" s="2"/>
      <c r="C2" s="2"/>
      <c r="D2" s="2"/>
      <c r="E2" s="3"/>
      <c r="F2" s="2"/>
      <c r="G2" s="2"/>
      <c r="H2" s="2"/>
      <c r="I2" s="2"/>
      <c r="J2" s="2"/>
      <c r="K2" s="2"/>
    </row>
    <row r="3" spans="1:12" ht="21.95" customHeight="1">
      <c r="A3" s="4">
        <v>1</v>
      </c>
      <c r="B3" s="5" t="s">
        <v>1</v>
      </c>
      <c r="C3" s="5" t="s">
        <v>2</v>
      </c>
      <c r="D3" s="6" t="str">
        <f>'용역청구서 표지'!$B$7</f>
        <v>P4 Ph2 GAS&amp;PWC 1공구 배관공사 (FAB)</v>
      </c>
      <c r="E3" s="7" t="str">
        <f>'용역청구서 표지'!$C$8</f>
        <v>S26-001</v>
      </c>
      <c r="F3" s="7"/>
      <c r="G3" s="2"/>
      <c r="H3" s="2"/>
      <c r="I3" s="2"/>
      <c r="J3" s="2"/>
      <c r="K3" s="2"/>
    </row>
    <row r="4" spans="1:12" ht="21.95" customHeight="1">
      <c r="A4" s="4">
        <v>2</v>
      </c>
      <c r="B4" s="5" t="s">
        <v>3</v>
      </c>
      <c r="C4" s="5" t="s">
        <v>2</v>
      </c>
      <c r="D4" s="8" t="s">
        <v>4</v>
      </c>
      <c r="E4" s="6"/>
      <c r="F4" s="5"/>
      <c r="G4" s="2"/>
      <c r="H4" s="2"/>
      <c r="I4" s="2"/>
      <c r="J4" s="2"/>
      <c r="K4" s="2"/>
    </row>
    <row r="5" spans="1:12" ht="21.95" customHeight="1">
      <c r="A5" s="4">
        <v>3</v>
      </c>
      <c r="B5" s="5" t="s">
        <v>5</v>
      </c>
      <c r="C5" s="5" t="s">
        <v>2</v>
      </c>
      <c r="D5" s="9">
        <f>ROUNDUP(E5,0)</f>
        <v>0</v>
      </c>
      <c r="E5" s="6">
        <f>집계장!I23</f>
        <v>0</v>
      </c>
      <c r="F5" s="10" t="s">
        <v>6</v>
      </c>
      <c r="G5" s="2"/>
      <c r="H5" s="2"/>
      <c r="I5" s="2"/>
      <c r="J5" s="2"/>
      <c r="K5" s="2"/>
    </row>
    <row r="6" spans="1:12" ht="21.95" customHeight="1">
      <c r="A6" s="4">
        <v>4</v>
      </c>
      <c r="B6" s="11" t="s">
        <v>7</v>
      </c>
      <c r="C6" s="5" t="s">
        <v>2</v>
      </c>
      <c r="D6" s="9">
        <f t="shared" ref="D6:D12" si="0">ROUNDUP(E6,0)</f>
        <v>0</v>
      </c>
      <c r="E6" s="6">
        <f>E7+E13</f>
        <v>0</v>
      </c>
      <c r="F6" s="10" t="s">
        <v>8</v>
      </c>
      <c r="G6" s="2"/>
      <c r="H6" s="2"/>
      <c r="I6" s="2"/>
      <c r="J6" s="2"/>
      <c r="K6" s="2"/>
      <c r="L6" s="2"/>
    </row>
    <row r="7" spans="1:12" ht="21.95" customHeight="1">
      <c r="A7" s="4">
        <v>5</v>
      </c>
      <c r="B7" s="5" t="s">
        <v>9</v>
      </c>
      <c r="C7" s="5" t="s">
        <v>10</v>
      </c>
      <c r="D7" s="9">
        <f t="shared" si="0"/>
        <v>0</v>
      </c>
      <c r="E7" s="6">
        <f>집계장!G23</f>
        <v>0</v>
      </c>
      <c r="F7" s="10" t="s">
        <v>11</v>
      </c>
      <c r="G7" s="2"/>
      <c r="H7" s="2"/>
      <c r="I7" s="2"/>
      <c r="J7" s="2"/>
      <c r="K7" s="2"/>
      <c r="L7" s="2"/>
    </row>
    <row r="8" spans="1:12" ht="21.95" customHeight="1">
      <c r="A8" s="4">
        <v>6</v>
      </c>
      <c r="B8" s="5" t="s">
        <v>12</v>
      </c>
      <c r="C8" s="5" t="s">
        <v>2</v>
      </c>
      <c r="D8" s="9">
        <f t="shared" si="0"/>
        <v>-139160193</v>
      </c>
      <c r="E8" s="6">
        <f>집계장!F19</f>
        <v>-139160193</v>
      </c>
      <c r="F8" s="10" t="s">
        <v>13</v>
      </c>
      <c r="G8" s="2"/>
      <c r="H8" s="2"/>
      <c r="I8" s="2"/>
      <c r="J8" s="2"/>
      <c r="K8" s="2"/>
      <c r="L8" s="12"/>
    </row>
    <row r="9" spans="1:12" ht="21.95" customHeight="1">
      <c r="A9" s="4">
        <v>7</v>
      </c>
      <c r="B9" s="5" t="s">
        <v>14</v>
      </c>
      <c r="C9" s="5" t="s">
        <v>15</v>
      </c>
      <c r="D9" s="9">
        <f t="shared" si="0"/>
        <v>0</v>
      </c>
      <c r="E9" s="6">
        <f>집계장!K21</f>
        <v>0</v>
      </c>
      <c r="F9" s="10" t="s">
        <v>8</v>
      </c>
      <c r="G9" s="2"/>
      <c r="H9" s="2"/>
      <c r="I9" s="2"/>
      <c r="J9" s="2"/>
      <c r="K9" s="2"/>
      <c r="L9" s="12"/>
    </row>
    <row r="10" spans="1:12" ht="21.95" customHeight="1">
      <c r="A10" s="4">
        <v>8</v>
      </c>
      <c r="B10" s="5" t="s">
        <v>16</v>
      </c>
      <c r="C10" s="5" t="s">
        <v>17</v>
      </c>
      <c r="D10" s="9">
        <f t="shared" si="0"/>
        <v>0</v>
      </c>
      <c r="E10" s="6">
        <f>집계장!G21</f>
        <v>0</v>
      </c>
      <c r="F10" s="10" t="s">
        <v>6</v>
      </c>
      <c r="G10" s="2"/>
      <c r="H10" s="2"/>
      <c r="I10" s="2"/>
      <c r="J10" s="2"/>
      <c r="K10" s="2"/>
      <c r="L10" s="2"/>
    </row>
    <row r="11" spans="1:12" ht="21.95" customHeight="1">
      <c r="A11" s="4">
        <v>9</v>
      </c>
      <c r="B11" s="5" t="s">
        <v>18</v>
      </c>
      <c r="C11" s="5" t="s">
        <v>15</v>
      </c>
      <c r="D11" s="9">
        <f t="shared" si="0"/>
        <v>0</v>
      </c>
      <c r="E11" s="6">
        <f>집계장!F21</f>
        <v>0</v>
      </c>
      <c r="F11" s="10" t="s">
        <v>13</v>
      </c>
      <c r="G11" s="2"/>
      <c r="H11" s="2"/>
      <c r="I11" s="2"/>
      <c r="J11" s="2"/>
      <c r="K11" s="2"/>
      <c r="L11" s="13"/>
    </row>
    <row r="12" spans="1:12" ht="21.95" customHeight="1">
      <c r="A12" s="4">
        <v>10</v>
      </c>
      <c r="B12" s="5" t="s">
        <v>19</v>
      </c>
      <c r="C12" s="5" t="s">
        <v>2</v>
      </c>
      <c r="D12" s="9">
        <f t="shared" si="0"/>
        <v>0</v>
      </c>
      <c r="E12" s="6">
        <f>집계장!L21</f>
        <v>0</v>
      </c>
      <c r="F12" s="10" t="s">
        <v>6</v>
      </c>
      <c r="G12" s="2"/>
      <c r="H12" s="2"/>
      <c r="I12" s="2"/>
      <c r="J12" s="2"/>
      <c r="K12" s="2"/>
      <c r="L12" s="14"/>
    </row>
    <row r="13" spans="1:12" ht="21.95" customHeight="1">
      <c r="A13" s="4">
        <v>11</v>
      </c>
      <c r="B13" s="8" t="s">
        <v>20</v>
      </c>
      <c r="C13" s="5" t="s">
        <v>21</v>
      </c>
      <c r="D13" s="15">
        <f>ROUNDUP(E13,0)</f>
        <v>0</v>
      </c>
      <c r="E13" s="16">
        <f>집계장!F23</f>
        <v>0</v>
      </c>
      <c r="F13" s="10" t="s">
        <v>11</v>
      </c>
      <c r="G13" s="2"/>
      <c r="H13" s="2"/>
      <c r="I13" s="2"/>
      <c r="J13" s="2"/>
      <c r="K13" s="2"/>
      <c r="L13" s="2"/>
    </row>
    <row r="14" spans="1:12" ht="21.95" customHeight="1">
      <c r="A14" s="4">
        <v>12</v>
      </c>
      <c r="B14" s="5" t="s">
        <v>22</v>
      </c>
      <c r="C14" s="5" t="s">
        <v>21</v>
      </c>
      <c r="D14" s="9">
        <f>ROUNDUP(E14,0)</f>
        <v>0</v>
      </c>
      <c r="E14" s="6">
        <f>집계장!F18</f>
        <v>0</v>
      </c>
      <c r="F14" s="10" t="s">
        <v>6</v>
      </c>
      <c r="G14" s="2"/>
      <c r="H14" s="2"/>
      <c r="I14" s="2"/>
      <c r="J14" s="2"/>
      <c r="K14" s="2"/>
      <c r="L14" s="2"/>
    </row>
    <row r="15" spans="1:12" ht="21.95" customHeight="1">
      <c r="A15" s="4">
        <v>13</v>
      </c>
      <c r="B15" s="5" t="s">
        <v>23</v>
      </c>
      <c r="C15" s="5" t="s">
        <v>24</v>
      </c>
      <c r="D15" s="17">
        <v>1</v>
      </c>
      <c r="E15" s="18"/>
      <c r="F15" s="5"/>
      <c r="G15" s="5"/>
      <c r="H15" s="5"/>
      <c r="I15" s="5"/>
      <c r="J15" s="5"/>
      <c r="K15" s="5"/>
      <c r="L15" s="2"/>
    </row>
    <row r="16" spans="1:12" ht="21.95" customHeight="1">
      <c r="A16" s="4">
        <v>14</v>
      </c>
      <c r="B16" s="5" t="s">
        <v>25</v>
      </c>
      <c r="C16" s="5" t="s">
        <v>26</v>
      </c>
      <c r="D16" s="17" t="s">
        <v>511</v>
      </c>
      <c r="E16" s="18"/>
      <c r="F16" s="5"/>
      <c r="G16" s="5"/>
      <c r="H16" s="5"/>
      <c r="I16" s="5"/>
      <c r="J16" s="5"/>
      <c r="K16" s="5"/>
    </row>
    <row r="17" spans="1:11" ht="21.95" customHeight="1">
      <c r="A17" s="4"/>
      <c r="B17" s="5"/>
      <c r="C17" s="5"/>
      <c r="D17" s="17"/>
      <c r="E17" s="18"/>
      <c r="F17" s="5"/>
      <c r="G17" s="5"/>
      <c r="H17" s="5"/>
      <c r="I17" s="5"/>
      <c r="J17" s="5"/>
      <c r="K17" s="5"/>
    </row>
    <row r="18" spans="1:11" ht="21.95" customHeight="1">
      <c r="A18" s="4"/>
      <c r="B18" s="214" t="s">
        <v>27</v>
      </c>
      <c r="C18" s="214"/>
      <c r="D18" s="214"/>
      <c r="E18" s="214"/>
      <c r="F18" s="214"/>
      <c r="G18" s="214"/>
      <c r="H18" s="214"/>
      <c r="I18" s="214"/>
      <c r="J18" s="215"/>
      <c r="K18" s="5"/>
    </row>
    <row r="19" spans="1:11" ht="21.95" customHeight="1">
      <c r="A19" s="4"/>
      <c r="B19" s="5" t="s">
        <v>28</v>
      </c>
      <c r="C19" s="5"/>
      <c r="D19" s="5"/>
      <c r="E19" s="18"/>
      <c r="F19" s="5"/>
      <c r="G19" s="5"/>
      <c r="H19" s="5"/>
      <c r="I19" s="5"/>
      <c r="J19" s="5"/>
      <c r="K19" s="5"/>
    </row>
    <row r="20" spans="1:11" ht="21.95" customHeight="1">
      <c r="A20" s="4"/>
      <c r="B20" s="5" t="s">
        <v>29</v>
      </c>
      <c r="C20" s="5"/>
      <c r="D20" s="5"/>
      <c r="E20" s="18"/>
      <c r="F20" s="5"/>
      <c r="G20" s="5"/>
      <c r="H20" s="5"/>
      <c r="I20" s="5"/>
      <c r="J20" s="5"/>
      <c r="K20" s="5"/>
    </row>
    <row r="21" spans="1:11" ht="21.95" customHeight="1">
      <c r="A21" s="19"/>
      <c r="B21" s="5"/>
      <c r="C21" s="5"/>
      <c r="D21" s="5"/>
      <c r="E21" s="18"/>
      <c r="F21" s="8" t="s">
        <v>328</v>
      </c>
      <c r="G21" s="8"/>
      <c r="H21" s="8"/>
      <c r="I21" s="8"/>
      <c r="J21" s="5"/>
      <c r="K21" s="5"/>
    </row>
    <row r="22" spans="1:11" ht="21.95" customHeight="1">
      <c r="A22" s="19"/>
      <c r="B22" s="5"/>
      <c r="C22" s="5"/>
      <c r="D22" s="5"/>
      <c r="E22" s="18"/>
      <c r="F22" s="5"/>
      <c r="G22" s="5"/>
      <c r="H22" s="5"/>
      <c r="I22" s="5"/>
      <c r="J22" s="5"/>
      <c r="K22" s="5"/>
    </row>
    <row r="23" spans="1:11" ht="21.95" customHeight="1">
      <c r="A23" s="19"/>
      <c r="B23" s="5"/>
      <c r="C23" s="5"/>
      <c r="D23" s="5"/>
      <c r="E23" s="18"/>
      <c r="F23" s="8" t="s">
        <v>30</v>
      </c>
      <c r="G23" s="216" t="s">
        <v>302</v>
      </c>
      <c r="H23" s="216"/>
      <c r="I23" s="216"/>
      <c r="J23" s="216"/>
      <c r="K23" s="216"/>
    </row>
    <row r="24" spans="1:11" ht="21.95" customHeight="1">
      <c r="A24" s="19"/>
      <c r="B24" s="5" t="s">
        <v>31</v>
      </c>
      <c r="C24" s="5"/>
      <c r="D24" s="5"/>
      <c r="E24" s="18"/>
      <c r="F24" s="8" t="s">
        <v>32</v>
      </c>
      <c r="G24" s="216" t="s">
        <v>303</v>
      </c>
      <c r="H24" s="216"/>
      <c r="I24" s="216"/>
      <c r="J24" s="216"/>
      <c r="K24" s="216"/>
    </row>
    <row r="25" spans="1:11" ht="21.95" customHeight="1">
      <c r="A25" s="2"/>
      <c r="B25" s="5"/>
      <c r="C25" s="5"/>
      <c r="D25" s="5"/>
      <c r="E25" s="18"/>
      <c r="F25" s="8" t="s">
        <v>33</v>
      </c>
      <c r="G25" s="216" t="s">
        <v>304</v>
      </c>
      <c r="H25" s="216"/>
      <c r="I25" s="7" t="s">
        <v>305</v>
      </c>
      <c r="J25" s="8"/>
      <c r="K25" s="8"/>
    </row>
    <row r="26" spans="1:11" ht="21.95" customHeight="1">
      <c r="A26" s="2"/>
      <c r="B26" s="2"/>
      <c r="C26" s="2"/>
      <c r="D26" s="20" t="s">
        <v>34</v>
      </c>
      <c r="E26" s="14"/>
      <c r="F26" s="2"/>
      <c r="G26" s="2"/>
      <c r="H26" s="2"/>
      <c r="I26" s="2"/>
      <c r="J26" s="2"/>
      <c r="K26" s="2"/>
    </row>
  </sheetData>
  <mergeCells count="5">
    <mergeCell ref="A1:K1"/>
    <mergeCell ref="B18:J18"/>
    <mergeCell ref="G23:K23"/>
    <mergeCell ref="G24:K24"/>
    <mergeCell ref="G25:H25"/>
  </mergeCells>
  <phoneticPr fontId="3" type="noConversion"/>
  <pageMargins left="0.7" right="0.7" top="0.75" bottom="0.75" header="0.3" footer="0.3"/>
  <pageSetup paperSize="9"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L12" sqref="L11:L12"/>
    </sheetView>
  </sheetViews>
  <sheetFormatPr defaultRowHeight="16.5"/>
  <cols>
    <col min="1" max="1" width="29.25" style="21" bestFit="1" customWidth="1"/>
    <col min="2" max="2" width="18.625" style="21" customWidth="1"/>
    <col min="3" max="3" width="9" style="21"/>
    <col min="4" max="4" width="12.375" style="21" bestFit="1" customWidth="1"/>
    <col min="5" max="5" width="8.625" style="21" customWidth="1"/>
    <col min="6" max="6" width="15.625" style="21" customWidth="1"/>
    <col min="7" max="7" width="13.625" style="21" customWidth="1"/>
  </cols>
  <sheetData>
    <row r="1" spans="1:7" ht="69.95" customHeight="1">
      <c r="A1" s="217" t="s">
        <v>79</v>
      </c>
      <c r="B1" s="218"/>
      <c r="C1" s="218"/>
      <c r="D1" s="218"/>
      <c r="E1" s="218"/>
      <c r="F1" s="218"/>
      <c r="G1" s="218"/>
    </row>
    <row r="2" spans="1:7" ht="39.950000000000003" customHeight="1" thickBot="1">
      <c r="A2" s="25" t="s">
        <v>80</v>
      </c>
      <c r="G2" s="26" t="s">
        <v>81</v>
      </c>
    </row>
    <row r="3" spans="1:7" ht="27.95" customHeight="1">
      <c r="A3" s="219" t="s">
        <v>82</v>
      </c>
      <c r="B3" s="221" t="s">
        <v>83</v>
      </c>
      <c r="C3" s="221" t="s">
        <v>84</v>
      </c>
      <c r="D3" s="221" t="s">
        <v>85</v>
      </c>
      <c r="E3" s="221" t="s">
        <v>86</v>
      </c>
      <c r="F3" s="221"/>
      <c r="G3" s="223"/>
    </row>
    <row r="4" spans="1:7" ht="27.95" customHeight="1">
      <c r="A4" s="220"/>
      <c r="B4" s="222"/>
      <c r="C4" s="222"/>
      <c r="D4" s="222"/>
      <c r="E4" s="27" t="s">
        <v>87</v>
      </c>
      <c r="F4" s="27" t="s">
        <v>88</v>
      </c>
      <c r="G4" s="28" t="s">
        <v>89</v>
      </c>
    </row>
    <row r="5" spans="1:7" ht="27.95" customHeight="1">
      <c r="A5" s="29" t="s">
        <v>90</v>
      </c>
      <c r="B5" s="30" t="s">
        <v>91</v>
      </c>
      <c r="C5" s="30" t="s">
        <v>92</v>
      </c>
      <c r="D5" s="31">
        <v>1400000</v>
      </c>
      <c r="E5" s="30">
        <v>1</v>
      </c>
      <c r="F5" s="31">
        <f>D5*E5</f>
        <v>1400000</v>
      </c>
      <c r="G5" s="32"/>
    </row>
    <row r="6" spans="1:7" ht="27.95" customHeight="1">
      <c r="A6" s="29" t="s">
        <v>90</v>
      </c>
      <c r="B6" s="30" t="s">
        <v>93</v>
      </c>
      <c r="C6" s="30" t="s">
        <v>94</v>
      </c>
      <c r="D6" s="31">
        <v>1200000</v>
      </c>
      <c r="E6" s="30"/>
      <c r="F6" s="31">
        <f t="shared" ref="F6:F11" si="0">D6*E6</f>
        <v>0</v>
      </c>
      <c r="G6" s="32"/>
    </row>
    <row r="7" spans="1:7" ht="27.95" customHeight="1">
      <c r="A7" s="29" t="s">
        <v>95</v>
      </c>
      <c r="B7" s="30" t="s">
        <v>96</v>
      </c>
      <c r="C7" s="30" t="s">
        <v>94</v>
      </c>
      <c r="D7" s="31">
        <v>1000000</v>
      </c>
      <c r="E7" s="30"/>
      <c r="F7" s="31">
        <f t="shared" si="0"/>
        <v>0</v>
      </c>
      <c r="G7" s="32"/>
    </row>
    <row r="8" spans="1:7" ht="27.95" customHeight="1">
      <c r="A8" s="29" t="s">
        <v>97</v>
      </c>
      <c r="B8" s="30" t="s">
        <v>98</v>
      </c>
      <c r="C8" s="30" t="s">
        <v>99</v>
      </c>
      <c r="D8" s="31">
        <v>900000</v>
      </c>
      <c r="E8" s="30"/>
      <c r="F8" s="31">
        <f t="shared" si="0"/>
        <v>0</v>
      </c>
      <c r="G8" s="32"/>
    </row>
    <row r="9" spans="1:7" ht="27.95" customHeight="1">
      <c r="A9" s="29" t="s">
        <v>95</v>
      </c>
      <c r="B9" s="30" t="s">
        <v>100</v>
      </c>
      <c r="C9" s="30" t="s">
        <v>92</v>
      </c>
      <c r="D9" s="31">
        <v>800000</v>
      </c>
      <c r="E9" s="30"/>
      <c r="F9" s="31">
        <f t="shared" si="0"/>
        <v>0</v>
      </c>
      <c r="G9" s="32"/>
    </row>
    <row r="10" spans="1:7" ht="27.95" customHeight="1">
      <c r="A10" s="29" t="s">
        <v>101</v>
      </c>
      <c r="B10" s="30" t="s">
        <v>102</v>
      </c>
      <c r="C10" s="30" t="s">
        <v>92</v>
      </c>
      <c r="D10" s="31">
        <v>700000</v>
      </c>
      <c r="E10" s="30"/>
      <c r="F10" s="31">
        <f t="shared" si="0"/>
        <v>0</v>
      </c>
      <c r="G10" s="32"/>
    </row>
    <row r="11" spans="1:7" ht="27.95" customHeight="1">
      <c r="A11" s="29" t="s">
        <v>103</v>
      </c>
      <c r="B11" s="30" t="s">
        <v>104</v>
      </c>
      <c r="C11" s="30" t="s">
        <v>105</v>
      </c>
      <c r="D11" s="31">
        <v>600000</v>
      </c>
      <c r="E11" s="30"/>
      <c r="F11" s="31">
        <f t="shared" si="0"/>
        <v>0</v>
      </c>
      <c r="G11" s="32"/>
    </row>
    <row r="12" spans="1:7" ht="27.95" customHeight="1">
      <c r="A12" s="29"/>
      <c r="B12" s="30"/>
      <c r="C12" s="30"/>
      <c r="D12" s="30"/>
      <c r="E12" s="30"/>
      <c r="F12" s="30"/>
      <c r="G12" s="32"/>
    </row>
    <row r="13" spans="1:7" ht="27.95" customHeight="1">
      <c r="A13" s="29" t="s">
        <v>106</v>
      </c>
      <c r="B13" s="30"/>
      <c r="C13" s="30"/>
      <c r="D13" s="30"/>
      <c r="E13" s="33">
        <v>0.01</v>
      </c>
      <c r="F13" s="31">
        <f>SUM(F5:F11)*E13</f>
        <v>14000</v>
      </c>
      <c r="G13" s="32"/>
    </row>
    <row r="14" spans="1:7" ht="27.95" customHeight="1">
      <c r="A14" s="29"/>
      <c r="B14" s="30"/>
      <c r="C14" s="30"/>
      <c r="D14" s="30"/>
      <c r="E14" s="30"/>
      <c r="F14" s="30"/>
      <c r="G14" s="32"/>
    </row>
    <row r="15" spans="1:7" ht="27.95" customHeight="1" thickBot="1">
      <c r="A15" s="34" t="s">
        <v>107</v>
      </c>
      <c r="B15" s="35"/>
      <c r="C15" s="35"/>
      <c r="D15" s="35"/>
      <c r="E15" s="35">
        <f>SUM(E5:E11)</f>
        <v>1</v>
      </c>
      <c r="F15" s="37">
        <f>SUM(F5:F13)</f>
        <v>1414000</v>
      </c>
      <c r="G15" s="36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3ADE-E2D6-4136-A5D5-7AE6A68A2D02}">
  <dimension ref="A1:L46"/>
  <sheetViews>
    <sheetView zoomScale="85" zoomScaleNormal="85" zoomScaleSheetLayoutView="80" workbookViewId="0">
      <selection activeCell="B18" sqref="B18:J18"/>
    </sheetView>
  </sheetViews>
  <sheetFormatPr defaultColWidth="9" defaultRowHeight="16.5"/>
  <cols>
    <col min="1" max="1" width="25.625" style="2" customWidth="1"/>
    <col min="2" max="2" width="20.25" style="2" customWidth="1"/>
    <col min="3" max="3" width="7.375" style="2" customWidth="1"/>
    <col min="4" max="4" width="10.625" style="146" customWidth="1"/>
    <col min="5" max="5" width="9.875" style="2" customWidth="1"/>
    <col min="6" max="6" width="17.75" style="2" customWidth="1"/>
    <col min="7" max="7" width="15.625" style="2" customWidth="1"/>
    <col min="8" max="8" width="9" style="2"/>
    <col min="9" max="9" width="15.625" style="145" customWidth="1"/>
    <col min="10" max="10" width="7" style="2" bestFit="1" customWidth="1"/>
    <col min="11" max="11" width="14.25" style="2" bestFit="1" customWidth="1"/>
    <col min="12" max="12" width="35.75" style="2" customWidth="1"/>
    <col min="13" max="16384" width="9" style="2"/>
  </cols>
  <sheetData>
    <row r="1" spans="1:12" ht="69" customHeight="1">
      <c r="A1" s="224" t="s">
        <v>365</v>
      </c>
      <c r="B1" s="224"/>
      <c r="C1" s="224"/>
      <c r="D1" s="224"/>
      <c r="E1" s="224"/>
      <c r="F1" s="224"/>
      <c r="G1" s="224"/>
    </row>
    <row r="2" spans="1:12" ht="39.75" customHeight="1" thickBot="1">
      <c r="A2" s="194" t="str">
        <f>집계장!A1</f>
        <v>P4 Ph2 GAS&amp;PWC 1공구 배관공사 (FAB)</v>
      </c>
      <c r="B2" s="193"/>
      <c r="C2" s="193"/>
      <c r="D2" s="193"/>
      <c r="E2" s="192"/>
      <c r="F2" s="191"/>
      <c r="G2" s="191" t="s">
        <v>364</v>
      </c>
    </row>
    <row r="3" spans="1:12" ht="27.95" customHeight="1">
      <c r="A3" s="225" t="s">
        <v>363</v>
      </c>
      <c r="B3" s="227" t="s">
        <v>362</v>
      </c>
      <c r="C3" s="227" t="s">
        <v>361</v>
      </c>
      <c r="D3" s="229" t="s">
        <v>360</v>
      </c>
      <c r="E3" s="229" t="s">
        <v>359</v>
      </c>
      <c r="F3" s="229"/>
      <c r="G3" s="231" t="s">
        <v>358</v>
      </c>
    </row>
    <row r="4" spans="1:12" ht="27.95" customHeight="1">
      <c r="A4" s="226"/>
      <c r="B4" s="228"/>
      <c r="C4" s="228"/>
      <c r="D4" s="230"/>
      <c r="E4" s="190" t="s">
        <v>357</v>
      </c>
      <c r="F4" s="190" t="s">
        <v>356</v>
      </c>
      <c r="G4" s="232"/>
    </row>
    <row r="5" spans="1:12" ht="27.95" customHeight="1">
      <c r="A5" s="183" t="s">
        <v>354</v>
      </c>
      <c r="B5" s="176" t="s">
        <v>355</v>
      </c>
      <c r="C5" s="176" t="s">
        <v>344</v>
      </c>
      <c r="D5" s="182">
        <v>1400000</v>
      </c>
      <c r="E5" s="159"/>
      <c r="F5" s="159">
        <f t="shared" ref="F5:F11" si="0">D5*E5</f>
        <v>0</v>
      </c>
      <c r="G5" s="189"/>
    </row>
    <row r="6" spans="1:12" ht="27.95" customHeight="1">
      <c r="A6" s="183" t="s">
        <v>354</v>
      </c>
      <c r="B6" s="176" t="s">
        <v>353</v>
      </c>
      <c r="C6" s="176" t="s">
        <v>344</v>
      </c>
      <c r="D6" s="182">
        <v>1200000</v>
      </c>
      <c r="E6" s="159"/>
      <c r="F6" s="159">
        <f t="shared" si="0"/>
        <v>0</v>
      </c>
      <c r="G6" s="188" t="s">
        <v>350</v>
      </c>
    </row>
    <row r="7" spans="1:12" ht="27.95" customHeight="1">
      <c r="A7" s="183" t="s">
        <v>348</v>
      </c>
      <c r="B7" s="176" t="s">
        <v>352</v>
      </c>
      <c r="C7" s="176" t="s">
        <v>344</v>
      </c>
      <c r="D7" s="182">
        <v>1000000</v>
      </c>
      <c r="E7" s="159"/>
      <c r="F7" s="159">
        <f t="shared" si="0"/>
        <v>0</v>
      </c>
      <c r="G7" s="184" t="s">
        <v>350</v>
      </c>
    </row>
    <row r="8" spans="1:12" ht="27.95" customHeight="1">
      <c r="A8" s="183" t="s">
        <v>348</v>
      </c>
      <c r="B8" s="176" t="s">
        <v>351</v>
      </c>
      <c r="C8" s="176" t="s">
        <v>344</v>
      </c>
      <c r="D8" s="182">
        <v>900000</v>
      </c>
      <c r="E8" s="159"/>
      <c r="F8" s="159">
        <f t="shared" si="0"/>
        <v>0</v>
      </c>
      <c r="G8" s="184" t="s">
        <v>350</v>
      </c>
    </row>
    <row r="9" spans="1:12" ht="27.95" customHeight="1">
      <c r="A9" s="183" t="s">
        <v>348</v>
      </c>
      <c r="B9" s="176" t="s">
        <v>349</v>
      </c>
      <c r="C9" s="176" t="s">
        <v>344</v>
      </c>
      <c r="D9" s="182">
        <v>800000</v>
      </c>
      <c r="E9" s="159"/>
      <c r="F9" s="159">
        <f t="shared" si="0"/>
        <v>0</v>
      </c>
      <c r="G9" s="187"/>
      <c r="K9" s="186"/>
      <c r="L9" s="185"/>
    </row>
    <row r="10" spans="1:12" ht="27.95" customHeight="1">
      <c r="A10" s="183" t="s">
        <v>348</v>
      </c>
      <c r="B10" s="176" t="s">
        <v>347</v>
      </c>
      <c r="C10" s="176" t="s">
        <v>344</v>
      </c>
      <c r="D10" s="182">
        <v>700000</v>
      </c>
      <c r="E10" s="159"/>
      <c r="F10" s="159">
        <f t="shared" si="0"/>
        <v>0</v>
      </c>
      <c r="G10" s="184"/>
    </row>
    <row r="11" spans="1:12" ht="27.95" customHeight="1">
      <c r="A11" s="183" t="s">
        <v>346</v>
      </c>
      <c r="B11" s="176" t="s">
        <v>345</v>
      </c>
      <c r="C11" s="176" t="s">
        <v>344</v>
      </c>
      <c r="D11" s="182">
        <v>600000</v>
      </c>
      <c r="E11" s="159"/>
      <c r="F11" s="159">
        <f t="shared" si="0"/>
        <v>0</v>
      </c>
      <c r="G11" s="158"/>
    </row>
    <row r="12" spans="1:12" ht="27.95" customHeight="1">
      <c r="A12" s="175"/>
      <c r="B12" s="176"/>
      <c r="C12" s="167"/>
      <c r="D12" s="182"/>
      <c r="E12" s="159"/>
      <c r="F12" s="159"/>
      <c r="G12" s="158"/>
    </row>
    <row r="13" spans="1:12" ht="27.95" customHeight="1">
      <c r="A13" s="181"/>
      <c r="B13" s="176"/>
      <c r="C13" s="167"/>
      <c r="D13" s="174"/>
      <c r="E13" s="180"/>
      <c r="F13" s="179"/>
      <c r="G13" s="158"/>
      <c r="J13" s="178"/>
      <c r="K13" s="14"/>
      <c r="L13" s="177"/>
    </row>
    <row r="14" spans="1:12" ht="27.95" customHeight="1">
      <c r="A14" s="175"/>
      <c r="B14" s="176"/>
      <c r="C14" s="167"/>
      <c r="D14" s="174"/>
      <c r="E14" s="159"/>
      <c r="F14" s="159"/>
      <c r="G14" s="158"/>
      <c r="K14" s="14"/>
    </row>
    <row r="15" spans="1:12" ht="27.95" customHeight="1">
      <c r="A15" s="175"/>
      <c r="B15" s="168"/>
      <c r="C15" s="167"/>
      <c r="D15" s="174"/>
      <c r="E15" s="159"/>
      <c r="F15" s="159"/>
      <c r="G15" s="158"/>
      <c r="K15" s="14"/>
    </row>
    <row r="16" spans="1:12" ht="27.95" customHeight="1">
      <c r="A16" s="175"/>
      <c r="B16" s="168"/>
      <c r="C16" s="167"/>
      <c r="D16" s="174"/>
      <c r="E16" s="159"/>
      <c r="F16" s="159"/>
      <c r="G16" s="158"/>
    </row>
    <row r="17" spans="1:9" ht="27.95" customHeight="1">
      <c r="A17" s="175"/>
      <c r="B17" s="168"/>
      <c r="C17" s="167"/>
      <c r="D17" s="174"/>
      <c r="E17" s="159"/>
      <c r="F17" s="159"/>
      <c r="G17" s="158"/>
    </row>
    <row r="18" spans="1:9" ht="27.95" customHeight="1">
      <c r="A18" s="173"/>
      <c r="B18" s="165"/>
      <c r="C18" s="164"/>
      <c r="D18" s="172"/>
      <c r="E18" s="159"/>
      <c r="F18" s="159"/>
      <c r="G18" s="158"/>
    </row>
    <row r="19" spans="1:9" ht="27.95" customHeight="1">
      <c r="A19" s="171"/>
      <c r="B19" s="170"/>
      <c r="C19" s="167"/>
      <c r="D19" s="163"/>
      <c r="E19" s="159"/>
      <c r="F19" s="159"/>
      <c r="G19" s="158"/>
    </row>
    <row r="20" spans="1:9" ht="27.95" customHeight="1">
      <c r="A20" s="171"/>
      <c r="B20" s="170"/>
      <c r="C20" s="167"/>
      <c r="D20" s="163"/>
      <c r="E20" s="159"/>
      <c r="F20" s="159"/>
      <c r="G20" s="158"/>
    </row>
    <row r="21" spans="1:9" ht="27.95" customHeight="1">
      <c r="A21" s="169"/>
      <c r="B21" s="168"/>
      <c r="C21" s="167"/>
      <c r="D21" s="163"/>
      <c r="E21" s="159"/>
      <c r="F21" s="159"/>
      <c r="G21" s="158"/>
    </row>
    <row r="22" spans="1:9" ht="27.95" customHeight="1">
      <c r="A22" s="169"/>
      <c r="B22" s="168"/>
      <c r="C22" s="167"/>
      <c r="D22" s="163"/>
      <c r="E22" s="159"/>
      <c r="F22" s="159"/>
      <c r="G22" s="158"/>
    </row>
    <row r="23" spans="1:9" ht="27.95" customHeight="1">
      <c r="A23" s="166"/>
      <c r="B23" s="165"/>
      <c r="C23" s="164"/>
      <c r="D23" s="163"/>
      <c r="E23" s="159"/>
      <c r="F23" s="159"/>
      <c r="G23" s="158"/>
    </row>
    <row r="24" spans="1:9" ht="27.95" customHeight="1">
      <c r="A24" s="169"/>
      <c r="B24" s="168"/>
      <c r="C24" s="167"/>
      <c r="D24" s="163"/>
      <c r="E24" s="159"/>
      <c r="F24" s="159"/>
      <c r="G24" s="158"/>
    </row>
    <row r="25" spans="1:9" ht="27.95" customHeight="1">
      <c r="A25" s="166"/>
      <c r="B25" s="165"/>
      <c r="C25" s="164"/>
      <c r="D25" s="163"/>
      <c r="E25" s="159"/>
      <c r="F25" s="159"/>
      <c r="G25" s="158"/>
    </row>
    <row r="26" spans="1:9" ht="27.95" customHeight="1">
      <c r="A26" s="162"/>
      <c r="B26" s="161"/>
      <c r="C26" s="160"/>
      <c r="D26" s="160"/>
      <c r="E26" s="159"/>
      <c r="F26" s="159"/>
      <c r="G26" s="158"/>
    </row>
    <row r="27" spans="1:9" ht="27.95" customHeight="1" thickBot="1">
      <c r="A27" s="157" t="s">
        <v>343</v>
      </c>
      <c r="B27" s="156"/>
      <c r="C27" s="155"/>
      <c r="D27" s="154"/>
      <c r="E27" s="153">
        <f>SUM(E5:E11)</f>
        <v>0</v>
      </c>
      <c r="F27" s="152">
        <f>SUM(F5:F26)</f>
        <v>0</v>
      </c>
      <c r="G27" s="151"/>
    </row>
    <row r="28" spans="1:9" ht="13.5">
      <c r="A28" s="150"/>
      <c r="B28" s="149"/>
      <c r="C28" s="148"/>
      <c r="D28" s="148"/>
    </row>
    <row r="29" spans="1:9" ht="13.5">
      <c r="A29" s="148"/>
      <c r="B29" s="148"/>
      <c r="C29" s="148"/>
      <c r="D29" s="148"/>
    </row>
    <row r="30" spans="1:9" s="14" customFormat="1" ht="13.5">
      <c r="A30" s="148"/>
      <c r="B30" s="148"/>
      <c r="C30" s="148"/>
      <c r="D30" s="148"/>
      <c r="E30" s="2"/>
      <c r="F30" s="2"/>
      <c r="G30" s="2"/>
      <c r="I30" s="145"/>
    </row>
    <row r="31" spans="1:9" s="14" customFormat="1" ht="13.5">
      <c r="A31" s="148"/>
      <c r="B31" s="148"/>
      <c r="C31" s="148"/>
      <c r="D31" s="148"/>
      <c r="E31" s="2"/>
      <c r="F31" s="2"/>
      <c r="G31" s="2"/>
      <c r="I31" s="145"/>
    </row>
    <row r="32" spans="1:9" s="14" customFormat="1" ht="13.5">
      <c r="A32" s="148"/>
      <c r="B32" s="148"/>
      <c r="C32" s="148"/>
      <c r="D32" s="148"/>
      <c r="E32" s="2"/>
      <c r="F32" s="2"/>
      <c r="G32" s="2"/>
      <c r="I32" s="145"/>
    </row>
    <row r="33" spans="1:9" s="14" customFormat="1" ht="13.5">
      <c r="A33" s="147"/>
      <c r="B33" s="147"/>
      <c r="C33" s="147"/>
      <c r="D33" s="147"/>
      <c r="E33" s="2"/>
      <c r="F33" s="2"/>
      <c r="G33" s="2"/>
      <c r="I33" s="145"/>
    </row>
    <row r="34" spans="1:9" s="14" customFormat="1" ht="13.5">
      <c r="A34" s="147"/>
      <c r="B34" s="147"/>
      <c r="C34" s="147"/>
      <c r="D34" s="147"/>
      <c r="E34" s="2"/>
      <c r="F34" s="2"/>
      <c r="G34" s="2"/>
      <c r="I34" s="145"/>
    </row>
    <row r="35" spans="1:9" s="14" customFormat="1" ht="13.5">
      <c r="A35" s="147"/>
      <c r="B35" s="147"/>
      <c r="C35" s="147"/>
      <c r="D35" s="147"/>
      <c r="E35" s="2"/>
      <c r="F35" s="2"/>
      <c r="G35" s="2"/>
      <c r="I35" s="145"/>
    </row>
    <row r="36" spans="1:9" s="14" customFormat="1" ht="13.5">
      <c r="A36" s="147"/>
      <c r="B36" s="147"/>
      <c r="C36" s="147"/>
      <c r="D36" s="147"/>
      <c r="E36" s="2"/>
      <c r="F36" s="2"/>
      <c r="G36" s="2"/>
      <c r="I36" s="145"/>
    </row>
    <row r="37" spans="1:9" s="14" customFormat="1" ht="13.5">
      <c r="A37" s="147"/>
      <c r="B37" s="147"/>
      <c r="C37" s="147"/>
      <c r="D37" s="147"/>
      <c r="E37" s="2"/>
      <c r="F37" s="2"/>
      <c r="G37" s="2"/>
      <c r="I37" s="145"/>
    </row>
    <row r="38" spans="1:9" s="14" customFormat="1" ht="13.5">
      <c r="A38" s="147"/>
      <c r="B38" s="147"/>
      <c r="C38" s="147"/>
      <c r="D38" s="147"/>
      <c r="E38" s="2"/>
      <c r="F38" s="2"/>
      <c r="G38" s="2"/>
      <c r="I38" s="145"/>
    </row>
    <row r="39" spans="1:9" s="14" customFormat="1" ht="13.5">
      <c r="A39" s="147"/>
      <c r="B39" s="2"/>
      <c r="C39" s="147"/>
      <c r="D39" s="147"/>
      <c r="E39" s="2"/>
      <c r="F39" s="2"/>
      <c r="G39" s="2"/>
      <c r="I39" s="145"/>
    </row>
    <row r="40" spans="1:9" s="14" customFormat="1" ht="13.5">
      <c r="A40" s="147"/>
      <c r="B40" s="2"/>
      <c r="C40" s="147"/>
      <c r="D40" s="147"/>
      <c r="E40" s="2"/>
      <c r="F40" s="2"/>
      <c r="G40" s="2"/>
      <c r="I40" s="145"/>
    </row>
    <row r="41" spans="1:9" s="14" customFormat="1" ht="13.5">
      <c r="A41" s="147"/>
      <c r="B41" s="2"/>
      <c r="C41" s="147"/>
      <c r="D41" s="147"/>
      <c r="E41" s="2"/>
      <c r="F41" s="2"/>
      <c r="G41" s="2"/>
      <c r="I41" s="145"/>
    </row>
    <row r="42" spans="1:9" s="14" customFormat="1" ht="13.5">
      <c r="A42" s="147"/>
      <c r="B42" s="2"/>
      <c r="C42" s="147"/>
      <c r="D42" s="147"/>
      <c r="E42" s="2"/>
      <c r="F42" s="2"/>
      <c r="G42" s="2"/>
      <c r="I42" s="145"/>
    </row>
    <row r="43" spans="1:9" s="14" customFormat="1" ht="13.5">
      <c r="A43" s="147"/>
      <c r="B43" s="2"/>
      <c r="C43" s="147"/>
      <c r="D43" s="147"/>
      <c r="E43" s="2"/>
      <c r="F43" s="2"/>
      <c r="G43" s="2"/>
      <c r="I43" s="145"/>
    </row>
    <row r="44" spans="1:9" s="14" customFormat="1" ht="13.5">
      <c r="A44" s="2"/>
      <c r="B44" s="2"/>
      <c r="C44" s="147"/>
      <c r="D44" s="147"/>
      <c r="E44" s="2"/>
      <c r="F44" s="2"/>
      <c r="G44" s="2"/>
      <c r="I44" s="145"/>
    </row>
    <row r="45" spans="1:9" s="14" customFormat="1">
      <c r="A45" s="2"/>
      <c r="B45" s="2"/>
      <c r="C45" s="147"/>
      <c r="D45" s="146"/>
      <c r="E45" s="2"/>
      <c r="F45" s="2"/>
      <c r="G45" s="2"/>
      <c r="I45" s="145"/>
    </row>
    <row r="46" spans="1:9" s="14" customFormat="1">
      <c r="A46" s="2"/>
      <c r="B46" s="2"/>
      <c r="C46" s="147"/>
      <c r="D46" s="146"/>
      <c r="E46" s="2"/>
      <c r="F46" s="2"/>
      <c r="G46" s="2"/>
      <c r="I46" s="145"/>
    </row>
  </sheetData>
  <mergeCells count="7">
    <mergeCell ref="A1:G1"/>
    <mergeCell ref="A3:A4"/>
    <mergeCell ref="B3:B4"/>
    <mergeCell ref="C3:C4"/>
    <mergeCell ref="D3:D4"/>
    <mergeCell ref="E3:F3"/>
    <mergeCell ref="G3:G4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64" orientation="landscape" r:id="rId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28"/>
  <sheetViews>
    <sheetView view="pageBreakPreview" zoomScale="85" zoomScaleNormal="100" zoomScaleSheetLayoutView="85" workbookViewId="0">
      <selection activeCell="H10" sqref="H10"/>
    </sheetView>
  </sheetViews>
  <sheetFormatPr defaultRowHeight="16.5"/>
  <cols>
    <col min="1" max="1" width="21.625" style="39" customWidth="1"/>
    <col min="2" max="2" width="20.625" style="39" customWidth="1"/>
    <col min="3" max="3" width="6.625" style="39" customWidth="1"/>
    <col min="4" max="4" width="12.125" style="39" customWidth="1"/>
    <col min="5" max="5" width="16.625" style="39" customWidth="1"/>
    <col min="6" max="9" width="19.625" style="39" customWidth="1"/>
    <col min="10" max="10" width="15.625" style="39" customWidth="1"/>
    <col min="11" max="12" width="11.625" style="39" customWidth="1"/>
    <col min="14" max="14" width="12.625" bestFit="1" customWidth="1"/>
  </cols>
  <sheetData>
    <row r="1" spans="1:14" ht="39.950000000000003" customHeight="1" thickTop="1">
      <c r="A1" s="236" t="str">
        <f>'용역청구서 표지'!$B$7</f>
        <v>P4 Ph2 GAS&amp;PWC 1공구 배관공사 (FAB)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8"/>
    </row>
    <row r="2" spans="1:14" ht="20.100000000000001" customHeight="1">
      <c r="A2" s="38"/>
      <c r="J2" s="40"/>
      <c r="L2" s="41" t="str">
        <f>'용역청구서 표지'!$C$15</f>
        <v>2026년 3월</v>
      </c>
    </row>
    <row r="3" spans="1:14" ht="30" customHeight="1">
      <c r="A3" s="42" t="s">
        <v>108</v>
      </c>
      <c r="B3" s="43" t="s">
        <v>109</v>
      </c>
      <c r="C3" s="43" t="s">
        <v>110</v>
      </c>
      <c r="D3" s="43" t="s">
        <v>111</v>
      </c>
      <c r="E3" s="43" t="s">
        <v>112</v>
      </c>
      <c r="F3" s="44" t="s">
        <v>113</v>
      </c>
      <c r="G3" s="45" t="s">
        <v>114</v>
      </c>
      <c r="H3" s="43" t="s">
        <v>115</v>
      </c>
      <c r="I3" s="46" t="s">
        <v>116</v>
      </c>
      <c r="J3" s="239" t="s">
        <v>117</v>
      </c>
      <c r="K3" s="239"/>
      <c r="L3" s="240"/>
    </row>
    <row r="4" spans="1:14" ht="30" customHeight="1">
      <c r="A4" s="47" t="s">
        <v>118</v>
      </c>
      <c r="B4" s="48" t="s">
        <v>119</v>
      </c>
      <c r="C4" s="30" t="s">
        <v>120</v>
      </c>
      <c r="D4" s="134">
        <f>SUM('물량 내역서'!$J$5:$J$27)</f>
        <v>0</v>
      </c>
      <c r="E4" s="31" t="e">
        <f>F4/D4</f>
        <v>#DIV/0!</v>
      </c>
      <c r="F4" s="49">
        <f>SUM('물량 내역서'!$K$5:$K$27)</f>
        <v>0</v>
      </c>
      <c r="G4" s="50"/>
      <c r="H4" s="31">
        <f>F4</f>
        <v>0</v>
      </c>
      <c r="I4" s="51">
        <f>G4+H4</f>
        <v>0</v>
      </c>
      <c r="J4" s="233"/>
      <c r="K4" s="234"/>
      <c r="L4" s="235"/>
    </row>
    <row r="5" spans="1:14" ht="30" customHeight="1">
      <c r="A5" s="52"/>
      <c r="B5" s="48" t="s">
        <v>121</v>
      </c>
      <c r="C5" s="30" t="s">
        <v>122</v>
      </c>
      <c r="D5" s="133">
        <f>SUM('물량 내역서'!$J$28:$J$50)</f>
        <v>0</v>
      </c>
      <c r="E5" s="31" t="e">
        <f>F5/D5</f>
        <v>#DIV/0!</v>
      </c>
      <c r="F5" s="49">
        <f>SUM('물량 내역서'!$K$28:$K$50)</f>
        <v>0</v>
      </c>
      <c r="G5" s="50"/>
      <c r="H5" s="31">
        <f t="shared" ref="H5:H21" si="0">F5</f>
        <v>0</v>
      </c>
      <c r="I5" s="51">
        <f t="shared" ref="I5:I7" si="1">G5+H5</f>
        <v>0</v>
      </c>
      <c r="J5" s="233"/>
      <c r="K5" s="234"/>
      <c r="L5" s="235"/>
    </row>
    <row r="6" spans="1:14" ht="30" customHeight="1">
      <c r="A6" s="52"/>
      <c r="B6" s="48" t="s">
        <v>123</v>
      </c>
      <c r="C6" s="30" t="s">
        <v>124</v>
      </c>
      <c r="D6" s="53">
        <f>'근로내역 (03월)'!AN47</f>
        <v>0</v>
      </c>
      <c r="E6" s="31" t="e">
        <f>F6/D6</f>
        <v>#DIV/0!</v>
      </c>
      <c r="F6" s="49">
        <f>'근로내역 (03월)'!AP47</f>
        <v>0</v>
      </c>
      <c r="G6" s="50">
        <v>0</v>
      </c>
      <c r="H6" s="31">
        <f t="shared" si="0"/>
        <v>0</v>
      </c>
      <c r="I6" s="51">
        <f t="shared" si="1"/>
        <v>0</v>
      </c>
      <c r="J6" s="233"/>
      <c r="K6" s="234"/>
      <c r="L6" s="235"/>
    </row>
    <row r="7" spans="1:14" ht="30" customHeight="1">
      <c r="A7" s="47" t="s">
        <v>125</v>
      </c>
      <c r="B7" s="54"/>
      <c r="C7" s="30" t="s">
        <v>126</v>
      </c>
      <c r="D7" s="30">
        <v>1</v>
      </c>
      <c r="E7" s="31"/>
      <c r="F7" s="49">
        <f>D7*E7</f>
        <v>0</v>
      </c>
      <c r="G7" s="50">
        <v>0</v>
      </c>
      <c r="H7" s="31">
        <f>F7</f>
        <v>0</v>
      </c>
      <c r="I7" s="51">
        <f t="shared" si="1"/>
        <v>0</v>
      </c>
      <c r="J7" s="233"/>
      <c r="K7" s="234"/>
      <c r="L7" s="235"/>
    </row>
    <row r="8" spans="1:14" ht="30" customHeight="1">
      <c r="A8" s="55" t="s">
        <v>127</v>
      </c>
      <c r="B8" s="241" t="s">
        <v>128</v>
      </c>
      <c r="C8" s="242"/>
      <c r="D8" s="56"/>
      <c r="E8" s="56"/>
      <c r="F8" s="57">
        <f>SUM(F4:F7)</f>
        <v>0</v>
      </c>
      <c r="G8" s="58"/>
      <c r="H8" s="59">
        <f t="shared" si="0"/>
        <v>0</v>
      </c>
      <c r="I8" s="60">
        <f>G8+H8</f>
        <v>0</v>
      </c>
      <c r="J8" s="243"/>
      <c r="K8" s="244"/>
      <c r="L8" s="245"/>
    </row>
    <row r="9" spans="1:14" ht="30" customHeight="1">
      <c r="A9" s="47" t="s">
        <v>129</v>
      </c>
      <c r="B9" s="48" t="s">
        <v>130</v>
      </c>
      <c r="C9" s="30" t="s">
        <v>131</v>
      </c>
      <c r="D9" s="53">
        <f>'근로내역 (03월)'!AN42</f>
        <v>582.25</v>
      </c>
      <c r="E9" s="61">
        <f>F9/D9</f>
        <v>193884.71446972949</v>
      </c>
      <c r="F9" s="49">
        <f>'근로내역 (03월)'!AP42</f>
        <v>112889375</v>
      </c>
      <c r="G9" s="50"/>
      <c r="H9" s="31">
        <f>F9</f>
        <v>112889375</v>
      </c>
      <c r="I9" s="51">
        <f>G9+H9</f>
        <v>112889375</v>
      </c>
      <c r="J9" s="233"/>
      <c r="K9" s="234"/>
      <c r="L9" s="235"/>
    </row>
    <row r="10" spans="1:14" ht="30" customHeight="1">
      <c r="A10" s="47" t="s">
        <v>132</v>
      </c>
      <c r="B10" s="48" t="s">
        <v>133</v>
      </c>
      <c r="C10" s="30" t="s">
        <v>126</v>
      </c>
      <c r="D10" s="30">
        <f>SUM(숙소임차료!H4:H6)+SUM(숙소관리비!H4:H8)</f>
        <v>37</v>
      </c>
      <c r="E10" s="31">
        <f>F10/D10</f>
        <v>495405.40540540538</v>
      </c>
      <c r="F10" s="49">
        <f>숙소임차료!I3+숙소관리비!I3</f>
        <v>18330000</v>
      </c>
      <c r="G10" s="50"/>
      <c r="H10" s="31">
        <f>F10</f>
        <v>18330000</v>
      </c>
      <c r="I10" s="51">
        <f t="shared" ref="I10:I12" si="2">G10+H10</f>
        <v>18330000</v>
      </c>
      <c r="J10" s="233"/>
      <c r="K10" s="234"/>
      <c r="L10" s="235"/>
    </row>
    <row r="11" spans="1:14" ht="30" customHeight="1">
      <c r="A11" s="47"/>
      <c r="B11" s="48" t="s">
        <v>134</v>
      </c>
      <c r="C11" s="30" t="s">
        <v>135</v>
      </c>
      <c r="D11" s="30">
        <f>SUM(식대비용!G4:G4)</f>
        <v>30</v>
      </c>
      <c r="E11" s="31">
        <f>F11/D11</f>
        <v>264693.93333333335</v>
      </c>
      <c r="F11" s="49">
        <f>식대비용!I3</f>
        <v>7940818</v>
      </c>
      <c r="G11" s="50"/>
      <c r="H11" s="31">
        <f>F11</f>
        <v>7940818</v>
      </c>
      <c r="I11" s="51">
        <f t="shared" si="2"/>
        <v>7940818</v>
      </c>
      <c r="J11" s="233"/>
      <c r="K11" s="234"/>
      <c r="L11" s="235"/>
    </row>
    <row r="12" spans="1:14" ht="30" customHeight="1">
      <c r="A12" s="47" t="s">
        <v>136</v>
      </c>
      <c r="B12" s="48"/>
      <c r="C12" s="30" t="s">
        <v>126</v>
      </c>
      <c r="D12" s="30"/>
      <c r="E12" s="31">
        <v>0</v>
      </c>
      <c r="F12" s="49">
        <f t="shared" ref="F12" si="3">D12*E12</f>
        <v>0</v>
      </c>
      <c r="G12" s="50"/>
      <c r="H12" s="31">
        <f t="shared" si="0"/>
        <v>0</v>
      </c>
      <c r="I12" s="51">
        <f t="shared" si="2"/>
        <v>0</v>
      </c>
      <c r="J12" s="233"/>
      <c r="K12" s="234"/>
      <c r="L12" s="235"/>
    </row>
    <row r="13" spans="1:14" ht="30" customHeight="1">
      <c r="A13" s="55" t="s">
        <v>137</v>
      </c>
      <c r="B13" s="241" t="s">
        <v>138</v>
      </c>
      <c r="C13" s="242"/>
      <c r="D13" s="56"/>
      <c r="E13" s="56"/>
      <c r="F13" s="57">
        <f>SUM(F9:F12)</f>
        <v>139160193</v>
      </c>
      <c r="G13" s="58"/>
      <c r="H13" s="59">
        <f t="shared" si="0"/>
        <v>139160193</v>
      </c>
      <c r="I13" s="60">
        <f>G13+H13</f>
        <v>139160193</v>
      </c>
      <c r="J13" s="243"/>
      <c r="K13" s="244"/>
      <c r="L13" s="245"/>
    </row>
    <row r="14" spans="1:14" ht="30" customHeight="1">
      <c r="A14" s="55" t="s">
        <v>139</v>
      </c>
      <c r="B14" s="241" t="s">
        <v>140</v>
      </c>
      <c r="C14" s="242"/>
      <c r="D14" s="56"/>
      <c r="E14" s="56"/>
      <c r="F14" s="57">
        <f>F8-F13</f>
        <v>-139160193</v>
      </c>
      <c r="G14" s="58"/>
      <c r="H14" s="59">
        <f>F14</f>
        <v>-139160193</v>
      </c>
      <c r="I14" s="60">
        <f>G14+H14</f>
        <v>-139160193</v>
      </c>
      <c r="J14" s="243"/>
      <c r="K14" s="244"/>
      <c r="L14" s="245"/>
    </row>
    <row r="15" spans="1:14" ht="30" customHeight="1">
      <c r="A15" s="47" t="s">
        <v>141</v>
      </c>
      <c r="B15" s="48" t="s">
        <v>142</v>
      </c>
      <c r="C15" s="30" t="s">
        <v>126</v>
      </c>
      <c r="D15" s="30"/>
      <c r="E15" s="30"/>
      <c r="F15" s="49"/>
      <c r="G15" s="50"/>
      <c r="H15" s="31">
        <f t="shared" si="0"/>
        <v>0</v>
      </c>
      <c r="I15" s="51">
        <f>G15+H15</f>
        <v>0</v>
      </c>
      <c r="J15" s="233"/>
      <c r="K15" s="234"/>
      <c r="L15" s="235"/>
      <c r="N15" s="142"/>
    </row>
    <row r="16" spans="1:14" ht="30" customHeight="1">
      <c r="A16" s="47" t="s">
        <v>143</v>
      </c>
      <c r="B16" s="62" t="s">
        <v>144</v>
      </c>
      <c r="C16" s="30" t="s">
        <v>145</v>
      </c>
      <c r="D16" s="30"/>
      <c r="E16" s="31"/>
      <c r="F16" s="49"/>
      <c r="G16" s="50"/>
      <c r="H16" s="31">
        <f>F16</f>
        <v>0</v>
      </c>
      <c r="I16" s="51">
        <f t="shared" ref="I16:I17" si="4">G16+H16</f>
        <v>0</v>
      </c>
      <c r="J16" s="233"/>
      <c r="K16" s="234"/>
      <c r="L16" s="235"/>
    </row>
    <row r="17" spans="1:12" ht="30" customHeight="1">
      <c r="A17" s="47" t="s">
        <v>146</v>
      </c>
      <c r="B17" s="48" t="s">
        <v>147</v>
      </c>
      <c r="C17" s="30" t="s">
        <v>148</v>
      </c>
      <c r="D17" s="30"/>
      <c r="E17" s="30"/>
      <c r="F17" s="49"/>
      <c r="G17" s="50"/>
      <c r="H17" s="31">
        <f>F17</f>
        <v>0</v>
      </c>
      <c r="I17" s="51">
        <f t="shared" si="4"/>
        <v>0</v>
      </c>
      <c r="J17" s="233"/>
      <c r="K17" s="234"/>
      <c r="L17" s="235"/>
    </row>
    <row r="18" spans="1:12" ht="30" customHeight="1">
      <c r="A18" s="47" t="s">
        <v>335</v>
      </c>
      <c r="B18" s="48"/>
      <c r="C18" s="30" t="s">
        <v>126</v>
      </c>
      <c r="D18" s="30"/>
      <c r="E18" s="30"/>
      <c r="F18" s="49"/>
      <c r="G18" s="50"/>
      <c r="H18" s="31">
        <f>F18</f>
        <v>0</v>
      </c>
      <c r="I18" s="51">
        <f t="shared" ref="I18" si="5">G18+H18</f>
        <v>0</v>
      </c>
      <c r="J18" s="233" t="s">
        <v>336</v>
      </c>
      <c r="K18" s="234"/>
      <c r="L18" s="235"/>
    </row>
    <row r="19" spans="1:12" ht="30" customHeight="1">
      <c r="A19" s="55" t="s">
        <v>149</v>
      </c>
      <c r="B19" s="241" t="s">
        <v>150</v>
      </c>
      <c r="C19" s="242"/>
      <c r="D19" s="56"/>
      <c r="E19" s="56"/>
      <c r="F19" s="57">
        <f>F14-F15-F16-F17-F18</f>
        <v>-139160193</v>
      </c>
      <c r="G19" s="58"/>
      <c r="H19" s="59">
        <f>F19</f>
        <v>-139160193</v>
      </c>
      <c r="I19" s="60">
        <f>G19+H19</f>
        <v>-139160193</v>
      </c>
      <c r="J19" s="243"/>
      <c r="K19" s="244"/>
      <c r="L19" s="245"/>
    </row>
    <row r="20" spans="1:12" ht="30" customHeight="1">
      <c r="A20" s="250" t="s">
        <v>151</v>
      </c>
      <c r="B20" s="48" t="s">
        <v>152</v>
      </c>
      <c r="C20" s="30" t="s">
        <v>145</v>
      </c>
      <c r="D20" s="30"/>
      <c r="E20" s="30"/>
      <c r="F20" s="49"/>
      <c r="G20" s="50"/>
      <c r="H20" s="31">
        <f>F20</f>
        <v>0</v>
      </c>
      <c r="I20" s="51">
        <f>G20+H20</f>
        <v>0</v>
      </c>
      <c r="J20" s="30"/>
      <c r="K20" s="63" t="s">
        <v>153</v>
      </c>
      <c r="L20" s="64" t="s">
        <v>154</v>
      </c>
    </row>
    <row r="21" spans="1:12" ht="30" customHeight="1">
      <c r="A21" s="250"/>
      <c r="B21" s="48" t="s">
        <v>155</v>
      </c>
      <c r="C21" s="30" t="s">
        <v>145</v>
      </c>
      <c r="D21" s="30"/>
      <c r="E21" s="30"/>
      <c r="F21" s="49">
        <f>ROUNDDOWN(F20,-5)</f>
        <v>0</v>
      </c>
      <c r="G21" s="50"/>
      <c r="H21" s="31">
        <f t="shared" si="0"/>
        <v>0</v>
      </c>
      <c r="I21" s="51">
        <f>G21+H21</f>
        <v>0</v>
      </c>
      <c r="J21" s="48" t="s">
        <v>156</v>
      </c>
      <c r="K21" s="251">
        <v>0</v>
      </c>
      <c r="L21" s="254">
        <f>K21-I21</f>
        <v>0</v>
      </c>
    </row>
    <row r="22" spans="1:12" ht="30" customHeight="1">
      <c r="A22" s="257" t="s">
        <v>157</v>
      </c>
      <c r="B22" s="258"/>
      <c r="C22" s="259"/>
      <c r="D22" s="65"/>
      <c r="E22" s="65"/>
      <c r="F22" s="66">
        <f>F21</f>
        <v>0</v>
      </c>
      <c r="G22" s="67"/>
      <c r="H22" s="68">
        <f>F22</f>
        <v>0</v>
      </c>
      <c r="I22" s="69">
        <f>G22+H22</f>
        <v>0</v>
      </c>
      <c r="J22" s="65"/>
      <c r="K22" s="252"/>
      <c r="L22" s="255"/>
    </row>
    <row r="23" spans="1:12" ht="30" customHeight="1">
      <c r="A23" s="257" t="s">
        <v>158</v>
      </c>
      <c r="B23" s="258"/>
      <c r="C23" s="259"/>
      <c r="D23" s="65"/>
      <c r="E23" s="65"/>
      <c r="F23" s="66">
        <f>ROUNDDOWN(F22,-5)</f>
        <v>0</v>
      </c>
      <c r="G23" s="67"/>
      <c r="H23" s="68">
        <f>F23</f>
        <v>0</v>
      </c>
      <c r="I23" s="69">
        <f>G23+H23</f>
        <v>0</v>
      </c>
      <c r="J23" s="70" t="s">
        <v>159</v>
      </c>
      <c r="K23" s="253"/>
      <c r="L23" s="256"/>
    </row>
    <row r="24" spans="1:12" ht="30" customHeight="1">
      <c r="A24" s="246" t="s">
        <v>160</v>
      </c>
      <c r="B24" s="247"/>
      <c r="C24" s="248"/>
      <c r="D24" s="247" t="s">
        <v>161</v>
      </c>
      <c r="E24" s="247"/>
      <c r="F24" s="247"/>
      <c r="G24" s="247"/>
      <c r="H24" s="247"/>
      <c r="I24" s="247"/>
      <c r="J24" s="247"/>
      <c r="K24" s="247"/>
      <c r="L24" s="249"/>
    </row>
    <row r="25" spans="1:12" ht="21" customHeight="1">
      <c r="A25" s="71" t="s">
        <v>162</v>
      </c>
      <c r="L25" s="72"/>
    </row>
    <row r="26" spans="1:12" ht="21" customHeight="1">
      <c r="A26" s="71" t="s">
        <v>163</v>
      </c>
      <c r="L26" s="72"/>
    </row>
    <row r="27" spans="1:12" ht="21" customHeight="1" thickBot="1">
      <c r="A27" s="73" t="s">
        <v>164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5"/>
    </row>
    <row r="28" spans="1:12" ht="17.25" thickTop="1"/>
  </sheetData>
  <mergeCells count="29">
    <mergeCell ref="A24:C24"/>
    <mergeCell ref="D24:L24"/>
    <mergeCell ref="J17:L17"/>
    <mergeCell ref="B19:C19"/>
    <mergeCell ref="J19:L19"/>
    <mergeCell ref="A20:A21"/>
    <mergeCell ref="K21:K23"/>
    <mergeCell ref="L21:L23"/>
    <mergeCell ref="A22:C22"/>
    <mergeCell ref="A23:C23"/>
    <mergeCell ref="J18:L18"/>
    <mergeCell ref="J16:L16"/>
    <mergeCell ref="B8:C8"/>
    <mergeCell ref="J8:L8"/>
    <mergeCell ref="J9:L9"/>
    <mergeCell ref="J10:L10"/>
    <mergeCell ref="J11:L11"/>
    <mergeCell ref="J12:L12"/>
    <mergeCell ref="B13:C13"/>
    <mergeCell ref="J13:L13"/>
    <mergeCell ref="B14:C14"/>
    <mergeCell ref="J14:L14"/>
    <mergeCell ref="J15:L15"/>
    <mergeCell ref="J7:L7"/>
    <mergeCell ref="A1:L1"/>
    <mergeCell ref="J3:L3"/>
    <mergeCell ref="J4:L4"/>
    <mergeCell ref="J5:L5"/>
    <mergeCell ref="J6:L6"/>
  </mergeCells>
  <phoneticPr fontId="3" type="noConversion"/>
  <pageMargins left="0.7" right="0.7" top="0.75" bottom="0.75" header="0.3" footer="0.3"/>
  <pageSetup paperSize="9" scale="61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51"/>
  <sheetViews>
    <sheetView view="pageBreakPreview" zoomScale="60" zoomScaleNormal="145" workbookViewId="0">
      <pane ySplit="4" topLeftCell="A5" activePane="bottomLeft" state="frozen"/>
      <selection pane="bottomLeft" activeCell="G64" sqref="G64"/>
    </sheetView>
  </sheetViews>
  <sheetFormatPr defaultRowHeight="16.5"/>
  <cols>
    <col min="1" max="1" width="25.625" customWidth="1"/>
    <col min="2" max="2" width="20.625" customWidth="1"/>
    <col min="3" max="4" width="8.625" customWidth="1"/>
    <col min="5" max="5" width="15.625" customWidth="1"/>
    <col min="6" max="6" width="13.25" bestFit="1" customWidth="1"/>
    <col min="7" max="7" width="17.625" customWidth="1"/>
    <col min="8" max="8" width="11.625" customWidth="1"/>
    <col min="9" max="9" width="17.625" customWidth="1"/>
    <col min="10" max="10" width="13.25" bestFit="1" customWidth="1"/>
    <col min="11" max="11" width="17.625" customWidth="1"/>
    <col min="12" max="12" width="13.25" bestFit="1" customWidth="1"/>
    <col min="13" max="13" width="17.625" customWidth="1"/>
  </cols>
  <sheetData>
    <row r="1" spans="1:13" ht="37.5">
      <c r="A1" s="263" t="s">
        <v>330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</row>
    <row r="2" spans="1:13" ht="17.25">
      <c r="A2" s="76" t="str">
        <f>'용역청구서 표지'!$B$7</f>
        <v>P4 Ph2 GAS&amp;PWC 1공구 배관공사 (FAB)</v>
      </c>
      <c r="M2" s="26" t="s">
        <v>165</v>
      </c>
    </row>
    <row r="3" spans="1:13" ht="27.95" customHeight="1">
      <c r="A3" s="264" t="s">
        <v>166</v>
      </c>
      <c r="B3" s="264" t="s">
        <v>167</v>
      </c>
      <c r="C3" s="264" t="s">
        <v>168</v>
      </c>
      <c r="D3" s="265" t="s">
        <v>169</v>
      </c>
      <c r="E3" s="264" t="s">
        <v>170</v>
      </c>
      <c r="F3" s="264" t="s">
        <v>171</v>
      </c>
      <c r="G3" s="264"/>
      <c r="H3" s="264" t="s">
        <v>172</v>
      </c>
      <c r="I3" s="264"/>
      <c r="J3" s="264" t="s">
        <v>173</v>
      </c>
      <c r="K3" s="264"/>
      <c r="L3" s="264" t="s">
        <v>174</v>
      </c>
      <c r="M3" s="264"/>
    </row>
    <row r="4" spans="1:13" ht="27.95" customHeight="1">
      <c r="A4" s="264"/>
      <c r="B4" s="264"/>
      <c r="C4" s="264"/>
      <c r="D4" s="265"/>
      <c r="E4" s="264"/>
      <c r="F4" s="77" t="s">
        <v>175</v>
      </c>
      <c r="G4" s="77" t="s">
        <v>176</v>
      </c>
      <c r="H4" s="77" t="s">
        <v>175</v>
      </c>
      <c r="I4" s="77" t="s">
        <v>176</v>
      </c>
      <c r="J4" s="77" t="s">
        <v>175</v>
      </c>
      <c r="K4" s="77" t="s">
        <v>177</v>
      </c>
      <c r="L4" s="77" t="s">
        <v>175</v>
      </c>
      <c r="M4" s="77" t="s">
        <v>177</v>
      </c>
    </row>
    <row r="5" spans="1:13" ht="27.95" customHeight="1">
      <c r="A5" s="78" t="s">
        <v>178</v>
      </c>
      <c r="B5" s="22" t="s">
        <v>179</v>
      </c>
      <c r="C5" s="22" t="s">
        <v>180</v>
      </c>
      <c r="D5" s="79"/>
      <c r="E5" s="80">
        <v>475000</v>
      </c>
      <c r="F5" s="83">
        <f>L5</f>
        <v>0</v>
      </c>
      <c r="G5" s="81">
        <f>M5</f>
        <v>0</v>
      </c>
      <c r="H5" s="83"/>
      <c r="I5" s="80"/>
      <c r="J5" s="83">
        <f>$D5*'DIA-INCH'!$C5</f>
        <v>0</v>
      </c>
      <c r="K5" s="81">
        <f>$E5*$J5</f>
        <v>0</v>
      </c>
      <c r="L5" s="83">
        <f>H5+J5</f>
        <v>0</v>
      </c>
      <c r="M5" s="81">
        <f>I5+K5</f>
        <v>0</v>
      </c>
    </row>
    <row r="6" spans="1:13" ht="27.95" customHeight="1">
      <c r="A6" s="78" t="s">
        <v>181</v>
      </c>
      <c r="B6" s="22" t="s">
        <v>182</v>
      </c>
      <c r="C6" s="22" t="s">
        <v>183</v>
      </c>
      <c r="D6" s="79"/>
      <c r="E6" s="80">
        <v>475000</v>
      </c>
      <c r="F6" s="83">
        <f t="shared" ref="F6:G50" si="0">L6</f>
        <v>0</v>
      </c>
      <c r="G6" s="81">
        <f t="shared" si="0"/>
        <v>0</v>
      </c>
      <c r="H6" s="83"/>
      <c r="I6" s="80"/>
      <c r="J6" s="83">
        <f>$D6*'DIA-INCH'!$C6</f>
        <v>0</v>
      </c>
      <c r="K6" s="81">
        <f t="shared" ref="K6:K27" si="1">$E6*$J6</f>
        <v>0</v>
      </c>
      <c r="L6" s="83">
        <f t="shared" ref="L6:M50" si="2">H6+J6</f>
        <v>0</v>
      </c>
      <c r="M6" s="81">
        <f t="shared" si="2"/>
        <v>0</v>
      </c>
    </row>
    <row r="7" spans="1:13" ht="27.95" customHeight="1">
      <c r="A7" s="78" t="s">
        <v>178</v>
      </c>
      <c r="B7" s="22" t="s">
        <v>184</v>
      </c>
      <c r="C7" s="22" t="s">
        <v>180</v>
      </c>
      <c r="D7" s="79"/>
      <c r="E7" s="80">
        <v>475000</v>
      </c>
      <c r="F7" s="83">
        <f t="shared" si="0"/>
        <v>0</v>
      </c>
      <c r="G7" s="81">
        <f t="shared" si="0"/>
        <v>0</v>
      </c>
      <c r="H7" s="83"/>
      <c r="I7" s="80"/>
      <c r="J7" s="83">
        <f>$D7*'DIA-INCH'!$C7</f>
        <v>0</v>
      </c>
      <c r="K7" s="81">
        <f t="shared" si="1"/>
        <v>0</v>
      </c>
      <c r="L7" s="83">
        <f t="shared" si="2"/>
        <v>0</v>
      </c>
      <c r="M7" s="81">
        <f t="shared" si="2"/>
        <v>0</v>
      </c>
    </row>
    <row r="8" spans="1:13" ht="27.95" customHeight="1">
      <c r="A8" s="78" t="s">
        <v>178</v>
      </c>
      <c r="B8" s="22" t="s">
        <v>185</v>
      </c>
      <c r="C8" s="22" t="s">
        <v>180</v>
      </c>
      <c r="D8" s="79"/>
      <c r="E8" s="80">
        <v>475000</v>
      </c>
      <c r="F8" s="83">
        <f t="shared" si="0"/>
        <v>0</v>
      </c>
      <c r="G8" s="81">
        <f t="shared" si="0"/>
        <v>0</v>
      </c>
      <c r="H8" s="83"/>
      <c r="I8" s="80"/>
      <c r="J8" s="83">
        <f>$D8*'DIA-INCH'!$C8</f>
        <v>0</v>
      </c>
      <c r="K8" s="81">
        <f t="shared" si="1"/>
        <v>0</v>
      </c>
      <c r="L8" s="83">
        <f t="shared" si="2"/>
        <v>0</v>
      </c>
      <c r="M8" s="81">
        <f t="shared" si="2"/>
        <v>0</v>
      </c>
    </row>
    <row r="9" spans="1:13" ht="27.95" customHeight="1">
      <c r="A9" s="78" t="s">
        <v>178</v>
      </c>
      <c r="B9" s="22" t="s">
        <v>186</v>
      </c>
      <c r="C9" s="22" t="s">
        <v>180</v>
      </c>
      <c r="D9" s="79"/>
      <c r="E9" s="80">
        <v>475000</v>
      </c>
      <c r="F9" s="83">
        <f t="shared" si="0"/>
        <v>0</v>
      </c>
      <c r="G9" s="81">
        <f t="shared" si="0"/>
        <v>0</v>
      </c>
      <c r="H9" s="83"/>
      <c r="I9" s="80"/>
      <c r="J9" s="83">
        <f>$D9*'DIA-INCH'!$C9</f>
        <v>0</v>
      </c>
      <c r="K9" s="81">
        <f t="shared" si="1"/>
        <v>0</v>
      </c>
      <c r="L9" s="83">
        <f t="shared" si="2"/>
        <v>0</v>
      </c>
      <c r="M9" s="81">
        <f t="shared" si="2"/>
        <v>0</v>
      </c>
    </row>
    <row r="10" spans="1:13" ht="27.95" customHeight="1">
      <c r="A10" s="78" t="s">
        <v>178</v>
      </c>
      <c r="B10" s="22" t="s">
        <v>187</v>
      </c>
      <c r="C10" s="22" t="s">
        <v>183</v>
      </c>
      <c r="D10" s="79"/>
      <c r="E10" s="80">
        <v>475000</v>
      </c>
      <c r="F10" s="83">
        <f t="shared" si="0"/>
        <v>0</v>
      </c>
      <c r="G10" s="81">
        <f t="shared" si="0"/>
        <v>0</v>
      </c>
      <c r="H10" s="83"/>
      <c r="I10" s="80"/>
      <c r="J10" s="83">
        <f>$D10*'DIA-INCH'!$C10</f>
        <v>0</v>
      </c>
      <c r="K10" s="81">
        <f t="shared" si="1"/>
        <v>0</v>
      </c>
      <c r="L10" s="83">
        <f t="shared" si="2"/>
        <v>0</v>
      </c>
      <c r="M10" s="81">
        <f t="shared" si="2"/>
        <v>0</v>
      </c>
    </row>
    <row r="11" spans="1:13" ht="27.95" customHeight="1">
      <c r="A11" s="78" t="s">
        <v>178</v>
      </c>
      <c r="B11" s="22" t="s">
        <v>188</v>
      </c>
      <c r="C11" s="22" t="s">
        <v>183</v>
      </c>
      <c r="D11" s="79"/>
      <c r="E11" s="80">
        <v>475000</v>
      </c>
      <c r="F11" s="83">
        <f t="shared" si="0"/>
        <v>0</v>
      </c>
      <c r="G11" s="81">
        <f t="shared" si="0"/>
        <v>0</v>
      </c>
      <c r="H11" s="83"/>
      <c r="I11" s="80"/>
      <c r="J11" s="83">
        <f>$D11*'DIA-INCH'!$C11</f>
        <v>0</v>
      </c>
      <c r="K11" s="81">
        <f t="shared" si="1"/>
        <v>0</v>
      </c>
      <c r="L11" s="83">
        <f t="shared" si="2"/>
        <v>0</v>
      </c>
      <c r="M11" s="81">
        <f t="shared" si="2"/>
        <v>0</v>
      </c>
    </row>
    <row r="12" spans="1:13" ht="27.95" customHeight="1">
      <c r="A12" s="78" t="s">
        <v>181</v>
      </c>
      <c r="B12" s="22" t="s">
        <v>189</v>
      </c>
      <c r="C12" s="22" t="s">
        <v>180</v>
      </c>
      <c r="D12" s="79"/>
      <c r="E12" s="80">
        <v>475000</v>
      </c>
      <c r="F12" s="83">
        <f t="shared" si="0"/>
        <v>0</v>
      </c>
      <c r="G12" s="81">
        <f t="shared" si="0"/>
        <v>0</v>
      </c>
      <c r="H12" s="83"/>
      <c r="I12" s="80"/>
      <c r="J12" s="83">
        <f>$D12*'DIA-INCH'!$C12</f>
        <v>0</v>
      </c>
      <c r="K12" s="81">
        <f t="shared" si="1"/>
        <v>0</v>
      </c>
      <c r="L12" s="83">
        <f t="shared" si="2"/>
        <v>0</v>
      </c>
      <c r="M12" s="81">
        <f t="shared" si="2"/>
        <v>0</v>
      </c>
    </row>
    <row r="13" spans="1:13" ht="27.95" customHeight="1">
      <c r="A13" s="78" t="s">
        <v>178</v>
      </c>
      <c r="B13" s="22" t="s">
        <v>190</v>
      </c>
      <c r="C13" s="22" t="s">
        <v>180</v>
      </c>
      <c r="D13" s="79"/>
      <c r="E13" s="80">
        <v>475000</v>
      </c>
      <c r="F13" s="83">
        <f t="shared" si="0"/>
        <v>0</v>
      </c>
      <c r="G13" s="81">
        <f t="shared" si="0"/>
        <v>0</v>
      </c>
      <c r="H13" s="83"/>
      <c r="I13" s="80"/>
      <c r="J13" s="83">
        <f>$D13*'DIA-INCH'!$C13</f>
        <v>0</v>
      </c>
      <c r="K13" s="81">
        <f t="shared" si="1"/>
        <v>0</v>
      </c>
      <c r="L13" s="83">
        <f t="shared" si="2"/>
        <v>0</v>
      </c>
      <c r="M13" s="81">
        <f t="shared" si="2"/>
        <v>0</v>
      </c>
    </row>
    <row r="14" spans="1:13" ht="27.95" customHeight="1">
      <c r="A14" s="78" t="s">
        <v>191</v>
      </c>
      <c r="B14" s="22" t="s">
        <v>192</v>
      </c>
      <c r="C14" s="22" t="s">
        <v>180</v>
      </c>
      <c r="D14" s="79"/>
      <c r="E14" s="80">
        <v>475000</v>
      </c>
      <c r="F14" s="83">
        <f t="shared" si="0"/>
        <v>0</v>
      </c>
      <c r="G14" s="81">
        <f t="shared" si="0"/>
        <v>0</v>
      </c>
      <c r="H14" s="83"/>
      <c r="I14" s="80"/>
      <c r="J14" s="83">
        <f>$D14*'DIA-INCH'!$C14</f>
        <v>0</v>
      </c>
      <c r="K14" s="81">
        <f t="shared" si="1"/>
        <v>0</v>
      </c>
      <c r="L14" s="83">
        <f t="shared" si="2"/>
        <v>0</v>
      </c>
      <c r="M14" s="81">
        <f t="shared" si="2"/>
        <v>0</v>
      </c>
    </row>
    <row r="15" spans="1:13" ht="27.95" customHeight="1">
      <c r="A15" s="78" t="s">
        <v>178</v>
      </c>
      <c r="B15" s="22" t="s">
        <v>193</v>
      </c>
      <c r="C15" s="22" t="s">
        <v>183</v>
      </c>
      <c r="D15" s="79"/>
      <c r="E15" s="80">
        <v>475000</v>
      </c>
      <c r="F15" s="83">
        <f t="shared" si="0"/>
        <v>0</v>
      </c>
      <c r="G15" s="81">
        <f t="shared" si="0"/>
        <v>0</v>
      </c>
      <c r="H15" s="83"/>
      <c r="I15" s="80"/>
      <c r="J15" s="83">
        <f>$D15*'DIA-INCH'!$C15</f>
        <v>0</v>
      </c>
      <c r="K15" s="81">
        <f t="shared" si="1"/>
        <v>0</v>
      </c>
      <c r="L15" s="83">
        <f t="shared" si="2"/>
        <v>0</v>
      </c>
      <c r="M15" s="81">
        <f t="shared" si="2"/>
        <v>0</v>
      </c>
    </row>
    <row r="16" spans="1:13" ht="27.95" customHeight="1">
      <c r="A16" s="78" t="s">
        <v>181</v>
      </c>
      <c r="B16" s="22" t="s">
        <v>194</v>
      </c>
      <c r="C16" s="22" t="s">
        <v>180</v>
      </c>
      <c r="D16" s="79"/>
      <c r="E16" s="80">
        <v>475000</v>
      </c>
      <c r="F16" s="83">
        <f t="shared" si="0"/>
        <v>0</v>
      </c>
      <c r="G16" s="81">
        <f t="shared" si="0"/>
        <v>0</v>
      </c>
      <c r="H16" s="83"/>
      <c r="I16" s="80"/>
      <c r="J16" s="83">
        <f>$D16*'DIA-INCH'!$C16</f>
        <v>0</v>
      </c>
      <c r="K16" s="81">
        <f t="shared" si="1"/>
        <v>0</v>
      </c>
      <c r="L16" s="83">
        <f t="shared" si="2"/>
        <v>0</v>
      </c>
      <c r="M16" s="81">
        <f t="shared" si="2"/>
        <v>0</v>
      </c>
    </row>
    <row r="17" spans="1:13" ht="27.95" customHeight="1">
      <c r="A17" s="78" t="s">
        <v>181</v>
      </c>
      <c r="B17" s="22" t="s">
        <v>195</v>
      </c>
      <c r="C17" s="22" t="s">
        <v>180</v>
      </c>
      <c r="D17" s="79"/>
      <c r="E17" s="80">
        <v>475000</v>
      </c>
      <c r="F17" s="83">
        <f t="shared" si="0"/>
        <v>0</v>
      </c>
      <c r="G17" s="81">
        <f t="shared" si="0"/>
        <v>0</v>
      </c>
      <c r="H17" s="83"/>
      <c r="I17" s="80"/>
      <c r="J17" s="83">
        <f>$D17*'DIA-INCH'!$C17</f>
        <v>0</v>
      </c>
      <c r="K17" s="81">
        <f t="shared" si="1"/>
        <v>0</v>
      </c>
      <c r="L17" s="83">
        <f t="shared" si="2"/>
        <v>0</v>
      </c>
      <c r="M17" s="81">
        <f t="shared" si="2"/>
        <v>0</v>
      </c>
    </row>
    <row r="18" spans="1:13" ht="27.95" customHeight="1">
      <c r="A18" s="78" t="s">
        <v>181</v>
      </c>
      <c r="B18" s="22" t="s">
        <v>196</v>
      </c>
      <c r="C18" s="22" t="s">
        <v>180</v>
      </c>
      <c r="D18" s="79"/>
      <c r="E18" s="80">
        <v>475000</v>
      </c>
      <c r="F18" s="83">
        <f t="shared" si="0"/>
        <v>0</v>
      </c>
      <c r="G18" s="81">
        <f t="shared" si="0"/>
        <v>0</v>
      </c>
      <c r="H18" s="83"/>
      <c r="I18" s="80"/>
      <c r="J18" s="83">
        <f>$D18*'DIA-INCH'!$C18</f>
        <v>0</v>
      </c>
      <c r="K18" s="81">
        <f t="shared" si="1"/>
        <v>0</v>
      </c>
      <c r="L18" s="83">
        <f t="shared" si="2"/>
        <v>0</v>
      </c>
      <c r="M18" s="81">
        <f t="shared" si="2"/>
        <v>0</v>
      </c>
    </row>
    <row r="19" spans="1:13" ht="27.95" customHeight="1">
      <c r="A19" s="78" t="s">
        <v>181</v>
      </c>
      <c r="B19" s="22" t="s">
        <v>197</v>
      </c>
      <c r="C19" s="22" t="s">
        <v>180</v>
      </c>
      <c r="D19" s="79"/>
      <c r="E19" s="80">
        <v>475000</v>
      </c>
      <c r="F19" s="83">
        <f t="shared" si="0"/>
        <v>0</v>
      </c>
      <c r="G19" s="81">
        <f t="shared" si="0"/>
        <v>0</v>
      </c>
      <c r="H19" s="83"/>
      <c r="I19" s="80"/>
      <c r="J19" s="83">
        <f>$D19*'DIA-INCH'!$C19</f>
        <v>0</v>
      </c>
      <c r="K19" s="81">
        <f t="shared" si="1"/>
        <v>0</v>
      </c>
      <c r="L19" s="83">
        <f t="shared" si="2"/>
        <v>0</v>
      </c>
      <c r="M19" s="81">
        <f t="shared" si="2"/>
        <v>0</v>
      </c>
    </row>
    <row r="20" spans="1:13" ht="27.95" customHeight="1">
      <c r="A20" s="78" t="s">
        <v>178</v>
      </c>
      <c r="B20" s="22" t="s">
        <v>198</v>
      </c>
      <c r="C20" s="22" t="s">
        <v>183</v>
      </c>
      <c r="D20" s="79"/>
      <c r="E20" s="80">
        <v>475000</v>
      </c>
      <c r="F20" s="83">
        <f t="shared" si="0"/>
        <v>0</v>
      </c>
      <c r="G20" s="81">
        <f t="shared" si="0"/>
        <v>0</v>
      </c>
      <c r="H20" s="83"/>
      <c r="I20" s="80"/>
      <c r="J20" s="83">
        <f>$D20*'DIA-INCH'!$C20</f>
        <v>0</v>
      </c>
      <c r="K20" s="81">
        <f t="shared" si="1"/>
        <v>0</v>
      </c>
      <c r="L20" s="83">
        <f t="shared" si="2"/>
        <v>0</v>
      </c>
      <c r="M20" s="81">
        <f t="shared" si="2"/>
        <v>0</v>
      </c>
    </row>
    <row r="21" spans="1:13" ht="27.95" customHeight="1">
      <c r="A21" s="78" t="s">
        <v>178</v>
      </c>
      <c r="B21" s="22" t="s">
        <v>199</v>
      </c>
      <c r="C21" s="22" t="s">
        <v>200</v>
      </c>
      <c r="D21" s="79"/>
      <c r="E21" s="80">
        <v>475000</v>
      </c>
      <c r="F21" s="83">
        <f t="shared" si="0"/>
        <v>0</v>
      </c>
      <c r="G21" s="81">
        <f t="shared" si="0"/>
        <v>0</v>
      </c>
      <c r="H21" s="83"/>
      <c r="I21" s="80"/>
      <c r="J21" s="83">
        <f>$D21*'DIA-INCH'!$C21</f>
        <v>0</v>
      </c>
      <c r="K21" s="81">
        <f t="shared" si="1"/>
        <v>0</v>
      </c>
      <c r="L21" s="83">
        <f t="shared" si="2"/>
        <v>0</v>
      </c>
      <c r="M21" s="81">
        <f t="shared" si="2"/>
        <v>0</v>
      </c>
    </row>
    <row r="22" spans="1:13" ht="27.95" customHeight="1">
      <c r="A22" s="78" t="s">
        <v>181</v>
      </c>
      <c r="B22" s="22" t="s">
        <v>201</v>
      </c>
      <c r="C22" s="22" t="s">
        <v>202</v>
      </c>
      <c r="D22" s="79"/>
      <c r="E22" s="80">
        <v>475000</v>
      </c>
      <c r="F22" s="83">
        <f t="shared" si="0"/>
        <v>0</v>
      </c>
      <c r="G22" s="81">
        <f t="shared" si="0"/>
        <v>0</v>
      </c>
      <c r="H22" s="83"/>
      <c r="I22" s="80"/>
      <c r="J22" s="83">
        <f>$D22*'DIA-INCH'!$C22</f>
        <v>0</v>
      </c>
      <c r="K22" s="81">
        <f t="shared" si="1"/>
        <v>0</v>
      </c>
      <c r="L22" s="83">
        <f t="shared" si="2"/>
        <v>0</v>
      </c>
      <c r="M22" s="81">
        <f t="shared" si="2"/>
        <v>0</v>
      </c>
    </row>
    <row r="23" spans="1:13" ht="27.95" customHeight="1">
      <c r="A23" s="78" t="s">
        <v>203</v>
      </c>
      <c r="B23" s="22" t="s">
        <v>204</v>
      </c>
      <c r="C23" s="22" t="s">
        <v>180</v>
      </c>
      <c r="D23" s="79"/>
      <c r="E23" s="80">
        <v>475000</v>
      </c>
      <c r="F23" s="83">
        <f t="shared" si="0"/>
        <v>0</v>
      </c>
      <c r="G23" s="81">
        <f t="shared" si="0"/>
        <v>0</v>
      </c>
      <c r="H23" s="83"/>
      <c r="I23" s="80"/>
      <c r="J23" s="83">
        <f>$D23*'DIA-INCH'!$C23</f>
        <v>0</v>
      </c>
      <c r="K23" s="81">
        <f t="shared" si="1"/>
        <v>0</v>
      </c>
      <c r="L23" s="83">
        <f t="shared" si="2"/>
        <v>0</v>
      </c>
      <c r="M23" s="81">
        <f t="shared" si="2"/>
        <v>0</v>
      </c>
    </row>
    <row r="24" spans="1:13" ht="27.95" customHeight="1">
      <c r="A24" s="78" t="s">
        <v>178</v>
      </c>
      <c r="B24" s="22" t="s">
        <v>205</v>
      </c>
      <c r="C24" s="22" t="s">
        <v>183</v>
      </c>
      <c r="D24" s="79"/>
      <c r="E24" s="80">
        <v>475000</v>
      </c>
      <c r="F24" s="83">
        <f t="shared" si="0"/>
        <v>0</v>
      </c>
      <c r="G24" s="81">
        <f t="shared" si="0"/>
        <v>0</v>
      </c>
      <c r="H24" s="83"/>
      <c r="I24" s="80"/>
      <c r="J24" s="83">
        <f>$D24*'DIA-INCH'!$C24</f>
        <v>0</v>
      </c>
      <c r="K24" s="81">
        <f t="shared" si="1"/>
        <v>0</v>
      </c>
      <c r="L24" s="83">
        <f t="shared" si="2"/>
        <v>0</v>
      </c>
      <c r="M24" s="81">
        <f t="shared" si="2"/>
        <v>0</v>
      </c>
    </row>
    <row r="25" spans="1:13" ht="27.95" customHeight="1">
      <c r="A25" s="78" t="s">
        <v>191</v>
      </c>
      <c r="B25" s="22" t="s">
        <v>206</v>
      </c>
      <c r="C25" s="22" t="s">
        <v>207</v>
      </c>
      <c r="D25" s="79"/>
      <c r="E25" s="80">
        <v>475000</v>
      </c>
      <c r="F25" s="83">
        <f t="shared" si="0"/>
        <v>0</v>
      </c>
      <c r="G25" s="81">
        <f t="shared" si="0"/>
        <v>0</v>
      </c>
      <c r="H25" s="83"/>
      <c r="I25" s="80"/>
      <c r="J25" s="83">
        <f>$D25*'DIA-INCH'!$C25</f>
        <v>0</v>
      </c>
      <c r="K25" s="81">
        <f t="shared" si="1"/>
        <v>0</v>
      </c>
      <c r="L25" s="83">
        <f t="shared" si="2"/>
        <v>0</v>
      </c>
      <c r="M25" s="81">
        <f t="shared" si="2"/>
        <v>0</v>
      </c>
    </row>
    <row r="26" spans="1:13" ht="27.95" customHeight="1">
      <c r="A26" s="78" t="s">
        <v>181</v>
      </c>
      <c r="B26" s="22" t="s">
        <v>208</v>
      </c>
      <c r="C26" s="22" t="s">
        <v>180</v>
      </c>
      <c r="D26" s="79"/>
      <c r="E26" s="80">
        <v>475000</v>
      </c>
      <c r="F26" s="83">
        <f t="shared" si="0"/>
        <v>0</v>
      </c>
      <c r="G26" s="81">
        <f t="shared" si="0"/>
        <v>0</v>
      </c>
      <c r="H26" s="83"/>
      <c r="I26" s="80"/>
      <c r="J26" s="83">
        <f>$D26*'DIA-INCH'!$C26</f>
        <v>0</v>
      </c>
      <c r="K26" s="81">
        <f t="shared" si="1"/>
        <v>0</v>
      </c>
      <c r="L26" s="83">
        <f t="shared" si="2"/>
        <v>0</v>
      </c>
      <c r="M26" s="81">
        <f t="shared" si="2"/>
        <v>0</v>
      </c>
    </row>
    <row r="27" spans="1:13" ht="27.95" customHeight="1">
      <c r="A27" s="78" t="s">
        <v>191</v>
      </c>
      <c r="B27" s="22" t="s">
        <v>209</v>
      </c>
      <c r="C27" s="22" t="s">
        <v>180</v>
      </c>
      <c r="D27" s="79"/>
      <c r="E27" s="80">
        <v>475000</v>
      </c>
      <c r="F27" s="83">
        <f t="shared" si="0"/>
        <v>0</v>
      </c>
      <c r="G27" s="81">
        <f t="shared" si="0"/>
        <v>0</v>
      </c>
      <c r="H27" s="83"/>
      <c r="I27" s="80"/>
      <c r="J27" s="83">
        <f>$D27*'DIA-INCH'!$C27</f>
        <v>0</v>
      </c>
      <c r="K27" s="81">
        <f t="shared" si="1"/>
        <v>0</v>
      </c>
      <c r="L27" s="83">
        <f t="shared" si="2"/>
        <v>0</v>
      </c>
      <c r="M27" s="81">
        <f t="shared" si="2"/>
        <v>0</v>
      </c>
    </row>
    <row r="28" spans="1:13" ht="27.95" customHeight="1">
      <c r="A28" s="78" t="s">
        <v>210</v>
      </c>
      <c r="B28" s="22" t="s">
        <v>179</v>
      </c>
      <c r="C28" s="22" t="s">
        <v>211</v>
      </c>
      <c r="D28" s="79"/>
      <c r="E28" s="80">
        <f>$E$31*'DIA-INCH'!$C5</f>
        <v>12500</v>
      </c>
      <c r="F28" s="81">
        <f t="shared" si="0"/>
        <v>0</v>
      </c>
      <c r="G28" s="81">
        <f t="shared" si="0"/>
        <v>0</v>
      </c>
      <c r="H28" s="78"/>
      <c r="I28" s="80"/>
      <c r="J28" s="81">
        <f>D28</f>
        <v>0</v>
      </c>
      <c r="K28" s="81">
        <f>$J28*$E28</f>
        <v>0</v>
      </c>
      <c r="L28" s="81">
        <f t="shared" si="2"/>
        <v>0</v>
      </c>
      <c r="M28" s="81">
        <f t="shared" si="2"/>
        <v>0</v>
      </c>
    </row>
    <row r="29" spans="1:13" ht="27.95" customHeight="1">
      <c r="A29" s="78" t="s">
        <v>212</v>
      </c>
      <c r="B29" s="22" t="s">
        <v>182</v>
      </c>
      <c r="C29" s="22" t="s">
        <v>211</v>
      </c>
      <c r="D29" s="79"/>
      <c r="E29" s="80">
        <f>$E$31*'DIA-INCH'!$C6</f>
        <v>25000</v>
      </c>
      <c r="F29" s="81">
        <f t="shared" si="0"/>
        <v>0</v>
      </c>
      <c r="G29" s="81">
        <f t="shared" si="0"/>
        <v>0</v>
      </c>
      <c r="H29" s="78"/>
      <c r="I29" s="80"/>
      <c r="J29" s="81">
        <f t="shared" ref="J29:J50" si="3">D29</f>
        <v>0</v>
      </c>
      <c r="K29" s="81">
        <f t="shared" ref="K29:K50" si="4">$J29*$E29</f>
        <v>0</v>
      </c>
      <c r="L29" s="81">
        <f t="shared" si="2"/>
        <v>0</v>
      </c>
      <c r="M29" s="81">
        <f t="shared" si="2"/>
        <v>0</v>
      </c>
    </row>
    <row r="30" spans="1:13" ht="27.95" customHeight="1">
      <c r="A30" s="78" t="s">
        <v>213</v>
      </c>
      <c r="B30" s="22" t="s">
        <v>184</v>
      </c>
      <c r="C30" s="22" t="s">
        <v>211</v>
      </c>
      <c r="D30" s="79"/>
      <c r="E30" s="80">
        <f>$E$31*'DIA-INCH'!$C7</f>
        <v>37500</v>
      </c>
      <c r="F30" s="81">
        <f t="shared" si="0"/>
        <v>0</v>
      </c>
      <c r="G30" s="81">
        <f t="shared" si="0"/>
        <v>0</v>
      </c>
      <c r="H30" s="78"/>
      <c r="I30" s="80"/>
      <c r="J30" s="81">
        <f t="shared" si="3"/>
        <v>0</v>
      </c>
      <c r="K30" s="81">
        <f t="shared" si="4"/>
        <v>0</v>
      </c>
      <c r="L30" s="81">
        <f t="shared" si="2"/>
        <v>0</v>
      </c>
      <c r="M30" s="81">
        <f t="shared" si="2"/>
        <v>0</v>
      </c>
    </row>
    <row r="31" spans="1:13" ht="27.95" customHeight="1">
      <c r="A31" s="78" t="s">
        <v>214</v>
      </c>
      <c r="B31" s="22" t="s">
        <v>185</v>
      </c>
      <c r="C31" s="22" t="s">
        <v>215</v>
      </c>
      <c r="D31" s="79"/>
      <c r="E31" s="80">
        <v>50000</v>
      </c>
      <c r="F31" s="81">
        <f t="shared" si="0"/>
        <v>0</v>
      </c>
      <c r="G31" s="81">
        <f t="shared" si="0"/>
        <v>0</v>
      </c>
      <c r="H31" s="78"/>
      <c r="I31" s="80"/>
      <c r="J31" s="81">
        <f t="shared" si="3"/>
        <v>0</v>
      </c>
      <c r="K31" s="81">
        <f t="shared" si="4"/>
        <v>0</v>
      </c>
      <c r="L31" s="81">
        <f t="shared" si="2"/>
        <v>0</v>
      </c>
      <c r="M31" s="81">
        <f t="shared" si="2"/>
        <v>0</v>
      </c>
    </row>
    <row r="32" spans="1:13" ht="27.95" customHeight="1">
      <c r="A32" s="78" t="s">
        <v>214</v>
      </c>
      <c r="B32" s="22" t="s">
        <v>186</v>
      </c>
      <c r="C32" s="22" t="s">
        <v>211</v>
      </c>
      <c r="D32" s="79"/>
      <c r="E32" s="80">
        <f>$E$31*'DIA-INCH'!$C9</f>
        <v>62500</v>
      </c>
      <c r="F32" s="81">
        <f t="shared" si="0"/>
        <v>0</v>
      </c>
      <c r="G32" s="81">
        <f t="shared" si="0"/>
        <v>0</v>
      </c>
      <c r="H32" s="78"/>
      <c r="I32" s="80"/>
      <c r="J32" s="81">
        <f t="shared" si="3"/>
        <v>0</v>
      </c>
      <c r="K32" s="81">
        <f t="shared" si="4"/>
        <v>0</v>
      </c>
      <c r="L32" s="81">
        <f t="shared" si="2"/>
        <v>0</v>
      </c>
      <c r="M32" s="81">
        <f t="shared" si="2"/>
        <v>0</v>
      </c>
    </row>
    <row r="33" spans="1:13" ht="27.95" customHeight="1">
      <c r="A33" s="78" t="s">
        <v>214</v>
      </c>
      <c r="B33" s="22" t="s">
        <v>187</v>
      </c>
      <c r="C33" s="22" t="s">
        <v>122</v>
      </c>
      <c r="D33" s="79"/>
      <c r="E33" s="80">
        <f>$E$31*'DIA-INCH'!$C10</f>
        <v>75000</v>
      </c>
      <c r="F33" s="81">
        <f t="shared" si="0"/>
        <v>0</v>
      </c>
      <c r="G33" s="81">
        <f t="shared" si="0"/>
        <v>0</v>
      </c>
      <c r="H33" s="78"/>
      <c r="I33" s="80"/>
      <c r="J33" s="81">
        <f t="shared" si="3"/>
        <v>0</v>
      </c>
      <c r="K33" s="81">
        <f t="shared" si="4"/>
        <v>0</v>
      </c>
      <c r="L33" s="81">
        <f t="shared" si="2"/>
        <v>0</v>
      </c>
      <c r="M33" s="81">
        <f t="shared" si="2"/>
        <v>0</v>
      </c>
    </row>
    <row r="34" spans="1:13" ht="27.95" customHeight="1">
      <c r="A34" s="78" t="s">
        <v>214</v>
      </c>
      <c r="B34" s="22" t="s">
        <v>188</v>
      </c>
      <c r="C34" s="22" t="s">
        <v>211</v>
      </c>
      <c r="D34" s="79"/>
      <c r="E34" s="80">
        <f>$E$31*'DIA-INCH'!$C11</f>
        <v>100000</v>
      </c>
      <c r="F34" s="81">
        <f t="shared" si="0"/>
        <v>0</v>
      </c>
      <c r="G34" s="81">
        <f t="shared" si="0"/>
        <v>0</v>
      </c>
      <c r="H34" s="78"/>
      <c r="I34" s="80"/>
      <c r="J34" s="81">
        <f t="shared" si="3"/>
        <v>0</v>
      </c>
      <c r="K34" s="81">
        <f t="shared" si="4"/>
        <v>0</v>
      </c>
      <c r="L34" s="81">
        <f t="shared" si="2"/>
        <v>0</v>
      </c>
      <c r="M34" s="81">
        <f t="shared" si="2"/>
        <v>0</v>
      </c>
    </row>
    <row r="35" spans="1:13" ht="27.95" customHeight="1">
      <c r="A35" s="78" t="s">
        <v>210</v>
      </c>
      <c r="B35" s="22" t="s">
        <v>189</v>
      </c>
      <c r="C35" s="22" t="s">
        <v>122</v>
      </c>
      <c r="D35" s="79"/>
      <c r="E35" s="80">
        <f>$E$31*'DIA-INCH'!$C12</f>
        <v>125000</v>
      </c>
      <c r="F35" s="81">
        <f t="shared" si="0"/>
        <v>0</v>
      </c>
      <c r="G35" s="81">
        <f t="shared" si="0"/>
        <v>0</v>
      </c>
      <c r="H35" s="78"/>
      <c r="I35" s="80"/>
      <c r="J35" s="81">
        <f t="shared" si="3"/>
        <v>0</v>
      </c>
      <c r="K35" s="81">
        <f t="shared" si="4"/>
        <v>0</v>
      </c>
      <c r="L35" s="81">
        <f t="shared" si="2"/>
        <v>0</v>
      </c>
      <c r="M35" s="81">
        <f t="shared" si="2"/>
        <v>0</v>
      </c>
    </row>
    <row r="36" spans="1:13" ht="27.95" customHeight="1">
      <c r="A36" s="78" t="s">
        <v>210</v>
      </c>
      <c r="B36" s="22" t="s">
        <v>190</v>
      </c>
      <c r="C36" s="22" t="s">
        <v>211</v>
      </c>
      <c r="D36" s="79"/>
      <c r="E36" s="80">
        <f>$E$31*'DIA-INCH'!$C13</f>
        <v>150000</v>
      </c>
      <c r="F36" s="81">
        <f t="shared" si="0"/>
        <v>0</v>
      </c>
      <c r="G36" s="81">
        <f t="shared" si="0"/>
        <v>0</v>
      </c>
      <c r="H36" s="78"/>
      <c r="I36" s="80"/>
      <c r="J36" s="81">
        <f t="shared" si="3"/>
        <v>0</v>
      </c>
      <c r="K36" s="81">
        <f t="shared" si="4"/>
        <v>0</v>
      </c>
      <c r="L36" s="81">
        <f t="shared" si="2"/>
        <v>0</v>
      </c>
      <c r="M36" s="81">
        <f t="shared" si="2"/>
        <v>0</v>
      </c>
    </row>
    <row r="37" spans="1:13" ht="27.95" customHeight="1">
      <c r="A37" s="78" t="s">
        <v>212</v>
      </c>
      <c r="B37" s="22" t="s">
        <v>192</v>
      </c>
      <c r="C37" s="22" t="s">
        <v>211</v>
      </c>
      <c r="D37" s="79"/>
      <c r="E37" s="80">
        <f>$E$31*'DIA-INCH'!$C14</f>
        <v>200000</v>
      </c>
      <c r="F37" s="81">
        <f t="shared" si="0"/>
        <v>0</v>
      </c>
      <c r="G37" s="81">
        <f t="shared" si="0"/>
        <v>0</v>
      </c>
      <c r="H37" s="78"/>
      <c r="I37" s="80"/>
      <c r="J37" s="81">
        <f t="shared" si="3"/>
        <v>0</v>
      </c>
      <c r="K37" s="81">
        <f t="shared" si="4"/>
        <v>0</v>
      </c>
      <c r="L37" s="81">
        <f t="shared" si="2"/>
        <v>0</v>
      </c>
      <c r="M37" s="81">
        <f t="shared" si="2"/>
        <v>0</v>
      </c>
    </row>
    <row r="38" spans="1:13" ht="27.95" customHeight="1">
      <c r="A38" s="78" t="s">
        <v>210</v>
      </c>
      <c r="B38" s="22" t="s">
        <v>193</v>
      </c>
      <c r="C38" s="22" t="s">
        <v>216</v>
      </c>
      <c r="D38" s="79"/>
      <c r="E38" s="80">
        <f>$E$31*'DIA-INCH'!$C15</f>
        <v>200000</v>
      </c>
      <c r="F38" s="81">
        <f t="shared" si="0"/>
        <v>0</v>
      </c>
      <c r="G38" s="81">
        <f t="shared" si="0"/>
        <v>0</v>
      </c>
      <c r="H38" s="78"/>
      <c r="I38" s="80"/>
      <c r="J38" s="81">
        <f t="shared" si="3"/>
        <v>0</v>
      </c>
      <c r="K38" s="81">
        <f t="shared" si="4"/>
        <v>0</v>
      </c>
      <c r="L38" s="81">
        <f t="shared" si="2"/>
        <v>0</v>
      </c>
      <c r="M38" s="81">
        <f t="shared" si="2"/>
        <v>0</v>
      </c>
    </row>
    <row r="39" spans="1:13" ht="27.95" customHeight="1">
      <c r="A39" s="78" t="s">
        <v>210</v>
      </c>
      <c r="B39" s="22" t="s">
        <v>194</v>
      </c>
      <c r="C39" s="22" t="s">
        <v>217</v>
      </c>
      <c r="D39" s="79"/>
      <c r="E39" s="80">
        <f>$E$31*'DIA-INCH'!$C16</f>
        <v>250000</v>
      </c>
      <c r="F39" s="81">
        <f t="shared" si="0"/>
        <v>0</v>
      </c>
      <c r="G39" s="81">
        <f t="shared" si="0"/>
        <v>0</v>
      </c>
      <c r="H39" s="78"/>
      <c r="I39" s="80"/>
      <c r="J39" s="81">
        <f t="shared" si="3"/>
        <v>0</v>
      </c>
      <c r="K39" s="81">
        <f t="shared" si="4"/>
        <v>0</v>
      </c>
      <c r="L39" s="81">
        <f t="shared" si="2"/>
        <v>0</v>
      </c>
      <c r="M39" s="81">
        <f t="shared" si="2"/>
        <v>0</v>
      </c>
    </row>
    <row r="40" spans="1:13" ht="27.95" customHeight="1">
      <c r="A40" s="78" t="s">
        <v>210</v>
      </c>
      <c r="B40" s="22" t="s">
        <v>195</v>
      </c>
      <c r="C40" s="22" t="s">
        <v>211</v>
      </c>
      <c r="D40" s="79"/>
      <c r="E40" s="80">
        <f>$E$31*'DIA-INCH'!$C17</f>
        <v>300000</v>
      </c>
      <c r="F40" s="81">
        <f t="shared" si="0"/>
        <v>0</v>
      </c>
      <c r="G40" s="81">
        <f t="shared" si="0"/>
        <v>0</v>
      </c>
      <c r="H40" s="78"/>
      <c r="I40" s="80"/>
      <c r="J40" s="81">
        <f t="shared" si="3"/>
        <v>0</v>
      </c>
      <c r="K40" s="81">
        <f t="shared" si="4"/>
        <v>0</v>
      </c>
      <c r="L40" s="81">
        <f t="shared" si="2"/>
        <v>0</v>
      </c>
      <c r="M40" s="81">
        <f t="shared" si="2"/>
        <v>0</v>
      </c>
    </row>
    <row r="41" spans="1:13" ht="27.95" customHeight="1">
      <c r="A41" s="78" t="s">
        <v>210</v>
      </c>
      <c r="B41" s="22" t="s">
        <v>196</v>
      </c>
      <c r="C41" s="22" t="s">
        <v>122</v>
      </c>
      <c r="D41" s="79"/>
      <c r="E41" s="80">
        <f>$E$31*'DIA-INCH'!$C18</f>
        <v>350000</v>
      </c>
      <c r="F41" s="81">
        <f t="shared" si="0"/>
        <v>0</v>
      </c>
      <c r="G41" s="81">
        <f t="shared" si="0"/>
        <v>0</v>
      </c>
      <c r="H41" s="78"/>
      <c r="I41" s="80"/>
      <c r="J41" s="81">
        <f t="shared" si="3"/>
        <v>0</v>
      </c>
      <c r="K41" s="81">
        <f t="shared" si="4"/>
        <v>0</v>
      </c>
      <c r="L41" s="81">
        <f t="shared" si="2"/>
        <v>0</v>
      </c>
      <c r="M41" s="81">
        <f t="shared" si="2"/>
        <v>0</v>
      </c>
    </row>
    <row r="42" spans="1:13" ht="27.95" customHeight="1">
      <c r="A42" s="78" t="s">
        <v>210</v>
      </c>
      <c r="B42" s="22" t="s">
        <v>197</v>
      </c>
      <c r="C42" s="22" t="s">
        <v>211</v>
      </c>
      <c r="D42" s="79"/>
      <c r="E42" s="80">
        <f>$E$31*'DIA-INCH'!$C19</f>
        <v>400000</v>
      </c>
      <c r="F42" s="81">
        <f t="shared" si="0"/>
        <v>0</v>
      </c>
      <c r="G42" s="81">
        <f t="shared" si="0"/>
        <v>0</v>
      </c>
      <c r="H42" s="78"/>
      <c r="I42" s="80"/>
      <c r="J42" s="81">
        <f t="shared" si="3"/>
        <v>0</v>
      </c>
      <c r="K42" s="81">
        <f t="shared" si="4"/>
        <v>0</v>
      </c>
      <c r="L42" s="81">
        <f t="shared" si="2"/>
        <v>0</v>
      </c>
      <c r="M42" s="81">
        <f t="shared" si="2"/>
        <v>0</v>
      </c>
    </row>
    <row r="43" spans="1:13" ht="27.95" customHeight="1">
      <c r="A43" s="78" t="s">
        <v>210</v>
      </c>
      <c r="B43" s="22" t="s">
        <v>198</v>
      </c>
      <c r="C43" s="22" t="s">
        <v>211</v>
      </c>
      <c r="D43" s="79"/>
      <c r="E43" s="80">
        <f>$E$31*'DIA-INCH'!$C20</f>
        <v>450000</v>
      </c>
      <c r="F43" s="81">
        <f t="shared" si="0"/>
        <v>0</v>
      </c>
      <c r="G43" s="81">
        <f t="shared" si="0"/>
        <v>0</v>
      </c>
      <c r="H43" s="78"/>
      <c r="I43" s="80"/>
      <c r="J43" s="81">
        <f t="shared" si="3"/>
        <v>0</v>
      </c>
      <c r="K43" s="81">
        <f t="shared" si="4"/>
        <v>0</v>
      </c>
      <c r="L43" s="81">
        <f t="shared" si="2"/>
        <v>0</v>
      </c>
      <c r="M43" s="81">
        <f t="shared" si="2"/>
        <v>0</v>
      </c>
    </row>
    <row r="44" spans="1:13" ht="27.95" customHeight="1">
      <c r="A44" s="78" t="s">
        <v>210</v>
      </c>
      <c r="B44" s="22" t="s">
        <v>199</v>
      </c>
      <c r="C44" s="22" t="s">
        <v>122</v>
      </c>
      <c r="D44" s="79"/>
      <c r="E44" s="80">
        <f>$E$31*'DIA-INCH'!$C21</f>
        <v>500000</v>
      </c>
      <c r="F44" s="81">
        <f t="shared" si="0"/>
        <v>0</v>
      </c>
      <c r="G44" s="81">
        <f t="shared" si="0"/>
        <v>0</v>
      </c>
      <c r="H44" s="78"/>
      <c r="I44" s="80"/>
      <c r="J44" s="81">
        <f t="shared" si="3"/>
        <v>0</v>
      </c>
      <c r="K44" s="81">
        <f t="shared" si="4"/>
        <v>0</v>
      </c>
      <c r="L44" s="81">
        <f t="shared" si="2"/>
        <v>0</v>
      </c>
      <c r="M44" s="81">
        <f t="shared" si="2"/>
        <v>0</v>
      </c>
    </row>
    <row r="45" spans="1:13" ht="27.95" customHeight="1">
      <c r="A45" s="78" t="s">
        <v>212</v>
      </c>
      <c r="B45" s="22" t="s">
        <v>201</v>
      </c>
      <c r="C45" s="22" t="s">
        <v>122</v>
      </c>
      <c r="D45" s="79"/>
      <c r="E45" s="80">
        <f>$E$31*'DIA-INCH'!$C22</f>
        <v>600000</v>
      </c>
      <c r="F45" s="81">
        <f t="shared" si="0"/>
        <v>0</v>
      </c>
      <c r="G45" s="81">
        <f t="shared" si="0"/>
        <v>0</v>
      </c>
      <c r="H45" s="78"/>
      <c r="I45" s="80"/>
      <c r="J45" s="81">
        <f t="shared" si="3"/>
        <v>0</v>
      </c>
      <c r="K45" s="81">
        <f t="shared" si="4"/>
        <v>0</v>
      </c>
      <c r="L45" s="81">
        <f t="shared" si="2"/>
        <v>0</v>
      </c>
      <c r="M45" s="81">
        <f t="shared" si="2"/>
        <v>0</v>
      </c>
    </row>
    <row r="46" spans="1:13" ht="27.95" customHeight="1">
      <c r="A46" s="78" t="s">
        <v>210</v>
      </c>
      <c r="B46" s="22" t="s">
        <v>204</v>
      </c>
      <c r="C46" s="22" t="s">
        <v>211</v>
      </c>
      <c r="D46" s="79"/>
      <c r="E46" s="80">
        <f>$E$31*'DIA-INCH'!$C23</f>
        <v>700000</v>
      </c>
      <c r="F46" s="81">
        <f t="shared" si="0"/>
        <v>0</v>
      </c>
      <c r="G46" s="81">
        <f t="shared" si="0"/>
        <v>0</v>
      </c>
      <c r="H46" s="78"/>
      <c r="I46" s="80"/>
      <c r="J46" s="81">
        <f t="shared" si="3"/>
        <v>0</v>
      </c>
      <c r="K46" s="81">
        <f t="shared" si="4"/>
        <v>0</v>
      </c>
      <c r="L46" s="81">
        <f t="shared" si="2"/>
        <v>0</v>
      </c>
      <c r="M46" s="81">
        <f t="shared" si="2"/>
        <v>0</v>
      </c>
    </row>
    <row r="47" spans="1:13" ht="27.95" customHeight="1">
      <c r="A47" s="78" t="s">
        <v>210</v>
      </c>
      <c r="B47" s="22" t="s">
        <v>205</v>
      </c>
      <c r="C47" s="22" t="s">
        <v>216</v>
      </c>
      <c r="D47" s="79"/>
      <c r="E47" s="80">
        <f>$E$31*'DIA-INCH'!$C24</f>
        <v>800000</v>
      </c>
      <c r="F47" s="81">
        <f t="shared" si="0"/>
        <v>0</v>
      </c>
      <c r="G47" s="81">
        <f t="shared" si="0"/>
        <v>0</v>
      </c>
      <c r="H47" s="78"/>
      <c r="I47" s="80"/>
      <c r="J47" s="81">
        <f t="shared" si="3"/>
        <v>0</v>
      </c>
      <c r="K47" s="81">
        <f t="shared" si="4"/>
        <v>0</v>
      </c>
      <c r="L47" s="81">
        <f t="shared" si="2"/>
        <v>0</v>
      </c>
      <c r="M47" s="81">
        <f t="shared" si="2"/>
        <v>0</v>
      </c>
    </row>
    <row r="48" spans="1:13" ht="27.95" customHeight="1">
      <c r="A48" s="78" t="s">
        <v>213</v>
      </c>
      <c r="B48" s="22" t="s">
        <v>206</v>
      </c>
      <c r="C48" s="22" t="s">
        <v>211</v>
      </c>
      <c r="D48" s="79"/>
      <c r="E48" s="80">
        <f>$E$31*'DIA-INCH'!$C25</f>
        <v>900000</v>
      </c>
      <c r="F48" s="81">
        <f t="shared" si="0"/>
        <v>0</v>
      </c>
      <c r="G48" s="81">
        <f t="shared" si="0"/>
        <v>0</v>
      </c>
      <c r="H48" s="78"/>
      <c r="I48" s="80"/>
      <c r="J48" s="81">
        <f t="shared" si="3"/>
        <v>0</v>
      </c>
      <c r="K48" s="81">
        <f t="shared" si="4"/>
        <v>0</v>
      </c>
      <c r="L48" s="81">
        <f t="shared" si="2"/>
        <v>0</v>
      </c>
      <c r="M48" s="81">
        <f t="shared" si="2"/>
        <v>0</v>
      </c>
    </row>
    <row r="49" spans="1:13" ht="27.95" customHeight="1">
      <c r="A49" s="78" t="s">
        <v>210</v>
      </c>
      <c r="B49" s="22" t="s">
        <v>208</v>
      </c>
      <c r="C49" s="22" t="s">
        <v>211</v>
      </c>
      <c r="D49" s="79"/>
      <c r="E49" s="80">
        <f>$E$31*'DIA-INCH'!$C26</f>
        <v>1000000</v>
      </c>
      <c r="F49" s="81">
        <f t="shared" si="0"/>
        <v>0</v>
      </c>
      <c r="G49" s="81">
        <f t="shared" si="0"/>
        <v>0</v>
      </c>
      <c r="H49" s="78"/>
      <c r="I49" s="80"/>
      <c r="J49" s="81">
        <f t="shared" si="3"/>
        <v>0</v>
      </c>
      <c r="K49" s="81">
        <f t="shared" si="4"/>
        <v>0</v>
      </c>
      <c r="L49" s="81">
        <f t="shared" si="2"/>
        <v>0</v>
      </c>
      <c r="M49" s="81">
        <f t="shared" si="2"/>
        <v>0</v>
      </c>
    </row>
    <row r="50" spans="1:13" ht="27.95" customHeight="1">
      <c r="A50" s="78" t="s">
        <v>213</v>
      </c>
      <c r="B50" s="22" t="s">
        <v>209</v>
      </c>
      <c r="C50" s="22" t="s">
        <v>216</v>
      </c>
      <c r="D50" s="79"/>
      <c r="E50" s="80">
        <f>$E$31*'DIA-INCH'!$C27</f>
        <v>1100000</v>
      </c>
      <c r="F50" s="81">
        <f t="shared" si="0"/>
        <v>0</v>
      </c>
      <c r="G50" s="81">
        <f t="shared" si="0"/>
        <v>0</v>
      </c>
      <c r="H50" s="78"/>
      <c r="I50" s="80"/>
      <c r="J50" s="81">
        <f t="shared" si="3"/>
        <v>0</v>
      </c>
      <c r="K50" s="81">
        <f t="shared" si="4"/>
        <v>0</v>
      </c>
      <c r="L50" s="81">
        <f t="shared" si="2"/>
        <v>0</v>
      </c>
      <c r="M50" s="81">
        <f t="shared" si="2"/>
        <v>0</v>
      </c>
    </row>
    <row r="51" spans="1:13" ht="27.95" customHeight="1">
      <c r="A51" s="260" t="s">
        <v>218</v>
      </c>
      <c r="B51" s="261"/>
      <c r="C51" s="261"/>
      <c r="D51" s="261"/>
      <c r="E51" s="262"/>
      <c r="F51" s="135">
        <f>SUM(F5:F50)</f>
        <v>0</v>
      </c>
      <c r="G51" s="82">
        <f t="shared" ref="G51:M51" si="5">SUM(G5:G50)</f>
        <v>0</v>
      </c>
      <c r="H51" s="135">
        <f t="shared" si="5"/>
        <v>0</v>
      </c>
      <c r="I51" s="82">
        <f t="shared" si="5"/>
        <v>0</v>
      </c>
      <c r="J51" s="135">
        <f>SUM(J5:J50)</f>
        <v>0</v>
      </c>
      <c r="K51" s="82">
        <f t="shared" si="5"/>
        <v>0</v>
      </c>
      <c r="L51" s="135">
        <f t="shared" si="5"/>
        <v>0</v>
      </c>
      <c r="M51" s="82">
        <f t="shared" si="5"/>
        <v>0</v>
      </c>
    </row>
  </sheetData>
  <mergeCells count="11">
    <mergeCell ref="A51:E51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3" type="noConversion"/>
  <pageMargins left="0.7" right="0.7" top="0.75" bottom="0.75" header="0.3" footer="0.3"/>
  <pageSetup paperSize="9" scale="60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129"/>
  <sheetViews>
    <sheetView view="pageBreakPreview" zoomScale="70" zoomScaleNormal="70" zoomScaleSheetLayoutView="70" workbookViewId="0">
      <selection sqref="A1:AG3"/>
    </sheetView>
  </sheetViews>
  <sheetFormatPr defaultRowHeight="16.5"/>
  <cols>
    <col min="1" max="1" width="6.375" style="84" bestFit="1" customWidth="1"/>
    <col min="2" max="2" width="9.25" style="84" customWidth="1"/>
    <col min="3" max="3" width="18.125" style="84" customWidth="1"/>
    <col min="4" max="4" width="11.25" style="84" customWidth="1"/>
    <col min="5" max="5" width="18.125" style="84" customWidth="1"/>
    <col min="6" max="6" width="11.125" style="84" customWidth="1"/>
    <col min="7" max="7" width="9.375" style="85" customWidth="1"/>
    <col min="8" max="8" width="21.625" style="85" customWidth="1"/>
    <col min="9" max="39" width="7.625" style="84" customWidth="1"/>
    <col min="40" max="40" width="11.875" style="84" customWidth="1"/>
    <col min="41" max="41" width="15.875" style="120" bestFit="1" customWidth="1"/>
    <col min="42" max="42" width="18.25" style="122" bestFit="1" customWidth="1"/>
  </cols>
  <sheetData>
    <row r="1" spans="1:42" ht="32.1" customHeight="1">
      <c r="A1" s="278" t="s">
        <v>329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80"/>
      <c r="AH1" s="269" t="s">
        <v>219</v>
      </c>
      <c r="AI1" s="270"/>
      <c r="AJ1" s="270"/>
      <c r="AK1" s="270"/>
      <c r="AL1" s="271"/>
      <c r="AM1" s="266" t="str">
        <f>'용역청구서 표지'!$B$7</f>
        <v>P4 Ph2 GAS&amp;PWC 1공구 배관공사 (FAB)</v>
      </c>
      <c r="AN1" s="267"/>
      <c r="AO1" s="267"/>
      <c r="AP1" s="268"/>
    </row>
    <row r="2" spans="1:42" ht="32.1" customHeight="1">
      <c r="A2" s="281"/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282"/>
      <c r="X2" s="282"/>
      <c r="Y2" s="282"/>
      <c r="Z2" s="282"/>
      <c r="AA2" s="282"/>
      <c r="AB2" s="282"/>
      <c r="AC2" s="282"/>
      <c r="AD2" s="282"/>
      <c r="AE2" s="282"/>
      <c r="AF2" s="282"/>
      <c r="AG2" s="283"/>
      <c r="AH2" s="269" t="s">
        <v>220</v>
      </c>
      <c r="AI2" s="270"/>
      <c r="AJ2" s="270"/>
      <c r="AK2" s="270"/>
      <c r="AL2" s="271"/>
      <c r="AM2" s="266" t="s">
        <v>367</v>
      </c>
      <c r="AN2" s="267"/>
      <c r="AO2" s="267"/>
      <c r="AP2" s="268"/>
    </row>
    <row r="3" spans="1:42" ht="32.1" customHeight="1">
      <c r="A3" s="284"/>
      <c r="B3" s="285"/>
      <c r="C3" s="285"/>
      <c r="D3" s="285"/>
      <c r="E3" s="285"/>
      <c r="F3" s="285"/>
      <c r="G3" s="285"/>
      <c r="H3" s="285"/>
      <c r="I3" s="285"/>
      <c r="J3" s="285"/>
      <c r="K3" s="285"/>
      <c r="L3" s="285"/>
      <c r="M3" s="285"/>
      <c r="N3" s="285"/>
      <c r="O3" s="285"/>
      <c r="P3" s="285"/>
      <c r="Q3" s="285"/>
      <c r="R3" s="285"/>
      <c r="S3" s="285"/>
      <c r="T3" s="285"/>
      <c r="U3" s="285"/>
      <c r="V3" s="285"/>
      <c r="W3" s="285"/>
      <c r="X3" s="285"/>
      <c r="Y3" s="285"/>
      <c r="Z3" s="285"/>
      <c r="AA3" s="285"/>
      <c r="AB3" s="285"/>
      <c r="AC3" s="285"/>
      <c r="AD3" s="285"/>
      <c r="AE3" s="285"/>
      <c r="AF3" s="285"/>
      <c r="AG3" s="286"/>
      <c r="AH3" s="269" t="s">
        <v>221</v>
      </c>
      <c r="AI3" s="270"/>
      <c r="AJ3" s="270"/>
      <c r="AK3" s="270"/>
      <c r="AL3" s="271"/>
      <c r="AM3" s="266" t="str">
        <f>'용역청구서 표지'!$C$8</f>
        <v>S26-001</v>
      </c>
      <c r="AN3" s="267"/>
      <c r="AO3" s="267"/>
      <c r="AP3" s="268"/>
    </row>
    <row r="4" spans="1:42" ht="24.95" customHeight="1" thickBot="1">
      <c r="AH4" s="86"/>
      <c r="AI4" s="86"/>
      <c r="AJ4" s="86"/>
      <c r="AK4" s="86"/>
      <c r="AL4" s="86"/>
      <c r="AM4" s="86"/>
      <c r="AN4" s="86"/>
      <c r="AO4" s="87"/>
      <c r="AP4" s="88"/>
    </row>
    <row r="5" spans="1:42" ht="24.95" customHeight="1" thickBot="1">
      <c r="A5" s="89" t="s">
        <v>222</v>
      </c>
      <c r="B5" s="90" t="s">
        <v>223</v>
      </c>
      <c r="C5" s="90" t="s">
        <v>224</v>
      </c>
      <c r="D5" s="90" t="s">
        <v>225</v>
      </c>
      <c r="E5" s="90" t="s">
        <v>226</v>
      </c>
      <c r="F5" s="90" t="s">
        <v>227</v>
      </c>
      <c r="G5" s="91" t="s">
        <v>228</v>
      </c>
      <c r="H5" s="92" t="s">
        <v>229</v>
      </c>
      <c r="I5" s="141">
        <v>1</v>
      </c>
      <c r="J5" s="141">
        <v>2</v>
      </c>
      <c r="K5" s="141">
        <v>3</v>
      </c>
      <c r="L5" s="141">
        <v>4</v>
      </c>
      <c r="M5" s="141">
        <v>5</v>
      </c>
      <c r="N5" s="141">
        <v>6</v>
      </c>
      <c r="O5" s="141">
        <v>7</v>
      </c>
      <c r="P5" s="141">
        <v>8</v>
      </c>
      <c r="Q5" s="141">
        <v>9</v>
      </c>
      <c r="R5" s="141">
        <v>10</v>
      </c>
      <c r="S5" s="141">
        <v>11</v>
      </c>
      <c r="T5" s="141">
        <v>12</v>
      </c>
      <c r="U5" s="141">
        <v>13</v>
      </c>
      <c r="V5" s="141">
        <v>14</v>
      </c>
      <c r="W5" s="141">
        <v>15</v>
      </c>
      <c r="X5" s="141">
        <v>16</v>
      </c>
      <c r="Y5" s="141">
        <v>17</v>
      </c>
      <c r="Z5" s="141">
        <v>18</v>
      </c>
      <c r="AA5" s="141">
        <v>19</v>
      </c>
      <c r="AB5" s="141">
        <v>20</v>
      </c>
      <c r="AC5" s="141">
        <v>21</v>
      </c>
      <c r="AD5" s="141">
        <v>22</v>
      </c>
      <c r="AE5" s="141">
        <v>23</v>
      </c>
      <c r="AF5" s="141">
        <v>24</v>
      </c>
      <c r="AG5" s="141">
        <v>25</v>
      </c>
      <c r="AH5" s="141">
        <v>26</v>
      </c>
      <c r="AI5" s="141">
        <v>27</v>
      </c>
      <c r="AJ5" s="141">
        <v>28</v>
      </c>
      <c r="AK5" s="141">
        <v>29</v>
      </c>
      <c r="AL5" s="141">
        <v>30</v>
      </c>
      <c r="AM5" s="141">
        <v>31</v>
      </c>
      <c r="AN5" s="93" t="s">
        <v>230</v>
      </c>
      <c r="AO5" s="90" t="s">
        <v>231</v>
      </c>
      <c r="AP5" s="94" t="s">
        <v>232</v>
      </c>
    </row>
    <row r="6" spans="1:42" ht="24.95" customHeight="1">
      <c r="A6" s="95">
        <v>1</v>
      </c>
      <c r="B6" s="96" t="s">
        <v>368</v>
      </c>
      <c r="C6" s="97" t="s">
        <v>369</v>
      </c>
      <c r="D6" s="22" t="s">
        <v>233</v>
      </c>
      <c r="E6" s="22" t="s">
        <v>370</v>
      </c>
      <c r="F6" s="98" t="s">
        <v>238</v>
      </c>
      <c r="G6" s="99" t="s">
        <v>368</v>
      </c>
      <c r="H6" s="100" t="s">
        <v>371</v>
      </c>
      <c r="I6" s="101"/>
      <c r="J6" s="101"/>
      <c r="K6" s="101">
        <v>0.4375</v>
      </c>
      <c r="L6" s="101">
        <v>0.375</v>
      </c>
      <c r="M6" s="101">
        <v>1</v>
      </c>
      <c r="N6" s="101">
        <v>1</v>
      </c>
      <c r="O6" s="101"/>
      <c r="P6" s="101"/>
      <c r="Q6" s="101">
        <v>1</v>
      </c>
      <c r="R6" s="101">
        <v>1</v>
      </c>
      <c r="S6" s="101">
        <v>1</v>
      </c>
      <c r="T6" s="101"/>
      <c r="U6" s="101"/>
      <c r="V6" s="101">
        <v>1</v>
      </c>
      <c r="W6" s="101"/>
      <c r="X6" s="101">
        <v>1</v>
      </c>
      <c r="Y6" s="101">
        <v>1</v>
      </c>
      <c r="Z6" s="101">
        <v>1</v>
      </c>
      <c r="AA6" s="101">
        <v>1.5</v>
      </c>
      <c r="AB6" s="101">
        <v>1</v>
      </c>
      <c r="AC6" s="101">
        <v>1</v>
      </c>
      <c r="AD6" s="101"/>
      <c r="AE6" s="101">
        <v>1</v>
      </c>
      <c r="AF6" s="101">
        <v>1</v>
      </c>
      <c r="AG6" s="101">
        <v>1</v>
      </c>
      <c r="AH6" s="101">
        <v>1</v>
      </c>
      <c r="AI6" s="101">
        <v>1</v>
      </c>
      <c r="AJ6" s="101"/>
      <c r="AK6" s="101"/>
      <c r="AL6" s="101">
        <v>0.5</v>
      </c>
      <c r="AM6" s="101"/>
      <c r="AN6" s="102">
        <f>SUM(I6:AM6)</f>
        <v>18.8125</v>
      </c>
      <c r="AO6" s="98">
        <v>160000</v>
      </c>
      <c r="AP6" s="103">
        <f>AN6*AO6</f>
        <v>3010000</v>
      </c>
    </row>
    <row r="7" spans="1:42" ht="24.95" customHeight="1">
      <c r="A7" s="95">
        <v>2</v>
      </c>
      <c r="B7" s="96" t="s">
        <v>372</v>
      </c>
      <c r="C7" s="97" t="s">
        <v>373</v>
      </c>
      <c r="D7" s="22" t="s">
        <v>374</v>
      </c>
      <c r="E7" s="140" t="s">
        <v>375</v>
      </c>
      <c r="F7" s="106" t="s">
        <v>238</v>
      </c>
      <c r="G7" s="99" t="s">
        <v>372</v>
      </c>
      <c r="H7" s="100" t="s">
        <v>376</v>
      </c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>
        <v>0.4375</v>
      </c>
      <c r="AF7" s="101">
        <v>0.25</v>
      </c>
      <c r="AG7" s="101">
        <v>1</v>
      </c>
      <c r="AH7" s="101">
        <v>1</v>
      </c>
      <c r="AI7" s="101">
        <v>1</v>
      </c>
      <c r="AJ7" s="101"/>
      <c r="AK7" s="101"/>
      <c r="AL7" s="101">
        <v>1</v>
      </c>
      <c r="AM7" s="101">
        <v>1.5</v>
      </c>
      <c r="AN7" s="102">
        <f t="shared" ref="AN7:AN15" si="0">SUM(I7:AM7)</f>
        <v>6.1875</v>
      </c>
      <c r="AO7" s="98">
        <v>210000</v>
      </c>
      <c r="AP7" s="103">
        <f t="shared" ref="AP7:AP15" si="1">AN7*AO7</f>
        <v>1299375</v>
      </c>
    </row>
    <row r="8" spans="1:42" ht="24.95" customHeight="1">
      <c r="A8" s="95">
        <v>3</v>
      </c>
      <c r="B8" s="96" t="s">
        <v>377</v>
      </c>
      <c r="C8" s="97" t="s">
        <v>378</v>
      </c>
      <c r="D8" s="22" t="s">
        <v>233</v>
      </c>
      <c r="E8" s="22" t="s">
        <v>379</v>
      </c>
      <c r="F8" s="106" t="s">
        <v>237</v>
      </c>
      <c r="G8" s="99" t="s">
        <v>377</v>
      </c>
      <c r="H8" s="100" t="s">
        <v>380</v>
      </c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>
        <v>0.4375</v>
      </c>
      <c r="AF8" s="101"/>
      <c r="AG8" s="101">
        <v>1</v>
      </c>
      <c r="AH8" s="101">
        <v>1</v>
      </c>
      <c r="AI8" s="101">
        <v>1</v>
      </c>
      <c r="AJ8" s="101"/>
      <c r="AK8" s="101"/>
      <c r="AL8" s="101">
        <v>1</v>
      </c>
      <c r="AM8" s="101">
        <v>1.5</v>
      </c>
      <c r="AN8" s="102">
        <f t="shared" si="0"/>
        <v>5.9375</v>
      </c>
      <c r="AO8" s="98">
        <v>160000</v>
      </c>
      <c r="AP8" s="103">
        <f t="shared" si="1"/>
        <v>950000</v>
      </c>
    </row>
    <row r="9" spans="1:42" ht="24.95" customHeight="1">
      <c r="A9" s="95">
        <v>4</v>
      </c>
      <c r="B9" s="96" t="s">
        <v>381</v>
      </c>
      <c r="C9" s="97" t="s">
        <v>382</v>
      </c>
      <c r="D9" s="22" t="s">
        <v>236</v>
      </c>
      <c r="E9" s="140" t="s">
        <v>383</v>
      </c>
      <c r="F9" s="106" t="s">
        <v>237</v>
      </c>
      <c r="G9" s="99" t="s">
        <v>381</v>
      </c>
      <c r="H9" s="100" t="s">
        <v>384</v>
      </c>
      <c r="I9" s="101"/>
      <c r="J9" s="101"/>
      <c r="K9" s="101">
        <v>0.9375</v>
      </c>
      <c r="L9" s="101">
        <v>0.375</v>
      </c>
      <c r="M9" s="101">
        <v>1</v>
      </c>
      <c r="N9" s="101">
        <v>1</v>
      </c>
      <c r="O9" s="101"/>
      <c r="P9" s="101"/>
      <c r="Q9" s="101">
        <v>1</v>
      </c>
      <c r="R9" s="101">
        <v>1</v>
      </c>
      <c r="S9" s="101">
        <v>1</v>
      </c>
      <c r="T9" s="101">
        <v>1</v>
      </c>
      <c r="U9" s="101">
        <v>1</v>
      </c>
      <c r="V9" s="101">
        <v>1</v>
      </c>
      <c r="W9" s="101"/>
      <c r="X9" s="101">
        <v>1</v>
      </c>
      <c r="Y9" s="101">
        <v>1</v>
      </c>
      <c r="Z9" s="101">
        <v>1</v>
      </c>
      <c r="AA9" s="101">
        <v>1.5</v>
      </c>
      <c r="AB9" s="101">
        <v>1</v>
      </c>
      <c r="AC9" s="101">
        <v>1</v>
      </c>
      <c r="AD9" s="101"/>
      <c r="AE9" s="101">
        <v>1</v>
      </c>
      <c r="AF9" s="101">
        <v>1.5</v>
      </c>
      <c r="AG9" s="101">
        <v>1</v>
      </c>
      <c r="AH9" s="101">
        <v>0.75</v>
      </c>
      <c r="AI9" s="101"/>
      <c r="AJ9" s="101"/>
      <c r="AK9" s="101"/>
      <c r="AL9" s="101">
        <v>1</v>
      </c>
      <c r="AM9" s="101">
        <v>1.5</v>
      </c>
      <c r="AN9" s="102">
        <f t="shared" si="0"/>
        <v>22.5625</v>
      </c>
      <c r="AO9" s="98">
        <v>210000</v>
      </c>
      <c r="AP9" s="103">
        <f t="shared" si="1"/>
        <v>4738125</v>
      </c>
    </row>
    <row r="10" spans="1:42" ht="24.95" customHeight="1">
      <c r="A10" s="95">
        <v>5</v>
      </c>
      <c r="B10" s="96" t="s">
        <v>385</v>
      </c>
      <c r="C10" s="97" t="s">
        <v>386</v>
      </c>
      <c r="D10" s="22" t="s">
        <v>236</v>
      </c>
      <c r="E10" s="140" t="s">
        <v>387</v>
      </c>
      <c r="F10" s="106" t="s">
        <v>307</v>
      </c>
      <c r="G10" s="99" t="s">
        <v>385</v>
      </c>
      <c r="H10" s="100" t="s">
        <v>388</v>
      </c>
      <c r="I10" s="101"/>
      <c r="J10" s="101"/>
      <c r="K10" s="101"/>
      <c r="L10" s="101"/>
      <c r="M10" s="101"/>
      <c r="N10" s="101"/>
      <c r="O10" s="101"/>
      <c r="P10" s="101"/>
      <c r="Q10" s="101">
        <v>0.9375</v>
      </c>
      <c r="R10" s="101"/>
      <c r="S10" s="101">
        <v>1</v>
      </c>
      <c r="T10" s="101">
        <v>1</v>
      </c>
      <c r="U10" s="101">
        <v>1</v>
      </c>
      <c r="V10" s="101"/>
      <c r="W10" s="101"/>
      <c r="X10" s="101">
        <v>0.5</v>
      </c>
      <c r="Y10" s="101">
        <v>1</v>
      </c>
      <c r="Z10" s="101">
        <v>1</v>
      </c>
      <c r="AA10" s="101">
        <v>1.5</v>
      </c>
      <c r="AB10" s="101">
        <v>1</v>
      </c>
      <c r="AC10" s="101">
        <v>1</v>
      </c>
      <c r="AD10" s="101"/>
      <c r="AE10" s="101">
        <v>1</v>
      </c>
      <c r="AF10" s="101">
        <v>1.5</v>
      </c>
      <c r="AG10" s="101">
        <v>1</v>
      </c>
      <c r="AH10" s="101">
        <v>1.5</v>
      </c>
      <c r="AI10" s="101">
        <v>1</v>
      </c>
      <c r="AJ10" s="101">
        <v>1</v>
      </c>
      <c r="AK10" s="101"/>
      <c r="AL10" s="101">
        <v>1</v>
      </c>
      <c r="AM10" s="101">
        <v>1.5</v>
      </c>
      <c r="AN10" s="102">
        <f t="shared" si="0"/>
        <v>19.4375</v>
      </c>
      <c r="AO10" s="98">
        <v>240000</v>
      </c>
      <c r="AP10" s="103">
        <f t="shared" si="1"/>
        <v>4665000</v>
      </c>
    </row>
    <row r="11" spans="1:42" ht="24.95" customHeight="1">
      <c r="A11" s="95">
        <v>6</v>
      </c>
      <c r="B11" s="96" t="s">
        <v>389</v>
      </c>
      <c r="C11" s="97" t="s">
        <v>390</v>
      </c>
      <c r="D11" s="22" t="s">
        <v>233</v>
      </c>
      <c r="E11" s="140" t="s">
        <v>391</v>
      </c>
      <c r="F11" s="106" t="s">
        <v>392</v>
      </c>
      <c r="G11" s="99" t="s">
        <v>389</v>
      </c>
      <c r="H11" s="100" t="s">
        <v>393</v>
      </c>
      <c r="I11" s="101"/>
      <c r="J11" s="101"/>
      <c r="K11" s="101"/>
      <c r="L11" s="101"/>
      <c r="M11" s="101"/>
      <c r="N11" s="101"/>
      <c r="O11" s="101"/>
      <c r="P11" s="101"/>
      <c r="Q11" s="101">
        <v>0.4375</v>
      </c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>
        <v>1</v>
      </c>
      <c r="AH11" s="101">
        <v>1</v>
      </c>
      <c r="AI11" s="101">
        <v>1</v>
      </c>
      <c r="AJ11" s="101"/>
      <c r="AK11" s="101"/>
      <c r="AL11" s="101">
        <v>1</v>
      </c>
      <c r="AM11" s="101">
        <v>1.5</v>
      </c>
      <c r="AN11" s="102">
        <f t="shared" si="0"/>
        <v>5.9375</v>
      </c>
      <c r="AO11" s="98">
        <v>160000</v>
      </c>
      <c r="AP11" s="103">
        <f t="shared" si="1"/>
        <v>950000</v>
      </c>
    </row>
    <row r="12" spans="1:42" ht="24.95" customHeight="1">
      <c r="A12" s="95">
        <v>7</v>
      </c>
      <c r="B12" s="96" t="s">
        <v>394</v>
      </c>
      <c r="C12" s="97" t="s">
        <v>395</v>
      </c>
      <c r="D12" s="22" t="s">
        <v>235</v>
      </c>
      <c r="E12" s="140" t="s">
        <v>396</v>
      </c>
      <c r="F12" s="106" t="s">
        <v>307</v>
      </c>
      <c r="G12" s="99" t="s">
        <v>394</v>
      </c>
      <c r="H12" s="100" t="s">
        <v>396</v>
      </c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>
        <v>0.9375</v>
      </c>
      <c r="Y12" s="101">
        <v>0.5</v>
      </c>
      <c r="Z12" s="101">
        <v>1</v>
      </c>
      <c r="AA12" s="101">
        <v>1</v>
      </c>
      <c r="AB12" s="101">
        <v>1</v>
      </c>
      <c r="AC12" s="101"/>
      <c r="AD12" s="101"/>
      <c r="AE12" s="101">
        <v>1</v>
      </c>
      <c r="AF12" s="101"/>
      <c r="AG12" s="101">
        <v>1</v>
      </c>
      <c r="AH12" s="101">
        <v>1.5</v>
      </c>
      <c r="AI12" s="101">
        <v>1</v>
      </c>
      <c r="AJ12" s="101">
        <v>1</v>
      </c>
      <c r="AK12" s="101"/>
      <c r="AL12" s="101">
        <v>1</v>
      </c>
      <c r="AM12" s="101">
        <v>1.5</v>
      </c>
      <c r="AN12" s="102">
        <f t="shared" si="0"/>
        <v>12.4375</v>
      </c>
      <c r="AO12" s="98">
        <v>240000</v>
      </c>
      <c r="AP12" s="103">
        <f t="shared" si="1"/>
        <v>2985000</v>
      </c>
    </row>
    <row r="13" spans="1:42" ht="24.95" customHeight="1">
      <c r="A13" s="95">
        <v>8</v>
      </c>
      <c r="B13" s="96" t="s">
        <v>397</v>
      </c>
      <c r="C13" s="97" t="s">
        <v>398</v>
      </c>
      <c r="D13" s="22" t="s">
        <v>321</v>
      </c>
      <c r="E13" s="140" t="s">
        <v>399</v>
      </c>
      <c r="F13" s="106" t="s">
        <v>307</v>
      </c>
      <c r="G13" s="99" t="s">
        <v>397</v>
      </c>
      <c r="H13" s="100" t="s">
        <v>400</v>
      </c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>
        <v>0.5</v>
      </c>
      <c r="AG13" s="101">
        <v>1</v>
      </c>
      <c r="AH13" s="101">
        <v>1.5</v>
      </c>
      <c r="AI13" s="101">
        <v>1</v>
      </c>
      <c r="AJ13" s="101">
        <v>1</v>
      </c>
      <c r="AK13" s="101"/>
      <c r="AL13" s="101">
        <v>1</v>
      </c>
      <c r="AM13" s="101">
        <v>1.5</v>
      </c>
      <c r="AN13" s="102">
        <f t="shared" si="0"/>
        <v>7.5</v>
      </c>
      <c r="AO13" s="98">
        <v>240000</v>
      </c>
      <c r="AP13" s="103">
        <f t="shared" si="1"/>
        <v>1800000</v>
      </c>
    </row>
    <row r="14" spans="1:42" ht="24.95" customHeight="1">
      <c r="A14" s="95">
        <v>9</v>
      </c>
      <c r="B14" s="96" t="s">
        <v>401</v>
      </c>
      <c r="C14" s="97" t="s">
        <v>402</v>
      </c>
      <c r="D14" s="22" t="s">
        <v>236</v>
      </c>
      <c r="E14" s="140" t="s">
        <v>403</v>
      </c>
      <c r="F14" s="106" t="s">
        <v>234</v>
      </c>
      <c r="G14" s="99" t="s">
        <v>401</v>
      </c>
      <c r="H14" s="100" t="s">
        <v>404</v>
      </c>
      <c r="I14" s="101"/>
      <c r="J14" s="101"/>
      <c r="K14" s="101"/>
      <c r="L14" s="101"/>
      <c r="M14" s="101"/>
      <c r="N14" s="101"/>
      <c r="O14" s="101"/>
      <c r="P14" s="101"/>
      <c r="Q14" s="101">
        <v>0.9375</v>
      </c>
      <c r="R14" s="101"/>
      <c r="S14" s="101">
        <v>1</v>
      </c>
      <c r="T14" s="101">
        <v>1</v>
      </c>
      <c r="U14" s="101">
        <v>1</v>
      </c>
      <c r="V14" s="101"/>
      <c r="W14" s="101"/>
      <c r="X14" s="101">
        <v>1</v>
      </c>
      <c r="Y14" s="101">
        <v>1</v>
      </c>
      <c r="Z14" s="101">
        <v>1</v>
      </c>
      <c r="AA14" s="101">
        <v>1.5</v>
      </c>
      <c r="AB14" s="101">
        <v>1</v>
      </c>
      <c r="AC14" s="101">
        <v>1</v>
      </c>
      <c r="AD14" s="101"/>
      <c r="AE14" s="101">
        <v>1</v>
      </c>
      <c r="AF14" s="101">
        <v>1.5</v>
      </c>
      <c r="AG14" s="101">
        <v>1</v>
      </c>
      <c r="AH14" s="101">
        <v>1.5</v>
      </c>
      <c r="AI14" s="101">
        <v>1</v>
      </c>
      <c r="AJ14" s="101"/>
      <c r="AK14" s="101"/>
      <c r="AL14" s="101">
        <v>1</v>
      </c>
      <c r="AM14" s="101">
        <v>1.5</v>
      </c>
      <c r="AN14" s="102">
        <f t="shared" si="0"/>
        <v>18.9375</v>
      </c>
      <c r="AO14" s="98">
        <v>240000</v>
      </c>
      <c r="AP14" s="103">
        <f t="shared" si="1"/>
        <v>4545000</v>
      </c>
    </row>
    <row r="15" spans="1:42" ht="24.95" customHeight="1">
      <c r="A15" s="95">
        <v>10</v>
      </c>
      <c r="B15" s="96" t="s">
        <v>405</v>
      </c>
      <c r="C15" s="97" t="s">
        <v>406</v>
      </c>
      <c r="D15" s="144" t="s">
        <v>374</v>
      </c>
      <c r="E15" s="22" t="s">
        <v>407</v>
      </c>
      <c r="F15" s="108" t="s">
        <v>237</v>
      </c>
      <c r="G15" s="99" t="s">
        <v>405</v>
      </c>
      <c r="H15" s="100" t="s">
        <v>408</v>
      </c>
      <c r="I15" s="101"/>
      <c r="J15" s="101"/>
      <c r="K15" s="101"/>
      <c r="L15" s="101"/>
      <c r="M15" s="101"/>
      <c r="N15" s="101"/>
      <c r="O15" s="101"/>
      <c r="P15" s="101"/>
      <c r="Q15" s="101">
        <v>0.4375</v>
      </c>
      <c r="R15" s="101"/>
      <c r="S15" s="101">
        <v>1</v>
      </c>
      <c r="T15" s="101">
        <v>1</v>
      </c>
      <c r="U15" s="101">
        <v>1</v>
      </c>
      <c r="V15" s="101"/>
      <c r="W15" s="101"/>
      <c r="X15" s="101">
        <v>1</v>
      </c>
      <c r="Y15" s="101">
        <v>1</v>
      </c>
      <c r="Z15" s="101">
        <v>1</v>
      </c>
      <c r="AA15" s="101">
        <v>1.5</v>
      </c>
      <c r="AB15" s="101">
        <v>1</v>
      </c>
      <c r="AC15" s="101">
        <v>1</v>
      </c>
      <c r="AD15" s="101"/>
      <c r="AE15" s="101">
        <v>1</v>
      </c>
      <c r="AF15" s="101">
        <v>1.5</v>
      </c>
      <c r="AG15" s="101">
        <v>1</v>
      </c>
      <c r="AH15" s="101">
        <v>1.5</v>
      </c>
      <c r="AI15" s="101">
        <v>1</v>
      </c>
      <c r="AJ15" s="101"/>
      <c r="AK15" s="101"/>
      <c r="AL15" s="101">
        <v>1</v>
      </c>
      <c r="AM15" s="101">
        <v>1.5</v>
      </c>
      <c r="AN15" s="102">
        <f t="shared" si="0"/>
        <v>18.4375</v>
      </c>
      <c r="AO15" s="98">
        <v>180000</v>
      </c>
      <c r="AP15" s="103">
        <f t="shared" si="1"/>
        <v>3318750</v>
      </c>
    </row>
    <row r="16" spans="1:42" ht="24.95" customHeight="1">
      <c r="A16" s="95">
        <v>11</v>
      </c>
      <c r="B16" s="96" t="s">
        <v>409</v>
      </c>
      <c r="C16" s="97" t="s">
        <v>410</v>
      </c>
      <c r="D16" s="22" t="s">
        <v>236</v>
      </c>
      <c r="E16" s="22" t="s">
        <v>411</v>
      </c>
      <c r="F16" s="106" t="s">
        <v>412</v>
      </c>
      <c r="G16" s="99" t="s">
        <v>409</v>
      </c>
      <c r="H16" s="100" t="s">
        <v>413</v>
      </c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>
        <v>0.9375</v>
      </c>
      <c r="Y16" s="101">
        <v>1</v>
      </c>
      <c r="Z16" s="101">
        <v>1</v>
      </c>
      <c r="AA16" s="101">
        <v>1</v>
      </c>
      <c r="AB16" s="101">
        <v>1</v>
      </c>
      <c r="AC16" s="101"/>
      <c r="AD16" s="101"/>
      <c r="AE16" s="101">
        <v>1</v>
      </c>
      <c r="AF16" s="101">
        <v>1.5</v>
      </c>
      <c r="AG16" s="101">
        <v>1</v>
      </c>
      <c r="AH16" s="101">
        <v>1.5</v>
      </c>
      <c r="AI16" s="101">
        <v>1</v>
      </c>
      <c r="AJ16" s="101">
        <v>1</v>
      </c>
      <c r="AK16" s="101"/>
      <c r="AL16" s="101">
        <v>1</v>
      </c>
      <c r="AM16" s="101">
        <v>1.5</v>
      </c>
      <c r="AN16" s="102">
        <f t="shared" ref="AN16:AN23" si="2">SUM(I16:AM16)</f>
        <v>14.4375</v>
      </c>
      <c r="AO16" s="98">
        <v>190000</v>
      </c>
      <c r="AP16" s="103">
        <f t="shared" ref="AP16:AP23" si="3">AN16*AO16</f>
        <v>2743125</v>
      </c>
    </row>
    <row r="17" spans="1:42" ht="24.95" customHeight="1">
      <c r="A17" s="95">
        <v>12</v>
      </c>
      <c r="B17" s="96" t="s">
        <v>414</v>
      </c>
      <c r="C17" s="97" t="s">
        <v>415</v>
      </c>
      <c r="D17" s="22" t="s">
        <v>233</v>
      </c>
      <c r="E17" s="140" t="s">
        <v>416</v>
      </c>
      <c r="F17" s="108" t="s">
        <v>417</v>
      </c>
      <c r="G17" s="99" t="s">
        <v>414</v>
      </c>
      <c r="H17" s="100" t="s">
        <v>418</v>
      </c>
      <c r="I17" s="101"/>
      <c r="J17" s="101"/>
      <c r="K17" s="101"/>
      <c r="L17" s="101"/>
      <c r="M17" s="101"/>
      <c r="N17" s="101"/>
      <c r="O17" s="101"/>
      <c r="P17" s="101"/>
      <c r="Q17" s="101">
        <v>0.4375</v>
      </c>
      <c r="R17" s="101"/>
      <c r="S17" s="101">
        <v>1</v>
      </c>
      <c r="T17" s="101">
        <v>1</v>
      </c>
      <c r="U17" s="101">
        <v>1</v>
      </c>
      <c r="V17" s="101"/>
      <c r="W17" s="101"/>
      <c r="X17" s="101">
        <v>1</v>
      </c>
      <c r="Y17" s="101">
        <v>1</v>
      </c>
      <c r="Z17" s="101">
        <v>1</v>
      </c>
      <c r="AA17" s="101">
        <v>1.5</v>
      </c>
      <c r="AB17" s="101">
        <v>1</v>
      </c>
      <c r="AC17" s="101">
        <v>1</v>
      </c>
      <c r="AD17" s="101"/>
      <c r="AE17" s="101">
        <v>1</v>
      </c>
      <c r="AF17" s="101">
        <v>1.5</v>
      </c>
      <c r="AG17" s="101">
        <v>1</v>
      </c>
      <c r="AH17" s="101">
        <v>1.5</v>
      </c>
      <c r="AI17" s="101">
        <v>1</v>
      </c>
      <c r="AJ17" s="101">
        <v>1</v>
      </c>
      <c r="AK17" s="101"/>
      <c r="AL17" s="101">
        <v>1</v>
      </c>
      <c r="AM17" s="101">
        <v>1.5</v>
      </c>
      <c r="AN17" s="102">
        <f t="shared" si="2"/>
        <v>19.4375</v>
      </c>
      <c r="AO17" s="98">
        <v>160000</v>
      </c>
      <c r="AP17" s="103">
        <f t="shared" si="3"/>
        <v>3110000</v>
      </c>
    </row>
    <row r="18" spans="1:42" ht="24.95" customHeight="1">
      <c r="A18" s="95">
        <v>13</v>
      </c>
      <c r="B18" s="96" t="s">
        <v>319</v>
      </c>
      <c r="C18" s="97" t="s">
        <v>320</v>
      </c>
      <c r="D18" s="144" t="s">
        <v>322</v>
      </c>
      <c r="E18" s="140" t="s">
        <v>324</v>
      </c>
      <c r="F18" s="106" t="s">
        <v>316</v>
      </c>
      <c r="G18" s="99" t="s">
        <v>319</v>
      </c>
      <c r="H18" s="100" t="s">
        <v>323</v>
      </c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>
        <v>1</v>
      </c>
      <c r="AH18" s="101">
        <v>1.5</v>
      </c>
      <c r="AI18" s="101">
        <v>1</v>
      </c>
      <c r="AJ18" s="101">
        <v>1</v>
      </c>
      <c r="AK18" s="101"/>
      <c r="AL18" s="101">
        <v>1</v>
      </c>
      <c r="AM18" s="101">
        <v>1.5</v>
      </c>
      <c r="AN18" s="102">
        <f t="shared" si="2"/>
        <v>7</v>
      </c>
      <c r="AO18" s="98">
        <v>190000</v>
      </c>
      <c r="AP18" s="103">
        <f t="shared" si="3"/>
        <v>1330000</v>
      </c>
    </row>
    <row r="19" spans="1:42" ht="24.95" customHeight="1">
      <c r="A19" s="95">
        <v>14</v>
      </c>
      <c r="B19" s="96" t="s">
        <v>419</v>
      </c>
      <c r="C19" s="97" t="s">
        <v>420</v>
      </c>
      <c r="D19" s="22" t="s">
        <v>233</v>
      </c>
      <c r="E19" s="22" t="s">
        <v>421</v>
      </c>
      <c r="F19" s="106" t="s">
        <v>412</v>
      </c>
      <c r="G19" s="99" t="s">
        <v>419</v>
      </c>
      <c r="H19" s="100" t="s">
        <v>422</v>
      </c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>
        <v>0.4375</v>
      </c>
      <c r="AF19" s="101"/>
      <c r="AG19" s="101">
        <v>1</v>
      </c>
      <c r="AH19" s="101">
        <v>1.5</v>
      </c>
      <c r="AI19" s="101">
        <v>1</v>
      </c>
      <c r="AJ19" s="101"/>
      <c r="AK19" s="101"/>
      <c r="AL19" s="101">
        <v>1</v>
      </c>
      <c r="AM19" s="101">
        <v>1.5</v>
      </c>
      <c r="AN19" s="102">
        <f t="shared" si="2"/>
        <v>6.4375</v>
      </c>
      <c r="AO19" s="98">
        <v>230000</v>
      </c>
      <c r="AP19" s="103">
        <f t="shared" si="3"/>
        <v>1480625</v>
      </c>
    </row>
    <row r="20" spans="1:42" ht="24.95" customHeight="1">
      <c r="A20" s="95">
        <v>15</v>
      </c>
      <c r="B20" s="96" t="s">
        <v>423</v>
      </c>
      <c r="C20" s="97" t="s">
        <v>424</v>
      </c>
      <c r="D20" s="22" t="s">
        <v>321</v>
      </c>
      <c r="E20" s="22" t="s">
        <v>425</v>
      </c>
      <c r="F20" s="106" t="s">
        <v>307</v>
      </c>
      <c r="G20" s="99" t="s">
        <v>423</v>
      </c>
      <c r="H20" s="100" t="s">
        <v>426</v>
      </c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>
        <v>1</v>
      </c>
      <c r="T20" s="101">
        <v>1</v>
      </c>
      <c r="U20" s="101">
        <v>1</v>
      </c>
      <c r="V20" s="101">
        <v>1</v>
      </c>
      <c r="W20" s="101"/>
      <c r="X20" s="101">
        <v>1</v>
      </c>
      <c r="Y20" s="101">
        <v>1</v>
      </c>
      <c r="Z20" s="101">
        <v>1</v>
      </c>
      <c r="AA20" s="101">
        <v>1.5</v>
      </c>
      <c r="AB20" s="101">
        <v>1</v>
      </c>
      <c r="AC20" s="101">
        <v>1</v>
      </c>
      <c r="AD20" s="101"/>
      <c r="AE20" s="101">
        <v>1</v>
      </c>
      <c r="AF20" s="101">
        <v>1.5</v>
      </c>
      <c r="AG20" s="101">
        <v>1</v>
      </c>
      <c r="AH20" s="101">
        <v>1.5</v>
      </c>
      <c r="AI20" s="101">
        <v>1</v>
      </c>
      <c r="AJ20" s="101"/>
      <c r="AK20" s="101"/>
      <c r="AL20" s="101">
        <v>1</v>
      </c>
      <c r="AM20" s="101">
        <v>1.5</v>
      </c>
      <c r="AN20" s="102">
        <f t="shared" si="2"/>
        <v>19</v>
      </c>
      <c r="AO20" s="98">
        <v>220000</v>
      </c>
      <c r="AP20" s="103">
        <f t="shared" si="3"/>
        <v>4180000</v>
      </c>
    </row>
    <row r="21" spans="1:42" ht="24.95" customHeight="1">
      <c r="A21" s="95">
        <v>16</v>
      </c>
      <c r="B21" s="96" t="s">
        <v>427</v>
      </c>
      <c r="C21" s="97" t="s">
        <v>428</v>
      </c>
      <c r="D21" s="22" t="s">
        <v>321</v>
      </c>
      <c r="E21" s="22" t="s">
        <v>429</v>
      </c>
      <c r="F21" s="106" t="s">
        <v>237</v>
      </c>
      <c r="G21" s="99" t="s">
        <v>427</v>
      </c>
      <c r="H21" s="100" t="s">
        <v>430</v>
      </c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>
        <v>1</v>
      </c>
      <c r="AH21" s="101">
        <v>1.5</v>
      </c>
      <c r="AI21" s="101">
        <v>1</v>
      </c>
      <c r="AJ21" s="101">
        <v>1</v>
      </c>
      <c r="AK21" s="101"/>
      <c r="AL21" s="101">
        <v>1</v>
      </c>
      <c r="AM21" s="101">
        <v>1.5</v>
      </c>
      <c r="AN21" s="102">
        <f t="shared" si="2"/>
        <v>7</v>
      </c>
      <c r="AO21" s="98">
        <v>250000</v>
      </c>
      <c r="AP21" s="103">
        <f t="shared" si="3"/>
        <v>1750000</v>
      </c>
    </row>
    <row r="22" spans="1:42" ht="24.95" customHeight="1">
      <c r="A22" s="95">
        <v>17</v>
      </c>
      <c r="B22" s="96" t="s">
        <v>431</v>
      </c>
      <c r="C22" s="97" t="s">
        <v>432</v>
      </c>
      <c r="D22" s="22" t="s">
        <v>233</v>
      </c>
      <c r="E22" s="22" t="s">
        <v>433</v>
      </c>
      <c r="F22" s="106" t="s">
        <v>234</v>
      </c>
      <c r="G22" s="99" t="s">
        <v>431</v>
      </c>
      <c r="H22" s="100" t="s">
        <v>434</v>
      </c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>
        <v>0.4375</v>
      </c>
      <c r="Y22" s="101"/>
      <c r="Z22" s="101">
        <v>1</v>
      </c>
      <c r="AA22" s="101">
        <v>1</v>
      </c>
      <c r="AB22" s="101">
        <v>1</v>
      </c>
      <c r="AC22" s="101"/>
      <c r="AD22" s="101"/>
      <c r="AE22" s="101">
        <v>1</v>
      </c>
      <c r="AF22" s="101">
        <v>1.5</v>
      </c>
      <c r="AG22" s="101">
        <v>1</v>
      </c>
      <c r="AH22" s="101">
        <v>1.5</v>
      </c>
      <c r="AI22" s="101">
        <v>1</v>
      </c>
      <c r="AJ22" s="101">
        <v>1</v>
      </c>
      <c r="AK22" s="101"/>
      <c r="AL22" s="101">
        <v>1</v>
      </c>
      <c r="AM22" s="101">
        <v>1.5</v>
      </c>
      <c r="AN22" s="102">
        <f t="shared" si="2"/>
        <v>12.9375</v>
      </c>
      <c r="AO22" s="98">
        <v>170000</v>
      </c>
      <c r="AP22" s="103">
        <f t="shared" si="3"/>
        <v>2199375</v>
      </c>
    </row>
    <row r="23" spans="1:42" ht="24.95" customHeight="1">
      <c r="A23" s="95">
        <v>18</v>
      </c>
      <c r="B23" s="96" t="s">
        <v>435</v>
      </c>
      <c r="C23" s="97" t="s">
        <v>436</v>
      </c>
      <c r="D23" s="22" t="s">
        <v>233</v>
      </c>
      <c r="E23" s="22" t="s">
        <v>437</v>
      </c>
      <c r="F23" s="108" t="s">
        <v>307</v>
      </c>
      <c r="G23" s="99" t="s">
        <v>435</v>
      </c>
      <c r="H23" s="100" t="s">
        <v>438</v>
      </c>
      <c r="I23" s="101"/>
      <c r="J23" s="101"/>
      <c r="K23" s="101"/>
      <c r="L23" s="101"/>
      <c r="M23" s="101"/>
      <c r="N23" s="101"/>
      <c r="O23" s="101"/>
      <c r="P23" s="101"/>
      <c r="Q23" s="101">
        <v>0.4375</v>
      </c>
      <c r="R23" s="101"/>
      <c r="S23" s="101">
        <v>1</v>
      </c>
      <c r="T23" s="101">
        <v>1</v>
      </c>
      <c r="U23" s="101">
        <v>1</v>
      </c>
      <c r="V23" s="101"/>
      <c r="W23" s="101"/>
      <c r="X23" s="101">
        <v>0.375</v>
      </c>
      <c r="Y23" s="101">
        <v>1</v>
      </c>
      <c r="Z23" s="101">
        <v>1</v>
      </c>
      <c r="AA23" s="101">
        <v>1.5</v>
      </c>
      <c r="AB23" s="101">
        <v>1</v>
      </c>
      <c r="AC23" s="101"/>
      <c r="AD23" s="101"/>
      <c r="AE23" s="101">
        <v>1</v>
      </c>
      <c r="AF23" s="101">
        <v>1.5</v>
      </c>
      <c r="AG23" s="101">
        <v>1</v>
      </c>
      <c r="AH23" s="101">
        <v>1.5</v>
      </c>
      <c r="AI23" s="101">
        <v>1</v>
      </c>
      <c r="AJ23" s="101"/>
      <c r="AK23" s="101"/>
      <c r="AL23" s="101">
        <v>1</v>
      </c>
      <c r="AM23" s="101">
        <v>1.5</v>
      </c>
      <c r="AN23" s="102">
        <f t="shared" si="2"/>
        <v>16.8125</v>
      </c>
      <c r="AO23" s="98">
        <v>160000</v>
      </c>
      <c r="AP23" s="103">
        <f t="shared" si="3"/>
        <v>2690000</v>
      </c>
    </row>
    <row r="24" spans="1:42" ht="24.95" customHeight="1">
      <c r="A24" s="95">
        <v>19</v>
      </c>
      <c r="B24" s="96" t="s">
        <v>439</v>
      </c>
      <c r="C24" s="97" t="s">
        <v>440</v>
      </c>
      <c r="D24" s="22" t="s">
        <v>233</v>
      </c>
      <c r="E24" s="22" t="s">
        <v>441</v>
      </c>
      <c r="F24" s="106" t="s">
        <v>412</v>
      </c>
      <c r="G24" s="99" t="s">
        <v>439</v>
      </c>
      <c r="H24" s="100" t="s">
        <v>442</v>
      </c>
      <c r="I24" s="101"/>
      <c r="J24" s="101"/>
      <c r="K24" s="101"/>
      <c r="L24" s="101"/>
      <c r="M24" s="101"/>
      <c r="N24" s="101"/>
      <c r="O24" s="101"/>
      <c r="P24" s="101"/>
      <c r="Q24" s="101">
        <v>0.4375</v>
      </c>
      <c r="R24" s="101"/>
      <c r="S24" s="101">
        <v>1</v>
      </c>
      <c r="T24" s="101">
        <v>1</v>
      </c>
      <c r="U24" s="101">
        <v>1</v>
      </c>
      <c r="V24" s="101"/>
      <c r="W24" s="101"/>
      <c r="X24" s="101">
        <v>1</v>
      </c>
      <c r="Y24" s="101">
        <v>1</v>
      </c>
      <c r="Z24" s="101">
        <v>1</v>
      </c>
      <c r="AA24" s="101">
        <v>1.5</v>
      </c>
      <c r="AB24" s="101">
        <v>1</v>
      </c>
      <c r="AC24" s="101"/>
      <c r="AD24" s="101"/>
      <c r="AE24" s="101">
        <v>1</v>
      </c>
      <c r="AF24" s="101">
        <v>1.5</v>
      </c>
      <c r="AG24" s="101">
        <v>1</v>
      </c>
      <c r="AH24" s="101">
        <v>1.5</v>
      </c>
      <c r="AI24" s="101">
        <v>1</v>
      </c>
      <c r="AJ24" s="101"/>
      <c r="AK24" s="101"/>
      <c r="AL24" s="101">
        <v>1</v>
      </c>
      <c r="AM24" s="101">
        <v>1.5</v>
      </c>
      <c r="AN24" s="102">
        <f t="shared" ref="AN24:AN37" si="4">SUM(I24:AM24)</f>
        <v>17.4375</v>
      </c>
      <c r="AO24" s="98">
        <v>150000</v>
      </c>
      <c r="AP24" s="103">
        <f t="shared" ref="AP24:AP37" si="5">AN24*AO24</f>
        <v>2615625</v>
      </c>
    </row>
    <row r="25" spans="1:42" ht="24.95" customHeight="1">
      <c r="A25" s="95">
        <v>20</v>
      </c>
      <c r="B25" s="96" t="s">
        <v>443</v>
      </c>
      <c r="C25" s="97" t="s">
        <v>444</v>
      </c>
      <c r="D25" s="144" t="s">
        <v>233</v>
      </c>
      <c r="E25" s="140" t="s">
        <v>445</v>
      </c>
      <c r="F25" s="106" t="s">
        <v>317</v>
      </c>
      <c r="G25" s="99" t="s">
        <v>443</v>
      </c>
      <c r="H25" s="100" t="s">
        <v>446</v>
      </c>
      <c r="I25" s="101"/>
      <c r="J25" s="101"/>
      <c r="K25" s="101">
        <v>0.4375</v>
      </c>
      <c r="L25" s="101">
        <v>0.375</v>
      </c>
      <c r="M25" s="101">
        <v>1</v>
      </c>
      <c r="N25" s="101">
        <v>1</v>
      </c>
      <c r="O25" s="101"/>
      <c r="P25" s="101"/>
      <c r="Q25" s="101">
        <v>1</v>
      </c>
      <c r="R25" s="101">
        <v>1</v>
      </c>
      <c r="S25" s="101">
        <v>1</v>
      </c>
      <c r="T25" s="101">
        <v>1</v>
      </c>
      <c r="U25" s="101">
        <v>1</v>
      </c>
      <c r="V25" s="101">
        <v>1</v>
      </c>
      <c r="W25" s="101"/>
      <c r="X25" s="101">
        <v>1</v>
      </c>
      <c r="Y25" s="101"/>
      <c r="Z25" s="101">
        <v>1</v>
      </c>
      <c r="AA25" s="101">
        <v>1.5</v>
      </c>
      <c r="AB25" s="101">
        <v>1</v>
      </c>
      <c r="AC25" s="101">
        <v>1</v>
      </c>
      <c r="AD25" s="101"/>
      <c r="AE25" s="101"/>
      <c r="AF25" s="101">
        <v>1.5</v>
      </c>
      <c r="AG25" s="101">
        <v>1</v>
      </c>
      <c r="AH25" s="101">
        <v>1.5</v>
      </c>
      <c r="AI25" s="101">
        <v>1</v>
      </c>
      <c r="AJ25" s="101">
        <v>1</v>
      </c>
      <c r="AK25" s="101"/>
      <c r="AL25" s="101">
        <v>1</v>
      </c>
      <c r="AM25" s="101">
        <v>1.5</v>
      </c>
      <c r="AN25" s="102">
        <f t="shared" si="4"/>
        <v>22.8125</v>
      </c>
      <c r="AO25" s="98">
        <v>160000</v>
      </c>
      <c r="AP25" s="103">
        <f t="shared" si="5"/>
        <v>3650000</v>
      </c>
    </row>
    <row r="26" spans="1:42" ht="24.95" customHeight="1">
      <c r="A26" s="95">
        <v>21</v>
      </c>
      <c r="B26" s="96" t="s">
        <v>447</v>
      </c>
      <c r="C26" s="97" t="s">
        <v>448</v>
      </c>
      <c r="D26" s="22" t="s">
        <v>233</v>
      </c>
      <c r="E26" s="140" t="s">
        <v>449</v>
      </c>
      <c r="F26" s="106" t="s">
        <v>450</v>
      </c>
      <c r="G26" s="99" t="s">
        <v>447</v>
      </c>
      <c r="H26" s="100" t="s">
        <v>451</v>
      </c>
      <c r="I26" s="101"/>
      <c r="J26" s="101"/>
      <c r="K26" s="101"/>
      <c r="L26" s="101"/>
      <c r="M26" s="101"/>
      <c r="N26" s="101"/>
      <c r="O26" s="101"/>
      <c r="P26" s="101"/>
      <c r="Q26" s="101">
        <v>0.4375</v>
      </c>
      <c r="R26" s="101"/>
      <c r="S26" s="101">
        <v>1</v>
      </c>
      <c r="T26" s="101">
        <v>1</v>
      </c>
      <c r="U26" s="101">
        <v>1</v>
      </c>
      <c r="V26" s="101"/>
      <c r="W26" s="101"/>
      <c r="X26" s="101">
        <v>1</v>
      </c>
      <c r="Y26" s="101">
        <v>1</v>
      </c>
      <c r="Z26" s="101">
        <v>1</v>
      </c>
      <c r="AA26" s="101">
        <v>1.5</v>
      </c>
      <c r="AB26" s="101">
        <v>1</v>
      </c>
      <c r="AC26" s="101">
        <v>1</v>
      </c>
      <c r="AD26" s="101"/>
      <c r="AE26" s="101">
        <v>1</v>
      </c>
      <c r="AF26" s="101">
        <v>1.5</v>
      </c>
      <c r="AG26" s="101">
        <v>1</v>
      </c>
      <c r="AH26" s="101">
        <v>1.5</v>
      </c>
      <c r="AI26" s="101">
        <v>1</v>
      </c>
      <c r="AJ26" s="101">
        <v>1</v>
      </c>
      <c r="AK26" s="101"/>
      <c r="AL26" s="101">
        <v>1</v>
      </c>
      <c r="AM26" s="101">
        <v>1.5</v>
      </c>
      <c r="AN26" s="102">
        <f t="shared" si="4"/>
        <v>19.4375</v>
      </c>
      <c r="AO26" s="98">
        <v>170000</v>
      </c>
      <c r="AP26" s="103">
        <f t="shared" si="5"/>
        <v>3304375</v>
      </c>
    </row>
    <row r="27" spans="1:42" ht="24.95" customHeight="1">
      <c r="A27" s="95">
        <v>22</v>
      </c>
      <c r="B27" s="96" t="s">
        <v>452</v>
      </c>
      <c r="C27" s="97" t="s">
        <v>453</v>
      </c>
      <c r="D27" s="144" t="s">
        <v>321</v>
      </c>
      <c r="E27" s="140" t="s">
        <v>454</v>
      </c>
      <c r="F27" s="106" t="s">
        <v>307</v>
      </c>
      <c r="G27" s="99" t="s">
        <v>452</v>
      </c>
      <c r="H27" s="100" t="s">
        <v>455</v>
      </c>
      <c r="I27" s="101"/>
      <c r="J27" s="101"/>
      <c r="K27" s="101"/>
      <c r="L27" s="101"/>
      <c r="M27" s="101">
        <v>1</v>
      </c>
      <c r="N27" s="101">
        <v>1</v>
      </c>
      <c r="O27" s="101"/>
      <c r="P27" s="101"/>
      <c r="Q27" s="101">
        <v>1</v>
      </c>
      <c r="R27" s="101">
        <v>0.875</v>
      </c>
      <c r="S27" s="101">
        <v>1</v>
      </c>
      <c r="T27" s="101">
        <v>1</v>
      </c>
      <c r="U27" s="101">
        <v>1</v>
      </c>
      <c r="V27" s="101">
        <v>1</v>
      </c>
      <c r="W27" s="101"/>
      <c r="X27" s="101">
        <v>1</v>
      </c>
      <c r="Y27" s="101">
        <v>1</v>
      </c>
      <c r="Z27" s="101">
        <v>1</v>
      </c>
      <c r="AA27" s="101">
        <v>1.5</v>
      </c>
      <c r="AB27" s="101">
        <v>1</v>
      </c>
      <c r="AC27" s="101">
        <v>1</v>
      </c>
      <c r="AD27" s="101"/>
      <c r="AE27" s="101">
        <v>1</v>
      </c>
      <c r="AF27" s="101">
        <v>1.5</v>
      </c>
      <c r="AG27" s="101">
        <v>1</v>
      </c>
      <c r="AH27" s="101">
        <v>1.5</v>
      </c>
      <c r="AI27" s="101">
        <v>1</v>
      </c>
      <c r="AJ27" s="101"/>
      <c r="AK27" s="101"/>
      <c r="AL27" s="101">
        <v>1</v>
      </c>
      <c r="AM27" s="101">
        <v>1.5</v>
      </c>
      <c r="AN27" s="102">
        <f t="shared" si="4"/>
        <v>22.875</v>
      </c>
      <c r="AO27" s="98">
        <v>270000</v>
      </c>
      <c r="AP27" s="103">
        <f t="shared" si="5"/>
        <v>6176250</v>
      </c>
    </row>
    <row r="28" spans="1:42" ht="24.95" customHeight="1">
      <c r="A28" s="95">
        <v>23</v>
      </c>
      <c r="B28" s="96" t="s">
        <v>456</v>
      </c>
      <c r="C28" s="97" t="s">
        <v>457</v>
      </c>
      <c r="D28" s="22" t="s">
        <v>322</v>
      </c>
      <c r="E28" s="140" t="s">
        <v>458</v>
      </c>
      <c r="F28" s="106" t="s">
        <v>234</v>
      </c>
      <c r="G28" s="99" t="s">
        <v>456</v>
      </c>
      <c r="H28" s="100" t="s">
        <v>459</v>
      </c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>
        <v>0.5</v>
      </c>
      <c r="AG28" s="101">
        <v>1</v>
      </c>
      <c r="AH28" s="101">
        <v>1.5</v>
      </c>
      <c r="AI28" s="101">
        <v>1</v>
      </c>
      <c r="AJ28" s="101"/>
      <c r="AK28" s="101"/>
      <c r="AL28" s="101">
        <v>1</v>
      </c>
      <c r="AM28" s="101">
        <v>1.5</v>
      </c>
      <c r="AN28" s="102">
        <f t="shared" si="4"/>
        <v>6.5</v>
      </c>
      <c r="AO28" s="98">
        <v>180000</v>
      </c>
      <c r="AP28" s="103">
        <f t="shared" si="5"/>
        <v>1170000</v>
      </c>
    </row>
    <row r="29" spans="1:42" ht="24.95" customHeight="1">
      <c r="A29" s="95">
        <v>24</v>
      </c>
      <c r="B29" s="96" t="s">
        <v>460</v>
      </c>
      <c r="C29" s="97" t="s">
        <v>461</v>
      </c>
      <c r="D29" s="22" t="s">
        <v>233</v>
      </c>
      <c r="E29" s="22" t="s">
        <v>462</v>
      </c>
      <c r="F29" s="108" t="s">
        <v>234</v>
      </c>
      <c r="G29" s="99" t="s">
        <v>460</v>
      </c>
      <c r="H29" s="100" t="s">
        <v>463</v>
      </c>
      <c r="I29" s="101"/>
      <c r="J29" s="101"/>
      <c r="K29" s="101"/>
      <c r="L29" s="101"/>
      <c r="M29" s="101"/>
      <c r="N29" s="101"/>
      <c r="O29" s="101"/>
      <c r="P29" s="101"/>
      <c r="Q29" s="101">
        <v>0.4375</v>
      </c>
      <c r="R29" s="101"/>
      <c r="S29" s="101">
        <v>1</v>
      </c>
      <c r="T29" s="101">
        <v>1</v>
      </c>
      <c r="U29" s="101">
        <v>1</v>
      </c>
      <c r="V29" s="101"/>
      <c r="W29" s="101"/>
      <c r="X29" s="101">
        <v>1</v>
      </c>
      <c r="Y29" s="101">
        <v>1</v>
      </c>
      <c r="Z29" s="101">
        <v>1</v>
      </c>
      <c r="AA29" s="101">
        <v>1.5</v>
      </c>
      <c r="AB29" s="101">
        <v>1</v>
      </c>
      <c r="AC29" s="101"/>
      <c r="AD29" s="101"/>
      <c r="AE29" s="101">
        <v>1</v>
      </c>
      <c r="AF29" s="101">
        <v>1.5</v>
      </c>
      <c r="AG29" s="101">
        <v>1</v>
      </c>
      <c r="AH29" s="101">
        <v>1.5</v>
      </c>
      <c r="AI29" s="101">
        <v>1</v>
      </c>
      <c r="AJ29" s="101">
        <v>1</v>
      </c>
      <c r="AK29" s="101"/>
      <c r="AL29" s="101">
        <v>1</v>
      </c>
      <c r="AM29" s="101">
        <v>1.5</v>
      </c>
      <c r="AN29" s="102">
        <f t="shared" si="4"/>
        <v>18.4375</v>
      </c>
      <c r="AO29" s="98">
        <v>200000</v>
      </c>
      <c r="AP29" s="103">
        <f t="shared" si="5"/>
        <v>3687500</v>
      </c>
    </row>
    <row r="30" spans="1:42" ht="24.95" customHeight="1">
      <c r="A30" s="95">
        <v>25</v>
      </c>
      <c r="B30" s="96" t="s">
        <v>464</v>
      </c>
      <c r="C30" s="97" t="s">
        <v>465</v>
      </c>
      <c r="D30" s="22" t="s">
        <v>321</v>
      </c>
      <c r="E30" s="22" t="s">
        <v>466</v>
      </c>
      <c r="F30" s="106" t="s">
        <v>392</v>
      </c>
      <c r="G30" s="99" t="s">
        <v>464</v>
      </c>
      <c r="H30" s="100" t="s">
        <v>467</v>
      </c>
      <c r="I30" s="101"/>
      <c r="J30" s="101"/>
      <c r="K30" s="101">
        <v>0.4375</v>
      </c>
      <c r="L30" s="101">
        <v>0.625</v>
      </c>
      <c r="M30" s="101">
        <v>1</v>
      </c>
      <c r="N30" s="101">
        <v>1</v>
      </c>
      <c r="O30" s="101"/>
      <c r="P30" s="101"/>
      <c r="Q30" s="101">
        <v>1</v>
      </c>
      <c r="R30" s="101">
        <v>1</v>
      </c>
      <c r="S30" s="101">
        <v>1</v>
      </c>
      <c r="T30" s="101">
        <v>1</v>
      </c>
      <c r="U30" s="101">
        <v>1</v>
      </c>
      <c r="V30" s="101"/>
      <c r="W30" s="101"/>
      <c r="X30" s="101">
        <v>0.625</v>
      </c>
      <c r="Y30" s="101">
        <v>1</v>
      </c>
      <c r="Z30" s="101">
        <v>1</v>
      </c>
      <c r="AA30" s="101">
        <v>1.375</v>
      </c>
      <c r="AB30" s="101">
        <v>1</v>
      </c>
      <c r="AC30" s="101">
        <v>1</v>
      </c>
      <c r="AD30" s="101"/>
      <c r="AE30" s="101">
        <v>1</v>
      </c>
      <c r="AF30" s="101">
        <v>1.5</v>
      </c>
      <c r="AG30" s="101">
        <v>1</v>
      </c>
      <c r="AH30" s="101">
        <v>1.5</v>
      </c>
      <c r="AI30" s="101">
        <v>1</v>
      </c>
      <c r="AJ30" s="101"/>
      <c r="AK30" s="101"/>
      <c r="AL30" s="101">
        <v>1</v>
      </c>
      <c r="AM30" s="101">
        <v>1.5</v>
      </c>
      <c r="AN30" s="102">
        <f t="shared" si="4"/>
        <v>22.5625</v>
      </c>
      <c r="AO30" s="98">
        <v>230000</v>
      </c>
      <c r="AP30" s="103">
        <f t="shared" si="5"/>
        <v>5189375</v>
      </c>
    </row>
    <row r="31" spans="1:42" ht="24.95" customHeight="1">
      <c r="A31" s="95">
        <v>26</v>
      </c>
      <c r="B31" s="96" t="s">
        <v>468</v>
      </c>
      <c r="C31" s="97" t="s">
        <v>469</v>
      </c>
      <c r="D31" s="22" t="s">
        <v>236</v>
      </c>
      <c r="E31" s="140" t="s">
        <v>470</v>
      </c>
      <c r="F31" s="108" t="s">
        <v>237</v>
      </c>
      <c r="G31" s="99" t="s">
        <v>468</v>
      </c>
      <c r="H31" s="100" t="s">
        <v>471</v>
      </c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>
        <v>0.9375</v>
      </c>
      <c r="Y31" s="101"/>
      <c r="Z31" s="101">
        <v>1</v>
      </c>
      <c r="AA31" s="101">
        <v>1</v>
      </c>
      <c r="AB31" s="101">
        <v>1</v>
      </c>
      <c r="AC31" s="101"/>
      <c r="AD31" s="101"/>
      <c r="AE31" s="101">
        <v>1</v>
      </c>
      <c r="AF31" s="101">
        <v>1.5</v>
      </c>
      <c r="AG31" s="101">
        <v>1</v>
      </c>
      <c r="AH31" s="101">
        <v>1.5</v>
      </c>
      <c r="AI31" s="101">
        <v>1</v>
      </c>
      <c r="AJ31" s="101"/>
      <c r="AK31" s="101"/>
      <c r="AL31" s="101">
        <v>1</v>
      </c>
      <c r="AM31" s="101">
        <v>1.5</v>
      </c>
      <c r="AN31" s="102">
        <f t="shared" si="4"/>
        <v>12.4375</v>
      </c>
      <c r="AO31" s="98">
        <v>230000</v>
      </c>
      <c r="AP31" s="103">
        <f t="shared" si="5"/>
        <v>2860625</v>
      </c>
    </row>
    <row r="32" spans="1:42" ht="24.95" customHeight="1">
      <c r="A32" s="95">
        <v>27</v>
      </c>
      <c r="B32" s="96" t="s">
        <v>472</v>
      </c>
      <c r="C32" s="97" t="s">
        <v>473</v>
      </c>
      <c r="D32" s="22" t="s">
        <v>233</v>
      </c>
      <c r="E32" s="140" t="s">
        <v>474</v>
      </c>
      <c r="F32" s="106" t="s">
        <v>412</v>
      </c>
      <c r="G32" s="99" t="s">
        <v>472</v>
      </c>
      <c r="H32" s="100" t="s">
        <v>475</v>
      </c>
      <c r="I32" s="101"/>
      <c r="J32" s="101"/>
      <c r="K32" s="101">
        <v>0.4375</v>
      </c>
      <c r="L32" s="101">
        <v>0.375</v>
      </c>
      <c r="M32" s="101">
        <v>1</v>
      </c>
      <c r="N32" s="101"/>
      <c r="O32" s="101"/>
      <c r="P32" s="101"/>
      <c r="Q32" s="101">
        <v>1</v>
      </c>
      <c r="R32" s="101">
        <v>1</v>
      </c>
      <c r="S32" s="101">
        <v>1</v>
      </c>
      <c r="T32" s="101">
        <v>1</v>
      </c>
      <c r="U32" s="101">
        <v>1</v>
      </c>
      <c r="V32" s="101"/>
      <c r="W32" s="101"/>
      <c r="X32" s="101"/>
      <c r="Y32" s="101">
        <v>1</v>
      </c>
      <c r="Z32" s="101">
        <v>1</v>
      </c>
      <c r="AA32" s="101">
        <v>1.5</v>
      </c>
      <c r="AB32" s="101">
        <v>1</v>
      </c>
      <c r="AC32" s="101">
        <v>1</v>
      </c>
      <c r="AD32" s="101"/>
      <c r="AE32" s="101">
        <v>0.5</v>
      </c>
      <c r="AF32" s="101">
        <v>1.5</v>
      </c>
      <c r="AG32" s="101">
        <v>1</v>
      </c>
      <c r="AH32" s="101">
        <v>1.5</v>
      </c>
      <c r="AI32" s="101">
        <v>1</v>
      </c>
      <c r="AJ32" s="101"/>
      <c r="AK32" s="101"/>
      <c r="AL32" s="101">
        <v>1</v>
      </c>
      <c r="AM32" s="101">
        <v>1.5</v>
      </c>
      <c r="AN32" s="102">
        <f t="shared" si="4"/>
        <v>20.3125</v>
      </c>
      <c r="AO32" s="98">
        <v>160000</v>
      </c>
      <c r="AP32" s="103">
        <f t="shared" si="5"/>
        <v>3250000</v>
      </c>
    </row>
    <row r="33" spans="1:42" ht="24.95" customHeight="1">
      <c r="A33" s="95">
        <v>28</v>
      </c>
      <c r="B33" s="96" t="s">
        <v>476</v>
      </c>
      <c r="C33" s="97" t="s">
        <v>477</v>
      </c>
      <c r="D33" s="22" t="s">
        <v>374</v>
      </c>
      <c r="E33" s="22" t="s">
        <v>478</v>
      </c>
      <c r="F33" s="106" t="s">
        <v>234</v>
      </c>
      <c r="G33" s="99" t="s">
        <v>476</v>
      </c>
      <c r="H33" s="100" t="s">
        <v>479</v>
      </c>
      <c r="I33" s="101"/>
      <c r="J33" s="101"/>
      <c r="K33" s="101">
        <v>0.4375</v>
      </c>
      <c r="L33" s="101">
        <v>0.625</v>
      </c>
      <c r="M33" s="101">
        <v>1</v>
      </c>
      <c r="N33" s="101">
        <v>1</v>
      </c>
      <c r="O33" s="101"/>
      <c r="P33" s="101"/>
      <c r="Q33" s="101">
        <v>1</v>
      </c>
      <c r="R33" s="101">
        <v>1</v>
      </c>
      <c r="S33" s="101">
        <v>1</v>
      </c>
      <c r="T33" s="101">
        <v>1</v>
      </c>
      <c r="U33" s="101">
        <v>1</v>
      </c>
      <c r="V33" s="101"/>
      <c r="W33" s="101"/>
      <c r="X33" s="101">
        <v>1</v>
      </c>
      <c r="Y33" s="101">
        <v>1</v>
      </c>
      <c r="Z33" s="101">
        <v>1</v>
      </c>
      <c r="AA33" s="101">
        <v>1.5</v>
      </c>
      <c r="AB33" s="101">
        <v>1</v>
      </c>
      <c r="AC33" s="101">
        <v>1</v>
      </c>
      <c r="AD33" s="101"/>
      <c r="AE33" s="101">
        <v>1</v>
      </c>
      <c r="AF33" s="101">
        <v>1.5</v>
      </c>
      <c r="AG33" s="101">
        <v>1</v>
      </c>
      <c r="AH33" s="101">
        <v>1.5</v>
      </c>
      <c r="AI33" s="101">
        <v>1</v>
      </c>
      <c r="AJ33" s="101"/>
      <c r="AK33" s="101"/>
      <c r="AL33" s="101"/>
      <c r="AM33" s="101">
        <v>1.5</v>
      </c>
      <c r="AN33" s="102">
        <f t="shared" si="4"/>
        <v>22.0625</v>
      </c>
      <c r="AO33" s="98">
        <v>210000</v>
      </c>
      <c r="AP33" s="103">
        <f t="shared" si="5"/>
        <v>4633125</v>
      </c>
    </row>
    <row r="34" spans="1:42" ht="24.95" customHeight="1">
      <c r="A34" s="95">
        <v>29</v>
      </c>
      <c r="B34" s="96" t="s">
        <v>480</v>
      </c>
      <c r="C34" s="97" t="s">
        <v>481</v>
      </c>
      <c r="D34" s="22" t="s">
        <v>233</v>
      </c>
      <c r="E34" s="22" t="s">
        <v>482</v>
      </c>
      <c r="F34" s="106" t="s">
        <v>316</v>
      </c>
      <c r="G34" s="99" t="s">
        <v>480</v>
      </c>
      <c r="H34" s="100" t="s">
        <v>483</v>
      </c>
      <c r="I34" s="101"/>
      <c r="J34" s="101"/>
      <c r="K34" s="101"/>
      <c r="L34" s="101"/>
      <c r="M34" s="101"/>
      <c r="N34" s="101"/>
      <c r="O34" s="101"/>
      <c r="P34" s="101"/>
      <c r="Q34" s="101">
        <v>0.4375</v>
      </c>
      <c r="R34" s="101"/>
      <c r="S34" s="101">
        <v>1</v>
      </c>
      <c r="T34" s="101">
        <v>1</v>
      </c>
      <c r="U34" s="101">
        <v>1</v>
      </c>
      <c r="V34" s="101"/>
      <c r="W34" s="101"/>
      <c r="X34" s="101">
        <v>1</v>
      </c>
      <c r="Y34" s="101">
        <v>1</v>
      </c>
      <c r="Z34" s="101">
        <v>1</v>
      </c>
      <c r="AA34" s="101">
        <v>1.5</v>
      </c>
      <c r="AB34" s="101">
        <v>1</v>
      </c>
      <c r="AC34" s="101"/>
      <c r="AD34" s="101"/>
      <c r="AE34" s="101">
        <v>1</v>
      </c>
      <c r="AF34" s="101">
        <v>1.5</v>
      </c>
      <c r="AG34" s="101">
        <v>1</v>
      </c>
      <c r="AH34" s="101">
        <v>1.5</v>
      </c>
      <c r="AI34" s="101">
        <v>1</v>
      </c>
      <c r="AJ34" s="101"/>
      <c r="AK34" s="101"/>
      <c r="AL34" s="101">
        <v>1</v>
      </c>
      <c r="AM34" s="101">
        <v>1.5</v>
      </c>
      <c r="AN34" s="102">
        <f t="shared" si="4"/>
        <v>17.4375</v>
      </c>
      <c r="AO34" s="98">
        <v>170000</v>
      </c>
      <c r="AP34" s="103">
        <f t="shared" si="5"/>
        <v>2964375</v>
      </c>
    </row>
    <row r="35" spans="1:42" ht="24.95" customHeight="1">
      <c r="A35" s="95">
        <v>30</v>
      </c>
      <c r="B35" s="96" t="s">
        <v>484</v>
      </c>
      <c r="C35" s="97" t="s">
        <v>485</v>
      </c>
      <c r="D35" s="22" t="s">
        <v>236</v>
      </c>
      <c r="E35" s="22" t="s">
        <v>486</v>
      </c>
      <c r="F35" s="106" t="s">
        <v>234</v>
      </c>
      <c r="G35" s="99" t="s">
        <v>484</v>
      </c>
      <c r="H35" s="100" t="s">
        <v>487</v>
      </c>
      <c r="I35" s="101"/>
      <c r="J35" s="101"/>
      <c r="K35" s="101">
        <v>0.9375</v>
      </c>
      <c r="L35" s="101">
        <v>0.375</v>
      </c>
      <c r="M35" s="101">
        <v>1</v>
      </c>
      <c r="N35" s="101">
        <v>1</v>
      </c>
      <c r="O35" s="101"/>
      <c r="P35" s="101"/>
      <c r="Q35" s="101">
        <v>1</v>
      </c>
      <c r="R35" s="101">
        <v>1</v>
      </c>
      <c r="S35" s="101">
        <v>1</v>
      </c>
      <c r="T35" s="101">
        <v>1</v>
      </c>
      <c r="U35" s="101">
        <v>1</v>
      </c>
      <c r="V35" s="101">
        <v>1</v>
      </c>
      <c r="W35" s="101"/>
      <c r="X35" s="101">
        <v>1</v>
      </c>
      <c r="Y35" s="101">
        <v>1</v>
      </c>
      <c r="Z35" s="101">
        <v>1</v>
      </c>
      <c r="AA35" s="101">
        <v>1.5</v>
      </c>
      <c r="AB35" s="101">
        <v>1</v>
      </c>
      <c r="AC35" s="101"/>
      <c r="AD35" s="101"/>
      <c r="AE35" s="101">
        <v>1</v>
      </c>
      <c r="AF35" s="101">
        <v>1.5</v>
      </c>
      <c r="AG35" s="101">
        <v>1</v>
      </c>
      <c r="AH35" s="101">
        <v>1.5</v>
      </c>
      <c r="AI35" s="101">
        <v>1</v>
      </c>
      <c r="AJ35" s="101">
        <v>1</v>
      </c>
      <c r="AK35" s="101"/>
      <c r="AL35" s="101">
        <v>1</v>
      </c>
      <c r="AM35" s="101">
        <v>1.5</v>
      </c>
      <c r="AN35" s="102">
        <f t="shared" si="4"/>
        <v>24.3125</v>
      </c>
      <c r="AO35" s="98">
        <v>230000</v>
      </c>
      <c r="AP35" s="103">
        <f t="shared" si="5"/>
        <v>5591875</v>
      </c>
    </row>
    <row r="36" spans="1:42" ht="24.95" customHeight="1">
      <c r="A36" s="95">
        <v>31</v>
      </c>
      <c r="B36" s="96" t="s">
        <v>488</v>
      </c>
      <c r="C36" s="97" t="s">
        <v>489</v>
      </c>
      <c r="D36" s="22" t="s">
        <v>233</v>
      </c>
      <c r="E36" s="22" t="s">
        <v>490</v>
      </c>
      <c r="F36" s="106" t="s">
        <v>306</v>
      </c>
      <c r="G36" s="99" t="s">
        <v>488</v>
      </c>
      <c r="H36" s="100" t="s">
        <v>491</v>
      </c>
      <c r="I36" s="101"/>
      <c r="J36" s="101"/>
      <c r="K36" s="101"/>
      <c r="L36" s="101"/>
      <c r="M36" s="101"/>
      <c r="N36" s="101"/>
      <c r="O36" s="101"/>
      <c r="P36" s="101"/>
      <c r="Q36" s="101">
        <v>0.4375</v>
      </c>
      <c r="R36" s="101"/>
      <c r="S36" s="101">
        <v>1</v>
      </c>
      <c r="T36" s="101">
        <v>1</v>
      </c>
      <c r="U36" s="101">
        <v>1</v>
      </c>
      <c r="V36" s="101"/>
      <c r="W36" s="101"/>
      <c r="X36" s="101">
        <v>1</v>
      </c>
      <c r="Y36" s="101">
        <v>1</v>
      </c>
      <c r="Z36" s="101">
        <v>1</v>
      </c>
      <c r="AA36" s="101">
        <v>1.5</v>
      </c>
      <c r="AB36" s="101">
        <v>1</v>
      </c>
      <c r="AC36" s="101">
        <v>1</v>
      </c>
      <c r="AD36" s="101"/>
      <c r="AE36" s="101">
        <v>1</v>
      </c>
      <c r="AF36" s="101">
        <v>1.5</v>
      </c>
      <c r="AG36" s="101">
        <v>1</v>
      </c>
      <c r="AH36" s="101">
        <v>1.5</v>
      </c>
      <c r="AI36" s="101">
        <v>1</v>
      </c>
      <c r="AJ36" s="101">
        <v>1</v>
      </c>
      <c r="AK36" s="101"/>
      <c r="AL36" s="101">
        <v>1</v>
      </c>
      <c r="AM36" s="101">
        <v>1.5</v>
      </c>
      <c r="AN36" s="102">
        <f t="shared" si="4"/>
        <v>19.4375</v>
      </c>
      <c r="AO36" s="98">
        <v>170000</v>
      </c>
      <c r="AP36" s="103">
        <f t="shared" si="5"/>
        <v>3304375</v>
      </c>
    </row>
    <row r="37" spans="1:42" ht="24.95" customHeight="1">
      <c r="A37" s="95">
        <v>32</v>
      </c>
      <c r="B37" s="96" t="s">
        <v>492</v>
      </c>
      <c r="C37" s="97" t="s">
        <v>493</v>
      </c>
      <c r="D37" s="22" t="s">
        <v>236</v>
      </c>
      <c r="E37" s="22" t="s">
        <v>494</v>
      </c>
      <c r="F37" s="108" t="s">
        <v>238</v>
      </c>
      <c r="G37" s="99" t="s">
        <v>492</v>
      </c>
      <c r="H37" s="100" t="s">
        <v>495</v>
      </c>
      <c r="I37" s="101"/>
      <c r="J37" s="101"/>
      <c r="K37" s="101"/>
      <c r="L37" s="101"/>
      <c r="M37" s="101"/>
      <c r="N37" s="101"/>
      <c r="O37" s="101"/>
      <c r="P37" s="101"/>
      <c r="Q37" s="101">
        <v>0.9375</v>
      </c>
      <c r="R37" s="101">
        <v>1</v>
      </c>
      <c r="S37" s="101"/>
      <c r="T37" s="101"/>
      <c r="U37" s="101"/>
      <c r="V37" s="101"/>
      <c r="W37" s="101"/>
      <c r="X37" s="101"/>
      <c r="Y37" s="101"/>
      <c r="Z37" s="101">
        <v>1</v>
      </c>
      <c r="AA37" s="101">
        <v>1</v>
      </c>
      <c r="AB37" s="101">
        <v>1</v>
      </c>
      <c r="AC37" s="101"/>
      <c r="AD37" s="101"/>
      <c r="AE37" s="101">
        <v>1</v>
      </c>
      <c r="AF37" s="101">
        <v>1.5</v>
      </c>
      <c r="AG37" s="101">
        <v>1</v>
      </c>
      <c r="AH37" s="101">
        <v>1.5</v>
      </c>
      <c r="AI37" s="101">
        <v>1</v>
      </c>
      <c r="AJ37" s="101">
        <v>1</v>
      </c>
      <c r="AK37" s="101"/>
      <c r="AL37" s="101">
        <v>1</v>
      </c>
      <c r="AM37" s="101">
        <v>1.5</v>
      </c>
      <c r="AN37" s="102">
        <f t="shared" si="4"/>
        <v>14.4375</v>
      </c>
      <c r="AO37" s="98">
        <v>190000</v>
      </c>
      <c r="AP37" s="103">
        <f t="shared" si="5"/>
        <v>2743125</v>
      </c>
    </row>
    <row r="38" spans="1:42" ht="24.95" customHeight="1">
      <c r="A38" s="95">
        <v>33</v>
      </c>
      <c r="B38" s="96" t="s">
        <v>496</v>
      </c>
      <c r="C38" s="97" t="s">
        <v>497</v>
      </c>
      <c r="D38" s="144" t="s">
        <v>374</v>
      </c>
      <c r="E38" s="22" t="s">
        <v>498</v>
      </c>
      <c r="F38" s="106" t="s">
        <v>317</v>
      </c>
      <c r="G38" s="99" t="s">
        <v>496</v>
      </c>
      <c r="H38" s="100" t="s">
        <v>499</v>
      </c>
      <c r="I38" s="101"/>
      <c r="J38" s="101"/>
      <c r="K38" s="101">
        <v>0.4375</v>
      </c>
      <c r="L38" s="101">
        <v>0.625</v>
      </c>
      <c r="M38" s="101">
        <v>1</v>
      </c>
      <c r="N38" s="101">
        <v>1</v>
      </c>
      <c r="O38" s="101"/>
      <c r="P38" s="101"/>
      <c r="Q38" s="101">
        <v>1</v>
      </c>
      <c r="R38" s="101">
        <v>1</v>
      </c>
      <c r="S38" s="101">
        <v>1</v>
      </c>
      <c r="T38" s="101">
        <v>1</v>
      </c>
      <c r="U38" s="101">
        <v>1</v>
      </c>
      <c r="V38" s="101"/>
      <c r="W38" s="101"/>
      <c r="X38" s="101">
        <v>1</v>
      </c>
      <c r="Y38" s="101">
        <v>1</v>
      </c>
      <c r="Z38" s="101">
        <v>0.5</v>
      </c>
      <c r="AA38" s="101">
        <v>1.5</v>
      </c>
      <c r="AB38" s="101">
        <v>1</v>
      </c>
      <c r="AC38" s="101">
        <v>1</v>
      </c>
      <c r="AD38" s="101"/>
      <c r="AE38" s="101">
        <v>1</v>
      </c>
      <c r="AF38" s="101">
        <v>1.5</v>
      </c>
      <c r="AG38" s="101">
        <v>1</v>
      </c>
      <c r="AH38" s="101">
        <v>1.5</v>
      </c>
      <c r="AI38" s="101">
        <v>1</v>
      </c>
      <c r="AJ38" s="101">
        <v>1</v>
      </c>
      <c r="AK38" s="101"/>
      <c r="AL38" s="101">
        <v>1</v>
      </c>
      <c r="AM38" s="101">
        <v>1.5</v>
      </c>
      <c r="AN38" s="102">
        <f t="shared" ref="AN38:AN41" si="6">SUM(I38:AM38)</f>
        <v>23.5625</v>
      </c>
      <c r="AO38" s="98">
        <v>180000</v>
      </c>
      <c r="AP38" s="103">
        <f t="shared" ref="AP38:AP41" si="7">AN38*AO38</f>
        <v>4241250</v>
      </c>
    </row>
    <row r="39" spans="1:42" ht="24.95" customHeight="1">
      <c r="A39" s="95">
        <v>34</v>
      </c>
      <c r="B39" s="96" t="s">
        <v>500</v>
      </c>
      <c r="C39" s="97" t="s">
        <v>501</v>
      </c>
      <c r="D39" s="144" t="s">
        <v>374</v>
      </c>
      <c r="E39" s="140" t="s">
        <v>502</v>
      </c>
      <c r="F39" s="106" t="s">
        <v>234</v>
      </c>
      <c r="G39" s="99" t="s">
        <v>500</v>
      </c>
      <c r="H39" s="100" t="s">
        <v>503</v>
      </c>
      <c r="I39" s="101"/>
      <c r="J39" s="101"/>
      <c r="K39" s="101">
        <v>0.4375</v>
      </c>
      <c r="L39" s="101">
        <v>0.625</v>
      </c>
      <c r="M39" s="101">
        <v>1</v>
      </c>
      <c r="N39" s="101">
        <v>1</v>
      </c>
      <c r="O39" s="101"/>
      <c r="P39" s="101"/>
      <c r="Q39" s="101">
        <v>1</v>
      </c>
      <c r="R39" s="101">
        <v>1</v>
      </c>
      <c r="S39" s="101">
        <v>1</v>
      </c>
      <c r="T39" s="101">
        <v>1</v>
      </c>
      <c r="U39" s="101">
        <v>1</v>
      </c>
      <c r="V39" s="101"/>
      <c r="W39" s="101"/>
      <c r="X39" s="101">
        <v>1</v>
      </c>
      <c r="Y39" s="101">
        <v>1</v>
      </c>
      <c r="Z39" s="101">
        <v>1</v>
      </c>
      <c r="AA39" s="101">
        <v>1.5</v>
      </c>
      <c r="AB39" s="101">
        <v>1</v>
      </c>
      <c r="AC39" s="101">
        <v>1</v>
      </c>
      <c r="AD39" s="101"/>
      <c r="AE39" s="101">
        <v>1</v>
      </c>
      <c r="AF39" s="101">
        <v>1.5</v>
      </c>
      <c r="AG39" s="101">
        <v>1</v>
      </c>
      <c r="AH39" s="101">
        <v>1.5</v>
      </c>
      <c r="AI39" s="101">
        <v>1</v>
      </c>
      <c r="AJ39" s="101"/>
      <c r="AK39" s="101"/>
      <c r="AL39" s="101">
        <v>1</v>
      </c>
      <c r="AM39" s="101">
        <v>1.5</v>
      </c>
      <c r="AN39" s="102">
        <f t="shared" si="6"/>
        <v>23.0625</v>
      </c>
      <c r="AO39" s="98">
        <v>190000</v>
      </c>
      <c r="AP39" s="103">
        <f t="shared" si="7"/>
        <v>4381875</v>
      </c>
    </row>
    <row r="40" spans="1:42" ht="24.95" customHeight="1">
      <c r="A40" s="95">
        <v>35</v>
      </c>
      <c r="B40" s="96" t="s">
        <v>504</v>
      </c>
      <c r="C40" s="97" t="s">
        <v>505</v>
      </c>
      <c r="D40" s="22" t="s">
        <v>233</v>
      </c>
      <c r="E40" s="140" t="s">
        <v>506</v>
      </c>
      <c r="F40" s="106" t="s">
        <v>238</v>
      </c>
      <c r="G40" s="99" t="s">
        <v>504</v>
      </c>
      <c r="H40" s="100" t="s">
        <v>507</v>
      </c>
      <c r="I40" s="101"/>
      <c r="J40" s="101"/>
      <c r="K40" s="101">
        <v>0.4375</v>
      </c>
      <c r="L40" s="101">
        <v>0.375</v>
      </c>
      <c r="M40" s="101">
        <v>1</v>
      </c>
      <c r="N40" s="101">
        <v>1</v>
      </c>
      <c r="O40" s="101"/>
      <c r="P40" s="101"/>
      <c r="Q40" s="101">
        <v>1</v>
      </c>
      <c r="R40" s="101">
        <v>1</v>
      </c>
      <c r="S40" s="101">
        <v>1</v>
      </c>
      <c r="T40" s="101">
        <v>1</v>
      </c>
      <c r="U40" s="101"/>
      <c r="V40" s="101"/>
      <c r="W40" s="101"/>
      <c r="X40" s="101">
        <v>1</v>
      </c>
      <c r="Y40" s="101">
        <v>1</v>
      </c>
      <c r="Z40" s="101">
        <v>1</v>
      </c>
      <c r="AA40" s="101">
        <v>1.5</v>
      </c>
      <c r="AB40" s="101">
        <v>1</v>
      </c>
      <c r="AC40" s="101">
        <v>1</v>
      </c>
      <c r="AD40" s="101"/>
      <c r="AE40" s="101">
        <v>1</v>
      </c>
      <c r="AF40" s="101">
        <v>1.5</v>
      </c>
      <c r="AG40" s="101">
        <v>1</v>
      </c>
      <c r="AH40" s="101">
        <v>1.5</v>
      </c>
      <c r="AI40" s="101">
        <v>1</v>
      </c>
      <c r="AJ40" s="101"/>
      <c r="AK40" s="101"/>
      <c r="AL40" s="101">
        <v>1</v>
      </c>
      <c r="AM40" s="101">
        <v>1.5</v>
      </c>
      <c r="AN40" s="102">
        <f t="shared" si="6"/>
        <v>21.8125</v>
      </c>
      <c r="AO40" s="98">
        <v>150000</v>
      </c>
      <c r="AP40" s="103">
        <f t="shared" si="7"/>
        <v>3271875</v>
      </c>
    </row>
    <row r="41" spans="1:42" ht="24.95" customHeight="1" thickBot="1">
      <c r="A41" s="95">
        <v>36</v>
      </c>
      <c r="B41" s="96" t="s">
        <v>508</v>
      </c>
      <c r="C41" s="97" t="s">
        <v>509</v>
      </c>
      <c r="D41" s="22" t="s">
        <v>233</v>
      </c>
      <c r="E41" s="140" t="s">
        <v>510</v>
      </c>
      <c r="F41" s="106" t="s">
        <v>307</v>
      </c>
      <c r="G41" s="99" t="s">
        <v>508</v>
      </c>
      <c r="H41" s="100" t="s">
        <v>510</v>
      </c>
      <c r="I41" s="101"/>
      <c r="J41" s="101"/>
      <c r="K41" s="101">
        <v>0.4375</v>
      </c>
      <c r="L41" s="101">
        <v>0.375</v>
      </c>
      <c r="M41" s="101"/>
      <c r="N41" s="101"/>
      <c r="O41" s="101"/>
      <c r="P41" s="101"/>
      <c r="Q41" s="101"/>
      <c r="R41" s="101"/>
      <c r="S41" s="101">
        <v>0.75</v>
      </c>
      <c r="T41" s="101"/>
      <c r="U41" s="101"/>
      <c r="V41" s="101"/>
      <c r="W41" s="101"/>
      <c r="X41" s="101">
        <v>1</v>
      </c>
      <c r="Y41" s="101">
        <v>1</v>
      </c>
      <c r="Z41" s="101"/>
      <c r="AA41" s="101"/>
      <c r="AB41" s="101">
        <v>1</v>
      </c>
      <c r="AC41" s="101">
        <v>1</v>
      </c>
      <c r="AD41" s="101"/>
      <c r="AE41" s="101">
        <v>1</v>
      </c>
      <c r="AF41" s="101">
        <v>1.5</v>
      </c>
      <c r="AG41" s="101">
        <v>1</v>
      </c>
      <c r="AH41" s="101">
        <v>1.5</v>
      </c>
      <c r="AI41" s="101">
        <v>1</v>
      </c>
      <c r="AJ41" s="101"/>
      <c r="AK41" s="101"/>
      <c r="AL41" s="101">
        <v>1</v>
      </c>
      <c r="AM41" s="101">
        <v>1.5</v>
      </c>
      <c r="AN41" s="102">
        <f t="shared" si="6"/>
        <v>14.0625</v>
      </c>
      <c r="AO41" s="98">
        <v>150000</v>
      </c>
      <c r="AP41" s="103">
        <f t="shared" si="7"/>
        <v>2109375</v>
      </c>
    </row>
    <row r="42" spans="1:42" ht="30" customHeight="1" thickBot="1">
      <c r="A42" s="272" t="s">
        <v>218</v>
      </c>
      <c r="B42" s="273"/>
      <c r="C42" s="273"/>
      <c r="D42" s="273"/>
      <c r="E42" s="273"/>
      <c r="F42" s="273"/>
      <c r="G42" s="273"/>
      <c r="H42" s="274"/>
      <c r="I42" s="109">
        <f>SUM(I10:I41)</f>
        <v>0</v>
      </c>
      <c r="J42" s="109">
        <f t="shared" ref="J42:AN42" si="8">SUM(J6:J41)</f>
        <v>0</v>
      </c>
      <c r="K42" s="109">
        <f t="shared" si="8"/>
        <v>5.8125</v>
      </c>
      <c r="L42" s="109">
        <f t="shared" si="8"/>
        <v>5.125</v>
      </c>
      <c r="M42" s="109">
        <f t="shared" si="8"/>
        <v>11</v>
      </c>
      <c r="N42" s="109">
        <f t="shared" si="8"/>
        <v>10</v>
      </c>
      <c r="O42" s="109">
        <f t="shared" si="8"/>
        <v>0</v>
      </c>
      <c r="P42" s="109">
        <f t="shared" si="8"/>
        <v>0</v>
      </c>
      <c r="Q42" s="109">
        <f t="shared" si="8"/>
        <v>17.75</v>
      </c>
      <c r="R42" s="109">
        <f t="shared" si="8"/>
        <v>11.875</v>
      </c>
      <c r="S42" s="109">
        <f t="shared" si="8"/>
        <v>22.75</v>
      </c>
      <c r="T42" s="109">
        <f t="shared" si="8"/>
        <v>21</v>
      </c>
      <c r="U42" s="109">
        <f t="shared" si="8"/>
        <v>20</v>
      </c>
      <c r="V42" s="109">
        <f t="shared" si="8"/>
        <v>6</v>
      </c>
      <c r="W42" s="109">
        <f t="shared" si="8"/>
        <v>0</v>
      </c>
      <c r="X42" s="109">
        <f t="shared" si="8"/>
        <v>23.75</v>
      </c>
      <c r="Y42" s="109">
        <f t="shared" si="8"/>
        <v>23.5</v>
      </c>
      <c r="Z42" s="109">
        <f t="shared" si="8"/>
        <v>26.5</v>
      </c>
      <c r="AA42" s="109">
        <f t="shared" si="8"/>
        <v>37.875</v>
      </c>
      <c r="AB42" s="109">
        <f t="shared" si="8"/>
        <v>28</v>
      </c>
      <c r="AC42" s="109">
        <f t="shared" si="8"/>
        <v>18</v>
      </c>
      <c r="AD42" s="109">
        <f t="shared" si="8"/>
        <v>0</v>
      </c>
      <c r="AE42" s="109">
        <f t="shared" si="8"/>
        <v>27.8125</v>
      </c>
      <c r="AF42" s="109">
        <f t="shared" si="8"/>
        <v>41.25</v>
      </c>
      <c r="AG42" s="109">
        <f t="shared" si="8"/>
        <v>36</v>
      </c>
      <c r="AH42" s="109">
        <f t="shared" si="8"/>
        <v>51.25</v>
      </c>
      <c r="AI42" s="109">
        <f t="shared" si="8"/>
        <v>35</v>
      </c>
      <c r="AJ42" s="109">
        <f t="shared" si="8"/>
        <v>15</v>
      </c>
      <c r="AK42" s="109">
        <f t="shared" si="8"/>
        <v>0</v>
      </c>
      <c r="AL42" s="109">
        <f t="shared" si="8"/>
        <v>34.5</v>
      </c>
      <c r="AM42" s="109">
        <f t="shared" si="8"/>
        <v>52.5</v>
      </c>
      <c r="AN42" s="112">
        <f t="shared" si="8"/>
        <v>582.25</v>
      </c>
      <c r="AO42" s="113">
        <f>AVERAGE(AO6:AO41)</f>
        <v>194444.44444444444</v>
      </c>
      <c r="AP42" s="114">
        <f>SUM(AP6:AP41)</f>
        <v>112889375</v>
      </c>
    </row>
    <row r="43" spans="1:42" ht="24.95" hidden="1" customHeight="1">
      <c r="A43" s="95">
        <v>1</v>
      </c>
      <c r="B43" s="96"/>
      <c r="C43" s="97"/>
      <c r="D43" s="107"/>
      <c r="E43" s="97"/>
      <c r="F43" s="98"/>
      <c r="G43" s="99"/>
      <c r="H43" s="100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2">
        <f>SUM(I43:AM43)</f>
        <v>0</v>
      </c>
      <c r="AO43" s="98"/>
      <c r="AP43" s="103">
        <f>AN43*AO43</f>
        <v>0</v>
      </c>
    </row>
    <row r="44" spans="1:42" ht="24.95" hidden="1" customHeight="1">
      <c r="A44" s="104">
        <v>2</v>
      </c>
      <c r="B44" s="96"/>
      <c r="C44" s="97"/>
      <c r="D44" s="107"/>
      <c r="E44" s="97"/>
      <c r="F44" s="106"/>
      <c r="G44" s="99"/>
      <c r="H44" s="100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2">
        <f t="shared" ref="AN44:AN46" si="9">SUM(I44:AM44)</f>
        <v>0</v>
      </c>
      <c r="AO44" s="98"/>
      <c r="AP44" s="103">
        <f t="shared" ref="AP44:AP46" si="10">AN44*AO44</f>
        <v>0</v>
      </c>
    </row>
    <row r="45" spans="1:42" ht="24.95" hidden="1" customHeight="1">
      <c r="A45" s="104">
        <v>3</v>
      </c>
      <c r="B45" s="96"/>
      <c r="C45" s="97"/>
      <c r="D45" s="105"/>
      <c r="E45" s="97"/>
      <c r="F45" s="106"/>
      <c r="G45" s="99"/>
      <c r="H45" s="100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2">
        <f t="shared" si="9"/>
        <v>0</v>
      </c>
      <c r="AO45" s="98"/>
      <c r="AP45" s="103">
        <f t="shared" si="10"/>
        <v>0</v>
      </c>
    </row>
    <row r="46" spans="1:42" ht="24.95" hidden="1" customHeight="1" thickBot="1">
      <c r="A46" s="104">
        <v>4</v>
      </c>
      <c r="B46" s="96"/>
      <c r="C46" s="97"/>
      <c r="D46" s="105"/>
      <c r="E46" s="97"/>
      <c r="F46" s="106"/>
      <c r="G46" s="99"/>
      <c r="H46" s="100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/>
      <c r="AM46" s="101"/>
      <c r="AN46" s="102">
        <f t="shared" si="9"/>
        <v>0</v>
      </c>
      <c r="AO46" s="98"/>
      <c r="AP46" s="103">
        <f t="shared" si="10"/>
        <v>0</v>
      </c>
    </row>
    <row r="47" spans="1:42" ht="30" hidden="1" customHeight="1" thickBot="1">
      <c r="A47" s="272" t="s">
        <v>239</v>
      </c>
      <c r="B47" s="273"/>
      <c r="C47" s="273"/>
      <c r="D47" s="273"/>
      <c r="E47" s="273"/>
      <c r="F47" s="273"/>
      <c r="G47" s="273"/>
      <c r="H47" s="274"/>
      <c r="I47" s="109">
        <f t="shared" ref="I47:AN47" si="11">SUM(I43:I46)</f>
        <v>0</v>
      </c>
      <c r="J47" s="110">
        <f t="shared" si="11"/>
        <v>0</v>
      </c>
      <c r="K47" s="110">
        <f t="shared" si="11"/>
        <v>0</v>
      </c>
      <c r="L47" s="110">
        <f t="shared" si="11"/>
        <v>0</v>
      </c>
      <c r="M47" s="110">
        <f t="shared" si="11"/>
        <v>0</v>
      </c>
      <c r="N47" s="110">
        <f t="shared" si="11"/>
        <v>0</v>
      </c>
      <c r="O47" s="110">
        <f t="shared" si="11"/>
        <v>0</v>
      </c>
      <c r="P47" s="110">
        <f t="shared" si="11"/>
        <v>0</v>
      </c>
      <c r="Q47" s="110">
        <f t="shared" si="11"/>
        <v>0</v>
      </c>
      <c r="R47" s="110">
        <f t="shared" si="11"/>
        <v>0</v>
      </c>
      <c r="S47" s="110">
        <f t="shared" si="11"/>
        <v>0</v>
      </c>
      <c r="T47" s="110">
        <f t="shared" si="11"/>
        <v>0</v>
      </c>
      <c r="U47" s="110">
        <f t="shared" si="11"/>
        <v>0</v>
      </c>
      <c r="V47" s="110">
        <f t="shared" si="11"/>
        <v>0</v>
      </c>
      <c r="W47" s="110">
        <f t="shared" si="11"/>
        <v>0</v>
      </c>
      <c r="X47" s="110">
        <f t="shared" si="11"/>
        <v>0</v>
      </c>
      <c r="Y47" s="110">
        <f t="shared" si="11"/>
        <v>0</v>
      </c>
      <c r="Z47" s="110">
        <f t="shared" si="11"/>
        <v>0</v>
      </c>
      <c r="AA47" s="110">
        <f t="shared" si="11"/>
        <v>0</v>
      </c>
      <c r="AB47" s="110">
        <f t="shared" si="11"/>
        <v>0</v>
      </c>
      <c r="AC47" s="110">
        <f t="shared" si="11"/>
        <v>0</v>
      </c>
      <c r="AD47" s="110">
        <f t="shared" si="11"/>
        <v>0</v>
      </c>
      <c r="AE47" s="110">
        <f t="shared" si="11"/>
        <v>0</v>
      </c>
      <c r="AF47" s="110">
        <f t="shared" si="11"/>
        <v>0</v>
      </c>
      <c r="AG47" s="110">
        <f t="shared" si="11"/>
        <v>0</v>
      </c>
      <c r="AH47" s="110">
        <f t="shared" si="11"/>
        <v>0</v>
      </c>
      <c r="AI47" s="110">
        <f t="shared" si="11"/>
        <v>0</v>
      </c>
      <c r="AJ47" s="110">
        <f t="shared" si="11"/>
        <v>0</v>
      </c>
      <c r="AK47" s="110">
        <f t="shared" si="11"/>
        <v>0</v>
      </c>
      <c r="AL47" s="110">
        <f t="shared" si="11"/>
        <v>0</v>
      </c>
      <c r="AM47" s="111">
        <f t="shared" si="11"/>
        <v>0</v>
      </c>
      <c r="AN47" s="112">
        <f t="shared" si="11"/>
        <v>0</v>
      </c>
      <c r="AO47" s="113"/>
      <c r="AP47" s="114">
        <f>SUM(AP43:AP46)</f>
        <v>0</v>
      </c>
    </row>
    <row r="48" spans="1:42" ht="35.1" customHeight="1" thickBot="1">
      <c r="A48" s="275" t="s">
        <v>240</v>
      </c>
      <c r="B48" s="276"/>
      <c r="C48" s="276"/>
      <c r="D48" s="276"/>
      <c r="E48" s="276"/>
      <c r="F48" s="276"/>
      <c r="G48" s="276"/>
      <c r="H48" s="277"/>
      <c r="I48" s="115">
        <f t="shared" ref="I48:AP48" si="12">I42+I47</f>
        <v>0</v>
      </c>
      <c r="J48" s="116">
        <f t="shared" si="12"/>
        <v>0</v>
      </c>
      <c r="K48" s="116">
        <f t="shared" si="12"/>
        <v>5.8125</v>
      </c>
      <c r="L48" s="116">
        <f t="shared" si="12"/>
        <v>5.125</v>
      </c>
      <c r="M48" s="116">
        <f t="shared" si="12"/>
        <v>11</v>
      </c>
      <c r="N48" s="116">
        <f t="shared" si="12"/>
        <v>10</v>
      </c>
      <c r="O48" s="116">
        <f t="shared" si="12"/>
        <v>0</v>
      </c>
      <c r="P48" s="116">
        <f t="shared" si="12"/>
        <v>0</v>
      </c>
      <c r="Q48" s="116">
        <f t="shared" si="12"/>
        <v>17.75</v>
      </c>
      <c r="R48" s="116">
        <f t="shared" si="12"/>
        <v>11.875</v>
      </c>
      <c r="S48" s="116">
        <f t="shared" si="12"/>
        <v>22.75</v>
      </c>
      <c r="T48" s="116">
        <f t="shared" si="12"/>
        <v>21</v>
      </c>
      <c r="U48" s="116">
        <f t="shared" si="12"/>
        <v>20</v>
      </c>
      <c r="V48" s="116">
        <f t="shared" si="12"/>
        <v>6</v>
      </c>
      <c r="W48" s="116">
        <f t="shared" si="12"/>
        <v>0</v>
      </c>
      <c r="X48" s="116">
        <f t="shared" si="12"/>
        <v>23.75</v>
      </c>
      <c r="Y48" s="116">
        <f t="shared" si="12"/>
        <v>23.5</v>
      </c>
      <c r="Z48" s="116">
        <f t="shared" si="12"/>
        <v>26.5</v>
      </c>
      <c r="AA48" s="116">
        <f t="shared" si="12"/>
        <v>37.875</v>
      </c>
      <c r="AB48" s="116">
        <f t="shared" si="12"/>
        <v>28</v>
      </c>
      <c r="AC48" s="116">
        <f t="shared" si="12"/>
        <v>18</v>
      </c>
      <c r="AD48" s="116">
        <f t="shared" si="12"/>
        <v>0</v>
      </c>
      <c r="AE48" s="116">
        <f t="shared" si="12"/>
        <v>27.8125</v>
      </c>
      <c r="AF48" s="116">
        <f t="shared" si="12"/>
        <v>41.25</v>
      </c>
      <c r="AG48" s="116">
        <f t="shared" si="12"/>
        <v>36</v>
      </c>
      <c r="AH48" s="116">
        <f t="shared" si="12"/>
        <v>51.25</v>
      </c>
      <c r="AI48" s="116">
        <f t="shared" si="12"/>
        <v>35</v>
      </c>
      <c r="AJ48" s="116">
        <f t="shared" si="12"/>
        <v>15</v>
      </c>
      <c r="AK48" s="116">
        <f t="shared" si="12"/>
        <v>0</v>
      </c>
      <c r="AL48" s="116">
        <f t="shared" si="12"/>
        <v>34.5</v>
      </c>
      <c r="AM48" s="116">
        <f t="shared" si="12"/>
        <v>52.5</v>
      </c>
      <c r="AN48" s="117">
        <f t="shared" si="12"/>
        <v>582.25</v>
      </c>
      <c r="AO48" s="118">
        <f t="shared" si="12"/>
        <v>194444.44444444444</v>
      </c>
      <c r="AP48" s="119">
        <f t="shared" si="12"/>
        <v>112889375</v>
      </c>
    </row>
    <row r="49" spans="3:41">
      <c r="G49" s="84"/>
      <c r="H49" s="84"/>
      <c r="AG49" s="120"/>
      <c r="AI49" s="121"/>
      <c r="AO49" s="84"/>
    </row>
    <row r="50" spans="3:41">
      <c r="G50" s="84"/>
      <c r="H50" s="84"/>
      <c r="AG50" s="120"/>
      <c r="AI50" s="121"/>
      <c r="AO50" s="136"/>
    </row>
    <row r="51" spans="3:41">
      <c r="G51" s="84"/>
      <c r="H51" s="84"/>
      <c r="AG51" s="120"/>
      <c r="AI51" s="121"/>
      <c r="AO51" s="84"/>
    </row>
    <row r="52" spans="3:41">
      <c r="G52" s="84"/>
      <c r="H52" s="84"/>
      <c r="AG52" s="120"/>
      <c r="AI52" s="121"/>
      <c r="AO52" s="84"/>
    </row>
    <row r="53" spans="3:41">
      <c r="G53" s="84"/>
      <c r="H53" s="84"/>
      <c r="AI53" s="120"/>
      <c r="AM53" s="121"/>
      <c r="AO53" s="84"/>
    </row>
    <row r="54" spans="3:41">
      <c r="G54" s="84"/>
      <c r="H54" s="84"/>
      <c r="AI54" s="120"/>
      <c r="AJ54" s="120"/>
      <c r="AM54" s="121"/>
      <c r="AO54" s="84"/>
    </row>
    <row r="55" spans="3:41">
      <c r="G55" s="84"/>
      <c r="H55" s="84"/>
      <c r="AJ55" s="120"/>
      <c r="AK55" s="120"/>
      <c r="AL55" s="120"/>
      <c r="AO55" s="84"/>
    </row>
    <row r="56" spans="3:41">
      <c r="G56" s="84"/>
      <c r="H56" s="84"/>
      <c r="AJ56" s="120"/>
      <c r="AK56" s="120"/>
      <c r="AL56" s="120"/>
      <c r="AO56" s="84"/>
    </row>
    <row r="57" spans="3:41">
      <c r="G57" s="84"/>
      <c r="H57" s="84"/>
      <c r="AJ57" s="120"/>
      <c r="AK57" s="120"/>
      <c r="AL57" s="120"/>
      <c r="AO57" s="84"/>
    </row>
    <row r="58" spans="3:41">
      <c r="G58" s="84"/>
      <c r="H58" s="84"/>
      <c r="AK58" s="120"/>
      <c r="AL58" s="120"/>
      <c r="AO58" s="84"/>
    </row>
    <row r="59" spans="3:41">
      <c r="C59" s="85"/>
      <c r="D59" s="85"/>
      <c r="E59" s="85"/>
      <c r="G59" s="84"/>
      <c r="H59" s="84"/>
      <c r="AN59" s="121"/>
      <c r="AO59" s="84"/>
    </row>
    <row r="60" spans="3:41">
      <c r="C60" s="85"/>
      <c r="D60" s="85"/>
      <c r="E60" s="85"/>
      <c r="G60" s="84"/>
      <c r="H60" s="84"/>
      <c r="AN60" s="121"/>
      <c r="AO60" s="84"/>
    </row>
    <row r="61" spans="3:41">
      <c r="C61" s="85"/>
      <c r="D61" s="85"/>
      <c r="E61" s="85"/>
      <c r="G61" s="84"/>
      <c r="H61" s="84"/>
      <c r="AN61" s="121"/>
      <c r="AO61" s="84"/>
    </row>
    <row r="62" spans="3:41">
      <c r="C62" s="85"/>
      <c r="D62" s="85"/>
      <c r="E62" s="85"/>
      <c r="G62" s="84"/>
      <c r="H62" s="84"/>
      <c r="AN62" s="121"/>
      <c r="AO62" s="84"/>
    </row>
    <row r="63" spans="3:41">
      <c r="C63" s="85"/>
      <c r="D63" s="85"/>
      <c r="E63" s="85"/>
      <c r="G63" s="84"/>
      <c r="H63" s="84"/>
      <c r="AN63" s="121"/>
      <c r="AO63" s="84"/>
    </row>
    <row r="64" spans="3:41">
      <c r="E64" s="85"/>
      <c r="F64" s="85"/>
      <c r="G64" s="84"/>
      <c r="H64" s="84"/>
      <c r="AO64" s="121"/>
    </row>
    <row r="65" spans="5:41">
      <c r="E65" s="85"/>
      <c r="F65" s="85"/>
      <c r="G65" s="84"/>
      <c r="H65" s="84"/>
      <c r="AO65" s="121"/>
    </row>
    <row r="66" spans="5:41">
      <c r="E66" s="85"/>
      <c r="F66" s="85"/>
      <c r="G66" s="84"/>
      <c r="H66" s="84"/>
      <c r="AO66" s="121"/>
    </row>
    <row r="67" spans="5:41">
      <c r="E67" s="85"/>
      <c r="F67" s="85"/>
      <c r="G67" s="84"/>
      <c r="H67" s="84"/>
      <c r="AO67" s="121"/>
    </row>
    <row r="68" spans="5:41">
      <c r="E68" s="85"/>
      <c r="F68" s="85"/>
      <c r="G68" s="84"/>
      <c r="H68" s="84"/>
      <c r="AO68" s="121"/>
    </row>
    <row r="69" spans="5:41">
      <c r="E69" s="85"/>
      <c r="F69" s="85"/>
      <c r="G69" s="84"/>
      <c r="H69" s="84"/>
      <c r="AO69" s="121"/>
    </row>
    <row r="70" spans="5:41">
      <c r="E70" s="85"/>
      <c r="F70" s="85"/>
      <c r="G70" s="84"/>
      <c r="H70" s="84"/>
      <c r="AO70" s="121"/>
    </row>
    <row r="71" spans="5:41">
      <c r="E71" s="85"/>
      <c r="F71" s="85"/>
      <c r="G71" s="84"/>
      <c r="H71" s="84"/>
      <c r="AO71" s="121"/>
    </row>
    <row r="72" spans="5:41">
      <c r="E72" s="85"/>
      <c r="F72" s="85"/>
      <c r="G72" s="84"/>
      <c r="H72" s="84"/>
      <c r="AO72" s="121"/>
    </row>
    <row r="73" spans="5:41">
      <c r="E73" s="85"/>
      <c r="F73" s="85"/>
      <c r="G73" s="84"/>
      <c r="H73" s="84"/>
      <c r="AO73" s="121"/>
    </row>
    <row r="74" spans="5:41">
      <c r="E74" s="85"/>
      <c r="F74" s="85"/>
      <c r="G74" s="84"/>
      <c r="H74" s="84"/>
      <c r="AO74" s="121"/>
    </row>
    <row r="75" spans="5:41">
      <c r="E75" s="85"/>
      <c r="F75" s="85"/>
      <c r="G75" s="84"/>
      <c r="H75" s="84"/>
      <c r="AO75" s="121"/>
    </row>
    <row r="76" spans="5:41">
      <c r="E76" s="85"/>
      <c r="F76" s="85"/>
      <c r="G76" s="84"/>
      <c r="H76" s="84"/>
      <c r="AO76" s="121"/>
    </row>
    <row r="77" spans="5:41">
      <c r="E77" s="85"/>
      <c r="F77" s="85"/>
      <c r="G77" s="84"/>
      <c r="H77" s="84"/>
      <c r="AO77" s="121"/>
    </row>
    <row r="78" spans="5:41">
      <c r="E78" s="85"/>
      <c r="F78" s="85"/>
      <c r="G78" s="84"/>
      <c r="H78" s="84"/>
      <c r="AO78" s="121"/>
    </row>
    <row r="79" spans="5:41">
      <c r="E79" s="85"/>
      <c r="F79" s="85"/>
      <c r="G79" s="84"/>
      <c r="H79" s="84"/>
      <c r="AO79" s="121"/>
    </row>
    <row r="80" spans="5:41">
      <c r="E80" s="85"/>
      <c r="F80" s="85"/>
      <c r="G80" s="84"/>
      <c r="H80" s="84"/>
      <c r="AO80" s="121"/>
    </row>
    <row r="81" spans="5:42">
      <c r="E81" s="85"/>
      <c r="F81" s="85"/>
      <c r="G81" s="84"/>
      <c r="H81" s="84"/>
      <c r="AO81" s="121"/>
    </row>
    <row r="82" spans="5:42">
      <c r="E82" s="85"/>
      <c r="F82" s="85"/>
      <c r="G82" s="84"/>
      <c r="H82" s="84"/>
      <c r="AO82" s="121"/>
    </row>
    <row r="83" spans="5:42">
      <c r="E83" s="85"/>
      <c r="F83" s="85"/>
      <c r="G83" s="84"/>
      <c r="H83" s="84"/>
      <c r="AO83" s="121"/>
    </row>
    <row r="84" spans="5:42">
      <c r="E84" s="85"/>
      <c r="F84" s="85"/>
      <c r="G84" s="84"/>
      <c r="H84" s="84"/>
      <c r="AO84" s="121"/>
    </row>
    <row r="85" spans="5:42">
      <c r="E85" s="85"/>
      <c r="F85" s="85"/>
      <c r="G85" s="84"/>
      <c r="H85" s="84"/>
      <c r="AO85" s="121"/>
    </row>
    <row r="86" spans="5:42">
      <c r="E86" s="85"/>
      <c r="F86" s="85"/>
      <c r="G86" s="84"/>
      <c r="H86" s="84"/>
      <c r="AO86" s="121"/>
    </row>
    <row r="87" spans="5:42">
      <c r="E87" s="85"/>
      <c r="F87" s="85"/>
      <c r="G87" s="84"/>
      <c r="H87" s="84"/>
      <c r="AO87" s="121"/>
    </row>
    <row r="88" spans="5:42">
      <c r="F88" s="85"/>
      <c r="H88" s="84"/>
      <c r="AN88" s="120"/>
      <c r="AO88" s="84"/>
      <c r="AP88" s="123"/>
    </row>
    <row r="89" spans="5:42">
      <c r="F89" s="85"/>
      <c r="H89" s="84"/>
      <c r="AN89" s="120"/>
      <c r="AO89" s="84"/>
      <c r="AP89" s="123"/>
    </row>
    <row r="90" spans="5:42">
      <c r="F90" s="85"/>
      <c r="H90" s="84"/>
      <c r="AN90" s="120"/>
      <c r="AO90" s="84"/>
      <c r="AP90" s="123"/>
    </row>
    <row r="91" spans="5:42">
      <c r="F91" s="85"/>
      <c r="H91" s="84"/>
      <c r="AN91" s="120"/>
      <c r="AO91" s="84"/>
      <c r="AP91" s="123"/>
    </row>
    <row r="92" spans="5:42">
      <c r="F92" s="85"/>
      <c r="H92" s="84"/>
      <c r="AN92" s="120"/>
      <c r="AO92" s="84"/>
      <c r="AP92" s="123"/>
    </row>
    <row r="93" spans="5:42">
      <c r="F93" s="85"/>
      <c r="H93" s="84"/>
      <c r="AN93" s="120"/>
      <c r="AO93" s="84"/>
      <c r="AP93" s="123"/>
    </row>
    <row r="94" spans="5:42">
      <c r="F94" s="85"/>
      <c r="H94" s="84"/>
      <c r="AN94" s="120"/>
      <c r="AO94" s="84"/>
      <c r="AP94" s="123"/>
    </row>
    <row r="95" spans="5:42">
      <c r="F95" s="85"/>
      <c r="H95" s="84"/>
      <c r="AN95" s="120"/>
      <c r="AO95" s="84"/>
      <c r="AP95" s="123"/>
    </row>
    <row r="96" spans="5:42">
      <c r="F96" s="85"/>
      <c r="H96" s="84"/>
      <c r="AN96" s="120"/>
      <c r="AO96" s="84"/>
      <c r="AP96" s="123"/>
    </row>
    <row r="97" spans="6:42">
      <c r="F97" s="85"/>
      <c r="H97" s="84"/>
      <c r="AN97" s="120"/>
      <c r="AO97" s="84"/>
      <c r="AP97" s="123"/>
    </row>
    <row r="98" spans="6:42">
      <c r="F98" s="85"/>
      <c r="H98" s="84"/>
      <c r="AN98" s="120"/>
      <c r="AO98" s="84"/>
      <c r="AP98" s="123"/>
    </row>
    <row r="99" spans="6:42">
      <c r="F99" s="85"/>
      <c r="H99" s="84"/>
      <c r="AN99" s="120"/>
      <c r="AO99" s="84"/>
      <c r="AP99" s="123"/>
    </row>
    <row r="100" spans="6:42">
      <c r="F100" s="85"/>
      <c r="H100" s="84"/>
      <c r="AN100" s="120"/>
      <c r="AO100" s="84"/>
      <c r="AP100" s="123"/>
    </row>
    <row r="101" spans="6:42">
      <c r="F101" s="85"/>
      <c r="H101" s="84"/>
      <c r="AN101" s="120"/>
      <c r="AO101" s="84"/>
      <c r="AP101" s="123"/>
    </row>
    <row r="102" spans="6:42">
      <c r="F102" s="85"/>
      <c r="H102" s="84"/>
      <c r="AN102" s="120"/>
      <c r="AO102" s="84"/>
      <c r="AP102" s="123"/>
    </row>
    <row r="103" spans="6:42">
      <c r="F103" s="85"/>
      <c r="H103" s="84"/>
      <c r="AN103" s="120"/>
      <c r="AO103" s="84"/>
      <c r="AP103" s="123"/>
    </row>
    <row r="104" spans="6:42">
      <c r="F104" s="85"/>
      <c r="H104" s="84"/>
      <c r="AN104" s="120"/>
      <c r="AO104" s="84"/>
      <c r="AP104" s="123"/>
    </row>
    <row r="105" spans="6:42">
      <c r="F105" s="85"/>
      <c r="H105" s="84"/>
      <c r="AN105" s="120"/>
      <c r="AO105" s="84"/>
      <c r="AP105" s="123"/>
    </row>
    <row r="106" spans="6:42">
      <c r="F106" s="85"/>
      <c r="H106" s="84"/>
      <c r="AN106" s="120"/>
      <c r="AO106" s="84"/>
      <c r="AP106" s="123"/>
    </row>
    <row r="107" spans="6:42">
      <c r="F107" s="85"/>
      <c r="H107" s="84"/>
      <c r="AN107" s="120"/>
      <c r="AO107" s="84"/>
      <c r="AP107" s="123"/>
    </row>
    <row r="108" spans="6:42">
      <c r="F108" s="85"/>
      <c r="H108" s="84"/>
      <c r="AN108" s="120"/>
      <c r="AO108" s="84"/>
      <c r="AP108" s="123"/>
    </row>
    <row r="109" spans="6:42">
      <c r="F109" s="85"/>
      <c r="H109" s="84"/>
      <c r="AN109" s="120"/>
      <c r="AO109" s="84"/>
      <c r="AP109" s="123"/>
    </row>
    <row r="110" spans="6:42">
      <c r="F110" s="85"/>
      <c r="H110" s="84"/>
      <c r="AN110" s="120"/>
      <c r="AO110" s="84"/>
      <c r="AP110" s="123"/>
    </row>
    <row r="111" spans="6:42">
      <c r="F111" s="85"/>
      <c r="H111" s="84"/>
      <c r="AN111" s="120"/>
      <c r="AO111" s="84"/>
      <c r="AP111" s="123"/>
    </row>
    <row r="112" spans="6:42">
      <c r="F112" s="85"/>
      <c r="H112" s="84"/>
      <c r="AN112" s="120"/>
      <c r="AO112" s="84"/>
      <c r="AP112" s="123"/>
    </row>
    <row r="113" spans="6:42">
      <c r="F113" s="85"/>
      <c r="H113" s="84"/>
      <c r="AN113" s="120"/>
      <c r="AO113" s="84"/>
      <c r="AP113" s="123"/>
    </row>
    <row r="114" spans="6:42">
      <c r="F114" s="85"/>
      <c r="H114" s="84"/>
      <c r="AN114" s="120"/>
      <c r="AO114" s="84"/>
      <c r="AP114" s="123"/>
    </row>
    <row r="115" spans="6:42">
      <c r="F115" s="85"/>
      <c r="H115" s="84"/>
      <c r="AN115" s="120"/>
      <c r="AO115" s="84"/>
      <c r="AP115" s="123"/>
    </row>
    <row r="116" spans="6:42">
      <c r="F116" s="85"/>
      <c r="H116" s="84"/>
      <c r="AN116" s="120"/>
      <c r="AO116" s="84"/>
      <c r="AP116" s="123"/>
    </row>
    <row r="117" spans="6:42">
      <c r="F117" s="85"/>
      <c r="H117" s="84"/>
      <c r="AN117" s="120"/>
      <c r="AO117" s="84"/>
      <c r="AP117" s="123"/>
    </row>
    <row r="118" spans="6:42">
      <c r="F118" s="85"/>
      <c r="H118" s="84"/>
      <c r="AN118" s="120"/>
      <c r="AO118" s="84"/>
      <c r="AP118" s="123"/>
    </row>
    <row r="119" spans="6:42">
      <c r="F119" s="85"/>
      <c r="H119" s="84"/>
      <c r="AN119" s="120"/>
      <c r="AO119" s="84"/>
      <c r="AP119" s="123"/>
    </row>
    <row r="120" spans="6:42">
      <c r="F120" s="85"/>
      <c r="H120" s="84"/>
      <c r="AN120" s="120"/>
      <c r="AO120" s="84"/>
      <c r="AP120" s="123"/>
    </row>
    <row r="121" spans="6:42">
      <c r="F121" s="85"/>
      <c r="H121" s="84"/>
      <c r="AN121" s="120"/>
      <c r="AO121" s="84"/>
      <c r="AP121" s="123"/>
    </row>
    <row r="122" spans="6:42">
      <c r="F122" s="85"/>
      <c r="H122" s="84"/>
      <c r="AN122" s="120"/>
      <c r="AO122" s="84"/>
      <c r="AP122" s="123"/>
    </row>
    <row r="123" spans="6:42">
      <c r="F123" s="85"/>
      <c r="H123" s="84"/>
      <c r="AN123" s="120"/>
      <c r="AO123" s="84"/>
      <c r="AP123" s="123"/>
    </row>
    <row r="124" spans="6:42">
      <c r="F124" s="85"/>
      <c r="H124" s="84"/>
      <c r="AN124" s="120"/>
      <c r="AO124" s="84"/>
      <c r="AP124" s="123"/>
    </row>
    <row r="125" spans="6:42">
      <c r="F125" s="85"/>
      <c r="H125" s="84"/>
      <c r="AN125" s="120"/>
      <c r="AO125" s="84"/>
      <c r="AP125" s="123"/>
    </row>
    <row r="126" spans="6:42">
      <c r="F126" s="85"/>
      <c r="H126" s="84"/>
      <c r="AN126" s="120"/>
      <c r="AO126" s="84"/>
      <c r="AP126" s="123"/>
    </row>
    <row r="127" spans="6:42">
      <c r="F127" s="85"/>
      <c r="H127" s="84"/>
      <c r="AN127" s="120"/>
      <c r="AO127" s="84"/>
      <c r="AP127" s="123"/>
    </row>
    <row r="128" spans="6:42">
      <c r="F128" s="85"/>
      <c r="H128" s="84"/>
      <c r="AN128" s="120"/>
      <c r="AO128" s="84"/>
      <c r="AP128" s="123"/>
    </row>
    <row r="129" spans="6:42">
      <c r="F129" s="85"/>
      <c r="H129" s="84"/>
      <c r="AN129" s="120"/>
      <c r="AO129" s="84"/>
      <c r="AP129" s="123"/>
    </row>
  </sheetData>
  <mergeCells count="10">
    <mergeCell ref="A42:H42"/>
    <mergeCell ref="A47:H47"/>
    <mergeCell ref="A48:H48"/>
    <mergeCell ref="A1:AG3"/>
    <mergeCell ref="AH1:AL1"/>
    <mergeCell ref="AM1:AP1"/>
    <mergeCell ref="AH2:AL2"/>
    <mergeCell ref="AM2:AP2"/>
    <mergeCell ref="AH3:AL3"/>
    <mergeCell ref="AM3:AP3"/>
  </mergeCells>
  <phoneticPr fontId="3" type="noConversion"/>
  <conditionalFormatting sqref="B43:B46">
    <cfRule type="duplicateValues" dxfId="52" priority="117"/>
  </conditionalFormatting>
  <conditionalFormatting sqref="B49:B1048576 B1:B41">
    <cfRule type="duplicateValues" dxfId="51" priority="17"/>
  </conditionalFormatting>
  <conditionalFormatting sqref="B43:C46">
    <cfRule type="duplicateValues" dxfId="50" priority="119"/>
  </conditionalFormatting>
  <conditionalFormatting sqref="B49:C1048576 B1:C5">
    <cfRule type="duplicateValues" dxfId="49" priority="41"/>
  </conditionalFormatting>
  <conditionalFormatting sqref="C5">
    <cfRule type="duplicateValues" dxfId="48" priority="34"/>
    <cfRule type="duplicateValues" dxfId="47" priority="35"/>
    <cfRule type="duplicateValues" dxfId="46" priority="36"/>
  </conditionalFormatting>
  <conditionalFormatting sqref="C43:C46 E43:E46">
    <cfRule type="duplicateValues" dxfId="45" priority="121"/>
  </conditionalFormatting>
  <conditionalFormatting sqref="C43:C46">
    <cfRule type="duplicateValues" dxfId="44" priority="123"/>
    <cfRule type="duplicateValues" dxfId="43" priority="124"/>
    <cfRule type="duplicateValues" dxfId="42" priority="125"/>
  </conditionalFormatting>
  <conditionalFormatting sqref="C49:C1048576 C1:C5">
    <cfRule type="duplicateValues" dxfId="41" priority="18"/>
  </conditionalFormatting>
  <conditionalFormatting sqref="C49:C1048576 C4">
    <cfRule type="duplicateValues" dxfId="40" priority="33"/>
  </conditionalFormatting>
  <conditionalFormatting sqref="C49:C1048576 C4:C5">
    <cfRule type="duplicateValues" dxfId="39" priority="23"/>
    <cfRule type="duplicateValues" dxfId="38" priority="26"/>
    <cfRule type="duplicateValues" dxfId="37" priority="31"/>
  </conditionalFormatting>
  <conditionalFormatting sqref="C49:C1048576">
    <cfRule type="duplicateValues" dxfId="36" priority="27"/>
  </conditionalFormatting>
  <conditionalFormatting sqref="E5">
    <cfRule type="duplicateValues" dxfId="35" priority="37"/>
    <cfRule type="duplicateValues" dxfId="34" priority="38"/>
  </conditionalFormatting>
  <conditionalFormatting sqref="E43:E46">
    <cfRule type="duplicateValues" dxfId="33" priority="131"/>
    <cfRule type="duplicateValues" dxfId="32" priority="132"/>
    <cfRule type="duplicateValues" dxfId="31" priority="133"/>
  </conditionalFormatting>
  <conditionalFormatting sqref="E49:E1048576 C4:C5 E4:E5 C49:C1048576">
    <cfRule type="duplicateValues" dxfId="30" priority="28"/>
  </conditionalFormatting>
  <conditionalFormatting sqref="E49:E1048576 E1:E5">
    <cfRule type="duplicateValues" dxfId="29" priority="20"/>
  </conditionalFormatting>
  <conditionalFormatting sqref="E49:E1048576 E4:E5">
    <cfRule type="duplicateValues" dxfId="28" priority="22"/>
    <cfRule type="duplicateValues" dxfId="27" priority="25"/>
    <cfRule type="duplicateValues" dxfId="26" priority="30"/>
  </conditionalFormatting>
  <conditionalFormatting sqref="G43:H46">
    <cfRule type="duplicateValues" dxfId="25" priority="141"/>
  </conditionalFormatting>
  <conditionalFormatting sqref="G49:H1048576 G1:H5">
    <cfRule type="duplicateValues" dxfId="24" priority="19"/>
  </conditionalFormatting>
  <conditionalFormatting sqref="H5">
    <cfRule type="duplicateValues" dxfId="23" priority="39"/>
    <cfRule type="duplicateValues" dxfId="22" priority="40"/>
  </conditionalFormatting>
  <conditionalFormatting sqref="H43:H46">
    <cfRule type="duplicateValues" dxfId="21" priority="143"/>
    <cfRule type="duplicateValues" dxfId="20" priority="144"/>
    <cfRule type="duplicateValues" dxfId="19" priority="145"/>
    <cfRule type="duplicateValues" dxfId="18" priority="146"/>
    <cfRule type="duplicateValues" dxfId="17" priority="147"/>
    <cfRule type="duplicateValues" dxfId="16" priority="148"/>
  </conditionalFormatting>
  <conditionalFormatting sqref="H49:H1048576 H4">
    <cfRule type="duplicateValues" dxfId="15" priority="32"/>
  </conditionalFormatting>
  <conditionalFormatting sqref="H49:H1048576 H4:H5">
    <cfRule type="duplicateValues" dxfId="14" priority="21"/>
    <cfRule type="duplicateValues" dxfId="13" priority="24"/>
    <cfRule type="duplicateValues" dxfId="12" priority="29"/>
  </conditionalFormatting>
  <conditionalFormatting sqref="B6:C41">
    <cfRule type="duplicateValues" dxfId="11" priority="150"/>
  </conditionalFormatting>
  <conditionalFormatting sqref="C6:C41">
    <cfRule type="duplicateValues" dxfId="10" priority="152"/>
    <cfRule type="duplicateValues" dxfId="9" priority="153"/>
    <cfRule type="duplicateValues" dxfId="8" priority="154"/>
    <cfRule type="duplicateValues" dxfId="7" priority="155"/>
  </conditionalFormatting>
  <conditionalFormatting sqref="G6:H41">
    <cfRule type="duplicateValues" dxfId="6" priority="169"/>
  </conditionalFormatting>
  <conditionalFormatting sqref="H6:H41">
    <cfRule type="duplicateValues" dxfId="5" priority="171"/>
    <cfRule type="duplicateValues" dxfId="4" priority="172"/>
    <cfRule type="duplicateValues" dxfId="3" priority="173"/>
    <cfRule type="duplicateValues" dxfId="2" priority="174"/>
    <cfRule type="duplicateValues" dxfId="1" priority="175"/>
    <cfRule type="duplicateValues" dxfId="0" priority="176"/>
  </conditionalFormatting>
  <pageMargins left="0.7" right="0.7" top="0.75" bottom="0.75" header="0.3" footer="0.3"/>
  <pageSetup paperSize="9" scale="31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39997558519241921"/>
    <pageSetUpPr fitToPage="1"/>
  </sheetPr>
  <dimension ref="A1:L14"/>
  <sheetViews>
    <sheetView tabSelected="1" view="pageBreakPreview" zoomScaleNormal="100" zoomScaleSheetLayoutView="100" workbookViewId="0">
      <selection activeCell="J17" sqref="J17"/>
    </sheetView>
  </sheetViews>
  <sheetFormatPr defaultRowHeight="16.5"/>
  <cols>
    <col min="1" max="1" width="9" style="39"/>
    <col min="2" max="3" width="12.625" style="39" customWidth="1"/>
    <col min="4" max="4" width="16" style="39" bestFit="1" customWidth="1"/>
    <col min="5" max="5" width="31.375" style="39" bestFit="1" customWidth="1"/>
    <col min="6" max="6" width="10.625" style="39" customWidth="1"/>
    <col min="7" max="8" width="8.125" style="39" customWidth="1"/>
    <col min="9" max="9" width="13.625" style="39" customWidth="1"/>
    <col min="10" max="10" width="35.625" style="39" customWidth="1"/>
    <col min="11" max="12" width="9" style="39"/>
  </cols>
  <sheetData>
    <row r="1" spans="1:12" ht="35.1" customHeight="1">
      <c r="A1" s="287" t="s">
        <v>241</v>
      </c>
      <c r="B1" s="288"/>
      <c r="C1" s="288"/>
      <c r="D1" s="288"/>
      <c r="E1" s="288"/>
      <c r="F1" s="288"/>
      <c r="G1" s="288"/>
      <c r="H1" s="288"/>
      <c r="I1" s="288"/>
      <c r="J1" s="289"/>
    </row>
    <row r="2" spans="1:12" ht="20.100000000000001" customHeight="1">
      <c r="A2" s="290" t="s">
        <v>242</v>
      </c>
      <c r="B2" s="290" t="s">
        <v>243</v>
      </c>
      <c r="C2" s="290" t="s">
        <v>244</v>
      </c>
      <c r="D2" s="290" t="s">
        <v>245</v>
      </c>
      <c r="E2" s="290" t="s">
        <v>246</v>
      </c>
      <c r="F2" s="290" t="s">
        <v>247</v>
      </c>
      <c r="G2" s="290" t="s">
        <v>248</v>
      </c>
      <c r="H2" s="290" t="s">
        <v>249</v>
      </c>
      <c r="I2" s="124" t="s">
        <v>250</v>
      </c>
      <c r="J2" s="290" t="s">
        <v>251</v>
      </c>
    </row>
    <row r="3" spans="1:12" ht="20.100000000000001" customHeight="1">
      <c r="A3" s="290"/>
      <c r="B3" s="290"/>
      <c r="C3" s="290"/>
      <c r="D3" s="290"/>
      <c r="E3" s="290"/>
      <c r="F3" s="290"/>
      <c r="G3" s="290"/>
      <c r="H3" s="290"/>
      <c r="I3" s="125">
        <f>SUM(I4:I14)</f>
        <v>18330000</v>
      </c>
      <c r="J3" s="290"/>
      <c r="L3" s="126" t="s">
        <v>252</v>
      </c>
    </row>
    <row r="4" spans="1:12" ht="20.100000000000001" customHeight="1">
      <c r="A4" s="127">
        <v>1</v>
      </c>
      <c r="B4" s="137">
        <v>46112</v>
      </c>
      <c r="C4" s="127" t="s">
        <v>253</v>
      </c>
      <c r="D4" s="127" t="s">
        <v>331</v>
      </c>
      <c r="E4" s="138" t="s">
        <v>513</v>
      </c>
      <c r="F4" s="127" t="s">
        <v>310</v>
      </c>
      <c r="G4" s="127">
        <v>1</v>
      </c>
      <c r="H4" s="127">
        <v>6</v>
      </c>
      <c r="I4" s="128">
        <v>1600000</v>
      </c>
      <c r="J4" s="127" t="s">
        <v>255</v>
      </c>
      <c r="L4" s="129" t="s">
        <v>256</v>
      </c>
    </row>
    <row r="5" spans="1:12" ht="20.100000000000001" customHeight="1">
      <c r="A5" s="127">
        <v>2</v>
      </c>
      <c r="B5" s="137">
        <v>46112</v>
      </c>
      <c r="C5" s="127" t="s">
        <v>253</v>
      </c>
      <c r="D5" s="127" t="s">
        <v>331</v>
      </c>
      <c r="E5" s="138" t="s">
        <v>515</v>
      </c>
      <c r="F5" s="127" t="s">
        <v>512</v>
      </c>
      <c r="G5" s="127">
        <v>1</v>
      </c>
      <c r="H5" s="127">
        <v>6</v>
      </c>
      <c r="I5" s="128">
        <v>1700000</v>
      </c>
      <c r="J5" s="127" t="s">
        <v>255</v>
      </c>
      <c r="L5" s="129" t="s">
        <v>257</v>
      </c>
    </row>
    <row r="6" spans="1:12" ht="20.100000000000001" customHeight="1">
      <c r="A6" s="127">
        <v>3</v>
      </c>
      <c r="B6" s="137">
        <v>46112</v>
      </c>
      <c r="C6" s="127" t="s">
        <v>253</v>
      </c>
      <c r="D6" s="127" t="s">
        <v>331</v>
      </c>
      <c r="E6" s="138" t="s">
        <v>517</v>
      </c>
      <c r="F6" s="127" t="s">
        <v>310</v>
      </c>
      <c r="G6" s="127">
        <v>1</v>
      </c>
      <c r="H6" s="127">
        <v>6</v>
      </c>
      <c r="I6" s="301">
        <v>1530000</v>
      </c>
      <c r="J6" s="127" t="s">
        <v>255</v>
      </c>
      <c r="L6" s="129" t="s">
        <v>258</v>
      </c>
    </row>
    <row r="7" spans="1:12" ht="20.100000000000001" customHeight="1">
      <c r="A7" s="127">
        <v>4</v>
      </c>
      <c r="B7" s="137">
        <v>46112</v>
      </c>
      <c r="C7" s="127" t="s">
        <v>253</v>
      </c>
      <c r="D7" s="127" t="s">
        <v>331</v>
      </c>
      <c r="E7" s="138" t="s">
        <v>519</v>
      </c>
      <c r="F7" s="127" t="s">
        <v>309</v>
      </c>
      <c r="G7" s="127">
        <v>1</v>
      </c>
      <c r="H7" s="127">
        <v>4</v>
      </c>
      <c r="I7" s="128">
        <v>1300000</v>
      </c>
      <c r="J7" s="127" t="s">
        <v>255</v>
      </c>
      <c r="L7" s="129" t="s">
        <v>259</v>
      </c>
    </row>
    <row r="8" spans="1:12" ht="20.100000000000001" customHeight="1">
      <c r="A8" s="127">
        <v>5</v>
      </c>
      <c r="B8" s="137">
        <v>46112</v>
      </c>
      <c r="C8" s="127" t="s">
        <v>253</v>
      </c>
      <c r="D8" s="127" t="s">
        <v>331</v>
      </c>
      <c r="E8" s="138" t="s">
        <v>521</v>
      </c>
      <c r="F8" s="127" t="s">
        <v>310</v>
      </c>
      <c r="G8" s="127">
        <v>1</v>
      </c>
      <c r="H8" s="127">
        <v>6</v>
      </c>
      <c r="I8" s="128">
        <v>1600000</v>
      </c>
      <c r="J8" s="127" t="s">
        <v>255</v>
      </c>
      <c r="L8" s="130" t="s">
        <v>260</v>
      </c>
    </row>
    <row r="9" spans="1:12" ht="20.100000000000001" customHeight="1">
      <c r="A9" s="127">
        <v>6</v>
      </c>
      <c r="B9" s="137">
        <v>46112</v>
      </c>
      <c r="C9" s="127" t="s">
        <v>253</v>
      </c>
      <c r="D9" s="127" t="s">
        <v>331</v>
      </c>
      <c r="E9" s="138" t="s">
        <v>523</v>
      </c>
      <c r="F9" s="127" t="s">
        <v>512</v>
      </c>
      <c r="G9" s="127">
        <v>1</v>
      </c>
      <c r="H9" s="127">
        <v>6</v>
      </c>
      <c r="I9" s="128">
        <v>2000000</v>
      </c>
      <c r="J9" s="127" t="s">
        <v>255</v>
      </c>
      <c r="L9" s="130" t="s">
        <v>261</v>
      </c>
    </row>
    <row r="10" spans="1:12" ht="20.100000000000001" customHeight="1">
      <c r="A10" s="127">
        <v>7</v>
      </c>
      <c r="B10" s="137">
        <v>46112</v>
      </c>
      <c r="C10" s="127" t="s">
        <v>253</v>
      </c>
      <c r="D10" s="127" t="s">
        <v>331</v>
      </c>
      <c r="E10" s="138" t="s">
        <v>525</v>
      </c>
      <c r="F10" s="127" t="s">
        <v>309</v>
      </c>
      <c r="G10" s="127">
        <v>1</v>
      </c>
      <c r="H10" s="127">
        <v>6</v>
      </c>
      <c r="I10" s="128">
        <v>1600000</v>
      </c>
      <c r="J10" s="127" t="s">
        <v>255</v>
      </c>
      <c r="L10" s="130" t="s">
        <v>262</v>
      </c>
    </row>
    <row r="11" spans="1:12" ht="20.100000000000001" customHeight="1">
      <c r="A11" s="127">
        <v>8</v>
      </c>
      <c r="B11" s="137">
        <v>46112</v>
      </c>
      <c r="C11" s="127" t="s">
        <v>253</v>
      </c>
      <c r="D11" s="127" t="s">
        <v>331</v>
      </c>
      <c r="E11" s="138" t="s">
        <v>527</v>
      </c>
      <c r="F11" s="127" t="s">
        <v>309</v>
      </c>
      <c r="G11" s="127">
        <v>1</v>
      </c>
      <c r="H11" s="127">
        <v>6</v>
      </c>
      <c r="I11" s="128">
        <v>1900000</v>
      </c>
      <c r="J11" s="127" t="s">
        <v>255</v>
      </c>
      <c r="L11" s="130"/>
    </row>
    <row r="12" spans="1:12" ht="20.100000000000001" customHeight="1">
      <c r="A12" s="127">
        <v>9</v>
      </c>
      <c r="B12" s="137">
        <v>46112</v>
      </c>
      <c r="C12" s="127" t="s">
        <v>253</v>
      </c>
      <c r="D12" s="127" t="s">
        <v>331</v>
      </c>
      <c r="E12" s="138" t="s">
        <v>528</v>
      </c>
      <c r="F12" s="127" t="s">
        <v>309</v>
      </c>
      <c r="G12" s="127">
        <v>1</v>
      </c>
      <c r="H12" s="127">
        <v>6</v>
      </c>
      <c r="I12" s="128">
        <v>1800000</v>
      </c>
      <c r="J12" s="127" t="s">
        <v>255</v>
      </c>
      <c r="L12" s="126" t="s">
        <v>263</v>
      </c>
    </row>
    <row r="13" spans="1:12" ht="20.100000000000001" customHeight="1">
      <c r="A13" s="127">
        <v>10</v>
      </c>
      <c r="B13" s="137">
        <v>46112</v>
      </c>
      <c r="C13" s="127" t="s">
        <v>253</v>
      </c>
      <c r="D13" s="127" t="s">
        <v>331</v>
      </c>
      <c r="E13" s="138" t="s">
        <v>530</v>
      </c>
      <c r="F13" s="127" t="s">
        <v>310</v>
      </c>
      <c r="G13" s="127">
        <v>1</v>
      </c>
      <c r="H13" s="127">
        <v>6</v>
      </c>
      <c r="I13" s="128">
        <v>1700000</v>
      </c>
      <c r="J13" s="127" t="s">
        <v>255</v>
      </c>
    </row>
    <row r="14" spans="1:12" ht="20.100000000000001" customHeight="1">
      <c r="A14" s="127">
        <v>11</v>
      </c>
      <c r="B14" s="137">
        <v>46112</v>
      </c>
      <c r="C14" s="127" t="s">
        <v>253</v>
      </c>
      <c r="D14" s="127" t="s">
        <v>331</v>
      </c>
      <c r="E14" s="138" t="s">
        <v>532</v>
      </c>
      <c r="F14" s="127" t="s">
        <v>309</v>
      </c>
      <c r="G14" s="127">
        <v>1</v>
      </c>
      <c r="H14" s="127">
        <v>4</v>
      </c>
      <c r="I14" s="128">
        <v>1600000</v>
      </c>
      <c r="J14" s="127" t="s">
        <v>255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6" fitToHeight="0" orientation="landscape" r:id="rId1"/>
  <colBreaks count="1" manualBreakCount="1">
    <brk id="10" max="8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39997558519241921"/>
    <pageSetUpPr fitToPage="1"/>
  </sheetPr>
  <dimension ref="A1:J36"/>
  <sheetViews>
    <sheetView view="pageBreakPreview" topLeftCell="A19" zoomScaleNormal="100" zoomScaleSheetLayoutView="100" workbookViewId="0">
      <selection activeCell="E11" sqref="E11"/>
    </sheetView>
  </sheetViews>
  <sheetFormatPr defaultRowHeight="16.5"/>
  <cols>
    <col min="1" max="1" width="9" style="39"/>
    <col min="2" max="3" width="12.625" style="39" customWidth="1"/>
    <col min="4" max="4" width="16" style="39" bestFit="1" customWidth="1"/>
    <col min="5" max="5" width="31.375" style="39" bestFit="1" customWidth="1"/>
    <col min="6" max="6" width="10.625" style="39" customWidth="1"/>
    <col min="7" max="8" width="8.125" style="39" customWidth="1"/>
    <col min="9" max="9" width="13.625" style="39" customWidth="1"/>
    <col min="10" max="10" width="35.625" style="39" customWidth="1"/>
  </cols>
  <sheetData>
    <row r="1" spans="1:10" ht="35.1" customHeight="1">
      <c r="A1" s="287" t="s">
        <v>264</v>
      </c>
      <c r="B1" s="288"/>
      <c r="C1" s="288"/>
      <c r="D1" s="288"/>
      <c r="E1" s="288"/>
      <c r="F1" s="288"/>
      <c r="G1" s="288"/>
      <c r="H1" s="288"/>
      <c r="I1" s="288"/>
      <c r="J1" s="289"/>
    </row>
    <row r="2" spans="1:10" ht="20.100000000000001" customHeight="1">
      <c r="A2" s="290" t="s">
        <v>265</v>
      </c>
      <c r="B2" s="290" t="s">
        <v>243</v>
      </c>
      <c r="C2" s="290" t="s">
        <v>266</v>
      </c>
      <c r="D2" s="290" t="s">
        <v>245</v>
      </c>
      <c r="E2" s="290" t="s">
        <v>267</v>
      </c>
      <c r="F2" s="290" t="s">
        <v>247</v>
      </c>
      <c r="G2" s="290" t="s">
        <v>268</v>
      </c>
      <c r="H2" s="290" t="s">
        <v>269</v>
      </c>
      <c r="I2" s="124" t="s">
        <v>311</v>
      </c>
      <c r="J2" s="290" t="s">
        <v>270</v>
      </c>
    </row>
    <row r="3" spans="1:10" ht="20.100000000000001" customHeight="1">
      <c r="A3" s="290"/>
      <c r="B3" s="290"/>
      <c r="C3" s="290"/>
      <c r="D3" s="290"/>
      <c r="E3" s="290"/>
      <c r="F3" s="290"/>
      <c r="G3" s="290"/>
      <c r="H3" s="290"/>
      <c r="I3" s="125">
        <f>SUM(I4:I36)</f>
        <v>0</v>
      </c>
      <c r="J3" s="290"/>
    </row>
    <row r="4" spans="1:10" ht="20.100000000000001" customHeight="1">
      <c r="A4" s="127">
        <v>1</v>
      </c>
      <c r="B4" s="137"/>
      <c r="C4" s="127" t="s">
        <v>271</v>
      </c>
      <c r="D4" s="127" t="s">
        <v>332</v>
      </c>
      <c r="E4" s="138" t="s">
        <v>514</v>
      </c>
      <c r="F4" s="127" t="s">
        <v>535</v>
      </c>
      <c r="G4" s="127">
        <v>1</v>
      </c>
      <c r="H4" s="127">
        <v>3</v>
      </c>
      <c r="I4" s="143" t="s">
        <v>534</v>
      </c>
      <c r="J4" s="127" t="s">
        <v>255</v>
      </c>
    </row>
    <row r="5" spans="1:10" ht="20.100000000000001" customHeight="1">
      <c r="A5" s="127">
        <v>2</v>
      </c>
      <c r="B5" s="137"/>
      <c r="C5" s="127" t="s">
        <v>272</v>
      </c>
      <c r="D5" s="127" t="s">
        <v>333</v>
      </c>
      <c r="E5" s="138" t="s">
        <v>514</v>
      </c>
      <c r="F5" s="127" t="s">
        <v>254</v>
      </c>
      <c r="G5" s="127">
        <v>1</v>
      </c>
      <c r="H5" s="127">
        <v>3</v>
      </c>
      <c r="I5" s="143" t="s">
        <v>534</v>
      </c>
      <c r="J5" s="127" t="s">
        <v>255</v>
      </c>
    </row>
    <row r="6" spans="1:10" ht="19.5" customHeight="1">
      <c r="A6" s="127">
        <v>3</v>
      </c>
      <c r="B6" s="137"/>
      <c r="C6" s="127" t="s">
        <v>272</v>
      </c>
      <c r="D6" s="127" t="s">
        <v>334</v>
      </c>
      <c r="E6" s="138" t="s">
        <v>514</v>
      </c>
      <c r="F6" s="127" t="s">
        <v>254</v>
      </c>
      <c r="G6" s="127">
        <v>1</v>
      </c>
      <c r="H6" s="127">
        <v>3</v>
      </c>
      <c r="I6" s="143" t="s">
        <v>534</v>
      </c>
      <c r="J6" s="127" t="s">
        <v>255</v>
      </c>
    </row>
    <row r="7" spans="1:10" ht="20.100000000000001" customHeight="1">
      <c r="A7" s="127">
        <v>4</v>
      </c>
      <c r="B7" s="137"/>
      <c r="C7" s="127" t="s">
        <v>272</v>
      </c>
      <c r="D7" s="127" t="s">
        <v>332</v>
      </c>
      <c r="E7" s="138" t="s">
        <v>516</v>
      </c>
      <c r="F7" s="127" t="s">
        <v>318</v>
      </c>
      <c r="G7" s="127">
        <v>1</v>
      </c>
      <c r="H7" s="127">
        <v>5</v>
      </c>
      <c r="I7" s="143" t="s">
        <v>534</v>
      </c>
      <c r="J7" s="127" t="s">
        <v>255</v>
      </c>
    </row>
    <row r="8" spans="1:10" ht="19.5" customHeight="1">
      <c r="A8" s="127">
        <v>5</v>
      </c>
      <c r="B8" s="137"/>
      <c r="C8" s="127" t="s">
        <v>272</v>
      </c>
      <c r="D8" s="127" t="s">
        <v>333</v>
      </c>
      <c r="E8" s="138" t="s">
        <v>516</v>
      </c>
      <c r="F8" s="127" t="s">
        <v>318</v>
      </c>
      <c r="G8" s="127">
        <v>1</v>
      </c>
      <c r="H8" s="127">
        <v>5</v>
      </c>
      <c r="I8" s="143" t="s">
        <v>534</v>
      </c>
      <c r="J8" s="127" t="s">
        <v>255</v>
      </c>
    </row>
    <row r="9" spans="1:10" ht="20.100000000000001" customHeight="1">
      <c r="A9" s="127">
        <v>6</v>
      </c>
      <c r="B9" s="137"/>
      <c r="C9" s="127" t="s">
        <v>271</v>
      </c>
      <c r="D9" s="127" t="s">
        <v>334</v>
      </c>
      <c r="E9" s="138" t="s">
        <v>515</v>
      </c>
      <c r="F9" s="127" t="s">
        <v>318</v>
      </c>
      <c r="G9" s="127">
        <v>1</v>
      </c>
      <c r="H9" s="127">
        <v>5</v>
      </c>
      <c r="I9" s="143" t="s">
        <v>534</v>
      </c>
      <c r="J9" s="127" t="s">
        <v>255</v>
      </c>
    </row>
    <row r="10" spans="1:10" ht="20.100000000000001" customHeight="1">
      <c r="A10" s="127">
        <v>7</v>
      </c>
      <c r="B10" s="137"/>
      <c r="C10" s="127" t="s">
        <v>271</v>
      </c>
      <c r="D10" s="127" t="s">
        <v>332</v>
      </c>
      <c r="E10" s="138" t="s">
        <v>518</v>
      </c>
      <c r="F10" s="127" t="s">
        <v>254</v>
      </c>
      <c r="G10" s="127">
        <v>1</v>
      </c>
      <c r="H10" s="127">
        <v>6</v>
      </c>
      <c r="I10" s="143" t="s">
        <v>534</v>
      </c>
      <c r="J10" s="127" t="s">
        <v>255</v>
      </c>
    </row>
    <row r="11" spans="1:10" ht="19.5" customHeight="1">
      <c r="A11" s="127">
        <v>8</v>
      </c>
      <c r="B11" s="137"/>
      <c r="C11" s="127" t="s">
        <v>271</v>
      </c>
      <c r="D11" s="127" t="s">
        <v>333</v>
      </c>
      <c r="E11" s="138" t="s">
        <v>518</v>
      </c>
      <c r="F11" s="127" t="s">
        <v>254</v>
      </c>
      <c r="G11" s="127">
        <v>1</v>
      </c>
      <c r="H11" s="127">
        <v>6</v>
      </c>
      <c r="I11" s="143" t="s">
        <v>534</v>
      </c>
      <c r="J11" s="127" t="s">
        <v>255</v>
      </c>
    </row>
    <row r="12" spans="1:10" ht="20.100000000000001" customHeight="1">
      <c r="A12" s="127">
        <v>9</v>
      </c>
      <c r="B12" s="137"/>
      <c r="C12" s="127" t="s">
        <v>271</v>
      </c>
      <c r="D12" s="127" t="s">
        <v>334</v>
      </c>
      <c r="E12" s="138" t="s">
        <v>518</v>
      </c>
      <c r="F12" s="127" t="s">
        <v>254</v>
      </c>
      <c r="G12" s="127">
        <v>1</v>
      </c>
      <c r="H12" s="127">
        <v>6</v>
      </c>
      <c r="I12" s="143" t="s">
        <v>534</v>
      </c>
      <c r="J12" s="127" t="s">
        <v>255</v>
      </c>
    </row>
    <row r="13" spans="1:10" ht="20.100000000000001" customHeight="1">
      <c r="A13" s="127">
        <v>10</v>
      </c>
      <c r="B13" s="137"/>
      <c r="C13" s="127" t="s">
        <v>271</v>
      </c>
      <c r="D13" s="127" t="s">
        <v>332</v>
      </c>
      <c r="E13" s="138" t="s">
        <v>520</v>
      </c>
      <c r="F13" s="127" t="s">
        <v>308</v>
      </c>
      <c r="G13" s="127">
        <v>1</v>
      </c>
      <c r="H13" s="127">
        <v>4</v>
      </c>
      <c r="I13" s="143" t="s">
        <v>534</v>
      </c>
      <c r="J13" s="127" t="s">
        <v>255</v>
      </c>
    </row>
    <row r="14" spans="1:10" ht="19.5" customHeight="1">
      <c r="A14" s="127">
        <v>11</v>
      </c>
      <c r="B14" s="137"/>
      <c r="C14" s="127" t="s">
        <v>271</v>
      </c>
      <c r="D14" s="127" t="s">
        <v>333</v>
      </c>
      <c r="E14" s="138" t="s">
        <v>520</v>
      </c>
      <c r="F14" s="127" t="s">
        <v>308</v>
      </c>
      <c r="G14" s="127">
        <v>1</v>
      </c>
      <c r="H14" s="127">
        <v>4</v>
      </c>
      <c r="I14" s="143" t="s">
        <v>534</v>
      </c>
      <c r="J14" s="127" t="s">
        <v>255</v>
      </c>
    </row>
    <row r="15" spans="1:10" ht="20.100000000000001" customHeight="1">
      <c r="A15" s="127">
        <v>12</v>
      </c>
      <c r="B15" s="137"/>
      <c r="C15" s="127" t="s">
        <v>271</v>
      </c>
      <c r="D15" s="127" t="s">
        <v>334</v>
      </c>
      <c r="E15" s="138" t="s">
        <v>520</v>
      </c>
      <c r="F15" s="127" t="s">
        <v>308</v>
      </c>
      <c r="G15" s="127">
        <v>1</v>
      </c>
      <c r="H15" s="127">
        <v>4</v>
      </c>
      <c r="I15" s="143" t="s">
        <v>534</v>
      </c>
      <c r="J15" s="127" t="s">
        <v>255</v>
      </c>
    </row>
    <row r="16" spans="1:10" ht="20.100000000000001" customHeight="1">
      <c r="A16" s="127">
        <v>13</v>
      </c>
      <c r="B16" s="137"/>
      <c r="C16" s="127" t="s">
        <v>271</v>
      </c>
      <c r="D16" s="127" t="s">
        <v>332</v>
      </c>
      <c r="E16" s="138" t="s">
        <v>522</v>
      </c>
      <c r="F16" s="127" t="s">
        <v>254</v>
      </c>
      <c r="G16" s="127">
        <v>1</v>
      </c>
      <c r="H16" s="127">
        <v>6</v>
      </c>
      <c r="I16" s="143" t="s">
        <v>534</v>
      </c>
      <c r="J16" s="127" t="s">
        <v>255</v>
      </c>
    </row>
    <row r="17" spans="1:10" ht="19.5" customHeight="1">
      <c r="A17" s="127">
        <v>14</v>
      </c>
      <c r="B17" s="137"/>
      <c r="C17" s="127" t="s">
        <v>271</v>
      </c>
      <c r="D17" s="127" t="s">
        <v>333</v>
      </c>
      <c r="E17" s="138" t="s">
        <v>522</v>
      </c>
      <c r="F17" s="127" t="s">
        <v>254</v>
      </c>
      <c r="G17" s="127">
        <v>1</v>
      </c>
      <c r="H17" s="127">
        <v>6</v>
      </c>
      <c r="I17" s="143" t="s">
        <v>534</v>
      </c>
      <c r="J17" s="127" t="s">
        <v>255</v>
      </c>
    </row>
    <row r="18" spans="1:10" ht="20.100000000000001" customHeight="1">
      <c r="A18" s="127">
        <v>15</v>
      </c>
      <c r="B18" s="137"/>
      <c r="C18" s="127" t="s">
        <v>271</v>
      </c>
      <c r="D18" s="127" t="s">
        <v>334</v>
      </c>
      <c r="E18" s="138" t="s">
        <v>522</v>
      </c>
      <c r="F18" s="127" t="s">
        <v>254</v>
      </c>
      <c r="G18" s="127">
        <v>1</v>
      </c>
      <c r="H18" s="127">
        <v>6</v>
      </c>
      <c r="I18" s="143" t="s">
        <v>534</v>
      </c>
      <c r="J18" s="127" t="s">
        <v>255</v>
      </c>
    </row>
    <row r="19" spans="1:10" ht="20.100000000000001" customHeight="1">
      <c r="A19" s="127">
        <v>16</v>
      </c>
      <c r="B19" s="137"/>
      <c r="C19" s="127" t="s">
        <v>271</v>
      </c>
      <c r="D19" s="127" t="s">
        <v>332</v>
      </c>
      <c r="E19" s="138" t="s">
        <v>524</v>
      </c>
      <c r="F19" s="127" t="s">
        <v>536</v>
      </c>
      <c r="G19" s="127">
        <v>1</v>
      </c>
      <c r="H19" s="127">
        <v>4</v>
      </c>
      <c r="I19" s="143" t="s">
        <v>534</v>
      </c>
      <c r="J19" s="127" t="s">
        <v>255</v>
      </c>
    </row>
    <row r="20" spans="1:10" ht="19.5" customHeight="1">
      <c r="A20" s="127">
        <v>17</v>
      </c>
      <c r="B20" s="137"/>
      <c r="C20" s="127" t="s">
        <v>271</v>
      </c>
      <c r="D20" s="127" t="s">
        <v>333</v>
      </c>
      <c r="E20" s="138" t="s">
        <v>524</v>
      </c>
      <c r="F20" s="127" t="s">
        <v>318</v>
      </c>
      <c r="G20" s="127">
        <v>1</v>
      </c>
      <c r="H20" s="127">
        <v>4</v>
      </c>
      <c r="I20" s="143" t="s">
        <v>534</v>
      </c>
      <c r="J20" s="127" t="s">
        <v>255</v>
      </c>
    </row>
    <row r="21" spans="1:10" ht="20.100000000000001" customHeight="1">
      <c r="A21" s="127">
        <v>18</v>
      </c>
      <c r="B21" s="137"/>
      <c r="C21" s="127" t="s">
        <v>271</v>
      </c>
      <c r="D21" s="127" t="s">
        <v>334</v>
      </c>
      <c r="E21" s="138" t="s">
        <v>524</v>
      </c>
      <c r="F21" s="127" t="s">
        <v>318</v>
      </c>
      <c r="G21" s="127">
        <v>1</v>
      </c>
      <c r="H21" s="127">
        <v>4</v>
      </c>
      <c r="I21" s="143" t="s">
        <v>534</v>
      </c>
      <c r="J21" s="127" t="s">
        <v>255</v>
      </c>
    </row>
    <row r="22" spans="1:10" ht="20.100000000000001" customHeight="1">
      <c r="A22" s="127">
        <v>19</v>
      </c>
      <c r="B22" s="137"/>
      <c r="C22" s="127" t="s">
        <v>271</v>
      </c>
      <c r="D22" s="127" t="s">
        <v>332</v>
      </c>
      <c r="E22" s="138" t="s">
        <v>526</v>
      </c>
      <c r="F22" s="127" t="s">
        <v>308</v>
      </c>
      <c r="G22" s="127">
        <v>1</v>
      </c>
      <c r="H22" s="127">
        <v>4</v>
      </c>
      <c r="I22" s="143" t="s">
        <v>534</v>
      </c>
      <c r="J22" s="127" t="s">
        <v>255</v>
      </c>
    </row>
    <row r="23" spans="1:10" ht="19.5" customHeight="1">
      <c r="A23" s="127">
        <v>20</v>
      </c>
      <c r="B23" s="137"/>
      <c r="C23" s="127" t="s">
        <v>271</v>
      </c>
      <c r="D23" s="127" t="s">
        <v>333</v>
      </c>
      <c r="E23" s="138" t="s">
        <v>526</v>
      </c>
      <c r="F23" s="127" t="s">
        <v>308</v>
      </c>
      <c r="G23" s="127">
        <v>1</v>
      </c>
      <c r="H23" s="127">
        <v>4</v>
      </c>
      <c r="I23" s="143" t="s">
        <v>534</v>
      </c>
      <c r="J23" s="127" t="s">
        <v>255</v>
      </c>
    </row>
    <row r="24" spans="1:10" ht="20.100000000000001" customHeight="1">
      <c r="A24" s="127">
        <v>21</v>
      </c>
      <c r="B24" s="137"/>
      <c r="C24" s="127" t="s">
        <v>271</v>
      </c>
      <c r="D24" s="127" t="s">
        <v>334</v>
      </c>
      <c r="E24" s="138" t="s">
        <v>526</v>
      </c>
      <c r="F24" s="127" t="s">
        <v>308</v>
      </c>
      <c r="G24" s="127">
        <v>1</v>
      </c>
      <c r="H24" s="127">
        <v>4</v>
      </c>
      <c r="I24" s="143" t="s">
        <v>534</v>
      </c>
      <c r="J24" s="127" t="s">
        <v>255</v>
      </c>
    </row>
    <row r="25" spans="1:10" ht="20.100000000000001" customHeight="1">
      <c r="A25" s="127">
        <v>22</v>
      </c>
      <c r="B25" s="137"/>
      <c r="C25" s="127" t="s">
        <v>271</v>
      </c>
      <c r="D25" s="127" t="s">
        <v>332</v>
      </c>
      <c r="E25" s="138" t="s">
        <v>527</v>
      </c>
      <c r="F25" s="127" t="s">
        <v>308</v>
      </c>
      <c r="G25" s="127">
        <v>1</v>
      </c>
      <c r="H25" s="127">
        <v>4</v>
      </c>
      <c r="I25" s="143" t="s">
        <v>534</v>
      </c>
      <c r="J25" s="127" t="s">
        <v>255</v>
      </c>
    </row>
    <row r="26" spans="1:10" ht="19.5" customHeight="1">
      <c r="A26" s="127">
        <v>23</v>
      </c>
      <c r="B26" s="137"/>
      <c r="C26" s="127" t="s">
        <v>271</v>
      </c>
      <c r="D26" s="127" t="s">
        <v>333</v>
      </c>
      <c r="E26" s="138" t="s">
        <v>527</v>
      </c>
      <c r="F26" s="127" t="s">
        <v>308</v>
      </c>
      <c r="G26" s="127">
        <v>1</v>
      </c>
      <c r="H26" s="127">
        <v>4</v>
      </c>
      <c r="I26" s="143" t="s">
        <v>534</v>
      </c>
      <c r="J26" s="127" t="s">
        <v>255</v>
      </c>
    </row>
    <row r="27" spans="1:10" ht="20.100000000000001" customHeight="1">
      <c r="A27" s="127">
        <v>24</v>
      </c>
      <c r="B27" s="137"/>
      <c r="C27" s="127" t="s">
        <v>271</v>
      </c>
      <c r="D27" s="127" t="s">
        <v>334</v>
      </c>
      <c r="E27" s="138" t="s">
        <v>527</v>
      </c>
      <c r="F27" s="127" t="s">
        <v>308</v>
      </c>
      <c r="G27" s="127">
        <v>1</v>
      </c>
      <c r="H27" s="127">
        <v>4</v>
      </c>
      <c r="I27" s="143" t="s">
        <v>534</v>
      </c>
      <c r="J27" s="127" t="s">
        <v>255</v>
      </c>
    </row>
    <row r="28" spans="1:10" ht="20.100000000000001" customHeight="1">
      <c r="A28" s="127">
        <v>25</v>
      </c>
      <c r="B28" s="137"/>
      <c r="C28" s="127" t="s">
        <v>271</v>
      </c>
      <c r="D28" s="127" t="s">
        <v>332</v>
      </c>
      <c r="E28" s="138" t="s">
        <v>529</v>
      </c>
      <c r="F28" s="127" t="s">
        <v>308</v>
      </c>
      <c r="G28" s="127">
        <v>1</v>
      </c>
      <c r="H28" s="127">
        <v>5</v>
      </c>
      <c r="I28" s="143" t="s">
        <v>534</v>
      </c>
      <c r="J28" s="127" t="s">
        <v>255</v>
      </c>
    </row>
    <row r="29" spans="1:10" ht="19.5" customHeight="1">
      <c r="A29" s="127">
        <v>26</v>
      </c>
      <c r="B29" s="137"/>
      <c r="C29" s="127" t="s">
        <v>271</v>
      </c>
      <c r="D29" s="127" t="s">
        <v>333</v>
      </c>
      <c r="E29" s="138" t="s">
        <v>529</v>
      </c>
      <c r="F29" s="127" t="s">
        <v>308</v>
      </c>
      <c r="G29" s="127">
        <v>1</v>
      </c>
      <c r="H29" s="127">
        <v>5</v>
      </c>
      <c r="I29" s="143" t="s">
        <v>534</v>
      </c>
      <c r="J29" s="127" t="s">
        <v>255</v>
      </c>
    </row>
    <row r="30" spans="1:10" ht="20.100000000000001" customHeight="1">
      <c r="A30" s="127">
        <v>27</v>
      </c>
      <c r="B30" s="137"/>
      <c r="C30" s="127" t="s">
        <v>271</v>
      </c>
      <c r="D30" s="127" t="s">
        <v>334</v>
      </c>
      <c r="E30" s="138" t="s">
        <v>529</v>
      </c>
      <c r="F30" s="127" t="s">
        <v>308</v>
      </c>
      <c r="G30" s="127">
        <v>1</v>
      </c>
      <c r="H30" s="127">
        <v>5</v>
      </c>
      <c r="I30" s="143" t="s">
        <v>534</v>
      </c>
      <c r="J30" s="127" t="s">
        <v>255</v>
      </c>
    </row>
    <row r="31" spans="1:10" ht="20.100000000000001" customHeight="1">
      <c r="A31" s="127">
        <v>28</v>
      </c>
      <c r="B31" s="137"/>
      <c r="C31" s="127" t="s">
        <v>271</v>
      </c>
      <c r="D31" s="127" t="s">
        <v>332</v>
      </c>
      <c r="E31" s="138" t="s">
        <v>531</v>
      </c>
      <c r="F31" s="127" t="s">
        <v>254</v>
      </c>
      <c r="G31" s="127">
        <v>1</v>
      </c>
      <c r="H31" s="127">
        <v>5</v>
      </c>
      <c r="I31" s="143" t="s">
        <v>534</v>
      </c>
      <c r="J31" s="127" t="s">
        <v>255</v>
      </c>
    </row>
    <row r="32" spans="1:10" ht="19.5" customHeight="1">
      <c r="A32" s="127">
        <v>29</v>
      </c>
      <c r="B32" s="137"/>
      <c r="C32" s="127" t="s">
        <v>271</v>
      </c>
      <c r="D32" s="127" t="s">
        <v>333</v>
      </c>
      <c r="E32" s="138" t="s">
        <v>531</v>
      </c>
      <c r="F32" s="127" t="s">
        <v>254</v>
      </c>
      <c r="G32" s="127">
        <v>1</v>
      </c>
      <c r="H32" s="127">
        <v>5</v>
      </c>
      <c r="I32" s="143" t="s">
        <v>534</v>
      </c>
      <c r="J32" s="127" t="s">
        <v>255</v>
      </c>
    </row>
    <row r="33" spans="1:10" ht="20.100000000000001" customHeight="1">
      <c r="A33" s="127">
        <v>30</v>
      </c>
      <c r="B33" s="137"/>
      <c r="C33" s="127" t="s">
        <v>271</v>
      </c>
      <c r="D33" s="127" t="s">
        <v>334</v>
      </c>
      <c r="E33" s="138" t="s">
        <v>531</v>
      </c>
      <c r="F33" s="127" t="s">
        <v>254</v>
      </c>
      <c r="G33" s="127">
        <v>1</v>
      </c>
      <c r="H33" s="127">
        <v>5</v>
      </c>
      <c r="I33" s="143" t="s">
        <v>534</v>
      </c>
      <c r="J33" s="127" t="s">
        <v>255</v>
      </c>
    </row>
    <row r="34" spans="1:10" ht="20.100000000000001" customHeight="1">
      <c r="A34" s="127">
        <v>31</v>
      </c>
      <c r="B34" s="137"/>
      <c r="C34" s="127" t="s">
        <v>271</v>
      </c>
      <c r="D34" s="127" t="s">
        <v>332</v>
      </c>
      <c r="E34" s="138" t="s">
        <v>533</v>
      </c>
      <c r="F34" s="127" t="s">
        <v>308</v>
      </c>
      <c r="G34" s="127">
        <v>1</v>
      </c>
      <c r="H34" s="127">
        <v>6</v>
      </c>
      <c r="I34" s="143" t="s">
        <v>534</v>
      </c>
      <c r="J34" s="127" t="s">
        <v>255</v>
      </c>
    </row>
    <row r="35" spans="1:10" ht="19.5" customHeight="1">
      <c r="A35" s="127">
        <v>32</v>
      </c>
      <c r="B35" s="137"/>
      <c r="C35" s="127" t="s">
        <v>271</v>
      </c>
      <c r="D35" s="127" t="s">
        <v>333</v>
      </c>
      <c r="E35" s="138" t="s">
        <v>533</v>
      </c>
      <c r="F35" s="127" t="s">
        <v>308</v>
      </c>
      <c r="G35" s="127">
        <v>1</v>
      </c>
      <c r="H35" s="127">
        <v>6</v>
      </c>
      <c r="I35" s="143" t="s">
        <v>534</v>
      </c>
      <c r="J35" s="127" t="s">
        <v>255</v>
      </c>
    </row>
    <row r="36" spans="1:10" ht="20.100000000000001" customHeight="1">
      <c r="A36" s="127">
        <v>33</v>
      </c>
      <c r="B36" s="137"/>
      <c r="C36" s="127" t="s">
        <v>271</v>
      </c>
      <c r="D36" s="127" t="s">
        <v>334</v>
      </c>
      <c r="E36" s="138" t="s">
        <v>533</v>
      </c>
      <c r="F36" s="127" t="s">
        <v>308</v>
      </c>
      <c r="G36" s="127">
        <v>1</v>
      </c>
      <c r="H36" s="127">
        <v>6</v>
      </c>
      <c r="I36" s="143" t="s">
        <v>534</v>
      </c>
      <c r="J36" s="127" t="s">
        <v>255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6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39997558519241921"/>
    <pageSetUpPr fitToPage="1"/>
  </sheetPr>
  <dimension ref="A1:AF18"/>
  <sheetViews>
    <sheetView view="pageBreakPreview" zoomScale="115" zoomScaleNormal="100" zoomScaleSheetLayoutView="115" workbookViewId="0">
      <selection activeCell="E11" sqref="E11"/>
    </sheetView>
  </sheetViews>
  <sheetFormatPr defaultRowHeight="16.5"/>
  <cols>
    <col min="1" max="1" width="9" style="39"/>
    <col min="2" max="3" width="12.625" style="39" customWidth="1"/>
    <col min="4" max="4" width="22.875" style="39" bestFit="1" customWidth="1"/>
    <col min="5" max="5" width="31.375" style="39" bestFit="1" customWidth="1"/>
    <col min="6" max="6" width="10.625" style="39" customWidth="1"/>
    <col min="7" max="7" width="8.125" style="39" customWidth="1"/>
    <col min="8" max="8" width="10.5" style="39" bestFit="1" customWidth="1"/>
    <col min="9" max="9" width="13.625" style="39" customWidth="1"/>
    <col min="10" max="10" width="35.625" style="39" customWidth="1"/>
    <col min="11" max="12" width="9" style="39"/>
  </cols>
  <sheetData>
    <row r="1" spans="1:12" ht="35.1" customHeight="1">
      <c r="A1" s="287" t="s">
        <v>273</v>
      </c>
      <c r="B1" s="288"/>
      <c r="C1" s="288"/>
      <c r="D1" s="288"/>
      <c r="E1" s="288"/>
      <c r="F1" s="288"/>
      <c r="G1" s="288"/>
      <c r="H1" s="288"/>
      <c r="I1" s="288"/>
      <c r="J1" s="289"/>
    </row>
    <row r="2" spans="1:12" ht="24.95" customHeight="1">
      <c r="A2" s="290" t="s">
        <v>274</v>
      </c>
      <c r="B2" s="290" t="s">
        <v>275</v>
      </c>
      <c r="C2" s="290" t="s">
        <v>108</v>
      </c>
      <c r="D2" s="290" t="s">
        <v>276</v>
      </c>
      <c r="E2" s="290" t="s">
        <v>277</v>
      </c>
      <c r="F2" s="290" t="s">
        <v>278</v>
      </c>
      <c r="G2" s="290" t="s">
        <v>279</v>
      </c>
      <c r="H2" s="290" t="s">
        <v>280</v>
      </c>
      <c r="I2" s="124" t="s">
        <v>281</v>
      </c>
      <c r="J2" s="290" t="s">
        <v>251</v>
      </c>
    </row>
    <row r="3" spans="1:12" ht="24.95" customHeight="1">
      <c r="A3" s="290"/>
      <c r="B3" s="290"/>
      <c r="C3" s="290"/>
      <c r="D3" s="290"/>
      <c r="E3" s="290"/>
      <c r="F3" s="290"/>
      <c r="G3" s="290"/>
      <c r="H3" s="290"/>
      <c r="I3" s="125">
        <f>SUM(I4:I5)</f>
        <v>7940818</v>
      </c>
      <c r="J3" s="290"/>
      <c r="L3" s="126" t="s">
        <v>282</v>
      </c>
    </row>
    <row r="4" spans="1:12" ht="24.95" customHeight="1">
      <c r="A4" s="127">
        <v>1</v>
      </c>
      <c r="B4" s="139">
        <v>46112</v>
      </c>
      <c r="C4" s="127" t="s">
        <v>283</v>
      </c>
      <c r="D4" s="127" t="s">
        <v>284</v>
      </c>
      <c r="E4" s="127" t="s">
        <v>312</v>
      </c>
      <c r="F4" s="127">
        <v>432</v>
      </c>
      <c r="G4" s="127">
        <v>30</v>
      </c>
      <c r="H4" s="128">
        <v>6181.82</v>
      </c>
      <c r="I4" s="128">
        <v>2655818</v>
      </c>
      <c r="J4" s="127" t="s">
        <v>255</v>
      </c>
      <c r="L4" s="129" t="s">
        <v>285</v>
      </c>
    </row>
    <row r="5" spans="1:12" ht="24.95" customHeight="1">
      <c r="A5" s="127">
        <v>2</v>
      </c>
      <c r="B5" s="139">
        <v>46112</v>
      </c>
      <c r="C5" s="127" t="s">
        <v>283</v>
      </c>
      <c r="D5" s="127" t="s">
        <v>284</v>
      </c>
      <c r="E5" s="127" t="s">
        <v>315</v>
      </c>
      <c r="F5" s="127">
        <v>755</v>
      </c>
      <c r="G5" s="127">
        <v>30</v>
      </c>
      <c r="H5" s="128">
        <v>7000</v>
      </c>
      <c r="I5" s="128">
        <f>F5*H5</f>
        <v>5285000</v>
      </c>
      <c r="J5" s="127" t="s">
        <v>255</v>
      </c>
      <c r="L5" s="129" t="s">
        <v>286</v>
      </c>
    </row>
    <row r="6" spans="1:12" ht="24.95" customHeight="1">
      <c r="L6" s="129" t="s">
        <v>287</v>
      </c>
    </row>
    <row r="7" spans="1:12" ht="24.95" customHeight="1">
      <c r="L7" s="129" t="s">
        <v>288</v>
      </c>
    </row>
    <row r="8" spans="1:12" ht="24.95" customHeight="1">
      <c r="L8" s="130" t="s">
        <v>289</v>
      </c>
    </row>
    <row r="9" spans="1:12" ht="24.95" customHeight="1">
      <c r="L9" s="130" t="s">
        <v>290</v>
      </c>
    </row>
    <row r="10" spans="1:12">
      <c r="L10" s="130" t="s">
        <v>291</v>
      </c>
    </row>
    <row r="11" spans="1:12">
      <c r="L11" s="130" t="s">
        <v>292</v>
      </c>
    </row>
    <row r="12" spans="1:12">
      <c r="L12" s="126"/>
    </row>
    <row r="13" spans="1:12">
      <c r="L13" s="39" t="s">
        <v>293</v>
      </c>
    </row>
    <row r="18" spans="32:32">
      <c r="AF18" s="39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2" fitToHeight="0" orientation="landscape" r:id="rId1"/>
  <colBreaks count="1" manualBreakCount="1"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7"/>
  <sheetViews>
    <sheetView view="pageBreakPreview" zoomScale="115" zoomScaleNormal="100" zoomScaleSheetLayoutView="115" workbookViewId="0">
      <selection activeCell="E11" sqref="E11"/>
    </sheetView>
  </sheetViews>
  <sheetFormatPr defaultRowHeight="16.5"/>
  <cols>
    <col min="2" max="2" width="10.875" bestFit="1" customWidth="1"/>
    <col min="3" max="3" width="10.625" bestFit="1" customWidth="1"/>
    <col min="4" max="4" width="40.625" bestFit="1" customWidth="1"/>
    <col min="7" max="7" width="10.5" bestFit="1" customWidth="1"/>
    <col min="8" max="8" width="10.5" customWidth="1"/>
    <col min="9" max="9" width="18" customWidth="1"/>
    <col min="14" max="14" width="9.375" bestFit="1" customWidth="1"/>
    <col min="15" max="15" width="10.875" bestFit="1" customWidth="1"/>
  </cols>
  <sheetData>
    <row r="1" spans="1:15" ht="35.1" customHeight="1">
      <c r="A1" s="291" t="s">
        <v>294</v>
      </c>
      <c r="B1" s="291"/>
      <c r="C1" s="291"/>
      <c r="D1" s="291"/>
      <c r="E1" s="291"/>
      <c r="F1" s="291"/>
      <c r="G1" s="291"/>
      <c r="H1" s="291"/>
      <c r="I1" s="291"/>
      <c r="J1" s="39"/>
      <c r="K1" s="39"/>
      <c r="L1" s="39"/>
    </row>
    <row r="2" spans="1:15" ht="24.95" customHeight="1">
      <c r="A2" s="290" t="s">
        <v>295</v>
      </c>
      <c r="B2" s="292" t="s">
        <v>296</v>
      </c>
      <c r="C2" s="292" t="s">
        <v>297</v>
      </c>
      <c r="D2" s="293" t="s">
        <v>288</v>
      </c>
      <c r="E2" s="292" t="s">
        <v>289</v>
      </c>
      <c r="F2" s="292" t="s">
        <v>261</v>
      </c>
      <c r="G2" s="294" t="s">
        <v>298</v>
      </c>
      <c r="H2" s="131" t="s">
        <v>299</v>
      </c>
      <c r="I2" s="292" t="s">
        <v>300</v>
      </c>
      <c r="J2" s="39"/>
      <c r="K2" s="39"/>
      <c r="L2" s="39"/>
    </row>
    <row r="3" spans="1:15" ht="24.95" customHeight="1">
      <c r="A3" s="290"/>
      <c r="B3" s="292"/>
      <c r="C3" s="292"/>
      <c r="D3" s="293"/>
      <c r="E3" s="292"/>
      <c r="F3" s="292"/>
      <c r="G3" s="294"/>
      <c r="H3" s="132">
        <f>SUM(H4:H37)</f>
        <v>975900</v>
      </c>
      <c r="I3" s="292"/>
      <c r="J3" s="39"/>
      <c r="K3" s="126" t="s">
        <v>282</v>
      </c>
      <c r="L3" s="39"/>
      <c r="N3" s="142"/>
      <c r="O3" s="142"/>
    </row>
    <row r="4" spans="1:15" ht="24.95" customHeight="1">
      <c r="A4" s="127">
        <v>1</v>
      </c>
      <c r="B4" s="137">
        <v>46086</v>
      </c>
      <c r="C4" s="127" t="s">
        <v>301</v>
      </c>
      <c r="D4" s="138" t="s">
        <v>537</v>
      </c>
      <c r="E4" s="127" t="s">
        <v>313</v>
      </c>
      <c r="F4" s="127">
        <v>1</v>
      </c>
      <c r="G4" s="128">
        <v>12400</v>
      </c>
      <c r="H4" s="128">
        <f>F4*G4</f>
        <v>12400</v>
      </c>
      <c r="I4" s="128" t="s">
        <v>314</v>
      </c>
      <c r="J4" s="39"/>
      <c r="K4" s="129" t="s">
        <v>285</v>
      </c>
      <c r="L4" s="39"/>
    </row>
    <row r="5" spans="1:15" ht="24.95" customHeight="1">
      <c r="A5" s="127">
        <v>2</v>
      </c>
      <c r="B5" s="137">
        <v>46086</v>
      </c>
      <c r="C5" s="127" t="s">
        <v>301</v>
      </c>
      <c r="D5" s="138" t="s">
        <v>538</v>
      </c>
      <c r="E5" s="127" t="s">
        <v>313</v>
      </c>
      <c r="F5" s="127">
        <v>1</v>
      </c>
      <c r="G5" s="128">
        <v>4500</v>
      </c>
      <c r="H5" s="128">
        <f t="shared" ref="H5:H6" si="0">F5*G5</f>
        <v>4500</v>
      </c>
      <c r="I5" s="128" t="s">
        <v>314</v>
      </c>
      <c r="J5" s="39"/>
      <c r="K5" s="129" t="s">
        <v>286</v>
      </c>
      <c r="L5" s="39"/>
    </row>
    <row r="6" spans="1:15" ht="24.95" customHeight="1">
      <c r="A6" s="127">
        <v>3</v>
      </c>
      <c r="B6" s="137">
        <v>46091</v>
      </c>
      <c r="C6" s="127" t="s">
        <v>301</v>
      </c>
      <c r="D6" s="138" t="s">
        <v>326</v>
      </c>
      <c r="E6" s="127" t="s">
        <v>313</v>
      </c>
      <c r="F6" s="127">
        <v>1</v>
      </c>
      <c r="G6" s="128">
        <v>12000</v>
      </c>
      <c r="H6" s="128">
        <f t="shared" si="0"/>
        <v>12000</v>
      </c>
      <c r="I6" s="128" t="s">
        <v>314</v>
      </c>
      <c r="J6" s="39"/>
      <c r="K6" s="129" t="s">
        <v>287</v>
      </c>
      <c r="L6" s="39"/>
    </row>
    <row r="7" spans="1:15" ht="24.95" customHeight="1">
      <c r="A7" s="127">
        <v>4</v>
      </c>
      <c r="B7" s="137">
        <v>46091</v>
      </c>
      <c r="C7" s="127" t="s">
        <v>301</v>
      </c>
      <c r="D7" s="138" t="s">
        <v>327</v>
      </c>
      <c r="E7" s="127" t="s">
        <v>313</v>
      </c>
      <c r="F7" s="127">
        <v>4</v>
      </c>
      <c r="G7" s="128">
        <v>18000</v>
      </c>
      <c r="H7" s="128">
        <f>F7*G7</f>
        <v>72000</v>
      </c>
      <c r="I7" s="128" t="s">
        <v>314</v>
      </c>
      <c r="J7" s="39"/>
      <c r="K7" s="129" t="s">
        <v>288</v>
      </c>
      <c r="L7" s="39"/>
    </row>
    <row r="8" spans="1:15" ht="24.95" customHeight="1">
      <c r="A8" s="127">
        <v>5</v>
      </c>
      <c r="B8" s="137">
        <v>46091</v>
      </c>
      <c r="C8" s="127" t="s">
        <v>301</v>
      </c>
      <c r="D8" s="138" t="s">
        <v>539</v>
      </c>
      <c r="E8" s="127" t="s">
        <v>313</v>
      </c>
      <c r="F8" s="127">
        <v>2</v>
      </c>
      <c r="G8" s="128">
        <v>7000</v>
      </c>
      <c r="H8" s="128">
        <f t="shared" ref="H8:H9" si="1">F8*G8</f>
        <v>14000</v>
      </c>
      <c r="I8" s="128" t="s">
        <v>314</v>
      </c>
      <c r="J8" s="39"/>
      <c r="K8" s="130" t="s">
        <v>289</v>
      </c>
      <c r="L8" s="39"/>
    </row>
    <row r="9" spans="1:15" ht="24.95" customHeight="1">
      <c r="A9" s="127">
        <v>6</v>
      </c>
      <c r="B9" s="137">
        <v>46091</v>
      </c>
      <c r="C9" s="127" t="s">
        <v>301</v>
      </c>
      <c r="D9" s="138" t="s">
        <v>341</v>
      </c>
      <c r="E9" s="127" t="s">
        <v>313</v>
      </c>
      <c r="F9" s="127">
        <v>2</v>
      </c>
      <c r="G9" s="128">
        <v>3500</v>
      </c>
      <c r="H9" s="128">
        <f t="shared" si="1"/>
        <v>7000</v>
      </c>
      <c r="I9" s="128" t="s">
        <v>314</v>
      </c>
      <c r="J9" s="39"/>
      <c r="K9" s="130" t="s">
        <v>290</v>
      </c>
      <c r="L9" s="39"/>
    </row>
    <row r="10" spans="1:15" ht="24.95" customHeight="1">
      <c r="A10" s="127">
        <v>7</v>
      </c>
      <c r="B10" s="137">
        <v>46091</v>
      </c>
      <c r="C10" s="127" t="s">
        <v>301</v>
      </c>
      <c r="D10" s="138" t="s">
        <v>540</v>
      </c>
      <c r="E10" s="127" t="s">
        <v>313</v>
      </c>
      <c r="F10" s="127">
        <v>2</v>
      </c>
      <c r="G10" s="128">
        <v>3500</v>
      </c>
      <c r="H10" s="128">
        <f>F10*G10</f>
        <v>7000</v>
      </c>
      <c r="I10" s="128" t="s">
        <v>314</v>
      </c>
      <c r="J10" s="39"/>
      <c r="K10" s="130" t="s">
        <v>291</v>
      </c>
      <c r="L10" s="39"/>
    </row>
    <row r="11" spans="1:15" ht="24.95" customHeight="1">
      <c r="A11" s="127">
        <v>8</v>
      </c>
      <c r="B11" s="137">
        <v>46092</v>
      </c>
      <c r="C11" s="127" t="s">
        <v>301</v>
      </c>
      <c r="D11" s="138" t="s">
        <v>541</v>
      </c>
      <c r="E11" s="127" t="s">
        <v>313</v>
      </c>
      <c r="F11" s="127">
        <v>10</v>
      </c>
      <c r="G11" s="128">
        <v>2800</v>
      </c>
      <c r="H11" s="128">
        <f t="shared" ref="H11:H12" si="2">F11*G11</f>
        <v>28000</v>
      </c>
      <c r="I11" s="128" t="s">
        <v>314</v>
      </c>
      <c r="J11" s="39"/>
      <c r="K11" s="130" t="s">
        <v>292</v>
      </c>
      <c r="L11" s="39"/>
    </row>
    <row r="12" spans="1:15" ht="24.95" customHeight="1">
      <c r="A12" s="127">
        <v>9</v>
      </c>
      <c r="B12" s="137">
        <v>46092</v>
      </c>
      <c r="C12" s="127" t="s">
        <v>301</v>
      </c>
      <c r="D12" s="138" t="s">
        <v>338</v>
      </c>
      <c r="E12" s="127" t="s">
        <v>313</v>
      </c>
      <c r="F12" s="127">
        <v>20</v>
      </c>
      <c r="G12" s="128">
        <v>400</v>
      </c>
      <c r="H12" s="128">
        <f t="shared" si="2"/>
        <v>8000</v>
      </c>
      <c r="I12" s="128" t="s">
        <v>314</v>
      </c>
      <c r="J12" s="39"/>
      <c r="K12" s="126"/>
      <c r="L12" s="39"/>
    </row>
    <row r="13" spans="1:15" ht="24.95" customHeight="1">
      <c r="A13" s="127">
        <v>10</v>
      </c>
      <c r="B13" s="137">
        <v>46092</v>
      </c>
      <c r="C13" s="127" t="s">
        <v>301</v>
      </c>
      <c r="D13" s="138" t="s">
        <v>542</v>
      </c>
      <c r="E13" s="127" t="s">
        <v>313</v>
      </c>
      <c r="F13" s="127">
        <v>1</v>
      </c>
      <c r="G13" s="128">
        <v>2600</v>
      </c>
      <c r="H13" s="128">
        <f>F13*G13</f>
        <v>2600</v>
      </c>
      <c r="I13" s="128" t="s">
        <v>314</v>
      </c>
      <c r="J13" s="39"/>
      <c r="K13" s="39" t="s">
        <v>293</v>
      </c>
      <c r="L13" s="39"/>
    </row>
    <row r="14" spans="1:15" ht="24.95" customHeight="1">
      <c r="A14" s="127">
        <v>11</v>
      </c>
      <c r="B14" s="137">
        <v>46093</v>
      </c>
      <c r="C14" s="127" t="s">
        <v>301</v>
      </c>
      <c r="D14" s="138" t="s">
        <v>543</v>
      </c>
      <c r="E14" s="127" t="s">
        <v>313</v>
      </c>
      <c r="F14" s="127">
        <v>1</v>
      </c>
      <c r="G14" s="128">
        <v>14900</v>
      </c>
      <c r="H14" s="128">
        <f t="shared" ref="H14:H15" si="3">F14*G14</f>
        <v>14900</v>
      </c>
      <c r="I14" s="128" t="s">
        <v>314</v>
      </c>
    </row>
    <row r="15" spans="1:15" ht="24.95" customHeight="1">
      <c r="A15" s="127">
        <v>12</v>
      </c>
      <c r="B15" s="137">
        <v>46093</v>
      </c>
      <c r="C15" s="127" t="s">
        <v>301</v>
      </c>
      <c r="D15" s="138" t="s">
        <v>542</v>
      </c>
      <c r="E15" s="127" t="s">
        <v>313</v>
      </c>
      <c r="F15" s="127">
        <v>5</v>
      </c>
      <c r="G15" s="128">
        <v>2600</v>
      </c>
      <c r="H15" s="128">
        <f t="shared" si="3"/>
        <v>13000</v>
      </c>
      <c r="I15" s="128" t="s">
        <v>314</v>
      </c>
    </row>
    <row r="16" spans="1:15" ht="24.95" customHeight="1">
      <c r="A16" s="127">
        <v>13</v>
      </c>
      <c r="B16" s="137">
        <v>46093</v>
      </c>
      <c r="C16" s="127" t="s">
        <v>301</v>
      </c>
      <c r="D16" s="138" t="s">
        <v>544</v>
      </c>
      <c r="E16" s="127" t="s">
        <v>313</v>
      </c>
      <c r="F16" s="127">
        <v>50</v>
      </c>
      <c r="G16" s="128">
        <v>800</v>
      </c>
      <c r="H16" s="128">
        <f>F16*G16</f>
        <v>40000</v>
      </c>
      <c r="I16" s="128" t="s">
        <v>314</v>
      </c>
    </row>
    <row r="17" spans="1:12" ht="24.95" customHeight="1">
      <c r="A17" s="127">
        <v>14</v>
      </c>
      <c r="B17" s="137">
        <v>46093</v>
      </c>
      <c r="C17" s="127" t="s">
        <v>301</v>
      </c>
      <c r="D17" s="138" t="s">
        <v>545</v>
      </c>
      <c r="E17" s="127" t="s">
        <v>313</v>
      </c>
      <c r="F17" s="127">
        <v>20</v>
      </c>
      <c r="G17" s="128">
        <v>400</v>
      </c>
      <c r="H17" s="128">
        <f t="shared" ref="H17:H18" si="4">F17*G17</f>
        <v>8000</v>
      </c>
      <c r="I17" s="128" t="s">
        <v>314</v>
      </c>
    </row>
    <row r="18" spans="1:12" ht="24.95" customHeight="1">
      <c r="A18" s="127">
        <v>15</v>
      </c>
      <c r="B18" s="137">
        <v>46094</v>
      </c>
      <c r="C18" s="127" t="s">
        <v>301</v>
      </c>
      <c r="D18" s="138" t="s">
        <v>546</v>
      </c>
      <c r="E18" s="127" t="s">
        <v>313</v>
      </c>
      <c r="F18" s="127">
        <v>12</v>
      </c>
      <c r="G18" s="128">
        <v>1000</v>
      </c>
      <c r="H18" s="128">
        <f t="shared" si="4"/>
        <v>12000</v>
      </c>
      <c r="I18" s="128" t="s">
        <v>314</v>
      </c>
    </row>
    <row r="19" spans="1:12" ht="24.95" customHeight="1">
      <c r="A19" s="127">
        <v>16</v>
      </c>
      <c r="B19" s="137">
        <v>46094</v>
      </c>
      <c r="C19" s="127" t="s">
        <v>301</v>
      </c>
      <c r="D19" s="138" t="s">
        <v>341</v>
      </c>
      <c r="E19" s="127" t="s">
        <v>313</v>
      </c>
      <c r="F19" s="127">
        <v>4</v>
      </c>
      <c r="G19" s="128">
        <v>3600</v>
      </c>
      <c r="H19" s="128">
        <f>F19*G19</f>
        <v>14400</v>
      </c>
      <c r="I19" s="128" t="s">
        <v>314</v>
      </c>
    </row>
    <row r="20" spans="1:12" ht="24.95" customHeight="1">
      <c r="A20" s="127">
        <v>17</v>
      </c>
      <c r="B20" s="137">
        <v>46098</v>
      </c>
      <c r="C20" s="127" t="s">
        <v>301</v>
      </c>
      <c r="D20" s="138" t="s">
        <v>337</v>
      </c>
      <c r="E20" s="127" t="s">
        <v>313</v>
      </c>
      <c r="F20" s="127">
        <v>48</v>
      </c>
      <c r="G20" s="128">
        <v>900</v>
      </c>
      <c r="H20" s="128">
        <f t="shared" ref="H20:H23" si="5">F20*G20</f>
        <v>43200</v>
      </c>
      <c r="I20" s="128" t="s">
        <v>314</v>
      </c>
    </row>
    <row r="21" spans="1:12" ht="24.95" customHeight="1">
      <c r="A21" s="127">
        <v>18</v>
      </c>
      <c r="B21" s="137">
        <v>46099</v>
      </c>
      <c r="C21" s="127" t="s">
        <v>301</v>
      </c>
      <c r="D21" s="138" t="s">
        <v>547</v>
      </c>
      <c r="E21" s="127" t="s">
        <v>313</v>
      </c>
      <c r="F21" s="127">
        <v>5</v>
      </c>
      <c r="G21" s="128">
        <v>33000</v>
      </c>
      <c r="H21" s="128">
        <f t="shared" si="5"/>
        <v>165000</v>
      </c>
      <c r="I21" s="128" t="s">
        <v>314</v>
      </c>
    </row>
    <row r="22" spans="1:12" ht="24.95" customHeight="1">
      <c r="A22" s="127">
        <v>19</v>
      </c>
      <c r="B22" s="137">
        <v>46099</v>
      </c>
      <c r="C22" s="127" t="s">
        <v>301</v>
      </c>
      <c r="D22" s="138" t="s">
        <v>325</v>
      </c>
      <c r="E22" s="127" t="s">
        <v>313</v>
      </c>
      <c r="F22" s="127">
        <v>2</v>
      </c>
      <c r="G22" s="128">
        <v>10000</v>
      </c>
      <c r="H22" s="128">
        <f t="shared" si="5"/>
        <v>20000</v>
      </c>
      <c r="I22" s="128" t="s">
        <v>314</v>
      </c>
      <c r="J22" s="39"/>
      <c r="K22" s="130"/>
      <c r="L22" s="39"/>
    </row>
    <row r="23" spans="1:12" ht="24.95" customHeight="1">
      <c r="A23" s="127">
        <v>20</v>
      </c>
      <c r="B23" s="137">
        <v>46099</v>
      </c>
      <c r="C23" s="127" t="s">
        <v>301</v>
      </c>
      <c r="D23" s="138" t="s">
        <v>548</v>
      </c>
      <c r="E23" s="127" t="s">
        <v>313</v>
      </c>
      <c r="F23" s="127">
        <v>2</v>
      </c>
      <c r="G23" s="128">
        <v>24000</v>
      </c>
      <c r="H23" s="128">
        <f t="shared" si="5"/>
        <v>48000</v>
      </c>
      <c r="I23" s="128" t="s">
        <v>314</v>
      </c>
      <c r="J23" s="39"/>
      <c r="K23" s="130"/>
      <c r="L23" s="39"/>
    </row>
    <row r="24" spans="1:12" ht="24.95" customHeight="1">
      <c r="A24" s="127">
        <v>21</v>
      </c>
      <c r="B24" s="137">
        <v>46099</v>
      </c>
      <c r="C24" s="127" t="s">
        <v>301</v>
      </c>
      <c r="D24" s="138" t="s">
        <v>549</v>
      </c>
      <c r="E24" s="127" t="s">
        <v>313</v>
      </c>
      <c r="F24" s="127">
        <v>2</v>
      </c>
      <c r="G24" s="128">
        <v>17000</v>
      </c>
      <c r="H24" s="128">
        <f>F24*G24</f>
        <v>34000</v>
      </c>
      <c r="I24" s="128" t="s">
        <v>314</v>
      </c>
      <c r="J24" s="39"/>
      <c r="K24" s="130"/>
      <c r="L24" s="39"/>
    </row>
    <row r="25" spans="1:12" ht="24.95" customHeight="1">
      <c r="A25" s="127">
        <v>22</v>
      </c>
      <c r="B25" s="137">
        <v>46104</v>
      </c>
      <c r="C25" s="127" t="s">
        <v>301</v>
      </c>
      <c r="D25" s="138" t="s">
        <v>340</v>
      </c>
      <c r="E25" s="127" t="s">
        <v>313</v>
      </c>
      <c r="F25" s="127">
        <v>1</v>
      </c>
      <c r="G25" s="128">
        <v>3400</v>
      </c>
      <c r="H25" s="128">
        <f t="shared" ref="H25:H26" si="6">F25*G25</f>
        <v>3400</v>
      </c>
      <c r="I25" s="128" t="s">
        <v>314</v>
      </c>
      <c r="J25" s="39"/>
      <c r="K25" s="130"/>
      <c r="L25" s="39"/>
    </row>
    <row r="26" spans="1:12" ht="24.95" customHeight="1">
      <c r="A26" s="127">
        <v>23</v>
      </c>
      <c r="B26" s="137">
        <v>46104</v>
      </c>
      <c r="C26" s="127" t="s">
        <v>301</v>
      </c>
      <c r="D26" s="138" t="s">
        <v>550</v>
      </c>
      <c r="E26" s="127" t="s">
        <v>313</v>
      </c>
      <c r="F26" s="127">
        <v>4</v>
      </c>
      <c r="G26" s="128">
        <v>500</v>
      </c>
      <c r="H26" s="128">
        <f t="shared" si="6"/>
        <v>2000</v>
      </c>
      <c r="I26" s="128" t="s">
        <v>314</v>
      </c>
      <c r="J26" s="39"/>
      <c r="K26" s="126"/>
      <c r="L26" s="39"/>
    </row>
    <row r="27" spans="1:12" ht="24.95" customHeight="1">
      <c r="A27" s="127">
        <v>24</v>
      </c>
      <c r="B27" s="137">
        <v>46104</v>
      </c>
      <c r="C27" s="127" t="s">
        <v>301</v>
      </c>
      <c r="D27" s="138" t="s">
        <v>551</v>
      </c>
      <c r="E27" s="127" t="s">
        <v>313</v>
      </c>
      <c r="F27" s="127">
        <v>10</v>
      </c>
      <c r="G27" s="128">
        <v>1000</v>
      </c>
      <c r="H27" s="128">
        <f>F27*G27</f>
        <v>10000</v>
      </c>
      <c r="I27" s="128" t="s">
        <v>314</v>
      </c>
      <c r="J27" s="39"/>
      <c r="K27" s="39"/>
      <c r="L27" s="39"/>
    </row>
    <row r="28" spans="1:12" ht="24.95" customHeight="1">
      <c r="A28" s="127">
        <v>25</v>
      </c>
      <c r="B28" s="137">
        <v>46105</v>
      </c>
      <c r="C28" s="127" t="s">
        <v>301</v>
      </c>
      <c r="D28" s="138" t="s">
        <v>552</v>
      </c>
      <c r="E28" s="127" t="s">
        <v>313</v>
      </c>
      <c r="F28" s="127">
        <v>1</v>
      </c>
      <c r="G28" s="128">
        <v>81900</v>
      </c>
      <c r="H28" s="128">
        <f t="shared" ref="H28:H29" si="7">F28*G28</f>
        <v>81900</v>
      </c>
      <c r="I28" s="128" t="s">
        <v>314</v>
      </c>
    </row>
    <row r="29" spans="1:12" ht="24.95" customHeight="1">
      <c r="A29" s="127">
        <v>26</v>
      </c>
      <c r="B29" s="137">
        <v>46106</v>
      </c>
      <c r="C29" s="127" t="s">
        <v>301</v>
      </c>
      <c r="D29" s="138" t="s">
        <v>553</v>
      </c>
      <c r="E29" s="127" t="s">
        <v>313</v>
      </c>
      <c r="F29" s="127">
        <v>2</v>
      </c>
      <c r="G29" s="128">
        <v>14500</v>
      </c>
      <c r="H29" s="128">
        <f t="shared" si="7"/>
        <v>29000</v>
      </c>
      <c r="I29" s="128" t="s">
        <v>314</v>
      </c>
    </row>
    <row r="30" spans="1:12" ht="24.95" customHeight="1">
      <c r="A30" s="127">
        <v>27</v>
      </c>
      <c r="B30" s="137">
        <v>46106</v>
      </c>
      <c r="C30" s="127" t="s">
        <v>301</v>
      </c>
      <c r="D30" s="138" t="s">
        <v>342</v>
      </c>
      <c r="E30" s="127" t="s">
        <v>313</v>
      </c>
      <c r="F30" s="127">
        <v>8</v>
      </c>
      <c r="G30" s="128">
        <v>9000</v>
      </c>
      <c r="H30" s="128">
        <f>F30*G30</f>
        <v>72000</v>
      </c>
      <c r="I30" s="128" t="s">
        <v>314</v>
      </c>
    </row>
    <row r="31" spans="1:12" ht="24.95" customHeight="1">
      <c r="A31" s="127">
        <v>28</v>
      </c>
      <c r="B31" s="137">
        <v>46108</v>
      </c>
      <c r="C31" s="127" t="s">
        <v>301</v>
      </c>
      <c r="D31" s="138" t="s">
        <v>339</v>
      </c>
      <c r="E31" s="127" t="s">
        <v>313</v>
      </c>
      <c r="F31" s="127">
        <v>10</v>
      </c>
      <c r="G31" s="128">
        <v>1200</v>
      </c>
      <c r="H31" s="128">
        <f t="shared" ref="H31" si="8">F31*G31</f>
        <v>12000</v>
      </c>
      <c r="I31" s="128" t="s">
        <v>314</v>
      </c>
    </row>
    <row r="32" spans="1:12" ht="24.95" customHeight="1">
      <c r="A32" s="127">
        <v>29</v>
      </c>
      <c r="B32" s="137">
        <v>46108</v>
      </c>
      <c r="C32" s="127" t="s">
        <v>301</v>
      </c>
      <c r="D32" s="138" t="s">
        <v>554</v>
      </c>
      <c r="E32" s="127" t="s">
        <v>313</v>
      </c>
      <c r="F32" s="127">
        <v>1</v>
      </c>
      <c r="G32" s="128">
        <v>28200</v>
      </c>
      <c r="H32" s="128">
        <f>F32*G32</f>
        <v>28200</v>
      </c>
      <c r="I32" s="128" t="s">
        <v>314</v>
      </c>
    </row>
    <row r="33" spans="1:9" ht="24.95" customHeight="1">
      <c r="A33" s="127">
        <v>30</v>
      </c>
      <c r="B33" s="137">
        <v>46111</v>
      </c>
      <c r="C33" s="127" t="s">
        <v>301</v>
      </c>
      <c r="D33" s="138" t="s">
        <v>555</v>
      </c>
      <c r="E33" s="127" t="s">
        <v>313</v>
      </c>
      <c r="F33" s="127">
        <v>5</v>
      </c>
      <c r="G33" s="128">
        <v>6500</v>
      </c>
      <c r="H33" s="128">
        <f t="shared" ref="H33:H34" si="9">F33*G33</f>
        <v>32500</v>
      </c>
      <c r="I33" s="128" t="s">
        <v>314</v>
      </c>
    </row>
    <row r="34" spans="1:9" ht="24.95" customHeight="1">
      <c r="A34" s="127">
        <v>31</v>
      </c>
      <c r="B34" s="137">
        <v>46111</v>
      </c>
      <c r="C34" s="127" t="s">
        <v>301</v>
      </c>
      <c r="D34" s="138" t="s">
        <v>556</v>
      </c>
      <c r="E34" s="127" t="s">
        <v>313</v>
      </c>
      <c r="F34" s="127">
        <v>5</v>
      </c>
      <c r="G34" s="128">
        <v>7600</v>
      </c>
      <c r="H34" s="128">
        <f t="shared" si="9"/>
        <v>38000</v>
      </c>
      <c r="I34" s="128" t="s">
        <v>314</v>
      </c>
    </row>
    <row r="35" spans="1:9" ht="24.95" customHeight="1">
      <c r="A35" s="127">
        <v>32</v>
      </c>
      <c r="B35" s="137">
        <v>46111</v>
      </c>
      <c r="C35" s="127" t="s">
        <v>301</v>
      </c>
      <c r="D35" s="138" t="s">
        <v>557</v>
      </c>
      <c r="E35" s="127" t="s">
        <v>313</v>
      </c>
      <c r="F35" s="127">
        <v>5</v>
      </c>
      <c r="G35" s="128">
        <v>4500</v>
      </c>
      <c r="H35" s="128">
        <f>F35*G35</f>
        <v>22500</v>
      </c>
      <c r="I35" s="128" t="s">
        <v>314</v>
      </c>
    </row>
    <row r="36" spans="1:9" ht="24.95" customHeight="1">
      <c r="A36" s="127">
        <v>33</v>
      </c>
      <c r="B36" s="137">
        <v>46112</v>
      </c>
      <c r="C36" s="127" t="s">
        <v>301</v>
      </c>
      <c r="D36" s="138" t="s">
        <v>558</v>
      </c>
      <c r="E36" s="127" t="s">
        <v>313</v>
      </c>
      <c r="F36" s="127">
        <v>1</v>
      </c>
      <c r="G36" s="128">
        <v>20000</v>
      </c>
      <c r="H36" s="128">
        <f t="shared" ref="H36:H37" si="10">F36*G36</f>
        <v>20000</v>
      </c>
      <c r="I36" s="128" t="s">
        <v>314</v>
      </c>
    </row>
    <row r="37" spans="1:9" ht="24.95" customHeight="1">
      <c r="A37" s="127">
        <v>34</v>
      </c>
      <c r="B37" s="137">
        <v>46112</v>
      </c>
      <c r="C37" s="127" t="s">
        <v>301</v>
      </c>
      <c r="D37" s="138" t="s">
        <v>559</v>
      </c>
      <c r="E37" s="127" t="s">
        <v>313</v>
      </c>
      <c r="F37" s="127">
        <v>3</v>
      </c>
      <c r="G37" s="128">
        <v>14800</v>
      </c>
      <c r="H37" s="128">
        <f t="shared" si="10"/>
        <v>44400</v>
      </c>
      <c r="I37" s="128" t="s">
        <v>314</v>
      </c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ageMargins left="0.7" right="0.7" top="0.75" bottom="0.75" header="0.3" footer="0.3"/>
  <pageSetup paperSize="9" scale="7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R13"/>
  <sheetViews>
    <sheetView workbookViewId="0">
      <selection activeCell="C10" sqref="C10"/>
    </sheetView>
  </sheetViews>
  <sheetFormatPr defaultRowHeight="16.5"/>
  <cols>
    <col min="2" max="2" width="8.625" customWidth="1"/>
    <col min="3" max="3" width="9.625" customWidth="1"/>
    <col min="4" max="4" width="16.625" customWidth="1"/>
    <col min="5" max="5" width="9.625" customWidth="1"/>
    <col min="7" max="7" width="8.625" customWidth="1"/>
    <col min="8" max="10" width="14.625" customWidth="1"/>
    <col min="12" max="12" width="8.625" customWidth="1"/>
    <col min="13" max="15" width="11.625" customWidth="1"/>
    <col min="17" max="17" width="9.625" customWidth="1"/>
    <col min="18" max="18" width="15.625" customWidth="1"/>
  </cols>
  <sheetData>
    <row r="2" spans="2:18" ht="30" customHeight="1">
      <c r="B2" s="295" t="s">
        <v>39</v>
      </c>
      <c r="C2" s="22" t="s">
        <v>35</v>
      </c>
      <c r="D2" s="22"/>
      <c r="E2" s="22" t="s">
        <v>38</v>
      </c>
    </row>
    <row r="3" spans="2:18" ht="30" customHeight="1">
      <c r="B3" s="296"/>
      <c r="C3" s="22" t="s">
        <v>36</v>
      </c>
      <c r="D3" s="22"/>
      <c r="E3" s="22" t="s">
        <v>38</v>
      </c>
    </row>
    <row r="4" spans="2:18" ht="30" customHeight="1">
      <c r="B4" s="296"/>
      <c r="C4" s="22" t="s">
        <v>37</v>
      </c>
      <c r="D4" s="22"/>
      <c r="E4" s="22" t="s">
        <v>38</v>
      </c>
    </row>
    <row r="6" spans="2:18" ht="48.95" customHeight="1">
      <c r="G6" s="295" t="s">
        <v>47</v>
      </c>
      <c r="H6" s="23" t="s">
        <v>40</v>
      </c>
      <c r="I6" s="23" t="s">
        <v>41</v>
      </c>
      <c r="J6" s="23" t="s">
        <v>45</v>
      </c>
      <c r="K6" s="21"/>
      <c r="L6" s="21"/>
      <c r="M6" s="21"/>
      <c r="N6" s="21"/>
      <c r="O6" s="21"/>
    </row>
    <row r="7" spans="2:18" ht="54.95" customHeight="1">
      <c r="G7" s="295"/>
      <c r="H7" s="22"/>
      <c r="I7" s="22"/>
      <c r="J7" s="22"/>
      <c r="K7" s="21"/>
      <c r="L7" s="21"/>
      <c r="M7" s="21"/>
      <c r="N7" s="21"/>
      <c r="O7" s="21"/>
    </row>
    <row r="8" spans="2:18" ht="24.95" customHeight="1">
      <c r="G8" s="21"/>
      <c r="H8" s="21"/>
      <c r="I8" s="21"/>
      <c r="J8" s="21"/>
      <c r="K8" s="21"/>
      <c r="L8" s="297" t="s">
        <v>46</v>
      </c>
      <c r="M8" s="22" t="s">
        <v>42</v>
      </c>
      <c r="N8" s="22" t="s">
        <v>43</v>
      </c>
      <c r="O8" s="22" t="s">
        <v>44</v>
      </c>
    </row>
    <row r="9" spans="2:18" ht="39.950000000000003" customHeight="1">
      <c r="G9" s="21"/>
      <c r="H9" s="21"/>
      <c r="I9" s="21"/>
      <c r="J9" s="21"/>
      <c r="K9" s="21"/>
      <c r="L9" s="298"/>
      <c r="M9" s="22"/>
      <c r="N9" s="22"/>
      <c r="O9" s="22"/>
    </row>
    <row r="11" spans="2:18" ht="24.95" customHeight="1">
      <c r="Q11" s="22" t="s">
        <v>48</v>
      </c>
      <c r="R11" s="22" t="s">
        <v>51</v>
      </c>
    </row>
    <row r="12" spans="2:18" ht="24.95" customHeight="1">
      <c r="Q12" s="22" t="s">
        <v>49</v>
      </c>
      <c r="R12" s="22" t="s">
        <v>52</v>
      </c>
    </row>
    <row r="13" spans="2:18" ht="24.95" customHeight="1">
      <c r="Q13" s="22" t="s">
        <v>50</v>
      </c>
      <c r="R13" s="22" t="s">
        <v>52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27"/>
  <sheetViews>
    <sheetView workbookViewId="0">
      <selection activeCell="C12" sqref="C12"/>
    </sheetView>
  </sheetViews>
  <sheetFormatPr defaultRowHeight="16.5"/>
  <sheetData>
    <row r="3" spans="2:3">
      <c r="B3" s="299" t="s">
        <v>53</v>
      </c>
      <c r="C3" s="300"/>
    </row>
    <row r="4" spans="2:3">
      <c r="B4" s="24" t="s">
        <v>54</v>
      </c>
      <c r="C4" s="24" t="s">
        <v>55</v>
      </c>
    </row>
    <row r="5" spans="2:3">
      <c r="B5" s="22" t="s">
        <v>56</v>
      </c>
      <c r="C5" s="22">
        <v>0.25</v>
      </c>
    </row>
    <row r="6" spans="2:3">
      <c r="B6" s="22" t="s">
        <v>57</v>
      </c>
      <c r="C6" s="22">
        <v>0.5</v>
      </c>
    </row>
    <row r="7" spans="2:3">
      <c r="B7" s="22" t="s">
        <v>58</v>
      </c>
      <c r="C7" s="22">
        <v>0.75</v>
      </c>
    </row>
    <row r="8" spans="2:3">
      <c r="B8" s="22" t="s">
        <v>59</v>
      </c>
      <c r="C8" s="22">
        <v>1</v>
      </c>
    </row>
    <row r="9" spans="2:3">
      <c r="B9" s="22" t="s">
        <v>60</v>
      </c>
      <c r="C9" s="22">
        <v>1.25</v>
      </c>
    </row>
    <row r="10" spans="2:3">
      <c r="B10" s="22" t="s">
        <v>61</v>
      </c>
      <c r="C10" s="22">
        <v>1.5</v>
      </c>
    </row>
    <row r="11" spans="2:3">
      <c r="B11" s="22" t="s">
        <v>62</v>
      </c>
      <c r="C11" s="22">
        <v>2</v>
      </c>
    </row>
    <row r="12" spans="2:3">
      <c r="B12" s="22" t="s">
        <v>63</v>
      </c>
      <c r="C12" s="22">
        <v>2.5</v>
      </c>
    </row>
    <row r="13" spans="2:3">
      <c r="B13" s="22" t="s">
        <v>64</v>
      </c>
      <c r="C13" s="22">
        <v>3</v>
      </c>
    </row>
    <row r="14" spans="2:3">
      <c r="B14" s="22" t="s">
        <v>65</v>
      </c>
      <c r="C14" s="22">
        <v>4</v>
      </c>
    </row>
    <row r="15" spans="2:3">
      <c r="B15" s="22" t="s">
        <v>66</v>
      </c>
      <c r="C15" s="22">
        <v>4</v>
      </c>
    </row>
    <row r="16" spans="2:3">
      <c r="B16" s="22" t="s">
        <v>67</v>
      </c>
      <c r="C16" s="22">
        <v>5</v>
      </c>
    </row>
    <row r="17" spans="2:3">
      <c r="B17" s="22" t="s">
        <v>68</v>
      </c>
      <c r="C17" s="22">
        <v>6</v>
      </c>
    </row>
    <row r="18" spans="2:3">
      <c r="B18" s="22" t="s">
        <v>69</v>
      </c>
      <c r="C18" s="22">
        <v>7</v>
      </c>
    </row>
    <row r="19" spans="2:3">
      <c r="B19" s="22" t="s">
        <v>70</v>
      </c>
      <c r="C19" s="22">
        <v>8</v>
      </c>
    </row>
    <row r="20" spans="2:3">
      <c r="B20" s="22" t="s">
        <v>71</v>
      </c>
      <c r="C20" s="22">
        <v>9</v>
      </c>
    </row>
    <row r="21" spans="2:3">
      <c r="B21" s="22" t="s">
        <v>72</v>
      </c>
      <c r="C21" s="22">
        <v>10</v>
      </c>
    </row>
    <row r="22" spans="2:3">
      <c r="B22" s="22" t="s">
        <v>73</v>
      </c>
      <c r="C22" s="22">
        <v>12</v>
      </c>
    </row>
    <row r="23" spans="2:3">
      <c r="B23" s="22" t="s">
        <v>74</v>
      </c>
      <c r="C23" s="22">
        <v>14</v>
      </c>
    </row>
    <row r="24" spans="2:3">
      <c r="B24" s="22" t="s">
        <v>75</v>
      </c>
      <c r="C24" s="22">
        <v>16</v>
      </c>
    </row>
    <row r="25" spans="2:3">
      <c r="B25" s="22" t="s">
        <v>76</v>
      </c>
      <c r="C25" s="22">
        <v>18</v>
      </c>
    </row>
    <row r="26" spans="2:3">
      <c r="B26" s="22" t="s">
        <v>77</v>
      </c>
      <c r="C26" s="22">
        <v>20</v>
      </c>
    </row>
    <row r="27" spans="2:3">
      <c r="B27" s="22" t="s">
        <v>78</v>
      </c>
      <c r="C27" s="22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4</vt:i4>
      </vt:variant>
    </vt:vector>
  </HeadingPairs>
  <TitlesOfParts>
    <vt:vector size="17" baseType="lpstr">
      <vt:lpstr>용역청구서 표지</vt:lpstr>
      <vt:lpstr>용역 청구서(갑지)</vt:lpstr>
      <vt:lpstr>용역 내역서(을지)</vt:lpstr>
      <vt:lpstr>내역서(을지)</vt:lpstr>
      <vt:lpstr>집계장</vt:lpstr>
      <vt:lpstr>물량 내역서</vt:lpstr>
      <vt:lpstr>근로내역 (03월)</vt:lpstr>
      <vt:lpstr>숙소임차료</vt:lpstr>
      <vt:lpstr>숙소관리비</vt:lpstr>
      <vt:lpstr>식대비용</vt:lpstr>
      <vt:lpstr>기타비용</vt:lpstr>
      <vt:lpstr>서명란</vt:lpstr>
      <vt:lpstr>DIA-INCH</vt:lpstr>
      <vt:lpstr>기타비용!Print_Area</vt:lpstr>
      <vt:lpstr>'물량 내역서'!Print_Area</vt:lpstr>
      <vt:lpstr>숙소임차료!Print_Area</vt:lpstr>
      <vt:lpstr>식대비용!Print_Area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KCENC</cp:lastModifiedBy>
  <cp:lastPrinted>2025-09-12T00:35:21Z</cp:lastPrinted>
  <dcterms:created xsi:type="dcterms:W3CDTF">2025-09-12T00:04:15Z</dcterms:created>
  <dcterms:modified xsi:type="dcterms:W3CDTF">2026-04-07T06:13:12Z</dcterms:modified>
</cp:coreProperties>
</file>