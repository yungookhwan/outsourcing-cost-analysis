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192.168.237.6\Kcenc_구매전략\현장별 기성 내역서\2025년\12월\S25-004\"/>
    </mc:Choice>
  </mc:AlternateContent>
  <xr:revisionPtr revIDLastSave="0" documentId="13_ncr:1_{E21D8CA0-1496-47C1-BA43-41E88041C46E}" xr6:coauthVersionLast="36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용역청구서 표지" sheetId="1" r:id="rId1"/>
    <sheet name="용역 청구서(갑지)" sheetId="2" r:id="rId2"/>
    <sheet name="용역 내역서(을지)" sheetId="5" r:id="rId3"/>
    <sheet name="집계장" sheetId="6" r:id="rId4"/>
    <sheet name="물량 내역서" sheetId="7" r:id="rId5"/>
    <sheet name="근로내역 (12월)" sheetId="8" r:id="rId6"/>
    <sheet name="숙소임차료" sheetId="9" r:id="rId7"/>
    <sheet name="숙소관리비" sheetId="10" r:id="rId8"/>
    <sheet name="식대비용" sheetId="11" r:id="rId9"/>
    <sheet name="기타비용" sheetId="12" r:id="rId10"/>
    <sheet name="서명란" sheetId="3" state="hidden" r:id="rId11"/>
    <sheet name="DIA-INCH" sheetId="4" r:id="rId12"/>
  </sheets>
  <definedNames>
    <definedName name="_xlnm._FilterDatabase" localSheetId="4" hidden="1">'물량 내역서'!$A$4:$M$51</definedName>
    <definedName name="_xlnm.Print_Area" localSheetId="9">기타비용!$A$1:$I$21</definedName>
    <definedName name="_xlnm.Print_Area" localSheetId="6">숙소임차료!$A$1:$J$7</definedName>
    <definedName name="_xlnm.Print_Area" localSheetId="8">식대비용!$A$1:$J$5</definedName>
    <definedName name="_xlnm.Print_Area" localSheetId="1">'용역 청구서(갑지)'!$A$1:$L$26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6" l="1"/>
  <c r="F16" i="6"/>
  <c r="F13" i="5" l="1"/>
  <c r="G21" i="6" l="1"/>
  <c r="G22" i="6" s="1"/>
  <c r="H16" i="6" l="1"/>
  <c r="E7" i="2" l="1"/>
  <c r="G14" i="6" l="1"/>
  <c r="G13" i="6"/>
  <c r="H21" i="12" l="1"/>
  <c r="H20" i="12"/>
  <c r="H19" i="12"/>
  <c r="H18" i="12"/>
  <c r="H17" i="12"/>
  <c r="H16" i="12"/>
  <c r="H15" i="12"/>
  <c r="H14" i="12"/>
  <c r="H13" i="12"/>
  <c r="H12" i="12"/>
  <c r="H11" i="12"/>
  <c r="H10" i="12"/>
  <c r="H9" i="12"/>
  <c r="H8" i="12"/>
  <c r="H7" i="12"/>
  <c r="I3" i="11"/>
  <c r="I3" i="9" l="1"/>
  <c r="I5" i="11" l="1"/>
  <c r="AP25" i="8"/>
  <c r="AM25" i="8"/>
  <c r="AL25" i="8"/>
  <c r="AK25" i="8"/>
  <c r="AJ25" i="8"/>
  <c r="AI25" i="8"/>
  <c r="AH25" i="8"/>
  <c r="AG25" i="8"/>
  <c r="AF25" i="8"/>
  <c r="AE25" i="8"/>
  <c r="AD25" i="8"/>
  <c r="AC25" i="8"/>
  <c r="AB25" i="8"/>
  <c r="AA25" i="8"/>
  <c r="Z25" i="8"/>
  <c r="Y25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AN25" i="8"/>
  <c r="AN24" i="8" l="1"/>
  <c r="AP24" i="8" s="1"/>
  <c r="AN23" i="8"/>
  <c r="AP23" i="8" s="1"/>
  <c r="AN22" i="8"/>
  <c r="AP22" i="8" s="1"/>
  <c r="AN21" i="8"/>
  <c r="AP21" i="8" s="1"/>
  <c r="AN20" i="8"/>
  <c r="AP20" i="8" s="1"/>
  <c r="AN19" i="8"/>
  <c r="AP19" i="8" s="1"/>
  <c r="AN18" i="8"/>
  <c r="AP18" i="8" s="1"/>
  <c r="D11" i="6" l="1"/>
  <c r="D10" i="6"/>
  <c r="I3" i="10"/>
  <c r="AN17" i="8" l="1"/>
  <c r="AP17" i="8" s="1"/>
  <c r="AN16" i="8"/>
  <c r="AP16" i="8" s="1"/>
  <c r="E10" i="2" l="1"/>
  <c r="E9" i="2"/>
  <c r="J50" i="7" l="1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K31" i="7" s="1"/>
  <c r="J30" i="7"/>
  <c r="J29" i="7"/>
  <c r="J28" i="7"/>
  <c r="D5" i="6" l="1"/>
  <c r="H6" i="12"/>
  <c r="H5" i="12"/>
  <c r="H4" i="12"/>
  <c r="H3" i="12" l="1"/>
  <c r="F11" i="6"/>
  <c r="H11" i="6" s="1"/>
  <c r="F10" i="6"/>
  <c r="H10" i="6" s="1"/>
  <c r="AM3" i="8" l="1"/>
  <c r="AM1" i="8"/>
  <c r="AM36" i="8"/>
  <c r="AL36" i="8"/>
  <c r="AK36" i="8"/>
  <c r="AJ36" i="8"/>
  <c r="AI36" i="8"/>
  <c r="AH36" i="8"/>
  <c r="AG36" i="8"/>
  <c r="AF36" i="8"/>
  <c r="AE36" i="8"/>
  <c r="AD36" i="8"/>
  <c r="AC36" i="8"/>
  <c r="AB36" i="8"/>
  <c r="AA36" i="8"/>
  <c r="AA37" i="8" s="1"/>
  <c r="Z36" i="8"/>
  <c r="Z37" i="8" s="1"/>
  <c r="Y36" i="8"/>
  <c r="X36" i="8"/>
  <c r="W36" i="8"/>
  <c r="V36" i="8"/>
  <c r="U36" i="8"/>
  <c r="T36" i="8"/>
  <c r="S36" i="8"/>
  <c r="R36" i="8"/>
  <c r="Q36" i="8"/>
  <c r="Q37" i="8" s="1"/>
  <c r="P36" i="8"/>
  <c r="O36" i="8"/>
  <c r="N36" i="8"/>
  <c r="M36" i="8"/>
  <c r="L36" i="8"/>
  <c r="K36" i="8"/>
  <c r="K37" i="8" s="1"/>
  <c r="J36" i="8"/>
  <c r="J37" i="8" s="1"/>
  <c r="I36" i="8"/>
  <c r="AN35" i="8"/>
  <c r="AP35" i="8" s="1"/>
  <c r="AN34" i="8"/>
  <c r="AP34" i="8" s="1"/>
  <c r="AN33" i="8"/>
  <c r="AP33" i="8" s="1"/>
  <c r="AN32" i="8"/>
  <c r="AP32" i="8" s="1"/>
  <c r="AN31" i="8"/>
  <c r="AP31" i="8" s="1"/>
  <c r="AN30" i="8"/>
  <c r="AP30" i="8" s="1"/>
  <c r="AN29" i="8"/>
  <c r="AP29" i="8" s="1"/>
  <c r="AN28" i="8"/>
  <c r="AP28" i="8" s="1"/>
  <c r="AN27" i="8"/>
  <c r="AP27" i="8" s="1"/>
  <c r="AN26" i="8"/>
  <c r="AP26" i="8" s="1"/>
  <c r="AB37" i="8"/>
  <c r="X37" i="8"/>
  <c r="L37" i="8"/>
  <c r="AN15" i="8"/>
  <c r="AP15" i="8" s="1"/>
  <c r="AN14" i="8"/>
  <c r="AP14" i="8" s="1"/>
  <c r="AN13" i="8"/>
  <c r="AP13" i="8" s="1"/>
  <c r="AN12" i="8"/>
  <c r="AP12" i="8" s="1"/>
  <c r="AN11" i="8"/>
  <c r="AP11" i="8" s="1"/>
  <c r="AN10" i="8"/>
  <c r="AP10" i="8" s="1"/>
  <c r="AN9" i="8"/>
  <c r="AP9" i="8" s="1"/>
  <c r="AN8" i="8"/>
  <c r="AP8" i="8" s="1"/>
  <c r="AN7" i="8"/>
  <c r="AP7" i="8" s="1"/>
  <c r="AN6" i="8"/>
  <c r="AG37" i="8" l="1"/>
  <c r="AH37" i="8"/>
  <c r="N37" i="8"/>
  <c r="AD37" i="8"/>
  <c r="O37" i="8"/>
  <c r="AE37" i="8"/>
  <c r="R37" i="8"/>
  <c r="I37" i="8"/>
  <c r="Y37" i="8"/>
  <c r="P37" i="8"/>
  <c r="AF37" i="8"/>
  <c r="AP36" i="8"/>
  <c r="F6" i="6" s="1"/>
  <c r="AI37" i="8"/>
  <c r="T37" i="8"/>
  <c r="AJ37" i="8"/>
  <c r="S37" i="8"/>
  <c r="U37" i="8"/>
  <c r="AK37" i="8"/>
  <c r="V37" i="8"/>
  <c r="AL37" i="8"/>
  <c r="W37" i="8"/>
  <c r="AM37" i="8"/>
  <c r="M37" i="8"/>
  <c r="AC37" i="8"/>
  <c r="AP6" i="8"/>
  <c r="AN36" i="8"/>
  <c r="AN37" i="8" s="1"/>
  <c r="D9" i="6" s="1"/>
  <c r="E50" i="7"/>
  <c r="K50" i="7" s="1"/>
  <c r="M50" i="7" s="1"/>
  <c r="G50" i="7" s="1"/>
  <c r="E49" i="7"/>
  <c r="K49" i="7" s="1"/>
  <c r="M49" i="7" s="1"/>
  <c r="G49" i="7" s="1"/>
  <c r="E48" i="7"/>
  <c r="K48" i="7" s="1"/>
  <c r="M48" i="7" s="1"/>
  <c r="G48" i="7" s="1"/>
  <c r="E47" i="7"/>
  <c r="K47" i="7" s="1"/>
  <c r="M47" i="7" s="1"/>
  <c r="G47" i="7" s="1"/>
  <c r="E46" i="7"/>
  <c r="K46" i="7" s="1"/>
  <c r="M46" i="7" s="1"/>
  <c r="G46" i="7" s="1"/>
  <c r="E45" i="7"/>
  <c r="K45" i="7" s="1"/>
  <c r="M45" i="7" s="1"/>
  <c r="G45" i="7" s="1"/>
  <c r="E44" i="7"/>
  <c r="K44" i="7" s="1"/>
  <c r="E43" i="7"/>
  <c r="K43" i="7" s="1"/>
  <c r="E42" i="7"/>
  <c r="E41" i="7"/>
  <c r="E40" i="7"/>
  <c r="E39" i="7"/>
  <c r="E38" i="7"/>
  <c r="E37" i="7"/>
  <c r="E36" i="7"/>
  <c r="E35" i="7"/>
  <c r="E34" i="7"/>
  <c r="K34" i="7" s="1"/>
  <c r="E33" i="7"/>
  <c r="K33" i="7" s="1"/>
  <c r="M33" i="7" s="1"/>
  <c r="G33" i="7" s="1"/>
  <c r="E32" i="7"/>
  <c r="K32" i="7" s="1"/>
  <c r="M32" i="7" s="1"/>
  <c r="G32" i="7" s="1"/>
  <c r="E30" i="7"/>
  <c r="E29" i="7"/>
  <c r="K29" i="7" s="1"/>
  <c r="M29" i="7" s="1"/>
  <c r="G29" i="7" s="1"/>
  <c r="E28" i="7"/>
  <c r="J27" i="7"/>
  <c r="J26" i="7"/>
  <c r="J25" i="7"/>
  <c r="J24" i="7"/>
  <c r="K24" i="7" s="1"/>
  <c r="M24" i="7" s="1"/>
  <c r="G24" i="7" s="1"/>
  <c r="J23" i="7"/>
  <c r="L23" i="7" s="1"/>
  <c r="F23" i="7" s="1"/>
  <c r="J22" i="7"/>
  <c r="L22" i="7" s="1"/>
  <c r="F22" i="7" s="1"/>
  <c r="J21" i="7"/>
  <c r="K21" i="7" s="1"/>
  <c r="M21" i="7" s="1"/>
  <c r="G21" i="7" s="1"/>
  <c r="J20" i="7"/>
  <c r="L20" i="7" s="1"/>
  <c r="F20" i="7" s="1"/>
  <c r="J19" i="7"/>
  <c r="L19" i="7" s="1"/>
  <c r="F19" i="7" s="1"/>
  <c r="J18" i="7"/>
  <c r="K18" i="7" s="1"/>
  <c r="M18" i="7" s="1"/>
  <c r="G18" i="7" s="1"/>
  <c r="J17" i="7"/>
  <c r="L17" i="7" s="1"/>
  <c r="F17" i="7" s="1"/>
  <c r="J16" i="7"/>
  <c r="L16" i="7" s="1"/>
  <c r="F16" i="7" s="1"/>
  <c r="J15" i="7"/>
  <c r="L15" i="7" s="1"/>
  <c r="F15" i="7" s="1"/>
  <c r="J14" i="7"/>
  <c r="L14" i="7" s="1"/>
  <c r="F14" i="7" s="1"/>
  <c r="J13" i="7"/>
  <c r="K13" i="7" s="1"/>
  <c r="M13" i="7" s="1"/>
  <c r="G13" i="7" s="1"/>
  <c r="J12" i="7"/>
  <c r="L12" i="7" s="1"/>
  <c r="F12" i="7" s="1"/>
  <c r="J11" i="7"/>
  <c r="L11" i="7" s="1"/>
  <c r="F11" i="7" s="1"/>
  <c r="J10" i="7"/>
  <c r="L10" i="7" s="1"/>
  <c r="F10" i="7" s="1"/>
  <c r="J9" i="7"/>
  <c r="L9" i="7" s="1"/>
  <c r="F9" i="7" s="1"/>
  <c r="J8" i="7"/>
  <c r="K8" i="7" s="1"/>
  <c r="M8" i="7" s="1"/>
  <c r="G8" i="7" s="1"/>
  <c r="J7" i="7"/>
  <c r="L7" i="7" s="1"/>
  <c r="F7" i="7" s="1"/>
  <c r="J6" i="7"/>
  <c r="L6" i="7" s="1"/>
  <c r="F6" i="7" s="1"/>
  <c r="J5" i="7"/>
  <c r="A2" i="7"/>
  <c r="I51" i="7"/>
  <c r="H51" i="7"/>
  <c r="L49" i="7"/>
  <c r="F49" i="7" s="1"/>
  <c r="L48" i="7"/>
  <c r="F48" i="7" s="1"/>
  <c r="L47" i="7"/>
  <c r="F47" i="7" s="1"/>
  <c r="L46" i="7"/>
  <c r="F46" i="7" s="1"/>
  <c r="L45" i="7"/>
  <c r="F45" i="7" s="1"/>
  <c r="M44" i="7"/>
  <c r="G44" i="7" s="1"/>
  <c r="M43" i="7"/>
  <c r="G43" i="7" s="1"/>
  <c r="L34" i="7"/>
  <c r="F34" i="7" s="1"/>
  <c r="L33" i="7"/>
  <c r="F33" i="7" s="1"/>
  <c r="L32" i="7"/>
  <c r="F32" i="7" s="1"/>
  <c r="L31" i="7"/>
  <c r="M31" i="7"/>
  <c r="G31" i="7" s="1"/>
  <c r="F31" i="7"/>
  <c r="L26" i="7"/>
  <c r="F26" i="7" s="1"/>
  <c r="K26" i="7"/>
  <c r="M26" i="7" s="1"/>
  <c r="G26" i="7" s="1"/>
  <c r="K25" i="7"/>
  <c r="M25" i="7" s="1"/>
  <c r="G25" i="7" s="1"/>
  <c r="A1" i="6"/>
  <c r="L2" i="6"/>
  <c r="K16" i="7" l="1"/>
  <c r="M16" i="7" s="1"/>
  <c r="G16" i="7" s="1"/>
  <c r="L18" i="7"/>
  <c r="F18" i="7" s="1"/>
  <c r="K23" i="7"/>
  <c r="M23" i="7" s="1"/>
  <c r="G23" i="7" s="1"/>
  <c r="K36" i="7"/>
  <c r="M36" i="7" s="1"/>
  <c r="G36" i="7" s="1"/>
  <c r="K37" i="7"/>
  <c r="M37" i="7" s="1"/>
  <c r="G37" i="7" s="1"/>
  <c r="K40" i="7"/>
  <c r="M40" i="7" s="1"/>
  <c r="G40" i="7" s="1"/>
  <c r="K41" i="7"/>
  <c r="M41" i="7" s="1"/>
  <c r="G41" i="7" s="1"/>
  <c r="L42" i="7"/>
  <c r="F42" i="7" s="1"/>
  <c r="K42" i="7"/>
  <c r="M42" i="7" s="1"/>
  <c r="G42" i="7" s="1"/>
  <c r="L8" i="7"/>
  <c r="F8" i="7" s="1"/>
  <c r="K38" i="7"/>
  <c r="K39" i="7"/>
  <c r="M39" i="7" s="1"/>
  <c r="G39" i="7" s="1"/>
  <c r="K10" i="7"/>
  <c r="M10" i="7" s="1"/>
  <c r="G10" i="7" s="1"/>
  <c r="K28" i="7"/>
  <c r="M28" i="7" s="1"/>
  <c r="G28" i="7" s="1"/>
  <c r="K30" i="7"/>
  <c r="M30" i="7" s="1"/>
  <c r="G30" i="7" s="1"/>
  <c r="K35" i="7"/>
  <c r="M35" i="7" s="1"/>
  <c r="G35" i="7" s="1"/>
  <c r="AO36" i="8"/>
  <c r="D6" i="6"/>
  <c r="K7" i="7"/>
  <c r="M7" i="7" s="1"/>
  <c r="G7" i="7" s="1"/>
  <c r="D4" i="6"/>
  <c r="L27" i="7"/>
  <c r="F27" i="7" s="1"/>
  <c r="L24" i="7"/>
  <c r="F24" i="7" s="1"/>
  <c r="AP37" i="8"/>
  <c r="AO25" i="8"/>
  <c r="L40" i="7"/>
  <c r="F40" i="7" s="1"/>
  <c r="L38" i="7"/>
  <c r="F38" i="7" s="1"/>
  <c r="K6" i="7"/>
  <c r="M6" i="7" s="1"/>
  <c r="G6" i="7" s="1"/>
  <c r="K14" i="7"/>
  <c r="M14" i="7" s="1"/>
  <c r="G14" i="7" s="1"/>
  <c r="K22" i="7"/>
  <c r="M22" i="7" s="1"/>
  <c r="G22" i="7" s="1"/>
  <c r="K15" i="7"/>
  <c r="M15" i="7" s="1"/>
  <c r="G15" i="7" s="1"/>
  <c r="K5" i="7"/>
  <c r="L5" i="7"/>
  <c r="L13" i="7"/>
  <c r="F13" i="7" s="1"/>
  <c r="L21" i="7"/>
  <c r="F21" i="7" s="1"/>
  <c r="L29" i="7"/>
  <c r="F29" i="7" s="1"/>
  <c r="L36" i="7"/>
  <c r="F36" i="7" s="1"/>
  <c r="L43" i="7"/>
  <c r="F43" i="7" s="1"/>
  <c r="L50" i="7"/>
  <c r="F50" i="7" s="1"/>
  <c r="K11" i="7"/>
  <c r="M11" i="7" s="1"/>
  <c r="G11" i="7" s="1"/>
  <c r="K19" i="7"/>
  <c r="M19" i="7" s="1"/>
  <c r="G19" i="7" s="1"/>
  <c r="K27" i="7"/>
  <c r="M34" i="7"/>
  <c r="G34" i="7" s="1"/>
  <c r="L41" i="7"/>
  <c r="F41" i="7" s="1"/>
  <c r="L30" i="7"/>
  <c r="F30" i="7" s="1"/>
  <c r="L37" i="7"/>
  <c r="F37" i="7" s="1"/>
  <c r="L39" i="7"/>
  <c r="F39" i="7" s="1"/>
  <c r="K17" i="7"/>
  <c r="M17" i="7" s="1"/>
  <c r="G17" i="7" s="1"/>
  <c r="L25" i="7"/>
  <c r="F25" i="7" s="1"/>
  <c r="L44" i="7"/>
  <c r="F44" i="7" s="1"/>
  <c r="K9" i="7"/>
  <c r="M9" i="7" s="1"/>
  <c r="G9" i="7" s="1"/>
  <c r="K12" i="7"/>
  <c r="M12" i="7" s="1"/>
  <c r="G12" i="7" s="1"/>
  <c r="K20" i="7"/>
  <c r="M20" i="7" s="1"/>
  <c r="G20" i="7" s="1"/>
  <c r="L28" i="7"/>
  <c r="F28" i="7" s="1"/>
  <c r="L35" i="7"/>
  <c r="F35" i="7" s="1"/>
  <c r="F20" i="6"/>
  <c r="H19" i="6"/>
  <c r="I19" i="6" s="1"/>
  <c r="H17" i="6"/>
  <c r="I17" i="6" s="1"/>
  <c r="I16" i="6"/>
  <c r="E14" i="2" s="1"/>
  <c r="H15" i="6"/>
  <c r="I15" i="6" s="1"/>
  <c r="F12" i="6"/>
  <c r="F7" i="6"/>
  <c r="H7" i="6" s="1"/>
  <c r="I7" i="6" s="1"/>
  <c r="H6" i="6"/>
  <c r="I6" i="6" s="1"/>
  <c r="AO37" i="8" l="1"/>
  <c r="F9" i="6"/>
  <c r="H9" i="6" s="1"/>
  <c r="H20" i="6"/>
  <c r="I20" i="6" s="1"/>
  <c r="L20" i="6" s="1"/>
  <c r="E12" i="2" s="1"/>
  <c r="E11" i="2"/>
  <c r="F5" i="6"/>
  <c r="M38" i="7"/>
  <c r="G38" i="7" s="1"/>
  <c r="M27" i="7"/>
  <c r="G27" i="7" s="1"/>
  <c r="F4" i="6"/>
  <c r="L51" i="7"/>
  <c r="F5" i="7"/>
  <c r="F51" i="7" s="1"/>
  <c r="K51" i="7"/>
  <c r="M5" i="7"/>
  <c r="J51" i="7"/>
  <c r="E11" i="6"/>
  <c r="I11" i="6"/>
  <c r="E10" i="6"/>
  <c r="E6" i="6"/>
  <c r="H12" i="6"/>
  <c r="I12" i="6" s="1"/>
  <c r="I10" i="6"/>
  <c r="F6" i="5"/>
  <c r="F7" i="5"/>
  <c r="F8" i="5"/>
  <c r="F9" i="5"/>
  <c r="F10" i="5"/>
  <c r="F11" i="5"/>
  <c r="F5" i="5"/>
  <c r="E15" i="5"/>
  <c r="E3" i="2"/>
  <c r="D3" i="2"/>
  <c r="F8" i="6" l="1"/>
  <c r="H8" i="6" s="1"/>
  <c r="I8" i="6" s="1"/>
  <c r="E5" i="6"/>
  <c r="H5" i="6"/>
  <c r="I5" i="6" s="1"/>
  <c r="I9" i="6"/>
  <c r="E9" i="6"/>
  <c r="F13" i="6"/>
  <c r="H13" i="6" s="1"/>
  <c r="I13" i="6" s="1"/>
  <c r="H4" i="6"/>
  <c r="I4" i="6" s="1"/>
  <c r="E4" i="6"/>
  <c r="M51" i="7"/>
  <c r="G5" i="7"/>
  <c r="G51" i="7" s="1"/>
  <c r="F15" i="5"/>
  <c r="D14" i="2"/>
  <c r="D12" i="2"/>
  <c r="D11" i="2"/>
  <c r="D10" i="2"/>
  <c r="D9" i="2"/>
  <c r="D7" i="2"/>
  <c r="F14" i="6" l="1"/>
  <c r="H14" i="6" l="1"/>
  <c r="I14" i="6" s="1"/>
  <c r="F18" i="6"/>
  <c r="F21" i="6" l="1"/>
  <c r="F22" i="6" s="1"/>
  <c r="H22" i="6" s="1"/>
  <c r="I22" i="6" s="1"/>
  <c r="E8" i="2"/>
  <c r="D8" i="2" s="1"/>
  <c r="E5" i="2"/>
  <c r="D5" i="2" s="1"/>
  <c r="E13" i="2"/>
  <c r="E6" i="2" l="1"/>
  <c r="D6" i="2" s="1"/>
  <c r="H21" i="6"/>
  <c r="I21" i="6" s="1"/>
  <c r="I18" i="6"/>
  <c r="D1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KCENC</author>
  </authors>
  <commentList>
    <comment ref="E5" authorId="0" shapeId="0" xr:uid="{00000000-0006-0000-0500-000001000000}">
      <text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연락처로
급여명세서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발송됨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<sst xmlns="http://schemas.openxmlformats.org/spreadsheetml/2006/main" count="767" uniqueCount="438">
  <si>
    <t>용 역 청 구 서</t>
    <phoneticPr fontId="6" type="noConversion"/>
  </si>
  <si>
    <t>P4 Ph4 GAS 1공구 마감공사</t>
    <phoneticPr fontId="10" type="noConversion"/>
  </si>
  <si>
    <t>용 역 청 구 서</t>
    <phoneticPr fontId="6" type="noConversion"/>
  </si>
  <si>
    <t>공      사      명</t>
    <phoneticPr fontId="10" type="noConversion"/>
  </si>
  <si>
    <t>:</t>
    <phoneticPr fontId="10" type="noConversion"/>
  </si>
  <si>
    <t>공               종</t>
    <phoneticPr fontId="10" type="noConversion"/>
  </si>
  <si>
    <t xml:space="preserve"> 외주용역(M/M부분)</t>
    <phoneticPr fontId="4" type="noConversion"/>
  </si>
  <si>
    <t>계   약    금   액</t>
    <phoneticPr fontId="10" type="noConversion"/>
  </si>
  <si>
    <t>(VAT 별도)</t>
    <phoneticPr fontId="10" type="noConversion"/>
  </si>
  <si>
    <t>누 계 기 성 금 액</t>
    <phoneticPr fontId="10" type="noConversion"/>
  </si>
  <si>
    <t>(VAT 별도)</t>
    <phoneticPr fontId="10" type="noConversion"/>
  </si>
  <si>
    <t>전 회 기 성 금 액</t>
    <phoneticPr fontId="10" type="noConversion"/>
  </si>
  <si>
    <t>:</t>
    <phoneticPr fontId="10" type="noConversion"/>
  </si>
  <si>
    <t>(VAT 별도)</t>
    <phoneticPr fontId="10" type="noConversion"/>
  </si>
  <si>
    <t>금 회 기 성 금 액</t>
    <phoneticPr fontId="10" type="noConversion"/>
  </si>
  <si>
    <t>(VAT 별도)</t>
    <phoneticPr fontId="10" type="noConversion"/>
  </si>
  <si>
    <t>선      금       액</t>
    <phoneticPr fontId="10" type="noConversion"/>
  </si>
  <si>
    <t>:</t>
    <phoneticPr fontId="10" type="noConversion"/>
  </si>
  <si>
    <t xml:space="preserve">선 금 전 회 공 제    </t>
    <phoneticPr fontId="10" type="noConversion"/>
  </si>
  <si>
    <t>:</t>
    <phoneticPr fontId="4" type="noConversion"/>
  </si>
  <si>
    <t>선 금 금 회 공 제</t>
    <phoneticPr fontId="10" type="noConversion"/>
  </si>
  <si>
    <t>선 금 잔 여 금 액</t>
    <phoneticPr fontId="10" type="noConversion"/>
  </si>
  <si>
    <t>금 회 청 구 금 액</t>
    <phoneticPr fontId="10" type="noConversion"/>
  </si>
  <si>
    <t>:</t>
    <phoneticPr fontId="10" type="noConversion"/>
  </si>
  <si>
    <t>잔 여 기 성 금 액</t>
    <phoneticPr fontId="10" type="noConversion"/>
  </si>
  <si>
    <t xml:space="preserve">공      정      율      </t>
    <phoneticPr fontId="6" type="noConversion"/>
  </si>
  <si>
    <t>:</t>
    <phoneticPr fontId="4" type="noConversion"/>
  </si>
  <si>
    <t xml:space="preserve">청 구 공 사 기 간 </t>
    <phoneticPr fontId="4" type="noConversion"/>
  </si>
  <si>
    <t>:</t>
    <phoneticPr fontId="4" type="noConversion"/>
  </si>
  <si>
    <t>위 공사의 하도급에 있어서 공사설계도서, 시방서,품질관리 기준 및 약정대로 시공 되었음을 확인하오며. 만약 귀사의 현장담당의 검사에</t>
    <phoneticPr fontId="10" type="noConversion"/>
  </si>
  <si>
    <t>관하여 하자가 발견된 때에는 즉시 실액배상 또는 재 시공할것을 서약하고 이에 기성 청구서를 제출합니다.</t>
    <phoneticPr fontId="10" type="noConversion"/>
  </si>
  <si>
    <t>상기건과 관련하여 본 청구 이전까지의 모든 대금은 수령하였음을 확약합니다.</t>
    <phoneticPr fontId="4" type="noConversion"/>
  </si>
  <si>
    <t>상      호 :</t>
    <phoneticPr fontId="10" type="noConversion"/>
  </si>
  <si>
    <t xml:space="preserve">※첨  부 : 기성내역서            1부. </t>
    <phoneticPr fontId="10" type="noConversion"/>
  </si>
  <si>
    <t>주      소 :</t>
    <phoneticPr fontId="10" type="noConversion"/>
  </si>
  <si>
    <t>대표이사 :</t>
    <phoneticPr fontId="10" type="noConversion"/>
  </si>
  <si>
    <t>㈜케이씨이앤씨 귀하</t>
    <phoneticPr fontId="10" type="noConversion"/>
  </si>
  <si>
    <t>소   장</t>
    <phoneticPr fontId="4" type="noConversion"/>
  </si>
  <si>
    <t>공   사</t>
    <phoneticPr fontId="4" type="noConversion"/>
  </si>
  <si>
    <t>공   무</t>
    <phoneticPr fontId="4" type="noConversion"/>
  </si>
  <si>
    <t>(서명)</t>
    <phoneticPr fontId="4" type="noConversion"/>
  </si>
  <si>
    <t>현 장
확 인</t>
    <phoneticPr fontId="4" type="noConversion"/>
  </si>
  <si>
    <t>Frontier 사업부
GNP 본부장</t>
    <phoneticPr fontId="4" type="noConversion"/>
  </si>
  <si>
    <t>BOC
센터장</t>
    <phoneticPr fontId="4" type="noConversion"/>
  </si>
  <si>
    <t>담   당</t>
    <phoneticPr fontId="4" type="noConversion"/>
  </si>
  <si>
    <t>검   토</t>
    <phoneticPr fontId="4" type="noConversion"/>
  </si>
  <si>
    <t>검   토</t>
    <phoneticPr fontId="4" type="noConversion"/>
  </si>
  <si>
    <t>Frontier
사업부장</t>
    <phoneticPr fontId="4" type="noConversion"/>
  </si>
  <si>
    <t>본
사</t>
    <phoneticPr fontId="4" type="noConversion"/>
  </si>
  <si>
    <t>사
업
부</t>
    <phoneticPr fontId="4" type="noConversion"/>
  </si>
  <si>
    <t>구   분</t>
    <phoneticPr fontId="4" type="noConversion"/>
  </si>
  <si>
    <t>품 질</t>
    <phoneticPr fontId="4" type="noConversion"/>
  </si>
  <si>
    <t>공 무</t>
    <phoneticPr fontId="4" type="noConversion"/>
  </si>
  <si>
    <t>확   인</t>
    <phoneticPr fontId="4" type="noConversion"/>
  </si>
  <si>
    <t>O O O     (인)</t>
    <phoneticPr fontId="4" type="noConversion"/>
  </si>
  <si>
    <t>SIZE</t>
    <phoneticPr fontId="4" type="noConversion"/>
  </si>
  <si>
    <t>A(mm)</t>
    <phoneticPr fontId="4" type="noConversion"/>
  </si>
  <si>
    <t>Inch</t>
    <phoneticPr fontId="4" type="noConversion"/>
  </si>
  <si>
    <t>8A</t>
    <phoneticPr fontId="4" type="noConversion"/>
  </si>
  <si>
    <t>15A</t>
    <phoneticPr fontId="4" type="noConversion"/>
  </si>
  <si>
    <t>20A</t>
    <phoneticPr fontId="4" type="noConversion"/>
  </si>
  <si>
    <t>25A</t>
    <phoneticPr fontId="4" type="noConversion"/>
  </si>
  <si>
    <t>32A</t>
    <phoneticPr fontId="4" type="noConversion"/>
  </si>
  <si>
    <t>40A</t>
    <phoneticPr fontId="4" type="noConversion"/>
  </si>
  <si>
    <t>50A</t>
    <phoneticPr fontId="4" type="noConversion"/>
  </si>
  <si>
    <t>65A</t>
    <phoneticPr fontId="4" type="noConversion"/>
  </si>
  <si>
    <t>80A</t>
    <phoneticPr fontId="4" type="noConversion"/>
  </si>
  <si>
    <t>100A</t>
    <phoneticPr fontId="4" type="noConversion"/>
  </si>
  <si>
    <t>110A</t>
    <phoneticPr fontId="4" type="noConversion"/>
  </si>
  <si>
    <t>125A</t>
    <phoneticPr fontId="4" type="noConversion"/>
  </si>
  <si>
    <t>150A</t>
    <phoneticPr fontId="4" type="noConversion"/>
  </si>
  <si>
    <t>175A</t>
    <phoneticPr fontId="4" type="noConversion"/>
  </si>
  <si>
    <t>200A</t>
    <phoneticPr fontId="4" type="noConversion"/>
  </si>
  <si>
    <t>225A</t>
    <phoneticPr fontId="4" type="noConversion"/>
  </si>
  <si>
    <t>250A</t>
    <phoneticPr fontId="4" type="noConversion"/>
  </si>
  <si>
    <t>300A</t>
    <phoneticPr fontId="4" type="noConversion"/>
  </si>
  <si>
    <t>350A</t>
    <phoneticPr fontId="4" type="noConversion"/>
  </si>
  <si>
    <t>400A</t>
    <phoneticPr fontId="4" type="noConversion"/>
  </si>
  <si>
    <t>450A</t>
    <phoneticPr fontId="4" type="noConversion"/>
  </si>
  <si>
    <t>500A</t>
    <phoneticPr fontId="4" type="noConversion"/>
  </si>
  <si>
    <t>550A</t>
    <phoneticPr fontId="4" type="noConversion"/>
  </si>
  <si>
    <t>용 역 내 역 서</t>
    <phoneticPr fontId="4" type="noConversion"/>
  </si>
  <si>
    <t>P4 Ph4 GAS 1공구 마감공사</t>
    <phoneticPr fontId="4" type="noConversion"/>
  </si>
  <si>
    <t>단위 : 원</t>
    <phoneticPr fontId="4" type="noConversion"/>
  </si>
  <si>
    <t>품          명</t>
    <phoneticPr fontId="4" type="noConversion"/>
  </si>
  <si>
    <t>규   격</t>
    <phoneticPr fontId="4" type="noConversion"/>
  </si>
  <si>
    <t>단위</t>
    <phoneticPr fontId="4" type="noConversion"/>
  </si>
  <si>
    <t>단  가</t>
    <phoneticPr fontId="4" type="noConversion"/>
  </si>
  <si>
    <t>금 회 청 구</t>
    <phoneticPr fontId="4" type="noConversion"/>
  </si>
  <si>
    <t>수 량</t>
    <phoneticPr fontId="4" type="noConversion"/>
  </si>
  <si>
    <t>금 액</t>
    <phoneticPr fontId="4" type="noConversion"/>
  </si>
  <si>
    <t>비  고</t>
    <phoneticPr fontId="4" type="noConversion"/>
  </si>
  <si>
    <t>고급기술인</t>
    <phoneticPr fontId="4" type="noConversion"/>
  </si>
  <si>
    <t>S+</t>
    <phoneticPr fontId="4" type="noConversion"/>
  </si>
  <si>
    <t>M/M</t>
    <phoneticPr fontId="4" type="noConversion"/>
  </si>
  <si>
    <t>S</t>
    <phoneticPr fontId="4" type="noConversion"/>
  </si>
  <si>
    <t>M/M</t>
    <phoneticPr fontId="4" type="noConversion"/>
  </si>
  <si>
    <t>중급기술인</t>
    <phoneticPr fontId="4" type="noConversion"/>
  </si>
  <si>
    <t>A+</t>
    <phoneticPr fontId="4" type="noConversion"/>
  </si>
  <si>
    <t>중급기술인</t>
    <phoneticPr fontId="4" type="noConversion"/>
  </si>
  <si>
    <t>A</t>
    <phoneticPr fontId="4" type="noConversion"/>
  </si>
  <si>
    <t>M/M</t>
    <phoneticPr fontId="4" type="noConversion"/>
  </si>
  <si>
    <t>B+</t>
    <phoneticPr fontId="4" type="noConversion"/>
  </si>
  <si>
    <t>중급기술인</t>
    <phoneticPr fontId="4" type="noConversion"/>
  </si>
  <si>
    <t>B</t>
    <phoneticPr fontId="4" type="noConversion"/>
  </si>
  <si>
    <t>초급 기술인</t>
    <phoneticPr fontId="4" type="noConversion"/>
  </si>
  <si>
    <t>C</t>
    <phoneticPr fontId="4" type="noConversion"/>
  </si>
  <si>
    <t>M/M</t>
    <phoneticPr fontId="4" type="noConversion"/>
  </si>
  <si>
    <t>인센티브</t>
    <phoneticPr fontId="4" type="noConversion"/>
  </si>
  <si>
    <t>총   계</t>
    <phoneticPr fontId="4" type="noConversion"/>
  </si>
  <si>
    <t>구분</t>
    <phoneticPr fontId="4" type="noConversion"/>
  </si>
  <si>
    <t>내역</t>
    <phoneticPr fontId="4" type="noConversion"/>
  </si>
  <si>
    <t>단위</t>
    <phoneticPr fontId="4" type="noConversion"/>
  </si>
  <si>
    <t>수량</t>
    <phoneticPr fontId="4" type="noConversion"/>
  </si>
  <si>
    <t>단가</t>
    <phoneticPr fontId="4" type="noConversion"/>
  </si>
  <si>
    <t>합계</t>
    <phoneticPr fontId="4" type="noConversion"/>
  </si>
  <si>
    <t>전회기성</t>
    <phoneticPr fontId="4" type="noConversion"/>
  </si>
  <si>
    <t>금회기성</t>
    <phoneticPr fontId="4" type="noConversion"/>
  </si>
  <si>
    <t>누계기성</t>
    <phoneticPr fontId="4" type="noConversion"/>
  </si>
  <si>
    <t>비   고</t>
    <phoneticPr fontId="4" type="noConversion"/>
  </si>
  <si>
    <t xml:space="preserve"> 1. 물량</t>
    <phoneticPr fontId="4" type="noConversion"/>
  </si>
  <si>
    <t>WELDING POINT</t>
    <phoneticPr fontId="4" type="noConversion"/>
  </si>
  <si>
    <t>D/I</t>
    <phoneticPr fontId="4" type="noConversion"/>
  </si>
  <si>
    <t>VALVE 설치비</t>
    <phoneticPr fontId="4" type="noConversion"/>
  </si>
  <si>
    <t>EA</t>
    <phoneticPr fontId="4" type="noConversion"/>
  </si>
  <si>
    <t>인원 실투입</t>
    <phoneticPr fontId="4" type="noConversion"/>
  </si>
  <si>
    <t>M/D</t>
    <phoneticPr fontId="4" type="noConversion"/>
  </si>
  <si>
    <t xml:space="preserve"> 2. 기타비용</t>
    <phoneticPr fontId="4" type="noConversion"/>
  </si>
  <si>
    <t>式</t>
    <phoneticPr fontId="4" type="noConversion"/>
  </si>
  <si>
    <t>소 계</t>
    <phoneticPr fontId="4" type="noConversion"/>
  </si>
  <si>
    <t>물량</t>
    <phoneticPr fontId="4" type="noConversion"/>
  </si>
  <si>
    <t xml:space="preserve"> 3. 노무비</t>
    <phoneticPr fontId="4" type="noConversion"/>
  </si>
  <si>
    <t>직접노무비</t>
    <phoneticPr fontId="4" type="noConversion"/>
  </si>
  <si>
    <t>式</t>
    <phoneticPr fontId="4" type="noConversion"/>
  </si>
  <si>
    <t xml:space="preserve"> 4. 숙소 및 식대</t>
    <phoneticPr fontId="4" type="noConversion"/>
  </si>
  <si>
    <t>임대료+관리비</t>
    <phoneticPr fontId="4" type="noConversion"/>
  </si>
  <si>
    <t>식대</t>
    <phoneticPr fontId="4" type="noConversion"/>
  </si>
  <si>
    <t>式</t>
    <phoneticPr fontId="4" type="noConversion"/>
  </si>
  <si>
    <t xml:space="preserve"> 5. 기타 공제 내역</t>
    <phoneticPr fontId="4" type="noConversion"/>
  </si>
  <si>
    <t>소 계</t>
    <phoneticPr fontId="4" type="noConversion"/>
  </si>
  <si>
    <t>공제</t>
    <phoneticPr fontId="4" type="noConversion"/>
  </si>
  <si>
    <t>합 계</t>
    <phoneticPr fontId="4" type="noConversion"/>
  </si>
  <si>
    <t>기성 (물량-공제)</t>
    <phoneticPr fontId="4" type="noConversion"/>
  </si>
  <si>
    <t xml:space="preserve"> 6. 유보금</t>
    <phoneticPr fontId="4" type="noConversion"/>
  </si>
  <si>
    <t>기성금*XX%</t>
    <phoneticPr fontId="4" type="noConversion"/>
  </si>
  <si>
    <t xml:space="preserve"> 7. 유보금 차액</t>
    <phoneticPr fontId="4" type="noConversion"/>
  </si>
  <si>
    <t>전회 누계유보금+적자 기성액</t>
    <phoneticPr fontId="4" type="noConversion"/>
  </si>
  <si>
    <t>式</t>
    <phoneticPr fontId="4" type="noConversion"/>
  </si>
  <si>
    <t xml:space="preserve"> 8. NEGO</t>
    <phoneticPr fontId="4" type="noConversion"/>
  </si>
  <si>
    <t>NEGO</t>
    <phoneticPr fontId="4" type="noConversion"/>
  </si>
  <si>
    <t>式</t>
    <phoneticPr fontId="4" type="noConversion"/>
  </si>
  <si>
    <t>총 계</t>
    <phoneticPr fontId="4" type="noConversion"/>
  </si>
  <si>
    <t>최종기성</t>
    <phoneticPr fontId="4" type="noConversion"/>
  </si>
  <si>
    <t>선급금</t>
    <phoneticPr fontId="4" type="noConversion"/>
  </si>
  <si>
    <t>선수공제</t>
    <phoneticPr fontId="4" type="noConversion"/>
  </si>
  <si>
    <t>지급 선급금</t>
    <phoneticPr fontId="4" type="noConversion"/>
  </si>
  <si>
    <t>선급금 차액</t>
    <phoneticPr fontId="4" type="noConversion"/>
  </si>
  <si>
    <t>단수정리</t>
    <phoneticPr fontId="4" type="noConversion"/>
  </si>
  <si>
    <t>만 단위 이하 절사</t>
    <phoneticPr fontId="4" type="noConversion"/>
  </si>
  <si>
    <t>공제 후 실 지급액</t>
    <phoneticPr fontId="4" type="noConversion"/>
  </si>
  <si>
    <t>세금계산서 기준</t>
    <phoneticPr fontId="4" type="noConversion"/>
  </si>
  <si>
    <t>만 단위 이하 절사</t>
    <phoneticPr fontId="4" type="noConversion"/>
  </si>
  <si>
    <t>TERMS AND CONDITIONS</t>
    <phoneticPr fontId="4" type="noConversion"/>
  </si>
  <si>
    <t>NOTE</t>
    <phoneticPr fontId="4" type="noConversion"/>
  </si>
  <si>
    <t>1. 납      기 : KCEnC 지정 납기로 별도 협의 하에 결정하는 것으로 함.</t>
    <phoneticPr fontId="4" type="noConversion"/>
  </si>
  <si>
    <t>2. 지불조건 : KCEnC 지불 조건에 따름.</t>
    <phoneticPr fontId="4" type="noConversion"/>
  </si>
  <si>
    <t>3. 유효기간 : 기성 제출일로 부터 30일 이내</t>
    <phoneticPr fontId="4" type="noConversion"/>
  </si>
  <si>
    <t>단위 : 원</t>
    <phoneticPr fontId="4" type="noConversion"/>
  </si>
  <si>
    <t>품     명</t>
    <phoneticPr fontId="4" type="noConversion"/>
  </si>
  <si>
    <t>규   격</t>
    <phoneticPr fontId="4" type="noConversion"/>
  </si>
  <si>
    <t>단위</t>
    <phoneticPr fontId="4" type="noConversion"/>
  </si>
  <si>
    <t>W/P
수량</t>
    <phoneticPr fontId="4" type="noConversion"/>
  </si>
  <si>
    <t>단   가</t>
    <phoneticPr fontId="4" type="noConversion"/>
  </si>
  <si>
    <t>계 약 내 역</t>
    <phoneticPr fontId="4" type="noConversion"/>
  </si>
  <si>
    <t>전 회 누 계 물 량</t>
    <phoneticPr fontId="4" type="noConversion"/>
  </si>
  <si>
    <t>금 회 물 량</t>
    <phoneticPr fontId="4" type="noConversion"/>
  </si>
  <si>
    <t>누 계 물 량</t>
    <phoneticPr fontId="4" type="noConversion"/>
  </si>
  <si>
    <t>D/I 수량</t>
    <phoneticPr fontId="4" type="noConversion"/>
  </si>
  <si>
    <t>금액</t>
    <phoneticPr fontId="4" type="noConversion"/>
  </si>
  <si>
    <t>금액</t>
    <phoneticPr fontId="4" type="noConversion"/>
  </si>
  <si>
    <t>WEDING POINT</t>
    <phoneticPr fontId="4" type="noConversion"/>
  </si>
  <si>
    <t>8A</t>
  </si>
  <si>
    <t>POINT</t>
    <phoneticPr fontId="4" type="noConversion"/>
  </si>
  <si>
    <t>WEDING POINT</t>
    <phoneticPr fontId="4" type="noConversion"/>
  </si>
  <si>
    <t>15A</t>
  </si>
  <si>
    <t>POINT</t>
    <phoneticPr fontId="4" type="noConversion"/>
  </si>
  <si>
    <t>20A</t>
  </si>
  <si>
    <t>25A</t>
  </si>
  <si>
    <t>32A</t>
  </si>
  <si>
    <t>40A</t>
  </si>
  <si>
    <t>50A</t>
  </si>
  <si>
    <t>65A</t>
  </si>
  <si>
    <t>80A</t>
  </si>
  <si>
    <t>WEDING POINT</t>
    <phoneticPr fontId="4" type="noConversion"/>
  </si>
  <si>
    <t>100A</t>
  </si>
  <si>
    <t>110A</t>
  </si>
  <si>
    <t>125A</t>
  </si>
  <si>
    <t>150A</t>
  </si>
  <si>
    <t>175A</t>
  </si>
  <si>
    <t>200A</t>
  </si>
  <si>
    <t>225A</t>
  </si>
  <si>
    <t>250A</t>
  </si>
  <si>
    <t>POINT</t>
    <phoneticPr fontId="4" type="noConversion"/>
  </si>
  <si>
    <t>300A</t>
  </si>
  <si>
    <t>POINT</t>
    <phoneticPr fontId="4" type="noConversion"/>
  </si>
  <si>
    <t>WEDING POINT</t>
    <phoneticPr fontId="4" type="noConversion"/>
  </si>
  <si>
    <t>350A</t>
  </si>
  <si>
    <t>400A</t>
  </si>
  <si>
    <t>450A</t>
  </si>
  <si>
    <t>POINT</t>
    <phoneticPr fontId="4" type="noConversion"/>
  </si>
  <si>
    <t>500A</t>
  </si>
  <si>
    <t>550A</t>
  </si>
  <si>
    <t>VALVE 설치비</t>
    <phoneticPr fontId="4" type="noConversion"/>
  </si>
  <si>
    <t>EA</t>
    <phoneticPr fontId="4" type="noConversion"/>
  </si>
  <si>
    <t>VALVE 설치비</t>
    <phoneticPr fontId="4" type="noConversion"/>
  </si>
  <si>
    <t>VALVE 설치비</t>
    <phoneticPr fontId="4" type="noConversion"/>
  </si>
  <si>
    <t>VALVE 설치비</t>
    <phoneticPr fontId="4" type="noConversion"/>
  </si>
  <si>
    <t>EA</t>
    <phoneticPr fontId="4" type="noConversion"/>
  </si>
  <si>
    <t>EA</t>
    <phoneticPr fontId="4" type="noConversion"/>
  </si>
  <si>
    <t>EA</t>
    <phoneticPr fontId="4" type="noConversion"/>
  </si>
  <si>
    <t>합   계</t>
    <phoneticPr fontId="4" type="noConversion"/>
  </si>
  <si>
    <t>현장명</t>
    <phoneticPr fontId="4" type="noConversion"/>
  </si>
  <si>
    <t>현장소장</t>
    <phoneticPr fontId="4" type="noConversion"/>
  </si>
  <si>
    <t>잡코드</t>
    <phoneticPr fontId="4" type="noConversion"/>
  </si>
  <si>
    <t>번호</t>
    <phoneticPr fontId="4" type="noConversion"/>
  </si>
  <si>
    <t>성명</t>
    <phoneticPr fontId="4" type="noConversion"/>
  </si>
  <si>
    <t>주민등록번호</t>
    <phoneticPr fontId="4" type="noConversion"/>
  </si>
  <si>
    <t>직종</t>
    <phoneticPr fontId="4" type="noConversion"/>
  </si>
  <si>
    <t>연락처(H.P)</t>
    <phoneticPr fontId="4" type="noConversion"/>
  </si>
  <si>
    <t>은행명</t>
    <phoneticPr fontId="4" type="noConversion"/>
  </si>
  <si>
    <t>예금주</t>
    <phoneticPr fontId="4" type="noConversion"/>
  </si>
  <si>
    <t>계좌번호</t>
    <phoneticPr fontId="4" type="noConversion"/>
  </si>
  <si>
    <t>공수</t>
    <phoneticPr fontId="4" type="noConversion"/>
  </si>
  <si>
    <t>단가</t>
    <phoneticPr fontId="4" type="noConversion"/>
  </si>
  <si>
    <t>총액</t>
    <phoneticPr fontId="4" type="noConversion"/>
  </si>
  <si>
    <t>보통인부</t>
  </si>
  <si>
    <t>국민</t>
  </si>
  <si>
    <t>용접공</t>
  </si>
  <si>
    <t>배관공</t>
  </si>
  <si>
    <t>농협</t>
  </si>
  <si>
    <t>신한</t>
  </si>
  <si>
    <t>추가 공사건 투입인원 합   계</t>
    <phoneticPr fontId="4" type="noConversion"/>
  </si>
  <si>
    <t>총   합   계</t>
    <phoneticPr fontId="4" type="noConversion"/>
  </si>
  <si>
    <t>숙소 임차료</t>
    <phoneticPr fontId="4" type="noConversion"/>
  </si>
  <si>
    <t>No.</t>
    <phoneticPr fontId="4" type="noConversion"/>
  </si>
  <si>
    <t>납부일</t>
    <phoneticPr fontId="4" type="noConversion"/>
  </si>
  <si>
    <t>구분</t>
    <phoneticPr fontId="4" type="noConversion"/>
  </si>
  <si>
    <t>품명</t>
    <phoneticPr fontId="4" type="noConversion"/>
  </si>
  <si>
    <t>주소</t>
    <phoneticPr fontId="4" type="noConversion"/>
  </si>
  <si>
    <t>호수</t>
    <phoneticPr fontId="4" type="noConversion"/>
  </si>
  <si>
    <t>수량</t>
    <phoneticPr fontId="4" type="noConversion"/>
  </si>
  <si>
    <t>사용인원</t>
    <phoneticPr fontId="4" type="noConversion"/>
  </si>
  <si>
    <t>임차료</t>
    <phoneticPr fontId="4" type="noConversion"/>
  </si>
  <si>
    <t>비     고</t>
    <phoneticPr fontId="4" type="noConversion"/>
  </si>
  <si>
    <t>입력해야하는 항목 외 수정 금지</t>
    <phoneticPr fontId="6" type="noConversion"/>
  </si>
  <si>
    <t>KC대납 임대료</t>
  </si>
  <si>
    <t>301호</t>
  </si>
  <si>
    <t>KC 대납</t>
  </si>
  <si>
    <t>납부일</t>
    <phoneticPr fontId="6" type="noConversion"/>
  </si>
  <si>
    <t>구분</t>
    <phoneticPr fontId="6" type="noConversion"/>
  </si>
  <si>
    <t>품명</t>
    <phoneticPr fontId="6" type="noConversion"/>
  </si>
  <si>
    <t>주소</t>
    <phoneticPr fontId="6" type="noConversion"/>
  </si>
  <si>
    <t>호수</t>
    <phoneticPr fontId="6" type="noConversion"/>
  </si>
  <si>
    <t>수량</t>
    <phoneticPr fontId="6" type="noConversion"/>
  </si>
  <si>
    <t>사용인원</t>
    <phoneticPr fontId="6" type="noConversion"/>
  </si>
  <si>
    <t>■ 구분은 [KC대납 임대료 및 임대료] 이외 항목은 입력금지</t>
    <phoneticPr fontId="6" type="noConversion"/>
  </si>
  <si>
    <t>숙소 관리비</t>
    <phoneticPr fontId="4" type="noConversion"/>
  </si>
  <si>
    <t>No.</t>
    <phoneticPr fontId="4" type="noConversion"/>
  </si>
  <si>
    <t>구분</t>
    <phoneticPr fontId="4" type="noConversion"/>
  </si>
  <si>
    <t>주소</t>
    <phoneticPr fontId="4" type="noConversion"/>
  </si>
  <si>
    <t>수량</t>
    <phoneticPr fontId="4" type="noConversion"/>
  </si>
  <si>
    <t>사용인원</t>
    <phoneticPr fontId="4" type="noConversion"/>
  </si>
  <si>
    <t>비     고</t>
    <phoneticPr fontId="4" type="noConversion"/>
  </si>
  <si>
    <t>KC대납 관리비</t>
    <phoneticPr fontId="4" type="noConversion"/>
  </si>
  <si>
    <t>KC대납 관리비</t>
    <phoneticPr fontId="4" type="noConversion"/>
  </si>
  <si>
    <t>식대 비용</t>
    <phoneticPr fontId="4" type="noConversion"/>
  </si>
  <si>
    <t>No.</t>
    <phoneticPr fontId="4" type="noConversion"/>
  </si>
  <si>
    <t>납부일</t>
    <phoneticPr fontId="4" type="noConversion"/>
  </si>
  <si>
    <t>품명</t>
    <phoneticPr fontId="4" type="noConversion"/>
  </si>
  <si>
    <t xml:space="preserve"> 거래처명</t>
    <phoneticPr fontId="4" type="noConversion"/>
  </si>
  <si>
    <t>수량</t>
    <phoneticPr fontId="4" type="noConversion"/>
  </si>
  <si>
    <t>식수인원</t>
    <phoneticPr fontId="4" type="noConversion"/>
  </si>
  <si>
    <t>단가</t>
    <phoneticPr fontId="4" type="noConversion"/>
  </si>
  <si>
    <t>합   계</t>
    <phoneticPr fontId="4" type="noConversion"/>
  </si>
  <si>
    <t>입력해야하는 항목 외 수정 금지</t>
  </si>
  <si>
    <t>KC대납 식대</t>
  </si>
  <si>
    <t>기술인및관리자 (현장 식당)</t>
  </si>
  <si>
    <t>입력항목</t>
  </si>
  <si>
    <t>납부일</t>
  </si>
  <si>
    <t>구분</t>
  </si>
  <si>
    <t>품명</t>
  </si>
  <si>
    <t>거래처명</t>
  </si>
  <si>
    <t>수량</t>
  </si>
  <si>
    <t>식수인원</t>
  </si>
  <si>
    <t>단가</t>
  </si>
  <si>
    <t>■ 구분은 [KC대납 식대 및 식대] 이외 항목은 입력금지</t>
  </si>
  <si>
    <t>기타 비용</t>
    <phoneticPr fontId="4" type="noConversion"/>
  </si>
  <si>
    <t>No.</t>
    <phoneticPr fontId="4" type="noConversion"/>
  </si>
  <si>
    <t>구매일</t>
    <phoneticPr fontId="6" type="noConversion"/>
  </si>
  <si>
    <t>구분</t>
    <phoneticPr fontId="6" type="noConversion"/>
  </si>
  <si>
    <t>단가</t>
    <phoneticPr fontId="6" type="noConversion"/>
  </si>
  <si>
    <t>합계</t>
    <phoneticPr fontId="6" type="noConversion"/>
  </si>
  <si>
    <t>비고</t>
    <phoneticPr fontId="6" type="noConversion"/>
  </si>
  <si>
    <t>소모품비</t>
  </si>
  <si>
    <t>S25-004</t>
    <phoneticPr fontId="6" type="noConversion"/>
  </si>
  <si>
    <t>대성이엔지</t>
    <phoneticPr fontId="6" type="noConversion"/>
  </si>
  <si>
    <t>경기도 파주시 파주읍 주라위길 380</t>
    <phoneticPr fontId="4" type="noConversion"/>
  </si>
  <si>
    <t>정 성 기</t>
    <phoneticPr fontId="4" type="noConversion"/>
  </si>
  <si>
    <t>(인)</t>
    <phoneticPr fontId="10" type="noConversion"/>
  </si>
  <si>
    <t>장 규 철</t>
    <phoneticPr fontId="4" type="noConversion"/>
  </si>
  <si>
    <t>김종완</t>
  </si>
  <si>
    <t>740404-1471013</t>
  </si>
  <si>
    <t>010-9983-3546</t>
  </si>
  <si>
    <t>우리</t>
  </si>
  <si>
    <t>1006-001-448823</t>
  </si>
  <si>
    <t>김철</t>
  </si>
  <si>
    <t>761102-1565911</t>
  </si>
  <si>
    <t>110-470-878920</t>
  </si>
  <si>
    <t>박기태</t>
  </si>
  <si>
    <t>841117-1836338</t>
  </si>
  <si>
    <t>010-9800-6028</t>
  </si>
  <si>
    <t>883-12-137056</t>
  </si>
  <si>
    <t>서승희</t>
  </si>
  <si>
    <t>941121-2216111</t>
  </si>
  <si>
    <t>010-8540-8270</t>
  </si>
  <si>
    <t>865302-00-042896</t>
  </si>
  <si>
    <t>안병문</t>
  </si>
  <si>
    <t>751106-1239319</t>
  </si>
  <si>
    <t>010-9291-2123</t>
  </si>
  <si>
    <t>302-1102-5800-61</t>
  </si>
  <si>
    <t>오정석</t>
  </si>
  <si>
    <t>840327-1836316</t>
  </si>
  <si>
    <t>010-3646-6264</t>
  </si>
  <si>
    <t>1002-339-959255</t>
  </si>
  <si>
    <t>윤지환</t>
  </si>
  <si>
    <t>770812-1100111</t>
  </si>
  <si>
    <t>010-6455-8718</t>
  </si>
  <si>
    <t>새마을</t>
  </si>
  <si>
    <t>9002-1579-4799-1</t>
  </si>
  <si>
    <t>장세형</t>
  </si>
  <si>
    <t>780528-1233527</t>
  </si>
  <si>
    <t>010-3728-4671</t>
  </si>
  <si>
    <t>110-471-057532</t>
  </si>
  <si>
    <t>정은선</t>
  </si>
  <si>
    <t>670809-2233120</t>
  </si>
  <si>
    <t>010-2297-5059</t>
  </si>
  <si>
    <t>기업</t>
  </si>
  <si>
    <t>289-074002-02-015</t>
  </si>
  <si>
    <t>정회준</t>
  </si>
  <si>
    <t>711103-1057510</t>
  </si>
  <si>
    <t>1002-638-676059</t>
  </si>
  <si>
    <t>최세재</t>
  </si>
  <si>
    <t>781010-1906517</t>
  </si>
  <si>
    <t>356-0637-9273-33</t>
  </si>
  <si>
    <t>최현우</t>
  </si>
  <si>
    <t>780110-1901921</t>
  </si>
  <si>
    <t>018302-04-192870</t>
  </si>
  <si>
    <t>202호</t>
  </si>
  <si>
    <t>202호</t>
    <phoneticPr fontId="4" type="noConversion"/>
  </si>
  <si>
    <t>302호</t>
  </si>
  <si>
    <t>302호</t>
    <phoneticPr fontId="4" type="noConversion"/>
  </si>
  <si>
    <t>301호</t>
    <phoneticPr fontId="4" type="noConversion"/>
  </si>
  <si>
    <t>경기도 평택시 함박산1길 16, 202호</t>
  </si>
  <si>
    <t>경기도 평택시 함박산1길 16, 202호</t>
    <phoneticPr fontId="4" type="noConversion"/>
  </si>
  <si>
    <t>경기도 평택시 고덕여염12길 103, 302호</t>
  </si>
  <si>
    <t>경기도 평택시 고덕여염12길 103, 302호</t>
    <phoneticPr fontId="4" type="noConversion"/>
  </si>
  <si>
    <t>경기도 평택시 함박산4길 12, 301호</t>
  </si>
  <si>
    <t>경기도 평택시 함박산4길 12, 301호</t>
    <phoneticPr fontId="4" type="noConversion"/>
  </si>
  <si>
    <t>관리비</t>
    <phoneticPr fontId="4" type="noConversion"/>
  </si>
  <si>
    <t>포세카</t>
    <phoneticPr fontId="4" type="noConversion"/>
  </si>
  <si>
    <t>미래공구</t>
    <phoneticPr fontId="4" type="noConversion"/>
  </si>
  <si>
    <t>거래명세서 첨부</t>
    <phoneticPr fontId="4" type="noConversion"/>
  </si>
  <si>
    <t>2025년 12월</t>
    <phoneticPr fontId="6" type="noConversion"/>
  </si>
  <si>
    <t>작 성 일 :   2025  년  12 월   31일</t>
    <phoneticPr fontId="10" type="noConversion"/>
  </si>
  <si>
    <t>2025. 12. 01 ~ 2025. 12. 31</t>
    <phoneticPr fontId="4" type="noConversion"/>
  </si>
  <si>
    <t>2025년 (12)월 물량 내역서</t>
    <phoneticPr fontId="4" type="noConversion"/>
  </si>
  <si>
    <t>2025년 (    12   )월 일용 노무비명세서</t>
    <phoneticPr fontId="4" type="noConversion"/>
  </si>
  <si>
    <t>김창우</t>
  </si>
  <si>
    <t>류일화</t>
  </si>
  <si>
    <t>엄진용</t>
  </si>
  <si>
    <t>은소천</t>
  </si>
  <si>
    <t>이병주</t>
  </si>
  <si>
    <t>이인규</t>
  </si>
  <si>
    <t>진성훈</t>
  </si>
  <si>
    <t>751012-1143412</t>
  </si>
  <si>
    <t>821006-2345313</t>
  </si>
  <si>
    <t>950826-1026312</t>
  </si>
  <si>
    <t>830224-1026011</t>
  </si>
  <si>
    <t>770513-1117918</t>
  </si>
  <si>
    <t>820704-1083115</t>
  </si>
  <si>
    <t>730314-1023930</t>
  </si>
  <si>
    <t>도비공</t>
  </si>
  <si>
    <t>공사보조</t>
    <phoneticPr fontId="4" type="noConversion"/>
  </si>
  <si>
    <t>안전보조</t>
    <phoneticPr fontId="4" type="noConversion"/>
  </si>
  <si>
    <t>010-4761-8752</t>
    <phoneticPr fontId="48" type="noConversion"/>
  </si>
  <si>
    <t>010-5534-8412</t>
    <phoneticPr fontId="48" type="noConversion"/>
  </si>
  <si>
    <t>010-8753-3536</t>
  </si>
  <si>
    <t>010-9936-8504</t>
  </si>
  <si>
    <t>010-5248-6056</t>
  </si>
  <si>
    <t>010-3337-9118</t>
  </si>
  <si>
    <t>010-5821-2948</t>
  </si>
  <si>
    <t>010-6215-7585</t>
    <phoneticPr fontId="48" type="noConversion"/>
  </si>
  <si>
    <t>010-5472-6177</t>
  </si>
  <si>
    <t>010-8548-3215</t>
    <phoneticPr fontId="48" type="noConversion"/>
  </si>
  <si>
    <t>010-2123-6107</t>
    <phoneticPr fontId="48" type="noConversion"/>
  </si>
  <si>
    <t>201301-04-324384</t>
  </si>
  <si>
    <t>203901-04-045708</t>
  </si>
  <si>
    <t>1002-253-086774</t>
  </si>
  <si>
    <t>9003-2509-5712-4</t>
  </si>
  <si>
    <t>302-1617-3382-01</t>
  </si>
  <si>
    <t>063-083414-02-501</t>
  </si>
  <si>
    <t>경기도 평택시 함박산9길 46, 301호</t>
    <phoneticPr fontId="4" type="noConversion"/>
  </si>
  <si>
    <t xml:space="preserve">숙소임대료(12월분) </t>
    <phoneticPr fontId="4" type="noConversion"/>
  </si>
  <si>
    <t xml:space="preserve">숙소수도세(12월분) </t>
    <phoneticPr fontId="4" type="noConversion"/>
  </si>
  <si>
    <t xml:space="preserve">숙소가스료(12월분) </t>
    <phoneticPr fontId="4" type="noConversion"/>
  </si>
  <si>
    <t xml:space="preserve">숙소전기료(12월분) </t>
    <phoneticPr fontId="4" type="noConversion"/>
  </si>
  <si>
    <t>다음달발행예정</t>
    <phoneticPr fontId="4" type="noConversion"/>
  </si>
  <si>
    <t>2025-12-11</t>
  </si>
  <si>
    <t>2025-12-17</t>
  </si>
  <si>
    <t>2025-12-22</t>
  </si>
  <si>
    <t>2025-12-24</t>
  </si>
  <si>
    <t>2025-12-30</t>
  </si>
  <si>
    <t>검교정비,레이저레벨</t>
  </si>
  <si>
    <t>건전지</t>
  </si>
  <si>
    <t>밀폐용기</t>
  </si>
  <si>
    <t>홀쏘</t>
  </si>
  <si>
    <t>낙상방지대</t>
  </si>
  <si>
    <t>마대</t>
  </si>
  <si>
    <t>투명테이프</t>
  </si>
  <si>
    <t>장갑</t>
  </si>
  <si>
    <t>충전기</t>
  </si>
  <si>
    <t>티브러쉬</t>
  </si>
  <si>
    <t>수세미</t>
  </si>
  <si>
    <t>네임펜</t>
  </si>
  <si>
    <t>페인트마카</t>
  </si>
  <si>
    <t>리벳알</t>
  </si>
  <si>
    <t>절연테이프</t>
  </si>
  <si>
    <t>밥심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</si>
</sst>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&quot;제&quot;\(\ \ #\ \ \)&quot;회&quot;\ \ &quot;기&quot;\ &quot;성&quot;\ &quot;청&quot;\ &quot;구&quot;\ &quot;서&quot;"/>
    <numFmt numFmtId="177" formatCode="mm&quot;월&quot;\ dd&quot;일&quot;"/>
    <numFmt numFmtId="178" formatCode="[DBNum4]&quot;一&quot;&quot;金&quot;[$-412]General&quot;원&quot;&quot;정&quot;"/>
    <numFmt numFmtId="179" formatCode="0.000"/>
    <numFmt numFmtId="180" formatCode="_-* #,##0.00_-;\-* #,##0.00_-;_-* &quot;-&quot;_-;_-@_-"/>
    <numFmt numFmtId="181" formatCode="#,##0.000;[Red]\-#,##0.000"/>
    <numFmt numFmtId="182" formatCode="0_);[Red]\(0\)"/>
    <numFmt numFmtId="183" formatCode="000000\-0000000"/>
    <numFmt numFmtId="184" formatCode="#,##0_ "/>
    <numFmt numFmtId="185" formatCode="_-* #,##0.000_-;\-* #,##0.000_-;_-* &quot;-&quot;_-;_-@_-"/>
  </numFmts>
  <fonts count="50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5"/>
      <name val="새굴림"/>
      <family val="1"/>
      <charset val="129"/>
    </font>
    <font>
      <sz val="8"/>
      <name val="맑은 고딕"/>
      <family val="2"/>
      <charset val="129"/>
      <scheme val="minor"/>
    </font>
    <font>
      <b/>
      <sz val="25"/>
      <name val="새굴림"/>
      <family val="1"/>
      <charset val="129"/>
    </font>
    <font>
      <sz val="8"/>
      <name val="돋움"/>
      <family val="3"/>
      <charset val="129"/>
    </font>
    <font>
      <sz val="11"/>
      <name val="새굴림"/>
      <family val="1"/>
      <charset val="129"/>
    </font>
    <font>
      <sz val="20"/>
      <name val="새굴림"/>
      <family val="1"/>
      <charset val="129"/>
    </font>
    <font>
      <b/>
      <sz val="20"/>
      <name val="새굴림"/>
      <family val="1"/>
      <charset val="129"/>
    </font>
    <font>
      <sz val="8"/>
      <name val="맑은 고딕"/>
      <family val="3"/>
      <charset val="129"/>
    </font>
    <font>
      <b/>
      <sz val="15"/>
      <name val="새굴림"/>
      <family val="1"/>
      <charset val="129"/>
    </font>
    <font>
      <b/>
      <sz val="20"/>
      <name val="굴림체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7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indexed="9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rgb="FF005EAC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</fills>
  <borders count="5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1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/>
  </cellStyleXfs>
  <cellXfs count="251">
    <xf numFmtId="0" fontId="0" fillId="0" borderId="0" xfId="0">
      <alignment vertical="center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vertical="center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 applyAlignment="1">
      <alignment horizontal="center" vertical="center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left" vertical="center"/>
    </xf>
    <xf numFmtId="0" fontId="3" fillId="0" borderId="5" xfId="1" applyFont="1" applyBorder="1" applyAlignment="1">
      <alignment horizontal="left" vertical="center"/>
    </xf>
    <xf numFmtId="0" fontId="7" fillId="0" borderId="4" xfId="1" applyFont="1" applyBorder="1" applyAlignment="1">
      <alignment horizontal="center" vertical="center"/>
    </xf>
    <xf numFmtId="0" fontId="7" fillId="0" borderId="5" xfId="1" applyFont="1" applyBorder="1" applyAlignment="1">
      <alignment vertical="center"/>
    </xf>
    <xf numFmtId="0" fontId="7" fillId="0" borderId="4" xfId="1" applyFont="1" applyBorder="1" applyAlignment="1">
      <alignment vertical="center"/>
    </xf>
    <xf numFmtId="0" fontId="8" fillId="0" borderId="5" xfId="1" applyFont="1" applyBorder="1" applyAlignment="1">
      <alignment horizontal="centerContinuous" vertical="center"/>
    </xf>
    <xf numFmtId="0" fontId="8" fillId="0" borderId="4" xfId="1" applyFont="1" applyBorder="1" applyAlignment="1">
      <alignment horizontal="centerContinuous" vertical="center"/>
    </xf>
    <xf numFmtId="0" fontId="7" fillId="0" borderId="0" xfId="1" applyFont="1" applyAlignment="1">
      <alignment vertical="center"/>
    </xf>
    <xf numFmtId="0" fontId="7" fillId="0" borderId="6" xfId="1" applyFont="1" applyBorder="1" applyAlignment="1">
      <alignment horizontal="center" vertical="center"/>
    </xf>
    <xf numFmtId="0" fontId="7" fillId="0" borderId="7" xfId="1" applyFont="1" applyBorder="1" applyAlignment="1">
      <alignment vertical="center"/>
    </xf>
    <xf numFmtId="0" fontId="7" fillId="0" borderId="8" xfId="1" applyFont="1" applyBorder="1" applyAlignment="1">
      <alignment vertical="center"/>
    </xf>
    <xf numFmtId="0" fontId="2" fillId="0" borderId="0" xfId="3"/>
    <xf numFmtId="0" fontId="2" fillId="0" borderId="0" xfId="2">
      <alignment vertical="center"/>
    </xf>
    <xf numFmtId="41" fontId="0" fillId="0" borderId="0" xfId="4" applyFont="1" applyFill="1" applyBorder="1">
      <alignment vertical="center"/>
    </xf>
    <xf numFmtId="0" fontId="14" fillId="0" borderId="0" xfId="2" applyFont="1" applyAlignment="1">
      <alignment horizontal="center" vertical="center"/>
    </xf>
    <xf numFmtId="0" fontId="14" fillId="0" borderId="0" xfId="2" applyFont="1">
      <alignment vertical="center"/>
    </xf>
    <xf numFmtId="41" fontId="14" fillId="0" borderId="0" xfId="4" applyFont="1">
      <alignment vertical="center"/>
    </xf>
    <xf numFmtId="0" fontId="15" fillId="0" borderId="0" xfId="2" applyFont="1" applyAlignment="1">
      <alignment horizontal="right" vertical="center"/>
    </xf>
    <xf numFmtId="0" fontId="15" fillId="0" borderId="0" xfId="2" applyFont="1">
      <alignment vertical="center"/>
    </xf>
    <xf numFmtId="178" fontId="14" fillId="0" borderId="0" xfId="2" applyNumberFormat="1" applyFont="1" applyAlignment="1">
      <alignment horizontal="left" vertical="center"/>
    </xf>
    <xf numFmtId="0" fontId="16" fillId="0" borderId="0" xfId="2" applyFont="1" applyAlignment="1">
      <alignment horizontal="center" vertical="center"/>
    </xf>
    <xf numFmtId="0" fontId="14" fillId="0" borderId="0" xfId="2" applyFont="1" applyAlignment="1">
      <alignment vertical="center" shrinkToFit="1"/>
    </xf>
    <xf numFmtId="9" fontId="0" fillId="0" borderId="0" xfId="5" applyFont="1">
      <alignment vertical="center"/>
    </xf>
    <xf numFmtId="41" fontId="0" fillId="0" borderId="0" xfId="4" applyFont="1">
      <alignment vertical="center"/>
    </xf>
    <xf numFmtId="41" fontId="2" fillId="0" borderId="0" xfId="2" applyNumberFormat="1">
      <alignment vertical="center"/>
    </xf>
    <xf numFmtId="178" fontId="15" fillId="0" borderId="0" xfId="2" applyNumberFormat="1" applyFont="1" applyAlignment="1">
      <alignment horizontal="left" vertical="center"/>
    </xf>
    <xf numFmtId="41" fontId="15" fillId="0" borderId="0" xfId="4" applyFont="1">
      <alignment vertical="center"/>
    </xf>
    <xf numFmtId="9" fontId="15" fillId="0" borderId="0" xfId="5" applyFont="1" applyFill="1" applyAlignment="1">
      <alignment horizontal="left" vertical="center"/>
    </xf>
    <xf numFmtId="41" fontId="14" fillId="0" borderId="0" xfId="2" applyNumberFormat="1" applyFont="1">
      <alignment vertical="center"/>
    </xf>
    <xf numFmtId="0" fontId="2" fillId="0" borderId="0" xfId="2" applyAlignment="1">
      <alignment horizontal="center" vertical="center"/>
    </xf>
    <xf numFmtId="0" fontId="17" fillId="0" borderId="0" xfId="2" applyFont="1">
      <alignment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9" fillId="3" borderId="9" xfId="0" applyFont="1" applyFill="1" applyBorder="1" applyAlignment="1">
      <alignment horizontal="center" vertical="center"/>
    </xf>
    <xf numFmtId="0" fontId="17" fillId="2" borderId="0" xfId="0" applyFont="1" applyFill="1">
      <alignment vertical="center"/>
    </xf>
    <xf numFmtId="0" fontId="0" fillId="0" borderId="0" xfId="0" applyAlignment="1">
      <alignment horizontal="right" vertical="center"/>
    </xf>
    <xf numFmtId="0" fontId="23" fillId="4" borderId="9" xfId="0" applyFont="1" applyFill="1" applyBorder="1" applyAlignment="1">
      <alignment horizontal="center" vertical="center"/>
    </xf>
    <xf numFmtId="0" fontId="23" fillId="4" borderId="18" xfId="0" applyFont="1" applyFill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41" fontId="14" fillId="0" borderId="9" xfId="6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9" fontId="14" fillId="0" borderId="9" xfId="7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41" fontId="17" fillId="0" borderId="20" xfId="6" applyFont="1" applyBorder="1" applyAlignment="1">
      <alignment horizontal="center" vertical="center"/>
    </xf>
    <xf numFmtId="0" fontId="24" fillId="0" borderId="4" xfId="0" applyFont="1" applyBorder="1">
      <alignment vertical="center"/>
    </xf>
    <xf numFmtId="0" fontId="24" fillId="0" borderId="0" xfId="0" applyFont="1">
      <alignment vertical="center"/>
    </xf>
    <xf numFmtId="0" fontId="15" fillId="0" borderId="0" xfId="0" applyFont="1" applyAlignment="1">
      <alignment horizontal="right"/>
    </xf>
    <xf numFmtId="0" fontId="15" fillId="0" borderId="5" xfId="0" applyFont="1" applyBorder="1" applyAlignment="1">
      <alignment horizontal="left"/>
    </xf>
    <xf numFmtId="0" fontId="15" fillId="5" borderId="25" xfId="0" applyFont="1" applyFill="1" applyBorder="1" applyAlignment="1">
      <alignment horizontal="center" vertical="center"/>
    </xf>
    <xf numFmtId="0" fontId="15" fillId="5" borderId="9" xfId="0" applyFont="1" applyFill="1" applyBorder="1" applyAlignment="1">
      <alignment horizontal="center" vertical="center"/>
    </xf>
    <xf numFmtId="0" fontId="15" fillId="5" borderId="26" xfId="0" applyFont="1" applyFill="1" applyBorder="1" applyAlignment="1">
      <alignment horizontal="center" vertical="center"/>
    </xf>
    <xf numFmtId="0" fontId="15" fillId="5" borderId="13" xfId="0" applyFont="1" applyFill="1" applyBorder="1" applyAlignment="1">
      <alignment horizontal="center" vertical="center"/>
    </xf>
    <xf numFmtId="0" fontId="15" fillId="5" borderId="12" xfId="0" applyFont="1" applyFill="1" applyBorder="1" applyAlignment="1">
      <alignment horizontal="center" vertical="center"/>
    </xf>
    <xf numFmtId="0" fontId="15" fillId="0" borderId="25" xfId="0" applyFont="1" applyBorder="1">
      <alignment vertical="center"/>
    </xf>
    <xf numFmtId="41" fontId="25" fillId="0" borderId="9" xfId="0" applyNumberFormat="1" applyFont="1" applyBorder="1">
      <alignment vertical="center"/>
    </xf>
    <xf numFmtId="41" fontId="14" fillId="0" borderId="26" xfId="6" applyFont="1" applyBorder="1" applyAlignment="1">
      <alignment horizontal="center" vertical="center"/>
    </xf>
    <xf numFmtId="41" fontId="14" fillId="0" borderId="13" xfId="6" applyFont="1" applyBorder="1" applyAlignment="1">
      <alignment horizontal="center" vertical="center"/>
    </xf>
    <xf numFmtId="41" fontId="14" fillId="0" borderId="12" xfId="6" applyFont="1" applyBorder="1" applyAlignment="1">
      <alignment horizontal="center" vertical="center"/>
    </xf>
    <xf numFmtId="0" fontId="14" fillId="0" borderId="25" xfId="0" applyFont="1" applyBorder="1">
      <alignment vertical="center"/>
    </xf>
    <xf numFmtId="179" fontId="14" fillId="0" borderId="9" xfId="0" applyNumberFormat="1" applyFont="1" applyBorder="1" applyAlignment="1">
      <alignment horizontal="center" vertical="center"/>
    </xf>
    <xf numFmtId="41" fontId="25" fillId="0" borderId="9" xfId="0" applyNumberFormat="1" applyFont="1" applyBorder="1" applyAlignment="1">
      <alignment horizontal="left" vertical="center" indent="1"/>
    </xf>
    <xf numFmtId="41" fontId="26" fillId="6" borderId="25" xfId="0" applyNumberFormat="1" applyFont="1" applyFill="1" applyBorder="1" applyAlignment="1">
      <alignment horizontal="left" vertical="center" indent="1"/>
    </xf>
    <xf numFmtId="0" fontId="15" fillId="6" borderId="9" xfId="0" applyFont="1" applyFill="1" applyBorder="1" applyAlignment="1">
      <alignment horizontal="center" vertical="center"/>
    </xf>
    <xf numFmtId="41" fontId="15" fillId="6" borderId="26" xfId="6" applyFont="1" applyFill="1" applyBorder="1" applyAlignment="1">
      <alignment horizontal="center" vertical="center"/>
    </xf>
    <xf numFmtId="41" fontId="15" fillId="6" borderId="13" xfId="6" applyFont="1" applyFill="1" applyBorder="1" applyAlignment="1">
      <alignment horizontal="center" vertical="center"/>
    </xf>
    <xf numFmtId="41" fontId="15" fillId="6" borderId="9" xfId="6" applyFont="1" applyFill="1" applyBorder="1" applyAlignment="1">
      <alignment horizontal="center" vertical="center"/>
    </xf>
    <xf numFmtId="41" fontId="15" fillId="6" borderId="12" xfId="6" applyFont="1" applyFill="1" applyBorder="1" applyAlignment="1">
      <alignment horizontal="center" vertical="center"/>
    </xf>
    <xf numFmtId="41" fontId="14" fillId="0" borderId="9" xfId="8" applyNumberFormat="1" applyFont="1" applyBorder="1" applyAlignment="1">
      <alignment horizontal="center" vertical="center"/>
    </xf>
    <xf numFmtId="41" fontId="25" fillId="0" borderId="9" xfId="0" applyNumberFormat="1" applyFont="1" applyBorder="1" applyAlignment="1">
      <alignment vertical="center" shrinkToFit="1"/>
    </xf>
    <xf numFmtId="0" fontId="15" fillId="4" borderId="9" xfId="0" applyFont="1" applyFill="1" applyBorder="1" applyAlignment="1">
      <alignment horizontal="center" vertical="center"/>
    </xf>
    <xf numFmtId="0" fontId="15" fillId="4" borderId="26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41" fontId="15" fillId="2" borderId="26" xfId="6" applyFont="1" applyFill="1" applyBorder="1" applyAlignment="1">
      <alignment horizontal="center" vertical="center"/>
    </xf>
    <xf numFmtId="41" fontId="15" fillId="2" borderId="13" xfId="6" applyFont="1" applyFill="1" applyBorder="1" applyAlignment="1">
      <alignment horizontal="center" vertical="center"/>
    </xf>
    <xf numFmtId="41" fontId="15" fillId="2" borderId="9" xfId="6" applyFont="1" applyFill="1" applyBorder="1" applyAlignment="1">
      <alignment horizontal="center" vertical="center"/>
    </xf>
    <xf numFmtId="41" fontId="15" fillId="2" borderId="12" xfId="6" applyFont="1" applyFill="1" applyBorder="1" applyAlignment="1">
      <alignment horizontal="center" vertical="center"/>
    </xf>
    <xf numFmtId="41" fontId="25" fillId="2" borderId="9" xfId="0" applyNumberFormat="1" applyFont="1" applyFill="1" applyBorder="1">
      <alignment vertical="center"/>
    </xf>
    <xf numFmtId="0" fontId="15" fillId="0" borderId="4" xfId="0" applyFont="1" applyBorder="1">
      <alignment vertical="center"/>
    </xf>
    <xf numFmtId="0" fontId="24" fillId="0" borderId="5" xfId="0" applyFont="1" applyBorder="1">
      <alignment vertical="center"/>
    </xf>
    <xf numFmtId="0" fontId="15" fillId="0" borderId="6" xfId="0" applyFont="1" applyBorder="1">
      <alignment vertical="center"/>
    </xf>
    <xf numFmtId="0" fontId="24" fillId="0" borderId="7" xfId="0" applyFont="1" applyBorder="1">
      <alignment vertical="center"/>
    </xf>
    <xf numFmtId="0" fontId="24" fillId="0" borderId="8" xfId="0" applyFont="1" applyBorder="1">
      <alignment vertical="center"/>
    </xf>
    <xf numFmtId="0" fontId="17" fillId="0" borderId="0" xfId="0" applyFont="1">
      <alignment vertical="center"/>
    </xf>
    <xf numFmtId="0" fontId="23" fillId="7" borderId="9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41" fontId="0" fillId="0" borderId="9" xfId="0" applyNumberFormat="1" applyBorder="1" applyAlignment="1">
      <alignment horizontal="center" vertical="center"/>
    </xf>
    <xf numFmtId="41" fontId="0" fillId="0" borderId="9" xfId="6" applyFont="1" applyBorder="1">
      <alignment vertical="center"/>
    </xf>
    <xf numFmtId="41" fontId="0" fillId="0" borderId="9" xfId="0" applyNumberFormat="1" applyBorder="1">
      <alignment vertical="center"/>
    </xf>
    <xf numFmtId="41" fontId="28" fillId="2" borderId="9" xfId="0" applyNumberFormat="1" applyFont="1" applyFill="1" applyBorder="1">
      <alignment vertical="center"/>
    </xf>
    <xf numFmtId="180" fontId="0" fillId="0" borderId="9" xfId="0" applyNumberFormat="1" applyBorder="1">
      <alignment vertical="center"/>
    </xf>
    <xf numFmtId="0" fontId="32" fillId="0" borderId="0" xfId="0" applyFont="1">
      <alignment vertical="center"/>
    </xf>
    <xf numFmtId="182" fontId="32" fillId="0" borderId="0" xfId="0" applyNumberFormat="1" applyFont="1">
      <alignment vertical="center"/>
    </xf>
    <xf numFmtId="0" fontId="33" fillId="0" borderId="0" xfId="9" applyFont="1" applyAlignment="1" applyProtection="1">
      <alignment horizontal="left" vertical="center"/>
      <protection locked="0"/>
    </xf>
    <xf numFmtId="40" fontId="34" fillId="0" borderId="0" xfId="9" applyNumberFormat="1" applyFont="1" applyAlignment="1" applyProtection="1">
      <alignment horizontal="left" vertical="center"/>
      <protection locked="0"/>
    </xf>
    <xf numFmtId="181" fontId="34" fillId="0" borderId="0" xfId="9" applyNumberFormat="1" applyFont="1" applyAlignment="1" applyProtection="1">
      <alignment horizontal="right" vertical="center"/>
      <protection locked="0"/>
    </xf>
    <xf numFmtId="41" fontId="15" fillId="5" borderId="42" xfId="6" applyFont="1" applyFill="1" applyBorder="1" applyAlignment="1">
      <alignment horizontal="center" vertical="center"/>
    </xf>
    <xf numFmtId="41" fontId="15" fillId="5" borderId="43" xfId="6" applyFont="1" applyFill="1" applyBorder="1" applyAlignment="1">
      <alignment horizontal="center" vertical="center"/>
    </xf>
    <xf numFmtId="182" fontId="15" fillId="5" borderId="43" xfId="6" applyNumberFormat="1" applyFont="1" applyFill="1" applyBorder="1" applyAlignment="1">
      <alignment horizontal="center" vertical="center"/>
    </xf>
    <xf numFmtId="182" fontId="15" fillId="5" borderId="44" xfId="6" applyNumberFormat="1" applyFont="1" applyFill="1" applyBorder="1" applyAlignment="1">
      <alignment horizontal="center" vertical="center"/>
    </xf>
    <xf numFmtId="182" fontId="35" fillId="5" borderId="43" xfId="0" applyNumberFormat="1" applyFont="1" applyFill="1" applyBorder="1" applyAlignment="1">
      <alignment horizontal="center" vertical="center"/>
    </xf>
    <xf numFmtId="182" fontId="36" fillId="5" borderId="43" xfId="0" applyNumberFormat="1" applyFont="1" applyFill="1" applyBorder="1" applyAlignment="1">
      <alignment horizontal="center" vertical="center"/>
    </xf>
    <xf numFmtId="182" fontId="35" fillId="5" borderId="46" xfId="0" applyNumberFormat="1" applyFont="1" applyFill="1" applyBorder="1" applyAlignment="1">
      <alignment horizontal="center" vertical="center"/>
    </xf>
    <xf numFmtId="181" fontId="15" fillId="5" borderId="42" xfId="6" applyNumberFormat="1" applyFont="1" applyFill="1" applyBorder="1" applyAlignment="1">
      <alignment horizontal="center" vertical="center"/>
    </xf>
    <xf numFmtId="181" fontId="15" fillId="5" borderId="44" xfId="6" applyNumberFormat="1" applyFont="1" applyFill="1" applyBorder="1" applyAlignment="1">
      <alignment horizontal="center" vertical="center"/>
    </xf>
    <xf numFmtId="0" fontId="15" fillId="0" borderId="11" xfId="6" applyNumberFormat="1" applyFont="1" applyFill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183" fontId="15" fillId="0" borderId="11" xfId="6" applyNumberFormat="1" applyFont="1" applyFill="1" applyBorder="1" applyAlignment="1">
      <alignment horizontal="center" vertical="center"/>
    </xf>
    <xf numFmtId="41" fontId="15" fillId="0" borderId="11" xfId="6" applyFont="1" applyFill="1" applyBorder="1" applyAlignment="1">
      <alignment horizontal="center" vertical="center"/>
    </xf>
    <xf numFmtId="182" fontId="15" fillId="0" borderId="11" xfId="6" applyNumberFormat="1" applyFont="1" applyFill="1" applyBorder="1" applyAlignment="1">
      <alignment horizontal="center" vertical="center"/>
    </xf>
    <xf numFmtId="182" fontId="15" fillId="0" borderId="47" xfId="6" applyNumberFormat="1" applyFont="1" applyFill="1" applyBorder="1" applyAlignment="1">
      <alignment horizontal="center" vertical="center"/>
    </xf>
    <xf numFmtId="179" fontId="0" fillId="0" borderId="48" xfId="0" applyNumberFormat="1" applyBorder="1" applyAlignment="1">
      <alignment horizontal="center" vertical="center"/>
    </xf>
    <xf numFmtId="181" fontId="15" fillId="0" borderId="49" xfId="6" applyNumberFormat="1" applyFont="1" applyFill="1" applyBorder="1" applyAlignment="1">
      <alignment horizontal="center" vertical="center"/>
    </xf>
    <xf numFmtId="184" fontId="15" fillId="0" borderId="47" xfId="0" applyNumberFormat="1" applyFont="1" applyBorder="1">
      <alignment vertical="center"/>
    </xf>
    <xf numFmtId="0" fontId="15" fillId="0" borderId="9" xfId="6" applyNumberFormat="1" applyFont="1" applyFill="1" applyBorder="1" applyAlignment="1">
      <alignment horizontal="center" vertical="center"/>
    </xf>
    <xf numFmtId="183" fontId="15" fillId="0" borderId="9" xfId="6" applyNumberFormat="1" applyFont="1" applyFill="1" applyBorder="1" applyAlignment="1">
      <alignment horizontal="center" vertical="center"/>
    </xf>
    <xf numFmtId="41" fontId="15" fillId="0" borderId="9" xfId="6" applyFont="1" applyFill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15" fillId="0" borderId="10" xfId="6" applyNumberFormat="1" applyFont="1" applyFill="1" applyBorder="1" applyAlignment="1">
      <alignment horizontal="center" vertical="center"/>
    </xf>
    <xf numFmtId="183" fontId="15" fillId="0" borderId="10" xfId="6" applyNumberFormat="1" applyFont="1" applyFill="1" applyBorder="1" applyAlignment="1">
      <alignment horizontal="center" vertical="center"/>
    </xf>
    <xf numFmtId="41" fontId="15" fillId="0" borderId="10" xfId="6" applyFont="1" applyFill="1" applyBorder="1" applyAlignment="1">
      <alignment horizontal="center" vertical="center"/>
    </xf>
    <xf numFmtId="185" fontId="17" fillId="6" borderId="45" xfId="6" applyNumberFormat="1" applyFont="1" applyFill="1" applyBorder="1" applyAlignment="1">
      <alignment horizontal="center" vertical="center" shrinkToFit="1"/>
    </xf>
    <xf numFmtId="185" fontId="17" fillId="6" borderId="43" xfId="6" applyNumberFormat="1" applyFont="1" applyFill="1" applyBorder="1" applyAlignment="1">
      <alignment horizontal="center" vertical="center" shrinkToFit="1"/>
    </xf>
    <xf numFmtId="185" fontId="17" fillId="6" borderId="46" xfId="6" applyNumberFormat="1" applyFont="1" applyFill="1" applyBorder="1" applyAlignment="1">
      <alignment horizontal="center" vertical="center" shrinkToFit="1"/>
    </xf>
    <xf numFmtId="185" fontId="17" fillId="6" borderId="42" xfId="6" applyNumberFormat="1" applyFont="1" applyFill="1" applyBorder="1" applyAlignment="1">
      <alignment horizontal="center" vertical="center" shrinkToFit="1"/>
    </xf>
    <xf numFmtId="41" fontId="17" fillId="6" borderId="43" xfId="6" applyFont="1" applyFill="1" applyBorder="1" applyAlignment="1">
      <alignment horizontal="center" vertical="center" shrinkToFit="1"/>
    </xf>
    <xf numFmtId="41" fontId="17" fillId="6" borderId="44" xfId="6" applyFont="1" applyFill="1" applyBorder="1" applyAlignment="1">
      <alignment horizontal="center" vertical="center" shrinkToFit="1"/>
    </xf>
    <xf numFmtId="185" fontId="37" fillId="2" borderId="45" xfId="6" applyNumberFormat="1" applyFont="1" applyFill="1" applyBorder="1" applyAlignment="1">
      <alignment horizontal="center" vertical="center" shrinkToFit="1"/>
    </xf>
    <xf numFmtId="185" fontId="37" fillId="2" borderId="43" xfId="6" applyNumberFormat="1" applyFont="1" applyFill="1" applyBorder="1" applyAlignment="1">
      <alignment horizontal="center" vertical="center" shrinkToFit="1"/>
    </xf>
    <xf numFmtId="185" fontId="37" fillId="2" borderId="42" xfId="6" applyNumberFormat="1" applyFont="1" applyFill="1" applyBorder="1" applyAlignment="1">
      <alignment horizontal="center" vertical="center" shrinkToFit="1"/>
    </xf>
    <xf numFmtId="41" fontId="37" fillId="2" borderId="43" xfId="6" applyFont="1" applyFill="1" applyBorder="1" applyAlignment="1">
      <alignment horizontal="center" vertical="center" shrinkToFit="1"/>
    </xf>
    <xf numFmtId="41" fontId="37" fillId="2" borderId="44" xfId="6" applyFont="1" applyFill="1" applyBorder="1" applyAlignment="1">
      <alignment horizontal="center" vertical="center" shrinkToFit="1"/>
    </xf>
    <xf numFmtId="40" fontId="32" fillId="0" borderId="0" xfId="0" applyNumberFormat="1" applyFont="1">
      <alignment vertical="center"/>
    </xf>
    <xf numFmtId="0" fontId="32" fillId="0" borderId="0" xfId="0" applyFont="1" applyAlignment="1">
      <alignment horizontal="center" vertical="center"/>
    </xf>
    <xf numFmtId="181" fontId="32" fillId="0" borderId="0" xfId="0" applyNumberFormat="1" applyFont="1">
      <alignment vertical="center"/>
    </xf>
    <xf numFmtId="181" fontId="32" fillId="0" borderId="0" xfId="0" applyNumberFormat="1" applyFont="1" applyAlignment="1">
      <alignment horizontal="center" vertical="center"/>
    </xf>
    <xf numFmtId="0" fontId="24" fillId="8" borderId="9" xfId="0" applyFont="1" applyFill="1" applyBorder="1" applyAlignment="1">
      <alignment horizontal="center" vertical="center"/>
    </xf>
    <xf numFmtId="41" fontId="42" fillId="9" borderId="9" xfId="0" applyNumberFormat="1" applyFont="1" applyFill="1" applyBorder="1">
      <alignment vertical="center"/>
    </xf>
    <xf numFmtId="0" fontId="43" fillId="0" borderId="0" xfId="0" applyFont="1">
      <alignment vertical="center"/>
    </xf>
    <xf numFmtId="0" fontId="24" fillId="0" borderId="9" xfId="0" applyFont="1" applyBorder="1" applyAlignment="1">
      <alignment horizontal="center" vertical="center"/>
    </xf>
    <xf numFmtId="41" fontId="24" fillId="0" borderId="9" xfId="6" applyFont="1" applyBorder="1" applyAlignment="1">
      <alignment horizontal="center" vertical="center"/>
    </xf>
    <xf numFmtId="0" fontId="44" fillId="0" borderId="0" xfId="0" applyFont="1">
      <alignment vertical="center"/>
    </xf>
    <xf numFmtId="0" fontId="45" fillId="0" borderId="0" xfId="0" applyFont="1">
      <alignment vertical="center"/>
    </xf>
    <xf numFmtId="43" fontId="46" fillId="10" borderId="9" xfId="0" applyNumberFormat="1" applyFont="1" applyFill="1" applyBorder="1" applyAlignment="1">
      <alignment horizontal="center" vertical="center"/>
    </xf>
    <xf numFmtId="41" fontId="47" fillId="11" borderId="9" xfId="10" applyFont="1" applyFill="1" applyBorder="1" applyAlignment="1">
      <alignment horizontal="center" vertical="center"/>
    </xf>
    <xf numFmtId="41" fontId="14" fillId="0" borderId="9" xfId="0" applyNumberFormat="1" applyFont="1" applyBorder="1" applyAlignment="1">
      <alignment horizontal="center" vertical="center"/>
    </xf>
    <xf numFmtId="180" fontId="14" fillId="0" borderId="9" xfId="0" applyNumberFormat="1" applyFont="1" applyBorder="1" applyAlignment="1">
      <alignment horizontal="center" vertical="center"/>
    </xf>
    <xf numFmtId="180" fontId="28" fillId="2" borderId="9" xfId="0" applyNumberFormat="1" applyFont="1" applyFill="1" applyBorder="1">
      <alignment vertical="center"/>
    </xf>
    <xf numFmtId="41" fontId="32" fillId="0" borderId="0" xfId="0" applyNumberFormat="1" applyFont="1">
      <alignment vertical="center"/>
    </xf>
    <xf numFmtId="14" fontId="24" fillId="0" borderId="9" xfId="0" applyNumberFormat="1" applyFont="1" applyBorder="1" applyAlignment="1">
      <alignment horizontal="center" vertical="center"/>
    </xf>
    <xf numFmtId="0" fontId="24" fillId="0" borderId="9" xfId="0" applyFont="1" applyBorder="1" applyAlignment="1">
      <alignment horizontal="left" vertical="center"/>
    </xf>
    <xf numFmtId="177" fontId="24" fillId="0" borderId="9" xfId="0" applyNumberFormat="1" applyFont="1" applyBorder="1" applyAlignment="1">
      <alignment horizontal="center" vertical="center"/>
    </xf>
    <xf numFmtId="0" fontId="32" fillId="0" borderId="9" xfId="0" applyFont="1" applyBorder="1" applyAlignment="1">
      <alignment horizontal="center" vertical="center"/>
    </xf>
    <xf numFmtId="182" fontId="49" fillId="5" borderId="43" xfId="0" applyNumberFormat="1" applyFont="1" applyFill="1" applyBorder="1" applyAlignment="1">
      <alignment horizontal="center" vertical="center"/>
    </xf>
    <xf numFmtId="41" fontId="14" fillId="0" borderId="25" xfId="6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176" fontId="5" fillId="0" borderId="0" xfId="1" applyNumberFormat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177" fontId="11" fillId="0" borderId="0" xfId="1" applyNumberFormat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2" fillId="2" borderId="0" xfId="1" applyFont="1" applyFill="1" applyAlignment="1">
      <alignment horizontal="center" vertical="center"/>
    </xf>
    <xf numFmtId="0" fontId="13" fillId="0" borderId="0" xfId="2" applyFont="1" applyAlignment="1">
      <alignment horizontal="center" vertical="center"/>
    </xf>
    <xf numFmtId="0" fontId="14" fillId="0" borderId="0" xfId="2" applyFont="1">
      <alignment vertical="center"/>
    </xf>
    <xf numFmtId="0" fontId="2" fillId="0" borderId="0" xfId="2">
      <alignment vertical="center"/>
    </xf>
    <xf numFmtId="0" fontId="15" fillId="0" borderId="0" xfId="2" applyFont="1">
      <alignment vertical="center"/>
    </xf>
    <xf numFmtId="0" fontId="21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23" fillId="4" borderId="14" xfId="0" applyFont="1" applyFill="1" applyBorder="1" applyAlignment="1">
      <alignment horizontal="center" vertical="center"/>
    </xf>
    <xf numFmtId="0" fontId="23" fillId="4" borderId="17" xfId="0" applyFont="1" applyFill="1" applyBorder="1" applyAlignment="1">
      <alignment horizontal="center" vertical="center"/>
    </xf>
    <xf numFmtId="0" fontId="23" fillId="4" borderId="15" xfId="0" applyFont="1" applyFill="1" applyBorder="1" applyAlignment="1">
      <alignment horizontal="center" vertical="center"/>
    </xf>
    <xf numFmtId="0" fontId="23" fillId="4" borderId="9" xfId="0" applyFont="1" applyFill="1" applyBorder="1" applyAlignment="1">
      <alignment horizontal="center" vertical="center"/>
    </xf>
    <xf numFmtId="0" fontId="23" fillId="4" borderId="16" xfId="0" applyFont="1" applyFill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5" fillId="5" borderId="9" xfId="0" applyFont="1" applyFill="1" applyBorder="1" applyAlignment="1">
      <alignment horizontal="center" vertical="center"/>
    </xf>
    <xf numFmtId="0" fontId="15" fillId="5" borderId="26" xfId="0" applyFont="1" applyFill="1" applyBorder="1" applyAlignment="1">
      <alignment horizontal="center" vertical="center"/>
    </xf>
    <xf numFmtId="41" fontId="26" fillId="6" borderId="12" xfId="0" applyNumberFormat="1" applyFont="1" applyFill="1" applyBorder="1" applyAlignment="1">
      <alignment horizontal="center" vertical="center"/>
    </xf>
    <xf numFmtId="41" fontId="26" fillId="6" borderId="13" xfId="0" applyNumberFormat="1" applyFont="1" applyFill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5" fillId="6" borderId="27" xfId="0" applyFont="1" applyFill="1" applyBorder="1" applyAlignment="1">
      <alignment horizontal="center" vertical="center"/>
    </xf>
    <xf numFmtId="0" fontId="15" fillId="6" borderId="28" xfId="0" applyFont="1" applyFill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41" fontId="15" fillId="4" borderId="10" xfId="6" applyFont="1" applyFill="1" applyBorder="1" applyAlignment="1">
      <alignment horizontal="center" vertical="center"/>
    </xf>
    <xf numFmtId="41" fontId="15" fillId="4" borderId="31" xfId="6" applyFont="1" applyFill="1" applyBorder="1" applyAlignment="1">
      <alignment horizontal="center" vertical="center"/>
    </xf>
    <xf numFmtId="41" fontId="15" fillId="4" borderId="11" xfId="6" applyFont="1" applyFill="1" applyBorder="1" applyAlignment="1">
      <alignment horizontal="center" vertical="center"/>
    </xf>
    <xf numFmtId="41" fontId="15" fillId="4" borderId="29" xfId="6" applyFont="1" applyFill="1" applyBorder="1" applyAlignment="1">
      <alignment horizontal="center" vertical="center"/>
    </xf>
    <xf numFmtId="41" fontId="15" fillId="4" borderId="32" xfId="6" applyFont="1" applyFill="1" applyBorder="1" applyAlignment="1">
      <alignment horizontal="center" vertical="center"/>
    </xf>
    <xf numFmtId="41" fontId="15" fillId="4" borderId="33" xfId="6" applyFont="1" applyFill="1" applyBorder="1" applyAlignment="1">
      <alignment horizontal="center" vertical="center"/>
    </xf>
    <xf numFmtId="0" fontId="15" fillId="2" borderId="30" xfId="0" applyFont="1" applyFill="1" applyBorder="1" applyAlignment="1">
      <alignment horizontal="center" vertical="center"/>
    </xf>
    <xf numFmtId="0" fontId="15" fillId="2" borderId="27" xfId="0" applyFont="1" applyFill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/>
    </xf>
    <xf numFmtId="0" fontId="28" fillId="2" borderId="12" xfId="0" applyFont="1" applyFill="1" applyBorder="1" applyAlignment="1">
      <alignment horizontal="center" vertical="center"/>
    </xf>
    <xf numFmtId="0" fontId="28" fillId="2" borderId="27" xfId="0" applyFont="1" applyFill="1" applyBorder="1" applyAlignment="1">
      <alignment horizontal="center" vertical="center"/>
    </xf>
    <xf numFmtId="0" fontId="28" fillId="2" borderId="13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3" fillId="7" borderId="9" xfId="0" applyFont="1" applyFill="1" applyBorder="1" applyAlignment="1">
      <alignment horizontal="center" vertical="center"/>
    </xf>
    <xf numFmtId="0" fontId="23" fillId="7" borderId="9" xfId="0" applyFont="1" applyFill="1" applyBorder="1" applyAlignment="1">
      <alignment horizontal="center" vertical="center" wrapText="1"/>
    </xf>
    <xf numFmtId="0" fontId="31" fillId="0" borderId="12" xfId="0" applyFont="1" applyBorder="1" applyAlignment="1">
      <alignment horizontal="center" vertical="center" wrapText="1"/>
    </xf>
    <xf numFmtId="0" fontId="31" fillId="0" borderId="27" xfId="0" applyFont="1" applyBorder="1" applyAlignment="1">
      <alignment horizontal="center" vertical="center" wrapText="1"/>
    </xf>
    <xf numFmtId="181" fontId="31" fillId="0" borderId="13" xfId="0" applyNumberFormat="1" applyFont="1" applyBorder="1" applyAlignment="1">
      <alignment horizontal="center" vertical="center" wrapText="1"/>
    </xf>
    <xf numFmtId="0" fontId="30" fillId="5" borderId="12" xfId="0" applyFont="1" applyFill="1" applyBorder="1" applyAlignment="1">
      <alignment horizontal="center" vertical="center" wrapText="1"/>
    </xf>
    <xf numFmtId="0" fontId="30" fillId="5" borderId="27" xfId="0" applyFont="1" applyFill="1" applyBorder="1" applyAlignment="1">
      <alignment horizontal="center" vertical="center" wrapText="1"/>
    </xf>
    <xf numFmtId="0" fontId="30" fillId="5" borderId="13" xfId="0" applyFont="1" applyFill="1" applyBorder="1" applyAlignment="1">
      <alignment horizontal="center" vertical="center" wrapText="1"/>
    </xf>
    <xf numFmtId="0" fontId="17" fillId="6" borderId="50" xfId="6" applyNumberFormat="1" applyFont="1" applyFill="1" applyBorder="1" applyAlignment="1">
      <alignment horizontal="center" vertical="center"/>
    </xf>
    <xf numFmtId="0" fontId="17" fillId="6" borderId="51" xfId="6" applyNumberFormat="1" applyFont="1" applyFill="1" applyBorder="1" applyAlignment="1">
      <alignment horizontal="center" vertical="center"/>
    </xf>
    <xf numFmtId="0" fontId="17" fillId="6" borderId="52" xfId="6" applyNumberFormat="1" applyFont="1" applyFill="1" applyBorder="1" applyAlignment="1">
      <alignment horizontal="center" vertical="center"/>
    </xf>
    <xf numFmtId="0" fontId="37" fillId="2" borderId="50" xfId="6" applyNumberFormat="1" applyFont="1" applyFill="1" applyBorder="1" applyAlignment="1">
      <alignment horizontal="center" vertical="center"/>
    </xf>
    <xf numFmtId="0" fontId="37" fillId="2" borderId="51" xfId="6" applyNumberFormat="1" applyFont="1" applyFill="1" applyBorder="1" applyAlignment="1">
      <alignment horizontal="center" vertical="center"/>
    </xf>
    <xf numFmtId="0" fontId="37" fillId="2" borderId="52" xfId="6" applyNumberFormat="1" applyFont="1" applyFill="1" applyBorder="1" applyAlignment="1">
      <alignment horizontal="center" vertical="center"/>
    </xf>
    <xf numFmtId="0" fontId="29" fillId="0" borderId="34" xfId="0" applyFont="1" applyBorder="1" applyAlignment="1">
      <alignment horizontal="center" vertical="center" wrapText="1"/>
    </xf>
    <xf numFmtId="0" fontId="29" fillId="0" borderId="35" xfId="0" applyFont="1" applyBorder="1" applyAlignment="1">
      <alignment horizontal="center" vertical="center" wrapText="1"/>
    </xf>
    <xf numFmtId="0" fontId="29" fillId="0" borderId="36" xfId="0" applyFont="1" applyBorder="1" applyAlignment="1">
      <alignment horizontal="center" vertical="center" wrapText="1"/>
    </xf>
    <xf numFmtId="0" fontId="29" fillId="0" borderId="37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29" fillId="0" borderId="38" xfId="0" applyFont="1" applyBorder="1" applyAlignment="1">
      <alignment horizontal="center" vertical="center" wrapText="1"/>
    </xf>
    <xf numFmtId="0" fontId="29" fillId="0" borderId="39" xfId="0" applyFont="1" applyBorder="1" applyAlignment="1">
      <alignment horizontal="center" vertical="center" wrapText="1"/>
    </xf>
    <xf numFmtId="0" fontId="29" fillId="0" borderId="40" xfId="0" applyFont="1" applyBorder="1" applyAlignment="1">
      <alignment horizontal="center" vertical="center" wrapText="1"/>
    </xf>
    <xf numFmtId="0" fontId="29" fillId="0" borderId="41" xfId="0" applyFont="1" applyBorder="1" applyAlignment="1">
      <alignment horizontal="center" vertical="center" wrapText="1"/>
    </xf>
    <xf numFmtId="0" fontId="41" fillId="0" borderId="12" xfId="0" applyFont="1" applyBorder="1" applyAlignment="1">
      <alignment horizontal="center" vertical="center"/>
    </xf>
    <xf numFmtId="0" fontId="41" fillId="0" borderId="27" xfId="0" applyFont="1" applyBorder="1" applyAlignment="1">
      <alignment horizontal="center" vertical="center"/>
    </xf>
    <xf numFmtId="0" fontId="41" fillId="0" borderId="13" xfId="0" applyFont="1" applyBorder="1" applyAlignment="1">
      <alignment horizontal="center" vertical="center"/>
    </xf>
    <xf numFmtId="0" fontId="24" fillId="8" borderId="9" xfId="0" applyFont="1" applyFill="1" applyBorder="1" applyAlignment="1">
      <alignment horizontal="center" vertical="center"/>
    </xf>
    <xf numFmtId="0" fontId="41" fillId="0" borderId="9" xfId="0" applyFont="1" applyBorder="1" applyAlignment="1">
      <alignment horizontal="center" vertical="center"/>
    </xf>
    <xf numFmtId="0" fontId="46" fillId="10" borderId="9" xfId="0" applyFont="1" applyFill="1" applyBorder="1" applyAlignment="1">
      <alignment horizontal="center" vertical="center"/>
    </xf>
    <xf numFmtId="49" fontId="46" fillId="10" borderId="9" xfId="0" applyNumberFormat="1" applyFont="1" applyFill="1" applyBorder="1" applyAlignment="1">
      <alignment horizontal="center" vertical="center"/>
    </xf>
    <xf numFmtId="43" fontId="46" fillId="10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8" fillId="3" borderId="12" xfId="0" applyFont="1" applyFill="1" applyBorder="1" applyAlignment="1">
      <alignment horizontal="center" vertical="center"/>
    </xf>
    <xf numFmtId="0" fontId="19" fillId="3" borderId="13" xfId="0" applyFont="1" applyFill="1" applyBorder="1" applyAlignment="1">
      <alignment horizontal="center" vertical="center"/>
    </xf>
  </cellXfs>
  <cellStyles count="11">
    <cellStyle name="백분율" xfId="7" builtinId="5"/>
    <cellStyle name="백분율 2" xfId="5" xr:uid="{00000000-0005-0000-0000-000001000000}"/>
    <cellStyle name="쉼표 [0]" xfId="6" builtinId="6"/>
    <cellStyle name="쉼표 [0] 2" xfId="4" xr:uid="{00000000-0005-0000-0000-000003000000}"/>
    <cellStyle name="쉼표 [0] 2 2 8" xfId="10" xr:uid="{00000000-0005-0000-0000-000004000000}"/>
    <cellStyle name="통화 [0]" xfId="8" builtinId="7"/>
    <cellStyle name="표준" xfId="0" builtinId="0"/>
    <cellStyle name="표준 2" xfId="3" xr:uid="{00000000-0005-0000-0000-000007000000}"/>
    <cellStyle name="표준 2 2" xfId="2" xr:uid="{00000000-0005-0000-0000-000008000000}"/>
    <cellStyle name="표준_QF-0402-25_일용직_노무비명세서_V1.0(07.07.12) - 7월" xfId="9" xr:uid="{00000000-0005-0000-0000-000009000000}"/>
    <cellStyle name="표준_외주기성청구서_기성금청구양식" xfId="1" xr:uid="{00000000-0005-0000-0000-00000A000000}"/>
  </cellStyles>
  <dxfs count="5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11</xdr:col>
      <xdr:colOff>0</xdr:colOff>
      <xdr:row>5</xdr:row>
      <xdr:rowOff>47625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504265"/>
          <a:ext cx="3675530" cy="11682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</xdr:row>
      <xdr:rowOff>161925</xdr:rowOff>
    </xdr:from>
    <xdr:to>
      <xdr:col>11</xdr:col>
      <xdr:colOff>9525</xdr:colOff>
      <xdr:row>10</xdr:row>
      <xdr:rowOff>100853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1786778"/>
          <a:ext cx="3685055" cy="1339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</xdr:row>
      <xdr:rowOff>179293</xdr:rowOff>
    </xdr:from>
    <xdr:to>
      <xdr:col>11</xdr:col>
      <xdr:colOff>0</xdr:colOff>
      <xdr:row>14</xdr:row>
      <xdr:rowOff>179294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3204881"/>
          <a:ext cx="3675530" cy="11205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8</xdr:col>
      <xdr:colOff>313764</xdr:colOff>
      <xdr:row>23</xdr:row>
      <xdr:rowOff>156882</xdr:rowOff>
    </xdr:from>
    <xdr:ext cx="628401" cy="591366"/>
    <xdr:pic>
      <xdr:nvPicPr>
        <xdr:cNvPr id="5" name="Picture 24">
          <a:extLst>
            <a:ext uri="{FF2B5EF4-FFF2-40B4-BE49-F238E27FC236}">
              <a16:creationId xmlns:a16="http://schemas.microsoft.com/office/drawing/2014/main" id="{68B73E7A-128C-4B68-98D4-0199792AD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9114864" y="6424332"/>
          <a:ext cx="628401" cy="59136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539750</xdr:colOff>
      <xdr:row>1</xdr:row>
      <xdr:rowOff>79375</xdr:rowOff>
    </xdr:from>
    <xdr:to>
      <xdr:col>4</xdr:col>
      <xdr:colOff>158750</xdr:colOff>
      <xdr:row>50</xdr:row>
      <xdr:rowOff>190500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4064000" y="555625"/>
          <a:ext cx="933450" cy="17246600"/>
        </a:xfrm>
        <a:prstGeom prst="rect">
          <a:avLst/>
        </a:prstGeom>
        <a:noFill/>
        <a:ln w="1270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10</xdr:col>
      <xdr:colOff>104775</xdr:colOff>
      <xdr:row>54</xdr:row>
      <xdr:rowOff>9525</xdr:rowOff>
    </xdr:from>
    <xdr:to>
      <xdr:col>12</xdr:col>
      <xdr:colOff>1293163</xdr:colOff>
      <xdr:row>64</xdr:row>
      <xdr:rowOff>28575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F87E03E-8141-4D00-8594-61BE04BD9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77625" y="2743200"/>
          <a:ext cx="3417238" cy="2114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2"/>
  <sheetViews>
    <sheetView showGridLines="0" view="pageBreakPreview" zoomScale="85" zoomScaleNormal="100" zoomScaleSheetLayoutView="85" workbookViewId="0">
      <selection activeCell="I7" sqref="I7"/>
    </sheetView>
  </sheetViews>
  <sheetFormatPr defaultRowHeight="17.399999999999999" x14ac:dyDescent="0.4"/>
  <cols>
    <col min="1" max="6" width="21.59765625" customWidth="1"/>
  </cols>
  <sheetData>
    <row r="1" spans="1:6" ht="21.9" customHeight="1" thickTop="1" x14ac:dyDescent="0.4">
      <c r="A1" s="1"/>
      <c r="B1" s="2"/>
      <c r="C1" s="2"/>
      <c r="D1" s="2"/>
      <c r="E1" s="2"/>
      <c r="F1" s="3"/>
    </row>
    <row r="2" spans="1:6" ht="21.9" customHeight="1" x14ac:dyDescent="0.4">
      <c r="A2" s="4"/>
      <c r="B2" s="5"/>
      <c r="C2" s="5"/>
      <c r="D2" s="6"/>
      <c r="E2" s="5"/>
      <c r="F2" s="7"/>
    </row>
    <row r="3" spans="1:6" ht="21.9" customHeight="1" x14ac:dyDescent="0.4">
      <c r="A3" s="4"/>
      <c r="B3" s="5"/>
      <c r="C3" s="5"/>
      <c r="D3" s="5"/>
      <c r="E3" s="5"/>
      <c r="F3" s="7"/>
    </row>
    <row r="4" spans="1:6" ht="21.9" customHeight="1" x14ac:dyDescent="0.4">
      <c r="A4" s="4"/>
      <c r="B4" s="166" t="s">
        <v>0</v>
      </c>
      <c r="C4" s="166"/>
      <c r="D4" s="166"/>
      <c r="E4" s="166"/>
      <c r="F4" s="7"/>
    </row>
    <row r="5" spans="1:6" ht="21.9" customHeight="1" x14ac:dyDescent="0.4">
      <c r="A5" s="8"/>
      <c r="B5" s="166"/>
      <c r="C5" s="166"/>
      <c r="D5" s="166"/>
      <c r="E5" s="166"/>
      <c r="F5" s="9"/>
    </row>
    <row r="6" spans="1:6" ht="21.9" customHeight="1" x14ac:dyDescent="0.4">
      <c r="A6" s="10"/>
      <c r="B6" s="166"/>
      <c r="C6" s="166"/>
      <c r="D6" s="166"/>
      <c r="E6" s="166"/>
      <c r="F6" s="11"/>
    </row>
    <row r="7" spans="1:6" ht="36.9" customHeight="1" x14ac:dyDescent="0.4">
      <c r="A7" s="12"/>
      <c r="B7" s="167" t="s">
        <v>1</v>
      </c>
      <c r="C7" s="167"/>
      <c r="D7" s="167"/>
      <c r="E7" s="167"/>
      <c r="F7" s="11"/>
    </row>
    <row r="8" spans="1:6" ht="29.1" customHeight="1" x14ac:dyDescent="0.4">
      <c r="A8" s="8"/>
      <c r="B8" s="13"/>
      <c r="C8" s="168" t="s">
        <v>304</v>
      </c>
      <c r="D8" s="169"/>
      <c r="E8" s="13"/>
      <c r="F8" s="9"/>
    </row>
    <row r="9" spans="1:6" ht="21.9" customHeight="1" x14ac:dyDescent="0.4">
      <c r="A9" s="8"/>
      <c r="B9" s="13"/>
      <c r="C9" s="13"/>
      <c r="D9" s="13"/>
      <c r="E9" s="13"/>
      <c r="F9" s="9"/>
    </row>
    <row r="10" spans="1:6" ht="21.9" customHeight="1" x14ac:dyDescent="0.4">
      <c r="A10" s="8"/>
      <c r="B10" s="13"/>
      <c r="C10" s="13"/>
      <c r="D10" s="13"/>
      <c r="E10" s="13"/>
      <c r="F10" s="9"/>
    </row>
    <row r="11" spans="1:6" ht="21.9" customHeight="1" x14ac:dyDescent="0.4">
      <c r="A11" s="8"/>
      <c r="B11" s="13"/>
      <c r="C11" s="13"/>
      <c r="D11" s="13"/>
      <c r="E11" s="13"/>
      <c r="F11" s="9"/>
    </row>
    <row r="12" spans="1:6" ht="21.9" customHeight="1" x14ac:dyDescent="0.4">
      <c r="A12" s="8"/>
      <c r="B12" s="13"/>
      <c r="C12" s="13"/>
      <c r="D12" s="13"/>
      <c r="E12" s="13"/>
      <c r="F12" s="9"/>
    </row>
    <row r="13" spans="1:6" ht="21.9" customHeight="1" x14ac:dyDescent="0.4">
      <c r="A13" s="8"/>
      <c r="B13" s="13"/>
      <c r="C13" s="13"/>
      <c r="D13" s="13"/>
      <c r="E13" s="13"/>
      <c r="F13" s="9"/>
    </row>
    <row r="14" spans="1:6" ht="21.9" customHeight="1" x14ac:dyDescent="0.4">
      <c r="A14" s="8"/>
      <c r="B14" s="13"/>
      <c r="C14" s="170" t="s">
        <v>372</v>
      </c>
      <c r="D14" s="170"/>
      <c r="E14" s="13"/>
      <c r="F14" s="9"/>
    </row>
    <row r="15" spans="1:6" ht="21.9" customHeight="1" x14ac:dyDescent="0.4">
      <c r="A15" s="8"/>
      <c r="B15" s="13"/>
      <c r="C15" s="171" t="s">
        <v>305</v>
      </c>
      <c r="D15" s="171"/>
      <c r="E15" s="13"/>
      <c r="F15" s="9"/>
    </row>
    <row r="16" spans="1:6" ht="21.9" customHeight="1" x14ac:dyDescent="0.4">
      <c r="A16" s="8"/>
      <c r="B16" s="13"/>
      <c r="C16" s="13"/>
      <c r="D16" s="13"/>
      <c r="E16" s="13"/>
      <c r="F16" s="9"/>
    </row>
    <row r="17" spans="1:6" ht="21.9" customHeight="1" x14ac:dyDescent="0.4">
      <c r="A17" s="8"/>
      <c r="B17" s="13"/>
      <c r="C17" s="13"/>
      <c r="D17" s="13"/>
      <c r="E17" s="13"/>
      <c r="F17" s="9"/>
    </row>
    <row r="18" spans="1:6" ht="21.9" customHeight="1" x14ac:dyDescent="0.4">
      <c r="A18" s="8"/>
      <c r="B18" s="13"/>
      <c r="C18" s="13"/>
      <c r="D18" s="13"/>
      <c r="E18" s="13"/>
      <c r="F18" s="9"/>
    </row>
    <row r="19" spans="1:6" ht="48" customHeight="1" x14ac:dyDescent="0.4">
      <c r="A19" s="8"/>
      <c r="B19" s="13"/>
      <c r="C19" s="165"/>
      <c r="D19" s="165"/>
      <c r="E19" s="13"/>
      <c r="F19" s="9"/>
    </row>
    <row r="20" spans="1:6" ht="21.9" customHeight="1" x14ac:dyDescent="0.4">
      <c r="A20" s="8"/>
      <c r="B20" s="13"/>
      <c r="C20" s="13"/>
      <c r="D20" s="13"/>
      <c r="E20" s="13"/>
      <c r="F20" s="9"/>
    </row>
    <row r="21" spans="1:6" ht="21.9" customHeight="1" thickBot="1" x14ac:dyDescent="0.45">
      <c r="A21" s="14"/>
      <c r="B21" s="15"/>
      <c r="C21" s="15"/>
      <c r="D21" s="15"/>
      <c r="E21" s="15"/>
      <c r="F21" s="16"/>
    </row>
    <row r="22" spans="1:6" ht="18" thickTop="1" x14ac:dyDescent="0.4"/>
  </sheetData>
  <mergeCells count="6">
    <mergeCell ref="C19:D19"/>
    <mergeCell ref="B4:E6"/>
    <mergeCell ref="B7:E7"/>
    <mergeCell ref="C8:D8"/>
    <mergeCell ref="C14:D14"/>
    <mergeCell ref="C15:D15"/>
  </mergeCells>
  <phoneticPr fontId="4" type="noConversion"/>
  <pageMargins left="0.7" right="0.7" top="0.75" bottom="0.75" header="0.3" footer="0.3"/>
  <pageSetup paperSize="9" scale="9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6"/>
  <sheetViews>
    <sheetView showGridLines="0" view="pageBreakPreview" zoomScaleNormal="100" zoomScaleSheetLayoutView="100" workbookViewId="0">
      <selection activeCell="N12" sqref="N12"/>
    </sheetView>
  </sheetViews>
  <sheetFormatPr defaultRowHeight="17.399999999999999" x14ac:dyDescent="0.25"/>
  <cols>
    <col min="1" max="1" width="5.3984375" style="17" customWidth="1"/>
    <col min="2" max="2" width="18.09765625" style="17" customWidth="1"/>
    <col min="3" max="3" width="3.09765625" style="17" customWidth="1"/>
    <col min="4" max="4" width="47.19921875" style="17" customWidth="1"/>
    <col min="5" max="5" width="17" style="17" customWidth="1"/>
    <col min="6" max="6" width="10.8984375" style="17" customWidth="1"/>
    <col min="7" max="7" width="5.19921875" style="17" customWidth="1"/>
    <col min="8" max="8" width="8.5" style="17" customWidth="1"/>
    <col min="9" max="9" width="10.5" style="17" customWidth="1"/>
    <col min="10" max="10" width="16.3984375" style="17" customWidth="1"/>
    <col min="11" max="11" width="13" style="17" customWidth="1"/>
    <col min="12" max="12" width="0.8984375" style="17" customWidth="1"/>
  </cols>
  <sheetData>
    <row r="1" spans="1:12" ht="39.9" customHeight="1" x14ac:dyDescent="0.25">
      <c r="A1" s="172" t="s">
        <v>2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</row>
    <row r="2" spans="1:12" ht="21.9" customHeight="1" x14ac:dyDescent="0.25">
      <c r="A2" s="18"/>
      <c r="B2" s="18"/>
      <c r="C2" s="18"/>
      <c r="D2" s="18"/>
      <c r="E2" s="19"/>
      <c r="F2" s="18"/>
      <c r="G2" s="18"/>
      <c r="H2" s="18"/>
      <c r="I2" s="18"/>
      <c r="J2" s="18"/>
      <c r="K2" s="18"/>
    </row>
    <row r="3" spans="1:12" ht="21.9" customHeight="1" x14ac:dyDescent="0.25">
      <c r="A3" s="20">
        <v>1</v>
      </c>
      <c r="B3" s="21" t="s">
        <v>3</v>
      </c>
      <c r="C3" s="21" t="s">
        <v>4</v>
      </c>
      <c r="D3" s="22" t="str">
        <f>'용역청구서 표지'!$B$7</f>
        <v>P4 Ph4 GAS 1공구 마감공사</v>
      </c>
      <c r="E3" s="23" t="str">
        <f>'용역청구서 표지'!$C$8</f>
        <v>S25-004</v>
      </c>
      <c r="F3" s="23"/>
      <c r="G3" s="18"/>
      <c r="H3" s="18"/>
      <c r="I3" s="18"/>
      <c r="J3" s="18"/>
      <c r="K3" s="18"/>
    </row>
    <row r="4" spans="1:12" ht="21.9" customHeight="1" x14ac:dyDescent="0.25">
      <c r="A4" s="20">
        <v>2</v>
      </c>
      <c r="B4" s="21" t="s">
        <v>5</v>
      </c>
      <c r="C4" s="21" t="s">
        <v>4</v>
      </c>
      <c r="D4" s="24" t="s">
        <v>6</v>
      </c>
      <c r="E4" s="22"/>
      <c r="F4" s="21"/>
      <c r="G4" s="18"/>
      <c r="H4" s="18"/>
      <c r="I4" s="18"/>
      <c r="J4" s="18"/>
      <c r="K4" s="18"/>
    </row>
    <row r="5" spans="1:12" ht="21.9" customHeight="1" x14ac:dyDescent="0.25">
      <c r="A5" s="20">
        <v>3</v>
      </c>
      <c r="B5" s="21" t="s">
        <v>7</v>
      </c>
      <c r="C5" s="21" t="s">
        <v>4</v>
      </c>
      <c r="D5" s="25">
        <f>ROUNDUP(E5,0)</f>
        <v>19900000</v>
      </c>
      <c r="E5" s="22">
        <f>집계장!I22</f>
        <v>19900000</v>
      </c>
      <c r="F5" s="26" t="s">
        <v>8</v>
      </c>
      <c r="G5" s="18"/>
      <c r="H5" s="18"/>
      <c r="I5" s="18"/>
      <c r="J5" s="18"/>
      <c r="K5" s="18"/>
    </row>
    <row r="6" spans="1:12" ht="21.9" customHeight="1" x14ac:dyDescent="0.4">
      <c r="A6" s="20">
        <v>4</v>
      </c>
      <c r="B6" s="27" t="s">
        <v>9</v>
      </c>
      <c r="C6" s="21" t="s">
        <v>4</v>
      </c>
      <c r="D6" s="25">
        <f t="shared" ref="D6:D14" si="0">ROUNDUP(E6,0)</f>
        <v>19900000</v>
      </c>
      <c r="E6" s="22">
        <f>E13</f>
        <v>19900000</v>
      </c>
      <c r="F6" s="26" t="s">
        <v>10</v>
      </c>
      <c r="G6" s="18"/>
      <c r="H6" s="18"/>
      <c r="I6" s="18"/>
      <c r="J6" s="18"/>
      <c r="K6" s="18"/>
      <c r="L6" s="18"/>
    </row>
    <row r="7" spans="1:12" ht="21.9" customHeight="1" x14ac:dyDescent="0.4">
      <c r="A7" s="20">
        <v>5</v>
      </c>
      <c r="B7" s="21" t="s">
        <v>11</v>
      </c>
      <c r="C7" s="21" t="s">
        <v>12</v>
      </c>
      <c r="D7" s="25">
        <f t="shared" si="0"/>
        <v>-25593205</v>
      </c>
      <c r="E7" s="22">
        <f>집계장!F16</f>
        <v>-25593205</v>
      </c>
      <c r="F7" s="26" t="s">
        <v>13</v>
      </c>
      <c r="G7" s="18"/>
      <c r="H7" s="18"/>
      <c r="I7" s="18"/>
      <c r="J7" s="18"/>
      <c r="K7" s="18"/>
      <c r="L7" s="18"/>
    </row>
    <row r="8" spans="1:12" ht="21.9" customHeight="1" x14ac:dyDescent="0.4">
      <c r="A8" s="20">
        <v>6</v>
      </c>
      <c r="B8" s="21" t="s">
        <v>14</v>
      </c>
      <c r="C8" s="21" t="s">
        <v>4</v>
      </c>
      <c r="D8" s="25">
        <f t="shared" si="0"/>
        <v>19920591</v>
      </c>
      <c r="E8" s="22">
        <f>집계장!F18</f>
        <v>19920591</v>
      </c>
      <c r="F8" s="26" t="s">
        <v>15</v>
      </c>
      <c r="G8" s="18"/>
      <c r="H8" s="18"/>
      <c r="I8" s="18"/>
      <c r="J8" s="18"/>
      <c r="K8" s="18"/>
      <c r="L8" s="28"/>
    </row>
    <row r="9" spans="1:12" ht="21.9" customHeight="1" x14ac:dyDescent="0.4">
      <c r="A9" s="20">
        <v>7</v>
      </c>
      <c r="B9" s="21" t="s">
        <v>16</v>
      </c>
      <c r="C9" s="21" t="s">
        <v>17</v>
      </c>
      <c r="D9" s="25">
        <f t="shared" si="0"/>
        <v>0</v>
      </c>
      <c r="E9" s="22">
        <f>집계장!K20</f>
        <v>0</v>
      </c>
      <c r="F9" s="26" t="s">
        <v>10</v>
      </c>
      <c r="G9" s="18"/>
      <c r="H9" s="18"/>
      <c r="I9" s="18"/>
      <c r="J9" s="18"/>
      <c r="K9" s="18"/>
      <c r="L9" s="28"/>
    </row>
    <row r="10" spans="1:12" ht="21.9" customHeight="1" x14ac:dyDescent="0.4">
      <c r="A10" s="20">
        <v>8</v>
      </c>
      <c r="B10" s="21" t="s">
        <v>18</v>
      </c>
      <c r="C10" s="21" t="s">
        <v>19</v>
      </c>
      <c r="D10" s="25">
        <f t="shared" si="0"/>
        <v>0</v>
      </c>
      <c r="E10" s="22">
        <f>집계장!G20</f>
        <v>0</v>
      </c>
      <c r="F10" s="26" t="s">
        <v>8</v>
      </c>
      <c r="G10" s="18"/>
      <c r="H10" s="18"/>
      <c r="I10" s="18"/>
      <c r="J10" s="18"/>
      <c r="K10" s="18"/>
      <c r="L10" s="18"/>
    </row>
    <row r="11" spans="1:12" ht="21.9" customHeight="1" x14ac:dyDescent="0.4">
      <c r="A11" s="20">
        <v>9</v>
      </c>
      <c r="B11" s="21" t="s">
        <v>20</v>
      </c>
      <c r="C11" s="21" t="s">
        <v>17</v>
      </c>
      <c r="D11" s="25">
        <f t="shared" si="0"/>
        <v>0</v>
      </c>
      <c r="E11" s="22">
        <f>집계장!F20</f>
        <v>0</v>
      </c>
      <c r="F11" s="26" t="s">
        <v>15</v>
      </c>
      <c r="G11" s="18"/>
      <c r="H11" s="18"/>
      <c r="I11" s="18"/>
      <c r="J11" s="18"/>
      <c r="K11" s="18"/>
      <c r="L11" s="29"/>
    </row>
    <row r="12" spans="1:12" ht="21.9" customHeight="1" x14ac:dyDescent="0.4">
      <c r="A12" s="20">
        <v>10</v>
      </c>
      <c r="B12" s="21" t="s">
        <v>21</v>
      </c>
      <c r="C12" s="21" t="s">
        <v>4</v>
      </c>
      <c r="D12" s="25">
        <f t="shared" si="0"/>
        <v>0</v>
      </c>
      <c r="E12" s="22">
        <f>집계장!L20</f>
        <v>0</v>
      </c>
      <c r="F12" s="26" t="s">
        <v>8</v>
      </c>
      <c r="G12" s="18"/>
      <c r="H12" s="18"/>
      <c r="I12" s="18"/>
      <c r="J12" s="18"/>
      <c r="K12" s="18"/>
      <c r="L12" s="30"/>
    </row>
    <row r="13" spans="1:12" ht="21.9" customHeight="1" x14ac:dyDescent="0.4">
      <c r="A13" s="20">
        <v>11</v>
      </c>
      <c r="B13" s="24" t="s">
        <v>22</v>
      </c>
      <c r="C13" s="21" t="s">
        <v>23</v>
      </c>
      <c r="D13" s="31">
        <f>ROUNDUP(E13,0)</f>
        <v>19900000</v>
      </c>
      <c r="E13" s="32">
        <f>집계장!F22</f>
        <v>19900000</v>
      </c>
      <c r="F13" s="26" t="s">
        <v>13</v>
      </c>
      <c r="G13" s="18"/>
      <c r="H13" s="18"/>
      <c r="I13" s="18"/>
      <c r="J13" s="18"/>
      <c r="K13" s="18"/>
      <c r="L13" s="18"/>
    </row>
    <row r="14" spans="1:12" ht="21.9" customHeight="1" x14ac:dyDescent="0.4">
      <c r="A14" s="20">
        <v>12</v>
      </c>
      <c r="B14" s="21" t="s">
        <v>24</v>
      </c>
      <c r="C14" s="21" t="s">
        <v>23</v>
      </c>
      <c r="D14" s="25">
        <f t="shared" si="0"/>
        <v>0</v>
      </c>
      <c r="E14" s="22">
        <f>집계장!I16</f>
        <v>0</v>
      </c>
      <c r="F14" s="26" t="s">
        <v>8</v>
      </c>
      <c r="G14" s="18"/>
      <c r="H14" s="18"/>
      <c r="I14" s="18"/>
      <c r="J14" s="18"/>
      <c r="K14" s="18"/>
      <c r="L14" s="18"/>
    </row>
    <row r="15" spans="1:12" ht="21.9" customHeight="1" x14ac:dyDescent="0.4">
      <c r="A15" s="20">
        <v>13</v>
      </c>
      <c r="B15" s="21" t="s">
        <v>25</v>
      </c>
      <c r="C15" s="21" t="s">
        <v>26</v>
      </c>
      <c r="D15" s="33">
        <v>1</v>
      </c>
      <c r="E15" s="34"/>
      <c r="F15" s="21"/>
      <c r="G15" s="21"/>
      <c r="H15" s="21"/>
      <c r="I15" s="21"/>
      <c r="J15" s="21"/>
      <c r="K15" s="21"/>
      <c r="L15" s="18"/>
    </row>
    <row r="16" spans="1:12" ht="21.9" customHeight="1" x14ac:dyDescent="0.25">
      <c r="A16" s="20">
        <v>14</v>
      </c>
      <c r="B16" s="21" t="s">
        <v>27</v>
      </c>
      <c r="C16" s="21" t="s">
        <v>28</v>
      </c>
      <c r="D16" s="33" t="s">
        <v>374</v>
      </c>
      <c r="E16" s="34"/>
      <c r="F16" s="21"/>
      <c r="G16" s="21"/>
      <c r="H16" s="21"/>
      <c r="I16" s="21"/>
      <c r="J16" s="21"/>
      <c r="K16" s="21"/>
    </row>
    <row r="17" spans="1:11" ht="21.9" customHeight="1" x14ac:dyDescent="0.25">
      <c r="A17" s="20"/>
      <c r="B17" s="21"/>
      <c r="C17" s="21"/>
      <c r="D17" s="33"/>
      <c r="E17" s="34"/>
      <c r="F17" s="21"/>
      <c r="G17" s="21"/>
      <c r="H17" s="21"/>
      <c r="I17" s="21"/>
      <c r="J17" s="21"/>
      <c r="K17" s="21"/>
    </row>
    <row r="18" spans="1:11" ht="21.9" customHeight="1" x14ac:dyDescent="0.25">
      <c r="A18" s="20"/>
      <c r="B18" s="173" t="s">
        <v>29</v>
      </c>
      <c r="C18" s="173"/>
      <c r="D18" s="173"/>
      <c r="E18" s="173"/>
      <c r="F18" s="173"/>
      <c r="G18" s="173"/>
      <c r="H18" s="173"/>
      <c r="I18" s="173"/>
      <c r="J18" s="174"/>
      <c r="K18" s="21"/>
    </row>
    <row r="19" spans="1:11" ht="21.9" customHeight="1" x14ac:dyDescent="0.25">
      <c r="A19" s="20"/>
      <c r="B19" s="21" t="s">
        <v>30</v>
      </c>
      <c r="C19" s="21"/>
      <c r="D19" s="21"/>
      <c r="E19" s="34"/>
      <c r="F19" s="21"/>
      <c r="G19" s="21"/>
      <c r="H19" s="21"/>
      <c r="I19" s="21"/>
      <c r="J19" s="21"/>
      <c r="K19" s="21"/>
    </row>
    <row r="20" spans="1:11" ht="21.9" customHeight="1" x14ac:dyDescent="0.25">
      <c r="A20" s="20"/>
      <c r="B20" s="21" t="s">
        <v>31</v>
      </c>
      <c r="C20" s="21"/>
      <c r="D20" s="21"/>
      <c r="E20" s="34"/>
      <c r="F20" s="21"/>
      <c r="G20" s="21"/>
      <c r="H20" s="21"/>
      <c r="I20" s="21"/>
      <c r="J20" s="21"/>
      <c r="K20" s="21"/>
    </row>
    <row r="21" spans="1:11" ht="21.9" customHeight="1" x14ac:dyDescent="0.25">
      <c r="A21" s="35"/>
      <c r="B21" s="21"/>
      <c r="C21" s="21"/>
      <c r="D21" s="21"/>
      <c r="E21" s="34"/>
      <c r="F21" s="24" t="s">
        <v>373</v>
      </c>
      <c r="G21" s="24"/>
      <c r="H21" s="24"/>
      <c r="I21" s="24"/>
      <c r="J21" s="21"/>
      <c r="K21" s="21"/>
    </row>
    <row r="22" spans="1:11" ht="21.9" customHeight="1" x14ac:dyDescent="0.25">
      <c r="A22" s="35"/>
      <c r="B22" s="21"/>
      <c r="C22" s="21"/>
      <c r="D22" s="21"/>
      <c r="E22" s="34"/>
      <c r="F22" s="21"/>
      <c r="G22" s="21"/>
      <c r="H22" s="21"/>
      <c r="I22" s="21"/>
      <c r="J22" s="21"/>
      <c r="K22" s="21"/>
    </row>
    <row r="23" spans="1:11" ht="21.9" customHeight="1" x14ac:dyDescent="0.25">
      <c r="A23" s="35"/>
      <c r="B23" s="21"/>
      <c r="C23" s="21"/>
      <c r="D23" s="21"/>
      <c r="E23" s="34"/>
      <c r="F23" s="24" t="s">
        <v>32</v>
      </c>
      <c r="G23" s="175" t="s">
        <v>305</v>
      </c>
      <c r="H23" s="175"/>
      <c r="I23" s="175"/>
      <c r="J23" s="175"/>
      <c r="K23" s="175"/>
    </row>
    <row r="24" spans="1:11" ht="21.9" customHeight="1" x14ac:dyDescent="0.25">
      <c r="A24" s="35"/>
      <c r="B24" s="21" t="s">
        <v>33</v>
      </c>
      <c r="C24" s="21"/>
      <c r="D24" s="21"/>
      <c r="E24" s="34"/>
      <c r="F24" s="24" t="s">
        <v>34</v>
      </c>
      <c r="G24" s="175" t="s">
        <v>306</v>
      </c>
      <c r="H24" s="175"/>
      <c r="I24" s="175"/>
      <c r="J24" s="175"/>
      <c r="K24" s="175"/>
    </row>
    <row r="25" spans="1:11" ht="21.9" customHeight="1" x14ac:dyDescent="0.25">
      <c r="A25" s="18"/>
      <c r="B25" s="21"/>
      <c r="C25" s="21"/>
      <c r="D25" s="21"/>
      <c r="E25" s="34"/>
      <c r="F25" s="24" t="s">
        <v>35</v>
      </c>
      <c r="G25" s="175" t="s">
        <v>307</v>
      </c>
      <c r="H25" s="175"/>
      <c r="I25" s="23" t="s">
        <v>308</v>
      </c>
      <c r="J25" s="24"/>
      <c r="K25" s="24"/>
    </row>
    <row r="26" spans="1:11" ht="21.9" customHeight="1" x14ac:dyDescent="0.25">
      <c r="A26" s="18"/>
      <c r="B26" s="18"/>
      <c r="C26" s="18"/>
      <c r="D26" s="36" t="s">
        <v>36</v>
      </c>
      <c r="E26" s="30"/>
      <c r="F26" s="18"/>
      <c r="G26" s="18"/>
      <c r="H26" s="18"/>
      <c r="I26" s="18"/>
      <c r="J26" s="18"/>
      <c r="K26" s="18"/>
    </row>
  </sheetData>
  <mergeCells count="5">
    <mergeCell ref="A1:K1"/>
    <mergeCell ref="B18:J18"/>
    <mergeCell ref="G23:K23"/>
    <mergeCell ref="G24:K24"/>
    <mergeCell ref="G25:H25"/>
  </mergeCells>
  <phoneticPr fontId="4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77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5"/>
  <sheetViews>
    <sheetView view="pageBreakPreview" zoomScale="85" zoomScaleNormal="100" zoomScaleSheetLayoutView="85" workbookViewId="0">
      <selection activeCell="F20" sqref="F20"/>
    </sheetView>
  </sheetViews>
  <sheetFormatPr defaultRowHeight="17.399999999999999" x14ac:dyDescent="0.4"/>
  <cols>
    <col min="1" max="1" width="29.19921875" style="37" bestFit="1" customWidth="1"/>
    <col min="2" max="2" width="18.59765625" style="37" customWidth="1"/>
    <col min="3" max="3" width="9" style="37"/>
    <col min="4" max="4" width="12.3984375" style="37" bestFit="1" customWidth="1"/>
    <col min="5" max="5" width="8.59765625" style="37" customWidth="1"/>
    <col min="6" max="6" width="15.59765625" style="37" customWidth="1"/>
    <col min="7" max="7" width="13.59765625" style="37" customWidth="1"/>
  </cols>
  <sheetData>
    <row r="1" spans="1:7" ht="69.900000000000006" customHeight="1" x14ac:dyDescent="0.4">
      <c r="A1" s="176" t="s">
        <v>81</v>
      </c>
      <c r="B1" s="177"/>
      <c r="C1" s="177"/>
      <c r="D1" s="177"/>
      <c r="E1" s="177"/>
      <c r="F1" s="177"/>
      <c r="G1" s="177"/>
    </row>
    <row r="2" spans="1:7" ht="39.9" customHeight="1" thickBot="1" x14ac:dyDescent="0.45">
      <c r="A2" s="41" t="s">
        <v>82</v>
      </c>
      <c r="G2" s="42" t="s">
        <v>83</v>
      </c>
    </row>
    <row r="3" spans="1:7" ht="27.9" customHeight="1" x14ac:dyDescent="0.4">
      <c r="A3" s="178" t="s">
        <v>84</v>
      </c>
      <c r="B3" s="180" t="s">
        <v>85</v>
      </c>
      <c r="C3" s="180" t="s">
        <v>86</v>
      </c>
      <c r="D3" s="180" t="s">
        <v>87</v>
      </c>
      <c r="E3" s="180" t="s">
        <v>88</v>
      </c>
      <c r="F3" s="180"/>
      <c r="G3" s="182"/>
    </row>
    <row r="4" spans="1:7" ht="27.9" customHeight="1" x14ac:dyDescent="0.4">
      <c r="A4" s="179"/>
      <c r="B4" s="181"/>
      <c r="C4" s="181"/>
      <c r="D4" s="181"/>
      <c r="E4" s="43" t="s">
        <v>89</v>
      </c>
      <c r="F4" s="43" t="s">
        <v>90</v>
      </c>
      <c r="G4" s="44" t="s">
        <v>91</v>
      </c>
    </row>
    <row r="5" spans="1:7" ht="27.9" customHeight="1" x14ac:dyDescent="0.4">
      <c r="A5" s="45" t="s">
        <v>92</v>
      </c>
      <c r="B5" s="46" t="s">
        <v>93</v>
      </c>
      <c r="C5" s="46" t="s">
        <v>94</v>
      </c>
      <c r="D5" s="47">
        <v>1400000</v>
      </c>
      <c r="E5" s="46">
        <v>14</v>
      </c>
      <c r="F5" s="47">
        <f>D5*E5</f>
        <v>19600000</v>
      </c>
      <c r="G5" s="48"/>
    </row>
    <row r="6" spans="1:7" ht="27.9" customHeight="1" x14ac:dyDescent="0.4">
      <c r="A6" s="45" t="s">
        <v>92</v>
      </c>
      <c r="B6" s="46" t="s">
        <v>95</v>
      </c>
      <c r="C6" s="46" t="s">
        <v>96</v>
      </c>
      <c r="D6" s="47">
        <v>1200000</v>
      </c>
      <c r="E6" s="46"/>
      <c r="F6" s="47">
        <f t="shared" ref="F6:F11" si="0">D6*E6</f>
        <v>0</v>
      </c>
      <c r="G6" s="48"/>
    </row>
    <row r="7" spans="1:7" ht="27.9" customHeight="1" x14ac:dyDescent="0.4">
      <c r="A7" s="45" t="s">
        <v>97</v>
      </c>
      <c r="B7" s="46" t="s">
        <v>98</v>
      </c>
      <c r="C7" s="46" t="s">
        <v>96</v>
      </c>
      <c r="D7" s="47">
        <v>1000000</v>
      </c>
      <c r="E7" s="46"/>
      <c r="F7" s="47">
        <f t="shared" si="0"/>
        <v>0</v>
      </c>
      <c r="G7" s="48"/>
    </row>
    <row r="8" spans="1:7" ht="27.9" customHeight="1" x14ac:dyDescent="0.4">
      <c r="A8" s="45" t="s">
        <v>99</v>
      </c>
      <c r="B8" s="46" t="s">
        <v>100</v>
      </c>
      <c r="C8" s="46" t="s">
        <v>101</v>
      </c>
      <c r="D8" s="47">
        <v>900000</v>
      </c>
      <c r="E8" s="46"/>
      <c r="F8" s="47">
        <f t="shared" si="0"/>
        <v>0</v>
      </c>
      <c r="G8" s="48"/>
    </row>
    <row r="9" spans="1:7" ht="27.9" customHeight="1" x14ac:dyDescent="0.4">
      <c r="A9" s="45" t="s">
        <v>97</v>
      </c>
      <c r="B9" s="46" t="s">
        <v>102</v>
      </c>
      <c r="C9" s="46" t="s">
        <v>94</v>
      </c>
      <c r="D9" s="47">
        <v>800000</v>
      </c>
      <c r="E9" s="46"/>
      <c r="F9" s="47">
        <f t="shared" si="0"/>
        <v>0</v>
      </c>
      <c r="G9" s="48"/>
    </row>
    <row r="10" spans="1:7" ht="27.9" customHeight="1" x14ac:dyDescent="0.4">
      <c r="A10" s="45" t="s">
        <v>103</v>
      </c>
      <c r="B10" s="46" t="s">
        <v>104</v>
      </c>
      <c r="C10" s="46" t="s">
        <v>94</v>
      </c>
      <c r="D10" s="47">
        <v>700000</v>
      </c>
      <c r="E10" s="46"/>
      <c r="F10" s="47">
        <f t="shared" si="0"/>
        <v>0</v>
      </c>
      <c r="G10" s="48"/>
    </row>
    <row r="11" spans="1:7" ht="27.9" customHeight="1" x14ac:dyDescent="0.4">
      <c r="A11" s="45" t="s">
        <v>105</v>
      </c>
      <c r="B11" s="46" t="s">
        <v>106</v>
      </c>
      <c r="C11" s="46" t="s">
        <v>107</v>
      </c>
      <c r="D11" s="47">
        <v>600000</v>
      </c>
      <c r="E11" s="46"/>
      <c r="F11" s="47">
        <f t="shared" si="0"/>
        <v>0</v>
      </c>
      <c r="G11" s="48"/>
    </row>
    <row r="12" spans="1:7" ht="27.9" customHeight="1" x14ac:dyDescent="0.4">
      <c r="A12" s="45"/>
      <c r="B12" s="46"/>
      <c r="C12" s="46"/>
      <c r="D12" s="46"/>
      <c r="E12" s="46"/>
      <c r="F12" s="46"/>
      <c r="G12" s="48"/>
    </row>
    <row r="13" spans="1:7" ht="27.9" customHeight="1" x14ac:dyDescent="0.4">
      <c r="A13" s="45" t="s">
        <v>108</v>
      </c>
      <c r="B13" s="46"/>
      <c r="C13" s="46"/>
      <c r="D13" s="46"/>
      <c r="E13" s="49">
        <v>0.02</v>
      </c>
      <c r="F13" s="47">
        <f>SUM(F5:F11)*E13-92000</f>
        <v>300000</v>
      </c>
      <c r="G13" s="48"/>
    </row>
    <row r="14" spans="1:7" ht="27.9" customHeight="1" x14ac:dyDescent="0.4">
      <c r="A14" s="45"/>
      <c r="B14" s="46"/>
      <c r="C14" s="46"/>
      <c r="D14" s="46"/>
      <c r="E14" s="46"/>
      <c r="F14" s="46"/>
      <c r="G14" s="48"/>
    </row>
    <row r="15" spans="1:7" ht="27.9" customHeight="1" thickBot="1" x14ac:dyDescent="0.45">
      <c r="A15" s="50" t="s">
        <v>109</v>
      </c>
      <c r="B15" s="51"/>
      <c r="C15" s="51"/>
      <c r="D15" s="51"/>
      <c r="E15" s="51">
        <f>SUM(E5:E11)</f>
        <v>14</v>
      </c>
      <c r="F15" s="53">
        <f>SUM(F5:F13)</f>
        <v>19900000</v>
      </c>
      <c r="G15" s="52"/>
    </row>
  </sheetData>
  <mergeCells count="6">
    <mergeCell ref="A1:G1"/>
    <mergeCell ref="A3:A4"/>
    <mergeCell ref="B3:B4"/>
    <mergeCell ref="C3:C4"/>
    <mergeCell ref="D3:D4"/>
    <mergeCell ref="E3:G3"/>
  </mergeCells>
  <phoneticPr fontId="4" type="noConversion"/>
  <pageMargins left="0.7" right="0.7" top="0.75" bottom="0.75" header="0.3" footer="0.3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27"/>
  <sheetViews>
    <sheetView tabSelected="1" view="pageBreakPreview" topLeftCell="A4" zoomScale="85" zoomScaleNormal="100" zoomScaleSheetLayoutView="85" workbookViewId="0">
      <selection activeCell="F18" sqref="F18"/>
    </sheetView>
  </sheetViews>
  <sheetFormatPr defaultRowHeight="17.399999999999999" x14ac:dyDescent="0.4"/>
  <cols>
    <col min="1" max="1" width="21.59765625" style="55" customWidth="1"/>
    <col min="2" max="2" width="20.59765625" style="55" customWidth="1"/>
    <col min="3" max="3" width="6.59765625" style="55" customWidth="1"/>
    <col min="4" max="4" width="12.09765625" style="55" customWidth="1"/>
    <col min="5" max="5" width="16.59765625" style="55" customWidth="1"/>
    <col min="6" max="9" width="19.59765625" style="55" customWidth="1"/>
    <col min="10" max="10" width="15.59765625" style="55" customWidth="1"/>
    <col min="11" max="12" width="11.59765625" style="55" customWidth="1"/>
  </cols>
  <sheetData>
    <row r="1" spans="1:12" ht="39.9" customHeight="1" thickTop="1" x14ac:dyDescent="0.4">
      <c r="A1" s="186" t="str">
        <f>'용역청구서 표지'!$B$7</f>
        <v>P4 Ph4 GAS 1공구 마감공사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8"/>
    </row>
    <row r="2" spans="1:12" ht="20.100000000000001" customHeight="1" x14ac:dyDescent="0.35">
      <c r="A2" s="54"/>
      <c r="J2" s="56"/>
      <c r="L2" s="57" t="str">
        <f>'용역청구서 표지'!$C$15</f>
        <v>대성이엔지</v>
      </c>
    </row>
    <row r="3" spans="1:12" ht="30" customHeight="1" x14ac:dyDescent="0.4">
      <c r="A3" s="58" t="s">
        <v>110</v>
      </c>
      <c r="B3" s="59" t="s">
        <v>111</v>
      </c>
      <c r="C3" s="59" t="s">
        <v>112</v>
      </c>
      <c r="D3" s="59" t="s">
        <v>113</v>
      </c>
      <c r="E3" s="59" t="s">
        <v>114</v>
      </c>
      <c r="F3" s="60" t="s">
        <v>115</v>
      </c>
      <c r="G3" s="61" t="s">
        <v>116</v>
      </c>
      <c r="H3" s="59" t="s">
        <v>117</v>
      </c>
      <c r="I3" s="62" t="s">
        <v>118</v>
      </c>
      <c r="J3" s="189" t="s">
        <v>119</v>
      </c>
      <c r="K3" s="189"/>
      <c r="L3" s="190"/>
    </row>
    <row r="4" spans="1:12" ht="30" customHeight="1" x14ac:dyDescent="0.4">
      <c r="A4" s="63" t="s">
        <v>120</v>
      </c>
      <c r="B4" s="64" t="s">
        <v>121</v>
      </c>
      <c r="C4" s="46" t="s">
        <v>122</v>
      </c>
      <c r="D4" s="155">
        <f>SUM('물량 내역서'!$J$5:$J$27)</f>
        <v>270</v>
      </c>
      <c r="E4" s="47">
        <f>F4/D4</f>
        <v>475000</v>
      </c>
      <c r="F4" s="65">
        <f>SUM('물량 내역서'!$K$5:$K$27)</f>
        <v>128250000</v>
      </c>
      <c r="G4" s="66"/>
      <c r="H4" s="47">
        <f t="shared" ref="H4:H22" si="0">F4</f>
        <v>128250000</v>
      </c>
      <c r="I4" s="67">
        <f>G4+H4</f>
        <v>128250000</v>
      </c>
      <c r="J4" s="183"/>
      <c r="K4" s="184"/>
      <c r="L4" s="185"/>
    </row>
    <row r="5" spans="1:12" ht="30" customHeight="1" x14ac:dyDescent="0.4">
      <c r="A5" s="68"/>
      <c r="B5" s="64" t="s">
        <v>123</v>
      </c>
      <c r="C5" s="46" t="s">
        <v>124</v>
      </c>
      <c r="D5" s="154">
        <f>SUM('물량 내역서'!$J$28:$J$50)</f>
        <v>0</v>
      </c>
      <c r="E5" s="47" t="e">
        <f>F5/D5</f>
        <v>#DIV/0!</v>
      </c>
      <c r="F5" s="65">
        <f>SUM('물량 내역서'!$K$28:$K$50)</f>
        <v>0</v>
      </c>
      <c r="G5" s="66"/>
      <c r="H5" s="47">
        <f t="shared" si="0"/>
        <v>0</v>
      </c>
      <c r="I5" s="67">
        <f t="shared" ref="I5:I7" si="1">G5+H5</f>
        <v>0</v>
      </c>
      <c r="J5" s="183"/>
      <c r="K5" s="184"/>
      <c r="L5" s="185"/>
    </row>
    <row r="6" spans="1:12" ht="30" customHeight="1" x14ac:dyDescent="0.4">
      <c r="A6" s="68"/>
      <c r="B6" s="64" t="s">
        <v>125</v>
      </c>
      <c r="C6" s="46" t="s">
        <v>126</v>
      </c>
      <c r="D6" s="69">
        <f>'근로내역 (12월)'!AN36</f>
        <v>0</v>
      </c>
      <c r="E6" s="47" t="e">
        <f>F6/D6</f>
        <v>#DIV/0!</v>
      </c>
      <c r="F6" s="65">
        <f>'근로내역 (12월)'!AP36</f>
        <v>0</v>
      </c>
      <c r="G6" s="66"/>
      <c r="H6" s="47">
        <f t="shared" si="0"/>
        <v>0</v>
      </c>
      <c r="I6" s="67">
        <f t="shared" si="1"/>
        <v>0</v>
      </c>
      <c r="J6" s="183"/>
      <c r="K6" s="184"/>
      <c r="L6" s="185"/>
    </row>
    <row r="7" spans="1:12" ht="30" customHeight="1" x14ac:dyDescent="0.4">
      <c r="A7" s="63" t="s">
        <v>127</v>
      </c>
      <c r="B7" s="70"/>
      <c r="C7" s="46" t="s">
        <v>128</v>
      </c>
      <c r="D7" s="46"/>
      <c r="E7" s="47">
        <v>0</v>
      </c>
      <c r="F7" s="65">
        <f t="shared" ref="F7:F12" si="2">D7*E7</f>
        <v>0</v>
      </c>
      <c r="G7" s="66"/>
      <c r="H7" s="47">
        <f t="shared" si="0"/>
        <v>0</v>
      </c>
      <c r="I7" s="67">
        <f t="shared" si="1"/>
        <v>0</v>
      </c>
      <c r="J7" s="183"/>
      <c r="K7" s="184"/>
      <c r="L7" s="185"/>
    </row>
    <row r="8" spans="1:12" ht="30" customHeight="1" x14ac:dyDescent="0.4">
      <c r="A8" s="71" t="s">
        <v>129</v>
      </c>
      <c r="B8" s="191" t="s">
        <v>130</v>
      </c>
      <c r="C8" s="192"/>
      <c r="D8" s="72"/>
      <c r="E8" s="72"/>
      <c r="F8" s="73">
        <f>SUM(F4:F7)</f>
        <v>128250000</v>
      </c>
      <c r="G8" s="74"/>
      <c r="H8" s="75">
        <f t="shared" si="0"/>
        <v>128250000</v>
      </c>
      <c r="I8" s="76">
        <f>G8+H8</f>
        <v>128250000</v>
      </c>
      <c r="J8" s="193"/>
      <c r="K8" s="194"/>
      <c r="L8" s="195"/>
    </row>
    <row r="9" spans="1:12" ht="30" customHeight="1" x14ac:dyDescent="0.4">
      <c r="A9" s="63" t="s">
        <v>131</v>
      </c>
      <c r="B9" s="64" t="s">
        <v>132</v>
      </c>
      <c r="C9" s="46" t="s">
        <v>133</v>
      </c>
      <c r="D9" s="69">
        <f>'근로내역 (12월)'!AN37</f>
        <v>341.75</v>
      </c>
      <c r="E9" s="77">
        <f>F9/D9</f>
        <v>214169.7147037308</v>
      </c>
      <c r="F9" s="65">
        <f>'근로내역 (12월)'!AP37</f>
        <v>73192500</v>
      </c>
      <c r="G9" s="66">
        <v>21873750</v>
      </c>
      <c r="H9" s="47">
        <f>F9</f>
        <v>73192500</v>
      </c>
      <c r="I9" s="67">
        <f>G9+H9</f>
        <v>95066250</v>
      </c>
      <c r="J9" s="183"/>
      <c r="K9" s="184"/>
      <c r="L9" s="185"/>
    </row>
    <row r="10" spans="1:12" ht="30" customHeight="1" x14ac:dyDescent="0.4">
      <c r="A10" s="63" t="s">
        <v>134</v>
      </c>
      <c r="B10" s="64" t="s">
        <v>135</v>
      </c>
      <c r="C10" s="46" t="s">
        <v>128</v>
      </c>
      <c r="D10" s="46">
        <f>SUM(숙소임차료!H4:H6)+SUM(숙소관리비!H4:H8)</f>
        <v>30</v>
      </c>
      <c r="E10" s="47">
        <f>F10/D10</f>
        <v>122544.66666666667</v>
      </c>
      <c r="F10" s="65">
        <f>숙소임차료!I3+숙소관리비!I3</f>
        <v>3676340</v>
      </c>
      <c r="G10" s="66">
        <v>2650000</v>
      </c>
      <c r="H10" s="47">
        <f>F10</f>
        <v>3676340</v>
      </c>
      <c r="I10" s="67">
        <f t="shared" ref="I10:I12" si="3">G10+H10</f>
        <v>6326340</v>
      </c>
      <c r="J10" s="183"/>
      <c r="K10" s="184"/>
      <c r="L10" s="185"/>
    </row>
    <row r="11" spans="1:12" ht="30" customHeight="1" x14ac:dyDescent="0.4">
      <c r="A11" s="63"/>
      <c r="B11" s="64" t="s">
        <v>136</v>
      </c>
      <c r="C11" s="46" t="s">
        <v>137</v>
      </c>
      <c r="D11" s="46">
        <f>SUM(식대비용!G4:G4)</f>
        <v>17</v>
      </c>
      <c r="E11" s="47">
        <f>F11/D11</f>
        <v>345139.0588235294</v>
      </c>
      <c r="F11" s="65">
        <f>식대비용!I3</f>
        <v>5867364</v>
      </c>
      <c r="G11" s="66">
        <v>1069455</v>
      </c>
      <c r="H11" s="47">
        <f>F11</f>
        <v>5867364</v>
      </c>
      <c r="I11" s="67">
        <f t="shared" si="3"/>
        <v>6936819</v>
      </c>
      <c r="J11" s="183"/>
      <c r="K11" s="184"/>
      <c r="L11" s="185"/>
    </row>
    <row r="12" spans="1:12" ht="30" customHeight="1" x14ac:dyDescent="0.4">
      <c r="A12" s="63" t="s">
        <v>138</v>
      </c>
      <c r="B12" s="64"/>
      <c r="C12" s="46" t="s">
        <v>128</v>
      </c>
      <c r="D12" s="46"/>
      <c r="E12" s="47">
        <v>0</v>
      </c>
      <c r="F12" s="65">
        <f t="shared" si="2"/>
        <v>0</v>
      </c>
      <c r="G12" s="66"/>
      <c r="H12" s="47">
        <f t="shared" si="0"/>
        <v>0</v>
      </c>
      <c r="I12" s="67">
        <f t="shared" si="3"/>
        <v>0</v>
      </c>
      <c r="J12" s="183"/>
      <c r="K12" s="184"/>
      <c r="L12" s="185"/>
    </row>
    <row r="13" spans="1:12" ht="30" customHeight="1" x14ac:dyDescent="0.4">
      <c r="A13" s="71" t="s">
        <v>139</v>
      </c>
      <c r="B13" s="191" t="s">
        <v>140</v>
      </c>
      <c r="C13" s="192"/>
      <c r="D13" s="72"/>
      <c r="E13" s="72"/>
      <c r="F13" s="73">
        <f t="shared" ref="F13" si="4">SUM(F9:F12)</f>
        <v>82736204</v>
      </c>
      <c r="G13" s="74">
        <f>SUM(G9:G11)</f>
        <v>25593205</v>
      </c>
      <c r="H13" s="75">
        <f t="shared" si="0"/>
        <v>82736204</v>
      </c>
      <c r="I13" s="76">
        <f>G13+H13</f>
        <v>108329409</v>
      </c>
      <c r="J13" s="193"/>
      <c r="K13" s="194"/>
      <c r="L13" s="195"/>
    </row>
    <row r="14" spans="1:12" ht="30" customHeight="1" x14ac:dyDescent="0.4">
      <c r="A14" s="71" t="s">
        <v>141</v>
      </c>
      <c r="B14" s="191" t="s">
        <v>142</v>
      </c>
      <c r="C14" s="192"/>
      <c r="D14" s="72"/>
      <c r="E14" s="72"/>
      <c r="F14" s="73">
        <f>F8-F13</f>
        <v>45513796</v>
      </c>
      <c r="G14" s="74">
        <f>G8-G13</f>
        <v>-25593205</v>
      </c>
      <c r="H14" s="75">
        <f t="shared" si="0"/>
        <v>45513796</v>
      </c>
      <c r="I14" s="76">
        <f>G14+H14</f>
        <v>19920591</v>
      </c>
      <c r="J14" s="193"/>
      <c r="K14" s="194"/>
      <c r="L14" s="195"/>
    </row>
    <row r="15" spans="1:12" ht="30" customHeight="1" x14ac:dyDescent="0.4">
      <c r="A15" s="63" t="s">
        <v>143</v>
      </c>
      <c r="B15" s="64" t="s">
        <v>144</v>
      </c>
      <c r="C15" s="46" t="s">
        <v>128</v>
      </c>
      <c r="D15" s="46"/>
      <c r="E15" s="46"/>
      <c r="F15" s="65"/>
      <c r="G15" s="66"/>
      <c r="H15" s="47">
        <f t="shared" si="0"/>
        <v>0</v>
      </c>
      <c r="I15" s="67">
        <f>G15+H15</f>
        <v>0</v>
      </c>
      <c r="J15" s="183"/>
      <c r="K15" s="184"/>
      <c r="L15" s="185"/>
    </row>
    <row r="16" spans="1:12" ht="30" customHeight="1" x14ac:dyDescent="0.4">
      <c r="A16" s="63" t="s">
        <v>145</v>
      </c>
      <c r="B16" s="78" t="s">
        <v>146</v>
      </c>
      <c r="C16" s="46" t="s">
        <v>147</v>
      </c>
      <c r="D16" s="46"/>
      <c r="E16" s="46"/>
      <c r="F16" s="65">
        <f>G14</f>
        <v>-25593205</v>
      </c>
      <c r="G16" s="163"/>
      <c r="H16" s="66">
        <f>G16</f>
        <v>0</v>
      </c>
      <c r="I16" s="67">
        <f t="shared" ref="I16:I17" si="5">G16+H16</f>
        <v>0</v>
      </c>
      <c r="J16" s="183"/>
      <c r="K16" s="184"/>
      <c r="L16" s="185"/>
    </row>
    <row r="17" spans="1:12" ht="30" customHeight="1" x14ac:dyDescent="0.4">
      <c r="A17" s="63" t="s">
        <v>148</v>
      </c>
      <c r="B17" s="64" t="s">
        <v>149</v>
      </c>
      <c r="C17" s="46" t="s">
        <v>150</v>
      </c>
      <c r="D17" s="46"/>
      <c r="E17" s="46"/>
      <c r="F17" s="65"/>
      <c r="G17" s="66"/>
      <c r="H17" s="47">
        <f t="shared" si="0"/>
        <v>0</v>
      </c>
      <c r="I17" s="67">
        <f t="shared" si="5"/>
        <v>0</v>
      </c>
      <c r="J17" s="183"/>
      <c r="K17" s="184"/>
      <c r="L17" s="185"/>
    </row>
    <row r="18" spans="1:12" ht="30" customHeight="1" x14ac:dyDescent="0.4">
      <c r="A18" s="71" t="s">
        <v>151</v>
      </c>
      <c r="B18" s="191" t="s">
        <v>152</v>
      </c>
      <c r="C18" s="192"/>
      <c r="D18" s="72"/>
      <c r="E18" s="72"/>
      <c r="F18" s="73">
        <f>F14+F16</f>
        <v>19920591</v>
      </c>
      <c r="G18" s="74"/>
      <c r="H18" s="75">
        <f>F18</f>
        <v>19920591</v>
      </c>
      <c r="I18" s="76">
        <f>G18+H18</f>
        <v>19920591</v>
      </c>
      <c r="J18" s="193"/>
      <c r="K18" s="194"/>
      <c r="L18" s="195"/>
    </row>
    <row r="19" spans="1:12" ht="30" customHeight="1" x14ac:dyDescent="0.4">
      <c r="A19" s="200" t="s">
        <v>153</v>
      </c>
      <c r="B19" s="64" t="s">
        <v>154</v>
      </c>
      <c r="C19" s="46" t="s">
        <v>147</v>
      </c>
      <c r="D19" s="46"/>
      <c r="E19" s="46"/>
      <c r="F19" s="65"/>
      <c r="G19" s="66"/>
      <c r="H19" s="47">
        <f t="shared" si="0"/>
        <v>0</v>
      </c>
      <c r="I19" s="67">
        <f>G19+H19</f>
        <v>0</v>
      </c>
      <c r="J19" s="46"/>
      <c r="K19" s="79" t="s">
        <v>155</v>
      </c>
      <c r="L19" s="80" t="s">
        <v>156</v>
      </c>
    </row>
    <row r="20" spans="1:12" ht="30" customHeight="1" x14ac:dyDescent="0.4">
      <c r="A20" s="200"/>
      <c r="B20" s="64" t="s">
        <v>157</v>
      </c>
      <c r="C20" s="46" t="s">
        <v>147</v>
      </c>
      <c r="D20" s="46"/>
      <c r="E20" s="46"/>
      <c r="F20" s="65">
        <f>ROUNDDOWN(F19,-5)</f>
        <v>0</v>
      </c>
      <c r="G20" s="66"/>
      <c r="H20" s="47">
        <f t="shared" si="0"/>
        <v>0</v>
      </c>
      <c r="I20" s="67">
        <f>G20+H20</f>
        <v>0</v>
      </c>
      <c r="J20" s="64" t="s">
        <v>158</v>
      </c>
      <c r="K20" s="201">
        <v>0</v>
      </c>
      <c r="L20" s="204">
        <f>K20-I20</f>
        <v>0</v>
      </c>
    </row>
    <row r="21" spans="1:12" ht="30" customHeight="1" x14ac:dyDescent="0.4">
      <c r="A21" s="207" t="s">
        <v>159</v>
      </c>
      <c r="B21" s="208"/>
      <c r="C21" s="209"/>
      <c r="D21" s="81"/>
      <c r="E21" s="81"/>
      <c r="F21" s="82">
        <f>F18-F20</f>
        <v>19920591</v>
      </c>
      <c r="G21" s="83">
        <f>G18</f>
        <v>0</v>
      </c>
      <c r="H21" s="83">
        <f>H18</f>
        <v>19920591</v>
      </c>
      <c r="I21" s="85">
        <f>G21+H21</f>
        <v>19920591</v>
      </c>
      <c r="J21" s="81"/>
      <c r="K21" s="202"/>
      <c r="L21" s="205"/>
    </row>
    <row r="22" spans="1:12" ht="30" customHeight="1" x14ac:dyDescent="0.4">
      <c r="A22" s="207" t="s">
        <v>160</v>
      </c>
      <c r="B22" s="208"/>
      <c r="C22" s="209"/>
      <c r="D22" s="81"/>
      <c r="E22" s="81"/>
      <c r="F22" s="82">
        <f>ROUNDDOWN(F21,-5)</f>
        <v>19900000</v>
      </c>
      <c r="G22" s="83">
        <f>ROUNDDOWN(G21,-5)</f>
        <v>0</v>
      </c>
      <c r="H22" s="84">
        <f t="shared" si="0"/>
        <v>19900000</v>
      </c>
      <c r="I22" s="85">
        <f>G22+H22</f>
        <v>19900000</v>
      </c>
      <c r="J22" s="86" t="s">
        <v>161</v>
      </c>
      <c r="K22" s="203"/>
      <c r="L22" s="206"/>
    </row>
    <row r="23" spans="1:12" ht="30" customHeight="1" x14ac:dyDescent="0.4">
      <c r="A23" s="196" t="s">
        <v>162</v>
      </c>
      <c r="B23" s="197"/>
      <c r="C23" s="198"/>
      <c r="D23" s="197" t="s">
        <v>163</v>
      </c>
      <c r="E23" s="197"/>
      <c r="F23" s="197"/>
      <c r="G23" s="197"/>
      <c r="H23" s="197"/>
      <c r="I23" s="197"/>
      <c r="J23" s="197"/>
      <c r="K23" s="197"/>
      <c r="L23" s="199"/>
    </row>
    <row r="24" spans="1:12" ht="21" customHeight="1" x14ac:dyDescent="0.4">
      <c r="A24" s="87" t="s">
        <v>164</v>
      </c>
      <c r="L24" s="88"/>
    </row>
    <row r="25" spans="1:12" ht="21" customHeight="1" x14ac:dyDescent="0.4">
      <c r="A25" s="87" t="s">
        <v>165</v>
      </c>
      <c r="L25" s="88"/>
    </row>
    <row r="26" spans="1:12" ht="21" customHeight="1" thickBot="1" x14ac:dyDescent="0.45">
      <c r="A26" s="89" t="s">
        <v>166</v>
      </c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1"/>
    </row>
    <row r="27" spans="1:12" ht="18" thickTop="1" x14ac:dyDescent="0.4"/>
  </sheetData>
  <mergeCells count="28">
    <mergeCell ref="A23:C23"/>
    <mergeCell ref="D23:L23"/>
    <mergeCell ref="J17:L17"/>
    <mergeCell ref="B18:C18"/>
    <mergeCell ref="J18:L18"/>
    <mergeCell ref="A19:A20"/>
    <mergeCell ref="K20:K22"/>
    <mergeCell ref="L20:L22"/>
    <mergeCell ref="A21:C21"/>
    <mergeCell ref="A22:C22"/>
    <mergeCell ref="J16:L16"/>
    <mergeCell ref="B8:C8"/>
    <mergeCell ref="J8:L8"/>
    <mergeCell ref="J9:L9"/>
    <mergeCell ref="J10:L10"/>
    <mergeCell ref="J11:L11"/>
    <mergeCell ref="J12:L12"/>
    <mergeCell ref="B13:C13"/>
    <mergeCell ref="J13:L13"/>
    <mergeCell ref="B14:C14"/>
    <mergeCell ref="J14:L14"/>
    <mergeCell ref="J15:L15"/>
    <mergeCell ref="J7:L7"/>
    <mergeCell ref="A1:L1"/>
    <mergeCell ref="J3:L3"/>
    <mergeCell ref="J4:L4"/>
    <mergeCell ref="J5:L5"/>
    <mergeCell ref="J6:L6"/>
  </mergeCells>
  <phoneticPr fontId="4" type="noConversion"/>
  <pageMargins left="0.7" right="0.7" top="0.75" bottom="0.75" header="0.3" footer="0.3"/>
  <pageSetup paperSize="9" scale="62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pageSetUpPr fitToPage="1"/>
  </sheetPr>
  <dimension ref="A1:M51"/>
  <sheetViews>
    <sheetView workbookViewId="0">
      <pane ySplit="4" topLeftCell="A5" activePane="bottomLeft" state="frozen"/>
      <selection pane="bottomLeft" activeCell="M11" sqref="M11:M14"/>
    </sheetView>
  </sheetViews>
  <sheetFormatPr defaultRowHeight="17.399999999999999" x14ac:dyDescent="0.4"/>
  <cols>
    <col min="1" max="1" width="25.59765625" customWidth="1"/>
    <col min="2" max="2" width="20.59765625" customWidth="1"/>
    <col min="3" max="4" width="8.59765625" customWidth="1"/>
    <col min="5" max="5" width="15.59765625" customWidth="1"/>
    <col min="6" max="6" width="11.59765625" customWidth="1"/>
    <col min="7" max="7" width="17.59765625" customWidth="1"/>
    <col min="8" max="8" width="11.59765625" customWidth="1"/>
    <col min="9" max="9" width="17.59765625" customWidth="1"/>
    <col min="10" max="10" width="11.59765625" customWidth="1"/>
    <col min="11" max="11" width="17.59765625" customWidth="1"/>
    <col min="12" max="12" width="11.59765625" customWidth="1"/>
    <col min="13" max="13" width="17.59765625" customWidth="1"/>
  </cols>
  <sheetData>
    <row r="1" spans="1:13" ht="37.799999999999997" x14ac:dyDescent="0.4">
      <c r="A1" s="213" t="s">
        <v>375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</row>
    <row r="2" spans="1:13" ht="19.2" x14ac:dyDescent="0.4">
      <c r="A2" s="92" t="str">
        <f>'용역청구서 표지'!$B$7</f>
        <v>P4 Ph4 GAS 1공구 마감공사</v>
      </c>
      <c r="M2" s="42" t="s">
        <v>167</v>
      </c>
    </row>
    <row r="3" spans="1:13" ht="27.9" customHeight="1" x14ac:dyDescent="0.4">
      <c r="A3" s="214" t="s">
        <v>168</v>
      </c>
      <c r="B3" s="214" t="s">
        <v>169</v>
      </c>
      <c r="C3" s="214" t="s">
        <v>170</v>
      </c>
      <c r="D3" s="215" t="s">
        <v>171</v>
      </c>
      <c r="E3" s="214" t="s">
        <v>172</v>
      </c>
      <c r="F3" s="214" t="s">
        <v>173</v>
      </c>
      <c r="G3" s="214"/>
      <c r="H3" s="214" t="s">
        <v>174</v>
      </c>
      <c r="I3" s="214"/>
      <c r="J3" s="214" t="s">
        <v>175</v>
      </c>
      <c r="K3" s="214"/>
      <c r="L3" s="214" t="s">
        <v>176</v>
      </c>
      <c r="M3" s="214"/>
    </row>
    <row r="4" spans="1:13" ht="27.9" customHeight="1" x14ac:dyDescent="0.4">
      <c r="A4" s="214"/>
      <c r="B4" s="214"/>
      <c r="C4" s="214"/>
      <c r="D4" s="215"/>
      <c r="E4" s="214"/>
      <c r="F4" s="93" t="s">
        <v>177</v>
      </c>
      <c r="G4" s="93" t="s">
        <v>178</v>
      </c>
      <c r="H4" s="93" t="s">
        <v>177</v>
      </c>
      <c r="I4" s="93" t="s">
        <v>178</v>
      </c>
      <c r="J4" s="93" t="s">
        <v>177</v>
      </c>
      <c r="K4" s="93" t="s">
        <v>179</v>
      </c>
      <c r="L4" s="93" t="s">
        <v>177</v>
      </c>
      <c r="M4" s="93" t="s">
        <v>179</v>
      </c>
    </row>
    <row r="5" spans="1:13" ht="27.9" hidden="1" customHeight="1" x14ac:dyDescent="0.4">
      <c r="A5" s="94" t="s">
        <v>180</v>
      </c>
      <c r="B5" s="38" t="s">
        <v>181</v>
      </c>
      <c r="C5" s="38" t="s">
        <v>182</v>
      </c>
      <c r="D5" s="95"/>
      <c r="E5" s="96">
        <v>475000</v>
      </c>
      <c r="F5" s="99">
        <f>L5</f>
        <v>0</v>
      </c>
      <c r="G5" s="97">
        <f>M5</f>
        <v>0</v>
      </c>
      <c r="H5" s="99"/>
      <c r="I5" s="94"/>
      <c r="J5" s="99">
        <f>$D5*'DIA-INCH'!$C5</f>
        <v>0</v>
      </c>
      <c r="K5" s="97">
        <f>$E5*$J5</f>
        <v>0</v>
      </c>
      <c r="L5" s="99">
        <f>H5+J5</f>
        <v>0</v>
      </c>
      <c r="M5" s="97">
        <f>I5+K5</f>
        <v>0</v>
      </c>
    </row>
    <row r="6" spans="1:13" ht="27.9" hidden="1" customHeight="1" x14ac:dyDescent="0.4">
      <c r="A6" s="94" t="s">
        <v>183</v>
      </c>
      <c r="B6" s="38" t="s">
        <v>184</v>
      </c>
      <c r="C6" s="38" t="s">
        <v>185</v>
      </c>
      <c r="D6" s="95"/>
      <c r="E6" s="96">
        <v>475000</v>
      </c>
      <c r="F6" s="99">
        <f t="shared" ref="F6:G50" si="0">L6</f>
        <v>0</v>
      </c>
      <c r="G6" s="97">
        <f t="shared" si="0"/>
        <v>0</v>
      </c>
      <c r="H6" s="99"/>
      <c r="I6" s="94"/>
      <c r="J6" s="99">
        <f>$D6*'DIA-INCH'!$C6</f>
        <v>0</v>
      </c>
      <c r="K6" s="97">
        <f t="shared" ref="K6:K27" si="1">$E6*$J6</f>
        <v>0</v>
      </c>
      <c r="L6" s="99">
        <f t="shared" ref="L6:M50" si="2">H6+J6</f>
        <v>0</v>
      </c>
      <c r="M6" s="97">
        <f t="shared" si="2"/>
        <v>0</v>
      </c>
    </row>
    <row r="7" spans="1:13" ht="27.9" hidden="1" customHeight="1" x14ac:dyDescent="0.4">
      <c r="A7" s="94" t="s">
        <v>180</v>
      </c>
      <c r="B7" s="38" t="s">
        <v>186</v>
      </c>
      <c r="C7" s="38" t="s">
        <v>182</v>
      </c>
      <c r="D7" s="95"/>
      <c r="E7" s="96">
        <v>475000</v>
      </c>
      <c r="F7" s="99">
        <f t="shared" si="0"/>
        <v>0</v>
      </c>
      <c r="G7" s="97">
        <f t="shared" si="0"/>
        <v>0</v>
      </c>
      <c r="H7" s="99"/>
      <c r="I7" s="94"/>
      <c r="J7" s="99">
        <f>$D7*'DIA-INCH'!$C7</f>
        <v>0</v>
      </c>
      <c r="K7" s="97">
        <f t="shared" si="1"/>
        <v>0</v>
      </c>
      <c r="L7" s="99">
        <f t="shared" si="2"/>
        <v>0</v>
      </c>
      <c r="M7" s="97">
        <f t="shared" si="2"/>
        <v>0</v>
      </c>
    </row>
    <row r="8" spans="1:13" ht="27.9" hidden="1" customHeight="1" x14ac:dyDescent="0.4">
      <c r="A8" s="94" t="s">
        <v>180</v>
      </c>
      <c r="B8" s="38" t="s">
        <v>187</v>
      </c>
      <c r="C8" s="38" t="s">
        <v>182</v>
      </c>
      <c r="D8" s="95">
        <v>0</v>
      </c>
      <c r="E8" s="96">
        <v>475000</v>
      </c>
      <c r="F8" s="99">
        <f t="shared" si="0"/>
        <v>0</v>
      </c>
      <c r="G8" s="97">
        <f t="shared" si="0"/>
        <v>0</v>
      </c>
      <c r="H8" s="99"/>
      <c r="I8" s="94"/>
      <c r="J8" s="99">
        <f>$D8*'DIA-INCH'!$C8</f>
        <v>0</v>
      </c>
      <c r="K8" s="97">
        <f t="shared" si="1"/>
        <v>0</v>
      </c>
      <c r="L8" s="99">
        <f t="shared" si="2"/>
        <v>0</v>
      </c>
      <c r="M8" s="97">
        <f t="shared" si="2"/>
        <v>0</v>
      </c>
    </row>
    <row r="9" spans="1:13" ht="27.9" hidden="1" customHeight="1" x14ac:dyDescent="0.4">
      <c r="A9" s="94" t="s">
        <v>180</v>
      </c>
      <c r="B9" s="38" t="s">
        <v>188</v>
      </c>
      <c r="C9" s="38" t="s">
        <v>182</v>
      </c>
      <c r="D9" s="95">
        <v>0</v>
      </c>
      <c r="E9" s="96">
        <v>475000</v>
      </c>
      <c r="F9" s="99">
        <f t="shared" si="0"/>
        <v>0</v>
      </c>
      <c r="G9" s="97">
        <f t="shared" si="0"/>
        <v>0</v>
      </c>
      <c r="H9" s="99"/>
      <c r="I9" s="94"/>
      <c r="J9" s="99">
        <f>$D9*'DIA-INCH'!$C9</f>
        <v>0</v>
      </c>
      <c r="K9" s="97">
        <f t="shared" si="1"/>
        <v>0</v>
      </c>
      <c r="L9" s="99">
        <f t="shared" si="2"/>
        <v>0</v>
      </c>
      <c r="M9" s="97">
        <f t="shared" si="2"/>
        <v>0</v>
      </c>
    </row>
    <row r="10" spans="1:13" ht="27.9" hidden="1" customHeight="1" x14ac:dyDescent="0.4">
      <c r="A10" s="94" t="s">
        <v>180</v>
      </c>
      <c r="B10" s="38" t="s">
        <v>189</v>
      </c>
      <c r="C10" s="38" t="s">
        <v>185</v>
      </c>
      <c r="D10" s="95">
        <v>0</v>
      </c>
      <c r="E10" s="96">
        <v>475000</v>
      </c>
      <c r="F10" s="99">
        <f t="shared" si="0"/>
        <v>0</v>
      </c>
      <c r="G10" s="97">
        <f t="shared" si="0"/>
        <v>0</v>
      </c>
      <c r="H10" s="99"/>
      <c r="I10" s="94"/>
      <c r="J10" s="99">
        <f>$D10*'DIA-INCH'!$C10</f>
        <v>0</v>
      </c>
      <c r="K10" s="97">
        <f t="shared" si="1"/>
        <v>0</v>
      </c>
      <c r="L10" s="99">
        <f t="shared" si="2"/>
        <v>0</v>
      </c>
      <c r="M10" s="97">
        <f t="shared" si="2"/>
        <v>0</v>
      </c>
    </row>
    <row r="11" spans="1:13" ht="27.9" customHeight="1" x14ac:dyDescent="0.4">
      <c r="A11" s="94" t="s">
        <v>180</v>
      </c>
      <c r="B11" s="38" t="s">
        <v>190</v>
      </c>
      <c r="C11" s="38" t="s">
        <v>185</v>
      </c>
      <c r="D11" s="95">
        <v>127</v>
      </c>
      <c r="E11" s="96">
        <v>475000</v>
      </c>
      <c r="F11" s="99">
        <f t="shared" si="0"/>
        <v>254</v>
      </c>
      <c r="G11" s="97">
        <f t="shared" si="0"/>
        <v>120650000</v>
      </c>
      <c r="H11" s="99"/>
      <c r="I11" s="94"/>
      <c r="J11" s="99">
        <f>$D11*'DIA-INCH'!$C11</f>
        <v>254</v>
      </c>
      <c r="K11" s="97">
        <f t="shared" si="1"/>
        <v>120650000</v>
      </c>
      <c r="L11" s="99">
        <f t="shared" si="2"/>
        <v>254</v>
      </c>
      <c r="M11" s="97">
        <f t="shared" si="2"/>
        <v>120650000</v>
      </c>
    </row>
    <row r="12" spans="1:13" ht="27.9" hidden="1" customHeight="1" x14ac:dyDescent="0.4">
      <c r="A12" s="94" t="s">
        <v>183</v>
      </c>
      <c r="B12" s="38" t="s">
        <v>191</v>
      </c>
      <c r="C12" s="38" t="s">
        <v>182</v>
      </c>
      <c r="D12" s="95">
        <v>0</v>
      </c>
      <c r="E12" s="96">
        <v>475000</v>
      </c>
      <c r="F12" s="99">
        <f t="shared" si="0"/>
        <v>0</v>
      </c>
      <c r="G12" s="97">
        <f t="shared" si="0"/>
        <v>0</v>
      </c>
      <c r="H12" s="99"/>
      <c r="I12" s="94"/>
      <c r="J12" s="99">
        <f>$D12*'DIA-INCH'!$C12</f>
        <v>0</v>
      </c>
      <c r="K12" s="97">
        <f t="shared" si="1"/>
        <v>0</v>
      </c>
      <c r="L12" s="99">
        <f t="shared" si="2"/>
        <v>0</v>
      </c>
      <c r="M12" s="97">
        <f t="shared" si="2"/>
        <v>0</v>
      </c>
    </row>
    <row r="13" spans="1:13" ht="27.9" hidden="1" customHeight="1" x14ac:dyDescent="0.4">
      <c r="A13" s="94" t="s">
        <v>180</v>
      </c>
      <c r="B13" s="38" t="s">
        <v>192</v>
      </c>
      <c r="C13" s="38" t="s">
        <v>182</v>
      </c>
      <c r="D13" s="95">
        <v>0</v>
      </c>
      <c r="E13" s="96">
        <v>475000</v>
      </c>
      <c r="F13" s="99">
        <f t="shared" si="0"/>
        <v>0</v>
      </c>
      <c r="G13" s="97">
        <f t="shared" si="0"/>
        <v>0</v>
      </c>
      <c r="H13" s="99"/>
      <c r="I13" s="94"/>
      <c r="J13" s="99">
        <f>$D13*'DIA-INCH'!$C13</f>
        <v>0</v>
      </c>
      <c r="K13" s="97">
        <f t="shared" si="1"/>
        <v>0</v>
      </c>
      <c r="L13" s="99">
        <f t="shared" si="2"/>
        <v>0</v>
      </c>
      <c r="M13" s="97">
        <f t="shared" si="2"/>
        <v>0</v>
      </c>
    </row>
    <row r="14" spans="1:13" ht="27.9" customHeight="1" x14ac:dyDescent="0.4">
      <c r="A14" s="94" t="s">
        <v>193</v>
      </c>
      <c r="B14" s="38" t="s">
        <v>194</v>
      </c>
      <c r="C14" s="38" t="s">
        <v>182</v>
      </c>
      <c r="D14" s="95">
        <v>4</v>
      </c>
      <c r="E14" s="96">
        <v>475000</v>
      </c>
      <c r="F14" s="99">
        <f t="shared" si="0"/>
        <v>16</v>
      </c>
      <c r="G14" s="97">
        <f t="shared" si="0"/>
        <v>7600000</v>
      </c>
      <c r="H14" s="99"/>
      <c r="I14" s="94"/>
      <c r="J14" s="99">
        <f>$D14*'DIA-INCH'!$C14</f>
        <v>16</v>
      </c>
      <c r="K14" s="97">
        <f t="shared" si="1"/>
        <v>7600000</v>
      </c>
      <c r="L14" s="99">
        <f t="shared" si="2"/>
        <v>16</v>
      </c>
      <c r="M14" s="97">
        <f t="shared" si="2"/>
        <v>7600000</v>
      </c>
    </row>
    <row r="15" spans="1:13" ht="27.9" hidden="1" customHeight="1" x14ac:dyDescent="0.4">
      <c r="A15" s="94" t="s">
        <v>180</v>
      </c>
      <c r="B15" s="38" t="s">
        <v>195</v>
      </c>
      <c r="C15" s="38" t="s">
        <v>185</v>
      </c>
      <c r="D15" s="95">
        <v>0</v>
      </c>
      <c r="E15" s="96">
        <v>475000</v>
      </c>
      <c r="F15" s="99">
        <f t="shared" si="0"/>
        <v>0</v>
      </c>
      <c r="G15" s="97">
        <f t="shared" si="0"/>
        <v>0</v>
      </c>
      <c r="H15" s="99"/>
      <c r="I15" s="94"/>
      <c r="J15" s="99">
        <f>$D15*'DIA-INCH'!$C15</f>
        <v>0</v>
      </c>
      <c r="K15" s="97">
        <f t="shared" si="1"/>
        <v>0</v>
      </c>
      <c r="L15" s="99">
        <f t="shared" si="2"/>
        <v>0</v>
      </c>
      <c r="M15" s="97">
        <f t="shared" si="2"/>
        <v>0</v>
      </c>
    </row>
    <row r="16" spans="1:13" ht="27.9" hidden="1" customHeight="1" x14ac:dyDescent="0.4">
      <c r="A16" s="94" t="s">
        <v>183</v>
      </c>
      <c r="B16" s="38" t="s">
        <v>196</v>
      </c>
      <c r="C16" s="38" t="s">
        <v>182</v>
      </c>
      <c r="D16" s="95">
        <v>0</v>
      </c>
      <c r="E16" s="96">
        <v>475000</v>
      </c>
      <c r="F16" s="99">
        <f t="shared" si="0"/>
        <v>0</v>
      </c>
      <c r="G16" s="97">
        <f t="shared" si="0"/>
        <v>0</v>
      </c>
      <c r="H16" s="99"/>
      <c r="I16" s="94"/>
      <c r="J16" s="99">
        <f>$D16*'DIA-INCH'!$C16</f>
        <v>0</v>
      </c>
      <c r="K16" s="97">
        <f t="shared" si="1"/>
        <v>0</v>
      </c>
      <c r="L16" s="99">
        <f t="shared" si="2"/>
        <v>0</v>
      </c>
      <c r="M16" s="97">
        <f t="shared" si="2"/>
        <v>0</v>
      </c>
    </row>
    <row r="17" spans="1:13" ht="27.9" hidden="1" customHeight="1" x14ac:dyDescent="0.4">
      <c r="A17" s="94" t="s">
        <v>183</v>
      </c>
      <c r="B17" s="38" t="s">
        <v>197</v>
      </c>
      <c r="C17" s="38" t="s">
        <v>182</v>
      </c>
      <c r="D17" s="95">
        <v>0</v>
      </c>
      <c r="E17" s="96">
        <v>475000</v>
      </c>
      <c r="F17" s="99">
        <f t="shared" si="0"/>
        <v>0</v>
      </c>
      <c r="G17" s="97">
        <f t="shared" si="0"/>
        <v>0</v>
      </c>
      <c r="H17" s="99"/>
      <c r="I17" s="94"/>
      <c r="J17" s="99">
        <f>$D17*'DIA-INCH'!$C17</f>
        <v>0</v>
      </c>
      <c r="K17" s="97">
        <f t="shared" si="1"/>
        <v>0</v>
      </c>
      <c r="L17" s="99">
        <f t="shared" si="2"/>
        <v>0</v>
      </c>
      <c r="M17" s="97">
        <f t="shared" si="2"/>
        <v>0</v>
      </c>
    </row>
    <row r="18" spans="1:13" ht="27.9" hidden="1" customHeight="1" x14ac:dyDescent="0.4">
      <c r="A18" s="94" t="s">
        <v>183</v>
      </c>
      <c r="B18" s="38" t="s">
        <v>198</v>
      </c>
      <c r="C18" s="38" t="s">
        <v>182</v>
      </c>
      <c r="D18" s="95">
        <v>0</v>
      </c>
      <c r="E18" s="96">
        <v>475000</v>
      </c>
      <c r="F18" s="99">
        <f t="shared" si="0"/>
        <v>0</v>
      </c>
      <c r="G18" s="97">
        <f t="shared" si="0"/>
        <v>0</v>
      </c>
      <c r="H18" s="99"/>
      <c r="I18" s="94"/>
      <c r="J18" s="99">
        <f>$D18*'DIA-INCH'!$C18</f>
        <v>0</v>
      </c>
      <c r="K18" s="97">
        <f t="shared" si="1"/>
        <v>0</v>
      </c>
      <c r="L18" s="99">
        <f t="shared" si="2"/>
        <v>0</v>
      </c>
      <c r="M18" s="97">
        <f t="shared" si="2"/>
        <v>0</v>
      </c>
    </row>
    <row r="19" spans="1:13" ht="27.9" hidden="1" customHeight="1" x14ac:dyDescent="0.4">
      <c r="A19" s="94" t="s">
        <v>183</v>
      </c>
      <c r="B19" s="38" t="s">
        <v>199</v>
      </c>
      <c r="C19" s="38" t="s">
        <v>182</v>
      </c>
      <c r="D19" s="95">
        <v>0</v>
      </c>
      <c r="E19" s="96">
        <v>475000</v>
      </c>
      <c r="F19" s="99">
        <f t="shared" si="0"/>
        <v>0</v>
      </c>
      <c r="G19" s="97">
        <f t="shared" si="0"/>
        <v>0</v>
      </c>
      <c r="H19" s="99"/>
      <c r="I19" s="94"/>
      <c r="J19" s="99">
        <f>$D19*'DIA-INCH'!$C19</f>
        <v>0</v>
      </c>
      <c r="K19" s="97">
        <f t="shared" si="1"/>
        <v>0</v>
      </c>
      <c r="L19" s="99">
        <f t="shared" si="2"/>
        <v>0</v>
      </c>
      <c r="M19" s="97">
        <f t="shared" si="2"/>
        <v>0</v>
      </c>
    </row>
    <row r="20" spans="1:13" ht="27.9" hidden="1" customHeight="1" x14ac:dyDescent="0.4">
      <c r="A20" s="94" t="s">
        <v>180</v>
      </c>
      <c r="B20" s="38" t="s">
        <v>200</v>
      </c>
      <c r="C20" s="38" t="s">
        <v>185</v>
      </c>
      <c r="D20" s="95">
        <v>0</v>
      </c>
      <c r="E20" s="96">
        <v>475000</v>
      </c>
      <c r="F20" s="99">
        <f t="shared" si="0"/>
        <v>0</v>
      </c>
      <c r="G20" s="97">
        <f t="shared" si="0"/>
        <v>0</v>
      </c>
      <c r="H20" s="99"/>
      <c r="I20" s="94"/>
      <c r="J20" s="99">
        <f>$D20*'DIA-INCH'!$C20</f>
        <v>0</v>
      </c>
      <c r="K20" s="97">
        <f t="shared" si="1"/>
        <v>0</v>
      </c>
      <c r="L20" s="99">
        <f t="shared" si="2"/>
        <v>0</v>
      </c>
      <c r="M20" s="97">
        <f t="shared" si="2"/>
        <v>0</v>
      </c>
    </row>
    <row r="21" spans="1:13" ht="27.9" hidden="1" customHeight="1" x14ac:dyDescent="0.4">
      <c r="A21" s="94" t="s">
        <v>180</v>
      </c>
      <c r="B21" s="38" t="s">
        <v>201</v>
      </c>
      <c r="C21" s="38" t="s">
        <v>202</v>
      </c>
      <c r="D21" s="95">
        <v>0</v>
      </c>
      <c r="E21" s="96">
        <v>475000</v>
      </c>
      <c r="F21" s="99">
        <f t="shared" si="0"/>
        <v>0</v>
      </c>
      <c r="G21" s="97">
        <f t="shared" si="0"/>
        <v>0</v>
      </c>
      <c r="H21" s="99"/>
      <c r="I21" s="94"/>
      <c r="J21" s="99">
        <f>$D21*'DIA-INCH'!$C21</f>
        <v>0</v>
      </c>
      <c r="K21" s="97">
        <f t="shared" si="1"/>
        <v>0</v>
      </c>
      <c r="L21" s="99">
        <f t="shared" si="2"/>
        <v>0</v>
      </c>
      <c r="M21" s="97">
        <f t="shared" si="2"/>
        <v>0</v>
      </c>
    </row>
    <row r="22" spans="1:13" ht="27.9" hidden="1" customHeight="1" x14ac:dyDescent="0.4">
      <c r="A22" s="94" t="s">
        <v>183</v>
      </c>
      <c r="B22" s="38" t="s">
        <v>203</v>
      </c>
      <c r="C22" s="38" t="s">
        <v>204</v>
      </c>
      <c r="D22" s="95">
        <v>0</v>
      </c>
      <c r="E22" s="96">
        <v>475000</v>
      </c>
      <c r="F22" s="99">
        <f t="shared" si="0"/>
        <v>0</v>
      </c>
      <c r="G22" s="97">
        <f t="shared" si="0"/>
        <v>0</v>
      </c>
      <c r="H22" s="99"/>
      <c r="I22" s="94"/>
      <c r="J22" s="99">
        <f>$D22*'DIA-INCH'!$C22</f>
        <v>0</v>
      </c>
      <c r="K22" s="97">
        <f t="shared" si="1"/>
        <v>0</v>
      </c>
      <c r="L22" s="99">
        <f t="shared" si="2"/>
        <v>0</v>
      </c>
      <c r="M22" s="97">
        <f t="shared" si="2"/>
        <v>0</v>
      </c>
    </row>
    <row r="23" spans="1:13" ht="27.9" hidden="1" customHeight="1" x14ac:dyDescent="0.4">
      <c r="A23" s="94" t="s">
        <v>205</v>
      </c>
      <c r="B23" s="38" t="s">
        <v>206</v>
      </c>
      <c r="C23" s="38" t="s">
        <v>182</v>
      </c>
      <c r="D23" s="95">
        <v>0</v>
      </c>
      <c r="E23" s="96">
        <v>475000</v>
      </c>
      <c r="F23" s="99">
        <f t="shared" si="0"/>
        <v>0</v>
      </c>
      <c r="G23" s="97">
        <f t="shared" si="0"/>
        <v>0</v>
      </c>
      <c r="H23" s="99"/>
      <c r="I23" s="94"/>
      <c r="J23" s="99">
        <f>$D23*'DIA-INCH'!$C23</f>
        <v>0</v>
      </c>
      <c r="K23" s="97">
        <f t="shared" si="1"/>
        <v>0</v>
      </c>
      <c r="L23" s="99">
        <f t="shared" si="2"/>
        <v>0</v>
      </c>
      <c r="M23" s="97">
        <f t="shared" si="2"/>
        <v>0</v>
      </c>
    </row>
    <row r="24" spans="1:13" ht="27.9" hidden="1" customHeight="1" x14ac:dyDescent="0.4">
      <c r="A24" s="94" t="s">
        <v>180</v>
      </c>
      <c r="B24" s="38" t="s">
        <v>207</v>
      </c>
      <c r="C24" s="38" t="s">
        <v>185</v>
      </c>
      <c r="D24" s="95">
        <v>0</v>
      </c>
      <c r="E24" s="96">
        <v>475000</v>
      </c>
      <c r="F24" s="99">
        <f t="shared" si="0"/>
        <v>0</v>
      </c>
      <c r="G24" s="97">
        <f t="shared" si="0"/>
        <v>0</v>
      </c>
      <c r="H24" s="99"/>
      <c r="I24" s="94"/>
      <c r="J24" s="99">
        <f>$D24*'DIA-INCH'!$C24</f>
        <v>0</v>
      </c>
      <c r="K24" s="97">
        <f t="shared" si="1"/>
        <v>0</v>
      </c>
      <c r="L24" s="99">
        <f t="shared" si="2"/>
        <v>0</v>
      </c>
      <c r="M24" s="97">
        <f t="shared" si="2"/>
        <v>0</v>
      </c>
    </row>
    <row r="25" spans="1:13" ht="27.9" hidden="1" customHeight="1" x14ac:dyDescent="0.4">
      <c r="A25" s="94" t="s">
        <v>193</v>
      </c>
      <c r="B25" s="38" t="s">
        <v>208</v>
      </c>
      <c r="C25" s="38" t="s">
        <v>209</v>
      </c>
      <c r="D25" s="95">
        <v>0</v>
      </c>
      <c r="E25" s="96">
        <v>475000</v>
      </c>
      <c r="F25" s="99">
        <f t="shared" si="0"/>
        <v>0</v>
      </c>
      <c r="G25" s="97">
        <f t="shared" si="0"/>
        <v>0</v>
      </c>
      <c r="H25" s="99"/>
      <c r="I25" s="94"/>
      <c r="J25" s="99">
        <f>$D25*'DIA-INCH'!$C25</f>
        <v>0</v>
      </c>
      <c r="K25" s="97">
        <f t="shared" si="1"/>
        <v>0</v>
      </c>
      <c r="L25" s="99">
        <f t="shared" si="2"/>
        <v>0</v>
      </c>
      <c r="M25" s="97">
        <f t="shared" si="2"/>
        <v>0</v>
      </c>
    </row>
    <row r="26" spans="1:13" ht="27.9" hidden="1" customHeight="1" x14ac:dyDescent="0.4">
      <c r="A26" s="94" t="s">
        <v>183</v>
      </c>
      <c r="B26" s="38" t="s">
        <v>210</v>
      </c>
      <c r="C26" s="38" t="s">
        <v>182</v>
      </c>
      <c r="D26" s="95">
        <v>0</v>
      </c>
      <c r="E26" s="96">
        <v>475000</v>
      </c>
      <c r="F26" s="99">
        <f t="shared" si="0"/>
        <v>0</v>
      </c>
      <c r="G26" s="97">
        <f t="shared" si="0"/>
        <v>0</v>
      </c>
      <c r="H26" s="99"/>
      <c r="I26" s="94"/>
      <c r="J26" s="99">
        <f>$D26*'DIA-INCH'!$C26</f>
        <v>0</v>
      </c>
      <c r="K26" s="97">
        <f t="shared" si="1"/>
        <v>0</v>
      </c>
      <c r="L26" s="99">
        <f t="shared" si="2"/>
        <v>0</v>
      </c>
      <c r="M26" s="97">
        <f t="shared" si="2"/>
        <v>0</v>
      </c>
    </row>
    <row r="27" spans="1:13" ht="27.9" hidden="1" customHeight="1" x14ac:dyDescent="0.4">
      <c r="A27" s="94" t="s">
        <v>193</v>
      </c>
      <c r="B27" s="38" t="s">
        <v>211</v>
      </c>
      <c r="C27" s="38" t="s">
        <v>182</v>
      </c>
      <c r="D27" s="95">
        <v>0</v>
      </c>
      <c r="E27" s="96">
        <v>475000</v>
      </c>
      <c r="F27" s="99">
        <f t="shared" si="0"/>
        <v>0</v>
      </c>
      <c r="G27" s="97">
        <f t="shared" si="0"/>
        <v>0</v>
      </c>
      <c r="H27" s="99"/>
      <c r="I27" s="94"/>
      <c r="J27" s="99">
        <f>$D27*'DIA-INCH'!$C27</f>
        <v>0</v>
      </c>
      <c r="K27" s="97">
        <f t="shared" si="1"/>
        <v>0</v>
      </c>
      <c r="L27" s="99">
        <f t="shared" si="2"/>
        <v>0</v>
      </c>
      <c r="M27" s="97">
        <f t="shared" si="2"/>
        <v>0</v>
      </c>
    </row>
    <row r="28" spans="1:13" ht="27.9" hidden="1" customHeight="1" x14ac:dyDescent="0.4">
      <c r="A28" s="94" t="s">
        <v>212</v>
      </c>
      <c r="B28" s="38" t="s">
        <v>181</v>
      </c>
      <c r="C28" s="38" t="s">
        <v>213</v>
      </c>
      <c r="D28" s="95">
        <v>0</v>
      </c>
      <c r="E28" s="96">
        <f>$E$31*'DIA-INCH'!$C5</f>
        <v>12500</v>
      </c>
      <c r="F28" s="97">
        <f t="shared" si="0"/>
        <v>0</v>
      </c>
      <c r="G28" s="97">
        <f t="shared" si="0"/>
        <v>0</v>
      </c>
      <c r="H28" s="94"/>
      <c r="I28" s="94"/>
      <c r="J28" s="97">
        <f>D28</f>
        <v>0</v>
      </c>
      <c r="K28" s="97">
        <f>$J28*$E28</f>
        <v>0</v>
      </c>
      <c r="L28" s="97">
        <f t="shared" si="2"/>
        <v>0</v>
      </c>
      <c r="M28" s="97">
        <f t="shared" si="2"/>
        <v>0</v>
      </c>
    </row>
    <row r="29" spans="1:13" ht="27.9" hidden="1" customHeight="1" x14ac:dyDescent="0.4">
      <c r="A29" s="94" t="s">
        <v>214</v>
      </c>
      <c r="B29" s="38" t="s">
        <v>184</v>
      </c>
      <c r="C29" s="38" t="s">
        <v>213</v>
      </c>
      <c r="D29" s="95">
        <v>0</v>
      </c>
      <c r="E29" s="96">
        <f>$E$31*'DIA-INCH'!$C6</f>
        <v>25000</v>
      </c>
      <c r="F29" s="97">
        <f t="shared" si="0"/>
        <v>0</v>
      </c>
      <c r="G29" s="97">
        <f t="shared" si="0"/>
        <v>0</v>
      </c>
      <c r="H29" s="94"/>
      <c r="I29" s="94"/>
      <c r="J29" s="97">
        <f t="shared" ref="J29:J50" si="3">D29</f>
        <v>0</v>
      </c>
      <c r="K29" s="97">
        <f t="shared" ref="K29:K50" si="4">$J29*$E29</f>
        <v>0</v>
      </c>
      <c r="L29" s="97">
        <f t="shared" si="2"/>
        <v>0</v>
      </c>
      <c r="M29" s="97">
        <f t="shared" si="2"/>
        <v>0</v>
      </c>
    </row>
    <row r="30" spans="1:13" ht="27.9" hidden="1" customHeight="1" x14ac:dyDescent="0.4">
      <c r="A30" s="94" t="s">
        <v>215</v>
      </c>
      <c r="B30" s="38" t="s">
        <v>186</v>
      </c>
      <c r="C30" s="38" t="s">
        <v>213</v>
      </c>
      <c r="D30" s="95">
        <v>0</v>
      </c>
      <c r="E30" s="96">
        <f>$E$31*'DIA-INCH'!$C7</f>
        <v>37500</v>
      </c>
      <c r="F30" s="97">
        <f t="shared" si="0"/>
        <v>0</v>
      </c>
      <c r="G30" s="97">
        <f t="shared" si="0"/>
        <v>0</v>
      </c>
      <c r="H30" s="94"/>
      <c r="I30" s="94"/>
      <c r="J30" s="97">
        <f t="shared" si="3"/>
        <v>0</v>
      </c>
      <c r="K30" s="97">
        <f t="shared" si="4"/>
        <v>0</v>
      </c>
      <c r="L30" s="97">
        <f t="shared" si="2"/>
        <v>0</v>
      </c>
      <c r="M30" s="97">
        <f t="shared" si="2"/>
        <v>0</v>
      </c>
    </row>
    <row r="31" spans="1:13" ht="27.9" hidden="1" customHeight="1" x14ac:dyDescent="0.4">
      <c r="A31" s="94" t="s">
        <v>216</v>
      </c>
      <c r="B31" s="38" t="s">
        <v>187</v>
      </c>
      <c r="C31" s="38" t="s">
        <v>217</v>
      </c>
      <c r="D31" s="95">
        <v>0</v>
      </c>
      <c r="E31" s="96">
        <v>50000</v>
      </c>
      <c r="F31" s="97">
        <f t="shared" si="0"/>
        <v>0</v>
      </c>
      <c r="G31" s="97">
        <f t="shared" si="0"/>
        <v>0</v>
      </c>
      <c r="H31" s="94"/>
      <c r="I31" s="94"/>
      <c r="J31" s="97">
        <f t="shared" si="3"/>
        <v>0</v>
      </c>
      <c r="K31" s="97">
        <f t="shared" si="4"/>
        <v>0</v>
      </c>
      <c r="L31" s="97">
        <f t="shared" si="2"/>
        <v>0</v>
      </c>
      <c r="M31" s="97">
        <f t="shared" si="2"/>
        <v>0</v>
      </c>
    </row>
    <row r="32" spans="1:13" ht="27.9" hidden="1" customHeight="1" x14ac:dyDescent="0.4">
      <c r="A32" s="94" t="s">
        <v>216</v>
      </c>
      <c r="B32" s="38" t="s">
        <v>188</v>
      </c>
      <c r="C32" s="38" t="s">
        <v>213</v>
      </c>
      <c r="D32" s="95">
        <v>0</v>
      </c>
      <c r="E32" s="96">
        <f>$E$31*'DIA-INCH'!$C9</f>
        <v>62500</v>
      </c>
      <c r="F32" s="97">
        <f t="shared" si="0"/>
        <v>0</v>
      </c>
      <c r="G32" s="97">
        <f t="shared" si="0"/>
        <v>0</v>
      </c>
      <c r="H32" s="94"/>
      <c r="I32" s="94"/>
      <c r="J32" s="97">
        <f t="shared" si="3"/>
        <v>0</v>
      </c>
      <c r="K32" s="97">
        <f t="shared" si="4"/>
        <v>0</v>
      </c>
      <c r="L32" s="97">
        <f t="shared" si="2"/>
        <v>0</v>
      </c>
      <c r="M32" s="97">
        <f t="shared" si="2"/>
        <v>0</v>
      </c>
    </row>
    <row r="33" spans="1:13" ht="27.9" hidden="1" customHeight="1" x14ac:dyDescent="0.4">
      <c r="A33" s="94" t="s">
        <v>216</v>
      </c>
      <c r="B33" s="38" t="s">
        <v>189</v>
      </c>
      <c r="C33" s="38" t="s">
        <v>124</v>
      </c>
      <c r="D33" s="95">
        <v>0</v>
      </c>
      <c r="E33" s="96">
        <f>$E$31*'DIA-INCH'!$C10</f>
        <v>75000</v>
      </c>
      <c r="F33" s="97">
        <f t="shared" si="0"/>
        <v>0</v>
      </c>
      <c r="G33" s="97">
        <f t="shared" si="0"/>
        <v>0</v>
      </c>
      <c r="H33" s="94"/>
      <c r="I33" s="94"/>
      <c r="J33" s="97">
        <f t="shared" si="3"/>
        <v>0</v>
      </c>
      <c r="K33" s="97">
        <f t="shared" si="4"/>
        <v>0</v>
      </c>
      <c r="L33" s="97">
        <f t="shared" si="2"/>
        <v>0</v>
      </c>
      <c r="M33" s="97">
        <f t="shared" si="2"/>
        <v>0</v>
      </c>
    </row>
    <row r="34" spans="1:13" ht="27.9" hidden="1" customHeight="1" x14ac:dyDescent="0.4">
      <c r="A34" s="94" t="s">
        <v>216</v>
      </c>
      <c r="B34" s="38" t="s">
        <v>190</v>
      </c>
      <c r="C34" s="38" t="s">
        <v>213</v>
      </c>
      <c r="D34" s="95">
        <v>0</v>
      </c>
      <c r="E34" s="96">
        <f>$E$31*'DIA-INCH'!$C11</f>
        <v>100000</v>
      </c>
      <c r="F34" s="97">
        <f t="shared" si="0"/>
        <v>0</v>
      </c>
      <c r="G34" s="97">
        <f t="shared" si="0"/>
        <v>0</v>
      </c>
      <c r="H34" s="94"/>
      <c r="I34" s="94"/>
      <c r="J34" s="97">
        <f t="shared" si="3"/>
        <v>0</v>
      </c>
      <c r="K34" s="97">
        <f t="shared" si="4"/>
        <v>0</v>
      </c>
      <c r="L34" s="97">
        <f t="shared" si="2"/>
        <v>0</v>
      </c>
      <c r="M34" s="97">
        <f t="shared" si="2"/>
        <v>0</v>
      </c>
    </row>
    <row r="35" spans="1:13" ht="27.9" hidden="1" customHeight="1" x14ac:dyDescent="0.4">
      <c r="A35" s="94" t="s">
        <v>212</v>
      </c>
      <c r="B35" s="38" t="s">
        <v>191</v>
      </c>
      <c r="C35" s="38" t="s">
        <v>124</v>
      </c>
      <c r="D35" s="95">
        <v>0</v>
      </c>
      <c r="E35" s="96">
        <f>$E$31*'DIA-INCH'!$C12</f>
        <v>125000</v>
      </c>
      <c r="F35" s="97">
        <f t="shared" si="0"/>
        <v>0</v>
      </c>
      <c r="G35" s="97">
        <f t="shared" si="0"/>
        <v>0</v>
      </c>
      <c r="H35" s="94"/>
      <c r="I35" s="94"/>
      <c r="J35" s="97">
        <f t="shared" si="3"/>
        <v>0</v>
      </c>
      <c r="K35" s="97">
        <f t="shared" si="4"/>
        <v>0</v>
      </c>
      <c r="L35" s="97">
        <f t="shared" si="2"/>
        <v>0</v>
      </c>
      <c r="M35" s="97">
        <f t="shared" si="2"/>
        <v>0</v>
      </c>
    </row>
    <row r="36" spans="1:13" ht="27.9" hidden="1" customHeight="1" x14ac:dyDescent="0.4">
      <c r="A36" s="94" t="s">
        <v>212</v>
      </c>
      <c r="B36" s="38" t="s">
        <v>192</v>
      </c>
      <c r="C36" s="38" t="s">
        <v>213</v>
      </c>
      <c r="D36" s="95">
        <v>0</v>
      </c>
      <c r="E36" s="96">
        <f>$E$31*'DIA-INCH'!$C13</f>
        <v>150000</v>
      </c>
      <c r="F36" s="97">
        <f t="shared" si="0"/>
        <v>0</v>
      </c>
      <c r="G36" s="97">
        <f t="shared" si="0"/>
        <v>0</v>
      </c>
      <c r="H36" s="94"/>
      <c r="I36" s="94"/>
      <c r="J36" s="97">
        <f t="shared" si="3"/>
        <v>0</v>
      </c>
      <c r="K36" s="97">
        <f t="shared" si="4"/>
        <v>0</v>
      </c>
      <c r="L36" s="97">
        <f t="shared" si="2"/>
        <v>0</v>
      </c>
      <c r="M36" s="97">
        <f t="shared" si="2"/>
        <v>0</v>
      </c>
    </row>
    <row r="37" spans="1:13" ht="27.9" hidden="1" customHeight="1" x14ac:dyDescent="0.4">
      <c r="A37" s="94" t="s">
        <v>214</v>
      </c>
      <c r="B37" s="38" t="s">
        <v>194</v>
      </c>
      <c r="C37" s="38" t="s">
        <v>213</v>
      </c>
      <c r="D37" s="95">
        <v>0</v>
      </c>
      <c r="E37" s="96">
        <f>$E$31*'DIA-INCH'!$C14</f>
        <v>200000</v>
      </c>
      <c r="F37" s="97">
        <f t="shared" si="0"/>
        <v>0</v>
      </c>
      <c r="G37" s="97">
        <f t="shared" si="0"/>
        <v>0</v>
      </c>
      <c r="H37" s="94"/>
      <c r="I37" s="94"/>
      <c r="J37" s="97">
        <f t="shared" si="3"/>
        <v>0</v>
      </c>
      <c r="K37" s="97">
        <f t="shared" si="4"/>
        <v>0</v>
      </c>
      <c r="L37" s="97">
        <f t="shared" si="2"/>
        <v>0</v>
      </c>
      <c r="M37" s="97">
        <f t="shared" si="2"/>
        <v>0</v>
      </c>
    </row>
    <row r="38" spans="1:13" ht="27.9" hidden="1" customHeight="1" x14ac:dyDescent="0.4">
      <c r="A38" s="94" t="s">
        <v>212</v>
      </c>
      <c r="B38" s="38" t="s">
        <v>195</v>
      </c>
      <c r="C38" s="38" t="s">
        <v>218</v>
      </c>
      <c r="D38" s="95">
        <v>0</v>
      </c>
      <c r="E38" s="96">
        <f>$E$31*'DIA-INCH'!$C15</f>
        <v>200000</v>
      </c>
      <c r="F38" s="97">
        <f t="shared" si="0"/>
        <v>0</v>
      </c>
      <c r="G38" s="97">
        <f t="shared" si="0"/>
        <v>0</v>
      </c>
      <c r="H38" s="94"/>
      <c r="I38" s="94"/>
      <c r="J38" s="97">
        <f t="shared" si="3"/>
        <v>0</v>
      </c>
      <c r="K38" s="97">
        <f t="shared" si="4"/>
        <v>0</v>
      </c>
      <c r="L38" s="97">
        <f t="shared" si="2"/>
        <v>0</v>
      </c>
      <c r="M38" s="97">
        <f t="shared" si="2"/>
        <v>0</v>
      </c>
    </row>
    <row r="39" spans="1:13" ht="27.9" hidden="1" customHeight="1" x14ac:dyDescent="0.4">
      <c r="A39" s="94" t="s">
        <v>212</v>
      </c>
      <c r="B39" s="38" t="s">
        <v>196</v>
      </c>
      <c r="C39" s="38" t="s">
        <v>219</v>
      </c>
      <c r="D39" s="95">
        <v>0</v>
      </c>
      <c r="E39" s="96">
        <f>$E$31*'DIA-INCH'!$C16</f>
        <v>250000</v>
      </c>
      <c r="F39" s="97">
        <f t="shared" si="0"/>
        <v>0</v>
      </c>
      <c r="G39" s="97">
        <f t="shared" si="0"/>
        <v>0</v>
      </c>
      <c r="H39" s="94"/>
      <c r="I39" s="94"/>
      <c r="J39" s="97">
        <f t="shared" si="3"/>
        <v>0</v>
      </c>
      <c r="K39" s="97">
        <f t="shared" si="4"/>
        <v>0</v>
      </c>
      <c r="L39" s="97">
        <f t="shared" si="2"/>
        <v>0</v>
      </c>
      <c r="M39" s="97">
        <f t="shared" si="2"/>
        <v>0</v>
      </c>
    </row>
    <row r="40" spans="1:13" ht="27.9" hidden="1" customHeight="1" x14ac:dyDescent="0.4">
      <c r="A40" s="94" t="s">
        <v>212</v>
      </c>
      <c r="B40" s="38" t="s">
        <v>197</v>
      </c>
      <c r="C40" s="38" t="s">
        <v>213</v>
      </c>
      <c r="D40" s="95">
        <v>0</v>
      </c>
      <c r="E40" s="96">
        <f>$E$31*'DIA-INCH'!$C17</f>
        <v>300000</v>
      </c>
      <c r="F40" s="97">
        <f t="shared" si="0"/>
        <v>0</v>
      </c>
      <c r="G40" s="97">
        <f t="shared" si="0"/>
        <v>0</v>
      </c>
      <c r="H40" s="94"/>
      <c r="I40" s="94"/>
      <c r="J40" s="97">
        <f t="shared" si="3"/>
        <v>0</v>
      </c>
      <c r="K40" s="97">
        <f t="shared" si="4"/>
        <v>0</v>
      </c>
      <c r="L40" s="97">
        <f t="shared" si="2"/>
        <v>0</v>
      </c>
      <c r="M40" s="97">
        <f t="shared" si="2"/>
        <v>0</v>
      </c>
    </row>
    <row r="41" spans="1:13" ht="27.9" hidden="1" customHeight="1" x14ac:dyDescent="0.4">
      <c r="A41" s="94" t="s">
        <v>212</v>
      </c>
      <c r="B41" s="38" t="s">
        <v>198</v>
      </c>
      <c r="C41" s="38" t="s">
        <v>124</v>
      </c>
      <c r="D41" s="95">
        <v>0</v>
      </c>
      <c r="E41" s="96">
        <f>$E$31*'DIA-INCH'!$C18</f>
        <v>350000</v>
      </c>
      <c r="F41" s="97">
        <f t="shared" si="0"/>
        <v>0</v>
      </c>
      <c r="G41" s="97">
        <f t="shared" si="0"/>
        <v>0</v>
      </c>
      <c r="H41" s="94"/>
      <c r="I41" s="94"/>
      <c r="J41" s="97">
        <f t="shared" si="3"/>
        <v>0</v>
      </c>
      <c r="K41" s="97">
        <f t="shared" si="4"/>
        <v>0</v>
      </c>
      <c r="L41" s="97">
        <f t="shared" si="2"/>
        <v>0</v>
      </c>
      <c r="M41" s="97">
        <f t="shared" si="2"/>
        <v>0</v>
      </c>
    </row>
    <row r="42" spans="1:13" ht="27.9" hidden="1" customHeight="1" x14ac:dyDescent="0.4">
      <c r="A42" s="94" t="s">
        <v>212</v>
      </c>
      <c r="B42" s="38" t="s">
        <v>199</v>
      </c>
      <c r="C42" s="38" t="s">
        <v>213</v>
      </c>
      <c r="D42" s="95">
        <v>0</v>
      </c>
      <c r="E42" s="96">
        <f>$E$31*'DIA-INCH'!$C19</f>
        <v>400000</v>
      </c>
      <c r="F42" s="97">
        <f t="shared" si="0"/>
        <v>0</v>
      </c>
      <c r="G42" s="97">
        <f t="shared" si="0"/>
        <v>0</v>
      </c>
      <c r="H42" s="94"/>
      <c r="I42" s="94"/>
      <c r="J42" s="97">
        <f t="shared" si="3"/>
        <v>0</v>
      </c>
      <c r="K42" s="97">
        <f t="shared" si="4"/>
        <v>0</v>
      </c>
      <c r="L42" s="97">
        <f t="shared" si="2"/>
        <v>0</v>
      </c>
      <c r="M42" s="97">
        <f t="shared" si="2"/>
        <v>0</v>
      </c>
    </row>
    <row r="43" spans="1:13" ht="27.9" hidden="1" customHeight="1" x14ac:dyDescent="0.4">
      <c r="A43" s="94" t="s">
        <v>212</v>
      </c>
      <c r="B43" s="38" t="s">
        <v>200</v>
      </c>
      <c r="C43" s="38" t="s">
        <v>213</v>
      </c>
      <c r="D43" s="95">
        <v>0</v>
      </c>
      <c r="E43" s="96">
        <f>$E$31*'DIA-INCH'!$C20</f>
        <v>450000</v>
      </c>
      <c r="F43" s="97">
        <f t="shared" si="0"/>
        <v>0</v>
      </c>
      <c r="G43" s="97">
        <f t="shared" si="0"/>
        <v>0</v>
      </c>
      <c r="H43" s="94"/>
      <c r="I43" s="94"/>
      <c r="J43" s="97">
        <f t="shared" si="3"/>
        <v>0</v>
      </c>
      <c r="K43" s="97">
        <f t="shared" si="4"/>
        <v>0</v>
      </c>
      <c r="L43" s="97">
        <f t="shared" si="2"/>
        <v>0</v>
      </c>
      <c r="M43" s="97">
        <f t="shared" si="2"/>
        <v>0</v>
      </c>
    </row>
    <row r="44" spans="1:13" ht="27.9" hidden="1" customHeight="1" x14ac:dyDescent="0.4">
      <c r="A44" s="94" t="s">
        <v>212</v>
      </c>
      <c r="B44" s="38" t="s">
        <v>201</v>
      </c>
      <c r="C44" s="38" t="s">
        <v>124</v>
      </c>
      <c r="D44" s="95">
        <v>0</v>
      </c>
      <c r="E44" s="96">
        <f>$E$31*'DIA-INCH'!$C21</f>
        <v>500000</v>
      </c>
      <c r="F44" s="97">
        <f t="shared" si="0"/>
        <v>0</v>
      </c>
      <c r="G44" s="97">
        <f t="shared" si="0"/>
        <v>0</v>
      </c>
      <c r="H44" s="94"/>
      <c r="I44" s="94"/>
      <c r="J44" s="97">
        <f t="shared" si="3"/>
        <v>0</v>
      </c>
      <c r="K44" s="97">
        <f t="shared" si="4"/>
        <v>0</v>
      </c>
      <c r="L44" s="97">
        <f t="shared" si="2"/>
        <v>0</v>
      </c>
      <c r="M44" s="97">
        <f t="shared" si="2"/>
        <v>0</v>
      </c>
    </row>
    <row r="45" spans="1:13" ht="27.9" hidden="1" customHeight="1" x14ac:dyDescent="0.4">
      <c r="A45" s="94" t="s">
        <v>214</v>
      </c>
      <c r="B45" s="38" t="s">
        <v>203</v>
      </c>
      <c r="C45" s="38" t="s">
        <v>124</v>
      </c>
      <c r="D45" s="95">
        <v>0</v>
      </c>
      <c r="E45" s="96">
        <f>$E$31*'DIA-INCH'!$C22</f>
        <v>600000</v>
      </c>
      <c r="F45" s="97">
        <f t="shared" si="0"/>
        <v>0</v>
      </c>
      <c r="G45" s="97">
        <f t="shared" si="0"/>
        <v>0</v>
      </c>
      <c r="H45" s="94"/>
      <c r="I45" s="94"/>
      <c r="J45" s="97">
        <f t="shared" si="3"/>
        <v>0</v>
      </c>
      <c r="K45" s="97">
        <f t="shared" si="4"/>
        <v>0</v>
      </c>
      <c r="L45" s="97">
        <f t="shared" si="2"/>
        <v>0</v>
      </c>
      <c r="M45" s="97">
        <f t="shared" si="2"/>
        <v>0</v>
      </c>
    </row>
    <row r="46" spans="1:13" ht="27.9" hidden="1" customHeight="1" x14ac:dyDescent="0.4">
      <c r="A46" s="94" t="s">
        <v>212</v>
      </c>
      <c r="B46" s="38" t="s">
        <v>206</v>
      </c>
      <c r="C46" s="38" t="s">
        <v>213</v>
      </c>
      <c r="D46" s="95">
        <v>0</v>
      </c>
      <c r="E46" s="96">
        <f>$E$31*'DIA-INCH'!$C23</f>
        <v>700000</v>
      </c>
      <c r="F46" s="97">
        <f t="shared" si="0"/>
        <v>0</v>
      </c>
      <c r="G46" s="97">
        <f t="shared" si="0"/>
        <v>0</v>
      </c>
      <c r="H46" s="94"/>
      <c r="I46" s="94"/>
      <c r="J46" s="97">
        <f t="shared" si="3"/>
        <v>0</v>
      </c>
      <c r="K46" s="97">
        <f t="shared" si="4"/>
        <v>0</v>
      </c>
      <c r="L46" s="97">
        <f t="shared" si="2"/>
        <v>0</v>
      </c>
      <c r="M46" s="97">
        <f t="shared" si="2"/>
        <v>0</v>
      </c>
    </row>
    <row r="47" spans="1:13" ht="27.9" hidden="1" customHeight="1" x14ac:dyDescent="0.4">
      <c r="A47" s="94" t="s">
        <v>212</v>
      </c>
      <c r="B47" s="38" t="s">
        <v>207</v>
      </c>
      <c r="C47" s="38" t="s">
        <v>218</v>
      </c>
      <c r="D47" s="95">
        <v>0</v>
      </c>
      <c r="E47" s="96">
        <f>$E$31*'DIA-INCH'!$C24</f>
        <v>800000</v>
      </c>
      <c r="F47" s="97">
        <f t="shared" si="0"/>
        <v>0</v>
      </c>
      <c r="G47" s="97">
        <f t="shared" si="0"/>
        <v>0</v>
      </c>
      <c r="H47" s="94"/>
      <c r="I47" s="94"/>
      <c r="J47" s="97">
        <f t="shared" si="3"/>
        <v>0</v>
      </c>
      <c r="K47" s="97">
        <f t="shared" si="4"/>
        <v>0</v>
      </c>
      <c r="L47" s="97">
        <f t="shared" si="2"/>
        <v>0</v>
      </c>
      <c r="M47" s="97">
        <f t="shared" si="2"/>
        <v>0</v>
      </c>
    </row>
    <row r="48" spans="1:13" ht="27.9" hidden="1" customHeight="1" x14ac:dyDescent="0.4">
      <c r="A48" s="94" t="s">
        <v>215</v>
      </c>
      <c r="B48" s="38" t="s">
        <v>208</v>
      </c>
      <c r="C48" s="38" t="s">
        <v>213</v>
      </c>
      <c r="D48" s="95">
        <v>0</v>
      </c>
      <c r="E48" s="96">
        <f>$E$31*'DIA-INCH'!$C25</f>
        <v>900000</v>
      </c>
      <c r="F48" s="97">
        <f t="shared" si="0"/>
        <v>0</v>
      </c>
      <c r="G48" s="97">
        <f t="shared" si="0"/>
        <v>0</v>
      </c>
      <c r="H48" s="94"/>
      <c r="I48" s="94"/>
      <c r="J48" s="97">
        <f t="shared" si="3"/>
        <v>0</v>
      </c>
      <c r="K48" s="97">
        <f t="shared" si="4"/>
        <v>0</v>
      </c>
      <c r="L48" s="97">
        <f t="shared" si="2"/>
        <v>0</v>
      </c>
      <c r="M48" s="97">
        <f t="shared" si="2"/>
        <v>0</v>
      </c>
    </row>
    <row r="49" spans="1:13" ht="27.9" hidden="1" customHeight="1" x14ac:dyDescent="0.4">
      <c r="A49" s="94" t="s">
        <v>212</v>
      </c>
      <c r="B49" s="38" t="s">
        <v>210</v>
      </c>
      <c r="C49" s="38" t="s">
        <v>213</v>
      </c>
      <c r="D49" s="95">
        <v>0</v>
      </c>
      <c r="E49" s="96">
        <f>$E$31*'DIA-INCH'!$C26</f>
        <v>1000000</v>
      </c>
      <c r="F49" s="97">
        <f t="shared" si="0"/>
        <v>0</v>
      </c>
      <c r="G49" s="97">
        <f t="shared" si="0"/>
        <v>0</v>
      </c>
      <c r="H49" s="94"/>
      <c r="I49" s="94"/>
      <c r="J49" s="97">
        <f t="shared" si="3"/>
        <v>0</v>
      </c>
      <c r="K49" s="97">
        <f t="shared" si="4"/>
        <v>0</v>
      </c>
      <c r="L49" s="97">
        <f t="shared" si="2"/>
        <v>0</v>
      </c>
      <c r="M49" s="97">
        <f t="shared" si="2"/>
        <v>0</v>
      </c>
    </row>
    <row r="50" spans="1:13" ht="27.9" hidden="1" customHeight="1" x14ac:dyDescent="0.4">
      <c r="A50" s="94" t="s">
        <v>215</v>
      </c>
      <c r="B50" s="38" t="s">
        <v>211</v>
      </c>
      <c r="C50" s="38" t="s">
        <v>218</v>
      </c>
      <c r="D50" s="95">
        <v>0</v>
      </c>
      <c r="E50" s="96">
        <f>$E$31*'DIA-INCH'!$C27</f>
        <v>1100000</v>
      </c>
      <c r="F50" s="97">
        <f t="shared" si="0"/>
        <v>0</v>
      </c>
      <c r="G50" s="97">
        <f t="shared" si="0"/>
        <v>0</v>
      </c>
      <c r="H50" s="94"/>
      <c r="I50" s="94"/>
      <c r="J50" s="97">
        <f t="shared" si="3"/>
        <v>0</v>
      </c>
      <c r="K50" s="97">
        <f t="shared" si="4"/>
        <v>0</v>
      </c>
      <c r="L50" s="97">
        <f t="shared" si="2"/>
        <v>0</v>
      </c>
      <c r="M50" s="97">
        <f t="shared" si="2"/>
        <v>0</v>
      </c>
    </row>
    <row r="51" spans="1:13" ht="27.9" hidden="1" customHeight="1" x14ac:dyDescent="0.4">
      <c r="A51" s="210" t="s">
        <v>220</v>
      </c>
      <c r="B51" s="211"/>
      <c r="C51" s="211"/>
      <c r="D51" s="211"/>
      <c r="E51" s="212"/>
      <c r="F51" s="156">
        <f>SUM(F5:F50)</f>
        <v>270</v>
      </c>
      <c r="G51" s="98">
        <f t="shared" ref="G51:M51" si="5">SUM(G5:G50)</f>
        <v>128250000</v>
      </c>
      <c r="H51" s="156">
        <f t="shared" si="5"/>
        <v>0</v>
      </c>
      <c r="I51" s="98">
        <f t="shared" si="5"/>
        <v>0</v>
      </c>
      <c r="J51" s="156">
        <f t="shared" si="5"/>
        <v>270</v>
      </c>
      <c r="K51" s="98">
        <f t="shared" si="5"/>
        <v>128250000</v>
      </c>
      <c r="L51" s="156">
        <f t="shared" si="5"/>
        <v>270</v>
      </c>
      <c r="M51" s="98">
        <f t="shared" si="5"/>
        <v>128250000</v>
      </c>
    </row>
  </sheetData>
  <autoFilter ref="A4:M51" xr:uid="{063759AB-1AE6-4F33-9A3B-146F48FA91C0}">
    <filterColumn colId="3">
      <filters>
        <filter val="4"/>
        <filter val="127"/>
      </filters>
    </filterColumn>
  </autoFilter>
  <mergeCells count="11">
    <mergeCell ref="A51:E51"/>
    <mergeCell ref="A1:M1"/>
    <mergeCell ref="A3:A4"/>
    <mergeCell ref="B3:B4"/>
    <mergeCell ref="C3:C4"/>
    <mergeCell ref="D3:D4"/>
    <mergeCell ref="E3:E4"/>
    <mergeCell ref="F3:G3"/>
    <mergeCell ref="H3:I3"/>
    <mergeCell ref="J3:K3"/>
    <mergeCell ref="L3:M3"/>
  </mergeCells>
  <phoneticPr fontId="4" type="noConversion"/>
  <pageMargins left="0.7" right="0.7" top="0.75" bottom="0.75" header="0.3" footer="0.3"/>
  <pageSetup paperSize="9" scale="61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P118"/>
  <sheetViews>
    <sheetView view="pageBreakPreview" topLeftCell="F1" zoomScale="70" zoomScaleNormal="70" zoomScaleSheetLayoutView="70" workbookViewId="0">
      <selection sqref="A1:AG3"/>
    </sheetView>
  </sheetViews>
  <sheetFormatPr defaultRowHeight="17.399999999999999" x14ac:dyDescent="0.4"/>
  <cols>
    <col min="1" max="1" width="6.3984375" style="100" bestFit="1" customWidth="1"/>
    <col min="2" max="2" width="9.19921875" style="100" customWidth="1"/>
    <col min="3" max="3" width="18.09765625" style="100" customWidth="1"/>
    <col min="4" max="4" width="11.19921875" style="100" customWidth="1"/>
    <col min="5" max="5" width="18.09765625" style="100" customWidth="1"/>
    <col min="6" max="6" width="11.09765625" style="100" customWidth="1"/>
    <col min="7" max="7" width="9.3984375" style="101" customWidth="1"/>
    <col min="8" max="8" width="21.59765625" style="101" customWidth="1"/>
    <col min="9" max="39" width="7.59765625" style="100" customWidth="1"/>
    <col min="40" max="40" width="11.8984375" style="100" customWidth="1"/>
    <col min="41" max="41" width="15.8984375" style="141" bestFit="1" customWidth="1"/>
    <col min="42" max="42" width="18.19921875" style="143" bestFit="1" customWidth="1"/>
  </cols>
  <sheetData>
    <row r="1" spans="1:42" ht="32.1" customHeight="1" x14ac:dyDescent="0.4">
      <c r="A1" s="228" t="s">
        <v>376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  <c r="AG1" s="230"/>
      <c r="AH1" s="219" t="s">
        <v>221</v>
      </c>
      <c r="AI1" s="220"/>
      <c r="AJ1" s="220"/>
      <c r="AK1" s="220"/>
      <c r="AL1" s="221"/>
      <c r="AM1" s="216" t="str">
        <f>'용역청구서 표지'!$B$7</f>
        <v>P4 Ph4 GAS 1공구 마감공사</v>
      </c>
      <c r="AN1" s="217"/>
      <c r="AO1" s="217"/>
      <c r="AP1" s="218"/>
    </row>
    <row r="2" spans="1:42" ht="32.1" customHeight="1" x14ac:dyDescent="0.4">
      <c r="A2" s="231"/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2"/>
      <c r="P2" s="232"/>
      <c r="Q2" s="232"/>
      <c r="R2" s="232"/>
      <c r="S2" s="232"/>
      <c r="T2" s="232"/>
      <c r="U2" s="232"/>
      <c r="V2" s="232"/>
      <c r="W2" s="232"/>
      <c r="X2" s="232"/>
      <c r="Y2" s="232"/>
      <c r="Z2" s="232"/>
      <c r="AA2" s="232"/>
      <c r="AB2" s="232"/>
      <c r="AC2" s="232"/>
      <c r="AD2" s="232"/>
      <c r="AE2" s="232"/>
      <c r="AF2" s="232"/>
      <c r="AG2" s="233"/>
      <c r="AH2" s="219" t="s">
        <v>222</v>
      </c>
      <c r="AI2" s="220"/>
      <c r="AJ2" s="220"/>
      <c r="AK2" s="220"/>
      <c r="AL2" s="221"/>
      <c r="AM2" s="216" t="s">
        <v>309</v>
      </c>
      <c r="AN2" s="217"/>
      <c r="AO2" s="217"/>
      <c r="AP2" s="218"/>
    </row>
    <row r="3" spans="1:42" ht="32.1" customHeight="1" x14ac:dyDescent="0.4">
      <c r="A3" s="234"/>
      <c r="B3" s="235"/>
      <c r="C3" s="235"/>
      <c r="D3" s="235"/>
      <c r="E3" s="235"/>
      <c r="F3" s="235"/>
      <c r="G3" s="235"/>
      <c r="H3" s="235"/>
      <c r="I3" s="235"/>
      <c r="J3" s="235"/>
      <c r="K3" s="235"/>
      <c r="L3" s="235"/>
      <c r="M3" s="235"/>
      <c r="N3" s="235"/>
      <c r="O3" s="235"/>
      <c r="P3" s="235"/>
      <c r="Q3" s="235"/>
      <c r="R3" s="235"/>
      <c r="S3" s="235"/>
      <c r="T3" s="235"/>
      <c r="U3" s="235"/>
      <c r="V3" s="235"/>
      <c r="W3" s="235"/>
      <c r="X3" s="235"/>
      <c r="Y3" s="235"/>
      <c r="Z3" s="235"/>
      <c r="AA3" s="235"/>
      <c r="AB3" s="235"/>
      <c r="AC3" s="235"/>
      <c r="AD3" s="235"/>
      <c r="AE3" s="235"/>
      <c r="AF3" s="235"/>
      <c r="AG3" s="236"/>
      <c r="AH3" s="219" t="s">
        <v>223</v>
      </c>
      <c r="AI3" s="220"/>
      <c r="AJ3" s="220"/>
      <c r="AK3" s="220"/>
      <c r="AL3" s="221"/>
      <c r="AM3" s="216" t="str">
        <f>'용역청구서 표지'!$C$8</f>
        <v>S25-004</v>
      </c>
      <c r="AN3" s="217"/>
      <c r="AO3" s="217"/>
      <c r="AP3" s="218"/>
    </row>
    <row r="4" spans="1:42" ht="24.9" customHeight="1" thickBot="1" x14ac:dyDescent="0.45">
      <c r="AH4" s="102"/>
      <c r="AI4" s="102"/>
      <c r="AJ4" s="102"/>
      <c r="AK4" s="102"/>
      <c r="AL4" s="102"/>
      <c r="AM4" s="102"/>
      <c r="AN4" s="102"/>
      <c r="AO4" s="103"/>
      <c r="AP4" s="104"/>
    </row>
    <row r="5" spans="1:42" ht="24.9" customHeight="1" thickBot="1" x14ac:dyDescent="0.45">
      <c r="A5" s="105" t="s">
        <v>224</v>
      </c>
      <c r="B5" s="106" t="s">
        <v>225</v>
      </c>
      <c r="C5" s="106" t="s">
        <v>226</v>
      </c>
      <c r="D5" s="106" t="s">
        <v>227</v>
      </c>
      <c r="E5" s="106" t="s">
        <v>228</v>
      </c>
      <c r="F5" s="106" t="s">
        <v>229</v>
      </c>
      <c r="G5" s="107" t="s">
        <v>230</v>
      </c>
      <c r="H5" s="108" t="s">
        <v>231</v>
      </c>
      <c r="I5" s="109">
        <v>1</v>
      </c>
      <c r="J5" s="109">
        <v>2</v>
      </c>
      <c r="K5" s="109">
        <v>3</v>
      </c>
      <c r="L5" s="109">
        <v>4</v>
      </c>
      <c r="M5" s="162">
        <v>5</v>
      </c>
      <c r="N5" s="110">
        <v>6</v>
      </c>
      <c r="O5" s="109">
        <v>7</v>
      </c>
      <c r="P5" s="109">
        <v>8</v>
      </c>
      <c r="Q5" s="109">
        <v>9</v>
      </c>
      <c r="R5" s="109">
        <v>10</v>
      </c>
      <c r="S5" s="109">
        <v>11</v>
      </c>
      <c r="T5" s="162">
        <v>12</v>
      </c>
      <c r="U5" s="110">
        <v>13</v>
      </c>
      <c r="V5" s="109">
        <v>14</v>
      </c>
      <c r="W5" s="109">
        <v>15</v>
      </c>
      <c r="X5" s="109">
        <v>16</v>
      </c>
      <c r="Y5" s="109">
        <v>17</v>
      </c>
      <c r="Z5" s="109">
        <v>18</v>
      </c>
      <c r="AA5" s="162">
        <v>19</v>
      </c>
      <c r="AB5" s="110">
        <v>20</v>
      </c>
      <c r="AC5" s="109">
        <v>21</v>
      </c>
      <c r="AD5" s="109">
        <v>22</v>
      </c>
      <c r="AE5" s="109">
        <v>23</v>
      </c>
      <c r="AF5" s="109">
        <v>24</v>
      </c>
      <c r="AG5" s="110">
        <v>25</v>
      </c>
      <c r="AH5" s="162">
        <v>26</v>
      </c>
      <c r="AI5" s="110">
        <v>27</v>
      </c>
      <c r="AJ5" s="109">
        <v>28</v>
      </c>
      <c r="AK5" s="109">
        <v>29</v>
      </c>
      <c r="AL5" s="109">
        <v>30</v>
      </c>
      <c r="AM5" s="111">
        <v>31</v>
      </c>
      <c r="AN5" s="112" t="s">
        <v>232</v>
      </c>
      <c r="AO5" s="106" t="s">
        <v>233</v>
      </c>
      <c r="AP5" s="113" t="s">
        <v>234</v>
      </c>
    </row>
    <row r="6" spans="1:42" ht="24.9" customHeight="1" x14ac:dyDescent="0.4">
      <c r="A6" s="114">
        <v>1</v>
      </c>
      <c r="B6" s="115" t="s">
        <v>310</v>
      </c>
      <c r="C6" s="116" t="s">
        <v>311</v>
      </c>
      <c r="D6" s="116" t="s">
        <v>238</v>
      </c>
      <c r="E6" s="38" t="s">
        <v>312</v>
      </c>
      <c r="F6" s="117" t="s">
        <v>313</v>
      </c>
      <c r="G6" s="118" t="s">
        <v>310</v>
      </c>
      <c r="H6" s="119" t="s">
        <v>314</v>
      </c>
      <c r="I6" s="120">
        <v>1</v>
      </c>
      <c r="J6" s="120">
        <v>1</v>
      </c>
      <c r="K6" s="120">
        <v>1</v>
      </c>
      <c r="L6" s="120">
        <v>1</v>
      </c>
      <c r="M6" s="120">
        <v>1</v>
      </c>
      <c r="N6" s="120">
        <v>1</v>
      </c>
      <c r="O6" s="120"/>
      <c r="P6" s="120">
        <v>1</v>
      </c>
      <c r="Q6" s="120">
        <v>1</v>
      </c>
      <c r="R6" s="120">
        <v>1</v>
      </c>
      <c r="S6" s="120">
        <v>1</v>
      </c>
      <c r="T6" s="120">
        <v>1</v>
      </c>
      <c r="U6" s="120"/>
      <c r="V6" s="120"/>
      <c r="W6" s="120">
        <v>1</v>
      </c>
      <c r="X6" s="120">
        <v>1</v>
      </c>
      <c r="Y6" s="120">
        <v>1</v>
      </c>
      <c r="Z6" s="120">
        <v>1</v>
      </c>
      <c r="AA6" s="120">
        <v>1</v>
      </c>
      <c r="AB6" s="120"/>
      <c r="AC6" s="120"/>
      <c r="AD6" s="120">
        <v>1</v>
      </c>
      <c r="AE6" s="120">
        <v>1</v>
      </c>
      <c r="AF6" s="120">
        <v>1</v>
      </c>
      <c r="AG6" s="120"/>
      <c r="AH6" s="120">
        <v>1</v>
      </c>
      <c r="AI6" s="120"/>
      <c r="AJ6" s="120"/>
      <c r="AK6" s="120">
        <v>1</v>
      </c>
      <c r="AL6" s="120">
        <v>1</v>
      </c>
      <c r="AM6" s="120">
        <v>1</v>
      </c>
      <c r="AN6" s="121">
        <f>SUM(I6:AM6)</f>
        <v>23</v>
      </c>
      <c r="AO6" s="117">
        <v>210000</v>
      </c>
      <c r="AP6" s="122">
        <f>AN6*AO6</f>
        <v>4830000</v>
      </c>
    </row>
    <row r="7" spans="1:42" ht="24.9" customHeight="1" x14ac:dyDescent="0.4">
      <c r="A7" s="114">
        <v>2</v>
      </c>
      <c r="B7" s="115" t="s">
        <v>377</v>
      </c>
      <c r="C7" s="116" t="s">
        <v>384</v>
      </c>
      <c r="D7" s="124" t="s">
        <v>235</v>
      </c>
      <c r="E7" s="161" t="s">
        <v>394</v>
      </c>
      <c r="F7" s="125" t="s">
        <v>236</v>
      </c>
      <c r="G7" s="118" t="s">
        <v>377</v>
      </c>
      <c r="H7" s="119" t="s">
        <v>405</v>
      </c>
      <c r="I7" s="120"/>
      <c r="J7" s="120"/>
      <c r="K7" s="120"/>
      <c r="L7" s="120"/>
      <c r="M7" s="120"/>
      <c r="N7" s="120"/>
      <c r="O7" s="120"/>
      <c r="P7" s="120">
        <v>0.625</v>
      </c>
      <c r="Q7" s="120"/>
      <c r="R7" s="120">
        <v>1</v>
      </c>
      <c r="S7" s="120">
        <v>1</v>
      </c>
      <c r="T7" s="120">
        <v>1</v>
      </c>
      <c r="U7" s="120"/>
      <c r="V7" s="120"/>
      <c r="W7" s="120"/>
      <c r="X7" s="120">
        <v>1</v>
      </c>
      <c r="Y7" s="120">
        <v>1</v>
      </c>
      <c r="Z7" s="120">
        <v>1</v>
      </c>
      <c r="AA7" s="120">
        <v>1</v>
      </c>
      <c r="AB7" s="120"/>
      <c r="AC7" s="120"/>
      <c r="AD7" s="120">
        <v>1</v>
      </c>
      <c r="AE7" s="120">
        <v>1</v>
      </c>
      <c r="AF7" s="120">
        <v>1</v>
      </c>
      <c r="AG7" s="120"/>
      <c r="AH7" s="120">
        <v>1</v>
      </c>
      <c r="AI7" s="120"/>
      <c r="AJ7" s="120"/>
      <c r="AK7" s="120">
        <v>1</v>
      </c>
      <c r="AL7" s="120">
        <v>1</v>
      </c>
      <c r="AM7" s="120">
        <v>1</v>
      </c>
      <c r="AN7" s="121">
        <f t="shared" ref="AN7:AN15" si="0">SUM(I7:AM7)</f>
        <v>14.625</v>
      </c>
      <c r="AO7" s="117">
        <v>170000</v>
      </c>
      <c r="AP7" s="122">
        <f t="shared" ref="AP7:AP15" si="1">AN7*AO7</f>
        <v>2486250</v>
      </c>
    </row>
    <row r="8" spans="1:42" ht="24.9" customHeight="1" x14ac:dyDescent="0.4">
      <c r="A8" s="114">
        <v>3</v>
      </c>
      <c r="B8" s="115" t="s">
        <v>315</v>
      </c>
      <c r="C8" s="116" t="s">
        <v>316</v>
      </c>
      <c r="D8" s="126" t="s">
        <v>392</v>
      </c>
      <c r="E8" s="38" t="s">
        <v>395</v>
      </c>
      <c r="F8" s="125" t="s">
        <v>240</v>
      </c>
      <c r="G8" s="118" t="s">
        <v>315</v>
      </c>
      <c r="H8" s="119" t="s">
        <v>317</v>
      </c>
      <c r="I8" s="120">
        <v>1</v>
      </c>
      <c r="J8" s="120">
        <v>1</v>
      </c>
      <c r="K8" s="120">
        <v>1</v>
      </c>
      <c r="L8" s="120">
        <v>1</v>
      </c>
      <c r="M8" s="120">
        <v>1</v>
      </c>
      <c r="N8" s="120">
        <v>1</v>
      </c>
      <c r="O8" s="120"/>
      <c r="P8" s="120">
        <v>1</v>
      </c>
      <c r="Q8" s="120">
        <v>1</v>
      </c>
      <c r="R8" s="120">
        <v>1</v>
      </c>
      <c r="S8" s="120">
        <v>1</v>
      </c>
      <c r="T8" s="120">
        <v>1</v>
      </c>
      <c r="U8" s="120"/>
      <c r="V8" s="120"/>
      <c r="W8" s="120">
        <v>1</v>
      </c>
      <c r="X8" s="120">
        <v>1</v>
      </c>
      <c r="Y8" s="120">
        <v>1</v>
      </c>
      <c r="Z8" s="120">
        <v>1</v>
      </c>
      <c r="AA8" s="120">
        <v>1</v>
      </c>
      <c r="AB8" s="120"/>
      <c r="AC8" s="120"/>
      <c r="AD8" s="120">
        <v>1</v>
      </c>
      <c r="AE8" s="120">
        <v>1</v>
      </c>
      <c r="AF8" s="120">
        <v>1</v>
      </c>
      <c r="AG8" s="120"/>
      <c r="AH8" s="120">
        <v>1</v>
      </c>
      <c r="AI8" s="120"/>
      <c r="AJ8" s="120"/>
      <c r="AK8" s="120">
        <v>1</v>
      </c>
      <c r="AL8" s="120">
        <v>1</v>
      </c>
      <c r="AM8" s="120">
        <v>1</v>
      </c>
      <c r="AN8" s="121">
        <f t="shared" si="0"/>
        <v>23</v>
      </c>
      <c r="AO8" s="117">
        <v>250000</v>
      </c>
      <c r="AP8" s="122">
        <f t="shared" si="1"/>
        <v>5750000</v>
      </c>
    </row>
    <row r="9" spans="1:42" ht="24.9" customHeight="1" x14ac:dyDescent="0.4">
      <c r="A9" s="114">
        <v>4</v>
      </c>
      <c r="B9" s="115" t="s">
        <v>378</v>
      </c>
      <c r="C9" s="116" t="s">
        <v>385</v>
      </c>
      <c r="D9" s="124" t="s">
        <v>235</v>
      </c>
      <c r="E9" s="161" t="s">
        <v>396</v>
      </c>
      <c r="F9" s="125" t="s">
        <v>236</v>
      </c>
      <c r="G9" s="118" t="s">
        <v>378</v>
      </c>
      <c r="H9" s="119" t="s">
        <v>406</v>
      </c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>
        <v>0.625</v>
      </c>
      <c r="X9" s="120"/>
      <c r="Y9" s="120">
        <v>1</v>
      </c>
      <c r="Z9" s="120">
        <v>1</v>
      </c>
      <c r="AA9" s="120">
        <v>1</v>
      </c>
      <c r="AB9" s="120"/>
      <c r="AC9" s="120"/>
      <c r="AD9" s="120">
        <v>1</v>
      </c>
      <c r="AE9" s="120">
        <v>1</v>
      </c>
      <c r="AF9" s="120">
        <v>1</v>
      </c>
      <c r="AG9" s="120"/>
      <c r="AH9" s="120">
        <v>1</v>
      </c>
      <c r="AI9" s="120"/>
      <c r="AJ9" s="120"/>
      <c r="AK9" s="120">
        <v>1</v>
      </c>
      <c r="AL9" s="120">
        <v>1</v>
      </c>
      <c r="AM9" s="120">
        <v>1</v>
      </c>
      <c r="AN9" s="121">
        <f t="shared" si="0"/>
        <v>10.625</v>
      </c>
      <c r="AO9" s="117">
        <v>140000</v>
      </c>
      <c r="AP9" s="122">
        <f t="shared" si="1"/>
        <v>1487500</v>
      </c>
    </row>
    <row r="10" spans="1:42" ht="24.9" customHeight="1" x14ac:dyDescent="0.4">
      <c r="A10" s="114">
        <v>5</v>
      </c>
      <c r="B10" s="115" t="s">
        <v>318</v>
      </c>
      <c r="C10" s="116" t="s">
        <v>319</v>
      </c>
      <c r="D10" s="124" t="s">
        <v>238</v>
      </c>
      <c r="E10" s="161" t="s">
        <v>320</v>
      </c>
      <c r="F10" s="125" t="s">
        <v>239</v>
      </c>
      <c r="G10" s="118" t="s">
        <v>318</v>
      </c>
      <c r="H10" s="119" t="s">
        <v>321</v>
      </c>
      <c r="I10" s="120">
        <v>1</v>
      </c>
      <c r="J10" s="120">
        <v>1</v>
      </c>
      <c r="K10" s="120">
        <v>1</v>
      </c>
      <c r="L10" s="120">
        <v>1</v>
      </c>
      <c r="M10" s="120">
        <v>1</v>
      </c>
      <c r="N10" s="120">
        <v>1</v>
      </c>
      <c r="O10" s="120"/>
      <c r="P10" s="120">
        <v>1</v>
      </c>
      <c r="Q10" s="120">
        <v>1</v>
      </c>
      <c r="R10" s="120">
        <v>1</v>
      </c>
      <c r="S10" s="120">
        <v>1</v>
      </c>
      <c r="T10" s="120">
        <v>1</v>
      </c>
      <c r="U10" s="120"/>
      <c r="V10" s="120"/>
      <c r="W10" s="120">
        <v>1</v>
      </c>
      <c r="X10" s="120">
        <v>1</v>
      </c>
      <c r="Y10" s="120">
        <v>1</v>
      </c>
      <c r="Z10" s="120">
        <v>1</v>
      </c>
      <c r="AA10" s="120">
        <v>1</v>
      </c>
      <c r="AB10" s="120"/>
      <c r="AC10" s="120"/>
      <c r="AD10" s="120">
        <v>1</v>
      </c>
      <c r="AE10" s="120">
        <v>1</v>
      </c>
      <c r="AF10" s="120">
        <v>1</v>
      </c>
      <c r="AG10" s="120"/>
      <c r="AH10" s="120">
        <v>1</v>
      </c>
      <c r="AI10" s="120"/>
      <c r="AJ10" s="120"/>
      <c r="AK10" s="120">
        <v>1</v>
      </c>
      <c r="AL10" s="120">
        <v>1</v>
      </c>
      <c r="AM10" s="120">
        <v>1</v>
      </c>
      <c r="AN10" s="121">
        <f t="shared" si="0"/>
        <v>23</v>
      </c>
      <c r="AO10" s="117">
        <v>210000</v>
      </c>
      <c r="AP10" s="122">
        <f t="shared" si="1"/>
        <v>4830000</v>
      </c>
    </row>
    <row r="11" spans="1:42" ht="24.9" customHeight="1" x14ac:dyDescent="0.4">
      <c r="A11" s="114">
        <v>6</v>
      </c>
      <c r="B11" s="115" t="s">
        <v>322</v>
      </c>
      <c r="C11" s="116" t="s">
        <v>323</v>
      </c>
      <c r="D11" s="126" t="s">
        <v>235</v>
      </c>
      <c r="E11" s="161" t="s">
        <v>324</v>
      </c>
      <c r="F11" s="125" t="s">
        <v>236</v>
      </c>
      <c r="G11" s="118" t="s">
        <v>322</v>
      </c>
      <c r="H11" s="119" t="s">
        <v>325</v>
      </c>
      <c r="I11" s="120">
        <v>1</v>
      </c>
      <c r="J11" s="120">
        <v>1</v>
      </c>
      <c r="K11" s="120">
        <v>1</v>
      </c>
      <c r="L11" s="120">
        <v>1</v>
      </c>
      <c r="M11" s="120">
        <v>1</v>
      </c>
      <c r="N11" s="100">
        <v>1</v>
      </c>
      <c r="O11" s="120"/>
      <c r="P11" s="120">
        <v>1</v>
      </c>
      <c r="Q11" s="120">
        <v>1</v>
      </c>
      <c r="R11" s="120">
        <v>1</v>
      </c>
      <c r="S11" s="120">
        <v>1</v>
      </c>
      <c r="T11" s="120">
        <v>1</v>
      </c>
      <c r="U11" s="120"/>
      <c r="V11" s="120"/>
      <c r="W11" s="120">
        <v>1</v>
      </c>
      <c r="X11" s="120">
        <v>1</v>
      </c>
      <c r="Y11" s="120">
        <v>1</v>
      </c>
      <c r="Z11" s="120">
        <v>1</v>
      </c>
      <c r="AA11" s="120">
        <v>1</v>
      </c>
      <c r="AB11" s="120"/>
      <c r="AC11" s="120"/>
      <c r="AD11" s="120">
        <v>1</v>
      </c>
      <c r="AE11" s="120">
        <v>1</v>
      </c>
      <c r="AF11" s="120">
        <v>1</v>
      </c>
      <c r="AG11" s="120"/>
      <c r="AH11" s="120">
        <v>1</v>
      </c>
      <c r="AI11" s="120"/>
      <c r="AJ11" s="120"/>
      <c r="AK11" s="120"/>
      <c r="AL11" s="120"/>
      <c r="AM11" s="120">
        <v>1</v>
      </c>
      <c r="AN11" s="121">
        <f t="shared" si="0"/>
        <v>21</v>
      </c>
      <c r="AO11" s="117">
        <v>180000</v>
      </c>
      <c r="AP11" s="122">
        <f t="shared" si="1"/>
        <v>3780000</v>
      </c>
    </row>
    <row r="12" spans="1:42" ht="24.9" customHeight="1" x14ac:dyDescent="0.4">
      <c r="A12" s="114">
        <v>7</v>
      </c>
      <c r="B12" s="115" t="s">
        <v>326</v>
      </c>
      <c r="C12" s="116" t="s">
        <v>327</v>
      </c>
      <c r="D12" s="124" t="s">
        <v>237</v>
      </c>
      <c r="E12" s="161" t="s">
        <v>328</v>
      </c>
      <c r="F12" s="125" t="s">
        <v>239</v>
      </c>
      <c r="G12" s="118" t="s">
        <v>326</v>
      </c>
      <c r="H12" s="119" t="s">
        <v>329</v>
      </c>
      <c r="I12" s="120">
        <v>1</v>
      </c>
      <c r="J12" s="120">
        <v>1</v>
      </c>
      <c r="K12" s="120">
        <v>1</v>
      </c>
      <c r="L12" s="120">
        <v>1</v>
      </c>
      <c r="M12" s="120">
        <v>1</v>
      </c>
      <c r="N12" s="120">
        <v>1</v>
      </c>
      <c r="O12" s="120"/>
      <c r="P12" s="120">
        <v>1</v>
      </c>
      <c r="Q12" s="120">
        <v>1</v>
      </c>
      <c r="R12" s="120">
        <v>1</v>
      </c>
      <c r="S12" s="120">
        <v>1</v>
      </c>
      <c r="T12" s="120">
        <v>1</v>
      </c>
      <c r="U12" s="120"/>
      <c r="V12" s="120"/>
      <c r="W12" s="120">
        <v>1</v>
      </c>
      <c r="X12" s="120">
        <v>1</v>
      </c>
      <c r="Y12" s="120">
        <v>1</v>
      </c>
      <c r="Z12" s="120">
        <v>1</v>
      </c>
      <c r="AA12" s="120">
        <v>1</v>
      </c>
      <c r="AB12" s="120"/>
      <c r="AC12" s="120"/>
      <c r="AD12" s="120">
        <v>1</v>
      </c>
      <c r="AE12" s="120">
        <v>1</v>
      </c>
      <c r="AF12" s="120">
        <v>1</v>
      </c>
      <c r="AG12" s="120"/>
      <c r="AH12" s="120">
        <v>1</v>
      </c>
      <c r="AI12" s="120"/>
      <c r="AJ12" s="120"/>
      <c r="AK12" s="120">
        <v>1</v>
      </c>
      <c r="AL12" s="120">
        <v>1</v>
      </c>
      <c r="AM12" s="120"/>
      <c r="AN12" s="121">
        <f t="shared" si="0"/>
        <v>22</v>
      </c>
      <c r="AO12" s="117">
        <v>240000</v>
      </c>
      <c r="AP12" s="122">
        <f t="shared" si="1"/>
        <v>5280000</v>
      </c>
    </row>
    <row r="13" spans="1:42" ht="24.9" customHeight="1" x14ac:dyDescent="0.4">
      <c r="A13" s="114">
        <v>8</v>
      </c>
      <c r="B13" s="115" t="s">
        <v>379</v>
      </c>
      <c r="C13" s="116" t="s">
        <v>386</v>
      </c>
      <c r="D13" s="126" t="s">
        <v>235</v>
      </c>
      <c r="E13" s="161" t="s">
        <v>397</v>
      </c>
      <c r="F13" s="125" t="s">
        <v>236</v>
      </c>
      <c r="G13" s="118" t="s">
        <v>379</v>
      </c>
      <c r="H13" s="119">
        <v>99936850449</v>
      </c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>
        <v>0.625</v>
      </c>
      <c r="X13" s="120"/>
      <c r="Y13" s="120">
        <v>1</v>
      </c>
      <c r="Z13" s="120">
        <v>1</v>
      </c>
      <c r="AA13" s="120">
        <v>1</v>
      </c>
      <c r="AB13" s="120"/>
      <c r="AC13" s="120"/>
      <c r="AD13" s="120">
        <v>1</v>
      </c>
      <c r="AE13" s="120">
        <v>1</v>
      </c>
      <c r="AF13" s="120">
        <v>1</v>
      </c>
      <c r="AG13" s="120"/>
      <c r="AH13" s="120">
        <v>1</v>
      </c>
      <c r="AI13" s="120"/>
      <c r="AJ13" s="120"/>
      <c r="AK13" s="120">
        <v>1</v>
      </c>
      <c r="AL13" s="120">
        <v>1</v>
      </c>
      <c r="AM13" s="120">
        <v>1</v>
      </c>
      <c r="AN13" s="121">
        <f t="shared" si="0"/>
        <v>10.625</v>
      </c>
      <c r="AO13" s="117">
        <v>210000</v>
      </c>
      <c r="AP13" s="122">
        <f t="shared" si="1"/>
        <v>2231250</v>
      </c>
    </row>
    <row r="14" spans="1:42" ht="24.9" customHeight="1" x14ac:dyDescent="0.4">
      <c r="A14" s="114">
        <v>9</v>
      </c>
      <c r="B14" s="115" t="s">
        <v>330</v>
      </c>
      <c r="C14" s="116" t="s">
        <v>331</v>
      </c>
      <c r="D14" s="126" t="s">
        <v>238</v>
      </c>
      <c r="E14" s="161" t="s">
        <v>332</v>
      </c>
      <c r="F14" s="125" t="s">
        <v>313</v>
      </c>
      <c r="G14" s="118" t="s">
        <v>330</v>
      </c>
      <c r="H14" s="119" t="s">
        <v>333</v>
      </c>
      <c r="I14" s="120">
        <v>1</v>
      </c>
      <c r="J14" s="120">
        <v>1</v>
      </c>
      <c r="K14" s="120">
        <v>1</v>
      </c>
      <c r="L14" s="120">
        <v>1</v>
      </c>
      <c r="M14" s="120">
        <v>1</v>
      </c>
      <c r="N14" s="120">
        <v>1</v>
      </c>
      <c r="O14" s="120"/>
      <c r="P14" s="120">
        <v>1</v>
      </c>
      <c r="Q14" s="120">
        <v>1</v>
      </c>
      <c r="R14" s="120">
        <v>1</v>
      </c>
      <c r="S14" s="120">
        <v>1</v>
      </c>
      <c r="T14" s="120">
        <v>1</v>
      </c>
      <c r="U14" s="120"/>
      <c r="V14" s="120"/>
      <c r="W14" s="120">
        <v>1</v>
      </c>
      <c r="X14" s="120">
        <v>1</v>
      </c>
      <c r="Y14" s="120">
        <v>1</v>
      </c>
      <c r="Z14" s="120">
        <v>1</v>
      </c>
      <c r="AA14" s="120">
        <v>1</v>
      </c>
      <c r="AB14" s="120"/>
      <c r="AC14" s="120"/>
      <c r="AD14" s="120">
        <v>1</v>
      </c>
      <c r="AE14" s="120">
        <v>1</v>
      </c>
      <c r="AF14" s="120">
        <v>1</v>
      </c>
      <c r="AG14" s="120"/>
      <c r="AH14" s="120">
        <v>1</v>
      </c>
      <c r="AI14" s="120"/>
      <c r="AJ14" s="120"/>
      <c r="AK14" s="120">
        <v>1</v>
      </c>
      <c r="AL14" s="120">
        <v>1</v>
      </c>
      <c r="AM14" s="120">
        <v>1</v>
      </c>
      <c r="AN14" s="121">
        <f t="shared" si="0"/>
        <v>23</v>
      </c>
      <c r="AO14" s="117">
        <v>240000</v>
      </c>
      <c r="AP14" s="122">
        <f t="shared" si="1"/>
        <v>5520000</v>
      </c>
    </row>
    <row r="15" spans="1:42" ht="24.9" customHeight="1" x14ac:dyDescent="0.4">
      <c r="A15" s="114">
        <v>10</v>
      </c>
      <c r="B15" s="115" t="s">
        <v>334</v>
      </c>
      <c r="C15" s="116" t="s">
        <v>335</v>
      </c>
      <c r="D15" s="128" t="s">
        <v>392</v>
      </c>
      <c r="E15" s="38" t="s">
        <v>336</v>
      </c>
      <c r="F15" s="129" t="s">
        <v>337</v>
      </c>
      <c r="G15" s="118" t="s">
        <v>334</v>
      </c>
      <c r="H15" s="119" t="s">
        <v>338</v>
      </c>
      <c r="I15" s="120">
        <v>1</v>
      </c>
      <c r="J15" s="120">
        <v>1</v>
      </c>
      <c r="K15" s="120">
        <v>1</v>
      </c>
      <c r="L15" s="120">
        <v>1</v>
      </c>
      <c r="M15" s="120">
        <v>1</v>
      </c>
      <c r="N15" s="120">
        <v>1</v>
      </c>
      <c r="O15" s="120"/>
      <c r="P15" s="120">
        <v>1</v>
      </c>
      <c r="Q15" s="120">
        <v>1</v>
      </c>
      <c r="R15" s="120">
        <v>1</v>
      </c>
      <c r="S15" s="120">
        <v>1</v>
      </c>
      <c r="T15" s="120">
        <v>1</v>
      </c>
      <c r="U15" s="120"/>
      <c r="V15" s="120"/>
      <c r="W15" s="120">
        <v>1</v>
      </c>
      <c r="X15" s="120">
        <v>1</v>
      </c>
      <c r="Y15" s="120">
        <v>1</v>
      </c>
      <c r="Z15" s="120">
        <v>1</v>
      </c>
      <c r="AA15" s="120">
        <v>1</v>
      </c>
      <c r="AB15" s="120"/>
      <c r="AC15" s="120"/>
      <c r="AD15" s="120">
        <v>1</v>
      </c>
      <c r="AE15" s="120">
        <v>1</v>
      </c>
      <c r="AF15" s="120">
        <v>1</v>
      </c>
      <c r="AG15" s="120"/>
      <c r="AH15" s="120">
        <v>1</v>
      </c>
      <c r="AI15" s="120"/>
      <c r="AJ15" s="120"/>
      <c r="AK15" s="120">
        <v>1</v>
      </c>
      <c r="AL15" s="120">
        <v>1</v>
      </c>
      <c r="AM15" s="120">
        <v>1</v>
      </c>
      <c r="AN15" s="121">
        <f t="shared" si="0"/>
        <v>23</v>
      </c>
      <c r="AO15" s="117">
        <v>240000</v>
      </c>
      <c r="AP15" s="122">
        <f t="shared" si="1"/>
        <v>5520000</v>
      </c>
    </row>
    <row r="16" spans="1:42" ht="24.9" customHeight="1" x14ac:dyDescent="0.4">
      <c r="A16" s="114">
        <v>11</v>
      </c>
      <c r="B16" s="115" t="s">
        <v>380</v>
      </c>
      <c r="C16" s="116" t="s">
        <v>387</v>
      </c>
      <c r="D16" s="126" t="s">
        <v>238</v>
      </c>
      <c r="E16" s="38" t="s">
        <v>398</v>
      </c>
      <c r="F16" s="125" t="s">
        <v>313</v>
      </c>
      <c r="G16" s="118" t="s">
        <v>380</v>
      </c>
      <c r="H16" s="119" t="s">
        <v>407</v>
      </c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>
        <v>0.875</v>
      </c>
      <c r="X16" s="120"/>
      <c r="Y16" s="120">
        <v>1</v>
      </c>
      <c r="Z16" s="120">
        <v>1</v>
      </c>
      <c r="AA16" s="120">
        <v>1</v>
      </c>
      <c r="AB16" s="120"/>
      <c r="AC16" s="120"/>
      <c r="AD16" s="120">
        <v>1</v>
      </c>
      <c r="AE16" s="120">
        <v>1</v>
      </c>
      <c r="AF16" s="120">
        <v>1</v>
      </c>
      <c r="AG16" s="120"/>
      <c r="AH16" s="120">
        <v>1</v>
      </c>
      <c r="AI16" s="120"/>
      <c r="AJ16" s="120"/>
      <c r="AK16" s="120">
        <v>1</v>
      </c>
      <c r="AL16" s="120">
        <v>1</v>
      </c>
      <c r="AM16" s="120">
        <v>1</v>
      </c>
      <c r="AN16" s="121">
        <f t="shared" ref="AN16:AN23" si="2">SUM(I16:AM16)</f>
        <v>10.875</v>
      </c>
      <c r="AO16" s="117">
        <v>230000</v>
      </c>
      <c r="AP16" s="122">
        <f t="shared" ref="AP16:AP23" si="3">AN16*AO16</f>
        <v>2501250</v>
      </c>
    </row>
    <row r="17" spans="1:42" ht="24.9" customHeight="1" x14ac:dyDescent="0.4">
      <c r="A17" s="114">
        <v>12</v>
      </c>
      <c r="B17" s="115" t="s">
        <v>381</v>
      </c>
      <c r="C17" s="116" t="s">
        <v>388</v>
      </c>
      <c r="D17" s="128" t="s">
        <v>235</v>
      </c>
      <c r="E17" s="161" t="s">
        <v>399</v>
      </c>
      <c r="F17" s="129" t="s">
        <v>337</v>
      </c>
      <c r="G17" s="118" t="s">
        <v>381</v>
      </c>
      <c r="H17" s="119" t="s">
        <v>408</v>
      </c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>
        <v>0.625</v>
      </c>
      <c r="X17" s="120"/>
      <c r="Y17" s="120">
        <v>1</v>
      </c>
      <c r="Z17" s="120">
        <v>1</v>
      </c>
      <c r="AA17" s="120">
        <v>1</v>
      </c>
      <c r="AB17" s="120"/>
      <c r="AC17" s="120"/>
      <c r="AD17" s="120">
        <v>1</v>
      </c>
      <c r="AE17" s="120">
        <v>1</v>
      </c>
      <c r="AF17" s="120"/>
      <c r="AG17" s="120"/>
      <c r="AH17" s="120"/>
      <c r="AI17" s="120"/>
      <c r="AJ17" s="120"/>
      <c r="AK17" s="120"/>
      <c r="AL17" s="120"/>
      <c r="AM17" s="120"/>
      <c r="AN17" s="121">
        <f t="shared" si="2"/>
        <v>5.625</v>
      </c>
      <c r="AO17" s="117">
        <v>150000</v>
      </c>
      <c r="AP17" s="122">
        <f t="shared" si="3"/>
        <v>843750</v>
      </c>
    </row>
    <row r="18" spans="1:42" ht="24.9" customHeight="1" x14ac:dyDescent="0.4">
      <c r="A18" s="114">
        <v>13</v>
      </c>
      <c r="B18" s="115" t="s">
        <v>382</v>
      </c>
      <c r="C18" s="116" t="s">
        <v>389</v>
      </c>
      <c r="D18" s="124" t="s">
        <v>237</v>
      </c>
      <c r="E18" s="161" t="s">
        <v>400</v>
      </c>
      <c r="F18" s="125" t="s">
        <v>239</v>
      </c>
      <c r="G18" s="118" t="s">
        <v>382</v>
      </c>
      <c r="H18" s="119" t="s">
        <v>409</v>
      </c>
      <c r="I18" s="120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>
        <v>0.875</v>
      </c>
      <c r="X18" s="120"/>
      <c r="Y18" s="120">
        <v>1</v>
      </c>
      <c r="Z18" s="120">
        <v>1</v>
      </c>
      <c r="AA18" s="120">
        <v>1</v>
      </c>
      <c r="AB18" s="120"/>
      <c r="AC18" s="120"/>
      <c r="AD18" s="120">
        <v>1</v>
      </c>
      <c r="AE18" s="120">
        <v>1</v>
      </c>
      <c r="AF18" s="120">
        <v>1</v>
      </c>
      <c r="AG18" s="120"/>
      <c r="AH18" s="120">
        <v>1</v>
      </c>
      <c r="AI18" s="120"/>
      <c r="AJ18" s="120"/>
      <c r="AK18" s="120">
        <v>1</v>
      </c>
      <c r="AL18" s="120">
        <v>1</v>
      </c>
      <c r="AM18" s="120">
        <v>1</v>
      </c>
      <c r="AN18" s="121">
        <f t="shared" si="2"/>
        <v>10.875</v>
      </c>
      <c r="AO18" s="117">
        <v>240000</v>
      </c>
      <c r="AP18" s="122">
        <f t="shared" si="3"/>
        <v>2610000</v>
      </c>
    </row>
    <row r="19" spans="1:42" ht="24.9" customHeight="1" x14ac:dyDescent="0.4">
      <c r="A19" s="114">
        <v>14</v>
      </c>
      <c r="B19" s="115" t="s">
        <v>339</v>
      </c>
      <c r="C19" s="116" t="s">
        <v>340</v>
      </c>
      <c r="D19" s="126" t="s">
        <v>393</v>
      </c>
      <c r="E19" s="38" t="s">
        <v>341</v>
      </c>
      <c r="F19" s="125" t="s">
        <v>240</v>
      </c>
      <c r="G19" s="118" t="s">
        <v>339</v>
      </c>
      <c r="H19" s="119" t="s">
        <v>342</v>
      </c>
      <c r="I19" s="120">
        <v>1</v>
      </c>
      <c r="J19" s="120">
        <v>1</v>
      </c>
      <c r="K19" s="120">
        <v>1</v>
      </c>
      <c r="L19" s="120">
        <v>1</v>
      </c>
      <c r="M19" s="120">
        <v>1</v>
      </c>
      <c r="N19" s="120">
        <v>1</v>
      </c>
      <c r="O19" s="120"/>
      <c r="P19" s="120">
        <v>1</v>
      </c>
      <c r="Q19" s="120">
        <v>1</v>
      </c>
      <c r="R19" s="120">
        <v>1</v>
      </c>
      <c r="S19" s="120">
        <v>1</v>
      </c>
      <c r="T19" s="120">
        <v>1</v>
      </c>
      <c r="U19" s="120"/>
      <c r="V19" s="120"/>
      <c r="W19" s="120">
        <v>1</v>
      </c>
      <c r="X19" s="120">
        <v>1</v>
      </c>
      <c r="Y19" s="120">
        <v>1</v>
      </c>
      <c r="Z19" s="120">
        <v>1</v>
      </c>
      <c r="AA19" s="120">
        <v>1</v>
      </c>
      <c r="AB19" s="120"/>
      <c r="AC19" s="120"/>
      <c r="AD19" s="120">
        <v>1</v>
      </c>
      <c r="AE19" s="120">
        <v>1</v>
      </c>
      <c r="AF19" s="120">
        <v>1</v>
      </c>
      <c r="AG19" s="120"/>
      <c r="AH19" s="120">
        <v>1</v>
      </c>
      <c r="AI19" s="120"/>
      <c r="AJ19" s="120"/>
      <c r="AK19" s="120">
        <v>1</v>
      </c>
      <c r="AL19" s="120">
        <v>1</v>
      </c>
      <c r="AM19" s="120">
        <v>1</v>
      </c>
      <c r="AN19" s="121">
        <f t="shared" si="2"/>
        <v>23</v>
      </c>
      <c r="AO19" s="117">
        <v>240000</v>
      </c>
      <c r="AP19" s="122">
        <f t="shared" si="3"/>
        <v>5520000</v>
      </c>
    </row>
    <row r="20" spans="1:42" ht="24.9" customHeight="1" x14ac:dyDescent="0.4">
      <c r="A20" s="114">
        <v>15</v>
      </c>
      <c r="B20" s="115" t="s">
        <v>343</v>
      </c>
      <c r="C20" s="116" t="s">
        <v>344</v>
      </c>
      <c r="D20" s="124" t="s">
        <v>235</v>
      </c>
      <c r="E20" s="38" t="s">
        <v>345</v>
      </c>
      <c r="F20" s="125" t="s">
        <v>346</v>
      </c>
      <c r="G20" s="118" t="s">
        <v>343</v>
      </c>
      <c r="H20" s="119" t="s">
        <v>347</v>
      </c>
      <c r="I20" s="120"/>
      <c r="J20" s="120">
        <v>1</v>
      </c>
      <c r="K20" s="120">
        <v>1</v>
      </c>
      <c r="L20" s="120">
        <v>1</v>
      </c>
      <c r="M20" s="120">
        <v>1</v>
      </c>
      <c r="N20" s="120">
        <v>1</v>
      </c>
      <c r="O20" s="120"/>
      <c r="P20" s="120">
        <v>1</v>
      </c>
      <c r="Q20" s="120">
        <v>1</v>
      </c>
      <c r="R20" s="120">
        <v>1</v>
      </c>
      <c r="S20" s="120">
        <v>1</v>
      </c>
      <c r="T20" s="120">
        <v>1</v>
      </c>
      <c r="U20" s="120"/>
      <c r="V20" s="120"/>
      <c r="W20" s="120">
        <v>1</v>
      </c>
      <c r="X20" s="120">
        <v>1</v>
      </c>
      <c r="Y20" s="120">
        <v>1</v>
      </c>
      <c r="Z20" s="120">
        <v>1</v>
      </c>
      <c r="AA20" s="120">
        <v>1</v>
      </c>
      <c r="AB20" s="120"/>
      <c r="AC20" s="120"/>
      <c r="AD20" s="120">
        <v>1</v>
      </c>
      <c r="AE20" s="120">
        <v>1</v>
      </c>
      <c r="AF20" s="120">
        <v>1</v>
      </c>
      <c r="AG20" s="120"/>
      <c r="AH20" s="120">
        <v>1</v>
      </c>
      <c r="AI20" s="120"/>
      <c r="AJ20" s="120"/>
      <c r="AK20" s="120">
        <v>1</v>
      </c>
      <c r="AL20" s="120">
        <v>1</v>
      </c>
      <c r="AM20" s="120">
        <v>1</v>
      </c>
      <c r="AN20" s="121">
        <f t="shared" si="2"/>
        <v>22</v>
      </c>
      <c r="AO20" s="117">
        <v>190000</v>
      </c>
      <c r="AP20" s="122">
        <f t="shared" si="3"/>
        <v>4180000</v>
      </c>
    </row>
    <row r="21" spans="1:42" ht="24.9" customHeight="1" x14ac:dyDescent="0.4">
      <c r="A21" s="114">
        <v>16</v>
      </c>
      <c r="B21" s="115" t="s">
        <v>348</v>
      </c>
      <c r="C21" s="116" t="s">
        <v>349</v>
      </c>
      <c r="D21" s="126" t="s">
        <v>235</v>
      </c>
      <c r="E21" s="38" t="s">
        <v>401</v>
      </c>
      <c r="F21" s="125" t="s">
        <v>313</v>
      </c>
      <c r="G21" s="118" t="s">
        <v>348</v>
      </c>
      <c r="H21" s="119" t="s">
        <v>350</v>
      </c>
      <c r="I21" s="120">
        <v>1</v>
      </c>
      <c r="J21" s="120">
        <v>1</v>
      </c>
      <c r="K21" s="120">
        <v>1</v>
      </c>
      <c r="L21" s="120">
        <v>1</v>
      </c>
      <c r="M21" s="120">
        <v>1</v>
      </c>
      <c r="N21" s="120">
        <v>1</v>
      </c>
      <c r="O21" s="120"/>
      <c r="P21" s="120">
        <v>1</v>
      </c>
      <c r="Q21" s="120">
        <v>1</v>
      </c>
      <c r="R21" s="120">
        <v>1</v>
      </c>
      <c r="S21" s="120">
        <v>1</v>
      </c>
      <c r="T21" s="120"/>
      <c r="U21" s="120"/>
      <c r="V21" s="120"/>
      <c r="W21" s="120">
        <v>1</v>
      </c>
      <c r="X21" s="120">
        <v>1</v>
      </c>
      <c r="Y21" s="120">
        <v>1</v>
      </c>
      <c r="Z21" s="120">
        <v>1</v>
      </c>
      <c r="AA21" s="120">
        <v>1</v>
      </c>
      <c r="AB21" s="120"/>
      <c r="AC21" s="120"/>
      <c r="AD21" s="120">
        <v>1</v>
      </c>
      <c r="AE21" s="120">
        <v>1</v>
      </c>
      <c r="AF21" s="120">
        <v>1</v>
      </c>
      <c r="AG21" s="120"/>
      <c r="AH21" s="120">
        <v>1</v>
      </c>
      <c r="AI21" s="120"/>
      <c r="AJ21" s="120"/>
      <c r="AK21" s="120">
        <v>1</v>
      </c>
      <c r="AL21" s="120">
        <v>1</v>
      </c>
      <c r="AM21" s="120">
        <v>1</v>
      </c>
      <c r="AN21" s="121">
        <f t="shared" si="2"/>
        <v>22</v>
      </c>
      <c r="AO21" s="117">
        <v>180000</v>
      </c>
      <c r="AP21" s="122">
        <f t="shared" si="3"/>
        <v>3960000</v>
      </c>
    </row>
    <row r="22" spans="1:42" ht="24.9" customHeight="1" x14ac:dyDescent="0.4">
      <c r="A22" s="114">
        <v>17</v>
      </c>
      <c r="B22" s="115" t="s">
        <v>383</v>
      </c>
      <c r="C22" s="116" t="s">
        <v>390</v>
      </c>
      <c r="D22" s="126" t="s">
        <v>391</v>
      </c>
      <c r="E22" s="38" t="s">
        <v>402</v>
      </c>
      <c r="F22" s="125" t="s">
        <v>313</v>
      </c>
      <c r="G22" s="118" t="s">
        <v>383</v>
      </c>
      <c r="H22" s="119" t="s">
        <v>410</v>
      </c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>
        <v>0.625</v>
      </c>
      <c r="X22" s="120"/>
      <c r="Y22" s="120">
        <v>1</v>
      </c>
      <c r="Z22" s="120">
        <v>1</v>
      </c>
      <c r="AA22" s="120">
        <v>1</v>
      </c>
      <c r="AB22" s="120"/>
      <c r="AC22" s="120"/>
      <c r="AD22" s="120">
        <v>1</v>
      </c>
      <c r="AE22" s="120">
        <v>1</v>
      </c>
      <c r="AF22" s="120">
        <v>1</v>
      </c>
      <c r="AG22" s="120"/>
      <c r="AH22" s="120">
        <v>1</v>
      </c>
      <c r="AI22" s="120"/>
      <c r="AJ22" s="120"/>
      <c r="AK22" s="120">
        <v>1</v>
      </c>
      <c r="AL22" s="120">
        <v>1</v>
      </c>
      <c r="AM22" s="120">
        <v>1</v>
      </c>
      <c r="AN22" s="121">
        <f t="shared" si="2"/>
        <v>10.625</v>
      </c>
      <c r="AO22" s="117">
        <v>210000</v>
      </c>
      <c r="AP22" s="122">
        <f t="shared" si="3"/>
        <v>2231250</v>
      </c>
    </row>
    <row r="23" spans="1:42" ht="24.9" customHeight="1" x14ac:dyDescent="0.4">
      <c r="A23" s="114">
        <v>18</v>
      </c>
      <c r="B23" s="115" t="s">
        <v>351</v>
      </c>
      <c r="C23" s="116" t="s">
        <v>352</v>
      </c>
      <c r="D23" s="128" t="s">
        <v>235</v>
      </c>
      <c r="E23" s="38" t="s">
        <v>403</v>
      </c>
      <c r="F23" s="129" t="s">
        <v>239</v>
      </c>
      <c r="G23" s="118" t="s">
        <v>351</v>
      </c>
      <c r="H23" s="119" t="s">
        <v>353</v>
      </c>
      <c r="I23" s="120">
        <v>1</v>
      </c>
      <c r="J23" s="120">
        <v>0.875</v>
      </c>
      <c r="K23" s="120">
        <v>1</v>
      </c>
      <c r="L23" s="120">
        <v>1</v>
      </c>
      <c r="M23" s="120"/>
      <c r="N23" s="120"/>
      <c r="O23" s="120"/>
      <c r="P23" s="120">
        <v>1</v>
      </c>
      <c r="Q23" s="120">
        <v>1</v>
      </c>
      <c r="R23" s="120">
        <v>1</v>
      </c>
      <c r="S23" s="120">
        <v>1</v>
      </c>
      <c r="T23" s="120">
        <v>1</v>
      </c>
      <c r="U23" s="120"/>
      <c r="V23" s="120"/>
      <c r="W23" s="120">
        <v>1</v>
      </c>
      <c r="X23" s="120">
        <v>1</v>
      </c>
      <c r="Y23" s="120">
        <v>1</v>
      </c>
      <c r="Z23" s="120">
        <v>1</v>
      </c>
      <c r="AA23" s="120">
        <v>1</v>
      </c>
      <c r="AB23" s="120"/>
      <c r="AC23" s="120"/>
      <c r="AD23" s="120">
        <v>1</v>
      </c>
      <c r="AE23" s="120">
        <v>1</v>
      </c>
      <c r="AF23" s="120">
        <v>1</v>
      </c>
      <c r="AG23" s="120"/>
      <c r="AH23" s="120">
        <v>1</v>
      </c>
      <c r="AI23" s="120"/>
      <c r="AJ23" s="120"/>
      <c r="AK23" s="120">
        <v>1</v>
      </c>
      <c r="AL23" s="120">
        <v>1</v>
      </c>
      <c r="AM23" s="120"/>
      <c r="AN23" s="121">
        <f t="shared" si="2"/>
        <v>19.875</v>
      </c>
      <c r="AO23" s="117">
        <v>230000</v>
      </c>
      <c r="AP23" s="122">
        <f t="shared" si="3"/>
        <v>4571250</v>
      </c>
    </row>
    <row r="24" spans="1:42" ht="24.9" customHeight="1" thickBot="1" x14ac:dyDescent="0.45">
      <c r="A24" s="114">
        <v>19</v>
      </c>
      <c r="B24" s="115" t="s">
        <v>354</v>
      </c>
      <c r="C24" s="116" t="s">
        <v>355</v>
      </c>
      <c r="D24" s="126" t="s">
        <v>235</v>
      </c>
      <c r="E24" s="38" t="s">
        <v>404</v>
      </c>
      <c r="F24" s="125" t="s">
        <v>236</v>
      </c>
      <c r="G24" s="118" t="s">
        <v>354</v>
      </c>
      <c r="H24" s="119" t="s">
        <v>356</v>
      </c>
      <c r="I24" s="120">
        <v>1</v>
      </c>
      <c r="J24" s="120">
        <v>1</v>
      </c>
      <c r="K24" s="120">
        <v>1</v>
      </c>
      <c r="L24" s="120">
        <v>1</v>
      </c>
      <c r="M24" s="120">
        <v>1</v>
      </c>
      <c r="N24" s="120">
        <v>1</v>
      </c>
      <c r="O24" s="120"/>
      <c r="P24" s="120">
        <v>1</v>
      </c>
      <c r="Q24" s="120">
        <v>1</v>
      </c>
      <c r="R24" s="120">
        <v>1</v>
      </c>
      <c r="S24" s="120">
        <v>1</v>
      </c>
      <c r="T24" s="120">
        <v>1</v>
      </c>
      <c r="U24" s="120"/>
      <c r="V24" s="120"/>
      <c r="W24" s="120">
        <v>1</v>
      </c>
      <c r="X24" s="120">
        <v>1</v>
      </c>
      <c r="Y24" s="120">
        <v>1</v>
      </c>
      <c r="Z24" s="120">
        <v>1</v>
      </c>
      <c r="AA24" s="120">
        <v>1</v>
      </c>
      <c r="AB24" s="120"/>
      <c r="AC24" s="120"/>
      <c r="AD24" s="120">
        <v>1</v>
      </c>
      <c r="AE24" s="120">
        <v>1</v>
      </c>
      <c r="AF24" s="120">
        <v>1</v>
      </c>
      <c r="AG24" s="120"/>
      <c r="AH24" s="120">
        <v>1</v>
      </c>
      <c r="AI24" s="120"/>
      <c r="AJ24" s="120"/>
      <c r="AK24" s="120">
        <v>1</v>
      </c>
      <c r="AL24" s="120">
        <v>1</v>
      </c>
      <c r="AM24" s="120">
        <v>1</v>
      </c>
      <c r="AN24" s="121">
        <f t="shared" ref="AN24" si="4">SUM(I24:AM24)</f>
        <v>23</v>
      </c>
      <c r="AO24" s="117">
        <v>220000</v>
      </c>
      <c r="AP24" s="122">
        <f t="shared" ref="AP24" si="5">AN24*AO24</f>
        <v>5060000</v>
      </c>
    </row>
    <row r="25" spans="1:42" ht="30" customHeight="1" thickBot="1" x14ac:dyDescent="0.45">
      <c r="A25" s="222" t="s">
        <v>220</v>
      </c>
      <c r="B25" s="223"/>
      <c r="C25" s="223"/>
      <c r="D25" s="223"/>
      <c r="E25" s="223"/>
      <c r="F25" s="223"/>
      <c r="G25" s="223"/>
      <c r="H25" s="224"/>
      <c r="I25" s="130">
        <f>SUM(I6:I24)</f>
        <v>11</v>
      </c>
      <c r="J25" s="130">
        <f t="shared" ref="J25:AM25" si="6">SUM(J6:J24)</f>
        <v>11.875</v>
      </c>
      <c r="K25" s="130">
        <f t="shared" si="6"/>
        <v>12</v>
      </c>
      <c r="L25" s="130">
        <f t="shared" si="6"/>
        <v>12</v>
      </c>
      <c r="M25" s="130">
        <f t="shared" si="6"/>
        <v>11</v>
      </c>
      <c r="N25" s="130">
        <f t="shared" si="6"/>
        <v>11</v>
      </c>
      <c r="O25" s="130">
        <f t="shared" si="6"/>
        <v>0</v>
      </c>
      <c r="P25" s="130">
        <f t="shared" si="6"/>
        <v>12.625</v>
      </c>
      <c r="Q25" s="130">
        <f t="shared" si="6"/>
        <v>12</v>
      </c>
      <c r="R25" s="130">
        <f t="shared" si="6"/>
        <v>13</v>
      </c>
      <c r="S25" s="130">
        <f t="shared" si="6"/>
        <v>13</v>
      </c>
      <c r="T25" s="130">
        <f t="shared" si="6"/>
        <v>12</v>
      </c>
      <c r="U25" s="130">
        <f t="shared" si="6"/>
        <v>0</v>
      </c>
      <c r="V25" s="130">
        <f t="shared" si="6"/>
        <v>0</v>
      </c>
      <c r="W25" s="130">
        <f t="shared" si="6"/>
        <v>16.25</v>
      </c>
      <c r="X25" s="130">
        <f t="shared" si="6"/>
        <v>13</v>
      </c>
      <c r="Y25" s="130">
        <f t="shared" si="6"/>
        <v>19</v>
      </c>
      <c r="Z25" s="130">
        <f t="shared" si="6"/>
        <v>19</v>
      </c>
      <c r="AA25" s="130">
        <f t="shared" si="6"/>
        <v>19</v>
      </c>
      <c r="AB25" s="130">
        <f t="shared" si="6"/>
        <v>0</v>
      </c>
      <c r="AC25" s="130">
        <f t="shared" si="6"/>
        <v>0</v>
      </c>
      <c r="AD25" s="130">
        <f t="shared" si="6"/>
        <v>19</v>
      </c>
      <c r="AE25" s="130">
        <f t="shared" si="6"/>
        <v>19</v>
      </c>
      <c r="AF25" s="130">
        <f t="shared" si="6"/>
        <v>18</v>
      </c>
      <c r="AG25" s="130">
        <f t="shared" si="6"/>
        <v>0</v>
      </c>
      <c r="AH25" s="130">
        <f t="shared" si="6"/>
        <v>18</v>
      </c>
      <c r="AI25" s="130">
        <f t="shared" si="6"/>
        <v>0</v>
      </c>
      <c r="AJ25" s="130">
        <f t="shared" si="6"/>
        <v>0</v>
      </c>
      <c r="AK25" s="130">
        <f t="shared" si="6"/>
        <v>17</v>
      </c>
      <c r="AL25" s="130">
        <f t="shared" si="6"/>
        <v>17</v>
      </c>
      <c r="AM25" s="130">
        <f t="shared" si="6"/>
        <v>16</v>
      </c>
      <c r="AN25" s="133">
        <f>SUM(AN6:AN24)</f>
        <v>341.75</v>
      </c>
      <c r="AO25" s="134">
        <f>AP25/AN25</f>
        <v>214169.7147037308</v>
      </c>
      <c r="AP25" s="135">
        <f>SUM(AP6:AP24)</f>
        <v>73192500</v>
      </c>
    </row>
    <row r="26" spans="1:42" ht="24.9" hidden="1" customHeight="1" x14ac:dyDescent="0.4">
      <c r="A26" s="114">
        <v>1</v>
      </c>
      <c r="B26" s="115"/>
      <c r="C26" s="116"/>
      <c r="D26" s="116"/>
      <c r="E26" s="116"/>
      <c r="F26" s="117"/>
      <c r="G26" s="118"/>
      <c r="H26" s="119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  <c r="AC26" s="120"/>
      <c r="AD26" s="120"/>
      <c r="AE26" s="120"/>
      <c r="AF26" s="120"/>
      <c r="AG26" s="120"/>
      <c r="AH26" s="120"/>
      <c r="AI26" s="120"/>
      <c r="AJ26" s="120"/>
      <c r="AK26" s="120"/>
      <c r="AL26" s="120"/>
      <c r="AM26" s="120"/>
      <c r="AN26" s="121">
        <f>SUM(I26:AM26)</f>
        <v>0</v>
      </c>
      <c r="AO26" s="117"/>
      <c r="AP26" s="122">
        <f>AN26*AO26</f>
        <v>0</v>
      </c>
    </row>
    <row r="27" spans="1:42" ht="24.9" hidden="1" customHeight="1" x14ac:dyDescent="0.4">
      <c r="A27" s="123">
        <v>2</v>
      </c>
      <c r="B27" s="115"/>
      <c r="C27" s="116"/>
      <c r="D27" s="124"/>
      <c r="E27" s="116"/>
      <c r="F27" s="125"/>
      <c r="G27" s="118"/>
      <c r="H27" s="119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  <c r="AA27" s="120"/>
      <c r="AB27" s="120"/>
      <c r="AC27" s="120"/>
      <c r="AD27" s="120"/>
      <c r="AE27" s="120"/>
      <c r="AF27" s="120"/>
      <c r="AG27" s="120"/>
      <c r="AH27" s="120"/>
      <c r="AI27" s="120"/>
      <c r="AJ27" s="120"/>
      <c r="AK27" s="120"/>
      <c r="AL27" s="120"/>
      <c r="AM27" s="120"/>
      <c r="AN27" s="121">
        <f t="shared" ref="AN27:AN35" si="7">SUM(I27:AM27)</f>
        <v>0</v>
      </c>
      <c r="AO27" s="117"/>
      <c r="AP27" s="122">
        <f t="shared" ref="AP27:AP35" si="8">AN27*AO27</f>
        <v>0</v>
      </c>
    </row>
    <row r="28" spans="1:42" ht="24.9" hidden="1" customHeight="1" x14ac:dyDescent="0.4">
      <c r="A28" s="123">
        <v>3</v>
      </c>
      <c r="B28" s="115"/>
      <c r="C28" s="116"/>
      <c r="D28" s="126"/>
      <c r="E28" s="116"/>
      <c r="F28" s="125"/>
      <c r="G28" s="118"/>
      <c r="H28" s="119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1">
        <f t="shared" si="7"/>
        <v>0</v>
      </c>
      <c r="AO28" s="117"/>
      <c r="AP28" s="122">
        <f t="shared" si="8"/>
        <v>0</v>
      </c>
    </row>
    <row r="29" spans="1:42" ht="24.9" hidden="1" customHeight="1" x14ac:dyDescent="0.4">
      <c r="A29" s="123">
        <v>4</v>
      </c>
      <c r="B29" s="115"/>
      <c r="C29" s="116"/>
      <c r="D29" s="124"/>
      <c r="E29" s="116"/>
      <c r="F29" s="125"/>
      <c r="G29" s="118"/>
      <c r="H29" s="119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1">
        <f t="shared" si="7"/>
        <v>0</v>
      </c>
      <c r="AO29" s="117"/>
      <c r="AP29" s="122">
        <f t="shared" si="8"/>
        <v>0</v>
      </c>
    </row>
    <row r="30" spans="1:42" ht="24.9" hidden="1" customHeight="1" x14ac:dyDescent="0.4">
      <c r="A30" s="123">
        <v>5</v>
      </c>
      <c r="B30" s="115"/>
      <c r="C30" s="116"/>
      <c r="D30" s="124"/>
      <c r="E30" s="116"/>
      <c r="F30" s="125"/>
      <c r="G30" s="118"/>
      <c r="H30" s="119"/>
      <c r="I30" s="120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1">
        <f t="shared" si="7"/>
        <v>0</v>
      </c>
      <c r="AO30" s="117"/>
      <c r="AP30" s="122">
        <f t="shared" si="8"/>
        <v>0</v>
      </c>
    </row>
    <row r="31" spans="1:42" ht="24.9" hidden="1" customHeight="1" x14ac:dyDescent="0.4">
      <c r="A31" s="123">
        <v>6</v>
      </c>
      <c r="B31" s="115"/>
      <c r="C31" s="116"/>
      <c r="D31" s="126"/>
      <c r="E31" s="116"/>
      <c r="F31" s="125"/>
      <c r="G31" s="118"/>
      <c r="H31" s="119"/>
      <c r="I31" s="120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1">
        <f t="shared" si="7"/>
        <v>0</v>
      </c>
      <c r="AO31" s="117"/>
      <c r="AP31" s="122">
        <f t="shared" si="8"/>
        <v>0</v>
      </c>
    </row>
    <row r="32" spans="1:42" ht="24.9" hidden="1" customHeight="1" x14ac:dyDescent="0.4">
      <c r="A32" s="123">
        <v>7</v>
      </c>
      <c r="B32" s="115"/>
      <c r="C32" s="116"/>
      <c r="D32" s="124"/>
      <c r="E32" s="116"/>
      <c r="F32" s="125"/>
      <c r="G32" s="118"/>
      <c r="H32" s="119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  <c r="AC32" s="120"/>
      <c r="AD32" s="120"/>
      <c r="AE32" s="120"/>
      <c r="AF32" s="120"/>
      <c r="AG32" s="120"/>
      <c r="AH32" s="120"/>
      <c r="AI32" s="120"/>
      <c r="AJ32" s="120"/>
      <c r="AK32" s="120"/>
      <c r="AL32" s="120"/>
      <c r="AM32" s="120"/>
      <c r="AN32" s="121">
        <f t="shared" si="7"/>
        <v>0</v>
      </c>
      <c r="AO32" s="117"/>
      <c r="AP32" s="122">
        <f t="shared" si="8"/>
        <v>0</v>
      </c>
    </row>
    <row r="33" spans="1:42" ht="24.9" hidden="1" customHeight="1" x14ac:dyDescent="0.4">
      <c r="A33" s="123">
        <v>8</v>
      </c>
      <c r="B33" s="115"/>
      <c r="C33" s="116"/>
      <c r="D33" s="126"/>
      <c r="E33" s="116"/>
      <c r="F33" s="125"/>
      <c r="G33" s="118"/>
      <c r="H33" s="119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120"/>
      <c r="AD33" s="120"/>
      <c r="AE33" s="120"/>
      <c r="AF33" s="120"/>
      <c r="AG33" s="120"/>
      <c r="AH33" s="120"/>
      <c r="AI33" s="120"/>
      <c r="AJ33" s="120"/>
      <c r="AK33" s="120"/>
      <c r="AL33" s="120"/>
      <c r="AM33" s="120"/>
      <c r="AN33" s="121">
        <f t="shared" si="7"/>
        <v>0</v>
      </c>
      <c r="AO33" s="117"/>
      <c r="AP33" s="122">
        <f t="shared" si="8"/>
        <v>0</v>
      </c>
    </row>
    <row r="34" spans="1:42" ht="24.9" hidden="1" customHeight="1" x14ac:dyDescent="0.4">
      <c r="A34" s="123">
        <v>9</v>
      </c>
      <c r="B34" s="115"/>
      <c r="C34" s="116"/>
      <c r="D34" s="126"/>
      <c r="E34" s="116"/>
      <c r="F34" s="125"/>
      <c r="G34" s="118"/>
      <c r="H34" s="119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  <c r="AC34" s="120"/>
      <c r="AD34" s="120"/>
      <c r="AE34" s="120"/>
      <c r="AF34" s="120"/>
      <c r="AG34" s="120"/>
      <c r="AH34" s="120"/>
      <c r="AI34" s="120"/>
      <c r="AJ34" s="120"/>
      <c r="AK34" s="120"/>
      <c r="AL34" s="120"/>
      <c r="AM34" s="120"/>
      <c r="AN34" s="121">
        <f t="shared" si="7"/>
        <v>0</v>
      </c>
      <c r="AO34" s="117"/>
      <c r="AP34" s="122">
        <f t="shared" si="8"/>
        <v>0</v>
      </c>
    </row>
    <row r="35" spans="1:42" ht="24.9" hidden="1" customHeight="1" thickBot="1" x14ac:dyDescent="0.45">
      <c r="A35" s="127">
        <v>10</v>
      </c>
      <c r="B35" s="115"/>
      <c r="C35" s="116"/>
      <c r="D35" s="128"/>
      <c r="E35" s="116"/>
      <c r="F35" s="129"/>
      <c r="G35" s="118"/>
      <c r="H35" s="119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  <c r="AC35" s="120"/>
      <c r="AD35" s="120"/>
      <c r="AE35" s="120"/>
      <c r="AF35" s="120"/>
      <c r="AG35" s="120"/>
      <c r="AH35" s="120"/>
      <c r="AI35" s="120"/>
      <c r="AJ35" s="120"/>
      <c r="AK35" s="120"/>
      <c r="AL35" s="120"/>
      <c r="AM35" s="120"/>
      <c r="AN35" s="121">
        <f t="shared" si="7"/>
        <v>0</v>
      </c>
      <c r="AO35" s="117"/>
      <c r="AP35" s="122">
        <f t="shared" si="8"/>
        <v>0</v>
      </c>
    </row>
    <row r="36" spans="1:42" ht="30" hidden="1" customHeight="1" thickBot="1" x14ac:dyDescent="0.45">
      <c r="A36" s="222" t="s">
        <v>241</v>
      </c>
      <c r="B36" s="223"/>
      <c r="C36" s="223"/>
      <c r="D36" s="223"/>
      <c r="E36" s="223"/>
      <c r="F36" s="223"/>
      <c r="G36" s="223"/>
      <c r="H36" s="224"/>
      <c r="I36" s="130">
        <f t="shared" ref="I36:AN36" si="9">SUM(I26:I35)</f>
        <v>0</v>
      </c>
      <c r="J36" s="131">
        <f t="shared" si="9"/>
        <v>0</v>
      </c>
      <c r="K36" s="131">
        <f t="shared" si="9"/>
        <v>0</v>
      </c>
      <c r="L36" s="131">
        <f t="shared" si="9"/>
        <v>0</v>
      </c>
      <c r="M36" s="131">
        <f t="shared" si="9"/>
        <v>0</v>
      </c>
      <c r="N36" s="131">
        <f t="shared" si="9"/>
        <v>0</v>
      </c>
      <c r="O36" s="131">
        <f t="shared" si="9"/>
        <v>0</v>
      </c>
      <c r="P36" s="131">
        <f t="shared" si="9"/>
        <v>0</v>
      </c>
      <c r="Q36" s="131">
        <f t="shared" si="9"/>
        <v>0</v>
      </c>
      <c r="R36" s="131">
        <f t="shared" si="9"/>
        <v>0</v>
      </c>
      <c r="S36" s="131">
        <f t="shared" si="9"/>
        <v>0</v>
      </c>
      <c r="T36" s="131">
        <f t="shared" si="9"/>
        <v>0</v>
      </c>
      <c r="U36" s="131">
        <f t="shared" si="9"/>
        <v>0</v>
      </c>
      <c r="V36" s="131">
        <f t="shared" si="9"/>
        <v>0</v>
      </c>
      <c r="W36" s="131">
        <f t="shared" si="9"/>
        <v>0</v>
      </c>
      <c r="X36" s="131">
        <f t="shared" si="9"/>
        <v>0</v>
      </c>
      <c r="Y36" s="131">
        <f t="shared" si="9"/>
        <v>0</v>
      </c>
      <c r="Z36" s="131">
        <f t="shared" si="9"/>
        <v>0</v>
      </c>
      <c r="AA36" s="131">
        <f t="shared" si="9"/>
        <v>0</v>
      </c>
      <c r="AB36" s="131">
        <f t="shared" si="9"/>
        <v>0</v>
      </c>
      <c r="AC36" s="131">
        <f t="shared" si="9"/>
        <v>0</v>
      </c>
      <c r="AD36" s="131">
        <f t="shared" si="9"/>
        <v>0</v>
      </c>
      <c r="AE36" s="131">
        <f t="shared" si="9"/>
        <v>0</v>
      </c>
      <c r="AF36" s="131">
        <f t="shared" si="9"/>
        <v>0</v>
      </c>
      <c r="AG36" s="131">
        <f t="shared" si="9"/>
        <v>0</v>
      </c>
      <c r="AH36" s="131">
        <f t="shared" si="9"/>
        <v>0</v>
      </c>
      <c r="AI36" s="131">
        <f t="shared" si="9"/>
        <v>0</v>
      </c>
      <c r="AJ36" s="131">
        <f t="shared" si="9"/>
        <v>0</v>
      </c>
      <c r="AK36" s="131">
        <f t="shared" si="9"/>
        <v>0</v>
      </c>
      <c r="AL36" s="131">
        <f t="shared" si="9"/>
        <v>0</v>
      </c>
      <c r="AM36" s="132">
        <f t="shared" si="9"/>
        <v>0</v>
      </c>
      <c r="AN36" s="133">
        <f t="shared" si="9"/>
        <v>0</v>
      </c>
      <c r="AO36" s="134" t="e">
        <f>AP36/AN36</f>
        <v>#DIV/0!</v>
      </c>
      <c r="AP36" s="135">
        <f>SUM(AP26:AP35)</f>
        <v>0</v>
      </c>
    </row>
    <row r="37" spans="1:42" ht="35.1" customHeight="1" thickBot="1" x14ac:dyDescent="0.45">
      <c r="A37" s="225" t="s">
        <v>242</v>
      </c>
      <c r="B37" s="226"/>
      <c r="C37" s="226"/>
      <c r="D37" s="226"/>
      <c r="E37" s="226"/>
      <c r="F37" s="226"/>
      <c r="G37" s="226"/>
      <c r="H37" s="227"/>
      <c r="I37" s="136">
        <f>I25+I36</f>
        <v>11</v>
      </c>
      <c r="J37" s="137">
        <f>J25+J36</f>
        <v>11.875</v>
      </c>
      <c r="K37" s="137">
        <f t="shared" ref="K37:AM37" si="10">K25+K36</f>
        <v>12</v>
      </c>
      <c r="L37" s="137">
        <f t="shared" si="10"/>
        <v>12</v>
      </c>
      <c r="M37" s="137">
        <f t="shared" si="10"/>
        <v>11</v>
      </c>
      <c r="N37" s="137">
        <f t="shared" si="10"/>
        <v>11</v>
      </c>
      <c r="O37" s="137">
        <f t="shared" si="10"/>
        <v>0</v>
      </c>
      <c r="P37" s="137">
        <f t="shared" si="10"/>
        <v>12.625</v>
      </c>
      <c r="Q37" s="137">
        <f t="shared" si="10"/>
        <v>12</v>
      </c>
      <c r="R37" s="137">
        <f t="shared" si="10"/>
        <v>13</v>
      </c>
      <c r="S37" s="137">
        <f t="shared" si="10"/>
        <v>13</v>
      </c>
      <c r="T37" s="137">
        <f t="shared" si="10"/>
        <v>12</v>
      </c>
      <c r="U37" s="137">
        <f t="shared" si="10"/>
        <v>0</v>
      </c>
      <c r="V37" s="137">
        <f t="shared" si="10"/>
        <v>0</v>
      </c>
      <c r="W37" s="137">
        <f t="shared" si="10"/>
        <v>16.25</v>
      </c>
      <c r="X37" s="137">
        <f t="shared" si="10"/>
        <v>13</v>
      </c>
      <c r="Y37" s="137">
        <f t="shared" si="10"/>
        <v>19</v>
      </c>
      <c r="Z37" s="137">
        <f t="shared" si="10"/>
        <v>19</v>
      </c>
      <c r="AA37" s="137">
        <f t="shared" si="10"/>
        <v>19</v>
      </c>
      <c r="AB37" s="137">
        <f t="shared" si="10"/>
        <v>0</v>
      </c>
      <c r="AC37" s="137">
        <f t="shared" si="10"/>
        <v>0</v>
      </c>
      <c r="AD37" s="137">
        <f t="shared" si="10"/>
        <v>19</v>
      </c>
      <c r="AE37" s="137">
        <f t="shared" si="10"/>
        <v>19</v>
      </c>
      <c r="AF37" s="137">
        <f t="shared" si="10"/>
        <v>18</v>
      </c>
      <c r="AG37" s="137">
        <f t="shared" si="10"/>
        <v>0</v>
      </c>
      <c r="AH37" s="137">
        <f t="shared" si="10"/>
        <v>18</v>
      </c>
      <c r="AI37" s="137">
        <f t="shared" si="10"/>
        <v>0</v>
      </c>
      <c r="AJ37" s="137">
        <f t="shared" si="10"/>
        <v>0</v>
      </c>
      <c r="AK37" s="137">
        <f t="shared" si="10"/>
        <v>17</v>
      </c>
      <c r="AL37" s="137">
        <f t="shared" si="10"/>
        <v>17</v>
      </c>
      <c r="AM37" s="137">
        <f t="shared" si="10"/>
        <v>16</v>
      </c>
      <c r="AN37" s="138">
        <f>AN25+AN36</f>
        <v>341.75</v>
      </c>
      <c r="AO37" s="139">
        <f>AP37/AN37</f>
        <v>214169.7147037308</v>
      </c>
      <c r="AP37" s="140">
        <f>AP25+AP36</f>
        <v>73192500</v>
      </c>
    </row>
    <row r="38" spans="1:42" x14ac:dyDescent="0.4">
      <c r="G38" s="100"/>
      <c r="H38" s="100"/>
      <c r="AG38" s="141"/>
      <c r="AI38" s="142"/>
      <c r="AO38" s="100"/>
    </row>
    <row r="39" spans="1:42" x14ac:dyDescent="0.4">
      <c r="G39" s="100"/>
      <c r="H39" s="100"/>
      <c r="AG39" s="141"/>
      <c r="AI39" s="142"/>
      <c r="AO39" s="157"/>
    </row>
    <row r="40" spans="1:42" x14ac:dyDescent="0.4">
      <c r="G40" s="100"/>
      <c r="H40" s="100"/>
      <c r="AG40" s="141"/>
      <c r="AI40" s="142"/>
      <c r="AO40" s="100"/>
    </row>
    <row r="41" spans="1:42" x14ac:dyDescent="0.4">
      <c r="G41" s="100"/>
      <c r="H41" s="100"/>
      <c r="AG41" s="141"/>
      <c r="AI41" s="142"/>
      <c r="AO41" s="100"/>
    </row>
    <row r="42" spans="1:42" x14ac:dyDescent="0.4">
      <c r="G42" s="100"/>
      <c r="H42" s="100"/>
      <c r="AI42" s="141"/>
      <c r="AM42" s="142"/>
      <c r="AO42" s="100"/>
    </row>
    <row r="43" spans="1:42" x14ac:dyDescent="0.4">
      <c r="G43" s="100"/>
      <c r="H43" s="100"/>
      <c r="AI43" s="141"/>
      <c r="AJ43" s="141"/>
      <c r="AM43" s="142"/>
      <c r="AO43" s="100"/>
    </row>
    <row r="44" spans="1:42" x14ac:dyDescent="0.4">
      <c r="G44" s="100"/>
      <c r="H44" s="100"/>
      <c r="AJ44" s="141"/>
      <c r="AK44" s="141"/>
      <c r="AL44" s="141"/>
      <c r="AO44" s="100"/>
    </row>
    <row r="45" spans="1:42" x14ac:dyDescent="0.4">
      <c r="G45" s="100"/>
      <c r="H45" s="100"/>
      <c r="AJ45" s="141"/>
      <c r="AK45" s="141"/>
      <c r="AL45" s="141"/>
      <c r="AO45" s="100"/>
    </row>
    <row r="46" spans="1:42" x14ac:dyDescent="0.4">
      <c r="G46" s="100"/>
      <c r="H46" s="100"/>
      <c r="AJ46" s="141"/>
      <c r="AK46" s="141"/>
      <c r="AL46" s="141"/>
      <c r="AO46" s="100"/>
    </row>
    <row r="47" spans="1:42" x14ac:dyDescent="0.4">
      <c r="G47" s="100"/>
      <c r="H47" s="100"/>
      <c r="AK47" s="141"/>
      <c r="AL47" s="141"/>
      <c r="AO47" s="100"/>
    </row>
    <row r="48" spans="1:42" x14ac:dyDescent="0.4">
      <c r="C48" s="101"/>
      <c r="D48" s="101"/>
      <c r="E48" s="101"/>
      <c r="G48" s="100"/>
      <c r="H48" s="100"/>
      <c r="AN48" s="142"/>
      <c r="AO48" s="100"/>
    </row>
    <row r="49" spans="3:41" x14ac:dyDescent="0.4">
      <c r="C49" s="101"/>
      <c r="D49" s="101"/>
      <c r="E49" s="101"/>
      <c r="G49" s="100"/>
      <c r="H49" s="100"/>
      <c r="AN49" s="142"/>
      <c r="AO49" s="100"/>
    </row>
    <row r="50" spans="3:41" x14ac:dyDescent="0.4">
      <c r="C50" s="101"/>
      <c r="D50" s="101"/>
      <c r="E50" s="101"/>
      <c r="G50" s="100"/>
      <c r="H50" s="100"/>
      <c r="AN50" s="142"/>
      <c r="AO50" s="100"/>
    </row>
    <row r="51" spans="3:41" x14ac:dyDescent="0.4">
      <c r="C51" s="101"/>
      <c r="D51" s="101"/>
      <c r="E51" s="101"/>
      <c r="G51" s="100"/>
      <c r="H51" s="100"/>
      <c r="AN51" s="142"/>
      <c r="AO51" s="100"/>
    </row>
    <row r="52" spans="3:41" x14ac:dyDescent="0.4">
      <c r="C52" s="101"/>
      <c r="D52" s="101"/>
      <c r="E52" s="101"/>
      <c r="G52" s="100"/>
      <c r="H52" s="100"/>
      <c r="AN52" s="142"/>
      <c r="AO52" s="100"/>
    </row>
    <row r="53" spans="3:41" x14ac:dyDescent="0.4">
      <c r="E53" s="101"/>
      <c r="F53" s="101"/>
      <c r="G53" s="100"/>
      <c r="H53" s="100"/>
      <c r="AO53" s="142"/>
    </row>
    <row r="54" spans="3:41" x14ac:dyDescent="0.4">
      <c r="E54" s="101"/>
      <c r="F54" s="101"/>
      <c r="G54" s="100"/>
      <c r="H54" s="100"/>
      <c r="AO54" s="142"/>
    </row>
    <row r="55" spans="3:41" x14ac:dyDescent="0.4">
      <c r="E55" s="101"/>
      <c r="F55" s="101"/>
      <c r="G55" s="100"/>
      <c r="H55" s="100"/>
      <c r="AO55" s="142"/>
    </row>
    <row r="56" spans="3:41" x14ac:dyDescent="0.4">
      <c r="E56" s="101"/>
      <c r="F56" s="101"/>
      <c r="G56" s="100"/>
      <c r="H56" s="100"/>
      <c r="AO56" s="142"/>
    </row>
    <row r="57" spans="3:41" x14ac:dyDescent="0.4">
      <c r="E57" s="101"/>
      <c r="F57" s="101"/>
      <c r="G57" s="100"/>
      <c r="H57" s="100"/>
      <c r="AO57" s="142"/>
    </row>
    <row r="58" spans="3:41" x14ac:dyDescent="0.4">
      <c r="E58" s="101"/>
      <c r="F58" s="101"/>
      <c r="G58" s="100"/>
      <c r="H58" s="100"/>
      <c r="AO58" s="142"/>
    </row>
    <row r="59" spans="3:41" x14ac:dyDescent="0.4">
      <c r="E59" s="101"/>
      <c r="F59" s="101"/>
      <c r="G59" s="100"/>
      <c r="H59" s="100"/>
      <c r="AO59" s="142"/>
    </row>
    <row r="60" spans="3:41" x14ac:dyDescent="0.4">
      <c r="E60" s="101"/>
      <c r="F60" s="101"/>
      <c r="G60" s="100"/>
      <c r="H60" s="100"/>
      <c r="AO60" s="142"/>
    </row>
    <row r="61" spans="3:41" x14ac:dyDescent="0.4">
      <c r="E61" s="101"/>
      <c r="F61" s="101"/>
      <c r="G61" s="100"/>
      <c r="H61" s="100"/>
      <c r="AO61" s="142"/>
    </row>
    <row r="62" spans="3:41" x14ac:dyDescent="0.4">
      <c r="E62" s="101"/>
      <c r="F62" s="101"/>
      <c r="G62" s="100"/>
      <c r="H62" s="100"/>
      <c r="AO62" s="142"/>
    </row>
    <row r="63" spans="3:41" x14ac:dyDescent="0.4">
      <c r="E63" s="101"/>
      <c r="F63" s="101"/>
      <c r="G63" s="100"/>
      <c r="H63" s="100"/>
      <c r="AO63" s="142"/>
    </row>
    <row r="64" spans="3:41" x14ac:dyDescent="0.4">
      <c r="E64" s="101"/>
      <c r="F64" s="101"/>
      <c r="G64" s="100"/>
      <c r="H64" s="100"/>
      <c r="AO64" s="142"/>
    </row>
    <row r="65" spans="5:42" x14ac:dyDescent="0.4">
      <c r="E65" s="101"/>
      <c r="F65" s="101"/>
      <c r="G65" s="100"/>
      <c r="H65" s="100"/>
      <c r="AO65" s="142"/>
    </row>
    <row r="66" spans="5:42" x14ac:dyDescent="0.4">
      <c r="E66" s="101"/>
      <c r="F66" s="101"/>
      <c r="G66" s="100"/>
      <c r="H66" s="100"/>
      <c r="AO66" s="142"/>
    </row>
    <row r="67" spans="5:42" x14ac:dyDescent="0.4">
      <c r="E67" s="101"/>
      <c r="F67" s="101"/>
      <c r="G67" s="100"/>
      <c r="H67" s="100"/>
      <c r="AO67" s="142"/>
    </row>
    <row r="68" spans="5:42" x14ac:dyDescent="0.4">
      <c r="E68" s="101"/>
      <c r="F68" s="101"/>
      <c r="G68" s="100"/>
      <c r="H68" s="100"/>
      <c r="AO68" s="142"/>
    </row>
    <row r="69" spans="5:42" x14ac:dyDescent="0.4">
      <c r="E69" s="101"/>
      <c r="F69" s="101"/>
      <c r="G69" s="100"/>
      <c r="H69" s="100"/>
      <c r="AO69" s="142"/>
    </row>
    <row r="70" spans="5:42" x14ac:dyDescent="0.4">
      <c r="E70" s="101"/>
      <c r="F70" s="101"/>
      <c r="G70" s="100"/>
      <c r="H70" s="100"/>
      <c r="AO70" s="142"/>
    </row>
    <row r="71" spans="5:42" x14ac:dyDescent="0.4">
      <c r="E71" s="101"/>
      <c r="F71" s="101"/>
      <c r="G71" s="100"/>
      <c r="H71" s="100"/>
      <c r="AO71" s="142"/>
    </row>
    <row r="72" spans="5:42" x14ac:dyDescent="0.4">
      <c r="E72" s="101"/>
      <c r="F72" s="101"/>
      <c r="G72" s="100"/>
      <c r="H72" s="100"/>
      <c r="AO72" s="142"/>
    </row>
    <row r="73" spans="5:42" x14ac:dyDescent="0.4">
      <c r="E73" s="101"/>
      <c r="F73" s="101"/>
      <c r="G73" s="100"/>
      <c r="H73" s="100"/>
      <c r="AO73" s="142"/>
    </row>
    <row r="74" spans="5:42" x14ac:dyDescent="0.4">
      <c r="E74" s="101"/>
      <c r="F74" s="101"/>
      <c r="G74" s="100"/>
      <c r="H74" s="100"/>
      <c r="AO74" s="142"/>
    </row>
    <row r="75" spans="5:42" x14ac:dyDescent="0.4">
      <c r="E75" s="101"/>
      <c r="F75" s="101"/>
      <c r="G75" s="100"/>
      <c r="H75" s="100"/>
      <c r="AO75" s="142"/>
    </row>
    <row r="76" spans="5:42" x14ac:dyDescent="0.4">
      <c r="E76" s="101"/>
      <c r="F76" s="101"/>
      <c r="G76" s="100"/>
      <c r="H76" s="100"/>
      <c r="AO76" s="142"/>
    </row>
    <row r="77" spans="5:42" x14ac:dyDescent="0.4">
      <c r="F77" s="101"/>
      <c r="H77" s="100"/>
      <c r="AN77" s="141"/>
      <c r="AO77" s="100"/>
      <c r="AP77" s="144"/>
    </row>
    <row r="78" spans="5:42" x14ac:dyDescent="0.4">
      <c r="F78" s="101"/>
      <c r="H78" s="100"/>
      <c r="AN78" s="141"/>
      <c r="AO78" s="100"/>
      <c r="AP78" s="144"/>
    </row>
    <row r="79" spans="5:42" x14ac:dyDescent="0.4">
      <c r="F79" s="101"/>
      <c r="H79" s="100"/>
      <c r="AN79" s="141"/>
      <c r="AO79" s="100"/>
      <c r="AP79" s="144"/>
    </row>
    <row r="80" spans="5:42" x14ac:dyDescent="0.4">
      <c r="F80" s="101"/>
      <c r="H80" s="100"/>
      <c r="AN80" s="141"/>
      <c r="AO80" s="100"/>
      <c r="AP80" s="144"/>
    </row>
    <row r="81" spans="6:42" x14ac:dyDescent="0.4">
      <c r="F81" s="101"/>
      <c r="H81" s="100"/>
      <c r="AN81" s="141"/>
      <c r="AO81" s="100"/>
      <c r="AP81" s="144"/>
    </row>
    <row r="82" spans="6:42" x14ac:dyDescent="0.4">
      <c r="F82" s="101"/>
      <c r="H82" s="100"/>
      <c r="AN82" s="141"/>
      <c r="AO82" s="100"/>
      <c r="AP82" s="144"/>
    </row>
    <row r="83" spans="6:42" x14ac:dyDescent="0.4">
      <c r="F83" s="101"/>
      <c r="H83" s="100"/>
      <c r="AN83" s="141"/>
      <c r="AO83" s="100"/>
      <c r="AP83" s="144"/>
    </row>
    <row r="84" spans="6:42" x14ac:dyDescent="0.4">
      <c r="F84" s="101"/>
      <c r="H84" s="100"/>
      <c r="AN84" s="141"/>
      <c r="AO84" s="100"/>
      <c r="AP84" s="144"/>
    </row>
    <row r="85" spans="6:42" x14ac:dyDescent="0.4">
      <c r="F85" s="101"/>
      <c r="H85" s="100"/>
      <c r="AN85" s="141"/>
      <c r="AO85" s="100"/>
      <c r="AP85" s="144"/>
    </row>
    <row r="86" spans="6:42" x14ac:dyDescent="0.4">
      <c r="F86" s="101"/>
      <c r="H86" s="100"/>
      <c r="AN86" s="141"/>
      <c r="AO86" s="100"/>
      <c r="AP86" s="144"/>
    </row>
    <row r="87" spans="6:42" x14ac:dyDescent="0.4">
      <c r="F87" s="101"/>
      <c r="H87" s="100"/>
      <c r="AN87" s="141"/>
      <c r="AO87" s="100"/>
      <c r="AP87" s="144"/>
    </row>
    <row r="88" spans="6:42" x14ac:dyDescent="0.4">
      <c r="F88" s="101"/>
      <c r="H88" s="100"/>
      <c r="AN88" s="141"/>
      <c r="AO88" s="100"/>
      <c r="AP88" s="144"/>
    </row>
    <row r="89" spans="6:42" x14ac:dyDescent="0.4">
      <c r="F89" s="101"/>
      <c r="H89" s="100"/>
      <c r="AN89" s="141"/>
      <c r="AO89" s="100"/>
      <c r="AP89" s="144"/>
    </row>
    <row r="90" spans="6:42" x14ac:dyDescent="0.4">
      <c r="F90" s="101"/>
      <c r="H90" s="100"/>
      <c r="AN90" s="141"/>
      <c r="AO90" s="100"/>
      <c r="AP90" s="144"/>
    </row>
    <row r="91" spans="6:42" x14ac:dyDescent="0.4">
      <c r="F91" s="101"/>
      <c r="H91" s="100"/>
      <c r="AN91" s="141"/>
      <c r="AO91" s="100"/>
      <c r="AP91" s="144"/>
    </row>
    <row r="92" spans="6:42" x14ac:dyDescent="0.4">
      <c r="F92" s="101"/>
      <c r="H92" s="100"/>
      <c r="AN92" s="141"/>
      <c r="AO92" s="100"/>
      <c r="AP92" s="144"/>
    </row>
    <row r="93" spans="6:42" x14ac:dyDescent="0.4">
      <c r="F93" s="101"/>
      <c r="H93" s="100"/>
      <c r="AN93" s="141"/>
      <c r="AO93" s="100"/>
      <c r="AP93" s="144"/>
    </row>
    <row r="94" spans="6:42" x14ac:dyDescent="0.4">
      <c r="F94" s="101"/>
      <c r="H94" s="100"/>
      <c r="AN94" s="141"/>
      <c r="AO94" s="100"/>
      <c r="AP94" s="144"/>
    </row>
    <row r="95" spans="6:42" x14ac:dyDescent="0.4">
      <c r="F95" s="101"/>
      <c r="H95" s="100"/>
      <c r="AN95" s="141"/>
      <c r="AO95" s="100"/>
      <c r="AP95" s="144"/>
    </row>
    <row r="96" spans="6:42" x14ac:dyDescent="0.4">
      <c r="F96" s="101"/>
      <c r="H96" s="100"/>
      <c r="AN96" s="141"/>
      <c r="AO96" s="100"/>
      <c r="AP96" s="144"/>
    </row>
    <row r="97" spans="6:42" x14ac:dyDescent="0.4">
      <c r="F97" s="101"/>
      <c r="H97" s="100"/>
      <c r="AN97" s="141"/>
      <c r="AO97" s="100"/>
      <c r="AP97" s="144"/>
    </row>
    <row r="98" spans="6:42" x14ac:dyDescent="0.4">
      <c r="F98" s="101"/>
      <c r="H98" s="100"/>
      <c r="AN98" s="141"/>
      <c r="AO98" s="100"/>
      <c r="AP98" s="144"/>
    </row>
    <row r="99" spans="6:42" x14ac:dyDescent="0.4">
      <c r="F99" s="101"/>
      <c r="H99" s="100"/>
      <c r="AN99" s="141"/>
      <c r="AO99" s="100"/>
      <c r="AP99" s="144"/>
    </row>
    <row r="100" spans="6:42" x14ac:dyDescent="0.4">
      <c r="F100" s="101"/>
      <c r="H100" s="100"/>
      <c r="AN100" s="141"/>
      <c r="AO100" s="100"/>
      <c r="AP100" s="144"/>
    </row>
    <row r="101" spans="6:42" x14ac:dyDescent="0.4">
      <c r="F101" s="101"/>
      <c r="H101" s="100"/>
      <c r="AN101" s="141"/>
      <c r="AO101" s="100"/>
      <c r="AP101" s="144"/>
    </row>
    <row r="102" spans="6:42" x14ac:dyDescent="0.4">
      <c r="F102" s="101"/>
      <c r="H102" s="100"/>
      <c r="AN102" s="141"/>
      <c r="AO102" s="100"/>
      <c r="AP102" s="144"/>
    </row>
    <row r="103" spans="6:42" x14ac:dyDescent="0.4">
      <c r="F103" s="101"/>
      <c r="H103" s="100"/>
      <c r="AN103" s="141"/>
      <c r="AO103" s="100"/>
      <c r="AP103" s="144"/>
    </row>
    <row r="104" spans="6:42" x14ac:dyDescent="0.4">
      <c r="F104" s="101"/>
      <c r="H104" s="100"/>
      <c r="AN104" s="141"/>
      <c r="AO104" s="100"/>
      <c r="AP104" s="144"/>
    </row>
    <row r="105" spans="6:42" x14ac:dyDescent="0.4">
      <c r="F105" s="101"/>
      <c r="H105" s="100"/>
      <c r="AN105" s="141"/>
      <c r="AO105" s="100"/>
      <c r="AP105" s="144"/>
    </row>
    <row r="106" spans="6:42" x14ac:dyDescent="0.4">
      <c r="F106" s="101"/>
      <c r="H106" s="100"/>
      <c r="AN106" s="141"/>
      <c r="AO106" s="100"/>
      <c r="AP106" s="144"/>
    </row>
    <row r="107" spans="6:42" x14ac:dyDescent="0.4">
      <c r="F107" s="101"/>
      <c r="H107" s="100"/>
      <c r="AN107" s="141"/>
      <c r="AO107" s="100"/>
      <c r="AP107" s="144"/>
    </row>
    <row r="108" spans="6:42" x14ac:dyDescent="0.4">
      <c r="F108" s="101"/>
      <c r="H108" s="100"/>
      <c r="AN108" s="141"/>
      <c r="AO108" s="100"/>
      <c r="AP108" s="144"/>
    </row>
    <row r="109" spans="6:42" x14ac:dyDescent="0.4">
      <c r="F109" s="101"/>
      <c r="H109" s="100"/>
      <c r="AN109" s="141"/>
      <c r="AO109" s="100"/>
      <c r="AP109" s="144"/>
    </row>
    <row r="110" spans="6:42" x14ac:dyDescent="0.4">
      <c r="F110" s="101"/>
      <c r="H110" s="100"/>
      <c r="AN110" s="141"/>
      <c r="AO110" s="100"/>
      <c r="AP110" s="144"/>
    </row>
    <row r="111" spans="6:42" x14ac:dyDescent="0.4">
      <c r="F111" s="101"/>
      <c r="H111" s="100"/>
      <c r="AN111" s="141"/>
      <c r="AO111" s="100"/>
      <c r="AP111" s="144"/>
    </row>
    <row r="112" spans="6:42" x14ac:dyDescent="0.4">
      <c r="F112" s="101"/>
      <c r="H112" s="100"/>
      <c r="AN112" s="141"/>
      <c r="AO112" s="100"/>
      <c r="AP112" s="144"/>
    </row>
    <row r="113" spans="6:42" x14ac:dyDescent="0.4">
      <c r="F113" s="101"/>
      <c r="H113" s="100"/>
      <c r="AN113" s="141"/>
      <c r="AO113" s="100"/>
      <c r="AP113" s="144"/>
    </row>
    <row r="114" spans="6:42" x14ac:dyDescent="0.4">
      <c r="F114" s="101"/>
      <c r="H114" s="100"/>
      <c r="AN114" s="141"/>
      <c r="AO114" s="100"/>
      <c r="AP114" s="144"/>
    </row>
    <row r="115" spans="6:42" x14ac:dyDescent="0.4">
      <c r="F115" s="101"/>
      <c r="H115" s="100"/>
      <c r="AN115" s="141"/>
      <c r="AO115" s="100"/>
      <c r="AP115" s="144"/>
    </row>
    <row r="116" spans="6:42" x14ac:dyDescent="0.4">
      <c r="F116" s="101"/>
      <c r="H116" s="100"/>
      <c r="AN116" s="141"/>
      <c r="AO116" s="100"/>
      <c r="AP116" s="144"/>
    </row>
    <row r="117" spans="6:42" x14ac:dyDescent="0.4">
      <c r="F117" s="101"/>
      <c r="H117" s="100"/>
      <c r="AN117" s="141"/>
      <c r="AO117" s="100"/>
      <c r="AP117" s="144"/>
    </row>
    <row r="118" spans="6:42" x14ac:dyDescent="0.4">
      <c r="F118" s="101"/>
      <c r="H118" s="100"/>
      <c r="AN118" s="141"/>
      <c r="AO118" s="100"/>
      <c r="AP118" s="144"/>
    </row>
  </sheetData>
  <mergeCells count="10">
    <mergeCell ref="A25:H25"/>
    <mergeCell ref="A36:H36"/>
    <mergeCell ref="A37:H37"/>
    <mergeCell ref="A1:AG3"/>
    <mergeCell ref="AH1:AL1"/>
    <mergeCell ref="AM1:AP1"/>
    <mergeCell ref="AH2:AL2"/>
    <mergeCell ref="AM2:AP2"/>
    <mergeCell ref="AH3:AL3"/>
    <mergeCell ref="AM3:AP3"/>
  </mergeCells>
  <phoneticPr fontId="4" type="noConversion"/>
  <conditionalFormatting sqref="B26:B35">
    <cfRule type="duplicateValues" dxfId="52" priority="1"/>
  </conditionalFormatting>
  <conditionalFormatting sqref="B38:B1048576 B1:B24">
    <cfRule type="duplicateValues" dxfId="51" priority="17"/>
  </conditionalFormatting>
  <conditionalFormatting sqref="B6:C24">
    <cfRule type="duplicateValues" dxfId="50" priority="58"/>
  </conditionalFormatting>
  <conditionalFormatting sqref="B26:C35">
    <cfRule type="duplicateValues" dxfId="49" priority="13"/>
  </conditionalFormatting>
  <conditionalFormatting sqref="B38:C1048576 B1:C5">
    <cfRule type="duplicateValues" dxfId="48" priority="41"/>
  </conditionalFormatting>
  <conditionalFormatting sqref="C5">
    <cfRule type="duplicateValues" dxfId="47" priority="35"/>
    <cfRule type="duplicateValues" dxfId="46" priority="34"/>
    <cfRule type="duplicateValues" dxfId="45" priority="36"/>
  </conditionalFormatting>
  <conditionalFormatting sqref="C6:C24">
    <cfRule type="duplicateValues" dxfId="44" priority="64"/>
    <cfRule type="duplicateValues" dxfId="43" priority="63"/>
    <cfRule type="duplicateValues" dxfId="42" priority="62"/>
    <cfRule type="duplicateValues" dxfId="41" priority="60"/>
  </conditionalFormatting>
  <conditionalFormatting sqref="C26:C35 E26:E35">
    <cfRule type="duplicateValues" dxfId="40" priority="3"/>
  </conditionalFormatting>
  <conditionalFormatting sqref="C26:C35">
    <cfRule type="duplicateValues" dxfId="39" priority="2"/>
    <cfRule type="duplicateValues" dxfId="38" priority="6"/>
    <cfRule type="duplicateValues" dxfId="37" priority="7"/>
  </conditionalFormatting>
  <conditionalFormatting sqref="C38:C1048576 C1:C5">
    <cfRule type="duplicateValues" dxfId="36" priority="18"/>
  </conditionalFormatting>
  <conditionalFormatting sqref="C38:C1048576 C4">
    <cfRule type="duplicateValues" dxfId="35" priority="33"/>
  </conditionalFormatting>
  <conditionalFormatting sqref="C38:C1048576 C4:C5">
    <cfRule type="duplicateValues" dxfId="34" priority="23"/>
    <cfRule type="duplicateValues" dxfId="33" priority="31"/>
    <cfRule type="duplicateValues" dxfId="32" priority="26"/>
  </conditionalFormatting>
  <conditionalFormatting sqref="C38:C1048576">
    <cfRule type="duplicateValues" dxfId="31" priority="27"/>
  </conditionalFormatting>
  <conditionalFormatting sqref="E5">
    <cfRule type="duplicateValues" dxfId="30" priority="37"/>
    <cfRule type="duplicateValues" dxfId="29" priority="38"/>
  </conditionalFormatting>
  <conditionalFormatting sqref="E26:E35">
    <cfRule type="duplicateValues" dxfId="28" priority="4"/>
    <cfRule type="duplicateValues" dxfId="27" priority="8"/>
    <cfRule type="duplicateValues" dxfId="26" priority="9"/>
  </conditionalFormatting>
  <conditionalFormatting sqref="E38:E1048576 C4:C5 E4:E5 C38:C1048576">
    <cfRule type="duplicateValues" dxfId="25" priority="28"/>
  </conditionalFormatting>
  <conditionalFormatting sqref="E38:E1048576 E1:E5">
    <cfRule type="duplicateValues" dxfId="24" priority="20"/>
  </conditionalFormatting>
  <conditionalFormatting sqref="E38:E1048576 E4:E5">
    <cfRule type="duplicateValues" dxfId="23" priority="30"/>
    <cfRule type="duplicateValues" dxfId="22" priority="25"/>
    <cfRule type="duplicateValues" dxfId="21" priority="22"/>
  </conditionalFormatting>
  <conditionalFormatting sqref="G6:H24">
    <cfRule type="duplicateValues" dxfId="20" priority="81"/>
  </conditionalFormatting>
  <conditionalFormatting sqref="G26:H35">
    <cfRule type="duplicateValues" dxfId="19" priority="12"/>
  </conditionalFormatting>
  <conditionalFormatting sqref="G38:H1048576 G1:H5">
    <cfRule type="duplicateValues" dxfId="18" priority="19"/>
  </conditionalFormatting>
  <conditionalFormatting sqref="H5">
    <cfRule type="duplicateValues" dxfId="17" priority="39"/>
    <cfRule type="duplicateValues" dxfId="16" priority="40"/>
  </conditionalFormatting>
  <conditionalFormatting sqref="H6:H24">
    <cfRule type="duplicateValues" dxfId="15" priority="83"/>
    <cfRule type="duplicateValues" dxfId="14" priority="84"/>
    <cfRule type="duplicateValues" dxfId="13" priority="85"/>
    <cfRule type="duplicateValues" dxfId="12" priority="86"/>
    <cfRule type="duplicateValues" dxfId="11" priority="87"/>
    <cfRule type="duplicateValues" dxfId="10" priority="88"/>
  </conditionalFormatting>
  <conditionalFormatting sqref="H26:H35">
    <cfRule type="duplicateValues" dxfId="9" priority="5"/>
    <cfRule type="duplicateValues" dxfId="8" priority="10"/>
    <cfRule type="duplicateValues" dxfId="7" priority="16"/>
    <cfRule type="duplicateValues" dxfId="6" priority="15"/>
    <cfRule type="duplicateValues" dxfId="5" priority="14"/>
    <cfRule type="duplicateValues" dxfId="4" priority="11"/>
  </conditionalFormatting>
  <conditionalFormatting sqref="H38:H1048576 H4">
    <cfRule type="duplicateValues" dxfId="3" priority="32"/>
  </conditionalFormatting>
  <conditionalFormatting sqref="H38:H1048576 H4:H5">
    <cfRule type="duplicateValues" dxfId="2" priority="29"/>
    <cfRule type="duplicateValues" dxfId="1" priority="21"/>
    <cfRule type="duplicateValues" dxfId="0" priority="24"/>
  </conditionalFormatting>
  <pageMargins left="0.7" right="0.7" top="0.75" bottom="0.75" header="0.3" footer="0.3"/>
  <pageSetup paperSize="9" scale="31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12"/>
  <sheetViews>
    <sheetView view="pageBreakPreview" zoomScaleNormal="100" zoomScaleSheetLayoutView="100" workbookViewId="0">
      <selection activeCell="E12" sqref="E12"/>
    </sheetView>
  </sheetViews>
  <sheetFormatPr defaultRowHeight="17.399999999999999" x14ac:dyDescent="0.4"/>
  <cols>
    <col min="1" max="1" width="9" style="55"/>
    <col min="2" max="3" width="12.59765625" style="55" customWidth="1"/>
    <col min="4" max="4" width="16" style="55" bestFit="1" customWidth="1"/>
    <col min="5" max="5" width="31.3984375" style="55" bestFit="1" customWidth="1"/>
    <col min="6" max="6" width="10.59765625" style="55" customWidth="1"/>
    <col min="7" max="8" width="8.09765625" style="55" customWidth="1"/>
    <col min="9" max="9" width="13.59765625" style="55" customWidth="1"/>
    <col min="10" max="10" width="35.59765625" style="55" customWidth="1"/>
    <col min="11" max="12" width="9" style="55"/>
  </cols>
  <sheetData>
    <row r="1" spans="1:12" ht="35.1" customHeight="1" x14ac:dyDescent="0.4">
      <c r="A1" s="237" t="s">
        <v>243</v>
      </c>
      <c r="B1" s="238"/>
      <c r="C1" s="238"/>
      <c r="D1" s="238"/>
      <c r="E1" s="238"/>
      <c r="F1" s="238"/>
      <c r="G1" s="238"/>
      <c r="H1" s="238"/>
      <c r="I1" s="238"/>
      <c r="J1" s="239"/>
    </row>
    <row r="2" spans="1:12" ht="20.100000000000001" customHeight="1" x14ac:dyDescent="0.4">
      <c r="A2" s="240" t="s">
        <v>244</v>
      </c>
      <c r="B2" s="240" t="s">
        <v>245</v>
      </c>
      <c r="C2" s="240" t="s">
        <v>246</v>
      </c>
      <c r="D2" s="240" t="s">
        <v>247</v>
      </c>
      <c r="E2" s="240" t="s">
        <v>248</v>
      </c>
      <c r="F2" s="240" t="s">
        <v>249</v>
      </c>
      <c r="G2" s="240" t="s">
        <v>250</v>
      </c>
      <c r="H2" s="240" t="s">
        <v>251</v>
      </c>
      <c r="I2" s="145" t="s">
        <v>252</v>
      </c>
      <c r="J2" s="240" t="s">
        <v>253</v>
      </c>
    </row>
    <row r="3" spans="1:12" ht="20.100000000000001" customHeight="1" x14ac:dyDescent="0.4">
      <c r="A3" s="240"/>
      <c r="B3" s="240"/>
      <c r="C3" s="240"/>
      <c r="D3" s="240"/>
      <c r="E3" s="240"/>
      <c r="F3" s="240"/>
      <c r="G3" s="240"/>
      <c r="H3" s="240"/>
      <c r="I3" s="146">
        <f>SUM(I4:I7)</f>
        <v>3500000</v>
      </c>
      <c r="J3" s="240"/>
      <c r="L3" s="147" t="s">
        <v>254</v>
      </c>
    </row>
    <row r="4" spans="1:12" ht="20.100000000000001" customHeight="1" x14ac:dyDescent="0.4">
      <c r="A4" s="148">
        <v>1</v>
      </c>
      <c r="B4" s="158">
        <v>46022</v>
      </c>
      <c r="C4" s="148" t="s">
        <v>255</v>
      </c>
      <c r="D4" s="148" t="s">
        <v>412</v>
      </c>
      <c r="E4" s="159" t="s">
        <v>363</v>
      </c>
      <c r="F4" s="148" t="s">
        <v>358</v>
      </c>
      <c r="G4" s="148">
        <v>1</v>
      </c>
      <c r="H4" s="148">
        <v>3</v>
      </c>
      <c r="I4" s="149">
        <v>800000</v>
      </c>
      <c r="J4" s="148" t="s">
        <v>257</v>
      </c>
      <c r="L4" s="150" t="s">
        <v>258</v>
      </c>
    </row>
    <row r="5" spans="1:12" ht="20.100000000000001" customHeight="1" x14ac:dyDescent="0.4">
      <c r="A5" s="148">
        <v>2</v>
      </c>
      <c r="B5" s="158">
        <v>46022</v>
      </c>
      <c r="C5" s="148" t="s">
        <v>255</v>
      </c>
      <c r="D5" s="148" t="s">
        <v>412</v>
      </c>
      <c r="E5" s="159" t="s">
        <v>365</v>
      </c>
      <c r="F5" s="148" t="s">
        <v>360</v>
      </c>
      <c r="G5" s="148">
        <v>1</v>
      </c>
      <c r="H5" s="148">
        <v>5</v>
      </c>
      <c r="I5" s="149">
        <v>950000</v>
      </c>
      <c r="J5" s="148" t="s">
        <v>257</v>
      </c>
      <c r="L5" s="150" t="s">
        <v>259</v>
      </c>
    </row>
    <row r="6" spans="1:12" ht="20.100000000000001" customHeight="1" x14ac:dyDescent="0.4">
      <c r="A6" s="148">
        <v>3</v>
      </c>
      <c r="B6" s="158">
        <v>46022</v>
      </c>
      <c r="C6" s="148" t="s">
        <v>255</v>
      </c>
      <c r="D6" s="148" t="s">
        <v>412</v>
      </c>
      <c r="E6" s="159" t="s">
        <v>367</v>
      </c>
      <c r="F6" s="148" t="s">
        <v>361</v>
      </c>
      <c r="G6" s="148">
        <v>1</v>
      </c>
      <c r="H6" s="148">
        <v>6</v>
      </c>
      <c r="I6" s="149">
        <v>900000</v>
      </c>
      <c r="J6" s="148" t="s">
        <v>257</v>
      </c>
      <c r="L6" s="150" t="s">
        <v>260</v>
      </c>
    </row>
    <row r="7" spans="1:12" ht="20.100000000000001" customHeight="1" x14ac:dyDescent="0.4">
      <c r="A7" s="148">
        <v>4</v>
      </c>
      <c r="B7" s="158">
        <v>46003</v>
      </c>
      <c r="C7" s="148" t="s">
        <v>255</v>
      </c>
      <c r="D7" s="148" t="s">
        <v>412</v>
      </c>
      <c r="E7" s="159" t="s">
        <v>411</v>
      </c>
      <c r="F7" s="148" t="s">
        <v>361</v>
      </c>
      <c r="G7" s="148">
        <v>1</v>
      </c>
      <c r="H7" s="148">
        <v>4</v>
      </c>
      <c r="I7" s="149">
        <v>850000</v>
      </c>
      <c r="J7" s="148" t="s">
        <v>257</v>
      </c>
      <c r="L7" s="150" t="s">
        <v>261</v>
      </c>
    </row>
    <row r="8" spans="1:12" ht="20.100000000000001" customHeight="1" x14ac:dyDescent="0.4">
      <c r="L8" s="151" t="s">
        <v>262</v>
      </c>
    </row>
    <row r="9" spans="1:12" ht="20.100000000000001" customHeight="1" x14ac:dyDescent="0.4">
      <c r="L9" s="151" t="s">
        <v>263</v>
      </c>
    </row>
    <row r="10" spans="1:12" x14ac:dyDescent="0.4">
      <c r="L10" s="151" t="s">
        <v>264</v>
      </c>
    </row>
    <row r="11" spans="1:12" x14ac:dyDescent="0.4">
      <c r="L11" s="151"/>
    </row>
    <row r="12" spans="1:12" x14ac:dyDescent="0.4">
      <c r="L12" s="147" t="s">
        <v>265</v>
      </c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4" type="noConversion"/>
  <pageMargins left="0.7" right="0.7" top="0.75" bottom="0.75" header="0.3" footer="0.3"/>
  <pageSetup paperSize="9" scale="76" fitToHeight="0" orientation="landscape" r:id="rId1"/>
  <colBreaks count="1" manualBreakCount="1">
    <brk id="10" max="8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15"/>
  <sheetViews>
    <sheetView view="pageBreakPreview" zoomScaleNormal="100" zoomScaleSheetLayoutView="100" workbookViewId="0">
      <selection activeCell="G25" sqref="G25"/>
    </sheetView>
  </sheetViews>
  <sheetFormatPr defaultRowHeight="17.399999999999999" x14ac:dyDescent="0.4"/>
  <cols>
    <col min="1" max="1" width="9" style="55"/>
    <col min="2" max="3" width="12.59765625" style="55" customWidth="1"/>
    <col min="4" max="4" width="16" style="55" bestFit="1" customWidth="1"/>
    <col min="5" max="5" width="31.3984375" style="55" bestFit="1" customWidth="1"/>
    <col min="6" max="6" width="10.59765625" style="55" customWidth="1"/>
    <col min="7" max="8" width="8.09765625" style="55" customWidth="1"/>
    <col min="9" max="9" width="13.59765625" style="55" customWidth="1"/>
    <col min="10" max="10" width="35.59765625" style="55" customWidth="1"/>
  </cols>
  <sheetData>
    <row r="1" spans="1:10" ht="35.1" customHeight="1" x14ac:dyDescent="0.4">
      <c r="A1" s="237" t="s">
        <v>266</v>
      </c>
      <c r="B1" s="238"/>
      <c r="C1" s="238"/>
      <c r="D1" s="238"/>
      <c r="E1" s="238"/>
      <c r="F1" s="238"/>
      <c r="G1" s="238"/>
      <c r="H1" s="238"/>
      <c r="I1" s="238"/>
      <c r="J1" s="239"/>
    </row>
    <row r="2" spans="1:10" ht="20.100000000000001" customHeight="1" x14ac:dyDescent="0.4">
      <c r="A2" s="240" t="s">
        <v>267</v>
      </c>
      <c r="B2" s="240" t="s">
        <v>245</v>
      </c>
      <c r="C2" s="240" t="s">
        <v>268</v>
      </c>
      <c r="D2" s="240" t="s">
        <v>247</v>
      </c>
      <c r="E2" s="240" t="s">
        <v>269</v>
      </c>
      <c r="F2" s="240" t="s">
        <v>249</v>
      </c>
      <c r="G2" s="240" t="s">
        <v>270</v>
      </c>
      <c r="H2" s="240" t="s">
        <v>271</v>
      </c>
      <c r="I2" s="145" t="s">
        <v>368</v>
      </c>
      <c r="J2" s="240" t="s">
        <v>272</v>
      </c>
    </row>
    <row r="3" spans="1:10" ht="20.100000000000001" customHeight="1" x14ac:dyDescent="0.4">
      <c r="A3" s="240"/>
      <c r="B3" s="240"/>
      <c r="C3" s="240"/>
      <c r="D3" s="240"/>
      <c r="E3" s="240"/>
      <c r="F3" s="240"/>
      <c r="G3" s="240"/>
      <c r="H3" s="240"/>
      <c r="I3" s="146">
        <f>SUM(I4:I12)</f>
        <v>176340</v>
      </c>
      <c r="J3" s="240"/>
    </row>
    <row r="4" spans="1:10" ht="20.100000000000001" customHeight="1" x14ac:dyDescent="0.4">
      <c r="A4" s="148">
        <v>1</v>
      </c>
      <c r="B4" s="158">
        <v>46015</v>
      </c>
      <c r="C4" s="148" t="s">
        <v>273</v>
      </c>
      <c r="D4" s="148" t="s">
        <v>413</v>
      </c>
      <c r="E4" s="148" t="s">
        <v>362</v>
      </c>
      <c r="F4" s="148" t="s">
        <v>357</v>
      </c>
      <c r="G4" s="148">
        <v>1</v>
      </c>
      <c r="H4" s="148">
        <v>2</v>
      </c>
      <c r="I4" s="149">
        <v>2800</v>
      </c>
      <c r="J4" s="148" t="s">
        <v>257</v>
      </c>
    </row>
    <row r="5" spans="1:10" ht="20.100000000000001" customHeight="1" x14ac:dyDescent="0.4">
      <c r="A5" s="148">
        <v>2</v>
      </c>
      <c r="B5" s="158">
        <v>46020</v>
      </c>
      <c r="C5" s="148" t="s">
        <v>274</v>
      </c>
      <c r="D5" s="148" t="s">
        <v>414</v>
      </c>
      <c r="E5" s="148" t="s">
        <v>362</v>
      </c>
      <c r="F5" s="148" t="s">
        <v>357</v>
      </c>
      <c r="G5" s="148">
        <v>1</v>
      </c>
      <c r="H5" s="148">
        <v>2</v>
      </c>
      <c r="I5" s="149">
        <v>105460</v>
      </c>
      <c r="J5" s="148" t="s">
        <v>257</v>
      </c>
    </row>
    <row r="6" spans="1:10" ht="20.100000000000001" customHeight="1" x14ac:dyDescent="0.4">
      <c r="A6" s="148">
        <v>3</v>
      </c>
      <c r="B6" s="158"/>
      <c r="C6" s="148" t="s">
        <v>274</v>
      </c>
      <c r="D6" s="148" t="s">
        <v>415</v>
      </c>
      <c r="E6" s="148" t="s">
        <v>362</v>
      </c>
      <c r="F6" s="148" t="s">
        <v>357</v>
      </c>
      <c r="G6" s="148">
        <v>1</v>
      </c>
      <c r="H6" s="148">
        <v>2</v>
      </c>
      <c r="I6" s="149" t="s">
        <v>416</v>
      </c>
      <c r="J6" s="148" t="s">
        <v>257</v>
      </c>
    </row>
    <row r="7" spans="1:10" ht="20.100000000000001" customHeight="1" x14ac:dyDescent="0.4">
      <c r="A7" s="148">
        <v>4</v>
      </c>
      <c r="B7" s="158">
        <v>46015</v>
      </c>
      <c r="C7" s="148" t="s">
        <v>274</v>
      </c>
      <c r="D7" s="148" t="s">
        <v>413</v>
      </c>
      <c r="E7" s="148" t="s">
        <v>364</v>
      </c>
      <c r="F7" s="148" t="s">
        <v>359</v>
      </c>
      <c r="G7" s="148">
        <v>1</v>
      </c>
      <c r="H7" s="148">
        <v>5</v>
      </c>
      <c r="I7" s="149">
        <v>1200</v>
      </c>
      <c r="J7" s="148" t="s">
        <v>257</v>
      </c>
    </row>
    <row r="8" spans="1:10" ht="19.5" customHeight="1" x14ac:dyDescent="0.4">
      <c r="A8" s="148">
        <v>5</v>
      </c>
      <c r="B8" s="158"/>
      <c r="C8" s="148" t="s">
        <v>274</v>
      </c>
      <c r="D8" s="148" t="s">
        <v>414</v>
      </c>
      <c r="E8" s="148" t="s">
        <v>364</v>
      </c>
      <c r="F8" s="148" t="s">
        <v>359</v>
      </c>
      <c r="G8" s="148">
        <v>1</v>
      </c>
      <c r="H8" s="148">
        <v>5</v>
      </c>
      <c r="I8" s="149" t="s">
        <v>416</v>
      </c>
      <c r="J8" s="148" t="s">
        <v>257</v>
      </c>
    </row>
    <row r="9" spans="1:10" ht="20.100000000000001" customHeight="1" x14ac:dyDescent="0.4">
      <c r="A9" s="148">
        <v>6</v>
      </c>
      <c r="B9" s="158">
        <v>46020</v>
      </c>
      <c r="C9" s="148" t="s">
        <v>273</v>
      </c>
      <c r="D9" s="148" t="s">
        <v>415</v>
      </c>
      <c r="E9" s="148" t="s">
        <v>364</v>
      </c>
      <c r="F9" s="148" t="s">
        <v>359</v>
      </c>
      <c r="G9" s="148">
        <v>1</v>
      </c>
      <c r="H9" s="148">
        <v>5</v>
      </c>
      <c r="I9" s="149">
        <v>36670</v>
      </c>
      <c r="J9" s="148" t="s">
        <v>257</v>
      </c>
    </row>
    <row r="10" spans="1:10" ht="20.100000000000001" customHeight="1" x14ac:dyDescent="0.4">
      <c r="A10" s="148">
        <v>7</v>
      </c>
      <c r="B10" s="158">
        <v>46015</v>
      </c>
      <c r="C10" s="148" t="s">
        <v>273</v>
      </c>
      <c r="D10" s="148" t="s">
        <v>413</v>
      </c>
      <c r="E10" s="148" t="s">
        <v>366</v>
      </c>
      <c r="F10" s="148" t="s">
        <v>256</v>
      </c>
      <c r="G10" s="148">
        <v>1</v>
      </c>
      <c r="H10" s="148">
        <v>5</v>
      </c>
      <c r="I10" s="149">
        <v>1200</v>
      </c>
      <c r="J10" s="148" t="s">
        <v>257</v>
      </c>
    </row>
    <row r="11" spans="1:10" ht="19.5" customHeight="1" x14ac:dyDescent="0.4">
      <c r="A11" s="148">
        <v>8</v>
      </c>
      <c r="B11" s="158"/>
      <c r="C11" s="148" t="s">
        <v>273</v>
      </c>
      <c r="D11" s="148" t="s">
        <v>414</v>
      </c>
      <c r="E11" s="148" t="s">
        <v>366</v>
      </c>
      <c r="F11" s="148" t="s">
        <v>256</v>
      </c>
      <c r="G11" s="148">
        <v>1</v>
      </c>
      <c r="H11" s="148">
        <v>5</v>
      </c>
      <c r="I11" s="149" t="s">
        <v>416</v>
      </c>
      <c r="J11" s="148" t="s">
        <v>257</v>
      </c>
    </row>
    <row r="12" spans="1:10" ht="20.100000000000001" customHeight="1" x14ac:dyDescent="0.4">
      <c r="A12" s="148">
        <v>9</v>
      </c>
      <c r="B12" s="158">
        <v>46020</v>
      </c>
      <c r="C12" s="148" t="s">
        <v>273</v>
      </c>
      <c r="D12" s="148" t="s">
        <v>415</v>
      </c>
      <c r="E12" s="148" t="s">
        <v>366</v>
      </c>
      <c r="F12" s="148" t="s">
        <v>256</v>
      </c>
      <c r="G12" s="148">
        <v>1</v>
      </c>
      <c r="H12" s="148">
        <v>5</v>
      </c>
      <c r="I12" s="149">
        <v>29010</v>
      </c>
      <c r="J12" s="148" t="s">
        <v>257</v>
      </c>
    </row>
    <row r="13" spans="1:10" ht="20.100000000000001" customHeight="1" x14ac:dyDescent="0.4">
      <c r="A13" s="148">
        <v>10</v>
      </c>
      <c r="B13" s="158"/>
      <c r="C13" s="148" t="s">
        <v>273</v>
      </c>
      <c r="D13" s="148" t="s">
        <v>413</v>
      </c>
      <c r="E13" s="148" t="s">
        <v>411</v>
      </c>
      <c r="F13" s="148" t="s">
        <v>256</v>
      </c>
      <c r="G13" s="148">
        <v>1</v>
      </c>
      <c r="H13" s="148">
        <v>5</v>
      </c>
      <c r="I13" s="149" t="s">
        <v>416</v>
      </c>
      <c r="J13" s="148" t="s">
        <v>257</v>
      </c>
    </row>
    <row r="14" spans="1:10" ht="19.5" customHeight="1" x14ac:dyDescent="0.4">
      <c r="A14" s="148">
        <v>11</v>
      </c>
      <c r="B14" s="158"/>
      <c r="C14" s="148" t="s">
        <v>273</v>
      </c>
      <c r="D14" s="148" t="s">
        <v>414</v>
      </c>
      <c r="E14" s="148" t="s">
        <v>411</v>
      </c>
      <c r="F14" s="148" t="s">
        <v>256</v>
      </c>
      <c r="G14" s="148">
        <v>1</v>
      </c>
      <c r="H14" s="148">
        <v>5</v>
      </c>
      <c r="I14" s="149" t="s">
        <v>416</v>
      </c>
      <c r="J14" s="148" t="s">
        <v>257</v>
      </c>
    </row>
    <row r="15" spans="1:10" ht="20.100000000000001" customHeight="1" x14ac:dyDescent="0.4">
      <c r="A15" s="148">
        <v>12</v>
      </c>
      <c r="B15" s="158"/>
      <c r="C15" s="148" t="s">
        <v>273</v>
      </c>
      <c r="D15" s="148" t="s">
        <v>415</v>
      </c>
      <c r="E15" s="148" t="s">
        <v>411</v>
      </c>
      <c r="F15" s="148" t="s">
        <v>256</v>
      </c>
      <c r="G15" s="148">
        <v>1</v>
      </c>
      <c r="H15" s="148">
        <v>5</v>
      </c>
      <c r="I15" s="149" t="s">
        <v>416</v>
      </c>
      <c r="J15" s="148" t="s">
        <v>257</v>
      </c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4" type="noConversion"/>
  <pageMargins left="0.7" right="0.7" top="0.75" bottom="0.75" header="0.3" footer="0.3"/>
  <pageSetup paperSize="9" scale="76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3"/>
  <sheetViews>
    <sheetView view="pageBreakPreview" zoomScale="115" zoomScaleNormal="100" zoomScaleSheetLayoutView="115" workbookViewId="0">
      <selection activeCell="G12" sqref="G12"/>
    </sheetView>
  </sheetViews>
  <sheetFormatPr defaultRowHeight="17.399999999999999" x14ac:dyDescent="0.4"/>
  <cols>
    <col min="1" max="1" width="9" style="55"/>
    <col min="2" max="3" width="12.59765625" style="55" customWidth="1"/>
    <col min="4" max="4" width="22.8984375" style="55" bestFit="1" customWidth="1"/>
    <col min="5" max="5" width="31.3984375" style="55" bestFit="1" customWidth="1"/>
    <col min="6" max="6" width="10.59765625" style="55" customWidth="1"/>
    <col min="7" max="7" width="8.09765625" style="55" customWidth="1"/>
    <col min="8" max="8" width="10.5" style="55" bestFit="1" customWidth="1"/>
    <col min="9" max="9" width="13.59765625" style="55" customWidth="1"/>
    <col min="10" max="10" width="35.59765625" style="55" customWidth="1"/>
    <col min="11" max="12" width="9" style="55"/>
  </cols>
  <sheetData>
    <row r="1" spans="1:12" ht="35.1" customHeight="1" x14ac:dyDescent="0.4">
      <c r="A1" s="237" t="s">
        <v>275</v>
      </c>
      <c r="B1" s="238"/>
      <c r="C1" s="238"/>
      <c r="D1" s="238"/>
      <c r="E1" s="238"/>
      <c r="F1" s="238"/>
      <c r="G1" s="238"/>
      <c r="H1" s="238"/>
      <c r="I1" s="238"/>
      <c r="J1" s="239"/>
    </row>
    <row r="2" spans="1:12" ht="24.9" customHeight="1" x14ac:dyDescent="0.4">
      <c r="A2" s="240" t="s">
        <v>276</v>
      </c>
      <c r="B2" s="240" t="s">
        <v>277</v>
      </c>
      <c r="C2" s="240" t="s">
        <v>110</v>
      </c>
      <c r="D2" s="240" t="s">
        <v>278</v>
      </c>
      <c r="E2" s="240" t="s">
        <v>279</v>
      </c>
      <c r="F2" s="240" t="s">
        <v>280</v>
      </c>
      <c r="G2" s="240" t="s">
        <v>281</v>
      </c>
      <c r="H2" s="240" t="s">
        <v>282</v>
      </c>
      <c r="I2" s="145" t="s">
        <v>283</v>
      </c>
      <c r="J2" s="240" t="s">
        <v>253</v>
      </c>
    </row>
    <row r="3" spans="1:12" ht="24.9" customHeight="1" x14ac:dyDescent="0.4">
      <c r="A3" s="240"/>
      <c r="B3" s="240"/>
      <c r="C3" s="240"/>
      <c r="D3" s="240"/>
      <c r="E3" s="240"/>
      <c r="F3" s="240"/>
      <c r="G3" s="240"/>
      <c r="H3" s="240"/>
      <c r="I3" s="146">
        <f>SUM(I4:I5)</f>
        <v>5867364</v>
      </c>
      <c r="J3" s="240"/>
      <c r="L3" s="147" t="s">
        <v>284</v>
      </c>
    </row>
    <row r="4" spans="1:12" ht="24.9" customHeight="1" x14ac:dyDescent="0.4">
      <c r="A4" s="148">
        <v>1</v>
      </c>
      <c r="B4" s="160">
        <v>46022</v>
      </c>
      <c r="C4" s="148" t="s">
        <v>285</v>
      </c>
      <c r="D4" s="148" t="s">
        <v>286</v>
      </c>
      <c r="E4" s="148" t="s">
        <v>369</v>
      </c>
      <c r="F4" s="148">
        <v>640</v>
      </c>
      <c r="G4" s="148">
        <v>17</v>
      </c>
      <c r="H4" s="149">
        <v>6181.82</v>
      </c>
      <c r="I4" s="149">
        <v>3956364</v>
      </c>
      <c r="J4" s="148" t="s">
        <v>257</v>
      </c>
      <c r="L4" s="150" t="s">
        <v>287</v>
      </c>
    </row>
    <row r="5" spans="1:12" ht="24.9" customHeight="1" x14ac:dyDescent="0.4">
      <c r="A5" s="148">
        <v>2</v>
      </c>
      <c r="B5" s="160">
        <v>46022</v>
      </c>
      <c r="C5" s="148" t="s">
        <v>285</v>
      </c>
      <c r="D5" s="148" t="s">
        <v>286</v>
      </c>
      <c r="E5" s="164" t="s">
        <v>437</v>
      </c>
      <c r="F5" s="148">
        <v>273</v>
      </c>
      <c r="G5" s="148">
        <v>16</v>
      </c>
      <c r="H5" s="149">
        <v>7000</v>
      </c>
      <c r="I5" s="149">
        <f>F5*H5</f>
        <v>1911000</v>
      </c>
      <c r="J5" s="148" t="s">
        <v>257</v>
      </c>
      <c r="L5" s="150" t="s">
        <v>288</v>
      </c>
    </row>
    <row r="6" spans="1:12" ht="24.9" customHeight="1" x14ac:dyDescent="0.4">
      <c r="L6" s="150" t="s">
        <v>289</v>
      </c>
    </row>
    <row r="7" spans="1:12" ht="24.9" customHeight="1" x14ac:dyDescent="0.4">
      <c r="L7" s="150" t="s">
        <v>290</v>
      </c>
    </row>
    <row r="8" spans="1:12" ht="24.9" customHeight="1" x14ac:dyDescent="0.4">
      <c r="L8" s="151" t="s">
        <v>291</v>
      </c>
    </row>
    <row r="9" spans="1:12" ht="24.9" customHeight="1" x14ac:dyDescent="0.4">
      <c r="L9" s="151" t="s">
        <v>292</v>
      </c>
    </row>
    <row r="10" spans="1:12" x14ac:dyDescent="0.4">
      <c r="L10" s="151" t="s">
        <v>293</v>
      </c>
    </row>
    <row r="11" spans="1:12" x14ac:dyDescent="0.4">
      <c r="L11" s="151" t="s">
        <v>294</v>
      </c>
    </row>
    <row r="12" spans="1:12" x14ac:dyDescent="0.4">
      <c r="L12" s="147"/>
    </row>
    <row r="13" spans="1:12" x14ac:dyDescent="0.4">
      <c r="L13" s="55" t="s">
        <v>295</v>
      </c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4" type="noConversion"/>
  <pageMargins left="0.7" right="0.7" top="0.75" bottom="0.75" header="0.3" footer="0.3"/>
  <pageSetup paperSize="9" scale="72" fitToHeight="0" orientation="landscape" r:id="rId1"/>
  <colBreaks count="1" manualBreakCount="1">
    <brk id="10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1"/>
  <sheetViews>
    <sheetView view="pageBreakPreview" zoomScale="115" zoomScaleNormal="100" zoomScaleSheetLayoutView="115" workbookViewId="0">
      <selection activeCell="M8" sqref="M8"/>
    </sheetView>
  </sheetViews>
  <sheetFormatPr defaultRowHeight="17.399999999999999" x14ac:dyDescent="0.4"/>
  <cols>
    <col min="2" max="2" width="10.8984375" bestFit="1" customWidth="1"/>
    <col min="3" max="3" width="10.59765625" bestFit="1" customWidth="1"/>
    <col min="4" max="4" width="17.59765625" customWidth="1"/>
    <col min="7" max="7" width="10.5" bestFit="1" customWidth="1"/>
    <col min="8" max="8" width="10.5" customWidth="1"/>
    <col min="9" max="9" width="18" customWidth="1"/>
  </cols>
  <sheetData>
    <row r="1" spans="1:12" ht="35.1" customHeight="1" x14ac:dyDescent="0.4">
      <c r="A1" s="241" t="s">
        <v>296</v>
      </c>
      <c r="B1" s="241"/>
      <c r="C1" s="241"/>
      <c r="D1" s="241"/>
      <c r="E1" s="241"/>
      <c r="F1" s="241"/>
      <c r="G1" s="241"/>
      <c r="H1" s="241"/>
      <c r="I1" s="241"/>
      <c r="J1" s="55"/>
      <c r="K1" s="55"/>
      <c r="L1" s="55"/>
    </row>
    <row r="2" spans="1:12" ht="24.9" customHeight="1" x14ac:dyDescent="0.4">
      <c r="A2" s="240" t="s">
        <v>297</v>
      </c>
      <c r="B2" s="242" t="s">
        <v>298</v>
      </c>
      <c r="C2" s="242" t="s">
        <v>299</v>
      </c>
      <c r="D2" s="243" t="s">
        <v>290</v>
      </c>
      <c r="E2" s="242" t="s">
        <v>291</v>
      </c>
      <c r="F2" s="242" t="s">
        <v>263</v>
      </c>
      <c r="G2" s="244" t="s">
        <v>300</v>
      </c>
      <c r="H2" s="152" t="s">
        <v>301</v>
      </c>
      <c r="I2" s="242" t="s">
        <v>302</v>
      </c>
      <c r="J2" s="55"/>
      <c r="K2" s="55"/>
      <c r="L2" s="55"/>
    </row>
    <row r="3" spans="1:12" ht="24.9" customHeight="1" x14ac:dyDescent="0.4">
      <c r="A3" s="240"/>
      <c r="B3" s="242"/>
      <c r="C3" s="242"/>
      <c r="D3" s="243"/>
      <c r="E3" s="242"/>
      <c r="F3" s="242"/>
      <c r="G3" s="244"/>
      <c r="H3" s="153">
        <f>SUM(H4:H30)</f>
        <v>1336200</v>
      </c>
      <c r="I3" s="242"/>
      <c r="J3" s="55"/>
      <c r="K3" s="147" t="s">
        <v>284</v>
      </c>
      <c r="L3" s="55"/>
    </row>
    <row r="4" spans="1:12" ht="24.9" customHeight="1" x14ac:dyDescent="0.4">
      <c r="A4" s="148">
        <v>1</v>
      </c>
      <c r="B4" s="158" t="s">
        <v>417</v>
      </c>
      <c r="C4" s="148" t="s">
        <v>303</v>
      </c>
      <c r="D4" s="148" t="s">
        <v>422</v>
      </c>
      <c r="E4" s="148" t="s">
        <v>370</v>
      </c>
      <c r="F4" s="148">
        <v>1</v>
      </c>
      <c r="G4" s="149">
        <v>320000</v>
      </c>
      <c r="H4" s="149">
        <f>F4*G4</f>
        <v>320000</v>
      </c>
      <c r="I4" s="149" t="s">
        <v>371</v>
      </c>
      <c r="J4" s="55"/>
      <c r="K4" s="150" t="s">
        <v>287</v>
      </c>
      <c r="L4" s="55"/>
    </row>
    <row r="5" spans="1:12" ht="24.9" customHeight="1" x14ac:dyDescent="0.4">
      <c r="A5" s="148">
        <v>2</v>
      </c>
      <c r="B5" s="158" t="s">
        <v>417</v>
      </c>
      <c r="C5" s="148" t="s">
        <v>303</v>
      </c>
      <c r="D5" s="148" t="s">
        <v>422</v>
      </c>
      <c r="E5" s="148" t="s">
        <v>370</v>
      </c>
      <c r="F5" s="148">
        <v>1</v>
      </c>
      <c r="G5" s="149">
        <v>345000</v>
      </c>
      <c r="H5" s="149">
        <f t="shared" ref="H5:H6" si="0">F5*G5</f>
        <v>345000</v>
      </c>
      <c r="I5" s="149" t="s">
        <v>371</v>
      </c>
      <c r="J5" s="55"/>
      <c r="K5" s="150" t="s">
        <v>288</v>
      </c>
      <c r="L5" s="55"/>
    </row>
    <row r="6" spans="1:12" ht="24.9" customHeight="1" x14ac:dyDescent="0.4">
      <c r="A6" s="148">
        <v>3</v>
      </c>
      <c r="B6" s="158" t="s">
        <v>417</v>
      </c>
      <c r="C6" s="148" t="s">
        <v>303</v>
      </c>
      <c r="D6" s="148" t="s">
        <v>422</v>
      </c>
      <c r="E6" s="148" t="s">
        <v>370</v>
      </c>
      <c r="F6" s="148">
        <v>1</v>
      </c>
      <c r="G6" s="149">
        <v>355000</v>
      </c>
      <c r="H6" s="149">
        <f t="shared" si="0"/>
        <v>355000</v>
      </c>
      <c r="I6" s="149" t="s">
        <v>371</v>
      </c>
      <c r="J6" s="55"/>
      <c r="K6" s="150" t="s">
        <v>289</v>
      </c>
      <c r="L6" s="55"/>
    </row>
    <row r="7" spans="1:12" ht="24.9" customHeight="1" x14ac:dyDescent="0.4">
      <c r="A7" s="148">
        <v>4</v>
      </c>
      <c r="B7" s="158" t="s">
        <v>417</v>
      </c>
      <c r="C7" s="148" t="s">
        <v>303</v>
      </c>
      <c r="D7" s="148" t="s">
        <v>423</v>
      </c>
      <c r="E7" s="148" t="s">
        <v>370</v>
      </c>
      <c r="F7" s="148">
        <v>24</v>
      </c>
      <c r="G7" s="149">
        <v>900</v>
      </c>
      <c r="H7" s="149">
        <f>F7*G7</f>
        <v>21600</v>
      </c>
      <c r="I7" s="149" t="s">
        <v>371</v>
      </c>
      <c r="J7" s="55"/>
      <c r="K7" s="150" t="s">
        <v>290</v>
      </c>
      <c r="L7" s="55"/>
    </row>
    <row r="8" spans="1:12" ht="24.9" customHeight="1" x14ac:dyDescent="0.4">
      <c r="A8" s="148">
        <v>5</v>
      </c>
      <c r="B8" s="158" t="s">
        <v>417</v>
      </c>
      <c r="C8" s="148" t="s">
        <v>303</v>
      </c>
      <c r="D8" s="148" t="s">
        <v>424</v>
      </c>
      <c r="E8" s="148" t="s">
        <v>370</v>
      </c>
      <c r="F8" s="148">
        <v>10</v>
      </c>
      <c r="G8" s="149">
        <v>5000</v>
      </c>
      <c r="H8" s="149">
        <f t="shared" ref="H8:H9" si="1">F8*G8</f>
        <v>50000</v>
      </c>
      <c r="I8" s="149" t="s">
        <v>371</v>
      </c>
      <c r="J8" s="55"/>
      <c r="K8" s="151" t="s">
        <v>291</v>
      </c>
      <c r="L8" s="55"/>
    </row>
    <row r="9" spans="1:12" ht="24.9" customHeight="1" x14ac:dyDescent="0.4">
      <c r="A9" s="148">
        <v>6</v>
      </c>
      <c r="B9" s="158" t="s">
        <v>418</v>
      </c>
      <c r="C9" s="148" t="s">
        <v>303</v>
      </c>
      <c r="D9" s="148" t="s">
        <v>423</v>
      </c>
      <c r="E9" s="148" t="s">
        <v>370</v>
      </c>
      <c r="F9" s="148">
        <v>24</v>
      </c>
      <c r="G9" s="149">
        <v>900</v>
      </c>
      <c r="H9" s="149">
        <f t="shared" si="1"/>
        <v>21600</v>
      </c>
      <c r="I9" s="149" t="s">
        <v>371</v>
      </c>
      <c r="J9" s="55"/>
      <c r="K9" s="151" t="s">
        <v>292</v>
      </c>
      <c r="L9" s="55"/>
    </row>
    <row r="10" spans="1:12" ht="24.9" customHeight="1" x14ac:dyDescent="0.4">
      <c r="A10" s="148">
        <v>7</v>
      </c>
      <c r="B10" s="158" t="s">
        <v>418</v>
      </c>
      <c r="C10" s="148" t="s">
        <v>303</v>
      </c>
      <c r="D10" s="148" t="s">
        <v>425</v>
      </c>
      <c r="E10" s="148" t="s">
        <v>370</v>
      </c>
      <c r="F10" s="148">
        <v>1</v>
      </c>
      <c r="G10" s="149">
        <v>13800</v>
      </c>
      <c r="H10" s="149">
        <f>F10*G10</f>
        <v>13800</v>
      </c>
      <c r="I10" s="149" t="s">
        <v>371</v>
      </c>
      <c r="J10" s="55"/>
      <c r="K10" s="151" t="s">
        <v>293</v>
      </c>
      <c r="L10" s="55"/>
    </row>
    <row r="11" spans="1:12" ht="24.9" customHeight="1" x14ac:dyDescent="0.4">
      <c r="A11" s="148">
        <v>8</v>
      </c>
      <c r="B11" s="158" t="s">
        <v>418</v>
      </c>
      <c r="C11" s="148" t="s">
        <v>303</v>
      </c>
      <c r="D11" s="148" t="s">
        <v>426</v>
      </c>
      <c r="E11" s="148" t="s">
        <v>370</v>
      </c>
      <c r="F11" s="148">
        <v>5</v>
      </c>
      <c r="G11" s="149">
        <v>4000</v>
      </c>
      <c r="H11" s="149">
        <f t="shared" ref="H11:H12" si="2">F11*G11</f>
        <v>20000</v>
      </c>
      <c r="I11" s="149" t="s">
        <v>371</v>
      </c>
      <c r="J11" s="55"/>
      <c r="K11" s="151" t="s">
        <v>294</v>
      </c>
      <c r="L11" s="55"/>
    </row>
    <row r="12" spans="1:12" ht="24.9" customHeight="1" x14ac:dyDescent="0.4">
      <c r="A12" s="148">
        <v>9</v>
      </c>
      <c r="B12" s="158" t="s">
        <v>418</v>
      </c>
      <c r="C12" s="148" t="s">
        <v>303</v>
      </c>
      <c r="D12" s="148" t="s">
        <v>427</v>
      </c>
      <c r="E12" s="148" t="s">
        <v>370</v>
      </c>
      <c r="F12" s="148">
        <v>100</v>
      </c>
      <c r="G12" s="149">
        <v>300</v>
      </c>
      <c r="H12" s="149">
        <f t="shared" si="2"/>
        <v>30000</v>
      </c>
      <c r="I12" s="149" t="s">
        <v>371</v>
      </c>
      <c r="J12" s="55"/>
      <c r="K12" s="147"/>
      <c r="L12" s="55"/>
    </row>
    <row r="13" spans="1:12" ht="24.9" customHeight="1" x14ac:dyDescent="0.4">
      <c r="A13" s="148">
        <v>10</v>
      </c>
      <c r="B13" s="158" t="s">
        <v>418</v>
      </c>
      <c r="C13" s="148" t="s">
        <v>303</v>
      </c>
      <c r="D13" s="148" t="s">
        <v>428</v>
      </c>
      <c r="E13" s="148" t="s">
        <v>370</v>
      </c>
      <c r="F13" s="148">
        <v>1</v>
      </c>
      <c r="G13" s="149">
        <v>23500</v>
      </c>
      <c r="H13" s="149">
        <f>F13*G13</f>
        <v>23500</v>
      </c>
      <c r="I13" s="149" t="s">
        <v>371</v>
      </c>
      <c r="J13" s="55"/>
      <c r="K13" s="55" t="s">
        <v>295</v>
      </c>
      <c r="L13" s="55"/>
    </row>
    <row r="14" spans="1:12" ht="24.9" customHeight="1" x14ac:dyDescent="0.4">
      <c r="A14" s="148">
        <v>11</v>
      </c>
      <c r="B14" s="158" t="s">
        <v>419</v>
      </c>
      <c r="C14" s="148" t="s">
        <v>303</v>
      </c>
      <c r="D14" s="148" t="s">
        <v>429</v>
      </c>
      <c r="E14" s="148" t="s">
        <v>370</v>
      </c>
      <c r="F14" s="148">
        <v>10</v>
      </c>
      <c r="G14" s="149">
        <v>1400</v>
      </c>
      <c r="H14" s="149">
        <f t="shared" ref="H14:H15" si="3">F14*G14</f>
        <v>14000</v>
      </c>
      <c r="I14" s="149" t="s">
        <v>371</v>
      </c>
    </row>
    <row r="15" spans="1:12" ht="24.9" customHeight="1" x14ac:dyDescent="0.4">
      <c r="A15" s="148">
        <v>12</v>
      </c>
      <c r="B15" s="158" t="s">
        <v>419</v>
      </c>
      <c r="C15" s="148" t="s">
        <v>303</v>
      </c>
      <c r="D15" s="148" t="s">
        <v>430</v>
      </c>
      <c r="E15" s="148" t="s">
        <v>370</v>
      </c>
      <c r="F15" s="148">
        <v>2</v>
      </c>
      <c r="G15" s="149">
        <v>16700</v>
      </c>
      <c r="H15" s="149">
        <f t="shared" si="3"/>
        <v>33400</v>
      </c>
      <c r="I15" s="149" t="s">
        <v>371</v>
      </c>
    </row>
    <row r="16" spans="1:12" ht="24.9" customHeight="1" x14ac:dyDescent="0.4">
      <c r="A16" s="148">
        <v>13</v>
      </c>
      <c r="B16" s="158" t="s">
        <v>420</v>
      </c>
      <c r="C16" s="148" t="s">
        <v>303</v>
      </c>
      <c r="D16" s="148" t="s">
        <v>431</v>
      </c>
      <c r="E16" s="148" t="s">
        <v>370</v>
      </c>
      <c r="F16" s="148">
        <v>10</v>
      </c>
      <c r="G16" s="149">
        <v>4500</v>
      </c>
      <c r="H16" s="149">
        <f>F16*G16</f>
        <v>45000</v>
      </c>
      <c r="I16" s="149" t="s">
        <v>371</v>
      </c>
    </row>
    <row r="17" spans="1:9" ht="24.9" customHeight="1" x14ac:dyDescent="0.4">
      <c r="A17" s="148">
        <v>14</v>
      </c>
      <c r="B17" s="158" t="s">
        <v>420</v>
      </c>
      <c r="C17" s="148" t="s">
        <v>303</v>
      </c>
      <c r="D17" s="148" t="s">
        <v>432</v>
      </c>
      <c r="E17" s="148" t="s">
        <v>370</v>
      </c>
      <c r="F17" s="148">
        <v>10</v>
      </c>
      <c r="G17" s="149">
        <v>1200</v>
      </c>
      <c r="H17" s="149">
        <f t="shared" ref="H17:H18" si="4">F17*G17</f>
        <v>12000</v>
      </c>
      <c r="I17" s="149" t="s">
        <v>371</v>
      </c>
    </row>
    <row r="18" spans="1:9" ht="24.9" customHeight="1" x14ac:dyDescent="0.4">
      <c r="A18" s="148">
        <v>15</v>
      </c>
      <c r="B18" s="158" t="s">
        <v>420</v>
      </c>
      <c r="C18" s="148" t="s">
        <v>303</v>
      </c>
      <c r="D18" s="148" t="s">
        <v>433</v>
      </c>
      <c r="E18" s="148" t="s">
        <v>370</v>
      </c>
      <c r="F18" s="148">
        <v>1</v>
      </c>
      <c r="G18" s="149">
        <v>9000</v>
      </c>
      <c r="H18" s="149">
        <f t="shared" si="4"/>
        <v>9000</v>
      </c>
      <c r="I18" s="149" t="s">
        <v>371</v>
      </c>
    </row>
    <row r="19" spans="1:9" ht="24.9" customHeight="1" x14ac:dyDescent="0.4">
      <c r="A19" s="148">
        <v>16</v>
      </c>
      <c r="B19" s="158" t="s">
        <v>421</v>
      </c>
      <c r="C19" s="148" t="s">
        <v>303</v>
      </c>
      <c r="D19" s="148" t="s">
        <v>434</v>
      </c>
      <c r="E19" s="148" t="s">
        <v>370</v>
      </c>
      <c r="F19" s="148">
        <v>50</v>
      </c>
      <c r="G19" s="149">
        <v>200</v>
      </c>
      <c r="H19" s="149">
        <f>F19*G19</f>
        <v>10000</v>
      </c>
      <c r="I19" s="149" t="s">
        <v>371</v>
      </c>
    </row>
    <row r="20" spans="1:9" ht="24.9" customHeight="1" x14ac:dyDescent="0.4">
      <c r="A20" s="148">
        <v>17</v>
      </c>
      <c r="B20" s="158" t="s">
        <v>421</v>
      </c>
      <c r="C20" s="148" t="s">
        <v>303</v>
      </c>
      <c r="D20" s="148" t="s">
        <v>435</v>
      </c>
      <c r="E20" s="148" t="s">
        <v>370</v>
      </c>
      <c r="F20" s="148">
        <v>1</v>
      </c>
      <c r="G20" s="149">
        <v>4300</v>
      </c>
      <c r="H20" s="149">
        <f t="shared" ref="H20:H21" si="5">F20*G20</f>
        <v>4300</v>
      </c>
      <c r="I20" s="149" t="s">
        <v>371</v>
      </c>
    </row>
    <row r="21" spans="1:9" ht="24.9" customHeight="1" x14ac:dyDescent="0.4">
      <c r="A21" s="148">
        <v>18</v>
      </c>
      <c r="B21" s="158" t="s">
        <v>421</v>
      </c>
      <c r="C21" s="148" t="s">
        <v>303</v>
      </c>
      <c r="D21" s="148" t="s">
        <v>436</v>
      </c>
      <c r="E21" s="148" t="s">
        <v>370</v>
      </c>
      <c r="F21" s="148">
        <v>20</v>
      </c>
      <c r="G21" s="149">
        <v>400</v>
      </c>
      <c r="H21" s="149">
        <f t="shared" si="5"/>
        <v>8000</v>
      </c>
      <c r="I21" s="149" t="s">
        <v>371</v>
      </c>
    </row>
  </sheetData>
  <mergeCells count="9">
    <mergeCell ref="A1:I1"/>
    <mergeCell ref="A2:A3"/>
    <mergeCell ref="B2:B3"/>
    <mergeCell ref="C2:C3"/>
    <mergeCell ref="D2:D3"/>
    <mergeCell ref="E2:E3"/>
    <mergeCell ref="F2:F3"/>
    <mergeCell ref="G2:G3"/>
    <mergeCell ref="I2:I3"/>
  </mergeCells>
  <phoneticPr fontId="4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7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R13"/>
  <sheetViews>
    <sheetView workbookViewId="0">
      <selection activeCell="C10" sqref="C10"/>
    </sheetView>
  </sheetViews>
  <sheetFormatPr defaultRowHeight="17.399999999999999" x14ac:dyDescent="0.4"/>
  <cols>
    <col min="2" max="2" width="8.59765625" customWidth="1"/>
    <col min="3" max="3" width="9.59765625" customWidth="1"/>
    <col min="4" max="4" width="16.59765625" customWidth="1"/>
    <col min="5" max="5" width="9.59765625" customWidth="1"/>
    <col min="7" max="7" width="8.59765625" customWidth="1"/>
    <col min="8" max="10" width="14.59765625" customWidth="1"/>
    <col min="12" max="12" width="8.59765625" customWidth="1"/>
    <col min="13" max="15" width="11.59765625" customWidth="1"/>
    <col min="17" max="17" width="9.59765625" customWidth="1"/>
    <col min="18" max="18" width="15.59765625" customWidth="1"/>
  </cols>
  <sheetData>
    <row r="2" spans="2:18" ht="30" customHeight="1" x14ac:dyDescent="0.4">
      <c r="B2" s="245" t="s">
        <v>41</v>
      </c>
      <c r="C2" s="38" t="s">
        <v>37</v>
      </c>
      <c r="D2" s="38"/>
      <c r="E2" s="38" t="s">
        <v>40</v>
      </c>
    </row>
    <row r="3" spans="2:18" ht="30" customHeight="1" x14ac:dyDescent="0.4">
      <c r="B3" s="246"/>
      <c r="C3" s="38" t="s">
        <v>38</v>
      </c>
      <c r="D3" s="38"/>
      <c r="E3" s="38" t="s">
        <v>40</v>
      </c>
    </row>
    <row r="4" spans="2:18" ht="30" customHeight="1" x14ac:dyDescent="0.4">
      <c r="B4" s="246"/>
      <c r="C4" s="38" t="s">
        <v>39</v>
      </c>
      <c r="D4" s="38"/>
      <c r="E4" s="38" t="s">
        <v>40</v>
      </c>
    </row>
    <row r="6" spans="2:18" ht="48.9" customHeight="1" x14ac:dyDescent="0.4">
      <c r="G6" s="245" t="s">
        <v>49</v>
      </c>
      <c r="H6" s="39" t="s">
        <v>42</v>
      </c>
      <c r="I6" s="39" t="s">
        <v>43</v>
      </c>
      <c r="J6" s="39" t="s">
        <v>47</v>
      </c>
      <c r="K6" s="37"/>
      <c r="L6" s="37"/>
      <c r="M6" s="37"/>
      <c r="N6" s="37"/>
      <c r="O6" s="37"/>
    </row>
    <row r="7" spans="2:18" ht="54.9" customHeight="1" x14ac:dyDescent="0.4">
      <c r="G7" s="245"/>
      <c r="H7" s="38"/>
      <c r="I7" s="38"/>
      <c r="J7" s="38"/>
      <c r="K7" s="37"/>
      <c r="L7" s="37"/>
      <c r="M7" s="37"/>
      <c r="N7" s="37"/>
      <c r="O7" s="37"/>
    </row>
    <row r="8" spans="2:18" ht="24.9" customHeight="1" x14ac:dyDescent="0.4">
      <c r="G8" s="37"/>
      <c r="H8" s="37"/>
      <c r="I8" s="37"/>
      <c r="J8" s="37"/>
      <c r="K8" s="37"/>
      <c r="L8" s="247" t="s">
        <v>48</v>
      </c>
      <c r="M8" s="38" t="s">
        <v>44</v>
      </c>
      <c r="N8" s="38" t="s">
        <v>45</v>
      </c>
      <c r="O8" s="38" t="s">
        <v>46</v>
      </c>
    </row>
    <row r="9" spans="2:18" ht="39.9" customHeight="1" x14ac:dyDescent="0.4">
      <c r="G9" s="37"/>
      <c r="H9" s="37"/>
      <c r="I9" s="37"/>
      <c r="J9" s="37"/>
      <c r="K9" s="37"/>
      <c r="L9" s="248"/>
      <c r="M9" s="38"/>
      <c r="N9" s="38"/>
      <c r="O9" s="38"/>
    </row>
    <row r="11" spans="2:18" ht="24.9" customHeight="1" x14ac:dyDescent="0.4">
      <c r="Q11" s="38" t="s">
        <v>50</v>
      </c>
      <c r="R11" s="38" t="s">
        <v>53</v>
      </c>
    </row>
    <row r="12" spans="2:18" ht="24.9" customHeight="1" x14ac:dyDescent="0.4">
      <c r="Q12" s="38" t="s">
        <v>51</v>
      </c>
      <c r="R12" s="38" t="s">
        <v>54</v>
      </c>
    </row>
    <row r="13" spans="2:18" ht="24.9" customHeight="1" x14ac:dyDescent="0.4">
      <c r="Q13" s="38" t="s">
        <v>52</v>
      </c>
      <c r="R13" s="38" t="s">
        <v>54</v>
      </c>
    </row>
  </sheetData>
  <mergeCells count="3">
    <mergeCell ref="B2:B4"/>
    <mergeCell ref="G6:G7"/>
    <mergeCell ref="L8:L9"/>
  </mergeCells>
  <phoneticPr fontId="4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C27"/>
  <sheetViews>
    <sheetView workbookViewId="0">
      <selection activeCell="H16" sqref="H16"/>
    </sheetView>
  </sheetViews>
  <sheetFormatPr defaultRowHeight="17.399999999999999" x14ac:dyDescent="0.4"/>
  <sheetData>
    <row r="3" spans="2:3" x14ac:dyDescent="0.4">
      <c r="B3" s="249" t="s">
        <v>55</v>
      </c>
      <c r="C3" s="250"/>
    </row>
    <row r="4" spans="2:3" x14ac:dyDescent="0.4">
      <c r="B4" s="40" t="s">
        <v>56</v>
      </c>
      <c r="C4" s="40" t="s">
        <v>57</v>
      </c>
    </row>
    <row r="5" spans="2:3" x14ac:dyDescent="0.4">
      <c r="B5" s="38" t="s">
        <v>58</v>
      </c>
      <c r="C5" s="38">
        <v>0.25</v>
      </c>
    </row>
    <row r="6" spans="2:3" x14ac:dyDescent="0.4">
      <c r="B6" s="38" t="s">
        <v>59</v>
      </c>
      <c r="C6" s="38">
        <v>0.5</v>
      </c>
    </row>
    <row r="7" spans="2:3" x14ac:dyDescent="0.4">
      <c r="B7" s="38" t="s">
        <v>60</v>
      </c>
      <c r="C7" s="38">
        <v>0.75</v>
      </c>
    </row>
    <row r="8" spans="2:3" x14ac:dyDescent="0.4">
      <c r="B8" s="38" t="s">
        <v>61</v>
      </c>
      <c r="C8" s="38">
        <v>1</v>
      </c>
    </row>
    <row r="9" spans="2:3" x14ac:dyDescent="0.4">
      <c r="B9" s="38" t="s">
        <v>62</v>
      </c>
      <c r="C9" s="38">
        <v>1.25</v>
      </c>
    </row>
    <row r="10" spans="2:3" x14ac:dyDescent="0.4">
      <c r="B10" s="38" t="s">
        <v>63</v>
      </c>
      <c r="C10" s="38">
        <v>1.5</v>
      </c>
    </row>
    <row r="11" spans="2:3" x14ac:dyDescent="0.4">
      <c r="B11" s="38" t="s">
        <v>64</v>
      </c>
      <c r="C11" s="38">
        <v>2</v>
      </c>
    </row>
    <row r="12" spans="2:3" x14ac:dyDescent="0.4">
      <c r="B12" s="38" t="s">
        <v>65</v>
      </c>
      <c r="C12" s="38">
        <v>2.5</v>
      </c>
    </row>
    <row r="13" spans="2:3" x14ac:dyDescent="0.4">
      <c r="B13" s="38" t="s">
        <v>66</v>
      </c>
      <c r="C13" s="38">
        <v>3</v>
      </c>
    </row>
    <row r="14" spans="2:3" x14ac:dyDescent="0.4">
      <c r="B14" s="38" t="s">
        <v>67</v>
      </c>
      <c r="C14" s="38">
        <v>4</v>
      </c>
    </row>
    <row r="15" spans="2:3" x14ac:dyDescent="0.4">
      <c r="B15" s="38" t="s">
        <v>68</v>
      </c>
      <c r="C15" s="38">
        <v>4</v>
      </c>
    </row>
    <row r="16" spans="2:3" x14ac:dyDescent="0.4">
      <c r="B16" s="38" t="s">
        <v>69</v>
      </c>
      <c r="C16" s="38">
        <v>5</v>
      </c>
    </row>
    <row r="17" spans="2:3" x14ac:dyDescent="0.4">
      <c r="B17" s="38" t="s">
        <v>70</v>
      </c>
      <c r="C17" s="38">
        <v>6</v>
      </c>
    </row>
    <row r="18" spans="2:3" x14ac:dyDescent="0.4">
      <c r="B18" s="38" t="s">
        <v>71</v>
      </c>
      <c r="C18" s="38">
        <v>7</v>
      </c>
    </row>
    <row r="19" spans="2:3" x14ac:dyDescent="0.4">
      <c r="B19" s="38" t="s">
        <v>72</v>
      </c>
      <c r="C19" s="38">
        <v>8</v>
      </c>
    </row>
    <row r="20" spans="2:3" x14ac:dyDescent="0.4">
      <c r="B20" s="38" t="s">
        <v>73</v>
      </c>
      <c r="C20" s="38">
        <v>9</v>
      </c>
    </row>
    <row r="21" spans="2:3" x14ac:dyDescent="0.4">
      <c r="B21" s="38" t="s">
        <v>74</v>
      </c>
      <c r="C21" s="38">
        <v>10</v>
      </c>
    </row>
    <row r="22" spans="2:3" x14ac:dyDescent="0.4">
      <c r="B22" s="38" t="s">
        <v>75</v>
      </c>
      <c r="C22" s="38">
        <v>12</v>
      </c>
    </row>
    <row r="23" spans="2:3" x14ac:dyDescent="0.4">
      <c r="B23" s="38" t="s">
        <v>76</v>
      </c>
      <c r="C23" s="38">
        <v>14</v>
      </c>
    </row>
    <row r="24" spans="2:3" x14ac:dyDescent="0.4">
      <c r="B24" s="38" t="s">
        <v>77</v>
      </c>
      <c r="C24" s="38">
        <v>16</v>
      </c>
    </row>
    <row r="25" spans="2:3" x14ac:dyDescent="0.4">
      <c r="B25" s="38" t="s">
        <v>78</v>
      </c>
      <c r="C25" s="38">
        <v>18</v>
      </c>
    </row>
    <row r="26" spans="2:3" x14ac:dyDescent="0.4">
      <c r="B26" s="38" t="s">
        <v>79</v>
      </c>
      <c r="C26" s="38">
        <v>20</v>
      </c>
    </row>
    <row r="27" spans="2:3" x14ac:dyDescent="0.4">
      <c r="B27" s="38" t="s">
        <v>80</v>
      </c>
      <c r="C27" s="38">
        <v>22</v>
      </c>
    </row>
  </sheetData>
  <mergeCells count="1">
    <mergeCell ref="B3:C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4</vt:i4>
      </vt:variant>
    </vt:vector>
  </HeadingPairs>
  <TitlesOfParts>
    <vt:vector size="16" baseType="lpstr">
      <vt:lpstr>용역청구서 표지</vt:lpstr>
      <vt:lpstr>용역 청구서(갑지)</vt:lpstr>
      <vt:lpstr>용역 내역서(을지)</vt:lpstr>
      <vt:lpstr>집계장</vt:lpstr>
      <vt:lpstr>물량 내역서</vt:lpstr>
      <vt:lpstr>근로내역 (12월)</vt:lpstr>
      <vt:lpstr>숙소임차료</vt:lpstr>
      <vt:lpstr>숙소관리비</vt:lpstr>
      <vt:lpstr>식대비용</vt:lpstr>
      <vt:lpstr>기타비용</vt:lpstr>
      <vt:lpstr>서명란</vt:lpstr>
      <vt:lpstr>DIA-INCH</vt:lpstr>
      <vt:lpstr>기타비용!Print_Area</vt:lpstr>
      <vt:lpstr>숙소임차료!Print_Area</vt:lpstr>
      <vt:lpstr>식대비용!Print_Area</vt:lpstr>
      <vt:lpstr>'용역 청구서(갑지)'!Print_Area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KCENC</dc:creator>
  <cp:lastModifiedBy>ENCP0852LT</cp:lastModifiedBy>
  <cp:lastPrinted>2026-01-06T06:02:09Z</cp:lastPrinted>
  <dcterms:created xsi:type="dcterms:W3CDTF">2025-09-12T00:04:15Z</dcterms:created>
  <dcterms:modified xsi:type="dcterms:W3CDTF">2026-01-08T01:26:26Z</dcterms:modified>
</cp:coreProperties>
</file>