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4월\S25-004\"/>
    </mc:Choice>
  </mc:AlternateContent>
  <xr:revisionPtr revIDLastSave="0" documentId="13_ncr:1_{4196E1EB-1BF2-4A3E-B6F6-9E5CA894C11D}" xr6:coauthVersionLast="36" xr6:coauthVersionMax="47" xr10:uidLastSave="{00000000-0000-0000-0000-000000000000}"/>
  <bookViews>
    <workbookView xWindow="28680" yWindow="-120" windowWidth="29040" windowHeight="15720" tabRatio="726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4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기타비용!$A$1:$I$23</definedName>
    <definedName name="_xlnm.Print_Area" localSheetId="8">배관기자재!$A$1:$J$55</definedName>
    <definedName name="_xlnm.Print_Area" localSheetId="10">숙소관리비!$A$1:$J$71</definedName>
    <definedName name="_xlnm.Print_Area" localSheetId="9">숙소임차료!$A$1:$J$25</definedName>
    <definedName name="_xlnm.Print_Area" localSheetId="11">식대비용!$A$1:$J$11</definedName>
    <definedName name="_xlnm.Print_Area" localSheetId="1">'용역 청구서(갑지)'!$A$1:$L$26</definedName>
    <definedName name="_xlnm.Print_Area" localSheetId="7">용접기자재!$A$1:$J$9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6" l="1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44" i="7"/>
  <c r="N44" i="7"/>
  <c r="N42" i="7"/>
  <c r="N39" i="7"/>
  <c r="N36" i="7"/>
  <c r="N35" i="7"/>
  <c r="N34" i="7"/>
  <c r="N33" i="7"/>
  <c r="N32" i="7"/>
  <c r="N31" i="7"/>
  <c r="N22" i="7"/>
  <c r="A9" i="13" l="1"/>
  <c r="A8" i="13"/>
  <c r="A7" i="13"/>
  <c r="A6" i="13"/>
  <c r="A5" i="13"/>
  <c r="A4" i="13"/>
  <c r="H23" i="12"/>
  <c r="A23" i="12"/>
  <c r="H22" i="12"/>
  <c r="A22" i="12"/>
  <c r="H21" i="12"/>
  <c r="A21" i="12"/>
  <c r="H20" i="12"/>
  <c r="A20" i="12"/>
  <c r="H19" i="12"/>
  <c r="A19" i="12"/>
  <c r="H18" i="12"/>
  <c r="A18" i="12"/>
  <c r="H17" i="12"/>
  <c r="A17" i="12"/>
  <c r="H16" i="12"/>
  <c r="A16" i="12"/>
  <c r="H15" i="12"/>
  <c r="A15" i="12"/>
  <c r="H14" i="12"/>
  <c r="A14" i="12"/>
  <c r="H13" i="12"/>
  <c r="A13" i="12"/>
  <c r="H12" i="12"/>
  <c r="A12" i="12"/>
  <c r="H11" i="12"/>
  <c r="A11" i="12"/>
  <c r="H10" i="12"/>
  <c r="A10" i="12"/>
  <c r="H9" i="12"/>
  <c r="A9" i="12"/>
  <c r="H8" i="12"/>
  <c r="A8" i="12"/>
  <c r="H7" i="12"/>
  <c r="A7" i="12"/>
  <c r="H6" i="12"/>
  <c r="A6" i="12"/>
  <c r="H5" i="12"/>
  <c r="A5" i="12"/>
  <c r="H4" i="12"/>
  <c r="A4" i="12"/>
  <c r="I11" i="11"/>
  <c r="A11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I3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25" i="9"/>
  <c r="A25" i="9"/>
  <c r="I24" i="9"/>
  <c r="A24" i="9"/>
  <c r="I23" i="9"/>
  <c r="A23" i="9"/>
  <c r="I22" i="9"/>
  <c r="A22" i="9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A9" i="9"/>
  <c r="I8" i="9"/>
  <c r="A8" i="9"/>
  <c r="I7" i="9"/>
  <c r="A7" i="9"/>
  <c r="I6" i="9"/>
  <c r="A6" i="9"/>
  <c r="I5" i="9"/>
  <c r="A5" i="9"/>
  <c r="I4" i="9"/>
  <c r="A4" i="9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E17" i="15"/>
  <c r="F11" i="15"/>
  <c r="F10" i="15"/>
  <c r="F9" i="15"/>
  <c r="F8" i="15"/>
  <c r="F7" i="15"/>
  <c r="F6" i="15"/>
  <c r="F5" i="15"/>
  <c r="F13" i="15" l="1"/>
  <c r="F17" i="15" s="1"/>
  <c r="AN115" i="8" l="1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H3" i="12" l="1"/>
  <c r="G8" i="6" l="1"/>
  <c r="G13" i="6" l="1"/>
  <c r="G14" i="6" s="1"/>
  <c r="G18" i="6" s="1"/>
  <c r="G21" i="6" s="1"/>
  <c r="G22" i="6" l="1"/>
  <c r="I3" i="11"/>
  <c r="I3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 s="1"/>
  <c r="I3" i="14"/>
  <c r="I3" i="13"/>
  <c r="AN103" i="8" l="1"/>
  <c r="AP103" i="8" s="1"/>
  <c r="AN102" i="8"/>
  <c r="AP102" i="8" s="1"/>
  <c r="AN101" i="8"/>
  <c r="AP101" i="8" s="1"/>
  <c r="AN100" i="8"/>
  <c r="AP100" i="8" s="1"/>
  <c r="AN99" i="8"/>
  <c r="AP99" i="8" s="1"/>
  <c r="AN98" i="8"/>
  <c r="AP98" i="8" s="1"/>
  <c r="AN97" i="8"/>
  <c r="AP97" i="8" s="1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123" i="8"/>
  <c r="J123" i="8"/>
  <c r="K123" i="8"/>
  <c r="L123" i="8"/>
  <c r="M123" i="8"/>
  <c r="N123" i="8"/>
  <c r="N130" i="8" s="1"/>
  <c r="O123" i="8"/>
  <c r="O130" i="8" s="1"/>
  <c r="P123" i="8"/>
  <c r="P130" i="8" s="1"/>
  <c r="Q123" i="8"/>
  <c r="R123" i="8"/>
  <c r="S123" i="8"/>
  <c r="T123" i="8"/>
  <c r="U123" i="8"/>
  <c r="V123" i="8"/>
  <c r="W123" i="8"/>
  <c r="X123" i="8"/>
  <c r="Y123" i="8"/>
  <c r="Z123" i="8"/>
  <c r="Z130" i="8" s="1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L130" i="8" s="1"/>
  <c r="AM123" i="8"/>
  <c r="AM130" i="8" s="1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Q130" i="8" l="1"/>
  <c r="AD130" i="8"/>
  <c r="T130" i="8"/>
  <c r="AF130" i="8"/>
  <c r="R130" i="8"/>
  <c r="AB130" i="8"/>
  <c r="AA130" i="8"/>
  <c r="AC130" i="8"/>
  <c r="AJ130" i="8"/>
  <c r="AE130" i="8"/>
  <c r="W130" i="8"/>
  <c r="AK130" i="8"/>
  <c r="Y130" i="8"/>
  <c r="M130" i="8"/>
  <c r="X130" i="8"/>
  <c r="L130" i="8"/>
  <c r="AI130" i="8"/>
  <c r="K130" i="8"/>
  <c r="V130" i="8"/>
  <c r="J130" i="8"/>
  <c r="AG130" i="8"/>
  <c r="U130" i="8"/>
  <c r="I130" i="8"/>
  <c r="S130" i="8"/>
  <c r="AH130" i="8"/>
  <c r="AN122" i="8" l="1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M3" i="8" l="1"/>
  <c r="AM1" i="8"/>
  <c r="AN128" i="8"/>
  <c r="AP128" i="8" s="1"/>
  <c r="AN127" i="8"/>
  <c r="AP127" i="8" s="1"/>
  <c r="AN126" i="8"/>
  <c r="AP126" i="8" s="1"/>
  <c r="AN125" i="8"/>
  <c r="AP125" i="8" s="1"/>
  <c r="AN124" i="8"/>
  <c r="AP124" i="8" s="1"/>
  <c r="AP129" i="8" l="1"/>
  <c r="F6" i="6" s="1"/>
  <c r="AN123" i="8"/>
  <c r="AP123" i="8"/>
  <c r="AN129" i="8"/>
  <c r="E50" i="7"/>
  <c r="K50" i="7" s="1"/>
  <c r="E49" i="7"/>
  <c r="K49" i="7" s="1"/>
  <c r="E48" i="7"/>
  <c r="K48" i="7" s="1"/>
  <c r="E47" i="7"/>
  <c r="K47" i="7" s="1"/>
  <c r="E46" i="7"/>
  <c r="K46" i="7" s="1"/>
  <c r="E45" i="7"/>
  <c r="K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E32" i="7"/>
  <c r="K32" i="7" s="1"/>
  <c r="E30" i="7"/>
  <c r="E29" i="7"/>
  <c r="K29" i="7" s="1"/>
  <c r="E28" i="7"/>
  <c r="J27" i="7"/>
  <c r="J26" i="7"/>
  <c r="J25" i="7"/>
  <c r="K25" i="7" s="1"/>
  <c r="J24" i="7"/>
  <c r="K24" i="7" s="1"/>
  <c r="J23" i="7"/>
  <c r="K23" i="7" s="1"/>
  <c r="J22" i="7"/>
  <c r="J21" i="7"/>
  <c r="K21" i="7" s="1"/>
  <c r="J20" i="7"/>
  <c r="J19" i="7"/>
  <c r="J18" i="7"/>
  <c r="K18" i="7" s="1"/>
  <c r="J17" i="7"/>
  <c r="J7" i="7"/>
  <c r="J6" i="7"/>
  <c r="J5" i="7"/>
  <c r="A2" i="7"/>
  <c r="A1" i="6"/>
  <c r="L2" i="6"/>
  <c r="AN130" i="8" l="1"/>
  <c r="D9" i="6" s="1"/>
  <c r="K26" i="7"/>
  <c r="K36" i="7"/>
  <c r="K37" i="7"/>
  <c r="K40" i="7"/>
  <c r="K41" i="7"/>
  <c r="K42" i="7"/>
  <c r="K38" i="7"/>
  <c r="K39" i="7"/>
  <c r="K28" i="7"/>
  <c r="K30" i="7"/>
  <c r="K35" i="7"/>
  <c r="D6" i="6"/>
  <c r="K7" i="7"/>
  <c r="D4" i="6"/>
  <c r="AP130" i="8"/>
  <c r="AO123" i="8"/>
  <c r="K6" i="7"/>
  <c r="K22" i="7"/>
  <c r="K5" i="7"/>
  <c r="K19" i="7"/>
  <c r="K27" i="7"/>
  <c r="K17" i="7"/>
  <c r="K20" i="7"/>
  <c r="F20" i="6"/>
  <c r="H19" i="6"/>
  <c r="I19" i="6" s="1"/>
  <c r="H17" i="6"/>
  <c r="I17" i="6" s="1"/>
  <c r="H16" i="6"/>
  <c r="I16" i="6" s="1"/>
  <c r="E14" i="2" s="1"/>
  <c r="H15" i="6"/>
  <c r="I15" i="6" s="1"/>
  <c r="F12" i="6"/>
  <c r="H7" i="6"/>
  <c r="I7" i="6" s="1"/>
  <c r="H6" i="6"/>
  <c r="I6" i="6" s="1"/>
  <c r="AO130" i="8" l="1"/>
  <c r="F9" i="6"/>
  <c r="H20" i="6"/>
  <c r="I20" i="6" s="1"/>
  <c r="L20" i="6" s="1"/>
  <c r="E12" i="2" s="1"/>
  <c r="E11" i="2"/>
  <c r="F5" i="6"/>
  <c r="F4" i="6"/>
  <c r="K51" i="7"/>
  <c r="J51" i="7"/>
  <c r="E11" i="6"/>
  <c r="H11" i="6"/>
  <c r="I11" i="6" s="1"/>
  <c r="E10" i="6"/>
  <c r="E6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18" i="6" l="1"/>
  <c r="I18" i="6" s="1"/>
  <c r="H21" i="6"/>
  <c r="I21" i="6" s="1"/>
  <c r="F22" i="6"/>
  <c r="H22" i="6" l="1"/>
  <c r="I22" i="6" s="1"/>
  <c r="E5" i="2" s="1"/>
  <c r="D5" i="2" s="1"/>
  <c r="E8" i="2"/>
  <c r="D8" i="2" s="1"/>
  <c r="E13" i="2"/>
  <c r="E6" i="2" s="1"/>
  <c r="D6" i="2" s="1"/>
  <c r="I9" i="6"/>
  <c r="D13" i="2" l="1"/>
  <c r="L6" i="7" l="1"/>
  <c r="F6" i="7" s="1"/>
  <c r="M6" i="7"/>
  <c r="G6" i="7"/>
  <c r="M7" i="7"/>
  <c r="G7" i="7" s="1"/>
  <c r="L7" i="7"/>
  <c r="F7" i="7" s="1"/>
  <c r="M5" i="7"/>
  <c r="G5" i="7" s="1"/>
  <c r="L5" i="7"/>
  <c r="F5" i="7" s="1"/>
  <c r="L27" i="7"/>
  <c r="F27" i="7"/>
  <c r="L20" i="7"/>
  <c r="F20" i="7"/>
  <c r="L35" i="7"/>
  <c r="F35" i="7" s="1"/>
  <c r="L11" i="7"/>
  <c r="F11" i="7" s="1"/>
  <c r="M44" i="7"/>
  <c r="G44" i="7"/>
  <c r="M15" i="7"/>
  <c r="G15" i="7"/>
  <c r="M34" i="7"/>
  <c r="G34" i="7" s="1"/>
  <c r="M19" i="7"/>
  <c r="G19" i="7"/>
  <c r="M46" i="7"/>
  <c r="G46" i="7" s="1"/>
  <c r="M17" i="7"/>
  <c r="G17" i="7" s="1"/>
  <c r="L23" i="7"/>
  <c r="F23" i="7" s="1"/>
  <c r="M25" i="7"/>
  <c r="G25" i="7" s="1"/>
  <c r="M39" i="7"/>
  <c r="G39" i="7" s="1"/>
  <c r="M33" i="7"/>
  <c r="G33" i="7" s="1"/>
  <c r="M40" i="7"/>
  <c r="G40" i="7"/>
  <c r="L42" i="7"/>
  <c r="F42" i="7" s="1"/>
  <c r="L45" i="7"/>
  <c r="F45" i="7" s="1"/>
  <c r="M11" i="7"/>
  <c r="G11" i="7" s="1"/>
  <c r="L32" i="7"/>
  <c r="F32" i="7" s="1"/>
  <c r="L15" i="7"/>
  <c r="F15" i="7" s="1"/>
  <c r="M23" i="7"/>
  <c r="G23" i="7"/>
  <c r="M35" i="7"/>
  <c r="G35" i="7" s="1"/>
  <c r="L48" i="7"/>
  <c r="F48" i="7" s="1"/>
  <c r="L21" i="7"/>
  <c r="F21" i="7" s="1"/>
  <c r="L47" i="7"/>
  <c r="F47" i="7"/>
  <c r="L44" i="7"/>
  <c r="F44" i="7" s="1"/>
  <c r="M18" i="7"/>
  <c r="G18" i="7"/>
  <c r="M42" i="7"/>
  <c r="G42" i="7" s="1"/>
  <c r="L12" i="7"/>
  <c r="F12" i="7" s="1"/>
  <c r="L37" i="7"/>
  <c r="F37" i="7"/>
  <c r="M28" i="7"/>
  <c r="G28" i="7" s="1"/>
  <c r="L41" i="7"/>
  <c r="F41" i="7" s="1"/>
  <c r="L18" i="7"/>
  <c r="F18" i="7"/>
  <c r="M22" i="7"/>
  <c r="G22" i="7" s="1"/>
  <c r="M50" i="7"/>
  <c r="G50" i="7" s="1"/>
  <c r="L36" i="7"/>
  <c r="F36" i="7" s="1"/>
  <c r="M26" i="7"/>
  <c r="G26" i="7"/>
  <c r="L10" i="7"/>
  <c r="F10" i="7" s="1"/>
  <c r="L9" i="7"/>
  <c r="F9" i="7" s="1"/>
  <c r="L17" i="7"/>
  <c r="F17" i="7" s="1"/>
  <c r="L49" i="7"/>
  <c r="F49" i="7" s="1"/>
  <c r="M48" i="7"/>
  <c r="G48" i="7" s="1"/>
  <c r="L50" i="7"/>
  <c r="F50" i="7"/>
  <c r="L30" i="7"/>
  <c r="F30" i="7" s="1"/>
  <c r="M29" i="7"/>
  <c r="G29" i="7"/>
  <c r="M37" i="7"/>
  <c r="G37" i="7" s="1"/>
  <c r="M21" i="7"/>
  <c r="G21" i="7" s="1"/>
  <c r="L46" i="7"/>
  <c r="F46" i="7" s="1"/>
  <c r="L40" i="7"/>
  <c r="F40" i="7" s="1"/>
  <c r="L19" i="7"/>
  <c r="F19" i="7" s="1"/>
  <c r="L29" i="7"/>
  <c r="F29" i="7"/>
  <c r="L14" i="7"/>
  <c r="F14" i="7" s="1"/>
  <c r="L43" i="7"/>
  <c r="F43" i="7" s="1"/>
  <c r="L33" i="7"/>
  <c r="F33" i="7" s="1"/>
  <c r="L24" i="7"/>
  <c r="F24" i="7" s="1"/>
  <c r="L13" i="7"/>
  <c r="F13" i="7" s="1"/>
  <c r="M20" i="7"/>
  <c r="G20" i="7"/>
  <c r="M16" i="7"/>
  <c r="G16" i="7" s="1"/>
  <c r="L31" i="7"/>
  <c r="F31" i="7" s="1"/>
  <c r="M14" i="7"/>
  <c r="G14" i="7" s="1"/>
  <c r="M32" i="7"/>
  <c r="G32" i="7" s="1"/>
  <c r="M27" i="7"/>
  <c r="G27" i="7" s="1"/>
  <c r="I51" i="7"/>
  <c r="L25" i="7"/>
  <c r="F25" i="7" s="1"/>
  <c r="L28" i="7"/>
  <c r="F28" i="7"/>
  <c r="M10" i="7"/>
  <c r="G10" i="7"/>
  <c r="L26" i="7"/>
  <c r="F26" i="7" s="1"/>
  <c r="L22" i="7"/>
  <c r="F22" i="7" s="1"/>
  <c r="M47" i="7"/>
  <c r="G47" i="7" s="1"/>
  <c r="L38" i="7"/>
  <c r="F38" i="7" s="1"/>
  <c r="M43" i="7"/>
  <c r="G43" i="7"/>
  <c r="M45" i="7"/>
  <c r="G45" i="7"/>
  <c r="M41" i="7"/>
  <c r="G41" i="7" s="1"/>
  <c r="L16" i="7"/>
  <c r="F16" i="7"/>
  <c r="L34" i="7"/>
  <c r="F34" i="7" s="1"/>
  <c r="L39" i="7"/>
  <c r="F39" i="7" s="1"/>
  <c r="M24" i="7"/>
  <c r="G24" i="7"/>
  <c r="M38" i="7"/>
  <c r="G38" i="7" s="1"/>
  <c r="M12" i="7"/>
  <c r="G12" i="7" s="1"/>
  <c r="M31" i="7"/>
  <c r="G31" i="7" s="1"/>
  <c r="M49" i="7"/>
  <c r="G49" i="7"/>
  <c r="M30" i="7"/>
  <c r="G30" i="7" s="1"/>
  <c r="M36" i="7"/>
  <c r="G36" i="7" s="1"/>
  <c r="M13" i="7"/>
  <c r="G13" i="7" s="1"/>
  <c r="M9" i="7"/>
  <c r="G9" i="7" s="1"/>
  <c r="H51" i="7"/>
  <c r="L8" i="7"/>
  <c r="F8" i="7" s="1"/>
  <c r="M8" i="7"/>
  <c r="G8" i="7" s="1"/>
  <c r="M51" i="7" l="1"/>
  <c r="F51" i="7"/>
  <c r="G51" i="7"/>
  <c r="L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<sst xmlns="http://schemas.openxmlformats.org/spreadsheetml/2006/main" count="2048" uniqueCount="993">
  <si>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</si>
  <si>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</si>
  <si>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</si>
  <si>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</si>
  <si>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</si>
  <si>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</si>
  <si>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</si>
  <si>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</si>
  <si>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</si>
  <si>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</si>
  <si>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</si>
  <si>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</si>
  <si>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</si>
  <si>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</si>
  <si>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</si>
  <si>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</si>
  <si>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</si>
  <si>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</si>
  <si>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</si>
  <si>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</si>
  <si>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</si>
  <si>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</si>
  <si>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</si>
  <si>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</si>
  <si>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</si>
  <si>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</si>
  <si>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</si>
  <si>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</si>
  <si>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</si>
  <si>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</si>
  <si>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</si>
  <si>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</si>
  <si>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</si>
  <si>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</si>
  <si>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</si>
  <si>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</si>
  <si>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</si>
  <si>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</si>
  <si>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</si>
  <si>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</si>
  <si>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</si>
  <si>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</si>
  <si>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</si>
  <si>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</si>
  <si>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</si>
  <si>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</si>
  <si>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</si>
  <si>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</si>
  <si>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</si>
  <si>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</si>
  <si>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</si>
  <si>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</si>
  <si>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</si>
  <si>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</si>
  <si>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</si>
  <si>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</si>
  <si>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</si>
  <si>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</si>
  <si>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</si>
  <si>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</si>
  <si>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</si>
  <si>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</si>
  <si>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</si>
  <si>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</si>
  <si>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</si>
  <si>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</si>
  <si>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</si>
  <si>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</si>
  <si>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</si>
  <si>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</si>
  <si>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</si>
  <si>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</si>
  <si>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</si>
  <si>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</si>
  <si>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</si>
  <si>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</si>
  <si>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</si>
  <si>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</si>
  <si>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</si>
  <si>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</si>
  <si>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</si>
  <si>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</si>
  <si>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</si>
  <si>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</si>
  <si>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</si>
  <si>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</si>
  <si>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</si>
  <si>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</si>
  <si>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</si>
  <si>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</si>
  <si>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</si>
  <si>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</si>
  <si>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</si>
  <si>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</si>
  <si>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</si>
  <si>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</si>
  <si>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</si>
  <si>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</si>
  <si>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</si>
  <si>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</si>
  <si>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</si>
  <si>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</si>
  <si>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</si>
  <si>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</si>
  <si>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</si>
  <si>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</si>
  <si>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</si>
  <si>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</si>
  <si>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</si>
  <si>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</si>
  <si>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</si>
  <si>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</si>
  <si>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</si>
  <si>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</si>
  <si>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</si>
  <si>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</si>
  <si>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</si>
  <si>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</si>
  <si>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</si>
  <si>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</si>
  <si>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</si>
  <si>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</si>
  <si>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</si>
  <si>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</si>
  <si>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</si>
  <si>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</si>
  <si>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</si>
  <si>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</si>
  <si>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</si>
  <si>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</si>
  <si>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</si>
  <si>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</si>
  <si>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</si>
  <si>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</si>
  <si>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</si>
  <si>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</si>
  <si>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</si>
  <si>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</si>
  <si>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</si>
  <si>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</si>
  <si>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</si>
  <si>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</si>
  <si>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</si>
  <si>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</si>
  <si>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</si>
  <si>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</si>
  <si>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</si>
  <si>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</si>
  <si>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</si>
  <si>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</si>
  <si>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</si>
  <si>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</si>
  <si>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</si>
  <si>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</si>
  <si>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</si>
  <si>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</si>
  <si>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</si>
  <si>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</si>
  <si>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</si>
  <si>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</si>
  <si>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</si>
  <si>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</si>
  <si>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</si>
  <si>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</si>
  <si>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</si>
  <si>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</si>
  <si>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</si>
  <si>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</si>
  <si>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</si>
  <si>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</si>
  <si>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</si>
  <si>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</si>
  <si>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</si>
  <si>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</si>
  <si>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</si>
  <si>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</si>
  <si>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</si>
  <si>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</si>
  <si>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</si>
  <si>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</si>
  <si>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</si>
  <si>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</si>
  <si>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</si>
  <si>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</si>
  <si>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</si>
  <si>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</si>
  <si>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</si>
  <si>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</si>
  <si>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</si>
  <si>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</si>
  <si>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</si>
  <si>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</si>
  <si>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</si>
  <si>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</si>
  <si>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</si>
  <si>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</si>
  <si>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</si>
  <si>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</si>
  <si>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</si>
  <si>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</si>
  <si>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</si>
  <si>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</si>
  <si>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</si>
  <si>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</si>
  <si>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</si>
  <si>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</si>
  <si>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</si>
  <si>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</si>
  <si>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</si>
  <si>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</si>
  <si>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</si>
  <si>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</si>
  <si>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</si>
  <si>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</si>
  <si>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</si>
  <si>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</si>
  <si>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</si>
  <si>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</si>
  <si>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</si>
  <si>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</si>
  <si>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</si>
  <si>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</si>
  <si>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</si>
  <si>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</si>
  <si>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</si>
  <si>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</si>
  <si>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</si>
  <si>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</si>
  <si>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</si>
  <si>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</si>
  <si>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</si>
  <si>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</si>
  <si>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</si>
  <si>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</si>
  <si>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</si>
  <si>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</si>
  <si>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</si>
  <si>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</si>
  <si>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</si>
  <si>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</si>
  <si>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</si>
  <si>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</si>
  <si>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</si>
  <si>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</si>
  <si>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</si>
  <si>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</si>
  <si>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</si>
  <si>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</si>
  <si>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</si>
  <si>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</si>
  <si>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</si>
  <si>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</si>
  <si>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</si>
  <si>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</si>
  <si>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</si>
  <si>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</si>
  <si>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</si>
  <si>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</si>
  <si>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</si>
  <si>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</si>
  <si>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</si>
  <si>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</si>
  <si>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</si>
  <si>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</si>
  <si>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</si>
  <si>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</si>
  <si>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</si>
  <si>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</si>
  <si>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</si>
  <si>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</si>
  <si>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</si>
  <si>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</si>
  <si>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</si>
  <si>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</si>
  <si>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</si>
  <si>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</si>
  <si>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</si>
  <si>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</si>
  <si>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</si>
  <si>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</si>
  <si>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</si>
  <si>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</si>
  <si>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</si>
  <si>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</si>
  <si>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</si>
  <si>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</si>
  <si>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</si>
  <si>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</si>
  <si>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</si>
  <si>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</si>
  <si>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</si>
  <si>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</si>
  <si>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</si>
  <si>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</si>
  <si>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</si>
  <si>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</si>
  <si>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</si>
  <si>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</si>
  <si>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</si>
  <si>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</si>
  <si>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</si>
  <si>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</si>
  <si>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</si>
  <si>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</si>
  <si>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</si>
  <si>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</si>
  <si>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</si>
  <si>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</si>
  <si>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</si>
  <si>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강경섭</t>
  </si>
  <si>
    <t>781225-1392311</t>
  </si>
  <si>
    <t>010-2573-6379</t>
  </si>
  <si>
    <t>농협</t>
  </si>
  <si>
    <t>356-0973-5567-73</t>
  </si>
  <si>
    <t>강동근</t>
  </si>
  <si>
    <t>960219-1406218</t>
  </si>
  <si>
    <t>보통인부</t>
  </si>
  <si>
    <t>010-5555-5945</t>
  </si>
  <si>
    <t>신한</t>
  </si>
  <si>
    <t>110-444-941185</t>
  </si>
  <si>
    <t>강원태</t>
  </si>
  <si>
    <t>920818-1240811</t>
  </si>
  <si>
    <t>010-9205-4684</t>
  </si>
  <si>
    <t>기업</t>
  </si>
  <si>
    <t>186-075475-01-013</t>
  </si>
  <si>
    <t>강인수</t>
  </si>
  <si>
    <t>690511-1067622</t>
  </si>
  <si>
    <t>010-2486-6843</t>
  </si>
  <si>
    <t>부산</t>
  </si>
  <si>
    <t>112-2027-3566-01</t>
  </si>
  <si>
    <t>강희재</t>
  </si>
  <si>
    <t>940122-1491011</t>
  </si>
  <si>
    <t>010-9127-3784</t>
  </si>
  <si>
    <t>110-404-502876</t>
  </si>
  <si>
    <t>용접공</t>
  </si>
  <si>
    <t>국민</t>
  </si>
  <si>
    <t>곽명재</t>
  </si>
  <si>
    <t>800514-1894915</t>
  </si>
  <si>
    <t>010-9232-3215</t>
  </si>
  <si>
    <t>312-0172-2596-61</t>
  </si>
  <si>
    <t>권혁만</t>
  </si>
  <si>
    <t>770319-1772710</t>
  </si>
  <si>
    <t>010-9084-0127</t>
  </si>
  <si>
    <t>530-023847-01-014</t>
  </si>
  <si>
    <t>김강현</t>
  </si>
  <si>
    <t>910414-1031829</t>
  </si>
  <si>
    <t>010-6733-7963</t>
  </si>
  <si>
    <t>110-302-846665</t>
  </si>
  <si>
    <t>김경태</t>
  </si>
  <si>
    <t>901120-1588112</t>
  </si>
  <si>
    <t>010-9538-3223</t>
  </si>
  <si>
    <t>99538322358</t>
  </si>
  <si>
    <t>김광동</t>
  </si>
  <si>
    <t>930520-1692511</t>
  </si>
  <si>
    <t>010-4348-0266</t>
  </si>
  <si>
    <t>926102-01-496205</t>
  </si>
  <si>
    <t>김귀훈</t>
  </si>
  <si>
    <t>820528-1001326</t>
  </si>
  <si>
    <t>010-4789-0798</t>
  </si>
  <si>
    <t>110-290-207123</t>
  </si>
  <si>
    <t>김기진</t>
  </si>
  <si>
    <t>871020-1850315</t>
  </si>
  <si>
    <t>010-6613-2156</t>
  </si>
  <si>
    <t>937-12-468305</t>
  </si>
  <si>
    <t>배관공</t>
  </si>
  <si>
    <t>김동민</t>
  </si>
  <si>
    <t>840606-1768018</t>
  </si>
  <si>
    <t>010-3804-2432</t>
  </si>
  <si>
    <t>110-408-565589</t>
  </si>
  <si>
    <t>김동열</t>
  </si>
  <si>
    <t>920815-1331213</t>
  </si>
  <si>
    <t>010-2426-3254</t>
  </si>
  <si>
    <t>새마을</t>
  </si>
  <si>
    <t>9003-2999-8313-9</t>
  </si>
  <si>
    <t>김동준</t>
  </si>
  <si>
    <t>981003-1558112</t>
  </si>
  <si>
    <t>010-9930-1495</t>
  </si>
  <si>
    <t>카카오</t>
  </si>
  <si>
    <t>3333-16-2421842</t>
  </si>
  <si>
    <t>김명수</t>
  </si>
  <si>
    <t>001211-3823418</t>
  </si>
  <si>
    <t>010-5797-6473</t>
  </si>
  <si>
    <t>944502-00-579965</t>
  </si>
  <si>
    <t>우리</t>
  </si>
  <si>
    <t>김선광</t>
  </si>
  <si>
    <t>880728-1903519</t>
  </si>
  <si>
    <t>010-4560-3710</t>
  </si>
  <si>
    <t>110-214-578576</t>
  </si>
  <si>
    <t>김성인</t>
  </si>
  <si>
    <t>781127-1567319</t>
  </si>
  <si>
    <t>010-8336-3710</t>
  </si>
  <si>
    <t>우체국</t>
  </si>
  <si>
    <t>503904-02-235538</t>
  </si>
  <si>
    <t>김성준</t>
  </si>
  <si>
    <t>961016-1179611</t>
  </si>
  <si>
    <t>010-7732-6708</t>
  </si>
  <si>
    <t>166102-04-160013</t>
  </si>
  <si>
    <t>김성중</t>
  </si>
  <si>
    <t>911126-1043210</t>
  </si>
  <si>
    <t>010-3777-9825</t>
  </si>
  <si>
    <t>118-149246-01-011</t>
  </si>
  <si>
    <t>하나</t>
  </si>
  <si>
    <t>김승진</t>
  </si>
  <si>
    <t>751018-1332839</t>
  </si>
  <si>
    <t>010-4742-4181</t>
  </si>
  <si>
    <t>110-338-273904</t>
  </si>
  <si>
    <t>김양근</t>
  </si>
  <si>
    <t>930824-1030929</t>
  </si>
  <si>
    <t>010-2301-4979</t>
  </si>
  <si>
    <t>110-349-207217</t>
  </si>
  <si>
    <t>김영광</t>
  </si>
  <si>
    <t>920704-1860718</t>
  </si>
  <si>
    <t>010-7704-1777</t>
  </si>
  <si>
    <t>580-022392-01-010</t>
  </si>
  <si>
    <t>김영철</t>
  </si>
  <si>
    <t>720622-1921415</t>
  </si>
  <si>
    <t>010-3884-4513</t>
  </si>
  <si>
    <t>9003-2504-8199-8</t>
  </si>
  <si>
    <t>김윤하</t>
  </si>
  <si>
    <t>860417-1348219</t>
  </si>
  <si>
    <t>010-4807-9031</t>
  </si>
  <si>
    <t>263102-04-214815</t>
  </si>
  <si>
    <t>김재호</t>
  </si>
  <si>
    <t>740417-1691211</t>
  </si>
  <si>
    <t>010-7903-8334</t>
  </si>
  <si>
    <t>0010-2858-8334</t>
  </si>
  <si>
    <t>김태훈</t>
  </si>
  <si>
    <t>810515-1814611</t>
  </si>
  <si>
    <t>010-5844-3098</t>
  </si>
  <si>
    <t>793-12-097221</t>
  </si>
  <si>
    <t>김현규</t>
  </si>
  <si>
    <t>921116-1163211</t>
  </si>
  <si>
    <t>010-9150-0018</t>
  </si>
  <si>
    <t>920302-01-333030</t>
  </si>
  <si>
    <t>김현수</t>
  </si>
  <si>
    <t>960703-1675511</t>
  </si>
  <si>
    <t>010-7760-4917</t>
  </si>
  <si>
    <t>143-13-132971</t>
  </si>
  <si>
    <t>김현재</t>
  </si>
  <si>
    <t>700202-1057315</t>
  </si>
  <si>
    <t>010-9062-6693</t>
  </si>
  <si>
    <t>040001-04-096857</t>
  </si>
  <si>
    <t>남희수</t>
  </si>
  <si>
    <t>741212-1068534</t>
  </si>
  <si>
    <t>010-8994-9296</t>
  </si>
  <si>
    <t>547201-01-029724</t>
  </si>
  <si>
    <t>도남철</t>
  </si>
  <si>
    <t>681003-1683610</t>
  </si>
  <si>
    <t>010-3734-2196</t>
  </si>
  <si>
    <t>박동은</t>
  </si>
  <si>
    <t>740428-1777929</t>
  </si>
  <si>
    <t>010-8240-5009</t>
  </si>
  <si>
    <t>717-12-084497</t>
  </si>
  <si>
    <t>박민우</t>
  </si>
  <si>
    <t>841026-1531716</t>
  </si>
  <si>
    <t>010-4768-4757</t>
  </si>
  <si>
    <t>673002-01-201903</t>
  </si>
  <si>
    <t>박성근</t>
  </si>
  <si>
    <t>850811-1526610</t>
  </si>
  <si>
    <t>010-9463-2277</t>
  </si>
  <si>
    <t>352-0406-9764-83</t>
  </si>
  <si>
    <t>박성호</t>
  </si>
  <si>
    <t>941107-1199714</t>
  </si>
  <si>
    <t>010-2922-3403</t>
  </si>
  <si>
    <t>450-033865-01-013</t>
  </si>
  <si>
    <t>박세호</t>
  </si>
  <si>
    <t>830125-1674711</t>
  </si>
  <si>
    <t>010-8898-7171</t>
  </si>
  <si>
    <t>3333-21-7116487</t>
  </si>
  <si>
    <t>박승남</t>
  </si>
  <si>
    <t>730316-1654417</t>
  </si>
  <si>
    <t>010-7618-6130</t>
  </si>
  <si>
    <t>211065-56-138642</t>
  </si>
  <si>
    <t>박안서</t>
  </si>
  <si>
    <t>810228-1469327</t>
  </si>
  <si>
    <t>010-3690-0417</t>
  </si>
  <si>
    <t>1002-040-987874</t>
  </si>
  <si>
    <t>박주영</t>
  </si>
  <si>
    <t>730810-1457613</t>
  </si>
  <si>
    <t>010-3356-9406</t>
  </si>
  <si>
    <t>130-910013-37908</t>
  </si>
  <si>
    <t>반춘호</t>
  </si>
  <si>
    <t>680115-1057219</t>
  </si>
  <si>
    <t>010-5440-6205</t>
  </si>
  <si>
    <t>302-1494-8082-31</t>
  </si>
  <si>
    <t>백승모</t>
  </si>
  <si>
    <t>800106-1229412</t>
  </si>
  <si>
    <t>010-2773-3333</t>
  </si>
  <si>
    <t>101824-02-361526</t>
  </si>
  <si>
    <t>백승배</t>
  </si>
  <si>
    <t>850323-1520514</t>
  </si>
  <si>
    <t>010-8113-3288</t>
  </si>
  <si>
    <t>402057-02-369681</t>
  </si>
  <si>
    <t>서용원</t>
  </si>
  <si>
    <t>680629-1224212</t>
  </si>
  <si>
    <t>010-5326-2653</t>
  </si>
  <si>
    <t>신협</t>
  </si>
  <si>
    <t>132-101-853762</t>
  </si>
  <si>
    <t>서주석</t>
  </si>
  <si>
    <t>670215-1386321</t>
  </si>
  <si>
    <t>010-4514-8042</t>
  </si>
  <si>
    <t>352-1129-4746-73</t>
  </si>
  <si>
    <t>서현우</t>
  </si>
  <si>
    <t>911210-1163410</t>
  </si>
  <si>
    <t>010-2320-6077</t>
  </si>
  <si>
    <t>576-910358-27807</t>
  </si>
  <si>
    <t>손동섭</t>
  </si>
  <si>
    <t>700908-1108719</t>
  </si>
  <si>
    <t>010-3842-1987</t>
  </si>
  <si>
    <t>067-12-025943-0</t>
  </si>
  <si>
    <t>송상엽</t>
  </si>
  <si>
    <t>820530-1167417</t>
  </si>
  <si>
    <t>010-3142-8904</t>
  </si>
  <si>
    <t>349-910362-94907</t>
  </si>
  <si>
    <t>송수림</t>
  </si>
  <si>
    <t>840920-1789928</t>
  </si>
  <si>
    <t>010-2777-7145</t>
  </si>
  <si>
    <t>352-0253-3500-63</t>
  </si>
  <si>
    <t>송용기</t>
  </si>
  <si>
    <t>980114-1811111</t>
  </si>
  <si>
    <t>010-9473-9352</t>
  </si>
  <si>
    <t>352-2309-2775-73</t>
  </si>
  <si>
    <t>신기현</t>
  </si>
  <si>
    <t>951018-1458314</t>
  </si>
  <si>
    <t>010-3950-1045</t>
  </si>
  <si>
    <t>3333-05-4607779</t>
  </si>
  <si>
    <t>신민재</t>
  </si>
  <si>
    <t>900411-1246925</t>
  </si>
  <si>
    <t>010-8361-4080</t>
  </si>
  <si>
    <t>136-086738-01-013</t>
  </si>
  <si>
    <t>신원석</t>
  </si>
  <si>
    <t>820823-1151611</t>
  </si>
  <si>
    <t>010-5794-3572</t>
  </si>
  <si>
    <t>110-312-958801</t>
  </si>
  <si>
    <t>신준호</t>
  </si>
  <si>
    <t>860115-1063914</t>
  </si>
  <si>
    <t>010-7628-6061</t>
  </si>
  <si>
    <t>1002-735-727923</t>
  </si>
  <si>
    <t>안성원</t>
  </si>
  <si>
    <t>730222-1674813</t>
  </si>
  <si>
    <t>010-9575-3445</t>
  </si>
  <si>
    <t>9003-2348-2974-4</t>
  </si>
  <si>
    <t>안수민</t>
  </si>
  <si>
    <t>900220-1083010</t>
  </si>
  <si>
    <t>010-5250-9814</t>
  </si>
  <si>
    <t>8010-5250-9814-0</t>
  </si>
  <si>
    <t>안영애</t>
  </si>
  <si>
    <t>730210-2810921</t>
  </si>
  <si>
    <t>010-4250-5380</t>
  </si>
  <si>
    <t>402401-04-137923</t>
  </si>
  <si>
    <t>안현진</t>
  </si>
  <si>
    <t>940313-1105610</t>
  </si>
  <si>
    <t>010-8108-0460</t>
  </si>
  <si>
    <t>1002-750-745421</t>
  </si>
  <si>
    <t>양동현</t>
  </si>
  <si>
    <t>970121-1126611</t>
  </si>
  <si>
    <t>010-5213-3183</t>
  </si>
  <si>
    <t>3333-05-3629952</t>
  </si>
  <si>
    <t>양희성</t>
  </si>
  <si>
    <t>911226-1178314</t>
  </si>
  <si>
    <t>010-8362-1226</t>
  </si>
  <si>
    <t>110-314-832686</t>
  </si>
  <si>
    <t>여훈</t>
  </si>
  <si>
    <t>790116-1696716</t>
  </si>
  <si>
    <t>010-8583-1849</t>
  </si>
  <si>
    <t>110-302-536595</t>
  </si>
  <si>
    <t>원홍연</t>
  </si>
  <si>
    <t>801025-1057720</t>
  </si>
  <si>
    <t>010-2922-2223</t>
  </si>
  <si>
    <t>케이뱅크</t>
  </si>
  <si>
    <t>100-214-461370</t>
  </si>
  <si>
    <t>이경백</t>
  </si>
  <si>
    <t>830511-1727011</t>
  </si>
  <si>
    <t>010-9612-0511</t>
  </si>
  <si>
    <t>613201-04-212972</t>
  </si>
  <si>
    <t>이관창</t>
  </si>
  <si>
    <t>740709-1262013</t>
  </si>
  <si>
    <t>010-5385-2305</t>
  </si>
  <si>
    <t>167-02-743383</t>
  </si>
  <si>
    <t>이명재</t>
  </si>
  <si>
    <t>840407-1011315</t>
  </si>
  <si>
    <t>010-2288-2353</t>
  </si>
  <si>
    <t>110-470-707347</t>
  </si>
  <si>
    <t>이상범</t>
  </si>
  <si>
    <t>860701-1070519</t>
  </si>
  <si>
    <t>010-2221-9310</t>
  </si>
  <si>
    <t>352-2141-5574-83</t>
  </si>
  <si>
    <t>이상수</t>
  </si>
  <si>
    <t>781203-1474219</t>
  </si>
  <si>
    <t>010-6515-6214</t>
  </si>
  <si>
    <t>1002-531-775338</t>
  </si>
  <si>
    <t>810518-1927711</t>
  </si>
  <si>
    <t>010-3552-7717</t>
  </si>
  <si>
    <t>이예성</t>
  </si>
  <si>
    <t>851227-1117515</t>
  </si>
  <si>
    <t>010-3639-0770</t>
  </si>
  <si>
    <t>114001-04-126831</t>
  </si>
  <si>
    <t>이재선</t>
  </si>
  <si>
    <t>781210-1810810</t>
  </si>
  <si>
    <t>010-7195-4289</t>
  </si>
  <si>
    <t>356-0502-1280-53</t>
  </si>
  <si>
    <t>이정완</t>
  </si>
  <si>
    <t>680304-1661020</t>
  </si>
  <si>
    <t>010-3833-5897</t>
  </si>
  <si>
    <t>3333-22-9072681</t>
  </si>
  <si>
    <t>이주문</t>
  </si>
  <si>
    <t>730118-1047421</t>
  </si>
  <si>
    <t>010-9628-9599</t>
  </si>
  <si>
    <t>159-910705-92107</t>
  </si>
  <si>
    <t>이준희</t>
  </si>
  <si>
    <t>990409-1482511</t>
  </si>
  <si>
    <t>010-7610-5782</t>
  </si>
  <si>
    <t>352-9999-0409-23</t>
  </si>
  <si>
    <t>이창수</t>
  </si>
  <si>
    <t>891212-1042614</t>
  </si>
  <si>
    <t>010-7370-6219</t>
  </si>
  <si>
    <t>3333-26-3010854</t>
  </si>
  <si>
    <t>이해주</t>
  </si>
  <si>
    <t>701028-1536510</t>
  </si>
  <si>
    <t>010-4503-9417</t>
  </si>
  <si>
    <t>541-011332-01-010</t>
  </si>
  <si>
    <t>임국빈</t>
  </si>
  <si>
    <t>730623-1357211</t>
  </si>
  <si>
    <t>010-9061-4722</t>
  </si>
  <si>
    <t>336-02-182566</t>
  </si>
  <si>
    <t>임세훈</t>
  </si>
  <si>
    <t>801028-1113827</t>
  </si>
  <si>
    <t>010-7444-3839</t>
  </si>
  <si>
    <t>453-050090-01-012</t>
  </si>
  <si>
    <t>임승희</t>
  </si>
  <si>
    <t>881107-1235222</t>
  </si>
  <si>
    <t>010-4393-9938</t>
  </si>
  <si>
    <t>110-353-055995</t>
  </si>
  <si>
    <t>전준</t>
  </si>
  <si>
    <t>800228-1168033</t>
  </si>
  <si>
    <t>010-2822-3392</t>
  </si>
  <si>
    <t>110-264-802497</t>
  </si>
  <si>
    <t>정다은</t>
  </si>
  <si>
    <t>000410-4352521</t>
  </si>
  <si>
    <t>010-5668-9410</t>
  </si>
  <si>
    <t>토스</t>
  </si>
  <si>
    <t>1000-8817-8812</t>
  </si>
  <si>
    <t>정덕원</t>
  </si>
  <si>
    <t>970110-1675211</t>
  </si>
  <si>
    <t>010-5100-8961</t>
  </si>
  <si>
    <t>119-910619-32507</t>
  </si>
  <si>
    <t>정성우</t>
  </si>
  <si>
    <t>790119-1023221</t>
  </si>
  <si>
    <t>010-8891-4986</t>
  </si>
  <si>
    <t>110-019-844818</t>
  </si>
  <si>
    <t>정웅진</t>
  </si>
  <si>
    <t>881120-1890214</t>
  </si>
  <si>
    <t>010-6694-2204</t>
  </si>
  <si>
    <t>695002-01-237429</t>
  </si>
  <si>
    <t>정의돈</t>
  </si>
  <si>
    <t>781215-1324314</t>
  </si>
  <si>
    <t>010-4169-5213</t>
  </si>
  <si>
    <t>605-04-400370</t>
  </si>
  <si>
    <t>정일교</t>
  </si>
  <si>
    <t>761021-1348015</t>
  </si>
  <si>
    <t>010-3789-1185</t>
  </si>
  <si>
    <t>360-13-033492</t>
  </si>
  <si>
    <t>정희종</t>
  </si>
  <si>
    <t>770910-1932544</t>
  </si>
  <si>
    <t>010-4137-6786</t>
  </si>
  <si>
    <t>137-002-026080</t>
  </si>
  <si>
    <t>조대성</t>
  </si>
  <si>
    <t>751020-1792420</t>
  </si>
  <si>
    <t>010-3864-8689</t>
  </si>
  <si>
    <t>356-0632-2356-03</t>
  </si>
  <si>
    <t>조민규</t>
  </si>
  <si>
    <t>891111-1113118</t>
  </si>
  <si>
    <t>010-6269-5994</t>
  </si>
  <si>
    <t>3333-10-4699384</t>
  </si>
  <si>
    <t>조병업</t>
  </si>
  <si>
    <t>800609-1253523</t>
  </si>
  <si>
    <t>137-014-675322</t>
  </si>
  <si>
    <t>조병욱</t>
  </si>
  <si>
    <t>781213-1253515</t>
  </si>
  <si>
    <t>010-3855-2994</t>
  </si>
  <si>
    <t>1002-915-102274</t>
  </si>
  <si>
    <t>주병돈</t>
  </si>
  <si>
    <t>691217-1029722</t>
  </si>
  <si>
    <t>010-8585-6212</t>
  </si>
  <si>
    <t>9002-1382-8695-3</t>
  </si>
  <si>
    <t>최건희</t>
  </si>
  <si>
    <t>891016-1177813</t>
  </si>
  <si>
    <t>010-5133-8306</t>
  </si>
  <si>
    <t>110-356-523328</t>
  </si>
  <si>
    <t>최동건</t>
  </si>
  <si>
    <t>830504-1000819</t>
  </si>
  <si>
    <t>010-9456-1177</t>
  </si>
  <si>
    <t>1002-646-504814</t>
  </si>
  <si>
    <t>최동철</t>
  </si>
  <si>
    <t>841202-1000819</t>
  </si>
  <si>
    <t>010-8530-8537</t>
  </si>
  <si>
    <t>110-198-836862</t>
  </si>
  <si>
    <t>최연지</t>
  </si>
  <si>
    <t>981006-2192118</t>
  </si>
  <si>
    <t>010-6714-4859</t>
  </si>
  <si>
    <t>최은희</t>
  </si>
  <si>
    <t>850227-2454711</t>
  </si>
  <si>
    <t>010-2052-6656</t>
  </si>
  <si>
    <t>472-910128-17307</t>
  </si>
  <si>
    <t>최진웅</t>
  </si>
  <si>
    <t>810101-1447610</t>
  </si>
  <si>
    <t>010-6545-2244</t>
  </si>
  <si>
    <t>1002-150-879909</t>
  </si>
  <si>
    <t>허창훈</t>
  </si>
  <si>
    <t>850908-1100619</t>
  </si>
  <si>
    <t>010-9244-6987</t>
  </si>
  <si>
    <t>9002-1418-0675-3</t>
  </si>
  <si>
    <t>홍성연</t>
  </si>
  <si>
    <t>960406-1213110</t>
  </si>
  <si>
    <t>010-7451-1297</t>
  </si>
  <si>
    <t>216502-04-453135</t>
  </si>
  <si>
    <t>황선정</t>
  </si>
  <si>
    <t>730308-1057411</t>
  </si>
  <si>
    <t>010-7480-0008</t>
  </si>
  <si>
    <t>302-0861-0223-61</t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</si>
  <si>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</si>
  <si>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</si>
  <si>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</si>
  <si>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</si>
  <si>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</si>
  <si>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</si>
  <si>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</si>
  <si>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8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</si>
  <si>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</si>
  <si>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</si>
  <si>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</si>
  <si>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</si>
  <si>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</si>
  <si>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</si>
  <si>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2026년 04월</t>
    <phoneticPr fontId="5" type="noConversion"/>
  </si>
  <si>
    <t>작 성 일 :   2026  년  04 월   30 일</t>
    <phoneticPr fontId="9" type="noConversion"/>
  </si>
  <si>
    <t>2026. 04. 01 ~ 2026. 04. 30</t>
    <phoneticPr fontId="3" type="noConversion"/>
  </si>
  <si>
    <t>2026년 (04)월 물량 내역서</t>
    <phoneticPr fontId="3" type="noConversion"/>
  </si>
  <si>
    <t>2026년 (    04   )월 일용 노무비명세서</t>
    <phoneticPr fontId="3" type="noConversion"/>
  </si>
  <si>
    <t>공사보조</t>
  </si>
  <si>
    <t>고인걸</t>
  </si>
  <si>
    <t>960204-1106615</t>
  </si>
  <si>
    <t>010-4088-9424</t>
  </si>
  <si>
    <t>157-194203-01-015</t>
  </si>
  <si>
    <t>안전보조</t>
  </si>
  <si>
    <t>김재관</t>
  </si>
  <si>
    <t>910814-1661010</t>
  </si>
  <si>
    <t>010-7532-8645</t>
  </si>
  <si>
    <t>645014-56-068999</t>
  </si>
  <si>
    <t>수협</t>
  </si>
  <si>
    <t>010314-3837113</t>
  </si>
  <si>
    <t>010-2210-3629</t>
  </si>
  <si>
    <t>3333-14-2904871</t>
  </si>
  <si>
    <t>김형식</t>
  </si>
  <si>
    <t>910612-1075819</t>
  </si>
  <si>
    <t>010-7340-6771</t>
  </si>
  <si>
    <t>052-096995-01-018</t>
  </si>
  <si>
    <t>문정윤</t>
  </si>
  <si>
    <t>941211-1631917</t>
  </si>
  <si>
    <t>010-3727-5340</t>
  </si>
  <si>
    <t>351-0895-4369-13</t>
  </si>
  <si>
    <t>박종윤</t>
  </si>
  <si>
    <t>910520-1199615</t>
  </si>
  <si>
    <t>010-4441-1944</t>
  </si>
  <si>
    <t>186-086154-01-013</t>
  </si>
  <si>
    <t>선승훈</t>
  </si>
  <si>
    <t>960323-1149910</t>
  </si>
  <si>
    <t>3333-06-8041872</t>
  </si>
  <si>
    <t>손창경</t>
  </si>
  <si>
    <t>961203-1106415</t>
  </si>
  <si>
    <t>010-4089-1887</t>
  </si>
  <si>
    <t>112-2076-1195-04</t>
  </si>
  <si>
    <t>심용철</t>
  </si>
  <si>
    <t>851207-1080916</t>
  </si>
  <si>
    <t>010-7283-9100</t>
  </si>
  <si>
    <t>3333-06-2043775</t>
  </si>
  <si>
    <t>엄재현</t>
  </si>
  <si>
    <t>940507-1693011</t>
  </si>
  <si>
    <t>010-3735-9457</t>
  </si>
  <si>
    <t>110-492-625050</t>
  </si>
  <si>
    <t>오창환</t>
  </si>
  <si>
    <t>890930-1184115</t>
  </si>
  <si>
    <t>010-2600-4405</t>
  </si>
  <si>
    <t>312-0145-7256-61</t>
  </si>
  <si>
    <t>이진호</t>
  </si>
  <si>
    <t>800112-1155512</t>
  </si>
  <si>
    <t>010-4616-2315</t>
  </si>
  <si>
    <t>전용훈</t>
  </si>
  <si>
    <t>941206-1187916</t>
  </si>
  <si>
    <t>010-5397-1694</t>
  </si>
  <si>
    <t>972-025806-01-019</t>
  </si>
  <si>
    <t>정영석</t>
  </si>
  <si>
    <t>950715-1831411</t>
  </si>
  <si>
    <t>010-5752-3056</t>
  </si>
  <si>
    <t>352-1313-0435-83</t>
  </si>
  <si>
    <t>조완희</t>
  </si>
  <si>
    <t>800713-1148619</t>
  </si>
  <si>
    <t>010-7613-1564</t>
  </si>
  <si>
    <t>356-0737-2299-53</t>
  </si>
  <si>
    <t>강우형</t>
  </si>
  <si>
    <t>000830-3484718</t>
  </si>
  <si>
    <t>010-7963-4799</t>
  </si>
  <si>
    <t>1002-2019-2812</t>
  </si>
  <si>
    <t>김정천</t>
  </si>
  <si>
    <t>9002-1869-8588-9</t>
  </si>
  <si>
    <t>이희완</t>
  </si>
  <si>
    <t>910415-1692627</t>
  </si>
  <si>
    <t>010-9909-6141</t>
  </si>
  <si>
    <t>110-316-569643</t>
  </si>
  <si>
    <t>1000-8388-0973</t>
  </si>
  <si>
    <t xml:space="preserve">토스 </t>
  </si>
  <si>
    <t>공무보조</t>
  </si>
  <si>
    <t>IM뱅크</t>
  </si>
  <si>
    <t>010-8006-8489</t>
  </si>
  <si>
    <t>171077318-02-013</t>
  </si>
  <si>
    <t>90003-2589-7444-6</t>
  </si>
  <si>
    <t>010-6467-2954</t>
  </si>
  <si>
    <t>스포츠백팩</t>
  </si>
  <si>
    <t>11번가</t>
  </si>
  <si>
    <t>NBR 코팅장갑</t>
  </si>
  <si>
    <t>M</t>
  </si>
  <si>
    <t>네이버파이낸셜(주)</t>
  </si>
  <si>
    <t>헤드랜턴</t>
  </si>
  <si>
    <t>G016-m5</t>
  </si>
  <si>
    <t>라인테이프</t>
  </si>
  <si>
    <t>48mm*30m</t>
  </si>
  <si>
    <t>마루한길</t>
  </si>
  <si>
    <t>미래공구</t>
  </si>
  <si>
    <t>마대</t>
  </si>
  <si>
    <t>[수입,정80kg,80L [SW]]</t>
  </si>
  <si>
    <t>쇼바</t>
  </si>
  <si>
    <t>[BY4-500-20kg(=C1K3500200) [부영]]</t>
  </si>
  <si>
    <t>쇼바브라켓</t>
  </si>
  <si>
    <t>[BY4-BK-1,평자 [부영]]</t>
  </si>
  <si>
    <t>[BY4-BK-2,ㄱ자 [부영]]</t>
  </si>
  <si>
    <t>수세미</t>
  </si>
  <si>
    <t>[MIGHTY BLUE PAD,녹색 [3M]]</t>
  </si>
  <si>
    <t>평브러쉬</t>
  </si>
  <si>
    <t>[4",스텐 [동양]]</t>
  </si>
  <si>
    <t>밴드쏘부품</t>
  </si>
  <si>
    <t>[손잡이(RB-180II용),6"용 [록스]]</t>
  </si>
  <si>
    <t>알곤용접봉</t>
  </si>
  <si>
    <t>[TGC316L.2.4mm,5kg [조선선재]]</t>
  </si>
  <si>
    <t>[PP,신재 [국산/HNS]]</t>
  </si>
  <si>
    <t>밴드쏘고무링</t>
  </si>
  <si>
    <t>[R-180용,6" [록스]]</t>
  </si>
  <si>
    <t>튜브컷터날</t>
  </si>
  <si>
    <t>[7.0028(7.0031용) [로덴베르거]]</t>
  </si>
  <si>
    <t>[TCBC105 [슈퍼]]</t>
  </si>
  <si>
    <t>포장용비닐</t>
  </si>
  <si>
    <t>[700*0.045T*440m [국산]]</t>
  </si>
  <si>
    <t>컷쏘날</t>
  </si>
  <si>
    <t>[S1122BF,철재,바이메탈,5개입 [보쉬]]</t>
  </si>
  <si>
    <t>[S922BF,철재,바이메탈,5개입 [보쉬]]</t>
  </si>
  <si>
    <t>공캔</t>
  </si>
  <si>
    <t>[4L,뚜껑미포함 [수입/SW]]</t>
  </si>
  <si>
    <t>칫솔브러쉬</t>
  </si>
  <si>
    <t>[브러쉬,스텐 [스마토]]</t>
  </si>
  <si>
    <t>낙상경보기부품</t>
  </si>
  <si>
    <t>[풀피리]</t>
  </si>
  <si>
    <t>터미널</t>
  </si>
  <si>
    <t>[10SQ*6R [국산]]</t>
  </si>
  <si>
    <t>다이아몬드줄</t>
  </si>
  <si>
    <t>[10",스텐 [수입]]</t>
  </si>
  <si>
    <t>에폭시접착제</t>
  </si>
  <si>
    <t>[매직스틱,다목적용,114G,CTX [엑시아]]</t>
  </si>
  <si>
    <t>볼소켓어댑터</t>
  </si>
  <si>
    <t>[13mm(1/2"),CTX [지니어스]]</t>
  </si>
  <si>
    <t>실내화주머니</t>
  </si>
  <si>
    <t>[배낭형,고급 [수입]]</t>
  </si>
  <si>
    <t>텅스텐봉</t>
  </si>
  <si>
    <t>[3.2Q,10개,란탄2%,CTX [크레토스]]</t>
  </si>
  <si>
    <t>파이프안전커</t>
  </si>
  <si>
    <t>버 [10T*50mm*2m,난연 [SW]]</t>
  </si>
  <si>
    <t>가위</t>
  </si>
  <si>
    <t>[SB-P300,CTX [세신]]</t>
  </si>
  <si>
    <t>안전칼</t>
  </si>
  <si>
    <t>[SK-4 [올파]]</t>
  </si>
  <si>
    <t>번호열쇠</t>
  </si>
  <si>
    <t>[XD-40,4열 [자커]]</t>
  </si>
  <si>
    <t>물파스</t>
  </si>
  <si>
    <t>[90ML [현대약품]]</t>
  </si>
  <si>
    <t>[TGC308L.2.4mm,5kg [조선선재]]</t>
  </si>
  <si>
    <t>용접유리</t>
  </si>
  <si>
    <t>[2T,투명,CTX [크레토스]]</t>
  </si>
  <si>
    <t>밴드쏘날</t>
  </si>
  <si>
    <t>[1640*13*0.65-14T [WESPA]]</t>
  </si>
  <si>
    <t>수리비,디월트</t>
  </si>
  <si>
    <t>DCH263 [기리제거]</t>
  </si>
  <si>
    <t>알곤토치헤드</t>
  </si>
  <si>
    <t>[350A,플렉시블,CT-35F,CTX [크레토스]]</t>
  </si>
  <si>
    <t>초경로타리바</t>
  </si>
  <si>
    <t>[SF-5M [CTX]]</t>
  </si>
  <si>
    <t>[200mm,반원 [삼익]]</t>
  </si>
  <si>
    <t>[12",스텐 [수입]]</t>
  </si>
  <si>
    <t>제트브로치</t>
  </si>
  <si>
    <t>(PROCUT) [14*35L [우창]]</t>
  </si>
  <si>
    <t>티브러쉬</t>
  </si>
  <si>
    <t>[50*6,스텐 [동양]]</t>
  </si>
  <si>
    <t>실리콘</t>
  </si>
  <si>
    <t>[아이보리 [신에츠]]</t>
  </si>
  <si>
    <t>탭</t>
  </si>
  <si>
    <t>진위공구철물</t>
  </si>
  <si>
    <t>AA 건전지</t>
  </si>
  <si>
    <t>쿠팡㈜</t>
  </si>
  <si>
    <t>손전등 라이트</t>
  </si>
  <si>
    <t>KC대납 임대료</t>
  </si>
  <si>
    <t xml:space="preserve">숙소임대료(4월분) </t>
    <phoneticPr fontId="5" type="noConversion"/>
  </si>
  <si>
    <t>함박산1길 16</t>
    <phoneticPr fontId="5" type="noConversion"/>
  </si>
  <si>
    <t>301호</t>
  </si>
  <si>
    <t>함박산8길 37</t>
    <phoneticPr fontId="5" type="noConversion"/>
  </si>
  <si>
    <t>302호</t>
  </si>
  <si>
    <t>고덕여염11길 85</t>
    <phoneticPr fontId="9" type="noConversion"/>
  </si>
  <si>
    <t>202호</t>
    <phoneticPr fontId="9" type="noConversion"/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</si>
  <si>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</si>
  <si>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</si>
  <si>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</si>
  <si>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</si>
  <si>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함박산10길 19</t>
    <phoneticPr fontId="9" type="noConversion"/>
  </si>
  <si>
    <t>고덕여염6길 108</t>
    <phoneticPr fontId="9" type="noConversion"/>
  </si>
  <si>
    <t>302호</t>
    <phoneticPr fontId="9" type="noConversion"/>
  </si>
  <si>
    <t>고덕여염5길 23-16</t>
    <phoneticPr fontId="9" type="noConversion"/>
  </si>
  <si>
    <t>402호</t>
    <phoneticPr fontId="9" type="noConversion"/>
  </si>
  <si>
    <t>고덕여염12길 92</t>
    <phoneticPr fontId="9" type="noConversion"/>
  </si>
  <si>
    <t>고덕여염16길 32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</si>
  <si>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</si>
  <si>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</si>
  <si>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</si>
  <si>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>202호</t>
    <phoneticPr fontId="5" type="noConversion"/>
  </si>
  <si>
    <t xml:space="preserve">  고덕 갈평10길 67</t>
  </si>
  <si>
    <t xml:space="preserve">  고덕 갈평10길 102</t>
  </si>
  <si>
    <t>302호</t>
    <phoneticPr fontId="5" type="noConversion"/>
  </si>
  <si>
    <t xml:space="preserve">  고덕 갈평9길 43</t>
  </si>
  <si>
    <t xml:space="preserve">  함박산2길 32-2</t>
  </si>
  <si>
    <t xml:space="preserve">  함박산8길 36-2</t>
  </si>
  <si>
    <t xml:space="preserve">  고덕갈평7길 61</t>
  </si>
  <si>
    <t xml:space="preserve">  함박산4길 20</t>
  </si>
  <si>
    <t>함박산1길 51</t>
    <phoneticPr fontId="5" type="noConversion"/>
  </si>
  <si>
    <t>관리비</t>
    <phoneticPr fontId="5" type="noConversion"/>
  </si>
  <si>
    <t>숙소전기요금(4월)</t>
  </si>
  <si>
    <t>함박산1길 16</t>
  </si>
  <si>
    <t>함박산8길 37</t>
  </si>
  <si>
    <t>고덕여염11길 85</t>
  </si>
  <si>
    <t>202호</t>
  </si>
  <si>
    <t>함박산9길 8-1</t>
  </si>
  <si>
    <t>201호</t>
  </si>
  <si>
    <t>함박산12길 8-10</t>
  </si>
  <si>
    <t>함박산10길 19</t>
  </si>
  <si>
    <t>고덕여염6길 108</t>
  </si>
  <si>
    <t>고덕여염5길 23-16</t>
  </si>
  <si>
    <t>402호</t>
  </si>
  <si>
    <t>고덕여염12길 92</t>
  </si>
  <si>
    <t>고덕여염16길 32</t>
  </si>
  <si>
    <t>함박산1길 51</t>
  </si>
  <si>
    <t xml:space="preserve"> 칠괴길 118-10</t>
  </si>
  <si>
    <t>303호</t>
  </si>
  <si>
    <t>숙소도시가스(4월)</t>
  </si>
  <si>
    <t>숙소수도요금(4월)</t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</si>
  <si>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</si>
  <si>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</si>
  <si>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</si>
  <si>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</si>
  <si>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</si>
  <si>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</si>
  <si>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</si>
  <si>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</si>
  <si>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</si>
  <si>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식대</t>
  </si>
  <si>
    <t>법인카드</t>
  </si>
  <si>
    <t>차량유류대</t>
    <phoneticPr fontId="5" type="noConversion"/>
  </si>
  <si>
    <t>85어 5471 포터2</t>
    <phoneticPr fontId="9" type="noConversion"/>
  </si>
  <si>
    <t>(주)소모 칠곡주유소</t>
  </si>
  <si>
    <t>남사농업협동조합</t>
  </si>
  <si>
    <t>SB새벽주유소</t>
  </si>
  <si>
    <t>85어5471 엔진오일</t>
  </si>
  <si>
    <t>공임나라 평택진위점</t>
  </si>
  <si>
    <t>85어 5471 수리비</t>
  </si>
  <si>
    <t>복합기 토너</t>
  </si>
  <si>
    <t>위프린트</t>
  </si>
  <si>
    <t>네임펜</t>
  </si>
  <si>
    <t>보드마카</t>
  </si>
  <si>
    <t>A3 코팅지</t>
  </si>
  <si>
    <t>페인트 마카</t>
  </si>
  <si>
    <t>선풍기</t>
  </si>
  <si>
    <t>소모성자재</t>
    <phoneticPr fontId="5" type="noConversion"/>
  </si>
  <si>
    <t>안전용품</t>
    <phoneticPr fontId="5" type="noConversion"/>
  </si>
  <si>
    <t>소모성자재</t>
    <phoneticPr fontId="3" type="noConversion"/>
  </si>
  <si>
    <t>비품</t>
    <phoneticPr fontId="3" type="noConversion"/>
  </si>
  <si>
    <t>[마그네틱드릴보호커버,PMD3530용(#104),CTX [UDT]]</t>
    <phoneticPr fontId="5" type="noConversion"/>
  </si>
  <si>
    <t>안전커버</t>
    <phoneticPr fontId="5" type="noConversion"/>
  </si>
  <si>
    <t>[200*90 [3S]]</t>
    <phoneticPr fontId="5" type="noConversion"/>
  </si>
  <si>
    <t>낙상경보기</t>
    <phoneticPr fontId="5" type="noConversion"/>
  </si>
  <si>
    <t>납기준수비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</si>
</sst>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/>
    <xf numFmtId="0" fontId="56" fillId="0" borderId="0"/>
    <xf numFmtId="0" fontId="62" fillId="0" borderId="0">
      <alignment vertical="center"/>
    </xf>
    <xf numFmtId="187" fontId="1" fillId="0" borderId="0" applyFont="0" applyFill="0" applyBorder="0" applyAlignment="0" applyProtection="0"/>
  </cellStyleXfs>
  <cellXfs count="35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0" fontId="50" fillId="12" borderId="9" xfId="0" applyFont="1" applyFill="1" applyBorder="1" applyAlignment="1">
      <alignment horizontal="center" vertical="center"/>
    </xf>
    <xf numFmtId="14" fontId="46" fillId="12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186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/>
    <xf numFmtId="41" fontId="46" fillId="0" borderId="9" xfId="0" applyNumberFormat="1" applyFont="1" applyBorder="1" applyAlignment="1">
      <alignment horizontal="center" vertical="center"/>
    </xf>
    <xf numFmtId="0" fontId="46" fillId="12" borderId="9" xfId="0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41" fontId="46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9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36" fillId="5" borderId="45" xfId="0" applyNumberFormat="1" applyFont="1" applyFill="1" applyBorder="1" applyAlignment="1">
      <alignment horizontal="center" vertical="center"/>
    </xf>
    <xf numFmtId="41" fontId="13" fillId="0" borderId="9" xfId="14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41" fontId="54" fillId="2" borderId="0" xfId="2" applyNumberFormat="1" applyFont="1" applyFill="1">
      <alignment vertical="center"/>
    </xf>
    <xf numFmtId="0" fontId="54" fillId="0" borderId="0" xfId="2" quotePrefix="1" applyFont="1">
      <alignment vertical="center"/>
    </xf>
    <xf numFmtId="0" fontId="55" fillId="0" borderId="0" xfId="2" quotePrefix="1" applyFont="1">
      <alignment vertical="center"/>
    </xf>
    <xf numFmtId="0" fontId="55" fillId="0" borderId="0" xfId="2" applyFont="1" applyAlignment="1">
      <alignment horizontal="right" vertical="center"/>
    </xf>
    <xf numFmtId="41" fontId="54" fillId="13" borderId="9" xfId="4" applyFont="1" applyFill="1" applyBorder="1" applyAlignment="1">
      <alignment horizontal="center" vertical="center"/>
    </xf>
    <xf numFmtId="41" fontId="59" fillId="0" borderId="17" xfId="2" applyNumberFormat="1" applyFont="1" applyBorder="1" applyAlignment="1">
      <alignment horizontal="center" vertical="center"/>
    </xf>
    <xf numFmtId="0" fontId="59" fillId="0" borderId="9" xfId="2" applyFont="1" applyBorder="1" applyAlignment="1">
      <alignment horizontal="center" vertical="center"/>
    </xf>
    <xf numFmtId="41" fontId="59" fillId="0" borderId="9" xfId="10" applyFont="1" applyBorder="1" applyAlignment="1">
      <alignment horizontal="center" vertical="center"/>
    </xf>
    <xf numFmtId="41" fontId="59" fillId="0" borderId="9" xfId="4" applyFont="1" applyFill="1" applyBorder="1" applyAlignment="1">
      <alignment vertical="center" shrinkToFit="1"/>
    </xf>
    <xf numFmtId="184" fontId="60" fillId="0" borderId="18" xfId="2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184" fontId="61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1" fillId="0" borderId="18" xfId="2" applyFont="1" applyBorder="1">
      <alignment vertical="center"/>
    </xf>
    <xf numFmtId="0" fontId="59" fillId="0" borderId="17" xfId="16" applyFont="1" applyBorder="1" applyAlignment="1">
      <alignment horizontal="left" vertical="center" wrapText="1"/>
    </xf>
    <xf numFmtId="0" fontId="59" fillId="0" borderId="9" xfId="16" applyFont="1" applyBorder="1" applyAlignment="1">
      <alignment horizontal="center" vertical="center"/>
    </xf>
    <xf numFmtId="0" fontId="59" fillId="0" borderId="17" xfId="16" applyFont="1" applyBorder="1" applyAlignment="1">
      <alignment horizontal="center" vertical="center" wrapText="1"/>
    </xf>
    <xf numFmtId="188" fontId="59" fillId="0" borderId="9" xfId="17" applyNumberFormat="1" applyFont="1" applyFill="1" applyBorder="1" applyAlignment="1">
      <alignment horizontal="center" vertical="center"/>
    </xf>
    <xf numFmtId="9" fontId="59" fillId="0" borderId="9" xfId="7" applyFont="1" applyFill="1" applyBorder="1" applyAlignment="1">
      <alignment vertical="center" shrinkToFit="1"/>
    </xf>
    <xf numFmtId="0" fontId="59" fillId="0" borderId="9" xfId="2" applyFont="1" applyBorder="1" applyAlignment="1">
      <alignment horizontal="center" vertical="center" shrinkToFit="1"/>
    </xf>
    <xf numFmtId="41" fontId="59" fillId="0" borderId="9" xfId="4" applyFont="1" applyBorder="1" applyAlignment="1">
      <alignment horizontal="center" vertical="center"/>
    </xf>
    <xf numFmtId="41" fontId="59" fillId="0" borderId="9" xfId="4" applyFont="1" applyBorder="1" applyAlignment="1">
      <alignment vertical="center"/>
    </xf>
    <xf numFmtId="0" fontId="59" fillId="0" borderId="17" xfId="2" applyFont="1" applyBorder="1" applyAlignment="1">
      <alignment horizontal="left" vertical="center" indent="1"/>
    </xf>
    <xf numFmtId="0" fontId="63" fillId="0" borderId="17" xfId="2" applyFont="1" applyBorder="1" applyAlignment="1">
      <alignment horizontal="left" vertical="center"/>
    </xf>
    <xf numFmtId="0" fontId="63" fillId="0" borderId="9" xfId="2" applyFont="1" applyBorder="1" applyAlignment="1">
      <alignment horizontal="center" vertical="center" shrinkToFit="1"/>
    </xf>
    <xf numFmtId="41" fontId="63" fillId="0" borderId="9" xfId="4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59" fillId="0" borderId="20" xfId="2" applyFont="1" applyBorder="1" applyAlignment="1">
      <alignment horizontal="center" vertical="center" shrinkToFit="1"/>
    </xf>
    <xf numFmtId="0" fontId="59" fillId="0" borderId="20" xfId="2" applyFont="1" applyBorder="1" applyAlignment="1">
      <alignment horizontal="center" vertical="center"/>
    </xf>
    <xf numFmtId="41" fontId="59" fillId="0" borderId="20" xfId="2" applyNumberFormat="1" applyFont="1" applyBorder="1" applyAlignment="1">
      <alignment horizontal="center" vertical="center"/>
    </xf>
    <xf numFmtId="189" fontId="59" fillId="0" borderId="20" xfId="2" applyNumberFormat="1" applyFont="1" applyBorder="1" applyAlignment="1">
      <alignment horizontal="center" vertical="center"/>
    </xf>
    <xf numFmtId="41" fontId="59" fillId="0" borderId="20" xfId="2" applyNumberFormat="1" applyFont="1" applyBorder="1" applyAlignment="1">
      <alignment vertical="center" shrinkToFit="1"/>
    </xf>
    <xf numFmtId="0" fontId="61" fillId="0" borderId="21" xfId="2" applyFont="1" applyBorder="1">
      <alignment vertical="center"/>
    </xf>
    <xf numFmtId="0" fontId="60" fillId="0" borderId="31" xfId="2" applyFont="1" applyBorder="1" applyAlignment="1">
      <alignment horizontal="center" vertical="center"/>
    </xf>
    <xf numFmtId="0" fontId="61" fillId="0" borderId="37" xfId="2" applyFont="1" applyBorder="1" applyAlignment="1">
      <alignment horizontal="center" vertical="center" shrinkToFit="1"/>
    </xf>
    <xf numFmtId="0" fontId="61" fillId="0" borderId="31" xfId="2" applyFont="1" applyBorder="1" applyAlignment="1">
      <alignment horizontal="center" vertical="center"/>
    </xf>
    <xf numFmtId="41" fontId="61" fillId="0" borderId="31" xfId="2" applyNumberFormat="1" applyFont="1" applyBorder="1" applyAlignment="1">
      <alignment horizontal="center" vertical="center"/>
    </xf>
    <xf numFmtId="41" fontId="61" fillId="0" borderId="11" xfId="2" applyNumberFormat="1" applyFont="1" applyBorder="1">
      <alignment vertical="center"/>
    </xf>
    <xf numFmtId="41" fontId="61" fillId="0" borderId="11" xfId="2" applyNumberFormat="1" applyFont="1" applyBorder="1" applyAlignment="1">
      <alignment vertical="center" shrinkToFit="1"/>
    </xf>
    <xf numFmtId="0" fontId="61" fillId="0" borderId="11" xfId="2" applyFont="1" applyBorder="1">
      <alignment vertical="center"/>
    </xf>
    <xf numFmtId="0" fontId="60" fillId="0" borderId="10" xfId="2" applyFont="1" applyBorder="1" applyAlignment="1">
      <alignment horizontal="center" vertical="center"/>
    </xf>
    <xf numFmtId="0" fontId="61" fillId="0" borderId="34" xfId="2" applyFont="1" applyBorder="1" applyAlignment="1">
      <alignment horizontal="center" vertical="center" shrinkToFit="1"/>
    </xf>
    <xf numFmtId="0" fontId="61" fillId="0" borderId="10" xfId="2" applyFont="1" applyBorder="1" applyAlignment="1">
      <alignment horizontal="center" vertical="center"/>
    </xf>
    <xf numFmtId="41" fontId="61" fillId="0" borderId="10" xfId="2" applyNumberFormat="1" applyFont="1" applyBorder="1" applyAlignment="1">
      <alignment horizontal="center" vertical="center"/>
    </xf>
    <xf numFmtId="41" fontId="61" fillId="0" borderId="9" xfId="2" applyNumberFormat="1" applyFont="1" applyBorder="1">
      <alignment vertical="center"/>
    </xf>
    <xf numFmtId="41" fontId="61" fillId="0" borderId="9" xfId="2" applyNumberFormat="1" applyFont="1" applyBorder="1" applyAlignment="1">
      <alignment vertical="center" shrinkToFit="1"/>
    </xf>
    <xf numFmtId="0" fontId="61" fillId="0" borderId="9" xfId="2" applyFont="1" applyBorder="1">
      <alignment vertical="center"/>
    </xf>
    <xf numFmtId="0" fontId="60" fillId="0" borderId="9" xfId="2" applyFont="1" applyBorder="1" applyAlignment="1">
      <alignment horizontal="center" vertical="center"/>
    </xf>
    <xf numFmtId="0" fontId="61" fillId="0" borderId="12" xfId="2" applyFont="1" applyBorder="1" applyAlignment="1">
      <alignment horizontal="center" vertical="center" shrinkToFit="1"/>
    </xf>
    <xf numFmtId="0" fontId="61" fillId="0" borderId="9" xfId="2" applyFont="1" applyBorder="1" applyAlignment="1">
      <alignment horizontal="center" vertical="center"/>
    </xf>
    <xf numFmtId="41" fontId="61" fillId="0" borderId="9" xfId="2" applyNumberFormat="1" applyFont="1" applyBorder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 shrinkToFit="1"/>
    </xf>
    <xf numFmtId="0" fontId="61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1" fontId="22" fillId="7" borderId="9" xfId="6" applyFont="1" applyFill="1" applyBorder="1" applyAlignment="1">
      <alignment horizontal="center" vertical="center"/>
    </xf>
    <xf numFmtId="41" fontId="27" fillId="2" borderId="9" xfId="6" applyFont="1" applyFill="1" applyBorder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84" fontId="54" fillId="13" borderId="14" xfId="2" applyNumberFormat="1" applyFont="1" applyFill="1" applyBorder="1" applyAlignment="1">
      <alignment horizontal="center" vertical="center"/>
    </xf>
    <xf numFmtId="184" fontId="54" fillId="13" borderId="17" xfId="2" applyNumberFormat="1" applyFont="1" applyFill="1" applyBorder="1" applyAlignment="1">
      <alignment horizontal="center" vertical="center"/>
    </xf>
    <xf numFmtId="184" fontId="54" fillId="13" borderId="15" xfId="2" applyNumberFormat="1" applyFont="1" applyFill="1" applyBorder="1" applyAlignment="1">
      <alignment horizontal="center" vertical="center"/>
    </xf>
    <xf numFmtId="184" fontId="54" fillId="13" borderId="9" xfId="2" applyNumberFormat="1" applyFont="1" applyFill="1" applyBorder="1" applyAlignment="1">
      <alignment horizontal="center" vertical="center"/>
    </xf>
    <xf numFmtId="41" fontId="54" fillId="13" borderId="15" xfId="4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7" fillId="13" borderId="16" xfId="15" applyNumberFormat="1" applyFont="1" applyFill="1" applyBorder="1" applyAlignment="1">
      <alignment horizontal="center" vertical="center" shrinkToFit="1"/>
    </xf>
    <xf numFmtId="41" fontId="57" fillId="13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89" fontId="0" fillId="0" borderId="0" xfId="0" applyNumberFormat="1">
      <alignment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630262" y="8971205"/>
          <a:ext cx="3202194" cy="1549102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J58" sqref="J58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53" t="s">
        <v>0</v>
      </c>
      <c r="C4" s="253"/>
      <c r="D4" s="253"/>
      <c r="E4" s="253"/>
      <c r="F4" s="7"/>
    </row>
    <row r="5" spans="1:6" ht="21.9" customHeight="1" x14ac:dyDescent="0.4">
      <c r="A5" s="8"/>
      <c r="B5" s="253"/>
      <c r="C5" s="253"/>
      <c r="D5" s="253"/>
      <c r="E5" s="253"/>
      <c r="F5" s="9"/>
    </row>
    <row r="6" spans="1:6" ht="21.9" customHeight="1" x14ac:dyDescent="0.4">
      <c r="A6" s="10"/>
      <c r="B6" s="253"/>
      <c r="C6" s="253"/>
      <c r="D6" s="253"/>
      <c r="E6" s="253"/>
      <c r="F6" s="11"/>
    </row>
    <row r="7" spans="1:6" ht="36.9" customHeight="1" x14ac:dyDescent="0.4">
      <c r="A7" s="12"/>
      <c r="B7" s="254" t="s">
        <v>1</v>
      </c>
      <c r="C7" s="254"/>
      <c r="D7" s="254"/>
      <c r="E7" s="254"/>
      <c r="F7" s="11"/>
    </row>
    <row r="8" spans="1:6" ht="29.1" customHeight="1" x14ac:dyDescent="0.4">
      <c r="A8" s="8"/>
      <c r="B8" s="13"/>
      <c r="C8" s="255" t="s">
        <v>292</v>
      </c>
      <c r="D8" s="256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57" t="s">
        <v>734</v>
      </c>
      <c r="D14" s="257"/>
      <c r="E14" s="13"/>
      <c r="F14" s="9"/>
    </row>
    <row r="15" spans="1:6" ht="21.9" customHeight="1" x14ac:dyDescent="0.4">
      <c r="A15" s="8"/>
      <c r="B15" s="13"/>
      <c r="C15" s="258" t="s">
        <v>303</v>
      </c>
      <c r="D15" s="258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52"/>
      <c r="D19" s="252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="85" zoomScaleNormal="100" zoomScaleSheetLayoutView="85" workbookViewId="0">
      <selection activeCell="J58" sqref="J58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59" t="s">
        <v>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520000000</v>
      </c>
      <c r="E5" s="22">
        <f>집계장!I22</f>
        <v>520000000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4" si="0">ROUNDUP(E6,0)</f>
        <v>520000000</v>
      </c>
      <c r="E6" s="22">
        <f>E7+E13</f>
        <v>520000000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120000000</v>
      </c>
      <c r="E7" s="22">
        <f>집계장!G22</f>
        <v>120000000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400000000</v>
      </c>
      <c r="E8" s="22">
        <f>집계장!F22</f>
        <v>400000000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400000000</v>
      </c>
      <c r="E13" s="32">
        <f>집계장!F22</f>
        <v>400000000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736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60" t="s">
        <v>29</v>
      </c>
      <c r="C18" s="260"/>
      <c r="D18" s="260"/>
      <c r="E18" s="260"/>
      <c r="F18" s="260"/>
      <c r="G18" s="260"/>
      <c r="H18" s="260"/>
      <c r="I18" s="260"/>
      <c r="J18" s="261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735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62" t="s">
        <v>304</v>
      </c>
      <c r="H23" s="262"/>
      <c r="I23" s="262"/>
      <c r="J23" s="262"/>
      <c r="K23" s="262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62" t="s">
        <v>305</v>
      </c>
      <c r="H24" s="262"/>
      <c r="I24" s="262"/>
      <c r="J24" s="262"/>
      <c r="K24" s="262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62" t="s">
        <v>306</v>
      </c>
      <c r="H25" s="262"/>
      <c r="I25" s="23" t="s">
        <v>307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63" t="s">
        <v>81</v>
      </c>
      <c r="B1" s="264"/>
      <c r="C1" s="264"/>
      <c r="D1" s="264"/>
      <c r="E1" s="264"/>
      <c r="F1" s="264"/>
      <c r="G1" s="264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65" t="s">
        <v>84</v>
      </c>
      <c r="B3" s="267" t="s">
        <v>85</v>
      </c>
      <c r="C3" s="267" t="s">
        <v>86</v>
      </c>
      <c r="D3" s="267" t="s">
        <v>87</v>
      </c>
      <c r="E3" s="267" t="s">
        <v>88</v>
      </c>
      <c r="F3" s="267"/>
      <c r="G3" s="269"/>
    </row>
    <row r="4" spans="1:7" ht="27.9" customHeight="1" x14ac:dyDescent="0.4">
      <c r="A4" s="266"/>
      <c r="B4" s="268"/>
      <c r="C4" s="268"/>
      <c r="D4" s="268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3"/>
  <sheetViews>
    <sheetView view="pageBreakPreview" zoomScale="80" zoomScaleNormal="100" zoomScaleSheetLayoutView="80" workbookViewId="0">
      <selection activeCell="E5" sqref="E5:E9"/>
    </sheetView>
  </sheetViews>
  <sheetFormatPr defaultColWidth="9" defaultRowHeight="17.399999999999999" x14ac:dyDescent="0.4"/>
  <cols>
    <col min="1" max="1" width="25.59765625" style="18" customWidth="1"/>
    <col min="2" max="2" width="20.09765625" style="18" customWidth="1"/>
    <col min="3" max="3" width="7.3984375" style="18" customWidth="1"/>
    <col min="4" max="4" width="10.59765625" style="248" customWidth="1"/>
    <col min="5" max="5" width="9.8984375" style="18" customWidth="1"/>
    <col min="6" max="6" width="17.59765625" style="18" customWidth="1"/>
    <col min="7" max="7" width="15.59765625" style="18" customWidth="1"/>
    <col min="8" max="11" width="9" style="18"/>
    <col min="12" max="12" width="15.59765625" style="18" bestFit="1" customWidth="1"/>
    <col min="13" max="16384" width="9" style="18"/>
  </cols>
  <sheetData>
    <row r="1" spans="1:12" ht="69" customHeight="1" x14ac:dyDescent="0.4">
      <c r="A1" s="270" t="s">
        <v>720</v>
      </c>
      <c r="B1" s="270"/>
      <c r="C1" s="270"/>
      <c r="D1" s="270"/>
      <c r="E1" s="270"/>
      <c r="F1" s="270"/>
      <c r="G1" s="270"/>
    </row>
    <row r="2" spans="1:12" ht="39.75" customHeight="1" thickBot="1" x14ac:dyDescent="0.45">
      <c r="A2" s="192" t="s">
        <v>82</v>
      </c>
      <c r="B2" s="193"/>
      <c r="C2" s="193"/>
      <c r="D2" s="193"/>
      <c r="E2" s="194"/>
      <c r="F2" s="195"/>
      <c r="G2" s="195" t="s">
        <v>721</v>
      </c>
    </row>
    <row r="3" spans="1:12" ht="27.9" customHeight="1" x14ac:dyDescent="0.4">
      <c r="A3" s="271" t="s">
        <v>722</v>
      </c>
      <c r="B3" s="273" t="s">
        <v>723</v>
      </c>
      <c r="C3" s="273" t="s">
        <v>724</v>
      </c>
      <c r="D3" s="275" t="s">
        <v>725</v>
      </c>
      <c r="E3" s="275" t="s">
        <v>726</v>
      </c>
      <c r="F3" s="275"/>
      <c r="G3" s="277" t="s">
        <v>727</v>
      </c>
    </row>
    <row r="4" spans="1:12" ht="27.9" customHeight="1" x14ac:dyDescent="0.4">
      <c r="A4" s="272"/>
      <c r="B4" s="274"/>
      <c r="C4" s="274"/>
      <c r="D4" s="276"/>
      <c r="E4" s="196" t="s">
        <v>728</v>
      </c>
      <c r="F4" s="196" t="s">
        <v>729</v>
      </c>
      <c r="G4" s="278"/>
    </row>
    <row r="5" spans="1:12" ht="27.9" customHeight="1" x14ac:dyDescent="0.4">
      <c r="A5" s="197" t="s">
        <v>92</v>
      </c>
      <c r="B5" s="198" t="s">
        <v>93</v>
      </c>
      <c r="C5" s="198" t="s">
        <v>94</v>
      </c>
      <c r="D5" s="199">
        <v>1400000</v>
      </c>
      <c r="E5" s="200">
        <v>70</v>
      </c>
      <c r="F5" s="200">
        <f>D5*E5</f>
        <v>98000000</v>
      </c>
      <c r="G5" s="201"/>
    </row>
    <row r="6" spans="1:12" ht="27.9" customHeight="1" x14ac:dyDescent="0.4">
      <c r="A6" s="197" t="s">
        <v>730</v>
      </c>
      <c r="B6" s="198" t="s">
        <v>95</v>
      </c>
      <c r="C6" s="198" t="s">
        <v>94</v>
      </c>
      <c r="D6" s="199">
        <v>1200000</v>
      </c>
      <c r="E6" s="200">
        <v>40</v>
      </c>
      <c r="F6" s="200">
        <f t="shared" ref="F6:F11" si="0">D6*E6</f>
        <v>48000000</v>
      </c>
      <c r="G6" s="202" t="s">
        <v>731</v>
      </c>
    </row>
    <row r="7" spans="1:12" ht="27.9" customHeight="1" x14ac:dyDescent="0.4">
      <c r="A7" s="197" t="s">
        <v>97</v>
      </c>
      <c r="B7" s="198" t="s">
        <v>98</v>
      </c>
      <c r="C7" s="198" t="s">
        <v>94</v>
      </c>
      <c r="D7" s="199">
        <v>1000000</v>
      </c>
      <c r="E7" s="200">
        <v>100</v>
      </c>
      <c r="F7" s="200">
        <f t="shared" si="0"/>
        <v>100000000</v>
      </c>
      <c r="G7" s="203" t="s">
        <v>731</v>
      </c>
      <c r="I7" s="30"/>
    </row>
    <row r="8" spans="1:12" ht="27.9" customHeight="1" x14ac:dyDescent="0.4">
      <c r="A8" s="197" t="s">
        <v>97</v>
      </c>
      <c r="B8" s="198" t="s">
        <v>100</v>
      </c>
      <c r="C8" s="198" t="s">
        <v>94</v>
      </c>
      <c r="D8" s="199">
        <v>900000</v>
      </c>
      <c r="E8" s="200">
        <v>100</v>
      </c>
      <c r="F8" s="200">
        <f t="shared" si="0"/>
        <v>90000000</v>
      </c>
      <c r="G8" s="203" t="s">
        <v>731</v>
      </c>
      <c r="J8" s="30"/>
    </row>
    <row r="9" spans="1:12" ht="27.9" customHeight="1" x14ac:dyDescent="0.4">
      <c r="A9" s="197" t="s">
        <v>97</v>
      </c>
      <c r="B9" s="198" t="s">
        <v>102</v>
      </c>
      <c r="C9" s="198" t="s">
        <v>94</v>
      </c>
      <c r="D9" s="199">
        <v>800000</v>
      </c>
      <c r="E9" s="200">
        <v>80</v>
      </c>
      <c r="F9" s="200">
        <f t="shared" si="0"/>
        <v>64000000</v>
      </c>
      <c r="G9" s="204"/>
      <c r="J9" s="30"/>
      <c r="L9" s="30"/>
    </row>
    <row r="10" spans="1:12" ht="27.9" customHeight="1" x14ac:dyDescent="0.4">
      <c r="A10" s="197" t="s">
        <v>97</v>
      </c>
      <c r="B10" s="198" t="s">
        <v>104</v>
      </c>
      <c r="C10" s="198" t="s">
        <v>94</v>
      </c>
      <c r="D10" s="199">
        <v>700000</v>
      </c>
      <c r="E10" s="200"/>
      <c r="F10" s="200">
        <f t="shared" si="0"/>
        <v>0</v>
      </c>
      <c r="G10" s="203"/>
    </row>
    <row r="11" spans="1:12" ht="27.9" customHeight="1" x14ac:dyDescent="0.4">
      <c r="A11" s="197" t="s">
        <v>732</v>
      </c>
      <c r="B11" s="198" t="s">
        <v>106</v>
      </c>
      <c r="C11" s="198" t="s">
        <v>94</v>
      </c>
      <c r="D11" s="199">
        <v>600000</v>
      </c>
      <c r="E11" s="200"/>
      <c r="F11" s="200">
        <f t="shared" si="0"/>
        <v>0</v>
      </c>
      <c r="G11" s="205"/>
    </row>
    <row r="12" spans="1:12" ht="27.9" customHeight="1" x14ac:dyDescent="0.4">
      <c r="A12" s="206"/>
      <c r="B12" s="198"/>
      <c r="C12" s="207"/>
      <c r="D12" s="199"/>
      <c r="E12" s="200"/>
      <c r="F12" s="200"/>
      <c r="G12" s="205"/>
    </row>
    <row r="13" spans="1:12" ht="27.9" customHeight="1" x14ac:dyDescent="0.4">
      <c r="A13" s="208" t="s">
        <v>108</v>
      </c>
      <c r="B13" s="198"/>
      <c r="C13" s="207"/>
      <c r="D13" s="209"/>
      <c r="E13" s="210">
        <v>0</v>
      </c>
      <c r="F13" s="200">
        <f>SUM(F5:F11)*E13</f>
        <v>0</v>
      </c>
      <c r="G13" s="205"/>
    </row>
    <row r="14" spans="1:12" ht="27.9" customHeight="1" x14ac:dyDescent="0.4">
      <c r="A14" s="206"/>
      <c r="B14" s="198"/>
      <c r="C14" s="207"/>
      <c r="D14" s="209"/>
      <c r="E14" s="200"/>
      <c r="F14" s="200"/>
      <c r="G14" s="205"/>
    </row>
    <row r="15" spans="1:12" ht="27.9" customHeight="1" x14ac:dyDescent="0.4">
      <c r="A15" s="214"/>
      <c r="B15" s="211"/>
      <c r="C15" s="212"/>
      <c r="D15" s="213"/>
      <c r="E15" s="200"/>
      <c r="F15" s="200"/>
      <c r="G15" s="205"/>
    </row>
    <row r="16" spans="1:12" ht="27.9" customHeight="1" x14ac:dyDescent="0.4">
      <c r="A16" s="215"/>
      <c r="B16" s="216"/>
      <c r="C16" s="217"/>
      <c r="D16" s="217"/>
      <c r="E16" s="200"/>
      <c r="F16" s="200"/>
      <c r="G16" s="205"/>
    </row>
    <row r="17" spans="1:7" ht="27.9" customHeight="1" thickBot="1" x14ac:dyDescent="0.45">
      <c r="A17" s="218" t="s">
        <v>733</v>
      </c>
      <c r="B17" s="219"/>
      <c r="C17" s="220"/>
      <c r="D17" s="221"/>
      <c r="E17" s="222">
        <f>SUM(E5:E16)</f>
        <v>390</v>
      </c>
      <c r="F17" s="223">
        <f>SUM(F5:F16)</f>
        <v>400000000</v>
      </c>
      <c r="G17" s="224"/>
    </row>
    <row r="18" spans="1:7" ht="27.9" hidden="1" customHeight="1" x14ac:dyDescent="0.4">
      <c r="A18" s="225"/>
      <c r="B18" s="226"/>
      <c r="C18" s="227"/>
      <c r="D18" s="228"/>
      <c r="E18" s="229"/>
      <c r="F18" s="230"/>
      <c r="G18" s="231"/>
    </row>
    <row r="19" spans="1:7" ht="27.9" hidden="1" customHeight="1" x14ac:dyDescent="0.4">
      <c r="A19" s="232"/>
      <c r="B19" s="233"/>
      <c r="C19" s="234"/>
      <c r="D19" s="235"/>
      <c r="E19" s="236"/>
      <c r="F19" s="237"/>
      <c r="G19" s="238"/>
    </row>
    <row r="20" spans="1:7" ht="27.9" hidden="1" customHeight="1" x14ac:dyDescent="0.4">
      <c r="A20" s="232"/>
      <c r="B20" s="233"/>
      <c r="C20" s="234"/>
      <c r="D20" s="235"/>
      <c r="E20" s="236"/>
      <c r="F20" s="237"/>
      <c r="G20" s="238"/>
    </row>
    <row r="21" spans="1:7" ht="27.9" hidden="1" customHeight="1" x14ac:dyDescent="0.4">
      <c r="A21" s="232"/>
      <c r="B21" s="233"/>
      <c r="C21" s="234"/>
      <c r="D21" s="235"/>
      <c r="E21" s="236"/>
      <c r="F21" s="237"/>
      <c r="G21" s="238"/>
    </row>
    <row r="22" spans="1:7" ht="27.9" hidden="1" customHeight="1" x14ac:dyDescent="0.4">
      <c r="A22" s="232"/>
      <c r="B22" s="233"/>
      <c r="C22" s="234"/>
      <c r="D22" s="235"/>
      <c r="E22" s="236"/>
      <c r="F22" s="237"/>
      <c r="G22" s="238"/>
    </row>
    <row r="23" spans="1:7" ht="27.9" hidden="1" customHeight="1" x14ac:dyDescent="0.4">
      <c r="A23" s="232"/>
      <c r="B23" s="233"/>
      <c r="C23" s="234"/>
      <c r="D23" s="235"/>
      <c r="E23" s="236"/>
      <c r="F23" s="237"/>
      <c r="G23" s="238"/>
    </row>
    <row r="24" spans="1:7" ht="27.9" hidden="1" customHeight="1" x14ac:dyDescent="0.4">
      <c r="A24" s="239"/>
      <c r="B24" s="240"/>
      <c r="C24" s="241"/>
      <c r="D24" s="242"/>
      <c r="E24" s="236"/>
      <c r="F24" s="237"/>
      <c r="G24" s="238"/>
    </row>
    <row r="25" spans="1:7" ht="14.4" x14ac:dyDescent="0.4">
      <c r="A25" s="243"/>
      <c r="B25" s="244"/>
      <c r="C25" s="245"/>
      <c r="D25" s="245"/>
    </row>
    <row r="26" spans="1:7" ht="14.4" x14ac:dyDescent="0.4">
      <c r="A26" s="245"/>
      <c r="B26" s="245"/>
      <c r="C26" s="245"/>
      <c r="D26" s="245"/>
      <c r="F26" s="246"/>
    </row>
    <row r="27" spans="1:7" s="30" customFormat="1" ht="14.4" x14ac:dyDescent="0.4">
      <c r="A27" s="245"/>
      <c r="B27" s="245"/>
      <c r="C27" s="245"/>
      <c r="D27" s="245"/>
      <c r="E27" s="18"/>
      <c r="F27" s="18"/>
      <c r="G27" s="18"/>
    </row>
    <row r="28" spans="1:7" s="30" customFormat="1" ht="14.4" x14ac:dyDescent="0.4">
      <c r="A28" s="245"/>
      <c r="B28" s="245"/>
      <c r="C28" s="245"/>
      <c r="D28" s="245"/>
      <c r="E28" s="18"/>
      <c r="F28" s="246"/>
      <c r="G28" s="18"/>
    </row>
    <row r="29" spans="1:7" s="30" customFormat="1" ht="14.4" x14ac:dyDescent="0.4">
      <c r="A29" s="245"/>
      <c r="B29" s="245"/>
      <c r="C29" s="245"/>
      <c r="D29" s="245"/>
      <c r="E29" s="18"/>
      <c r="F29" s="18"/>
      <c r="G29" s="18"/>
    </row>
    <row r="30" spans="1:7" s="30" customFormat="1" ht="14.4" x14ac:dyDescent="0.4">
      <c r="A30" s="247"/>
      <c r="B30" s="247"/>
      <c r="C30" s="247"/>
      <c r="D30" s="247"/>
      <c r="E30" s="18"/>
      <c r="F30" s="18"/>
      <c r="G30" s="18"/>
    </row>
    <row r="31" spans="1:7" s="30" customFormat="1" ht="14.4" x14ac:dyDescent="0.4">
      <c r="A31" s="247"/>
      <c r="B31" s="247"/>
      <c r="C31" s="247"/>
      <c r="D31" s="247"/>
      <c r="E31" s="18"/>
      <c r="F31" s="18"/>
      <c r="G31" s="18"/>
    </row>
    <row r="32" spans="1:7" s="30" customFormat="1" ht="14.4" x14ac:dyDescent="0.4">
      <c r="A32" s="247"/>
      <c r="B32" s="247"/>
      <c r="C32" s="247"/>
      <c r="D32" s="247"/>
      <c r="E32" s="18"/>
      <c r="F32" s="18"/>
      <c r="G32" s="18"/>
    </row>
    <row r="33" spans="1:7" s="30" customFormat="1" ht="14.4" x14ac:dyDescent="0.4">
      <c r="A33" s="247"/>
      <c r="B33" s="247"/>
      <c r="C33" s="247"/>
      <c r="D33" s="247"/>
      <c r="E33" s="18"/>
      <c r="F33" s="18"/>
      <c r="G33" s="18"/>
    </row>
    <row r="34" spans="1:7" s="30" customFormat="1" ht="14.4" x14ac:dyDescent="0.4">
      <c r="A34" s="247"/>
      <c r="B34" s="247"/>
      <c r="C34" s="247"/>
      <c r="D34" s="247"/>
      <c r="E34" s="18"/>
      <c r="F34" s="18"/>
      <c r="G34" s="18"/>
    </row>
    <row r="35" spans="1:7" s="30" customFormat="1" ht="14.4" x14ac:dyDescent="0.4">
      <c r="A35" s="247"/>
      <c r="B35" s="247"/>
      <c r="C35" s="247"/>
      <c r="D35" s="247"/>
      <c r="E35" s="18"/>
      <c r="F35" s="18"/>
      <c r="G35" s="18"/>
    </row>
    <row r="36" spans="1:7" s="30" customFormat="1" ht="14.4" x14ac:dyDescent="0.4">
      <c r="A36" s="247"/>
      <c r="B36" s="18"/>
      <c r="C36" s="247"/>
      <c r="D36" s="247"/>
      <c r="E36" s="18"/>
      <c r="F36" s="18"/>
      <c r="G36" s="18"/>
    </row>
    <row r="37" spans="1:7" s="30" customFormat="1" ht="14.4" x14ac:dyDescent="0.4">
      <c r="A37" s="247"/>
      <c r="B37" s="18"/>
      <c r="C37" s="247"/>
      <c r="D37" s="247"/>
      <c r="E37" s="18"/>
      <c r="F37" s="18"/>
      <c r="G37" s="18"/>
    </row>
    <row r="38" spans="1:7" s="30" customFormat="1" ht="14.4" x14ac:dyDescent="0.4">
      <c r="A38" s="247"/>
      <c r="B38" s="18"/>
      <c r="C38" s="247"/>
      <c r="D38" s="247"/>
      <c r="E38" s="18"/>
      <c r="F38" s="18"/>
      <c r="G38" s="18"/>
    </row>
    <row r="39" spans="1:7" s="30" customFormat="1" ht="14.4" x14ac:dyDescent="0.4">
      <c r="A39" s="247"/>
      <c r="B39" s="18"/>
      <c r="C39" s="247"/>
      <c r="D39" s="247"/>
      <c r="E39" s="18"/>
      <c r="F39" s="18"/>
      <c r="G39" s="18"/>
    </row>
    <row r="40" spans="1:7" s="30" customFormat="1" ht="14.4" x14ac:dyDescent="0.4">
      <c r="A40" s="247"/>
      <c r="B40" s="18"/>
      <c r="C40" s="247"/>
      <c r="D40" s="247"/>
      <c r="E40" s="18"/>
      <c r="F40" s="18"/>
      <c r="G40" s="18"/>
    </row>
    <row r="41" spans="1:7" s="30" customFormat="1" ht="14.4" x14ac:dyDescent="0.4">
      <c r="A41" s="18"/>
      <c r="B41" s="18"/>
      <c r="C41" s="247"/>
      <c r="D41" s="247"/>
      <c r="E41" s="18"/>
      <c r="F41" s="18"/>
      <c r="G41" s="18"/>
    </row>
    <row r="42" spans="1:7" s="30" customFormat="1" x14ac:dyDescent="0.4">
      <c r="A42" s="18"/>
      <c r="B42" s="18"/>
      <c r="C42" s="247"/>
      <c r="D42" s="248"/>
      <c r="E42" s="18"/>
      <c r="F42" s="18"/>
      <c r="G42" s="18"/>
    </row>
    <row r="43" spans="1:7" s="30" customFormat="1" x14ac:dyDescent="0.4">
      <c r="A43" s="18"/>
      <c r="B43" s="18"/>
      <c r="C43" s="247"/>
      <c r="D43" s="248"/>
      <c r="E43" s="18"/>
      <c r="F43" s="18"/>
      <c r="G43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39370078740157483" header="0.15748031496062992" footer="0.27559055118110237"/>
  <pageSetup paperSize="9" scale="90" fitToWidth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view="pageBreakPreview" zoomScale="85" zoomScaleNormal="100" zoomScaleSheetLayoutView="85" workbookViewId="0">
      <selection activeCell="H7" sqref="H7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3" max="13" width="12.59765625" bestFit="1" customWidth="1"/>
    <col min="14" max="14" width="11.5" bestFit="1" customWidth="1"/>
    <col min="15" max="15" width="13.59765625" bestFit="1" customWidth="1"/>
  </cols>
  <sheetData>
    <row r="1" spans="1:14" ht="39.9" customHeight="1" thickTop="1" x14ac:dyDescent="0.4">
      <c r="A1" s="301" t="str">
        <f>'용역청구서 표지'!$B$7</f>
        <v>P4 Ph4 GAS 1공구 마감공사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3"/>
    </row>
    <row r="2" spans="1:14" ht="20.100000000000001" customHeight="1" x14ac:dyDescent="0.35">
      <c r="A2" s="54"/>
      <c r="J2" s="56"/>
      <c r="L2" s="57" t="str">
        <f>'용역청구서 표지'!$C$15</f>
        <v>㈜태성하이텍</v>
      </c>
    </row>
    <row r="3" spans="1:14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304" t="s">
        <v>119</v>
      </c>
      <c r="K3" s="304"/>
      <c r="L3" s="305"/>
    </row>
    <row r="4" spans="1:14" ht="30" customHeight="1" x14ac:dyDescent="0.4">
      <c r="A4" s="63" t="s">
        <v>120</v>
      </c>
      <c r="B4" s="64" t="s">
        <v>121</v>
      </c>
      <c r="C4" s="46" t="s">
        <v>122</v>
      </c>
      <c r="D4" s="151">
        <f>SUM('물량 내역서'!$J$5:$J$27)</f>
        <v>2571.5</v>
      </c>
      <c r="E4" s="47">
        <f>F4/D4</f>
        <v>437000</v>
      </c>
      <c r="F4" s="65">
        <f>SUM('물량 내역서'!$K$5:$K$27)</f>
        <v>1123745500</v>
      </c>
      <c r="G4" s="66">
        <v>2999786500</v>
      </c>
      <c r="H4" s="47">
        <f t="shared" ref="H4:H22" si="0">F4</f>
        <v>1123745500</v>
      </c>
      <c r="I4" s="67">
        <f>G4+H4</f>
        <v>4123532000</v>
      </c>
      <c r="J4" s="283"/>
      <c r="K4" s="284"/>
      <c r="L4" s="285"/>
    </row>
    <row r="5" spans="1:14" ht="30" customHeight="1" x14ac:dyDescent="0.4">
      <c r="A5" s="68"/>
      <c r="B5" s="64" t="s">
        <v>123</v>
      </c>
      <c r="C5" s="46" t="s">
        <v>124</v>
      </c>
      <c r="D5" s="150">
        <f>SUM('물량 내역서'!$J$28:$J$50)</f>
        <v>83</v>
      </c>
      <c r="E5" s="47">
        <f>F5/D5</f>
        <v>149698.7951807229</v>
      </c>
      <c r="F5" s="65">
        <f>SUM('물량 내역서'!$K$28:$K$50)</f>
        <v>12425000</v>
      </c>
      <c r="G5" s="66">
        <v>26818750</v>
      </c>
      <c r="H5" s="47">
        <f t="shared" si="0"/>
        <v>12425000</v>
      </c>
      <c r="I5" s="67">
        <f t="shared" ref="I5:I7" si="1">G5+H5</f>
        <v>39243750</v>
      </c>
      <c r="J5" s="283"/>
      <c r="K5" s="284"/>
      <c r="L5" s="285"/>
    </row>
    <row r="6" spans="1:14" ht="30" customHeight="1" x14ac:dyDescent="0.4">
      <c r="A6" s="68"/>
      <c r="B6" s="64" t="s">
        <v>125</v>
      </c>
      <c r="C6" s="46" t="s">
        <v>126</v>
      </c>
      <c r="D6" s="69">
        <f>'근로내역 (04월)'!AN129</f>
        <v>0</v>
      </c>
      <c r="E6" s="47" t="e">
        <f>F6/D6</f>
        <v>#DIV/0!</v>
      </c>
      <c r="F6" s="65">
        <f>'근로내역 (04월)'!AP129</f>
        <v>0</v>
      </c>
      <c r="G6" s="66">
        <v>0</v>
      </c>
      <c r="H6" s="47">
        <f t="shared" si="0"/>
        <v>0</v>
      </c>
      <c r="I6" s="67">
        <f t="shared" si="1"/>
        <v>0</v>
      </c>
      <c r="J6" s="283"/>
      <c r="K6" s="284"/>
      <c r="L6" s="285"/>
    </row>
    <row r="7" spans="1:14" ht="30" customHeight="1" x14ac:dyDescent="0.4">
      <c r="A7" s="63" t="s">
        <v>127</v>
      </c>
      <c r="B7" s="70"/>
      <c r="C7" s="46" t="s">
        <v>128</v>
      </c>
      <c r="D7" s="46"/>
      <c r="E7" s="47">
        <v>0</v>
      </c>
      <c r="F7" s="65">
        <v>586606403</v>
      </c>
      <c r="G7" s="66">
        <v>0</v>
      </c>
      <c r="H7" s="47">
        <f t="shared" si="0"/>
        <v>586606403</v>
      </c>
      <c r="I7" s="67">
        <f t="shared" si="1"/>
        <v>586606403</v>
      </c>
      <c r="J7" s="283" t="s">
        <v>992</v>
      </c>
      <c r="K7" s="284"/>
      <c r="L7" s="285"/>
    </row>
    <row r="8" spans="1:14" ht="30" customHeight="1" x14ac:dyDescent="0.4">
      <c r="A8" s="71" t="s">
        <v>129</v>
      </c>
      <c r="B8" s="286" t="s">
        <v>130</v>
      </c>
      <c r="C8" s="287"/>
      <c r="D8" s="72"/>
      <c r="E8" s="72"/>
      <c r="F8" s="73">
        <f>SUM(F4:F7)</f>
        <v>1722776903</v>
      </c>
      <c r="G8" s="74">
        <f>SUM(G4:G7)</f>
        <v>3026605250</v>
      </c>
      <c r="H8" s="75">
        <f t="shared" si="0"/>
        <v>1722776903</v>
      </c>
      <c r="I8" s="76">
        <f>G8+H8</f>
        <v>4749382153</v>
      </c>
      <c r="J8" s="288"/>
      <c r="K8" s="289"/>
      <c r="L8" s="290"/>
      <c r="N8" s="177"/>
    </row>
    <row r="9" spans="1:14" ht="30" customHeight="1" x14ac:dyDescent="0.4">
      <c r="A9" s="63" t="s">
        <v>131</v>
      </c>
      <c r="B9" s="64" t="s">
        <v>132</v>
      </c>
      <c r="C9" s="46" t="s">
        <v>133</v>
      </c>
      <c r="D9" s="69">
        <f>'근로내역 (04월)'!AN130</f>
        <v>3642.5</v>
      </c>
      <c r="E9" s="77">
        <f>F9/D9</f>
        <v>185052.16197666439</v>
      </c>
      <c r="F9" s="65">
        <f>'근로내역 (04월)'!AP130</f>
        <v>674052500</v>
      </c>
      <c r="G9" s="66">
        <v>1894886250</v>
      </c>
      <c r="H9" s="47">
        <f t="shared" si="0"/>
        <v>674052500</v>
      </c>
      <c r="I9" s="67">
        <f>G9+H9</f>
        <v>2568938750</v>
      </c>
      <c r="J9" s="283"/>
      <c r="K9" s="284"/>
      <c r="L9" s="285"/>
    </row>
    <row r="10" spans="1:14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25806300</v>
      </c>
      <c r="G10" s="66">
        <v>83864822.749615982</v>
      </c>
      <c r="H10" s="47">
        <f t="shared" si="0"/>
        <v>25806300</v>
      </c>
      <c r="I10" s="67">
        <f t="shared" ref="I10:I12" si="2">G10+H10</f>
        <v>109671122.74961598</v>
      </c>
      <c r="J10" s="283"/>
      <c r="K10" s="284"/>
      <c r="L10" s="285"/>
      <c r="M10" s="177">
        <f>+H10+H11</f>
        <v>76290480</v>
      </c>
    </row>
    <row r="11" spans="1:14" ht="30" customHeight="1" x14ac:dyDescent="0.4">
      <c r="A11" s="63"/>
      <c r="B11" s="64" t="s">
        <v>136</v>
      </c>
      <c r="C11" s="46" t="s">
        <v>137</v>
      </c>
      <c r="D11" s="46">
        <f>SUM(식대비용!G4:G9)</f>
        <v>0</v>
      </c>
      <c r="E11" s="47" t="e">
        <f>F11/D11</f>
        <v>#DIV/0!</v>
      </c>
      <c r="F11" s="65">
        <f>식대비용!I3</f>
        <v>50484180</v>
      </c>
      <c r="G11" s="66">
        <v>128529910</v>
      </c>
      <c r="H11" s="47">
        <f t="shared" si="0"/>
        <v>50484180</v>
      </c>
      <c r="I11" s="67">
        <f t="shared" si="2"/>
        <v>179014090</v>
      </c>
      <c r="J11" s="283"/>
      <c r="K11" s="284"/>
      <c r="L11" s="285"/>
    </row>
    <row r="12" spans="1:14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>
        <v>0</v>
      </c>
      <c r="H12" s="47">
        <f t="shared" si="0"/>
        <v>0</v>
      </c>
      <c r="I12" s="67">
        <f t="shared" si="2"/>
        <v>0</v>
      </c>
      <c r="J12" s="283"/>
      <c r="K12" s="284"/>
      <c r="L12" s="285"/>
    </row>
    <row r="13" spans="1:14" ht="30" customHeight="1" x14ac:dyDescent="0.4">
      <c r="A13" s="71" t="s">
        <v>139</v>
      </c>
      <c r="B13" s="286" t="s">
        <v>140</v>
      </c>
      <c r="C13" s="287"/>
      <c r="D13" s="72"/>
      <c r="E13" s="72"/>
      <c r="F13" s="73">
        <f t="shared" ref="F13" si="4">SUM(F9:F12)</f>
        <v>750342980</v>
      </c>
      <c r="G13" s="74">
        <f>SUM(G9:G12)</f>
        <v>2107280982.7496159</v>
      </c>
      <c r="H13" s="75">
        <f t="shared" si="0"/>
        <v>750342980</v>
      </c>
      <c r="I13" s="76">
        <f>G13+H13</f>
        <v>2857623962.7496157</v>
      </c>
      <c r="J13" s="288"/>
      <c r="K13" s="289"/>
      <c r="L13" s="290"/>
    </row>
    <row r="14" spans="1:14" ht="30" customHeight="1" x14ac:dyDescent="0.4">
      <c r="A14" s="71" t="s">
        <v>141</v>
      </c>
      <c r="B14" s="286" t="s">
        <v>142</v>
      </c>
      <c r="C14" s="287"/>
      <c r="D14" s="72"/>
      <c r="E14" s="72"/>
      <c r="F14" s="73">
        <f>F8-F13</f>
        <v>972433923</v>
      </c>
      <c r="G14" s="74">
        <f>G8-G13</f>
        <v>919324267.25038409</v>
      </c>
      <c r="H14" s="75">
        <f t="shared" si="0"/>
        <v>972433923</v>
      </c>
      <c r="I14" s="76">
        <f>G14+H14</f>
        <v>1891758190.2503841</v>
      </c>
      <c r="J14" s="288"/>
      <c r="K14" s="289"/>
      <c r="L14" s="290"/>
    </row>
    <row r="15" spans="1:14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572400000</v>
      </c>
      <c r="G15" s="66">
        <v>799272449</v>
      </c>
      <c r="H15" s="47">
        <f t="shared" si="0"/>
        <v>572400000</v>
      </c>
      <c r="I15" s="67">
        <f>G15+H15</f>
        <v>1371672449</v>
      </c>
      <c r="J15" s="283"/>
      <c r="K15" s="284"/>
      <c r="L15" s="285"/>
    </row>
    <row r="16" spans="1:14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83"/>
      <c r="K16" s="284"/>
      <c r="L16" s="285"/>
      <c r="N16" s="249"/>
    </row>
    <row r="17" spans="1:14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83"/>
      <c r="K17" s="284"/>
      <c r="L17" s="285"/>
    </row>
    <row r="18" spans="1:14" ht="30" customHeight="1" x14ac:dyDescent="0.4">
      <c r="A18" s="71" t="s">
        <v>151</v>
      </c>
      <c r="B18" s="286" t="s">
        <v>152</v>
      </c>
      <c r="C18" s="287"/>
      <c r="D18" s="72"/>
      <c r="E18" s="72"/>
      <c r="F18" s="73">
        <f>F14-F15-F16-F17</f>
        <v>400033923</v>
      </c>
      <c r="G18" s="74">
        <f>G14-G15-G16-G17</f>
        <v>120051818.25038409</v>
      </c>
      <c r="H18" s="75">
        <f t="shared" si="0"/>
        <v>400033923</v>
      </c>
      <c r="I18" s="76">
        <f>G18+H18</f>
        <v>520085741.25038409</v>
      </c>
      <c r="J18" s="288"/>
      <c r="K18" s="289"/>
      <c r="L18" s="290"/>
      <c r="N18" s="177"/>
    </row>
    <row r="19" spans="1:14" ht="30" customHeight="1" x14ac:dyDescent="0.4">
      <c r="A19" s="291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4" ht="30" customHeight="1" x14ac:dyDescent="0.4">
      <c r="A20" s="291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92">
        <v>0</v>
      </c>
      <c r="L20" s="295">
        <f>K20-I20</f>
        <v>0</v>
      </c>
    </row>
    <row r="21" spans="1:14" ht="30" customHeight="1" x14ac:dyDescent="0.4">
      <c r="A21" s="298" t="s">
        <v>159</v>
      </c>
      <c r="B21" s="299"/>
      <c r="C21" s="300"/>
      <c r="D21" s="81"/>
      <c r="E21" s="81"/>
      <c r="F21" s="82">
        <f>F18-F20</f>
        <v>400033923</v>
      </c>
      <c r="G21" s="83">
        <f>G18-G19</f>
        <v>120051818.25038409</v>
      </c>
      <c r="H21" s="84">
        <f t="shared" si="0"/>
        <v>400033923</v>
      </c>
      <c r="I21" s="85">
        <f>G21+H21</f>
        <v>520085741.25038409</v>
      </c>
      <c r="J21" s="81"/>
      <c r="K21" s="293"/>
      <c r="L21" s="296"/>
    </row>
    <row r="22" spans="1:14" ht="30" customHeight="1" x14ac:dyDescent="0.4">
      <c r="A22" s="298" t="s">
        <v>160</v>
      </c>
      <c r="B22" s="299"/>
      <c r="C22" s="300"/>
      <c r="D22" s="81"/>
      <c r="E22" s="81"/>
      <c r="F22" s="82">
        <f>ROUNDDOWN(F21,-5)</f>
        <v>400000000</v>
      </c>
      <c r="G22" s="83">
        <f>ROUNDDOWN(G21,-5)</f>
        <v>120000000</v>
      </c>
      <c r="H22" s="84">
        <f t="shared" si="0"/>
        <v>400000000</v>
      </c>
      <c r="I22" s="85">
        <f>G22+H22</f>
        <v>520000000</v>
      </c>
      <c r="J22" s="86" t="s">
        <v>161</v>
      </c>
      <c r="K22" s="294"/>
      <c r="L22" s="297"/>
    </row>
    <row r="23" spans="1:14" ht="30" customHeight="1" x14ac:dyDescent="0.4">
      <c r="A23" s="279" t="s">
        <v>162</v>
      </c>
      <c r="B23" s="280"/>
      <c r="C23" s="281"/>
      <c r="D23" s="280" t="s">
        <v>163</v>
      </c>
      <c r="E23" s="280"/>
      <c r="F23" s="280"/>
      <c r="G23" s="280"/>
      <c r="H23" s="280"/>
      <c r="I23" s="280"/>
      <c r="J23" s="280"/>
      <c r="K23" s="280"/>
      <c r="L23" s="282"/>
    </row>
    <row r="24" spans="1:14" ht="21" customHeight="1" x14ac:dyDescent="0.4">
      <c r="A24" s="87" t="s">
        <v>164</v>
      </c>
      <c r="L24" s="88"/>
    </row>
    <row r="25" spans="1:14" ht="21" customHeight="1" x14ac:dyDescent="0.4">
      <c r="A25" s="87" t="s">
        <v>165</v>
      </c>
      <c r="L25" s="88"/>
    </row>
    <row r="26" spans="1:14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4" ht="18" thickTop="1" x14ac:dyDescent="0.4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1"/>
  <sheetViews>
    <sheetView view="pageBreakPreview" zoomScale="85" zoomScaleNormal="70" zoomScaleSheetLayoutView="85" workbookViewId="0">
      <pane ySplit="4" topLeftCell="A14" activePane="bottomLeft" state="frozen"/>
      <selection activeCell="J58" sqref="J58"/>
      <selection pane="bottomLeft" activeCell="O44" sqref="O31:O44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9.8984375" style="249" bestFit="1" customWidth="1"/>
    <col min="8" max="8" width="13.19921875" bestFit="1" customWidth="1"/>
    <col min="9" max="9" width="19.8984375" style="249" bestFit="1" customWidth="1"/>
    <col min="10" max="10" width="13.19921875" bestFit="1" customWidth="1"/>
    <col min="11" max="11" width="19.8984375" style="249" bestFit="1" customWidth="1"/>
    <col min="12" max="12" width="13.19921875" bestFit="1" customWidth="1"/>
    <col min="13" max="13" width="19.8984375" bestFit="1" customWidth="1"/>
  </cols>
  <sheetData>
    <row r="1" spans="1:16" ht="37.799999999999997" x14ac:dyDescent="0.4">
      <c r="A1" s="309" t="s">
        <v>737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6" ht="19.2" x14ac:dyDescent="0.4">
      <c r="A2" s="92" t="str">
        <f>'용역청구서 표지'!$B$7</f>
        <v>P4 Ph4 GAS 1공구 마감공사</v>
      </c>
      <c r="M2" s="42" t="s">
        <v>167</v>
      </c>
    </row>
    <row r="3" spans="1:16" ht="27.9" customHeight="1" x14ac:dyDescent="0.4">
      <c r="A3" s="310" t="s">
        <v>168</v>
      </c>
      <c r="B3" s="310" t="s">
        <v>169</v>
      </c>
      <c r="C3" s="310" t="s">
        <v>170</v>
      </c>
      <c r="D3" s="311" t="s">
        <v>171</v>
      </c>
      <c r="E3" s="310" t="s">
        <v>172</v>
      </c>
      <c r="F3" s="310" t="s">
        <v>173</v>
      </c>
      <c r="G3" s="310"/>
      <c r="H3" s="310" t="s">
        <v>174</v>
      </c>
      <c r="I3" s="310"/>
      <c r="J3" s="310" t="s">
        <v>175</v>
      </c>
      <c r="K3" s="310"/>
      <c r="L3" s="310" t="s">
        <v>176</v>
      </c>
      <c r="M3" s="310"/>
    </row>
    <row r="4" spans="1:16" ht="27.9" customHeight="1" x14ac:dyDescent="0.4">
      <c r="A4" s="310"/>
      <c r="B4" s="310"/>
      <c r="C4" s="310"/>
      <c r="D4" s="311"/>
      <c r="E4" s="310"/>
      <c r="F4" s="93" t="s">
        <v>177</v>
      </c>
      <c r="G4" s="250" t="s">
        <v>178</v>
      </c>
      <c r="H4" s="93" t="s">
        <v>177</v>
      </c>
      <c r="I4" s="250" t="s">
        <v>178</v>
      </c>
      <c r="J4" s="93" t="s">
        <v>177</v>
      </c>
      <c r="K4" s="250" t="s">
        <v>179</v>
      </c>
      <c r="L4" s="93" t="s">
        <v>177</v>
      </c>
      <c r="M4" s="93" t="s">
        <v>179</v>
      </c>
    </row>
    <row r="5" spans="1:16" ht="27.9" hidden="1" customHeight="1" x14ac:dyDescent="0.4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6">
        <f>M5</f>
        <v>0</v>
      </c>
      <c r="H5" s="99">
        <v>0</v>
      </c>
      <c r="I5" s="96">
        <v>0</v>
      </c>
      <c r="J5" s="99">
        <f>$D5*'DIA-INCH'!$C5</f>
        <v>0</v>
      </c>
      <c r="K5" s="96">
        <f>$E5*$J5</f>
        <v>0</v>
      </c>
      <c r="L5" s="99">
        <f>H5+J5</f>
        <v>0</v>
      </c>
      <c r="M5" s="97">
        <f>I5+K5</f>
        <v>0</v>
      </c>
    </row>
    <row r="6" spans="1:16" ht="27.9" hidden="1" customHeight="1" x14ac:dyDescent="0.4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6">
        <f t="shared" si="0"/>
        <v>0</v>
      </c>
      <c r="H6" s="99">
        <v>0</v>
      </c>
      <c r="I6" s="96">
        <v>0</v>
      </c>
      <c r="J6" s="99">
        <f>$D6*'DIA-INCH'!$C6</f>
        <v>0</v>
      </c>
      <c r="K6" s="96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" hidden="1" customHeight="1" x14ac:dyDescent="0.4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6">
        <f t="shared" si="0"/>
        <v>0</v>
      </c>
      <c r="H7" s="99">
        <v>0</v>
      </c>
      <c r="I7" s="96">
        <v>0</v>
      </c>
      <c r="J7" s="99">
        <f>$D7*'DIA-INCH'!$C7</f>
        <v>0</v>
      </c>
      <c r="K7" s="96">
        <f t="shared" si="1"/>
        <v>0</v>
      </c>
      <c r="L7" s="99">
        <f t="shared" si="2"/>
        <v>0</v>
      </c>
      <c r="M7" s="97">
        <f t="shared" si="2"/>
        <v>0</v>
      </c>
    </row>
    <row r="8" spans="1:16" ht="27.9" customHeight="1" x14ac:dyDescent="0.4">
      <c r="A8" s="94" t="s">
        <v>180</v>
      </c>
      <c r="B8" s="38" t="s">
        <v>187</v>
      </c>
      <c r="C8" s="38" t="s">
        <v>182</v>
      </c>
      <c r="D8" s="95">
        <v>174</v>
      </c>
      <c r="E8" s="96">
        <v>437000</v>
      </c>
      <c r="F8" s="99">
        <f t="shared" si="0"/>
        <v>695</v>
      </c>
      <c r="G8" s="96">
        <f t="shared" si="0"/>
        <v>303715000</v>
      </c>
      <c r="H8" s="99">
        <v>521</v>
      </c>
      <c r="I8" s="96">
        <v>227677000</v>
      </c>
      <c r="J8" s="99">
        <f>$D8*'DIA-INCH'!$C8</f>
        <v>174</v>
      </c>
      <c r="K8" s="96">
        <f t="shared" si="1"/>
        <v>76038000</v>
      </c>
      <c r="L8" s="99">
        <f t="shared" si="2"/>
        <v>695</v>
      </c>
      <c r="M8" s="97">
        <f t="shared" si="2"/>
        <v>303715000</v>
      </c>
      <c r="P8" s="187"/>
    </row>
    <row r="9" spans="1:16" ht="27.9" hidden="1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6">
        <f t="shared" si="0"/>
        <v>0</v>
      </c>
      <c r="H9" s="99">
        <v>0</v>
      </c>
      <c r="I9" s="96">
        <v>0</v>
      </c>
      <c r="J9" s="99">
        <f>$D9*'DIA-INCH'!$C9</f>
        <v>0</v>
      </c>
      <c r="K9" s="96">
        <f t="shared" si="1"/>
        <v>0</v>
      </c>
      <c r="L9" s="99">
        <f t="shared" si="2"/>
        <v>0</v>
      </c>
      <c r="M9" s="97">
        <f t="shared" si="2"/>
        <v>0</v>
      </c>
      <c r="P9" s="187"/>
    </row>
    <row r="10" spans="1:16" ht="27.9" customHeight="1" x14ac:dyDescent="0.4">
      <c r="A10" s="94" t="s">
        <v>180</v>
      </c>
      <c r="B10" s="38" t="s">
        <v>189</v>
      </c>
      <c r="C10" s="38" t="s">
        <v>185</v>
      </c>
      <c r="D10" s="95">
        <v>115</v>
      </c>
      <c r="E10" s="96">
        <v>437000</v>
      </c>
      <c r="F10" s="99">
        <f t="shared" si="0"/>
        <v>298.5</v>
      </c>
      <c r="G10" s="96">
        <f t="shared" si="0"/>
        <v>130444500</v>
      </c>
      <c r="H10" s="99">
        <v>126</v>
      </c>
      <c r="I10" s="96">
        <v>55062000</v>
      </c>
      <c r="J10" s="99">
        <f>$D10*'DIA-INCH'!$C10</f>
        <v>172.5</v>
      </c>
      <c r="K10" s="96">
        <f t="shared" si="1"/>
        <v>75382500</v>
      </c>
      <c r="L10" s="99">
        <f t="shared" si="2"/>
        <v>298.5</v>
      </c>
      <c r="M10" s="97">
        <f t="shared" si="2"/>
        <v>130444500</v>
      </c>
      <c r="P10" s="187"/>
    </row>
    <row r="11" spans="1:16" ht="27.9" customHeight="1" x14ac:dyDescent="0.4">
      <c r="A11" s="94" t="s">
        <v>180</v>
      </c>
      <c r="B11" s="38" t="s">
        <v>190</v>
      </c>
      <c r="C11" s="38" t="s">
        <v>185</v>
      </c>
      <c r="D11" s="95">
        <v>61</v>
      </c>
      <c r="E11" s="96">
        <v>437000</v>
      </c>
      <c r="F11" s="99">
        <f t="shared" si="0"/>
        <v>658</v>
      </c>
      <c r="G11" s="96">
        <f t="shared" si="0"/>
        <v>287546000</v>
      </c>
      <c r="H11" s="99">
        <v>536</v>
      </c>
      <c r="I11" s="96">
        <v>234232000</v>
      </c>
      <c r="J11" s="99">
        <f>$D11*'DIA-INCH'!$C11</f>
        <v>122</v>
      </c>
      <c r="K11" s="96">
        <f t="shared" si="1"/>
        <v>53314000</v>
      </c>
      <c r="L11" s="99">
        <f t="shared" si="2"/>
        <v>658</v>
      </c>
      <c r="M11" s="97">
        <f t="shared" si="2"/>
        <v>287546000</v>
      </c>
      <c r="P11" s="187"/>
    </row>
    <row r="12" spans="1:16" ht="27.9" customHeight="1" x14ac:dyDescent="0.4">
      <c r="A12" s="94" t="s">
        <v>183</v>
      </c>
      <c r="B12" s="38" t="s">
        <v>191</v>
      </c>
      <c r="C12" s="38" t="s">
        <v>182</v>
      </c>
      <c r="D12" s="95">
        <v>110</v>
      </c>
      <c r="E12" s="96">
        <v>437000</v>
      </c>
      <c r="F12" s="99">
        <f t="shared" si="0"/>
        <v>537.5</v>
      </c>
      <c r="G12" s="96">
        <f t="shared" si="0"/>
        <v>234887500</v>
      </c>
      <c r="H12" s="99">
        <v>262.5</v>
      </c>
      <c r="I12" s="96">
        <v>114712500</v>
      </c>
      <c r="J12" s="99">
        <f>$D12*'DIA-INCH'!$C12</f>
        <v>275</v>
      </c>
      <c r="K12" s="96">
        <f t="shared" si="1"/>
        <v>120175000</v>
      </c>
      <c r="L12" s="99">
        <f t="shared" si="2"/>
        <v>537.5</v>
      </c>
      <c r="M12" s="97">
        <f t="shared" si="2"/>
        <v>234887500</v>
      </c>
      <c r="P12" s="187"/>
    </row>
    <row r="13" spans="1:16" ht="27.9" customHeight="1" x14ac:dyDescent="0.4">
      <c r="A13" s="94" t="s">
        <v>180</v>
      </c>
      <c r="B13" s="38" t="s">
        <v>192</v>
      </c>
      <c r="C13" s="38" t="s">
        <v>182</v>
      </c>
      <c r="D13" s="95">
        <v>26</v>
      </c>
      <c r="E13" s="96">
        <v>437000</v>
      </c>
      <c r="F13" s="99">
        <f t="shared" si="0"/>
        <v>441</v>
      </c>
      <c r="G13" s="96">
        <f t="shared" si="0"/>
        <v>192717000</v>
      </c>
      <c r="H13" s="99">
        <v>363</v>
      </c>
      <c r="I13" s="96">
        <v>158631000</v>
      </c>
      <c r="J13" s="99">
        <f>$D13*'DIA-INCH'!$C13</f>
        <v>78</v>
      </c>
      <c r="K13" s="96">
        <f t="shared" si="1"/>
        <v>34086000</v>
      </c>
      <c r="L13" s="99">
        <f t="shared" si="2"/>
        <v>441</v>
      </c>
      <c r="M13" s="97">
        <f t="shared" si="2"/>
        <v>192717000</v>
      </c>
      <c r="P13" s="187"/>
    </row>
    <row r="14" spans="1:16" ht="27.9" customHeight="1" x14ac:dyDescent="0.4">
      <c r="A14" s="94" t="s">
        <v>193</v>
      </c>
      <c r="B14" s="38" t="s">
        <v>194</v>
      </c>
      <c r="C14" s="38" t="s">
        <v>182</v>
      </c>
      <c r="D14" s="95">
        <v>97</v>
      </c>
      <c r="E14" s="96">
        <v>437000</v>
      </c>
      <c r="F14" s="99">
        <f t="shared" si="0"/>
        <v>968</v>
      </c>
      <c r="G14" s="96">
        <f t="shared" si="0"/>
        <v>423016000</v>
      </c>
      <c r="H14" s="99">
        <v>580</v>
      </c>
      <c r="I14" s="96">
        <v>253460000</v>
      </c>
      <c r="J14" s="99">
        <f>$D14*'DIA-INCH'!$C14</f>
        <v>388</v>
      </c>
      <c r="K14" s="96">
        <f t="shared" si="1"/>
        <v>169556000</v>
      </c>
      <c r="L14" s="99">
        <f t="shared" si="2"/>
        <v>968</v>
      </c>
      <c r="M14" s="97">
        <f t="shared" si="2"/>
        <v>423016000</v>
      </c>
      <c r="P14" s="187"/>
    </row>
    <row r="15" spans="1:16" ht="27.9" hidden="1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6">
        <f t="shared" si="0"/>
        <v>0</v>
      </c>
      <c r="H15" s="99">
        <v>0</v>
      </c>
      <c r="I15" s="96">
        <v>0</v>
      </c>
      <c r="J15" s="99">
        <f>$D15*'DIA-INCH'!$C15</f>
        <v>0</v>
      </c>
      <c r="K15" s="96">
        <f t="shared" si="1"/>
        <v>0</v>
      </c>
      <c r="L15" s="99">
        <f t="shared" si="2"/>
        <v>0</v>
      </c>
      <c r="M15" s="97">
        <f t="shared" si="2"/>
        <v>0</v>
      </c>
      <c r="P15" s="187"/>
    </row>
    <row r="16" spans="1:16" ht="27.9" customHeight="1" x14ac:dyDescent="0.4">
      <c r="A16" s="94" t="s">
        <v>183</v>
      </c>
      <c r="B16" s="38" t="s">
        <v>196</v>
      </c>
      <c r="C16" s="38" t="s">
        <v>182</v>
      </c>
      <c r="D16" s="95">
        <v>138</v>
      </c>
      <c r="E16" s="96">
        <v>437000</v>
      </c>
      <c r="F16" s="99">
        <f t="shared" si="0"/>
        <v>2230</v>
      </c>
      <c r="G16" s="96">
        <f t="shared" si="0"/>
        <v>974510000</v>
      </c>
      <c r="H16" s="99">
        <v>1540</v>
      </c>
      <c r="I16" s="96">
        <v>672980000</v>
      </c>
      <c r="J16" s="99">
        <f>$D16*'DIA-INCH'!$C16</f>
        <v>690</v>
      </c>
      <c r="K16" s="96">
        <f t="shared" si="1"/>
        <v>301530000</v>
      </c>
      <c r="L16" s="99">
        <f t="shared" si="2"/>
        <v>2230</v>
      </c>
      <c r="M16" s="97">
        <f t="shared" si="2"/>
        <v>974510000</v>
      </c>
      <c r="P16" s="187"/>
    </row>
    <row r="17" spans="1:16" ht="27.9" customHeight="1" x14ac:dyDescent="0.4">
      <c r="A17" s="94" t="s">
        <v>183</v>
      </c>
      <c r="B17" s="38" t="s">
        <v>197</v>
      </c>
      <c r="C17" s="38" t="s">
        <v>182</v>
      </c>
      <c r="D17" s="95">
        <v>6</v>
      </c>
      <c r="E17" s="96">
        <v>437000</v>
      </c>
      <c r="F17" s="99">
        <f t="shared" si="0"/>
        <v>138</v>
      </c>
      <c r="G17" s="96">
        <f t="shared" si="0"/>
        <v>60306000</v>
      </c>
      <c r="H17" s="99">
        <v>102</v>
      </c>
      <c r="I17" s="96">
        <v>44574000</v>
      </c>
      <c r="J17" s="99">
        <f>$D17*'DIA-INCH'!$C17</f>
        <v>36</v>
      </c>
      <c r="K17" s="96">
        <f t="shared" si="1"/>
        <v>15732000</v>
      </c>
      <c r="L17" s="99">
        <f t="shared" si="2"/>
        <v>138</v>
      </c>
      <c r="M17" s="97">
        <f t="shared" si="2"/>
        <v>60306000</v>
      </c>
      <c r="P17" s="187"/>
    </row>
    <row r="18" spans="1:16" ht="27.9" hidden="1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6">
        <f t="shared" si="0"/>
        <v>0</v>
      </c>
      <c r="H18" s="99">
        <v>0</v>
      </c>
      <c r="I18" s="96">
        <v>0</v>
      </c>
      <c r="J18" s="99">
        <f>$D18*'DIA-INCH'!$C18</f>
        <v>0</v>
      </c>
      <c r="K18" s="96">
        <f t="shared" si="1"/>
        <v>0</v>
      </c>
      <c r="L18" s="99">
        <f t="shared" si="2"/>
        <v>0</v>
      </c>
      <c r="M18" s="97">
        <f t="shared" si="2"/>
        <v>0</v>
      </c>
      <c r="P18" s="187"/>
    </row>
    <row r="19" spans="1:16" ht="27.9" customHeight="1" x14ac:dyDescent="0.4">
      <c r="A19" s="94" t="s">
        <v>183</v>
      </c>
      <c r="B19" s="38" t="s">
        <v>199</v>
      </c>
      <c r="C19" s="38" t="s">
        <v>182</v>
      </c>
      <c r="D19" s="95">
        <v>19</v>
      </c>
      <c r="E19" s="96">
        <v>437000</v>
      </c>
      <c r="F19" s="99">
        <f t="shared" si="0"/>
        <v>744</v>
      </c>
      <c r="G19" s="96">
        <f t="shared" si="0"/>
        <v>325128000</v>
      </c>
      <c r="H19" s="99">
        <v>592</v>
      </c>
      <c r="I19" s="96">
        <v>258704000</v>
      </c>
      <c r="J19" s="99">
        <f>$D19*'DIA-INCH'!$C19</f>
        <v>152</v>
      </c>
      <c r="K19" s="96">
        <f t="shared" si="1"/>
        <v>66424000</v>
      </c>
      <c r="L19" s="99">
        <f t="shared" si="2"/>
        <v>744</v>
      </c>
      <c r="M19" s="97">
        <f t="shared" si="2"/>
        <v>325128000</v>
      </c>
      <c r="P19" s="187"/>
    </row>
    <row r="20" spans="1:16" ht="27.9" hidden="1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6">
        <f t="shared" si="0"/>
        <v>0</v>
      </c>
      <c r="H20" s="99">
        <v>0</v>
      </c>
      <c r="I20" s="96">
        <v>0</v>
      </c>
      <c r="J20" s="99">
        <f>$D20*'DIA-INCH'!$C20</f>
        <v>0</v>
      </c>
      <c r="K20" s="96">
        <f t="shared" si="1"/>
        <v>0</v>
      </c>
      <c r="L20" s="99">
        <f t="shared" si="2"/>
        <v>0</v>
      </c>
      <c r="M20" s="97">
        <f t="shared" si="2"/>
        <v>0</v>
      </c>
      <c r="P20" s="187"/>
    </row>
    <row r="21" spans="1:16" ht="27.9" customHeight="1" x14ac:dyDescent="0.4">
      <c r="A21" s="94" t="s">
        <v>180</v>
      </c>
      <c r="B21" s="38" t="s">
        <v>201</v>
      </c>
      <c r="C21" s="38" t="s">
        <v>202</v>
      </c>
      <c r="D21" s="95">
        <v>16</v>
      </c>
      <c r="E21" s="96">
        <v>437000</v>
      </c>
      <c r="F21" s="99">
        <f t="shared" si="0"/>
        <v>890</v>
      </c>
      <c r="G21" s="96">
        <f t="shared" si="0"/>
        <v>388930000</v>
      </c>
      <c r="H21" s="99">
        <v>730</v>
      </c>
      <c r="I21" s="96">
        <v>319010000</v>
      </c>
      <c r="J21" s="99">
        <f>$D21*'DIA-INCH'!$C21</f>
        <v>160</v>
      </c>
      <c r="K21" s="96">
        <f t="shared" si="1"/>
        <v>69920000</v>
      </c>
      <c r="L21" s="99">
        <f t="shared" si="2"/>
        <v>890</v>
      </c>
      <c r="M21" s="97">
        <f t="shared" si="2"/>
        <v>388930000</v>
      </c>
      <c r="P21" s="187"/>
    </row>
    <row r="22" spans="1:16" ht="27.9" customHeight="1" x14ac:dyDescent="0.4">
      <c r="A22" s="94" t="s">
        <v>183</v>
      </c>
      <c r="B22" s="38" t="s">
        <v>203</v>
      </c>
      <c r="C22" s="38" t="s">
        <v>204</v>
      </c>
      <c r="D22" s="95">
        <v>27</v>
      </c>
      <c r="E22" s="96">
        <v>437000</v>
      </c>
      <c r="F22" s="99">
        <f t="shared" si="0"/>
        <v>1836</v>
      </c>
      <c r="G22" s="96">
        <f t="shared" si="0"/>
        <v>802332000</v>
      </c>
      <c r="H22" s="99">
        <v>1512</v>
      </c>
      <c r="I22" s="96">
        <v>660744000</v>
      </c>
      <c r="J22" s="99">
        <f>$D22*'DIA-INCH'!$C22</f>
        <v>324</v>
      </c>
      <c r="K22" s="96">
        <f t="shared" si="1"/>
        <v>141588000</v>
      </c>
      <c r="L22" s="99">
        <f t="shared" si="2"/>
        <v>1836</v>
      </c>
      <c r="M22" s="97">
        <f t="shared" si="2"/>
        <v>802332000</v>
      </c>
      <c r="N22" s="187">
        <f>+E23/$E$31</f>
        <v>4.9942857142857147</v>
      </c>
      <c r="P22" s="187"/>
    </row>
    <row r="23" spans="1:16" ht="27.9" hidden="1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6">
        <f t="shared" si="0"/>
        <v>0</v>
      </c>
      <c r="H23" s="99">
        <v>0</v>
      </c>
      <c r="I23" s="96">
        <v>0</v>
      </c>
      <c r="J23" s="99">
        <f>$D23*'DIA-INCH'!$C23</f>
        <v>0</v>
      </c>
      <c r="K23" s="96">
        <f t="shared" si="1"/>
        <v>0</v>
      </c>
      <c r="L23" s="99">
        <f t="shared" si="2"/>
        <v>0</v>
      </c>
      <c r="M23" s="97">
        <f t="shared" si="2"/>
        <v>0</v>
      </c>
    </row>
    <row r="24" spans="1:16" ht="27.9" hidden="1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6">
        <f t="shared" si="0"/>
        <v>0</v>
      </c>
      <c r="H24" s="99">
        <v>0</v>
      </c>
      <c r="I24" s="96">
        <v>0</v>
      </c>
      <c r="J24" s="99">
        <f>$D24*'DIA-INCH'!$C24</f>
        <v>0</v>
      </c>
      <c r="K24" s="96">
        <f t="shared" si="1"/>
        <v>0</v>
      </c>
      <c r="L24" s="99">
        <f t="shared" si="2"/>
        <v>0</v>
      </c>
      <c r="M24" s="97">
        <f t="shared" si="2"/>
        <v>0</v>
      </c>
    </row>
    <row r="25" spans="1:16" ht="27.9" hidden="1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6">
        <f t="shared" si="0"/>
        <v>0</v>
      </c>
      <c r="H25" s="99">
        <v>0</v>
      </c>
      <c r="I25" s="96">
        <v>0</v>
      </c>
      <c r="J25" s="99">
        <f>$D25*'DIA-INCH'!$C25</f>
        <v>0</v>
      </c>
      <c r="K25" s="96">
        <f t="shared" si="1"/>
        <v>0</v>
      </c>
      <c r="L25" s="99">
        <f t="shared" si="2"/>
        <v>0</v>
      </c>
      <c r="M25" s="97">
        <f t="shared" si="2"/>
        <v>0</v>
      </c>
    </row>
    <row r="26" spans="1:16" ht="27.9" hidden="1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6">
        <f t="shared" si="0"/>
        <v>0</v>
      </c>
      <c r="H26" s="99">
        <v>0</v>
      </c>
      <c r="I26" s="96">
        <v>0</v>
      </c>
      <c r="J26" s="99">
        <f>$D26*'DIA-INCH'!$C26</f>
        <v>0</v>
      </c>
      <c r="K26" s="96">
        <f t="shared" si="1"/>
        <v>0</v>
      </c>
      <c r="L26" s="99">
        <f t="shared" si="2"/>
        <v>0</v>
      </c>
      <c r="M26" s="97">
        <f t="shared" si="2"/>
        <v>0</v>
      </c>
    </row>
    <row r="27" spans="1:16" ht="27.9" hidden="1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6">
        <f t="shared" si="0"/>
        <v>0</v>
      </c>
      <c r="H27" s="99">
        <v>0</v>
      </c>
      <c r="I27" s="96">
        <v>0</v>
      </c>
      <c r="J27" s="99">
        <f>$D27*'DIA-INCH'!$C27</f>
        <v>0</v>
      </c>
      <c r="K27" s="96">
        <f t="shared" si="1"/>
        <v>0</v>
      </c>
      <c r="L27" s="99">
        <f t="shared" si="2"/>
        <v>0</v>
      </c>
      <c r="M27" s="97">
        <f t="shared" si="2"/>
        <v>0</v>
      </c>
    </row>
    <row r="28" spans="1:16" ht="27.9" hidden="1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6">
        <f t="shared" si="0"/>
        <v>0</v>
      </c>
      <c r="H28" s="94">
        <v>0</v>
      </c>
      <c r="I28" s="96">
        <v>0</v>
      </c>
      <c r="J28" s="97">
        <f>D28</f>
        <v>0</v>
      </c>
      <c r="K28" s="96">
        <f>$J28*$E28</f>
        <v>0</v>
      </c>
      <c r="L28" s="97">
        <f t="shared" si="2"/>
        <v>0</v>
      </c>
      <c r="M28" s="97">
        <f t="shared" si="2"/>
        <v>0</v>
      </c>
    </row>
    <row r="29" spans="1:16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6">
        <f t="shared" si="0"/>
        <v>0</v>
      </c>
      <c r="H29" s="94">
        <v>0</v>
      </c>
      <c r="I29" s="96">
        <v>0</v>
      </c>
      <c r="J29" s="97">
        <f t="shared" ref="J29:J50" si="3">D29</f>
        <v>0</v>
      </c>
      <c r="K29" s="96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6">
        <f t="shared" si="0"/>
        <v>0</v>
      </c>
      <c r="H30" s="94">
        <v>0</v>
      </c>
      <c r="I30" s="96">
        <v>0</v>
      </c>
      <c r="J30" s="97">
        <f t="shared" si="3"/>
        <v>0</v>
      </c>
      <c r="K30" s="96">
        <f t="shared" si="4"/>
        <v>0</v>
      </c>
      <c r="L30" s="97">
        <f t="shared" si="2"/>
        <v>0</v>
      </c>
      <c r="M30" s="97">
        <f t="shared" si="2"/>
        <v>0</v>
      </c>
    </row>
    <row r="31" spans="1:16" ht="27.9" customHeight="1" x14ac:dyDescent="0.4">
      <c r="A31" s="94" t="s">
        <v>216</v>
      </c>
      <c r="B31" s="38" t="s">
        <v>187</v>
      </c>
      <c r="C31" s="38" t="s">
        <v>217</v>
      </c>
      <c r="D31" s="95">
        <v>48</v>
      </c>
      <c r="E31" s="96">
        <v>87500</v>
      </c>
      <c r="F31" s="97">
        <f t="shared" si="0"/>
        <v>122</v>
      </c>
      <c r="G31" s="96">
        <f t="shared" si="0"/>
        <v>10675000</v>
      </c>
      <c r="H31" s="94">
        <v>74</v>
      </c>
      <c r="I31" s="96">
        <v>6475000</v>
      </c>
      <c r="J31" s="97">
        <f t="shared" si="3"/>
        <v>48</v>
      </c>
      <c r="K31" s="96">
        <f t="shared" si="4"/>
        <v>4200000</v>
      </c>
      <c r="L31" s="97">
        <f t="shared" si="2"/>
        <v>122</v>
      </c>
      <c r="M31" s="97">
        <f t="shared" si="2"/>
        <v>10675000</v>
      </c>
      <c r="N31" s="187">
        <f>+$E$31/E31</f>
        <v>1</v>
      </c>
      <c r="O31" s="356">
        <f t="shared" ref="O31:O43" si="5">+N31*J31</f>
        <v>48</v>
      </c>
    </row>
    <row r="32" spans="1:16" ht="27.9" customHeight="1" x14ac:dyDescent="0.4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109375</v>
      </c>
      <c r="F32" s="97">
        <f t="shared" si="0"/>
        <v>84</v>
      </c>
      <c r="G32" s="96">
        <f t="shared" si="0"/>
        <v>9187500</v>
      </c>
      <c r="H32" s="94">
        <v>84</v>
      </c>
      <c r="I32" s="96">
        <v>9187500</v>
      </c>
      <c r="J32" s="97">
        <f t="shared" si="3"/>
        <v>0</v>
      </c>
      <c r="K32" s="96">
        <f t="shared" si="4"/>
        <v>0</v>
      </c>
      <c r="L32" s="97">
        <f t="shared" si="2"/>
        <v>84</v>
      </c>
      <c r="M32" s="97">
        <f t="shared" si="2"/>
        <v>9187500</v>
      </c>
      <c r="N32" s="187">
        <f>+E32/$E$31</f>
        <v>1.25</v>
      </c>
      <c r="O32" s="356">
        <f t="shared" si="5"/>
        <v>0</v>
      </c>
    </row>
    <row r="33" spans="1:15" ht="27.9" customHeight="1" x14ac:dyDescent="0.4">
      <c r="A33" s="94" t="s">
        <v>216</v>
      </c>
      <c r="B33" s="38" t="s">
        <v>189</v>
      </c>
      <c r="C33" s="38" t="s">
        <v>124</v>
      </c>
      <c r="D33" s="95">
        <v>18</v>
      </c>
      <c r="E33" s="96">
        <f>$E$31*'DIA-INCH'!$C10</f>
        <v>131250</v>
      </c>
      <c r="F33" s="97">
        <f t="shared" si="0"/>
        <v>20</v>
      </c>
      <c r="G33" s="96">
        <f t="shared" si="0"/>
        <v>2625000</v>
      </c>
      <c r="H33" s="94">
        <v>2</v>
      </c>
      <c r="I33" s="96">
        <v>262500</v>
      </c>
      <c r="J33" s="97">
        <f t="shared" si="3"/>
        <v>18</v>
      </c>
      <c r="K33" s="96">
        <f t="shared" si="4"/>
        <v>2362500</v>
      </c>
      <c r="L33" s="97">
        <f t="shared" si="2"/>
        <v>20</v>
      </c>
      <c r="M33" s="97">
        <f t="shared" si="2"/>
        <v>2625000</v>
      </c>
      <c r="N33" s="187">
        <f>+E33/$E$31</f>
        <v>1.5</v>
      </c>
      <c r="O33" s="356">
        <f t="shared" si="5"/>
        <v>27</v>
      </c>
    </row>
    <row r="34" spans="1:15" ht="27.9" customHeight="1" x14ac:dyDescent="0.4">
      <c r="A34" s="94" t="s">
        <v>216</v>
      </c>
      <c r="B34" s="38" t="s">
        <v>190</v>
      </c>
      <c r="C34" s="38" t="s">
        <v>213</v>
      </c>
      <c r="D34" s="95">
        <v>3</v>
      </c>
      <c r="E34" s="96">
        <f>$E$31*'DIA-INCH'!$C11</f>
        <v>175000</v>
      </c>
      <c r="F34" s="97">
        <f t="shared" si="0"/>
        <v>11</v>
      </c>
      <c r="G34" s="96">
        <f t="shared" si="0"/>
        <v>1925000</v>
      </c>
      <c r="H34" s="94">
        <v>8</v>
      </c>
      <c r="I34" s="96">
        <v>1400000</v>
      </c>
      <c r="J34" s="97">
        <f t="shared" si="3"/>
        <v>3</v>
      </c>
      <c r="K34" s="96">
        <f t="shared" si="4"/>
        <v>525000</v>
      </c>
      <c r="L34" s="97">
        <f t="shared" si="2"/>
        <v>11</v>
      </c>
      <c r="M34" s="97">
        <f t="shared" si="2"/>
        <v>1925000</v>
      </c>
      <c r="N34" s="187">
        <f>+E34/$E$31</f>
        <v>2</v>
      </c>
      <c r="O34" s="356">
        <f t="shared" si="5"/>
        <v>6</v>
      </c>
    </row>
    <row r="35" spans="1:15" ht="27.9" customHeight="1" x14ac:dyDescent="0.4">
      <c r="A35" s="94" t="s">
        <v>212</v>
      </c>
      <c r="B35" s="38" t="s">
        <v>191</v>
      </c>
      <c r="C35" s="38" t="s">
        <v>124</v>
      </c>
      <c r="D35" s="95">
        <v>2</v>
      </c>
      <c r="E35" s="96">
        <f>$E$31*'DIA-INCH'!$C12</f>
        <v>218750</v>
      </c>
      <c r="F35" s="97">
        <f t="shared" si="0"/>
        <v>9</v>
      </c>
      <c r="G35" s="96">
        <f t="shared" si="0"/>
        <v>1968750</v>
      </c>
      <c r="H35" s="94">
        <v>7</v>
      </c>
      <c r="I35" s="96">
        <v>1531250</v>
      </c>
      <c r="J35" s="97">
        <f t="shared" si="3"/>
        <v>2</v>
      </c>
      <c r="K35" s="96">
        <f t="shared" si="4"/>
        <v>437500</v>
      </c>
      <c r="L35" s="97">
        <f t="shared" si="2"/>
        <v>9</v>
      </c>
      <c r="M35" s="97">
        <f t="shared" si="2"/>
        <v>1968750</v>
      </c>
      <c r="N35" s="187">
        <f>+E35/$E$31</f>
        <v>2.5</v>
      </c>
      <c r="O35" s="356">
        <f t="shared" si="5"/>
        <v>5</v>
      </c>
    </row>
    <row r="36" spans="1:15" ht="27.9" customHeight="1" x14ac:dyDescent="0.4">
      <c r="A36" s="94" t="s">
        <v>212</v>
      </c>
      <c r="B36" s="38" t="s">
        <v>192</v>
      </c>
      <c r="C36" s="38" t="s">
        <v>213</v>
      </c>
      <c r="D36" s="95">
        <v>2</v>
      </c>
      <c r="E36" s="96">
        <f>$E$31*'DIA-INCH'!$C13</f>
        <v>262500</v>
      </c>
      <c r="F36" s="97">
        <f t="shared" si="0"/>
        <v>3</v>
      </c>
      <c r="G36" s="96">
        <f t="shared" si="0"/>
        <v>787500</v>
      </c>
      <c r="H36" s="94">
        <v>1</v>
      </c>
      <c r="I36" s="96">
        <v>262500</v>
      </c>
      <c r="J36" s="97">
        <f t="shared" si="3"/>
        <v>2</v>
      </c>
      <c r="K36" s="96">
        <f t="shared" si="4"/>
        <v>525000</v>
      </c>
      <c r="L36" s="97">
        <f t="shared" si="2"/>
        <v>3</v>
      </c>
      <c r="M36" s="97">
        <f t="shared" si="2"/>
        <v>787500</v>
      </c>
      <c r="N36" s="187">
        <f>+E36/$E$31</f>
        <v>3</v>
      </c>
      <c r="O36" s="356">
        <f t="shared" si="5"/>
        <v>6</v>
      </c>
    </row>
    <row r="37" spans="1:15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0</v>
      </c>
      <c r="G37" s="96">
        <f t="shared" si="0"/>
        <v>0</v>
      </c>
      <c r="H37" s="94">
        <v>0</v>
      </c>
      <c r="I37" s="96">
        <v>0</v>
      </c>
      <c r="J37" s="97">
        <f t="shared" si="3"/>
        <v>0</v>
      </c>
      <c r="K37" s="96">
        <f t="shared" si="4"/>
        <v>0</v>
      </c>
      <c r="L37" s="97">
        <f t="shared" si="2"/>
        <v>0</v>
      </c>
      <c r="M37" s="97">
        <f t="shared" si="2"/>
        <v>0</v>
      </c>
      <c r="O37" s="356">
        <f t="shared" si="5"/>
        <v>0</v>
      </c>
    </row>
    <row r="38" spans="1:15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6">
        <f t="shared" si="0"/>
        <v>0</v>
      </c>
      <c r="H38" s="94">
        <v>0</v>
      </c>
      <c r="I38" s="96">
        <v>0</v>
      </c>
      <c r="J38" s="97">
        <f t="shared" si="3"/>
        <v>0</v>
      </c>
      <c r="K38" s="96">
        <f t="shared" si="4"/>
        <v>0</v>
      </c>
      <c r="L38" s="97">
        <f t="shared" si="2"/>
        <v>0</v>
      </c>
      <c r="M38" s="97">
        <f t="shared" si="2"/>
        <v>0</v>
      </c>
      <c r="O38" s="356">
        <f t="shared" si="5"/>
        <v>0</v>
      </c>
    </row>
    <row r="39" spans="1:15" ht="27.9" customHeight="1" x14ac:dyDescent="0.4">
      <c r="A39" s="94" t="s">
        <v>212</v>
      </c>
      <c r="B39" s="38" t="s">
        <v>196</v>
      </c>
      <c r="C39" s="38" t="s">
        <v>219</v>
      </c>
      <c r="D39" s="95">
        <v>10</v>
      </c>
      <c r="E39" s="96">
        <f>$E$31*'DIA-INCH'!$C16</f>
        <v>437500</v>
      </c>
      <c r="F39" s="97">
        <f t="shared" si="0"/>
        <v>24</v>
      </c>
      <c r="G39" s="96">
        <f t="shared" si="0"/>
        <v>10500000</v>
      </c>
      <c r="H39" s="94">
        <v>14</v>
      </c>
      <c r="I39" s="96">
        <v>6125000</v>
      </c>
      <c r="J39" s="97">
        <f t="shared" si="3"/>
        <v>10</v>
      </c>
      <c r="K39" s="96">
        <f t="shared" si="4"/>
        <v>4375000</v>
      </c>
      <c r="L39" s="97">
        <f t="shared" si="2"/>
        <v>24</v>
      </c>
      <c r="M39" s="97">
        <f t="shared" si="2"/>
        <v>10500000</v>
      </c>
      <c r="N39" s="187">
        <f>+E39/$E$31</f>
        <v>5</v>
      </c>
      <c r="O39" s="356">
        <f t="shared" si="5"/>
        <v>50</v>
      </c>
    </row>
    <row r="40" spans="1:15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0</v>
      </c>
      <c r="G40" s="96">
        <f t="shared" si="0"/>
        <v>0</v>
      </c>
      <c r="H40" s="94">
        <v>0</v>
      </c>
      <c r="I40" s="96">
        <v>0</v>
      </c>
      <c r="J40" s="97">
        <f t="shared" si="3"/>
        <v>0</v>
      </c>
      <c r="K40" s="96">
        <f t="shared" si="4"/>
        <v>0</v>
      </c>
      <c r="L40" s="97">
        <f t="shared" si="2"/>
        <v>0</v>
      </c>
      <c r="M40" s="97">
        <f t="shared" si="2"/>
        <v>0</v>
      </c>
      <c r="O40" s="356">
        <f t="shared" si="5"/>
        <v>0</v>
      </c>
    </row>
    <row r="41" spans="1:15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6">
        <f t="shared" si="0"/>
        <v>0</v>
      </c>
      <c r="H41" s="94">
        <v>0</v>
      </c>
      <c r="I41" s="96">
        <v>0</v>
      </c>
      <c r="J41" s="97">
        <f t="shared" si="3"/>
        <v>0</v>
      </c>
      <c r="K41" s="96">
        <f t="shared" si="4"/>
        <v>0</v>
      </c>
      <c r="L41" s="97">
        <f t="shared" si="2"/>
        <v>0</v>
      </c>
      <c r="M41" s="97">
        <f t="shared" si="2"/>
        <v>0</v>
      </c>
      <c r="O41" s="356">
        <f t="shared" si="5"/>
        <v>0</v>
      </c>
    </row>
    <row r="42" spans="1:15" ht="27.9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1</v>
      </c>
      <c r="G42" s="96">
        <f t="shared" si="0"/>
        <v>700000</v>
      </c>
      <c r="H42" s="94">
        <v>1</v>
      </c>
      <c r="I42" s="96">
        <v>700000</v>
      </c>
      <c r="J42" s="97">
        <f t="shared" si="3"/>
        <v>0</v>
      </c>
      <c r="K42" s="96">
        <f t="shared" si="4"/>
        <v>0</v>
      </c>
      <c r="L42" s="97">
        <f t="shared" si="2"/>
        <v>1</v>
      </c>
      <c r="M42" s="97">
        <f t="shared" si="2"/>
        <v>700000</v>
      </c>
      <c r="N42" s="187">
        <f>+E42/$E$31</f>
        <v>8</v>
      </c>
      <c r="O42" s="356">
        <f t="shared" si="5"/>
        <v>0</v>
      </c>
    </row>
    <row r="43" spans="1:15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6">
        <f t="shared" si="0"/>
        <v>0</v>
      </c>
      <c r="H43" s="94">
        <v>0</v>
      </c>
      <c r="I43" s="96">
        <v>0</v>
      </c>
      <c r="J43" s="97">
        <f t="shared" si="3"/>
        <v>0</v>
      </c>
      <c r="K43" s="96">
        <f t="shared" si="4"/>
        <v>0</v>
      </c>
      <c r="L43" s="97">
        <f t="shared" si="2"/>
        <v>0</v>
      </c>
      <c r="M43" s="97">
        <f t="shared" si="2"/>
        <v>0</v>
      </c>
      <c r="O43" s="356">
        <f t="shared" si="5"/>
        <v>0</v>
      </c>
    </row>
    <row r="44" spans="1:15" ht="27.9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1</v>
      </c>
      <c r="G44" s="96">
        <f t="shared" si="0"/>
        <v>875000</v>
      </c>
      <c r="H44" s="94">
        <v>1</v>
      </c>
      <c r="I44" s="96">
        <v>875000</v>
      </c>
      <c r="J44" s="97">
        <f t="shared" si="3"/>
        <v>0</v>
      </c>
      <c r="K44" s="96">
        <f t="shared" si="4"/>
        <v>0</v>
      </c>
      <c r="L44" s="97">
        <f t="shared" si="2"/>
        <v>1</v>
      </c>
      <c r="M44" s="97">
        <f t="shared" si="2"/>
        <v>875000</v>
      </c>
      <c r="N44" s="187">
        <f>+E44/$E$31</f>
        <v>10</v>
      </c>
      <c r="O44" s="356">
        <f>+N44*J44</f>
        <v>0</v>
      </c>
    </row>
    <row r="45" spans="1:15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6">
        <f t="shared" si="0"/>
        <v>0</v>
      </c>
      <c r="H45" s="94">
        <v>0</v>
      </c>
      <c r="I45" s="96">
        <v>0</v>
      </c>
      <c r="J45" s="97">
        <f t="shared" si="3"/>
        <v>0</v>
      </c>
      <c r="K45" s="96">
        <f t="shared" si="4"/>
        <v>0</v>
      </c>
      <c r="L45" s="97">
        <f t="shared" si="2"/>
        <v>0</v>
      </c>
      <c r="M45" s="97">
        <f t="shared" si="2"/>
        <v>0</v>
      </c>
    </row>
    <row r="46" spans="1:15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6">
        <f t="shared" si="0"/>
        <v>0</v>
      </c>
      <c r="H46" s="94">
        <v>0</v>
      </c>
      <c r="I46" s="96">
        <v>0</v>
      </c>
      <c r="J46" s="97">
        <f t="shared" si="3"/>
        <v>0</v>
      </c>
      <c r="K46" s="96">
        <f t="shared" si="4"/>
        <v>0</v>
      </c>
      <c r="L46" s="97">
        <f t="shared" si="2"/>
        <v>0</v>
      </c>
      <c r="M46" s="97">
        <f t="shared" si="2"/>
        <v>0</v>
      </c>
    </row>
    <row r="47" spans="1:15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6">
        <f t="shared" si="0"/>
        <v>0</v>
      </c>
      <c r="H47" s="94">
        <v>0</v>
      </c>
      <c r="I47" s="96">
        <v>0</v>
      </c>
      <c r="J47" s="97">
        <f t="shared" si="3"/>
        <v>0</v>
      </c>
      <c r="K47" s="96">
        <f t="shared" si="4"/>
        <v>0</v>
      </c>
      <c r="L47" s="97">
        <f t="shared" si="2"/>
        <v>0</v>
      </c>
      <c r="M47" s="97">
        <f t="shared" si="2"/>
        <v>0</v>
      </c>
    </row>
    <row r="48" spans="1:15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6">
        <f t="shared" si="0"/>
        <v>0</v>
      </c>
      <c r="H48" s="94">
        <v>0</v>
      </c>
      <c r="I48" s="96">
        <v>0</v>
      </c>
      <c r="J48" s="97">
        <f t="shared" si="3"/>
        <v>0</v>
      </c>
      <c r="K48" s="96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6">
        <f t="shared" si="0"/>
        <v>0</v>
      </c>
      <c r="H49" s="94">
        <v>0</v>
      </c>
      <c r="I49" s="96">
        <v>0</v>
      </c>
      <c r="J49" s="97">
        <f t="shared" si="3"/>
        <v>0</v>
      </c>
      <c r="K49" s="96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6">
        <f t="shared" si="0"/>
        <v>0</v>
      </c>
      <c r="H50" s="94">
        <v>0</v>
      </c>
      <c r="I50" s="96">
        <v>0</v>
      </c>
      <c r="J50" s="97">
        <f t="shared" si="3"/>
        <v>0</v>
      </c>
      <c r="K50" s="96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306" t="s">
        <v>220</v>
      </c>
      <c r="B51" s="307"/>
      <c r="C51" s="307"/>
      <c r="D51" s="307"/>
      <c r="E51" s="308"/>
      <c r="F51" s="152">
        <f>SUM(F5:F50)</f>
        <v>9711</v>
      </c>
      <c r="G51" s="251">
        <f t="shared" ref="G51:M51" si="6">SUM(G5:G50)</f>
        <v>4162775750</v>
      </c>
      <c r="H51" s="152">
        <f t="shared" si="6"/>
        <v>7056.5</v>
      </c>
      <c r="I51" s="251">
        <f t="shared" si="6"/>
        <v>3026605250</v>
      </c>
      <c r="J51" s="152">
        <f t="shared" si="6"/>
        <v>2654.5</v>
      </c>
      <c r="K51" s="251">
        <f t="shared" si="6"/>
        <v>1136170500</v>
      </c>
      <c r="L51" s="152">
        <f t="shared" si="6"/>
        <v>9711</v>
      </c>
      <c r="M51" s="98">
        <f t="shared" si="6"/>
        <v>4162775750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6" fitToHeight="0" orientation="landscape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11"/>
  <sheetViews>
    <sheetView view="pageBreakPreview" topLeftCell="F89" zoomScale="60" zoomScaleNormal="70" workbookViewId="0">
      <selection activeCell="AN122" sqref="AN6:AN122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9" bestFit="1" customWidth="1"/>
    <col min="42" max="42" width="18.19921875" style="141" bestFit="1" customWidth="1"/>
  </cols>
  <sheetData>
    <row r="1" spans="1:42" ht="32.1" customHeight="1" x14ac:dyDescent="0.4">
      <c r="A1" s="318" t="s">
        <v>738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20"/>
      <c r="AH1" s="327" t="s">
        <v>221</v>
      </c>
      <c r="AI1" s="328"/>
      <c r="AJ1" s="328"/>
      <c r="AK1" s="328"/>
      <c r="AL1" s="329"/>
      <c r="AM1" s="330" t="str">
        <f>'용역청구서 표지'!$B$7</f>
        <v>P4 Ph4 GAS 1공구 마감공사</v>
      </c>
      <c r="AN1" s="331"/>
      <c r="AO1" s="331"/>
      <c r="AP1" s="332"/>
    </row>
    <row r="2" spans="1:42" ht="32.1" customHeight="1" x14ac:dyDescent="0.4">
      <c r="A2" s="321"/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3"/>
      <c r="AH2" s="327" t="s">
        <v>222</v>
      </c>
      <c r="AI2" s="328"/>
      <c r="AJ2" s="328"/>
      <c r="AK2" s="328"/>
      <c r="AL2" s="329"/>
      <c r="AM2" s="330" t="s">
        <v>302</v>
      </c>
      <c r="AN2" s="331"/>
      <c r="AO2" s="331"/>
      <c r="AP2" s="332"/>
    </row>
    <row r="3" spans="1:42" ht="32.1" customHeight="1" x14ac:dyDescent="0.4">
      <c r="A3" s="324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6"/>
      <c r="AH3" s="327" t="s">
        <v>223</v>
      </c>
      <c r="AI3" s="328"/>
      <c r="AJ3" s="328"/>
      <c r="AK3" s="328"/>
      <c r="AL3" s="329"/>
      <c r="AM3" s="330" t="str">
        <f>'용역청구서 표지'!$C$8</f>
        <v>S25-004</v>
      </c>
      <c r="AN3" s="331"/>
      <c r="AO3" s="331"/>
      <c r="AP3" s="332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89">
        <v>1</v>
      </c>
      <c r="J5" s="188">
        <v>2</v>
      </c>
      <c r="K5" s="188">
        <v>3</v>
      </c>
      <c r="L5" s="188">
        <v>4</v>
      </c>
      <c r="M5" s="188">
        <v>5</v>
      </c>
      <c r="N5" s="188">
        <v>6</v>
      </c>
      <c r="O5" s="110">
        <v>7</v>
      </c>
      <c r="P5" s="111">
        <v>8</v>
      </c>
      <c r="Q5" s="188">
        <v>9</v>
      </c>
      <c r="R5" s="188">
        <v>10</v>
      </c>
      <c r="S5" s="188">
        <v>11</v>
      </c>
      <c r="T5" s="188">
        <v>12</v>
      </c>
      <c r="U5" s="188">
        <v>13</v>
      </c>
      <c r="V5" s="110">
        <v>14</v>
      </c>
      <c r="W5" s="111">
        <v>15</v>
      </c>
      <c r="X5" s="111">
        <v>16</v>
      </c>
      <c r="Y5" s="111">
        <v>17</v>
      </c>
      <c r="Z5" s="111">
        <v>18</v>
      </c>
      <c r="AA5" s="188">
        <v>19</v>
      </c>
      <c r="AB5" s="188">
        <v>20</v>
      </c>
      <c r="AC5" s="110">
        <v>21</v>
      </c>
      <c r="AD5" s="111">
        <v>22</v>
      </c>
      <c r="AE5" s="188">
        <v>23</v>
      </c>
      <c r="AF5" s="188">
        <v>24</v>
      </c>
      <c r="AG5" s="188">
        <v>25</v>
      </c>
      <c r="AH5" s="188">
        <v>26</v>
      </c>
      <c r="AI5" s="188">
        <v>27</v>
      </c>
      <c r="AJ5" s="188">
        <v>28</v>
      </c>
      <c r="AK5" s="188">
        <v>29</v>
      </c>
      <c r="AL5" s="109">
        <v>30</v>
      </c>
      <c r="AM5" s="112"/>
      <c r="AN5" s="113" t="s">
        <v>232</v>
      </c>
      <c r="AO5" s="106" t="s">
        <v>233</v>
      </c>
      <c r="AP5" s="114" t="s">
        <v>234</v>
      </c>
    </row>
    <row r="6" spans="1:42" ht="24.9" customHeight="1" x14ac:dyDescent="0.4">
      <c r="A6" s="115">
        <v>1</v>
      </c>
      <c r="B6" s="116" t="s">
        <v>309</v>
      </c>
      <c r="C6" s="117" t="s">
        <v>310</v>
      </c>
      <c r="D6" s="117" t="s">
        <v>739</v>
      </c>
      <c r="E6" s="117" t="s">
        <v>311</v>
      </c>
      <c r="F6" s="118" t="s">
        <v>312</v>
      </c>
      <c r="G6" s="119" t="s">
        <v>309</v>
      </c>
      <c r="H6" s="120" t="s">
        <v>313</v>
      </c>
      <c r="I6" s="121">
        <v>2</v>
      </c>
      <c r="J6" s="121">
        <v>2</v>
      </c>
      <c r="K6" s="121">
        <v>2</v>
      </c>
      <c r="L6" s="121"/>
      <c r="M6" s="121"/>
      <c r="N6" s="121">
        <v>2</v>
      </c>
      <c r="O6" s="121">
        <v>2</v>
      </c>
      <c r="P6" s="121">
        <v>2</v>
      </c>
      <c r="Q6" s="121">
        <v>2</v>
      </c>
      <c r="R6" s="121">
        <v>2</v>
      </c>
      <c r="S6" s="121"/>
      <c r="T6" s="121"/>
      <c r="U6" s="121">
        <v>2</v>
      </c>
      <c r="V6" s="121">
        <v>2</v>
      </c>
      <c r="W6" s="121">
        <v>2</v>
      </c>
      <c r="X6" s="121">
        <v>1.5</v>
      </c>
      <c r="Y6" s="121">
        <v>2</v>
      </c>
      <c r="Z6" s="121"/>
      <c r="AA6" s="121"/>
      <c r="AB6" s="121">
        <v>2</v>
      </c>
      <c r="AC6" s="121">
        <v>2</v>
      </c>
      <c r="AD6" s="121">
        <v>2</v>
      </c>
      <c r="AE6" s="121">
        <v>2</v>
      </c>
      <c r="AF6" s="121">
        <v>1.75</v>
      </c>
      <c r="AG6" s="121"/>
      <c r="AH6" s="121"/>
      <c r="AI6" s="121">
        <v>2</v>
      </c>
      <c r="AJ6" s="121">
        <v>2</v>
      </c>
      <c r="AK6" s="121">
        <v>2</v>
      </c>
      <c r="AL6" s="121"/>
      <c r="AM6" s="121"/>
      <c r="AN6" s="122">
        <f>SUM(I6:AM6)</f>
        <v>41.25</v>
      </c>
      <c r="AO6" s="118">
        <v>230000</v>
      </c>
      <c r="AP6" s="123">
        <f>AN6*AO6</f>
        <v>9487500</v>
      </c>
    </row>
    <row r="7" spans="1:42" ht="24.9" customHeight="1" x14ac:dyDescent="0.4">
      <c r="A7" s="124">
        <v>2</v>
      </c>
      <c r="B7" s="116" t="s">
        <v>314</v>
      </c>
      <c r="C7" s="117" t="s">
        <v>315</v>
      </c>
      <c r="D7" s="125" t="s">
        <v>316</v>
      </c>
      <c r="E7" s="117" t="s">
        <v>317</v>
      </c>
      <c r="F7" s="126" t="s">
        <v>318</v>
      </c>
      <c r="G7" s="119" t="s">
        <v>314</v>
      </c>
      <c r="H7" s="120" t="s">
        <v>319</v>
      </c>
      <c r="I7" s="121"/>
      <c r="J7" s="121">
        <v>1.5</v>
      </c>
      <c r="K7" s="121">
        <v>1.5</v>
      </c>
      <c r="L7" s="121"/>
      <c r="M7" s="121"/>
      <c r="N7" s="121"/>
      <c r="O7" s="121"/>
      <c r="P7" s="121">
        <v>1.5</v>
      </c>
      <c r="Q7" s="121">
        <v>1.5</v>
      </c>
      <c r="R7" s="121">
        <v>1.5</v>
      </c>
      <c r="S7" s="121">
        <v>1</v>
      </c>
      <c r="T7" s="121"/>
      <c r="U7" s="121">
        <v>1.5</v>
      </c>
      <c r="V7" s="121">
        <v>1.5</v>
      </c>
      <c r="W7" s="121"/>
      <c r="X7" s="121">
        <v>1.5</v>
      </c>
      <c r="Y7" s="121">
        <v>1.5</v>
      </c>
      <c r="Z7" s="121"/>
      <c r="AA7" s="121"/>
      <c r="AB7" s="121">
        <v>1.5</v>
      </c>
      <c r="AC7" s="121"/>
      <c r="AD7" s="121">
        <v>1</v>
      </c>
      <c r="AE7" s="121">
        <v>1.5</v>
      </c>
      <c r="AF7" s="121">
        <v>0.5</v>
      </c>
      <c r="AG7" s="121"/>
      <c r="AH7" s="121"/>
      <c r="AI7" s="121">
        <v>1.5</v>
      </c>
      <c r="AJ7" s="121">
        <v>1.5</v>
      </c>
      <c r="AK7" s="121">
        <v>1.5</v>
      </c>
      <c r="AL7" s="121"/>
      <c r="AM7" s="121"/>
      <c r="AN7" s="122">
        <f t="shared" ref="AN7:AN11" si="0">SUM(I7:AM7)</f>
        <v>23.5</v>
      </c>
      <c r="AO7" s="118">
        <v>150000</v>
      </c>
      <c r="AP7" s="123">
        <f t="shared" ref="AP7:AP11" si="1">AN7*AO7</f>
        <v>3525000</v>
      </c>
    </row>
    <row r="8" spans="1:42" ht="24.9" customHeight="1" x14ac:dyDescent="0.4">
      <c r="A8" s="124">
        <v>3</v>
      </c>
      <c r="B8" s="116" t="s">
        <v>799</v>
      </c>
      <c r="C8" s="117" t="s">
        <v>800</v>
      </c>
      <c r="D8" s="127" t="s">
        <v>316</v>
      </c>
      <c r="E8" s="117" t="s">
        <v>801</v>
      </c>
      <c r="F8" s="126" t="s">
        <v>640</v>
      </c>
      <c r="G8" s="119" t="s">
        <v>799</v>
      </c>
      <c r="H8" s="120" t="s">
        <v>802</v>
      </c>
      <c r="I8" s="121">
        <v>0.75</v>
      </c>
      <c r="J8" s="121">
        <v>1</v>
      </c>
      <c r="K8" s="121">
        <v>1.5</v>
      </c>
      <c r="L8" s="121">
        <v>1</v>
      </c>
      <c r="M8" s="121"/>
      <c r="N8" s="121"/>
      <c r="O8" s="121"/>
      <c r="P8" s="121">
        <v>1.5</v>
      </c>
      <c r="Q8" s="121">
        <v>1.25</v>
      </c>
      <c r="R8" s="121">
        <v>1.5</v>
      </c>
      <c r="S8" s="121">
        <v>0.375</v>
      </c>
      <c r="T8" s="121"/>
      <c r="U8" s="121"/>
      <c r="V8" s="121">
        <v>1.5</v>
      </c>
      <c r="W8" s="121">
        <v>1</v>
      </c>
      <c r="X8" s="121">
        <v>1.5</v>
      </c>
      <c r="Y8" s="121">
        <v>1.5</v>
      </c>
      <c r="Z8" s="121"/>
      <c r="AA8" s="121"/>
      <c r="AB8" s="121"/>
      <c r="AC8" s="121">
        <v>1.5</v>
      </c>
      <c r="AD8" s="121">
        <v>1</v>
      </c>
      <c r="AE8" s="121"/>
      <c r="AF8" s="121">
        <v>1.5</v>
      </c>
      <c r="AG8" s="121"/>
      <c r="AH8" s="121"/>
      <c r="AI8" s="121">
        <v>1.5</v>
      </c>
      <c r="AJ8" s="121">
        <v>1.5</v>
      </c>
      <c r="AK8" s="121">
        <v>1.5</v>
      </c>
      <c r="AL8" s="121">
        <v>1.5</v>
      </c>
      <c r="AM8" s="121"/>
      <c r="AN8" s="122">
        <f t="shared" si="0"/>
        <v>24.375</v>
      </c>
      <c r="AO8" s="118">
        <v>150000</v>
      </c>
      <c r="AP8" s="123">
        <f t="shared" si="1"/>
        <v>3656250</v>
      </c>
    </row>
    <row r="9" spans="1:42" ht="24.9" customHeight="1" x14ac:dyDescent="0.4">
      <c r="A9" s="124">
        <v>4</v>
      </c>
      <c r="B9" s="116" t="s">
        <v>320</v>
      </c>
      <c r="C9" s="117" t="s">
        <v>321</v>
      </c>
      <c r="D9" s="125" t="s">
        <v>316</v>
      </c>
      <c r="E9" s="117" t="s">
        <v>322</v>
      </c>
      <c r="F9" s="126" t="s">
        <v>323</v>
      </c>
      <c r="G9" s="119" t="s">
        <v>320</v>
      </c>
      <c r="H9" s="120" t="s">
        <v>324</v>
      </c>
      <c r="I9" s="121">
        <v>1.5</v>
      </c>
      <c r="J9" s="121">
        <v>1.5</v>
      </c>
      <c r="K9" s="121">
        <v>1.5</v>
      </c>
      <c r="L9" s="121">
        <v>1</v>
      </c>
      <c r="M9" s="121"/>
      <c r="N9" s="121">
        <v>1.5</v>
      </c>
      <c r="O9" s="121">
        <v>1.5</v>
      </c>
      <c r="P9" s="121">
        <v>1.5</v>
      </c>
      <c r="Q9" s="121">
        <v>1.5</v>
      </c>
      <c r="R9" s="121">
        <v>1.5</v>
      </c>
      <c r="S9" s="121">
        <v>0.5</v>
      </c>
      <c r="T9" s="121"/>
      <c r="U9" s="121">
        <v>1.5</v>
      </c>
      <c r="V9" s="121">
        <v>1.5</v>
      </c>
      <c r="W9" s="121">
        <v>1</v>
      </c>
      <c r="X9" s="121">
        <v>1.5</v>
      </c>
      <c r="Y9" s="121">
        <v>1.5</v>
      </c>
      <c r="Z9" s="121">
        <v>0.5</v>
      </c>
      <c r="AA9" s="121"/>
      <c r="AB9" s="121">
        <v>1.5</v>
      </c>
      <c r="AC9" s="121">
        <v>1.5</v>
      </c>
      <c r="AD9" s="121">
        <v>1</v>
      </c>
      <c r="AE9" s="121">
        <v>1.5</v>
      </c>
      <c r="AF9" s="121">
        <v>1.5</v>
      </c>
      <c r="AG9" s="121"/>
      <c r="AH9" s="121"/>
      <c r="AI9" s="121">
        <v>1.5</v>
      </c>
      <c r="AJ9" s="121">
        <v>1.5</v>
      </c>
      <c r="AK9" s="121">
        <v>1.5</v>
      </c>
      <c r="AL9" s="121">
        <v>1.5</v>
      </c>
      <c r="AM9" s="121"/>
      <c r="AN9" s="122">
        <f t="shared" si="0"/>
        <v>34</v>
      </c>
      <c r="AO9" s="118">
        <v>160000</v>
      </c>
      <c r="AP9" s="123">
        <f t="shared" si="1"/>
        <v>5440000</v>
      </c>
    </row>
    <row r="10" spans="1:42" ht="24.9" customHeight="1" x14ac:dyDescent="0.4">
      <c r="A10" s="124">
        <v>5</v>
      </c>
      <c r="B10" s="116" t="s">
        <v>325</v>
      </c>
      <c r="C10" s="117" t="s">
        <v>326</v>
      </c>
      <c r="D10" s="125" t="s">
        <v>316</v>
      </c>
      <c r="E10" s="117" t="s">
        <v>327</v>
      </c>
      <c r="F10" s="126" t="s">
        <v>328</v>
      </c>
      <c r="G10" s="119" t="s">
        <v>325</v>
      </c>
      <c r="H10" s="120" t="s">
        <v>329</v>
      </c>
      <c r="I10" s="121">
        <v>1.5</v>
      </c>
      <c r="J10" s="121">
        <v>1.5</v>
      </c>
      <c r="K10" s="121">
        <v>1.5</v>
      </c>
      <c r="L10" s="121">
        <v>1</v>
      </c>
      <c r="M10" s="121"/>
      <c r="N10" s="121">
        <v>1.5</v>
      </c>
      <c r="O10" s="121">
        <v>1.5</v>
      </c>
      <c r="P10" s="121">
        <v>1.5</v>
      </c>
      <c r="Q10" s="121">
        <v>1.5</v>
      </c>
      <c r="R10" s="121">
        <v>1.5</v>
      </c>
      <c r="S10" s="121">
        <v>1</v>
      </c>
      <c r="T10" s="121"/>
      <c r="U10" s="121">
        <v>1.5</v>
      </c>
      <c r="V10" s="121">
        <v>1.5</v>
      </c>
      <c r="W10" s="121">
        <v>1</v>
      </c>
      <c r="X10" s="121">
        <v>1.5</v>
      </c>
      <c r="Y10" s="121">
        <v>1.5</v>
      </c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2">
        <f t="shared" si="0"/>
        <v>21</v>
      </c>
      <c r="AO10" s="118">
        <v>160000</v>
      </c>
      <c r="AP10" s="123">
        <f t="shared" si="1"/>
        <v>3360000</v>
      </c>
    </row>
    <row r="11" spans="1:42" ht="24.9" customHeight="1" x14ac:dyDescent="0.4">
      <c r="A11" s="124">
        <v>6</v>
      </c>
      <c r="B11" s="116" t="s">
        <v>330</v>
      </c>
      <c r="C11" s="117" t="s">
        <v>331</v>
      </c>
      <c r="D11" s="127" t="s">
        <v>739</v>
      </c>
      <c r="E11" s="117" t="s">
        <v>332</v>
      </c>
      <c r="F11" s="126" t="s">
        <v>318</v>
      </c>
      <c r="G11" s="119" t="s">
        <v>330</v>
      </c>
      <c r="H11" s="120" t="s">
        <v>333</v>
      </c>
      <c r="I11" s="121">
        <v>1.5</v>
      </c>
      <c r="J11" s="121">
        <v>1.5</v>
      </c>
      <c r="K11" s="121">
        <v>1.5</v>
      </c>
      <c r="L11" s="121">
        <v>1</v>
      </c>
      <c r="M11" s="121"/>
      <c r="N11" s="121">
        <v>1.5</v>
      </c>
      <c r="O11" s="121">
        <v>1.5</v>
      </c>
      <c r="P11" s="121">
        <v>1.5</v>
      </c>
      <c r="Q11" s="121">
        <v>1.5</v>
      </c>
      <c r="R11" s="121">
        <v>1.5</v>
      </c>
      <c r="S11" s="121">
        <v>1</v>
      </c>
      <c r="T11" s="121"/>
      <c r="U11" s="121">
        <v>1.5</v>
      </c>
      <c r="V11" s="121">
        <v>1.5</v>
      </c>
      <c r="W11" s="121">
        <v>1</v>
      </c>
      <c r="X11" s="121">
        <v>1.5</v>
      </c>
      <c r="Y11" s="121">
        <v>1.5</v>
      </c>
      <c r="Z11" s="121">
        <v>1</v>
      </c>
      <c r="AA11" s="121"/>
      <c r="AB11" s="121">
        <v>1.5</v>
      </c>
      <c r="AC11" s="121">
        <v>1.5</v>
      </c>
      <c r="AD11" s="121">
        <v>1</v>
      </c>
      <c r="AE11" s="121">
        <v>1.5</v>
      </c>
      <c r="AF11" s="121">
        <v>1.5</v>
      </c>
      <c r="AG11" s="121">
        <v>0.5</v>
      </c>
      <c r="AH11" s="121"/>
      <c r="AI11" s="121">
        <v>1.5</v>
      </c>
      <c r="AJ11" s="121">
        <v>1.5</v>
      </c>
      <c r="AK11" s="121">
        <v>1.5</v>
      </c>
      <c r="AL11" s="121">
        <v>1.75</v>
      </c>
      <c r="AM11" s="121"/>
      <c r="AN11" s="122">
        <f t="shared" si="0"/>
        <v>35.75</v>
      </c>
      <c r="AO11" s="118">
        <v>230000</v>
      </c>
      <c r="AP11" s="123">
        <f t="shared" si="1"/>
        <v>8222500</v>
      </c>
    </row>
    <row r="12" spans="1:42" ht="24.9" customHeight="1" x14ac:dyDescent="0.4">
      <c r="A12" s="124">
        <v>7</v>
      </c>
      <c r="B12" s="116" t="s">
        <v>740</v>
      </c>
      <c r="C12" s="117" t="s">
        <v>741</v>
      </c>
      <c r="D12" s="125" t="s">
        <v>316</v>
      </c>
      <c r="E12" s="117" t="s">
        <v>742</v>
      </c>
      <c r="F12" s="126" t="s">
        <v>323</v>
      </c>
      <c r="G12" s="119" t="s">
        <v>740</v>
      </c>
      <c r="H12" s="120" t="s">
        <v>743</v>
      </c>
      <c r="I12" s="121"/>
      <c r="J12" s="121"/>
      <c r="K12" s="121"/>
      <c r="L12" s="121"/>
      <c r="M12" s="121"/>
      <c r="N12" s="121"/>
      <c r="O12" s="121">
        <v>0.75</v>
      </c>
      <c r="P12" s="121"/>
      <c r="Q12" s="121">
        <v>1</v>
      </c>
      <c r="R12" s="121">
        <v>1.5</v>
      </c>
      <c r="S12" s="121"/>
      <c r="T12" s="121"/>
      <c r="U12" s="121">
        <v>1.25</v>
      </c>
      <c r="V12" s="121">
        <v>1.5</v>
      </c>
      <c r="W12" s="121">
        <v>1</v>
      </c>
      <c r="X12" s="121">
        <v>1.5</v>
      </c>
      <c r="Y12" s="121">
        <v>1.5</v>
      </c>
      <c r="Z12" s="121"/>
      <c r="AA12" s="121"/>
      <c r="AB12" s="121">
        <v>1.5</v>
      </c>
      <c r="AC12" s="121"/>
      <c r="AD12" s="121">
        <v>1</v>
      </c>
      <c r="AE12" s="121">
        <v>1.5</v>
      </c>
      <c r="AF12" s="121">
        <v>0.375</v>
      </c>
      <c r="AG12" s="121">
        <v>1</v>
      </c>
      <c r="AH12" s="121"/>
      <c r="AI12" s="121">
        <v>1.5</v>
      </c>
      <c r="AJ12" s="121">
        <v>1.5</v>
      </c>
      <c r="AK12" s="121"/>
      <c r="AL12" s="121"/>
      <c r="AM12" s="121"/>
      <c r="AN12" s="122">
        <f t="shared" ref="AN12:AN122" si="2">SUM(I12:AM12)</f>
        <v>18.375</v>
      </c>
      <c r="AO12" s="118">
        <v>160000</v>
      </c>
      <c r="AP12" s="123">
        <f t="shared" ref="AP12:AP122" si="3">AN12*AO12</f>
        <v>2940000</v>
      </c>
    </row>
    <row r="13" spans="1:42" ht="24.9" customHeight="1" x14ac:dyDescent="0.4">
      <c r="A13" s="124">
        <v>8</v>
      </c>
      <c r="B13" s="116" t="s">
        <v>336</v>
      </c>
      <c r="C13" s="117" t="s">
        <v>337</v>
      </c>
      <c r="D13" s="127" t="s">
        <v>334</v>
      </c>
      <c r="E13" s="117" t="s">
        <v>338</v>
      </c>
      <c r="F13" s="126" t="s">
        <v>312</v>
      </c>
      <c r="G13" s="119" t="s">
        <v>336</v>
      </c>
      <c r="H13" s="120" t="s">
        <v>339</v>
      </c>
      <c r="I13" s="121">
        <v>2</v>
      </c>
      <c r="J13" s="121"/>
      <c r="K13" s="121">
        <v>2</v>
      </c>
      <c r="L13" s="121"/>
      <c r="M13" s="121"/>
      <c r="N13" s="121">
        <v>2</v>
      </c>
      <c r="O13" s="121">
        <v>2</v>
      </c>
      <c r="P13" s="121">
        <v>2</v>
      </c>
      <c r="Q13" s="121">
        <v>2</v>
      </c>
      <c r="R13" s="121">
        <v>2</v>
      </c>
      <c r="S13" s="121"/>
      <c r="T13" s="121"/>
      <c r="U13" s="121">
        <v>2</v>
      </c>
      <c r="V13" s="121"/>
      <c r="W13" s="121">
        <v>2</v>
      </c>
      <c r="X13" s="121">
        <v>2</v>
      </c>
      <c r="Y13" s="121">
        <v>2</v>
      </c>
      <c r="Z13" s="121"/>
      <c r="AA13" s="121"/>
      <c r="AB13" s="121">
        <v>2</v>
      </c>
      <c r="AC13" s="121">
        <v>2</v>
      </c>
      <c r="AD13" s="121">
        <v>2</v>
      </c>
      <c r="AE13" s="121">
        <v>2</v>
      </c>
      <c r="AF13" s="121">
        <v>2</v>
      </c>
      <c r="AG13" s="121"/>
      <c r="AH13" s="121"/>
      <c r="AI13" s="121">
        <v>2</v>
      </c>
      <c r="AJ13" s="121">
        <v>2</v>
      </c>
      <c r="AK13" s="121">
        <v>2</v>
      </c>
      <c r="AL13" s="121"/>
      <c r="AM13" s="121"/>
      <c r="AN13" s="122">
        <f t="shared" si="2"/>
        <v>38</v>
      </c>
      <c r="AO13" s="118">
        <v>240000</v>
      </c>
      <c r="AP13" s="123">
        <f t="shared" si="3"/>
        <v>9120000</v>
      </c>
    </row>
    <row r="14" spans="1:42" ht="24.9" customHeight="1" x14ac:dyDescent="0.4">
      <c r="A14" s="124">
        <v>9</v>
      </c>
      <c r="B14" s="116" t="s">
        <v>340</v>
      </c>
      <c r="C14" s="117" t="s">
        <v>341</v>
      </c>
      <c r="D14" s="127" t="s">
        <v>316</v>
      </c>
      <c r="E14" s="117" t="s">
        <v>342</v>
      </c>
      <c r="F14" s="126" t="s">
        <v>323</v>
      </c>
      <c r="G14" s="119" t="s">
        <v>340</v>
      </c>
      <c r="H14" s="120" t="s">
        <v>343</v>
      </c>
      <c r="I14" s="121">
        <v>1.5</v>
      </c>
      <c r="J14" s="121">
        <v>1.5</v>
      </c>
      <c r="K14" s="121">
        <v>1.5</v>
      </c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2">
        <f t="shared" si="2"/>
        <v>4.5</v>
      </c>
      <c r="AO14" s="118">
        <v>180000</v>
      </c>
      <c r="AP14" s="123">
        <f t="shared" si="3"/>
        <v>810000</v>
      </c>
    </row>
    <row r="15" spans="1:42" ht="24.9" customHeight="1" x14ac:dyDescent="0.4">
      <c r="A15" s="124">
        <v>10</v>
      </c>
      <c r="B15" s="116" t="s">
        <v>344</v>
      </c>
      <c r="C15" s="117" t="s">
        <v>345</v>
      </c>
      <c r="D15" s="127" t="s">
        <v>316</v>
      </c>
      <c r="E15" s="117" t="s">
        <v>346</v>
      </c>
      <c r="F15" s="126" t="s">
        <v>318</v>
      </c>
      <c r="G15" s="119" t="s">
        <v>344</v>
      </c>
      <c r="H15" s="120" t="s">
        <v>347</v>
      </c>
      <c r="I15" s="121">
        <v>1.5</v>
      </c>
      <c r="J15" s="121">
        <v>1.5</v>
      </c>
      <c r="K15" s="121">
        <v>1.5</v>
      </c>
      <c r="L15" s="121">
        <v>1</v>
      </c>
      <c r="M15" s="121"/>
      <c r="N15" s="121">
        <v>1.5</v>
      </c>
      <c r="O15" s="121">
        <v>1.5</v>
      </c>
      <c r="P15" s="121">
        <v>1.5</v>
      </c>
      <c r="Q15" s="121">
        <v>1.5</v>
      </c>
      <c r="R15" s="121">
        <v>1.5</v>
      </c>
      <c r="S15" s="121">
        <v>0.5</v>
      </c>
      <c r="T15" s="121"/>
      <c r="U15" s="121">
        <v>1.5</v>
      </c>
      <c r="V15" s="121">
        <v>1.5</v>
      </c>
      <c r="W15" s="121">
        <v>1</v>
      </c>
      <c r="X15" s="121">
        <v>1.5</v>
      </c>
      <c r="Y15" s="121">
        <v>1.5</v>
      </c>
      <c r="Z15" s="121">
        <v>1</v>
      </c>
      <c r="AA15" s="121"/>
      <c r="AB15" s="121">
        <v>1.5</v>
      </c>
      <c r="AC15" s="121">
        <v>1.5</v>
      </c>
      <c r="AD15" s="121">
        <v>1</v>
      </c>
      <c r="AE15" s="121">
        <v>1.5</v>
      </c>
      <c r="AF15" s="121">
        <v>1.5</v>
      </c>
      <c r="AG15" s="121">
        <v>1</v>
      </c>
      <c r="AH15" s="121"/>
      <c r="AI15" s="121">
        <v>1.5</v>
      </c>
      <c r="AJ15" s="121">
        <v>1.5</v>
      </c>
      <c r="AK15" s="121">
        <v>1.5</v>
      </c>
      <c r="AL15" s="121">
        <v>1.5</v>
      </c>
      <c r="AM15" s="121"/>
      <c r="AN15" s="122">
        <f t="shared" si="2"/>
        <v>35.5</v>
      </c>
      <c r="AO15" s="118">
        <v>190000</v>
      </c>
      <c r="AP15" s="123">
        <f t="shared" si="3"/>
        <v>6745000</v>
      </c>
    </row>
    <row r="16" spans="1:42" ht="24.9" customHeight="1" x14ac:dyDescent="0.4">
      <c r="A16" s="124">
        <v>11</v>
      </c>
      <c r="B16" s="116" t="s">
        <v>348</v>
      </c>
      <c r="C16" s="117" t="s">
        <v>349</v>
      </c>
      <c r="D16" s="125" t="s">
        <v>316</v>
      </c>
      <c r="E16" s="117" t="s">
        <v>350</v>
      </c>
      <c r="F16" s="126" t="s">
        <v>335</v>
      </c>
      <c r="G16" s="119" t="s">
        <v>348</v>
      </c>
      <c r="H16" s="120" t="s">
        <v>351</v>
      </c>
      <c r="I16" s="121">
        <v>2</v>
      </c>
      <c r="J16" s="121">
        <v>2</v>
      </c>
      <c r="K16" s="121">
        <v>2</v>
      </c>
      <c r="L16" s="121"/>
      <c r="M16" s="121"/>
      <c r="N16" s="121">
        <v>2</v>
      </c>
      <c r="O16" s="121">
        <v>2</v>
      </c>
      <c r="P16" s="121">
        <v>2</v>
      </c>
      <c r="Q16" s="121">
        <v>2</v>
      </c>
      <c r="R16" s="121">
        <v>2</v>
      </c>
      <c r="S16" s="121"/>
      <c r="T16" s="121"/>
      <c r="U16" s="121">
        <v>2</v>
      </c>
      <c r="V16" s="121">
        <v>2</v>
      </c>
      <c r="W16" s="121">
        <v>2</v>
      </c>
      <c r="X16" s="121">
        <v>2</v>
      </c>
      <c r="Y16" s="121">
        <v>2</v>
      </c>
      <c r="Z16" s="121"/>
      <c r="AA16" s="121"/>
      <c r="AB16" s="121">
        <v>2</v>
      </c>
      <c r="AC16" s="121">
        <v>2</v>
      </c>
      <c r="AD16" s="121">
        <v>2</v>
      </c>
      <c r="AE16" s="121">
        <v>2</v>
      </c>
      <c r="AF16" s="121">
        <v>2</v>
      </c>
      <c r="AG16" s="121"/>
      <c r="AH16" s="121"/>
      <c r="AI16" s="121">
        <v>2</v>
      </c>
      <c r="AJ16" s="121">
        <v>2</v>
      </c>
      <c r="AK16" s="121">
        <v>2</v>
      </c>
      <c r="AL16" s="121"/>
      <c r="AM16" s="121"/>
      <c r="AN16" s="122">
        <f t="shared" si="2"/>
        <v>42</v>
      </c>
      <c r="AO16" s="118">
        <v>140000</v>
      </c>
      <c r="AP16" s="123">
        <f t="shared" si="3"/>
        <v>5880000</v>
      </c>
    </row>
    <row r="17" spans="1:42" ht="24.9" customHeight="1" x14ac:dyDescent="0.4">
      <c r="A17" s="124">
        <v>12</v>
      </c>
      <c r="B17" s="116" t="s">
        <v>352</v>
      </c>
      <c r="C17" s="117" t="s">
        <v>353</v>
      </c>
      <c r="D17" s="125" t="s">
        <v>316</v>
      </c>
      <c r="E17" s="117" t="s">
        <v>354</v>
      </c>
      <c r="F17" s="126" t="s">
        <v>335</v>
      </c>
      <c r="G17" s="119" t="s">
        <v>352</v>
      </c>
      <c r="H17" s="120" t="s">
        <v>355</v>
      </c>
      <c r="I17" s="121">
        <v>1.5</v>
      </c>
      <c r="J17" s="121">
        <v>1.5</v>
      </c>
      <c r="K17" s="121">
        <v>1.5</v>
      </c>
      <c r="L17" s="121">
        <v>0.5</v>
      </c>
      <c r="M17" s="121"/>
      <c r="N17" s="121">
        <v>1.5</v>
      </c>
      <c r="O17" s="121">
        <v>1.5</v>
      </c>
      <c r="P17" s="121">
        <v>1.5</v>
      </c>
      <c r="Q17" s="121">
        <v>1.5</v>
      </c>
      <c r="R17" s="121">
        <v>1.5</v>
      </c>
      <c r="S17" s="121">
        <v>1</v>
      </c>
      <c r="T17" s="121"/>
      <c r="U17" s="121">
        <v>1.5</v>
      </c>
      <c r="V17" s="121">
        <v>1.5</v>
      </c>
      <c r="W17" s="121">
        <v>1</v>
      </c>
      <c r="X17" s="121">
        <v>1.5</v>
      </c>
      <c r="Y17" s="121">
        <v>1.5</v>
      </c>
      <c r="Z17" s="121">
        <v>1</v>
      </c>
      <c r="AA17" s="121"/>
      <c r="AB17" s="121">
        <v>1.5</v>
      </c>
      <c r="AC17" s="121">
        <v>1.5</v>
      </c>
      <c r="AD17" s="121">
        <v>1</v>
      </c>
      <c r="AE17" s="121">
        <v>1.5</v>
      </c>
      <c r="AF17" s="121">
        <v>1.5</v>
      </c>
      <c r="AG17" s="121"/>
      <c r="AH17" s="121"/>
      <c r="AI17" s="121">
        <v>1.5</v>
      </c>
      <c r="AJ17" s="121">
        <v>1.5</v>
      </c>
      <c r="AK17" s="121">
        <v>1.5</v>
      </c>
      <c r="AL17" s="121">
        <v>1.5</v>
      </c>
      <c r="AM17" s="121"/>
      <c r="AN17" s="122">
        <f t="shared" si="2"/>
        <v>34.5</v>
      </c>
      <c r="AO17" s="118">
        <v>150000</v>
      </c>
      <c r="AP17" s="123">
        <f t="shared" si="3"/>
        <v>5175000</v>
      </c>
    </row>
    <row r="18" spans="1:42" ht="24.9" customHeight="1" x14ac:dyDescent="0.4">
      <c r="A18" s="124">
        <v>13</v>
      </c>
      <c r="B18" s="116" t="s">
        <v>356</v>
      </c>
      <c r="C18" s="117" t="s">
        <v>357</v>
      </c>
      <c r="D18" s="127" t="s">
        <v>316</v>
      </c>
      <c r="E18" s="117" t="s">
        <v>358</v>
      </c>
      <c r="F18" s="126" t="s">
        <v>318</v>
      </c>
      <c r="G18" s="119" t="s">
        <v>356</v>
      </c>
      <c r="H18" s="120" t="s">
        <v>359</v>
      </c>
      <c r="I18" s="121">
        <v>1.5</v>
      </c>
      <c r="J18" s="121">
        <v>1.5</v>
      </c>
      <c r="K18" s="121">
        <v>1.5</v>
      </c>
      <c r="L18" s="121"/>
      <c r="M18" s="121"/>
      <c r="N18" s="121">
        <v>1.5</v>
      </c>
      <c r="O18" s="121"/>
      <c r="P18" s="121">
        <v>1.5</v>
      </c>
      <c r="Q18" s="121">
        <v>1.5</v>
      </c>
      <c r="R18" s="121">
        <v>1.5</v>
      </c>
      <c r="S18" s="121">
        <v>0.5</v>
      </c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2">
        <f t="shared" si="2"/>
        <v>11</v>
      </c>
      <c r="AO18" s="118">
        <v>170000</v>
      </c>
      <c r="AP18" s="123">
        <f t="shared" si="3"/>
        <v>1870000</v>
      </c>
    </row>
    <row r="19" spans="1:42" ht="24.9" customHeight="1" x14ac:dyDescent="0.4">
      <c r="A19" s="124">
        <v>14</v>
      </c>
      <c r="B19" s="116" t="s">
        <v>360</v>
      </c>
      <c r="C19" s="117" t="s">
        <v>361</v>
      </c>
      <c r="D19" s="125" t="s">
        <v>316</v>
      </c>
      <c r="E19" s="117" t="s">
        <v>362</v>
      </c>
      <c r="F19" s="126" t="s">
        <v>312</v>
      </c>
      <c r="G19" s="119" t="s">
        <v>360</v>
      </c>
      <c r="H19" s="120" t="s">
        <v>363</v>
      </c>
      <c r="I19" s="121">
        <v>2</v>
      </c>
      <c r="J19" s="121">
        <v>2</v>
      </c>
      <c r="K19" s="121">
        <v>2</v>
      </c>
      <c r="L19" s="121"/>
      <c r="M19" s="121"/>
      <c r="N19" s="121">
        <v>2</v>
      </c>
      <c r="O19" s="121">
        <v>2</v>
      </c>
      <c r="P19" s="121">
        <v>2</v>
      </c>
      <c r="Q19" s="121">
        <v>2</v>
      </c>
      <c r="R19" s="121">
        <v>2</v>
      </c>
      <c r="S19" s="121"/>
      <c r="T19" s="121"/>
      <c r="U19" s="121">
        <v>2</v>
      </c>
      <c r="V19" s="121">
        <v>2</v>
      </c>
      <c r="W19" s="121">
        <v>2</v>
      </c>
      <c r="X19" s="121">
        <v>2</v>
      </c>
      <c r="Y19" s="121">
        <v>2</v>
      </c>
      <c r="Z19" s="121"/>
      <c r="AA19" s="121"/>
      <c r="AB19" s="121">
        <v>2</v>
      </c>
      <c r="AC19" s="121">
        <v>2</v>
      </c>
      <c r="AD19" s="121">
        <v>2</v>
      </c>
      <c r="AE19" s="121">
        <v>2</v>
      </c>
      <c r="AF19" s="121">
        <v>2</v>
      </c>
      <c r="AG19" s="121"/>
      <c r="AH19" s="121"/>
      <c r="AI19" s="121">
        <v>2</v>
      </c>
      <c r="AJ19" s="121">
        <v>2</v>
      </c>
      <c r="AK19" s="121">
        <v>2</v>
      </c>
      <c r="AL19" s="121"/>
      <c r="AM19" s="121"/>
      <c r="AN19" s="122">
        <f t="shared" si="2"/>
        <v>42</v>
      </c>
      <c r="AO19" s="118">
        <v>160000</v>
      </c>
      <c r="AP19" s="123">
        <f t="shared" si="3"/>
        <v>6720000</v>
      </c>
    </row>
    <row r="20" spans="1:42" ht="24.9" customHeight="1" x14ac:dyDescent="0.4">
      <c r="A20" s="124">
        <v>15</v>
      </c>
      <c r="B20" s="116" t="s">
        <v>365</v>
      </c>
      <c r="C20" s="117" t="s">
        <v>366</v>
      </c>
      <c r="D20" s="127" t="s">
        <v>334</v>
      </c>
      <c r="E20" s="117" t="s">
        <v>367</v>
      </c>
      <c r="F20" s="126" t="s">
        <v>318</v>
      </c>
      <c r="G20" s="119" t="s">
        <v>365</v>
      </c>
      <c r="H20" s="120" t="s">
        <v>368</v>
      </c>
      <c r="I20" s="121">
        <v>2</v>
      </c>
      <c r="J20" s="121">
        <v>2</v>
      </c>
      <c r="K20" s="121">
        <v>2</v>
      </c>
      <c r="L20" s="121"/>
      <c r="M20" s="121"/>
      <c r="N20" s="121">
        <v>2</v>
      </c>
      <c r="O20" s="121">
        <v>2</v>
      </c>
      <c r="P20" s="121">
        <v>2</v>
      </c>
      <c r="Q20" s="121">
        <v>2</v>
      </c>
      <c r="R20" s="121">
        <v>2</v>
      </c>
      <c r="S20" s="121"/>
      <c r="T20" s="121"/>
      <c r="U20" s="121">
        <v>2</v>
      </c>
      <c r="V20" s="121">
        <v>2</v>
      </c>
      <c r="W20" s="121">
        <v>2</v>
      </c>
      <c r="X20" s="121">
        <v>2</v>
      </c>
      <c r="Y20" s="121">
        <v>2</v>
      </c>
      <c r="Z20" s="121"/>
      <c r="AA20" s="121"/>
      <c r="AB20" s="121">
        <v>2</v>
      </c>
      <c r="AC20" s="121">
        <v>2</v>
      </c>
      <c r="AD20" s="121">
        <v>2</v>
      </c>
      <c r="AE20" s="121">
        <v>2</v>
      </c>
      <c r="AF20" s="121">
        <v>2</v>
      </c>
      <c r="AG20" s="121"/>
      <c r="AH20" s="121"/>
      <c r="AI20" s="121">
        <v>2</v>
      </c>
      <c r="AJ20" s="121">
        <v>2</v>
      </c>
      <c r="AK20" s="121">
        <v>2</v>
      </c>
      <c r="AL20" s="121"/>
      <c r="AM20" s="121"/>
      <c r="AN20" s="122">
        <f t="shared" si="2"/>
        <v>42</v>
      </c>
      <c r="AO20" s="118">
        <v>240000</v>
      </c>
      <c r="AP20" s="123">
        <f t="shared" si="3"/>
        <v>10080000</v>
      </c>
    </row>
    <row r="21" spans="1:42" ht="24.9" customHeight="1" x14ac:dyDescent="0.4">
      <c r="A21" s="124">
        <v>16</v>
      </c>
      <c r="B21" s="116" t="s">
        <v>369</v>
      </c>
      <c r="C21" s="117" t="s">
        <v>370</v>
      </c>
      <c r="D21" s="127" t="s">
        <v>744</v>
      </c>
      <c r="E21" s="117" t="s">
        <v>371</v>
      </c>
      <c r="F21" s="126" t="s">
        <v>372</v>
      </c>
      <c r="G21" s="119" t="s">
        <v>369</v>
      </c>
      <c r="H21" s="120" t="s">
        <v>373</v>
      </c>
      <c r="I21" s="121">
        <v>1.5</v>
      </c>
      <c r="J21" s="121">
        <v>1.5</v>
      </c>
      <c r="K21" s="121">
        <v>1.5</v>
      </c>
      <c r="L21" s="121"/>
      <c r="M21" s="121"/>
      <c r="N21" s="121">
        <v>1.5</v>
      </c>
      <c r="O21" s="121">
        <v>1</v>
      </c>
      <c r="P21" s="121"/>
      <c r="Q21" s="121">
        <v>1.5</v>
      </c>
      <c r="R21" s="121">
        <v>1.5</v>
      </c>
      <c r="S21" s="121">
        <v>1</v>
      </c>
      <c r="T21" s="121"/>
      <c r="U21" s="121">
        <v>1.5</v>
      </c>
      <c r="V21" s="121">
        <v>1.5</v>
      </c>
      <c r="W21" s="121">
        <v>1</v>
      </c>
      <c r="X21" s="121">
        <v>1.5</v>
      </c>
      <c r="Y21" s="121">
        <v>1.5</v>
      </c>
      <c r="Z21" s="121"/>
      <c r="AA21" s="121"/>
      <c r="AB21" s="121">
        <v>1.5</v>
      </c>
      <c r="AC21" s="121">
        <v>1.5</v>
      </c>
      <c r="AD21" s="121">
        <v>1</v>
      </c>
      <c r="AE21" s="121">
        <v>1.5</v>
      </c>
      <c r="AF21" s="121">
        <v>1.5</v>
      </c>
      <c r="AG21" s="121">
        <v>1</v>
      </c>
      <c r="AH21" s="121"/>
      <c r="AI21" s="121">
        <v>1.5</v>
      </c>
      <c r="AJ21" s="121">
        <v>1.5</v>
      </c>
      <c r="AK21" s="121">
        <v>1.5</v>
      </c>
      <c r="AL21" s="121">
        <v>1.5</v>
      </c>
      <c r="AM21" s="121"/>
      <c r="AN21" s="122">
        <f t="shared" si="2"/>
        <v>32</v>
      </c>
      <c r="AO21" s="118">
        <v>210000</v>
      </c>
      <c r="AP21" s="123">
        <f t="shared" si="3"/>
        <v>6720000</v>
      </c>
    </row>
    <row r="22" spans="1:42" ht="24.9" customHeight="1" x14ac:dyDescent="0.4">
      <c r="A22" s="124">
        <v>17</v>
      </c>
      <c r="B22" s="116" t="s">
        <v>374</v>
      </c>
      <c r="C22" s="117" t="s">
        <v>375</v>
      </c>
      <c r="D22" s="127" t="s">
        <v>364</v>
      </c>
      <c r="E22" s="117" t="s">
        <v>376</v>
      </c>
      <c r="F22" s="126" t="s">
        <v>377</v>
      </c>
      <c r="G22" s="119" t="s">
        <v>374</v>
      </c>
      <c r="H22" s="120" t="s">
        <v>378</v>
      </c>
      <c r="I22" s="121">
        <v>2</v>
      </c>
      <c r="J22" s="121">
        <v>2</v>
      </c>
      <c r="K22" s="121">
        <v>2</v>
      </c>
      <c r="L22" s="121"/>
      <c r="M22" s="121"/>
      <c r="N22" s="121">
        <v>2</v>
      </c>
      <c r="O22" s="121">
        <v>2</v>
      </c>
      <c r="P22" s="121">
        <v>2</v>
      </c>
      <c r="Q22" s="121">
        <v>2</v>
      </c>
      <c r="R22" s="121">
        <v>2</v>
      </c>
      <c r="S22" s="121"/>
      <c r="T22" s="121"/>
      <c r="U22" s="121">
        <v>2</v>
      </c>
      <c r="V22" s="121">
        <v>2</v>
      </c>
      <c r="W22" s="121">
        <v>2</v>
      </c>
      <c r="X22" s="121">
        <v>2</v>
      </c>
      <c r="Y22" s="121">
        <v>2</v>
      </c>
      <c r="Z22" s="121"/>
      <c r="AA22" s="121"/>
      <c r="AB22" s="121">
        <v>2</v>
      </c>
      <c r="AC22" s="121">
        <v>2</v>
      </c>
      <c r="AD22" s="121">
        <v>2</v>
      </c>
      <c r="AE22" s="121"/>
      <c r="AF22" s="121">
        <v>2</v>
      </c>
      <c r="AG22" s="121"/>
      <c r="AH22" s="121"/>
      <c r="AI22" s="121">
        <v>2</v>
      </c>
      <c r="AJ22" s="121">
        <v>2</v>
      </c>
      <c r="AK22" s="121"/>
      <c r="AL22" s="121"/>
      <c r="AM22" s="121"/>
      <c r="AN22" s="122">
        <f t="shared" si="2"/>
        <v>38</v>
      </c>
      <c r="AO22" s="118">
        <v>180000</v>
      </c>
      <c r="AP22" s="123">
        <f t="shared" si="3"/>
        <v>6840000</v>
      </c>
    </row>
    <row r="23" spans="1:42" ht="24.9" customHeight="1" x14ac:dyDescent="0.4">
      <c r="A23" s="124">
        <v>18</v>
      </c>
      <c r="B23" s="116" t="s">
        <v>379</v>
      </c>
      <c r="C23" s="117" t="s">
        <v>380</v>
      </c>
      <c r="D23" s="125" t="s">
        <v>316</v>
      </c>
      <c r="E23" s="117" t="s">
        <v>381</v>
      </c>
      <c r="F23" s="126" t="s">
        <v>335</v>
      </c>
      <c r="G23" s="119" t="s">
        <v>379</v>
      </c>
      <c r="H23" s="120" t="s">
        <v>382</v>
      </c>
      <c r="I23" s="121">
        <v>1.5</v>
      </c>
      <c r="J23" s="121">
        <v>1.5</v>
      </c>
      <c r="K23" s="121">
        <v>1.5</v>
      </c>
      <c r="L23" s="121">
        <v>1</v>
      </c>
      <c r="M23" s="121"/>
      <c r="N23" s="121">
        <v>1.5</v>
      </c>
      <c r="O23" s="121"/>
      <c r="P23" s="121">
        <v>1.5</v>
      </c>
      <c r="Q23" s="121">
        <v>1.5</v>
      </c>
      <c r="R23" s="121">
        <v>1.5</v>
      </c>
      <c r="S23" s="121">
        <v>1</v>
      </c>
      <c r="T23" s="121"/>
      <c r="U23" s="121">
        <v>1.5</v>
      </c>
      <c r="V23" s="121">
        <v>1.5</v>
      </c>
      <c r="W23" s="121">
        <v>1</v>
      </c>
      <c r="X23" s="121">
        <v>1.5</v>
      </c>
      <c r="Y23" s="121">
        <v>1.5</v>
      </c>
      <c r="Z23" s="121">
        <v>1</v>
      </c>
      <c r="AA23" s="121"/>
      <c r="AB23" s="121">
        <v>1.5</v>
      </c>
      <c r="AC23" s="121">
        <v>1.5</v>
      </c>
      <c r="AD23" s="121">
        <v>1</v>
      </c>
      <c r="AE23" s="121">
        <v>1.5</v>
      </c>
      <c r="AF23" s="121">
        <v>1.5</v>
      </c>
      <c r="AG23" s="121"/>
      <c r="AH23" s="121"/>
      <c r="AI23" s="121">
        <v>1.5</v>
      </c>
      <c r="AJ23" s="121">
        <v>1.5</v>
      </c>
      <c r="AK23" s="121">
        <v>1.5</v>
      </c>
      <c r="AL23" s="121">
        <v>1.5</v>
      </c>
      <c r="AM23" s="121"/>
      <c r="AN23" s="122">
        <f t="shared" si="2"/>
        <v>33.5</v>
      </c>
      <c r="AO23" s="118">
        <v>150000</v>
      </c>
      <c r="AP23" s="123">
        <f t="shared" si="3"/>
        <v>5025000</v>
      </c>
    </row>
    <row r="24" spans="1:42" ht="24.9" customHeight="1" x14ac:dyDescent="0.4">
      <c r="A24" s="124">
        <v>19</v>
      </c>
      <c r="B24" s="116" t="s">
        <v>384</v>
      </c>
      <c r="C24" s="117" t="s">
        <v>385</v>
      </c>
      <c r="D24" s="125" t="s">
        <v>334</v>
      </c>
      <c r="E24" s="117" t="s">
        <v>386</v>
      </c>
      <c r="F24" s="126" t="s">
        <v>318</v>
      </c>
      <c r="G24" s="119" t="s">
        <v>384</v>
      </c>
      <c r="H24" s="120" t="s">
        <v>387</v>
      </c>
      <c r="I24" s="121">
        <v>2</v>
      </c>
      <c r="J24" s="121">
        <v>2</v>
      </c>
      <c r="K24" s="121">
        <v>2</v>
      </c>
      <c r="L24" s="121"/>
      <c r="M24" s="121"/>
      <c r="N24" s="121">
        <v>2</v>
      </c>
      <c r="O24" s="121">
        <v>2</v>
      </c>
      <c r="P24" s="121">
        <v>2</v>
      </c>
      <c r="Q24" s="121">
        <v>2</v>
      </c>
      <c r="R24" s="121">
        <v>2</v>
      </c>
      <c r="S24" s="121"/>
      <c r="T24" s="121"/>
      <c r="U24" s="121">
        <v>2</v>
      </c>
      <c r="V24" s="121">
        <v>2</v>
      </c>
      <c r="W24" s="121"/>
      <c r="X24" s="121">
        <v>2</v>
      </c>
      <c r="Y24" s="121">
        <v>2</v>
      </c>
      <c r="Z24" s="121"/>
      <c r="AA24" s="121"/>
      <c r="AB24" s="121">
        <v>2</v>
      </c>
      <c r="AC24" s="121">
        <v>2</v>
      </c>
      <c r="AD24" s="121">
        <v>2</v>
      </c>
      <c r="AE24" s="121">
        <v>2</v>
      </c>
      <c r="AF24" s="121">
        <v>2</v>
      </c>
      <c r="AG24" s="121"/>
      <c r="AH24" s="121"/>
      <c r="AI24" s="121">
        <v>2</v>
      </c>
      <c r="AJ24" s="121">
        <v>2</v>
      </c>
      <c r="AK24" s="121">
        <v>2</v>
      </c>
      <c r="AL24" s="121"/>
      <c r="AM24" s="121"/>
      <c r="AN24" s="122">
        <f t="shared" si="2"/>
        <v>40</v>
      </c>
      <c r="AO24" s="118">
        <v>240000</v>
      </c>
      <c r="AP24" s="123">
        <f t="shared" si="3"/>
        <v>9600000</v>
      </c>
    </row>
    <row r="25" spans="1:42" ht="24.9" customHeight="1" x14ac:dyDescent="0.4">
      <c r="A25" s="124">
        <v>20</v>
      </c>
      <c r="B25" s="116" t="s">
        <v>388</v>
      </c>
      <c r="C25" s="117" t="s">
        <v>389</v>
      </c>
      <c r="D25" s="127" t="s">
        <v>364</v>
      </c>
      <c r="E25" s="117" t="s">
        <v>390</v>
      </c>
      <c r="F25" s="126" t="s">
        <v>391</v>
      </c>
      <c r="G25" s="119" t="s">
        <v>388</v>
      </c>
      <c r="H25" s="120" t="s">
        <v>392</v>
      </c>
      <c r="I25" s="121">
        <v>2</v>
      </c>
      <c r="J25" s="121">
        <v>2</v>
      </c>
      <c r="K25" s="121">
        <v>2</v>
      </c>
      <c r="L25" s="121"/>
      <c r="M25" s="121"/>
      <c r="N25" s="121">
        <v>2</v>
      </c>
      <c r="O25" s="121">
        <v>2</v>
      </c>
      <c r="P25" s="121">
        <v>2</v>
      </c>
      <c r="Q25" s="121">
        <v>2</v>
      </c>
      <c r="R25" s="121">
        <v>2</v>
      </c>
      <c r="S25" s="121"/>
      <c r="T25" s="121"/>
      <c r="U25" s="121">
        <v>2</v>
      </c>
      <c r="V25" s="121">
        <v>2</v>
      </c>
      <c r="W25" s="121">
        <v>2</v>
      </c>
      <c r="X25" s="121">
        <v>2</v>
      </c>
      <c r="Y25" s="121">
        <v>2</v>
      </c>
      <c r="Z25" s="121"/>
      <c r="AA25" s="121"/>
      <c r="AB25" s="121">
        <v>2</v>
      </c>
      <c r="AC25" s="121"/>
      <c r="AD25" s="121">
        <v>2</v>
      </c>
      <c r="AE25" s="121">
        <v>2</v>
      </c>
      <c r="AF25" s="121">
        <v>2</v>
      </c>
      <c r="AG25" s="121"/>
      <c r="AH25" s="121"/>
      <c r="AI25" s="121">
        <v>2</v>
      </c>
      <c r="AJ25" s="121">
        <v>2</v>
      </c>
      <c r="AK25" s="121">
        <v>2</v>
      </c>
      <c r="AL25" s="121"/>
      <c r="AM25" s="121"/>
      <c r="AN25" s="122">
        <f t="shared" si="2"/>
        <v>40</v>
      </c>
      <c r="AO25" s="118">
        <v>230000</v>
      </c>
      <c r="AP25" s="123">
        <f t="shared" si="3"/>
        <v>9200000</v>
      </c>
    </row>
    <row r="26" spans="1:42" ht="24.9" customHeight="1" x14ac:dyDescent="0.4">
      <c r="A26" s="124">
        <v>21</v>
      </c>
      <c r="B26" s="116" t="s">
        <v>393</v>
      </c>
      <c r="C26" s="117" t="s">
        <v>394</v>
      </c>
      <c r="D26" s="125" t="s">
        <v>316</v>
      </c>
      <c r="E26" s="117" t="s">
        <v>395</v>
      </c>
      <c r="F26" s="126" t="s">
        <v>335</v>
      </c>
      <c r="G26" s="119" t="s">
        <v>393</v>
      </c>
      <c r="H26" s="120" t="s">
        <v>396</v>
      </c>
      <c r="I26" s="121">
        <v>2</v>
      </c>
      <c r="J26" s="121">
        <v>2</v>
      </c>
      <c r="K26" s="121">
        <v>2</v>
      </c>
      <c r="L26" s="121"/>
      <c r="M26" s="121"/>
      <c r="N26" s="121">
        <v>2</v>
      </c>
      <c r="O26" s="121">
        <v>2</v>
      </c>
      <c r="P26" s="121">
        <v>2</v>
      </c>
      <c r="Q26" s="121">
        <v>2</v>
      </c>
      <c r="R26" s="121">
        <v>2</v>
      </c>
      <c r="S26" s="121"/>
      <c r="T26" s="121"/>
      <c r="U26" s="121">
        <v>2</v>
      </c>
      <c r="V26" s="121">
        <v>2</v>
      </c>
      <c r="W26" s="121">
        <v>2</v>
      </c>
      <c r="X26" s="121">
        <v>2</v>
      </c>
      <c r="Y26" s="121">
        <v>2</v>
      </c>
      <c r="Z26" s="121"/>
      <c r="AA26" s="121"/>
      <c r="AB26" s="121">
        <v>2</v>
      </c>
      <c r="AC26" s="121">
        <v>2</v>
      </c>
      <c r="AD26" s="121">
        <v>2</v>
      </c>
      <c r="AE26" s="121">
        <v>2</v>
      </c>
      <c r="AF26" s="121">
        <v>2</v>
      </c>
      <c r="AG26" s="121"/>
      <c r="AH26" s="121"/>
      <c r="AI26" s="121"/>
      <c r="AJ26" s="121"/>
      <c r="AK26" s="121"/>
      <c r="AL26" s="121"/>
      <c r="AM26" s="121"/>
      <c r="AN26" s="122">
        <f t="shared" si="2"/>
        <v>36</v>
      </c>
      <c r="AO26" s="118">
        <v>160000</v>
      </c>
      <c r="AP26" s="123">
        <f t="shared" si="3"/>
        <v>5760000</v>
      </c>
    </row>
    <row r="27" spans="1:42" ht="24.9" customHeight="1" x14ac:dyDescent="0.4">
      <c r="A27" s="124">
        <v>22</v>
      </c>
      <c r="B27" s="116" t="s">
        <v>397</v>
      </c>
      <c r="C27" s="117" t="s">
        <v>398</v>
      </c>
      <c r="D27" s="127" t="s">
        <v>316</v>
      </c>
      <c r="E27" s="117" t="s">
        <v>399</v>
      </c>
      <c r="F27" s="126" t="s">
        <v>323</v>
      </c>
      <c r="G27" s="119" t="s">
        <v>397</v>
      </c>
      <c r="H27" s="120" t="s">
        <v>400</v>
      </c>
      <c r="I27" s="121">
        <v>1.5</v>
      </c>
      <c r="J27" s="121">
        <v>1.5</v>
      </c>
      <c r="K27" s="121">
        <v>1.5</v>
      </c>
      <c r="L27" s="121">
        <v>1</v>
      </c>
      <c r="M27" s="121"/>
      <c r="N27" s="121">
        <v>1.5</v>
      </c>
      <c r="O27" s="121">
        <v>1.5</v>
      </c>
      <c r="P27" s="121">
        <v>1.5</v>
      </c>
      <c r="Q27" s="121">
        <v>1.5</v>
      </c>
      <c r="R27" s="121">
        <v>1.5</v>
      </c>
      <c r="S27" s="121">
        <v>1</v>
      </c>
      <c r="T27" s="121"/>
      <c r="U27" s="121">
        <v>1.5</v>
      </c>
      <c r="V27" s="121">
        <v>1.5</v>
      </c>
      <c r="W27" s="121">
        <v>1</v>
      </c>
      <c r="X27" s="121">
        <v>1.5</v>
      </c>
      <c r="Y27" s="121">
        <v>1.5</v>
      </c>
      <c r="Z27" s="121">
        <v>1</v>
      </c>
      <c r="AA27" s="121"/>
      <c r="AB27" s="121">
        <v>1.5</v>
      </c>
      <c r="AC27" s="121">
        <v>1.5</v>
      </c>
      <c r="AD27" s="121">
        <v>1</v>
      </c>
      <c r="AE27" s="121">
        <v>1.5</v>
      </c>
      <c r="AF27" s="121"/>
      <c r="AG27" s="121">
        <v>0.5</v>
      </c>
      <c r="AH27" s="121"/>
      <c r="AI27" s="121">
        <v>1.375</v>
      </c>
      <c r="AJ27" s="121">
        <v>1.5</v>
      </c>
      <c r="AK27" s="121">
        <v>1.5</v>
      </c>
      <c r="AL27" s="121">
        <v>1.5</v>
      </c>
      <c r="AM27" s="121"/>
      <c r="AN27" s="122">
        <f t="shared" si="2"/>
        <v>33.875</v>
      </c>
      <c r="AO27" s="118">
        <v>150000</v>
      </c>
      <c r="AP27" s="123">
        <f t="shared" si="3"/>
        <v>5081250</v>
      </c>
    </row>
    <row r="28" spans="1:42" ht="24.9" customHeight="1" x14ac:dyDescent="0.4">
      <c r="A28" s="124">
        <v>23</v>
      </c>
      <c r="B28" s="116" t="s">
        <v>402</v>
      </c>
      <c r="C28" s="117" t="s">
        <v>403</v>
      </c>
      <c r="D28" s="127" t="s">
        <v>744</v>
      </c>
      <c r="E28" s="117" t="s">
        <v>404</v>
      </c>
      <c r="F28" s="126" t="s">
        <v>318</v>
      </c>
      <c r="G28" s="119" t="s">
        <v>402</v>
      </c>
      <c r="H28" s="120" t="s">
        <v>405</v>
      </c>
      <c r="I28" s="121">
        <v>0.75</v>
      </c>
      <c r="J28" s="121">
        <v>0.25</v>
      </c>
      <c r="K28" s="121">
        <v>1</v>
      </c>
      <c r="L28" s="121"/>
      <c r="M28" s="121"/>
      <c r="N28" s="121">
        <v>1.25</v>
      </c>
      <c r="O28" s="121">
        <v>0.5</v>
      </c>
      <c r="P28" s="121">
        <v>1.25</v>
      </c>
      <c r="Q28" s="121">
        <v>1.125</v>
      </c>
      <c r="R28" s="121"/>
      <c r="S28" s="121"/>
      <c r="T28" s="121"/>
      <c r="U28" s="121">
        <v>1.25</v>
      </c>
      <c r="V28" s="121">
        <v>1.25</v>
      </c>
      <c r="W28" s="121">
        <v>1</v>
      </c>
      <c r="X28" s="121">
        <v>0.875</v>
      </c>
      <c r="Y28" s="121">
        <v>1.125</v>
      </c>
      <c r="Z28" s="121"/>
      <c r="AA28" s="121"/>
      <c r="AB28" s="121">
        <v>1.25</v>
      </c>
      <c r="AC28" s="121">
        <v>1.375</v>
      </c>
      <c r="AD28" s="121">
        <v>0.75</v>
      </c>
      <c r="AE28" s="121"/>
      <c r="AF28" s="121"/>
      <c r="AG28" s="121"/>
      <c r="AH28" s="121"/>
      <c r="AI28" s="121">
        <v>1.125</v>
      </c>
      <c r="AJ28" s="121">
        <v>1.25</v>
      </c>
      <c r="AK28" s="121">
        <v>1.125</v>
      </c>
      <c r="AL28" s="121">
        <v>0.75</v>
      </c>
      <c r="AM28" s="121"/>
      <c r="AN28" s="122">
        <f t="shared" si="2"/>
        <v>19.25</v>
      </c>
      <c r="AO28" s="118">
        <v>270000</v>
      </c>
      <c r="AP28" s="123">
        <f t="shared" si="3"/>
        <v>5197500</v>
      </c>
    </row>
    <row r="29" spans="1:42" ht="24.9" customHeight="1" x14ac:dyDescent="0.4">
      <c r="A29" s="124">
        <v>24</v>
      </c>
      <c r="B29" s="116" t="s">
        <v>406</v>
      </c>
      <c r="C29" s="117" t="s">
        <v>407</v>
      </c>
      <c r="D29" s="127" t="s">
        <v>334</v>
      </c>
      <c r="E29" s="117" t="s">
        <v>408</v>
      </c>
      <c r="F29" s="126" t="s">
        <v>318</v>
      </c>
      <c r="G29" s="119" t="s">
        <v>406</v>
      </c>
      <c r="H29" s="120" t="s">
        <v>409</v>
      </c>
      <c r="I29" s="121"/>
      <c r="J29" s="121">
        <v>1.5</v>
      </c>
      <c r="K29" s="121">
        <v>1.5</v>
      </c>
      <c r="L29" s="121">
        <v>1</v>
      </c>
      <c r="M29" s="121"/>
      <c r="N29" s="121">
        <v>1.5</v>
      </c>
      <c r="O29" s="121">
        <v>1</v>
      </c>
      <c r="P29" s="121">
        <v>1.5</v>
      </c>
      <c r="Q29" s="121">
        <v>1.25</v>
      </c>
      <c r="R29" s="121">
        <v>1.5</v>
      </c>
      <c r="S29" s="121"/>
      <c r="T29" s="121"/>
      <c r="U29" s="121">
        <v>1.5</v>
      </c>
      <c r="V29" s="121">
        <v>1.5</v>
      </c>
      <c r="W29" s="121">
        <v>1</v>
      </c>
      <c r="X29" s="121">
        <v>1.5</v>
      </c>
      <c r="Y29" s="121"/>
      <c r="Z29" s="121">
        <v>1</v>
      </c>
      <c r="AA29" s="121"/>
      <c r="AB29" s="121">
        <v>1.5</v>
      </c>
      <c r="AC29" s="121">
        <v>1.5</v>
      </c>
      <c r="AD29" s="121">
        <v>1</v>
      </c>
      <c r="AE29" s="121"/>
      <c r="AF29" s="121">
        <v>1.5</v>
      </c>
      <c r="AG29" s="121"/>
      <c r="AH29" s="121"/>
      <c r="AI29" s="121">
        <v>1.5</v>
      </c>
      <c r="AJ29" s="121">
        <v>1.5</v>
      </c>
      <c r="AK29" s="121">
        <v>1.5</v>
      </c>
      <c r="AL29" s="121">
        <v>1.5</v>
      </c>
      <c r="AM29" s="121"/>
      <c r="AN29" s="122">
        <f t="shared" ref="AN29:AN103" si="4">SUM(I29:AM29)</f>
        <v>28.75</v>
      </c>
      <c r="AO29" s="118">
        <v>240000</v>
      </c>
      <c r="AP29" s="123">
        <f t="shared" ref="AP29:AP103" si="5">AN29*AO29</f>
        <v>6900000</v>
      </c>
    </row>
    <row r="30" spans="1:42" ht="24.9" customHeight="1" x14ac:dyDescent="0.4">
      <c r="A30" s="124">
        <v>25</v>
      </c>
      <c r="B30" s="116" t="s">
        <v>410</v>
      </c>
      <c r="C30" s="117" t="s">
        <v>411</v>
      </c>
      <c r="D30" s="125" t="s">
        <v>811</v>
      </c>
      <c r="E30" s="117" t="s">
        <v>412</v>
      </c>
      <c r="F30" s="126" t="s">
        <v>323</v>
      </c>
      <c r="G30" s="119" t="s">
        <v>410</v>
      </c>
      <c r="H30" s="120" t="s">
        <v>413</v>
      </c>
      <c r="I30" s="121">
        <v>1.5</v>
      </c>
      <c r="J30" s="121">
        <v>1.5</v>
      </c>
      <c r="K30" s="121">
        <v>1.375</v>
      </c>
      <c r="L30" s="121">
        <v>0.875</v>
      </c>
      <c r="M30" s="121"/>
      <c r="N30" s="121">
        <v>1.5</v>
      </c>
      <c r="O30" s="121">
        <v>1.5</v>
      </c>
      <c r="P30" s="121">
        <v>1.125</v>
      </c>
      <c r="Q30" s="121">
        <v>1.5</v>
      </c>
      <c r="R30" s="121">
        <v>1.5</v>
      </c>
      <c r="S30" s="121"/>
      <c r="T30" s="121"/>
      <c r="U30" s="121">
        <v>1.5</v>
      </c>
      <c r="V30" s="121">
        <v>1.5</v>
      </c>
      <c r="W30" s="121">
        <v>1</v>
      </c>
      <c r="X30" s="121">
        <v>1.375</v>
      </c>
      <c r="Y30" s="121">
        <v>1.5</v>
      </c>
      <c r="Z30" s="121">
        <v>0.875</v>
      </c>
      <c r="AA30" s="121"/>
      <c r="AB30" s="121">
        <v>1.5</v>
      </c>
      <c r="AC30" s="121">
        <v>1.5</v>
      </c>
      <c r="AD30" s="121">
        <v>1</v>
      </c>
      <c r="AE30" s="121">
        <v>1.5</v>
      </c>
      <c r="AF30" s="121">
        <v>1.375</v>
      </c>
      <c r="AG30" s="121">
        <v>1</v>
      </c>
      <c r="AH30" s="121"/>
      <c r="AI30" s="121">
        <v>1.5</v>
      </c>
      <c r="AJ30" s="121">
        <v>1.5</v>
      </c>
      <c r="AK30" s="121">
        <v>1.5</v>
      </c>
      <c r="AL30" s="121">
        <v>1.25</v>
      </c>
      <c r="AM30" s="121"/>
      <c r="AN30" s="122">
        <f t="shared" si="4"/>
        <v>33.75</v>
      </c>
      <c r="AO30" s="118">
        <v>200000</v>
      </c>
      <c r="AP30" s="123">
        <f t="shared" si="5"/>
        <v>6750000</v>
      </c>
    </row>
    <row r="31" spans="1:42" ht="24.9" customHeight="1" x14ac:dyDescent="0.4">
      <c r="A31" s="124">
        <v>26</v>
      </c>
      <c r="B31" s="116" t="s">
        <v>414</v>
      </c>
      <c r="C31" s="117" t="s">
        <v>415</v>
      </c>
      <c r="D31" s="125" t="s">
        <v>364</v>
      </c>
      <c r="E31" s="117" t="s">
        <v>416</v>
      </c>
      <c r="F31" s="126" t="s">
        <v>372</v>
      </c>
      <c r="G31" s="119" t="s">
        <v>414</v>
      </c>
      <c r="H31" s="120" t="s">
        <v>417</v>
      </c>
      <c r="I31" s="121">
        <v>1.5</v>
      </c>
      <c r="J31" s="121">
        <v>1.5</v>
      </c>
      <c r="K31" s="121">
        <v>1.5</v>
      </c>
      <c r="L31" s="121">
        <v>1</v>
      </c>
      <c r="M31" s="121"/>
      <c r="N31" s="121">
        <v>1.5</v>
      </c>
      <c r="O31" s="121">
        <v>1.5</v>
      </c>
      <c r="P31" s="121">
        <v>1.5</v>
      </c>
      <c r="Q31" s="121">
        <v>1.5</v>
      </c>
      <c r="R31" s="121">
        <v>1.5</v>
      </c>
      <c r="S31" s="121">
        <v>1</v>
      </c>
      <c r="T31" s="121"/>
      <c r="U31" s="121">
        <v>1.5</v>
      </c>
      <c r="V31" s="121"/>
      <c r="W31" s="121"/>
      <c r="X31" s="121">
        <v>1.5</v>
      </c>
      <c r="Y31" s="121">
        <v>1.5</v>
      </c>
      <c r="Z31" s="121"/>
      <c r="AA31" s="121"/>
      <c r="AB31" s="121">
        <v>1.5</v>
      </c>
      <c r="AC31" s="121">
        <v>1.5</v>
      </c>
      <c r="AD31" s="121">
        <v>1</v>
      </c>
      <c r="AE31" s="121">
        <v>1.5</v>
      </c>
      <c r="AF31" s="121">
        <v>1.5</v>
      </c>
      <c r="AG31" s="121">
        <v>1</v>
      </c>
      <c r="AH31" s="121"/>
      <c r="AI31" s="121">
        <v>1.5</v>
      </c>
      <c r="AJ31" s="121">
        <v>1.5</v>
      </c>
      <c r="AK31" s="121">
        <v>1.5</v>
      </c>
      <c r="AL31" s="121">
        <v>1.5</v>
      </c>
      <c r="AM31" s="121"/>
      <c r="AN31" s="122">
        <f t="shared" si="4"/>
        <v>32.5</v>
      </c>
      <c r="AO31" s="118">
        <v>210000</v>
      </c>
      <c r="AP31" s="123">
        <f t="shared" si="5"/>
        <v>6825000</v>
      </c>
    </row>
    <row r="32" spans="1:42" ht="24.9" customHeight="1" x14ac:dyDescent="0.4">
      <c r="A32" s="124">
        <v>27</v>
      </c>
      <c r="B32" s="116" t="s">
        <v>418</v>
      </c>
      <c r="C32" s="117" t="s">
        <v>419</v>
      </c>
      <c r="D32" s="127" t="s">
        <v>364</v>
      </c>
      <c r="E32" s="117" t="s">
        <v>420</v>
      </c>
      <c r="F32" s="126" t="s">
        <v>335</v>
      </c>
      <c r="G32" s="119" t="s">
        <v>418</v>
      </c>
      <c r="H32" s="120" t="s">
        <v>421</v>
      </c>
      <c r="I32" s="121">
        <v>1.5</v>
      </c>
      <c r="J32" s="121">
        <v>1.5</v>
      </c>
      <c r="K32" s="121">
        <v>1.5</v>
      </c>
      <c r="L32" s="121">
        <v>1</v>
      </c>
      <c r="M32" s="121"/>
      <c r="N32" s="121">
        <v>1.5</v>
      </c>
      <c r="O32" s="121">
        <v>1.5</v>
      </c>
      <c r="P32" s="121">
        <v>1.5</v>
      </c>
      <c r="Q32" s="121">
        <v>1.5</v>
      </c>
      <c r="R32" s="121">
        <v>1.5</v>
      </c>
      <c r="S32" s="121">
        <v>1</v>
      </c>
      <c r="T32" s="121"/>
      <c r="U32" s="121">
        <v>1.5</v>
      </c>
      <c r="V32" s="121">
        <v>1.5</v>
      </c>
      <c r="W32" s="121">
        <v>1</v>
      </c>
      <c r="X32" s="121">
        <v>1.5</v>
      </c>
      <c r="Y32" s="121">
        <v>1.5</v>
      </c>
      <c r="Z32" s="121">
        <v>0.5</v>
      </c>
      <c r="AA32" s="121"/>
      <c r="AB32" s="121">
        <v>1.5</v>
      </c>
      <c r="AC32" s="121">
        <v>1.5</v>
      </c>
      <c r="AD32" s="121">
        <v>0.875</v>
      </c>
      <c r="AE32" s="121">
        <v>1.5</v>
      </c>
      <c r="AF32" s="121">
        <v>1.5</v>
      </c>
      <c r="AG32" s="121">
        <v>1</v>
      </c>
      <c r="AH32" s="121"/>
      <c r="AI32" s="121">
        <v>1.5</v>
      </c>
      <c r="AJ32" s="121">
        <v>1.5</v>
      </c>
      <c r="AK32" s="121">
        <v>1.5</v>
      </c>
      <c r="AL32" s="121">
        <v>1.5</v>
      </c>
      <c r="AM32" s="121"/>
      <c r="AN32" s="122">
        <f t="shared" si="4"/>
        <v>35.375</v>
      </c>
      <c r="AO32" s="118">
        <v>210000</v>
      </c>
      <c r="AP32" s="123">
        <f t="shared" si="5"/>
        <v>7428750</v>
      </c>
    </row>
    <row r="33" spans="1:42" ht="24.9" customHeight="1" x14ac:dyDescent="0.4">
      <c r="A33" s="124">
        <v>28</v>
      </c>
      <c r="B33" s="116" t="s">
        <v>745</v>
      </c>
      <c r="C33" s="117" t="s">
        <v>746</v>
      </c>
      <c r="D33" s="125" t="s">
        <v>316</v>
      </c>
      <c r="E33" s="117" t="s">
        <v>747</v>
      </c>
      <c r="F33" s="126" t="s">
        <v>312</v>
      </c>
      <c r="G33" s="119" t="s">
        <v>745</v>
      </c>
      <c r="H33" s="120" t="s">
        <v>748</v>
      </c>
      <c r="I33" s="121"/>
      <c r="J33" s="121"/>
      <c r="K33" s="121"/>
      <c r="L33" s="121"/>
      <c r="M33" s="121"/>
      <c r="N33" s="121"/>
      <c r="O33" s="121">
        <v>0.75</v>
      </c>
      <c r="P33" s="121"/>
      <c r="Q33" s="121">
        <v>1</v>
      </c>
      <c r="R33" s="121">
        <v>1.5</v>
      </c>
      <c r="S33" s="121"/>
      <c r="T33" s="121"/>
      <c r="U33" s="121">
        <v>1.5</v>
      </c>
      <c r="V33" s="121">
        <v>1.5</v>
      </c>
      <c r="W33" s="121">
        <v>1</v>
      </c>
      <c r="X33" s="121">
        <v>1.5</v>
      </c>
      <c r="Y33" s="121">
        <v>1.5</v>
      </c>
      <c r="Z33" s="121"/>
      <c r="AA33" s="121"/>
      <c r="AB33" s="121"/>
      <c r="AC33" s="121">
        <v>1.5</v>
      </c>
      <c r="AD33" s="121">
        <v>1</v>
      </c>
      <c r="AE33" s="121">
        <v>1.5</v>
      </c>
      <c r="AF33" s="121">
        <v>1.5</v>
      </c>
      <c r="AG33" s="121"/>
      <c r="AH33" s="121"/>
      <c r="AI33" s="121">
        <v>1.5</v>
      </c>
      <c r="AJ33" s="121">
        <v>1.5</v>
      </c>
      <c r="AK33" s="121">
        <v>1.5</v>
      </c>
      <c r="AL33" s="121">
        <v>0.5</v>
      </c>
      <c r="AM33" s="121"/>
      <c r="AN33" s="122">
        <f t="shared" si="4"/>
        <v>20.75</v>
      </c>
      <c r="AO33" s="118">
        <v>150000</v>
      </c>
      <c r="AP33" s="123">
        <f t="shared" si="5"/>
        <v>3112500</v>
      </c>
    </row>
    <row r="34" spans="1:42" ht="24.9" customHeight="1" x14ac:dyDescent="0.4">
      <c r="A34" s="124">
        <v>29</v>
      </c>
      <c r="B34" s="116" t="s">
        <v>422</v>
      </c>
      <c r="C34" s="117" t="s">
        <v>423</v>
      </c>
      <c r="D34" s="127" t="s">
        <v>364</v>
      </c>
      <c r="E34" s="117" t="s">
        <v>424</v>
      </c>
      <c r="F34" s="126" t="s">
        <v>749</v>
      </c>
      <c r="G34" s="119" t="s">
        <v>422</v>
      </c>
      <c r="H34" s="120" t="s">
        <v>425</v>
      </c>
      <c r="I34" s="121">
        <v>1.5</v>
      </c>
      <c r="J34" s="121">
        <v>1.5</v>
      </c>
      <c r="K34" s="121">
        <v>1.5</v>
      </c>
      <c r="L34" s="121">
        <v>1</v>
      </c>
      <c r="M34" s="121"/>
      <c r="N34" s="121">
        <v>1.5</v>
      </c>
      <c r="O34" s="121">
        <v>1.5</v>
      </c>
      <c r="P34" s="121">
        <v>1.5</v>
      </c>
      <c r="Q34" s="121">
        <v>1.5</v>
      </c>
      <c r="R34" s="121">
        <v>1.5</v>
      </c>
      <c r="S34" s="121">
        <v>1</v>
      </c>
      <c r="T34" s="121"/>
      <c r="U34" s="121">
        <v>1.5</v>
      </c>
      <c r="V34" s="121">
        <v>1.5</v>
      </c>
      <c r="W34" s="121">
        <v>1</v>
      </c>
      <c r="X34" s="121">
        <v>1</v>
      </c>
      <c r="Y34" s="121">
        <v>1.5</v>
      </c>
      <c r="Z34" s="121">
        <v>1</v>
      </c>
      <c r="AA34" s="121"/>
      <c r="AB34" s="121">
        <v>1.5</v>
      </c>
      <c r="AC34" s="121">
        <v>1.5</v>
      </c>
      <c r="AD34" s="121">
        <v>1</v>
      </c>
      <c r="AE34" s="121">
        <v>1.5</v>
      </c>
      <c r="AF34" s="121">
        <v>1.5</v>
      </c>
      <c r="AG34" s="121">
        <v>1</v>
      </c>
      <c r="AH34" s="121"/>
      <c r="AI34" s="121">
        <v>1.5</v>
      </c>
      <c r="AJ34" s="121">
        <v>1.5</v>
      </c>
      <c r="AK34" s="121">
        <v>1.5</v>
      </c>
      <c r="AL34" s="121">
        <v>1</v>
      </c>
      <c r="AM34" s="121"/>
      <c r="AN34" s="122">
        <f t="shared" si="4"/>
        <v>35</v>
      </c>
      <c r="AO34" s="118">
        <v>230000</v>
      </c>
      <c r="AP34" s="123">
        <f t="shared" si="5"/>
        <v>8050000</v>
      </c>
    </row>
    <row r="35" spans="1:42" ht="24.9" customHeight="1" x14ac:dyDescent="0.4">
      <c r="A35" s="124">
        <v>30</v>
      </c>
      <c r="B35" s="116" t="s">
        <v>803</v>
      </c>
      <c r="C35" s="117" t="s">
        <v>750</v>
      </c>
      <c r="D35" s="127" t="s">
        <v>316</v>
      </c>
      <c r="E35" s="117" t="s">
        <v>751</v>
      </c>
      <c r="F35" s="126" t="s">
        <v>377</v>
      </c>
      <c r="G35" s="119" t="s">
        <v>803</v>
      </c>
      <c r="H35" s="120" t="s">
        <v>752</v>
      </c>
      <c r="I35" s="121">
        <v>0.75</v>
      </c>
      <c r="J35" s="121"/>
      <c r="K35" s="121"/>
      <c r="L35" s="121"/>
      <c r="M35" s="121"/>
      <c r="N35" s="121"/>
      <c r="O35" s="121"/>
      <c r="P35" s="121"/>
      <c r="Q35" s="121">
        <v>1</v>
      </c>
      <c r="R35" s="121">
        <v>1.5</v>
      </c>
      <c r="S35" s="121">
        <v>1</v>
      </c>
      <c r="T35" s="121"/>
      <c r="U35" s="121">
        <v>1.5</v>
      </c>
      <c r="V35" s="121">
        <v>1.5</v>
      </c>
      <c r="W35" s="121">
        <v>0.875</v>
      </c>
      <c r="X35" s="121">
        <v>1.5</v>
      </c>
      <c r="Y35" s="121">
        <v>1.5</v>
      </c>
      <c r="Z35" s="121">
        <v>0.875</v>
      </c>
      <c r="AA35" s="121"/>
      <c r="AB35" s="121">
        <v>1.5</v>
      </c>
      <c r="AC35" s="121">
        <v>1.5</v>
      </c>
      <c r="AD35" s="121">
        <v>1</v>
      </c>
      <c r="AE35" s="121"/>
      <c r="AF35" s="121">
        <v>1.5</v>
      </c>
      <c r="AG35" s="121">
        <v>0.875</v>
      </c>
      <c r="AH35" s="121"/>
      <c r="AI35" s="121">
        <v>1.25</v>
      </c>
      <c r="AJ35" s="121">
        <v>1.25</v>
      </c>
      <c r="AK35" s="121">
        <v>1.5</v>
      </c>
      <c r="AL35" s="121">
        <v>0.5</v>
      </c>
      <c r="AM35" s="121"/>
      <c r="AN35" s="122">
        <f t="shared" si="4"/>
        <v>22.875</v>
      </c>
      <c r="AO35" s="118">
        <v>150000</v>
      </c>
      <c r="AP35" s="123">
        <f t="shared" si="5"/>
        <v>3431250</v>
      </c>
    </row>
    <row r="36" spans="1:42" ht="24.9" customHeight="1" x14ac:dyDescent="0.4">
      <c r="A36" s="124">
        <v>31</v>
      </c>
      <c r="B36" s="116" t="s">
        <v>426</v>
      </c>
      <c r="C36" s="117" t="s">
        <v>427</v>
      </c>
      <c r="D36" s="127" t="s">
        <v>316</v>
      </c>
      <c r="E36" s="117" t="s">
        <v>428</v>
      </c>
      <c r="F36" s="126" t="s">
        <v>312</v>
      </c>
      <c r="G36" s="119" t="s">
        <v>426</v>
      </c>
      <c r="H36" s="120" t="s">
        <v>429</v>
      </c>
      <c r="I36" s="121">
        <v>1.5</v>
      </c>
      <c r="J36" s="121">
        <v>1.5</v>
      </c>
      <c r="K36" s="121">
        <v>1.5</v>
      </c>
      <c r="L36" s="121">
        <v>1</v>
      </c>
      <c r="M36" s="121"/>
      <c r="N36" s="121">
        <v>1.5</v>
      </c>
      <c r="O36" s="121">
        <v>1.5</v>
      </c>
      <c r="P36" s="121">
        <v>1.5</v>
      </c>
      <c r="Q36" s="121">
        <v>1.5</v>
      </c>
      <c r="R36" s="121">
        <v>1.5</v>
      </c>
      <c r="S36" s="121"/>
      <c r="T36" s="121"/>
      <c r="U36" s="121">
        <v>1.5</v>
      </c>
      <c r="V36" s="121">
        <v>1.5</v>
      </c>
      <c r="W36" s="121">
        <v>1</v>
      </c>
      <c r="X36" s="121">
        <v>1.5</v>
      </c>
      <c r="Y36" s="121">
        <v>1.5</v>
      </c>
      <c r="Z36" s="121"/>
      <c r="AA36" s="121"/>
      <c r="AB36" s="121">
        <v>1.5</v>
      </c>
      <c r="AC36" s="121">
        <v>1.5</v>
      </c>
      <c r="AD36" s="121">
        <v>1</v>
      </c>
      <c r="AE36" s="121">
        <v>1.5</v>
      </c>
      <c r="AF36" s="121">
        <v>1.5</v>
      </c>
      <c r="AG36" s="121">
        <v>1</v>
      </c>
      <c r="AH36" s="121"/>
      <c r="AI36" s="121">
        <v>1.5</v>
      </c>
      <c r="AJ36" s="121"/>
      <c r="AK36" s="121">
        <v>1.5</v>
      </c>
      <c r="AL36" s="121">
        <v>1.5</v>
      </c>
      <c r="AM36" s="121"/>
      <c r="AN36" s="122">
        <f t="shared" si="4"/>
        <v>32.5</v>
      </c>
      <c r="AO36" s="118">
        <v>150000</v>
      </c>
      <c r="AP36" s="123">
        <f t="shared" si="5"/>
        <v>4875000</v>
      </c>
    </row>
    <row r="37" spans="1:42" ht="24.9" customHeight="1" x14ac:dyDescent="0.4">
      <c r="A37" s="124">
        <v>32</v>
      </c>
      <c r="B37" s="116" t="s">
        <v>430</v>
      </c>
      <c r="C37" s="117" t="s">
        <v>431</v>
      </c>
      <c r="D37" s="125" t="s">
        <v>739</v>
      </c>
      <c r="E37" s="117" t="s">
        <v>432</v>
      </c>
      <c r="F37" s="126" t="s">
        <v>335</v>
      </c>
      <c r="G37" s="119" t="s">
        <v>430</v>
      </c>
      <c r="H37" s="120" t="s">
        <v>433</v>
      </c>
      <c r="I37" s="121">
        <v>1.375</v>
      </c>
      <c r="J37" s="121">
        <v>1.5</v>
      </c>
      <c r="K37" s="121">
        <v>1.5</v>
      </c>
      <c r="L37" s="121">
        <v>1</v>
      </c>
      <c r="M37" s="121"/>
      <c r="N37" s="121">
        <v>1.5</v>
      </c>
      <c r="O37" s="121">
        <v>1.5</v>
      </c>
      <c r="P37" s="121">
        <v>1.5</v>
      </c>
      <c r="Q37" s="121">
        <v>1.5</v>
      </c>
      <c r="R37" s="121">
        <v>1.5</v>
      </c>
      <c r="S37" s="121"/>
      <c r="T37" s="121"/>
      <c r="U37" s="121">
        <v>1.5</v>
      </c>
      <c r="V37" s="121">
        <v>1.5</v>
      </c>
      <c r="W37" s="121">
        <v>1</v>
      </c>
      <c r="X37" s="121">
        <v>1.5</v>
      </c>
      <c r="Y37" s="121">
        <v>1.5</v>
      </c>
      <c r="Z37" s="121">
        <v>1</v>
      </c>
      <c r="AA37" s="121"/>
      <c r="AB37" s="121">
        <v>1.5</v>
      </c>
      <c r="AC37" s="121">
        <v>1.5</v>
      </c>
      <c r="AD37" s="121">
        <v>1</v>
      </c>
      <c r="AE37" s="121">
        <v>1.5</v>
      </c>
      <c r="AF37" s="121">
        <v>1.5</v>
      </c>
      <c r="AG37" s="121">
        <v>1</v>
      </c>
      <c r="AH37" s="121"/>
      <c r="AI37" s="121">
        <v>1.5</v>
      </c>
      <c r="AJ37" s="121">
        <v>1.5</v>
      </c>
      <c r="AK37" s="121">
        <v>1.5</v>
      </c>
      <c r="AL37" s="121">
        <v>1.75</v>
      </c>
      <c r="AM37" s="121"/>
      <c r="AN37" s="122">
        <f t="shared" si="4"/>
        <v>35.125</v>
      </c>
      <c r="AO37" s="118">
        <v>170000</v>
      </c>
      <c r="AP37" s="123">
        <f t="shared" si="5"/>
        <v>5971250</v>
      </c>
    </row>
    <row r="38" spans="1:42" ht="24.9" customHeight="1" x14ac:dyDescent="0.4">
      <c r="A38" s="124">
        <v>33</v>
      </c>
      <c r="B38" s="116" t="s">
        <v>434</v>
      </c>
      <c r="C38" s="117" t="s">
        <v>435</v>
      </c>
      <c r="D38" s="125" t="s">
        <v>316</v>
      </c>
      <c r="E38" s="117" t="s">
        <v>436</v>
      </c>
      <c r="F38" s="126" t="s">
        <v>812</v>
      </c>
      <c r="G38" s="119" t="s">
        <v>434</v>
      </c>
      <c r="H38" s="120" t="s">
        <v>437</v>
      </c>
      <c r="I38" s="121">
        <v>2</v>
      </c>
      <c r="J38" s="121">
        <v>2</v>
      </c>
      <c r="K38" s="121">
        <v>2</v>
      </c>
      <c r="L38" s="121"/>
      <c r="M38" s="121"/>
      <c r="N38" s="121">
        <v>2</v>
      </c>
      <c r="O38" s="121">
        <v>2</v>
      </c>
      <c r="P38" s="121">
        <v>2</v>
      </c>
      <c r="Q38" s="121">
        <v>2</v>
      </c>
      <c r="R38" s="121"/>
      <c r="S38" s="121"/>
      <c r="T38" s="121"/>
      <c r="U38" s="121">
        <v>2</v>
      </c>
      <c r="V38" s="121">
        <v>2</v>
      </c>
      <c r="W38" s="121">
        <v>2</v>
      </c>
      <c r="X38" s="121">
        <v>2</v>
      </c>
      <c r="Y38" s="121">
        <v>2</v>
      </c>
      <c r="Z38" s="121"/>
      <c r="AA38" s="121"/>
      <c r="AB38" s="121"/>
      <c r="AC38" s="121">
        <v>2</v>
      </c>
      <c r="AD38" s="121">
        <v>2</v>
      </c>
      <c r="AE38" s="121">
        <v>2</v>
      </c>
      <c r="AF38" s="121">
        <v>2</v>
      </c>
      <c r="AG38" s="121"/>
      <c r="AH38" s="121"/>
      <c r="AI38" s="121">
        <v>2</v>
      </c>
      <c r="AJ38" s="121">
        <v>2</v>
      </c>
      <c r="AK38" s="121">
        <v>2</v>
      </c>
      <c r="AL38" s="121"/>
      <c r="AM38" s="121"/>
      <c r="AN38" s="122">
        <f t="shared" si="4"/>
        <v>38</v>
      </c>
      <c r="AO38" s="118">
        <v>160000</v>
      </c>
      <c r="AP38" s="123">
        <f t="shared" si="5"/>
        <v>6080000</v>
      </c>
    </row>
    <row r="39" spans="1:42" ht="24.9" customHeight="1" x14ac:dyDescent="0.4">
      <c r="A39" s="124">
        <v>34</v>
      </c>
      <c r="B39" s="116" t="s">
        <v>438</v>
      </c>
      <c r="C39" s="117" t="s">
        <v>439</v>
      </c>
      <c r="D39" s="127" t="s">
        <v>316</v>
      </c>
      <c r="E39" s="117" t="s">
        <v>440</v>
      </c>
      <c r="F39" s="126" t="s">
        <v>335</v>
      </c>
      <c r="G39" s="119" t="s">
        <v>438</v>
      </c>
      <c r="H39" s="120" t="s">
        <v>441</v>
      </c>
      <c r="I39" s="121">
        <v>1.5</v>
      </c>
      <c r="J39" s="121">
        <v>1.5</v>
      </c>
      <c r="K39" s="121">
        <v>1.5</v>
      </c>
      <c r="L39" s="121">
        <v>0.5</v>
      </c>
      <c r="M39" s="121"/>
      <c r="N39" s="121">
        <v>1.5</v>
      </c>
      <c r="O39" s="121">
        <v>1.5</v>
      </c>
      <c r="P39" s="121">
        <v>1.5</v>
      </c>
      <c r="Q39" s="121">
        <v>1.5</v>
      </c>
      <c r="R39" s="121">
        <v>1.5</v>
      </c>
      <c r="S39" s="121"/>
      <c r="T39" s="121"/>
      <c r="U39" s="121">
        <v>1.5</v>
      </c>
      <c r="V39" s="121">
        <v>1.5</v>
      </c>
      <c r="W39" s="121">
        <v>1</v>
      </c>
      <c r="X39" s="121"/>
      <c r="Y39" s="121">
        <v>1.5</v>
      </c>
      <c r="Z39" s="121">
        <v>1</v>
      </c>
      <c r="AA39" s="121"/>
      <c r="AB39" s="121">
        <v>1.5</v>
      </c>
      <c r="AC39" s="121">
        <v>1.5</v>
      </c>
      <c r="AD39" s="121">
        <v>1</v>
      </c>
      <c r="AE39" s="121">
        <v>1.5</v>
      </c>
      <c r="AF39" s="121">
        <v>1.5</v>
      </c>
      <c r="AG39" s="121">
        <v>0.5</v>
      </c>
      <c r="AH39" s="121"/>
      <c r="AI39" s="121">
        <v>1.5</v>
      </c>
      <c r="AJ39" s="121">
        <v>1.5</v>
      </c>
      <c r="AK39" s="121">
        <v>1.5</v>
      </c>
      <c r="AL39" s="121">
        <v>1.5</v>
      </c>
      <c r="AM39" s="121"/>
      <c r="AN39" s="122">
        <f t="shared" si="4"/>
        <v>32.5</v>
      </c>
      <c r="AO39" s="118">
        <v>160000</v>
      </c>
      <c r="AP39" s="123">
        <f t="shared" si="5"/>
        <v>5200000</v>
      </c>
    </row>
    <row r="40" spans="1:42" ht="24.9" customHeight="1" x14ac:dyDescent="0.4">
      <c r="A40" s="124">
        <v>35</v>
      </c>
      <c r="B40" s="116" t="s">
        <v>753</v>
      </c>
      <c r="C40" s="117" t="s">
        <v>754</v>
      </c>
      <c r="D40" s="125" t="s">
        <v>316</v>
      </c>
      <c r="E40" s="117" t="s">
        <v>755</v>
      </c>
      <c r="F40" s="126" t="s">
        <v>323</v>
      </c>
      <c r="G40" s="119" t="s">
        <v>753</v>
      </c>
      <c r="H40" s="120" t="s">
        <v>756</v>
      </c>
      <c r="I40" s="121"/>
      <c r="J40" s="121"/>
      <c r="K40" s="121"/>
      <c r="L40" s="121"/>
      <c r="M40" s="121"/>
      <c r="N40" s="121"/>
      <c r="O40" s="121">
        <v>0.75</v>
      </c>
      <c r="P40" s="121"/>
      <c r="Q40" s="121">
        <v>1</v>
      </c>
      <c r="R40" s="121">
        <v>1.5</v>
      </c>
      <c r="S40" s="121"/>
      <c r="T40" s="121"/>
      <c r="U40" s="121">
        <v>1.5</v>
      </c>
      <c r="V40" s="121">
        <v>1.5</v>
      </c>
      <c r="W40" s="121">
        <v>0.5</v>
      </c>
      <c r="X40" s="121">
        <v>1.5</v>
      </c>
      <c r="Y40" s="121">
        <v>1.5</v>
      </c>
      <c r="Z40" s="121"/>
      <c r="AA40" s="121"/>
      <c r="AB40" s="121">
        <v>1.5</v>
      </c>
      <c r="AC40" s="121">
        <v>1.5</v>
      </c>
      <c r="AD40" s="121">
        <v>1</v>
      </c>
      <c r="AE40" s="121">
        <v>1.5</v>
      </c>
      <c r="AF40" s="121"/>
      <c r="AG40" s="121"/>
      <c r="AH40" s="121"/>
      <c r="AI40" s="121">
        <v>1.5</v>
      </c>
      <c r="AJ40" s="121">
        <v>1.5</v>
      </c>
      <c r="AK40" s="121">
        <v>1.5</v>
      </c>
      <c r="AL40" s="121">
        <v>1.5</v>
      </c>
      <c r="AM40" s="121"/>
      <c r="AN40" s="122">
        <f t="shared" si="4"/>
        <v>21.25</v>
      </c>
      <c r="AO40" s="118">
        <v>150000</v>
      </c>
      <c r="AP40" s="123">
        <f t="shared" si="5"/>
        <v>3187500</v>
      </c>
    </row>
    <row r="41" spans="1:42" ht="24.9" customHeight="1" x14ac:dyDescent="0.4">
      <c r="A41" s="124">
        <v>36</v>
      </c>
      <c r="B41" s="116" t="s">
        <v>442</v>
      </c>
      <c r="C41" s="117" t="s">
        <v>443</v>
      </c>
      <c r="D41" s="127" t="s">
        <v>316</v>
      </c>
      <c r="E41" s="117" t="s">
        <v>444</v>
      </c>
      <c r="F41" s="126" t="s">
        <v>335</v>
      </c>
      <c r="G41" s="119" t="s">
        <v>442</v>
      </c>
      <c r="H41" s="120" t="s">
        <v>445</v>
      </c>
      <c r="I41" s="121">
        <v>1.5</v>
      </c>
      <c r="J41" s="121">
        <v>1.5</v>
      </c>
      <c r="K41" s="121">
        <v>1.5</v>
      </c>
      <c r="L41" s="121">
        <v>1</v>
      </c>
      <c r="M41" s="121"/>
      <c r="N41" s="121">
        <v>1.5</v>
      </c>
      <c r="O41" s="121">
        <v>1.5</v>
      </c>
      <c r="P41" s="121">
        <v>1.5</v>
      </c>
      <c r="Q41" s="121">
        <v>1.5</v>
      </c>
      <c r="R41" s="121">
        <v>1.5</v>
      </c>
      <c r="S41" s="121">
        <v>1</v>
      </c>
      <c r="T41" s="121"/>
      <c r="U41" s="121">
        <v>1.5</v>
      </c>
      <c r="V41" s="121">
        <v>1.5</v>
      </c>
      <c r="W41" s="121">
        <v>1</v>
      </c>
      <c r="X41" s="121">
        <v>1.5</v>
      </c>
      <c r="Y41" s="121">
        <v>1.5</v>
      </c>
      <c r="Z41" s="121">
        <v>1</v>
      </c>
      <c r="AA41" s="121"/>
      <c r="AB41" s="121">
        <v>1.5</v>
      </c>
      <c r="AC41" s="121">
        <v>1.5</v>
      </c>
      <c r="AD41" s="121">
        <v>1</v>
      </c>
      <c r="AE41" s="121">
        <v>1.5</v>
      </c>
      <c r="AF41" s="121">
        <v>1.5</v>
      </c>
      <c r="AG41" s="121">
        <v>1</v>
      </c>
      <c r="AH41" s="121"/>
      <c r="AI41" s="121">
        <v>1.5</v>
      </c>
      <c r="AJ41" s="121">
        <v>1.5</v>
      </c>
      <c r="AK41" s="121">
        <v>1.5</v>
      </c>
      <c r="AL41" s="121">
        <v>1.5</v>
      </c>
      <c r="AM41" s="121"/>
      <c r="AN41" s="122">
        <f t="shared" si="4"/>
        <v>36</v>
      </c>
      <c r="AO41" s="118">
        <v>160000</v>
      </c>
      <c r="AP41" s="123">
        <f t="shared" si="5"/>
        <v>5760000</v>
      </c>
    </row>
    <row r="42" spans="1:42" ht="24.9" customHeight="1" x14ac:dyDescent="0.4">
      <c r="A42" s="124">
        <v>37</v>
      </c>
      <c r="B42" s="116" t="s">
        <v>446</v>
      </c>
      <c r="C42" s="117" t="s">
        <v>447</v>
      </c>
      <c r="D42" s="127" t="s">
        <v>316</v>
      </c>
      <c r="E42" s="117" t="s">
        <v>448</v>
      </c>
      <c r="F42" s="126" t="s">
        <v>372</v>
      </c>
      <c r="G42" s="119" t="s">
        <v>446</v>
      </c>
      <c r="H42" s="120" t="s">
        <v>804</v>
      </c>
      <c r="I42" s="121">
        <v>1.5</v>
      </c>
      <c r="J42" s="121">
        <v>1.5</v>
      </c>
      <c r="K42" s="121">
        <v>1.5</v>
      </c>
      <c r="L42" s="121">
        <v>1</v>
      </c>
      <c r="M42" s="121"/>
      <c r="N42" s="121">
        <v>1.5</v>
      </c>
      <c r="O42" s="121">
        <v>1.5</v>
      </c>
      <c r="P42" s="121">
        <v>1.5</v>
      </c>
      <c r="Q42" s="121">
        <v>1.5</v>
      </c>
      <c r="R42" s="121">
        <v>1.5</v>
      </c>
      <c r="S42" s="121"/>
      <c r="T42" s="121"/>
      <c r="U42" s="121">
        <v>1.5</v>
      </c>
      <c r="V42" s="121">
        <v>1.5</v>
      </c>
      <c r="W42" s="121">
        <v>1</v>
      </c>
      <c r="X42" s="121">
        <v>1.5</v>
      </c>
      <c r="Y42" s="121">
        <v>1.5</v>
      </c>
      <c r="Z42" s="121">
        <v>1</v>
      </c>
      <c r="AA42" s="121"/>
      <c r="AB42" s="121">
        <v>1.5</v>
      </c>
      <c r="AC42" s="121">
        <v>1.5</v>
      </c>
      <c r="AD42" s="121">
        <v>1</v>
      </c>
      <c r="AE42" s="121">
        <v>1.5</v>
      </c>
      <c r="AF42" s="121">
        <v>1.5</v>
      </c>
      <c r="AG42" s="121">
        <v>1</v>
      </c>
      <c r="AH42" s="121"/>
      <c r="AI42" s="121">
        <v>1.5</v>
      </c>
      <c r="AJ42" s="121">
        <v>1.5</v>
      </c>
      <c r="AK42" s="121">
        <v>1.5</v>
      </c>
      <c r="AL42" s="121">
        <v>1.5</v>
      </c>
      <c r="AM42" s="121"/>
      <c r="AN42" s="122">
        <f t="shared" si="4"/>
        <v>35</v>
      </c>
      <c r="AO42" s="118">
        <v>150000</v>
      </c>
      <c r="AP42" s="123">
        <f t="shared" si="5"/>
        <v>5250000</v>
      </c>
    </row>
    <row r="43" spans="1:42" ht="24.9" customHeight="1" x14ac:dyDescent="0.4">
      <c r="A43" s="124">
        <v>38</v>
      </c>
      <c r="B43" s="116" t="s">
        <v>757</v>
      </c>
      <c r="C43" s="117" t="s">
        <v>758</v>
      </c>
      <c r="D43" s="127" t="s">
        <v>316</v>
      </c>
      <c r="E43" s="117" t="s">
        <v>759</v>
      </c>
      <c r="F43" s="126" t="s">
        <v>312</v>
      </c>
      <c r="G43" s="119" t="s">
        <v>757</v>
      </c>
      <c r="H43" s="120" t="s">
        <v>760</v>
      </c>
      <c r="I43" s="121"/>
      <c r="J43" s="121"/>
      <c r="K43" s="121"/>
      <c r="L43" s="121"/>
      <c r="M43" s="121"/>
      <c r="N43" s="121"/>
      <c r="O43" s="121">
        <v>0.75</v>
      </c>
      <c r="P43" s="121"/>
      <c r="Q43" s="121">
        <v>1</v>
      </c>
      <c r="R43" s="121">
        <v>1.5</v>
      </c>
      <c r="S43" s="121"/>
      <c r="T43" s="121"/>
      <c r="U43" s="121">
        <v>1</v>
      </c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2">
        <f t="shared" si="4"/>
        <v>4.25</v>
      </c>
      <c r="AO43" s="118">
        <v>160000</v>
      </c>
      <c r="AP43" s="123">
        <f t="shared" si="5"/>
        <v>680000</v>
      </c>
    </row>
    <row r="44" spans="1:42" ht="24.9" customHeight="1" x14ac:dyDescent="0.4">
      <c r="A44" s="124">
        <v>39</v>
      </c>
      <c r="B44" s="116" t="s">
        <v>449</v>
      </c>
      <c r="C44" s="117" t="s">
        <v>450</v>
      </c>
      <c r="D44" s="125" t="s">
        <v>316</v>
      </c>
      <c r="E44" s="117" t="s">
        <v>451</v>
      </c>
      <c r="F44" s="126" t="s">
        <v>312</v>
      </c>
      <c r="G44" s="119" t="s">
        <v>449</v>
      </c>
      <c r="H44" s="120" t="s">
        <v>452</v>
      </c>
      <c r="I44" s="121">
        <v>1.5</v>
      </c>
      <c r="J44" s="121">
        <v>1.5</v>
      </c>
      <c r="K44" s="121">
        <v>1.5</v>
      </c>
      <c r="L44" s="121">
        <v>1</v>
      </c>
      <c r="M44" s="121"/>
      <c r="N44" s="121">
        <v>1.5</v>
      </c>
      <c r="O44" s="121">
        <v>1.5</v>
      </c>
      <c r="P44" s="121">
        <v>1.5</v>
      </c>
      <c r="Q44" s="121">
        <v>1.5</v>
      </c>
      <c r="R44" s="121">
        <v>1.5</v>
      </c>
      <c r="S44" s="121">
        <v>1</v>
      </c>
      <c r="T44" s="121"/>
      <c r="U44" s="121">
        <v>1.5</v>
      </c>
      <c r="V44" s="121">
        <v>1.5</v>
      </c>
      <c r="W44" s="121">
        <v>1</v>
      </c>
      <c r="X44" s="121">
        <v>1.5</v>
      </c>
      <c r="Y44" s="121">
        <v>1.5</v>
      </c>
      <c r="Z44" s="121">
        <v>1</v>
      </c>
      <c r="AA44" s="121"/>
      <c r="AB44" s="121">
        <v>1.5</v>
      </c>
      <c r="AC44" s="121">
        <v>1.5</v>
      </c>
      <c r="AD44" s="121">
        <v>1</v>
      </c>
      <c r="AE44" s="121">
        <v>1.5</v>
      </c>
      <c r="AF44" s="121">
        <v>1.5</v>
      </c>
      <c r="AG44" s="121">
        <v>1</v>
      </c>
      <c r="AH44" s="121"/>
      <c r="AI44" s="121">
        <v>1.5</v>
      </c>
      <c r="AJ44" s="121">
        <v>1.5</v>
      </c>
      <c r="AK44" s="121">
        <v>1.5</v>
      </c>
      <c r="AL44" s="121">
        <v>1.375</v>
      </c>
      <c r="AM44" s="121"/>
      <c r="AN44" s="122">
        <f t="shared" si="4"/>
        <v>35.875</v>
      </c>
      <c r="AO44" s="118">
        <v>180000</v>
      </c>
      <c r="AP44" s="123">
        <f t="shared" si="5"/>
        <v>6457500</v>
      </c>
    </row>
    <row r="45" spans="1:42" ht="24.9" customHeight="1" x14ac:dyDescent="0.4">
      <c r="A45" s="124">
        <v>40</v>
      </c>
      <c r="B45" s="116" t="s">
        <v>453</v>
      </c>
      <c r="C45" s="117" t="s">
        <v>454</v>
      </c>
      <c r="D45" s="125" t="s">
        <v>364</v>
      </c>
      <c r="E45" s="117" t="s">
        <v>455</v>
      </c>
      <c r="F45" s="126" t="s">
        <v>335</v>
      </c>
      <c r="G45" s="119" t="s">
        <v>453</v>
      </c>
      <c r="H45" s="120" t="s">
        <v>456</v>
      </c>
      <c r="I45" s="121">
        <v>2</v>
      </c>
      <c r="J45" s="121">
        <v>2</v>
      </c>
      <c r="K45" s="121">
        <v>1.75</v>
      </c>
      <c r="L45" s="121"/>
      <c r="M45" s="121"/>
      <c r="N45" s="121"/>
      <c r="O45" s="121">
        <v>2</v>
      </c>
      <c r="P45" s="121">
        <v>2</v>
      </c>
      <c r="Q45" s="121">
        <v>2</v>
      </c>
      <c r="R45" s="121">
        <v>2</v>
      </c>
      <c r="S45" s="121"/>
      <c r="T45" s="121"/>
      <c r="U45" s="121">
        <v>2</v>
      </c>
      <c r="V45" s="121">
        <v>2</v>
      </c>
      <c r="W45" s="121">
        <v>2</v>
      </c>
      <c r="X45" s="121">
        <v>2</v>
      </c>
      <c r="Y45" s="121"/>
      <c r="Z45" s="121"/>
      <c r="AA45" s="121"/>
      <c r="AB45" s="121">
        <v>2</v>
      </c>
      <c r="AC45" s="121">
        <v>2</v>
      </c>
      <c r="AD45" s="121">
        <v>1.75</v>
      </c>
      <c r="AE45" s="121">
        <v>2</v>
      </c>
      <c r="AF45" s="121">
        <v>2</v>
      </c>
      <c r="AG45" s="121"/>
      <c r="AH45" s="121"/>
      <c r="AI45" s="121">
        <v>1.75</v>
      </c>
      <c r="AJ45" s="121">
        <v>2</v>
      </c>
      <c r="AK45" s="121">
        <v>2</v>
      </c>
      <c r="AL45" s="121"/>
      <c r="AM45" s="121"/>
      <c r="AN45" s="122">
        <f t="shared" si="4"/>
        <v>37.25</v>
      </c>
      <c r="AO45" s="118">
        <v>220000</v>
      </c>
      <c r="AP45" s="123">
        <f t="shared" si="5"/>
        <v>8195000</v>
      </c>
    </row>
    <row r="46" spans="1:42" ht="24.9" customHeight="1" x14ac:dyDescent="0.4">
      <c r="A46" s="124">
        <v>41</v>
      </c>
      <c r="B46" s="116" t="s">
        <v>457</v>
      </c>
      <c r="C46" s="117" t="s">
        <v>458</v>
      </c>
      <c r="D46" s="127" t="s">
        <v>364</v>
      </c>
      <c r="E46" s="117" t="s">
        <v>459</v>
      </c>
      <c r="F46" s="126" t="s">
        <v>312</v>
      </c>
      <c r="G46" s="119" t="s">
        <v>457</v>
      </c>
      <c r="H46" s="120" t="s">
        <v>460</v>
      </c>
      <c r="I46" s="121">
        <v>2</v>
      </c>
      <c r="J46" s="121">
        <v>2</v>
      </c>
      <c r="K46" s="121">
        <v>2</v>
      </c>
      <c r="L46" s="121"/>
      <c r="M46" s="121"/>
      <c r="N46" s="121">
        <v>2</v>
      </c>
      <c r="O46" s="121">
        <v>2</v>
      </c>
      <c r="P46" s="121">
        <v>2</v>
      </c>
      <c r="Q46" s="121">
        <v>2</v>
      </c>
      <c r="R46" s="121">
        <v>2</v>
      </c>
      <c r="S46" s="121"/>
      <c r="T46" s="121"/>
      <c r="U46" s="121">
        <v>2</v>
      </c>
      <c r="V46" s="121">
        <v>2</v>
      </c>
      <c r="W46" s="121">
        <v>2</v>
      </c>
      <c r="X46" s="121">
        <v>2</v>
      </c>
      <c r="Y46" s="121">
        <v>2</v>
      </c>
      <c r="Z46" s="121"/>
      <c r="AA46" s="121"/>
      <c r="AB46" s="121">
        <v>2</v>
      </c>
      <c r="AC46" s="121">
        <v>2</v>
      </c>
      <c r="AD46" s="121">
        <v>2</v>
      </c>
      <c r="AE46" s="121">
        <v>2</v>
      </c>
      <c r="AF46" s="121">
        <v>2</v>
      </c>
      <c r="AG46" s="121"/>
      <c r="AH46" s="121"/>
      <c r="AI46" s="121">
        <v>2</v>
      </c>
      <c r="AJ46" s="121">
        <v>2</v>
      </c>
      <c r="AK46" s="121">
        <v>2</v>
      </c>
      <c r="AL46" s="121"/>
      <c r="AM46" s="121"/>
      <c r="AN46" s="122">
        <f t="shared" si="4"/>
        <v>42</v>
      </c>
      <c r="AO46" s="118">
        <v>220000</v>
      </c>
      <c r="AP46" s="123">
        <f t="shared" si="5"/>
        <v>9240000</v>
      </c>
    </row>
    <row r="47" spans="1:42" ht="24.9" customHeight="1" x14ac:dyDescent="0.4">
      <c r="A47" s="124">
        <v>42</v>
      </c>
      <c r="B47" s="116" t="s">
        <v>461</v>
      </c>
      <c r="C47" s="117" t="s">
        <v>462</v>
      </c>
      <c r="D47" s="125" t="s">
        <v>364</v>
      </c>
      <c r="E47" s="117" t="s">
        <v>463</v>
      </c>
      <c r="F47" s="126" t="s">
        <v>323</v>
      </c>
      <c r="G47" s="119" t="s">
        <v>461</v>
      </c>
      <c r="H47" s="120" t="s">
        <v>464</v>
      </c>
      <c r="I47" s="121">
        <v>1.5</v>
      </c>
      <c r="J47" s="121">
        <v>1.5</v>
      </c>
      <c r="K47" s="121">
        <v>1.5</v>
      </c>
      <c r="L47" s="121">
        <v>1</v>
      </c>
      <c r="M47" s="121"/>
      <c r="N47" s="121"/>
      <c r="O47" s="121">
        <v>1.5</v>
      </c>
      <c r="P47" s="121">
        <v>1.5</v>
      </c>
      <c r="Q47" s="121">
        <v>1.5</v>
      </c>
      <c r="R47" s="121">
        <v>1.5</v>
      </c>
      <c r="S47" s="121">
        <v>1</v>
      </c>
      <c r="T47" s="121"/>
      <c r="U47" s="121">
        <v>0.5</v>
      </c>
      <c r="V47" s="121">
        <v>1.5</v>
      </c>
      <c r="W47" s="121">
        <v>1</v>
      </c>
      <c r="X47" s="121">
        <v>1.5</v>
      </c>
      <c r="Y47" s="121">
        <v>1.5</v>
      </c>
      <c r="Z47" s="121">
        <v>1</v>
      </c>
      <c r="AA47" s="121"/>
      <c r="AB47" s="121">
        <v>1.5</v>
      </c>
      <c r="AC47" s="121">
        <v>1.5</v>
      </c>
      <c r="AD47" s="121">
        <v>1</v>
      </c>
      <c r="AE47" s="121">
        <v>1.5</v>
      </c>
      <c r="AF47" s="121">
        <v>1.5</v>
      </c>
      <c r="AG47" s="121"/>
      <c r="AH47" s="121"/>
      <c r="AI47" s="121">
        <v>1.5</v>
      </c>
      <c r="AJ47" s="121">
        <v>1.5</v>
      </c>
      <c r="AK47" s="121">
        <v>1.5</v>
      </c>
      <c r="AL47" s="121">
        <v>1.5</v>
      </c>
      <c r="AM47" s="121"/>
      <c r="AN47" s="122">
        <f t="shared" si="4"/>
        <v>32.5</v>
      </c>
      <c r="AO47" s="118">
        <v>180000</v>
      </c>
      <c r="AP47" s="123">
        <f t="shared" si="5"/>
        <v>5850000</v>
      </c>
    </row>
    <row r="48" spans="1:42" ht="24.9" customHeight="1" x14ac:dyDescent="0.4">
      <c r="A48" s="124">
        <v>43</v>
      </c>
      <c r="B48" s="116" t="s">
        <v>465</v>
      </c>
      <c r="C48" s="117" t="s">
        <v>466</v>
      </c>
      <c r="D48" s="127" t="s">
        <v>334</v>
      </c>
      <c r="E48" s="117" t="s">
        <v>467</v>
      </c>
      <c r="F48" s="126" t="s">
        <v>377</v>
      </c>
      <c r="G48" s="119" t="s">
        <v>465</v>
      </c>
      <c r="H48" s="120" t="s">
        <v>468</v>
      </c>
      <c r="I48" s="121">
        <v>1.5</v>
      </c>
      <c r="J48" s="121">
        <v>1.5</v>
      </c>
      <c r="K48" s="121">
        <v>1.5</v>
      </c>
      <c r="L48" s="121"/>
      <c r="M48" s="121"/>
      <c r="N48" s="121">
        <v>1.5</v>
      </c>
      <c r="O48" s="121">
        <v>1.5</v>
      </c>
      <c r="P48" s="121">
        <v>1.5</v>
      </c>
      <c r="Q48" s="121">
        <v>1.5</v>
      </c>
      <c r="R48" s="121">
        <v>1.5</v>
      </c>
      <c r="S48" s="121"/>
      <c r="T48" s="121"/>
      <c r="U48" s="121">
        <v>1.5</v>
      </c>
      <c r="V48" s="121">
        <v>1</v>
      </c>
      <c r="W48" s="121">
        <v>1</v>
      </c>
      <c r="X48" s="121">
        <v>1.5</v>
      </c>
      <c r="Y48" s="121">
        <v>1.5</v>
      </c>
      <c r="Z48" s="121">
        <v>1</v>
      </c>
      <c r="AA48" s="121"/>
      <c r="AB48" s="121">
        <v>1.5</v>
      </c>
      <c r="AC48" s="121">
        <v>1.5</v>
      </c>
      <c r="AD48" s="121">
        <v>1</v>
      </c>
      <c r="AE48" s="121">
        <v>1.5</v>
      </c>
      <c r="AF48" s="121">
        <v>1.5</v>
      </c>
      <c r="AG48" s="121">
        <v>0.875</v>
      </c>
      <c r="AH48" s="121"/>
      <c r="AI48" s="121">
        <v>1.5</v>
      </c>
      <c r="AJ48" s="121">
        <v>1.5</v>
      </c>
      <c r="AK48" s="121">
        <v>1.5</v>
      </c>
      <c r="AL48" s="121">
        <v>1.5</v>
      </c>
      <c r="AM48" s="121"/>
      <c r="AN48" s="122">
        <f t="shared" si="4"/>
        <v>33.375</v>
      </c>
      <c r="AO48" s="118">
        <v>240000</v>
      </c>
      <c r="AP48" s="123">
        <f t="shared" si="5"/>
        <v>8010000</v>
      </c>
    </row>
    <row r="49" spans="1:42" ht="24.9" customHeight="1" x14ac:dyDescent="0.4">
      <c r="A49" s="124">
        <v>44</v>
      </c>
      <c r="B49" s="116" t="s">
        <v>469</v>
      </c>
      <c r="C49" s="117" t="s">
        <v>470</v>
      </c>
      <c r="D49" s="127" t="s">
        <v>316</v>
      </c>
      <c r="E49" s="117" t="s">
        <v>471</v>
      </c>
      <c r="F49" s="126" t="s">
        <v>312</v>
      </c>
      <c r="G49" s="119" t="s">
        <v>469</v>
      </c>
      <c r="H49" s="120" t="s">
        <v>472</v>
      </c>
      <c r="I49" s="121">
        <v>1.5</v>
      </c>
      <c r="J49" s="121">
        <v>1.5</v>
      </c>
      <c r="K49" s="121">
        <v>1.5</v>
      </c>
      <c r="L49" s="121"/>
      <c r="M49" s="121"/>
      <c r="N49" s="121">
        <v>1.5</v>
      </c>
      <c r="O49" s="121">
        <v>1.5</v>
      </c>
      <c r="P49" s="121">
        <v>1.5</v>
      </c>
      <c r="Q49" s="121">
        <v>1.5</v>
      </c>
      <c r="R49" s="121">
        <v>1.5</v>
      </c>
      <c r="S49" s="121">
        <v>1</v>
      </c>
      <c r="T49" s="121"/>
      <c r="U49" s="121">
        <v>1.5</v>
      </c>
      <c r="V49" s="121">
        <v>1.5</v>
      </c>
      <c r="W49" s="121">
        <v>1</v>
      </c>
      <c r="X49" s="121">
        <v>1.5</v>
      </c>
      <c r="Y49" s="121">
        <v>1.5</v>
      </c>
      <c r="Z49" s="121"/>
      <c r="AA49" s="121"/>
      <c r="AB49" s="121">
        <v>1.5</v>
      </c>
      <c r="AC49" s="121">
        <v>1.5</v>
      </c>
      <c r="AD49" s="121">
        <v>1</v>
      </c>
      <c r="AE49" s="121">
        <v>1.5</v>
      </c>
      <c r="AF49" s="121">
        <v>1.5</v>
      </c>
      <c r="AG49" s="121">
        <v>1</v>
      </c>
      <c r="AH49" s="121"/>
      <c r="AI49" s="121">
        <v>1.5</v>
      </c>
      <c r="AJ49" s="121">
        <v>1.5</v>
      </c>
      <c r="AK49" s="121">
        <v>1.5</v>
      </c>
      <c r="AL49" s="121">
        <v>1.5</v>
      </c>
      <c r="AM49" s="121"/>
      <c r="AN49" s="122">
        <f t="shared" si="4"/>
        <v>34</v>
      </c>
      <c r="AO49" s="118">
        <v>150000</v>
      </c>
      <c r="AP49" s="123">
        <f t="shared" si="5"/>
        <v>5100000</v>
      </c>
    </row>
    <row r="50" spans="1:42" ht="24.9" customHeight="1" x14ac:dyDescent="0.4">
      <c r="A50" s="124">
        <v>45</v>
      </c>
      <c r="B50" s="116" t="s">
        <v>473</v>
      </c>
      <c r="C50" s="117" t="s">
        <v>474</v>
      </c>
      <c r="D50" s="127" t="s">
        <v>334</v>
      </c>
      <c r="E50" s="117" t="s">
        <v>475</v>
      </c>
      <c r="F50" s="126" t="s">
        <v>383</v>
      </c>
      <c r="G50" s="119" t="s">
        <v>473</v>
      </c>
      <c r="H50" s="120" t="s">
        <v>476</v>
      </c>
      <c r="I50" s="121">
        <v>1.5</v>
      </c>
      <c r="J50" s="121">
        <v>1.5</v>
      </c>
      <c r="K50" s="121">
        <v>1.5</v>
      </c>
      <c r="L50" s="121"/>
      <c r="M50" s="121"/>
      <c r="N50" s="121">
        <v>1.5</v>
      </c>
      <c r="O50" s="121">
        <v>1.5</v>
      </c>
      <c r="P50" s="121">
        <v>1.5</v>
      </c>
      <c r="Q50" s="121">
        <v>1.5</v>
      </c>
      <c r="R50" s="121">
        <v>1.5</v>
      </c>
      <c r="S50" s="121">
        <v>1</v>
      </c>
      <c r="T50" s="121"/>
      <c r="U50" s="121">
        <v>1.5</v>
      </c>
      <c r="V50" s="121">
        <v>1.5</v>
      </c>
      <c r="W50" s="121">
        <v>1</v>
      </c>
      <c r="X50" s="121">
        <v>1.5</v>
      </c>
      <c r="Y50" s="121">
        <v>1.5</v>
      </c>
      <c r="Z50" s="121"/>
      <c r="AA50" s="121"/>
      <c r="AB50" s="121">
        <v>1.5</v>
      </c>
      <c r="AC50" s="121">
        <v>1.5</v>
      </c>
      <c r="AD50" s="121">
        <v>1</v>
      </c>
      <c r="AE50" s="121">
        <v>1.5</v>
      </c>
      <c r="AF50" s="121">
        <v>1.5</v>
      </c>
      <c r="AG50" s="121">
        <v>1</v>
      </c>
      <c r="AH50" s="121"/>
      <c r="AI50" s="121">
        <v>1.5</v>
      </c>
      <c r="AJ50" s="121">
        <v>1.5</v>
      </c>
      <c r="AK50" s="121">
        <v>1.5</v>
      </c>
      <c r="AL50" s="121">
        <v>1.5</v>
      </c>
      <c r="AM50" s="121"/>
      <c r="AN50" s="122">
        <f t="shared" si="4"/>
        <v>34</v>
      </c>
      <c r="AO50" s="118">
        <v>240000</v>
      </c>
      <c r="AP50" s="123">
        <f t="shared" si="5"/>
        <v>8160000</v>
      </c>
    </row>
    <row r="51" spans="1:42" ht="24.9" customHeight="1" x14ac:dyDescent="0.4">
      <c r="A51" s="124">
        <v>46</v>
      </c>
      <c r="B51" s="116" t="s">
        <v>761</v>
      </c>
      <c r="C51" s="117" t="s">
        <v>762</v>
      </c>
      <c r="D51" s="125" t="s">
        <v>316</v>
      </c>
      <c r="E51" s="117" t="s">
        <v>763</v>
      </c>
      <c r="F51" s="126" t="s">
        <v>323</v>
      </c>
      <c r="G51" s="119" t="s">
        <v>761</v>
      </c>
      <c r="H51" s="120" t="s">
        <v>764</v>
      </c>
      <c r="I51" s="121"/>
      <c r="J51" s="121"/>
      <c r="K51" s="121"/>
      <c r="L51" s="121"/>
      <c r="M51" s="121"/>
      <c r="N51" s="121"/>
      <c r="O51" s="121">
        <v>0.75</v>
      </c>
      <c r="P51" s="121"/>
      <c r="Q51" s="121">
        <v>1</v>
      </c>
      <c r="R51" s="121">
        <v>1.5</v>
      </c>
      <c r="S51" s="121"/>
      <c r="T51" s="121"/>
      <c r="U51" s="121">
        <v>1.5</v>
      </c>
      <c r="V51" s="121">
        <v>1.5</v>
      </c>
      <c r="W51" s="121">
        <v>1</v>
      </c>
      <c r="X51" s="121">
        <v>1.5</v>
      </c>
      <c r="Y51" s="121">
        <v>1.5</v>
      </c>
      <c r="Z51" s="121">
        <v>1</v>
      </c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2">
        <f t="shared" si="4"/>
        <v>11.25</v>
      </c>
      <c r="AO51" s="118">
        <v>170000</v>
      </c>
      <c r="AP51" s="123">
        <f t="shared" si="5"/>
        <v>1912500</v>
      </c>
    </row>
    <row r="52" spans="1:42" ht="24.9" customHeight="1" x14ac:dyDescent="0.4">
      <c r="A52" s="124">
        <v>47</v>
      </c>
      <c r="B52" s="116" t="s">
        <v>477</v>
      </c>
      <c r="C52" s="117" t="s">
        <v>478</v>
      </c>
      <c r="D52" s="125" t="s">
        <v>364</v>
      </c>
      <c r="E52" s="117" t="s">
        <v>479</v>
      </c>
      <c r="F52" s="126" t="s">
        <v>401</v>
      </c>
      <c r="G52" s="119" t="s">
        <v>477</v>
      </c>
      <c r="H52" s="120" t="s">
        <v>480</v>
      </c>
      <c r="I52" s="121">
        <v>1.375</v>
      </c>
      <c r="J52" s="121">
        <v>1.5</v>
      </c>
      <c r="K52" s="121">
        <v>1.5</v>
      </c>
      <c r="L52" s="121">
        <v>1</v>
      </c>
      <c r="M52" s="121"/>
      <c r="N52" s="121">
        <v>1.5</v>
      </c>
      <c r="O52" s="121">
        <v>1.5</v>
      </c>
      <c r="P52" s="121">
        <v>1.5</v>
      </c>
      <c r="Q52" s="121">
        <v>1.5</v>
      </c>
      <c r="R52" s="121">
        <v>1.5</v>
      </c>
      <c r="S52" s="121"/>
      <c r="T52" s="121"/>
      <c r="U52" s="121">
        <v>1.5</v>
      </c>
      <c r="V52" s="121">
        <v>1.5</v>
      </c>
      <c r="W52" s="121"/>
      <c r="X52" s="121">
        <v>1.5</v>
      </c>
      <c r="Y52" s="121">
        <v>1.5</v>
      </c>
      <c r="Z52" s="121">
        <v>1</v>
      </c>
      <c r="AA52" s="121"/>
      <c r="AB52" s="121">
        <v>1.5</v>
      </c>
      <c r="AC52" s="121">
        <v>1.5</v>
      </c>
      <c r="AD52" s="121">
        <v>1</v>
      </c>
      <c r="AE52" s="121">
        <v>1.5</v>
      </c>
      <c r="AF52" s="121">
        <v>1.5</v>
      </c>
      <c r="AG52" s="121"/>
      <c r="AH52" s="121"/>
      <c r="AI52" s="121">
        <v>1.5</v>
      </c>
      <c r="AJ52" s="121">
        <v>1.5</v>
      </c>
      <c r="AK52" s="121">
        <v>1.5</v>
      </c>
      <c r="AL52" s="121">
        <v>1.5</v>
      </c>
      <c r="AM52" s="121"/>
      <c r="AN52" s="122">
        <f t="shared" si="4"/>
        <v>32.875</v>
      </c>
      <c r="AO52" s="118">
        <v>210000</v>
      </c>
      <c r="AP52" s="123">
        <f t="shared" si="5"/>
        <v>6903750</v>
      </c>
    </row>
    <row r="53" spans="1:42" ht="24.9" customHeight="1" x14ac:dyDescent="0.4">
      <c r="A53" s="124">
        <v>48</v>
      </c>
      <c r="B53" s="116" t="s">
        <v>481</v>
      </c>
      <c r="C53" s="117" t="s">
        <v>482</v>
      </c>
      <c r="D53" s="127" t="s">
        <v>316</v>
      </c>
      <c r="E53" s="117" t="s">
        <v>483</v>
      </c>
      <c r="F53" s="126" t="s">
        <v>312</v>
      </c>
      <c r="G53" s="119" t="s">
        <v>481</v>
      </c>
      <c r="H53" s="120" t="s">
        <v>484</v>
      </c>
      <c r="I53" s="121">
        <v>1.5</v>
      </c>
      <c r="J53" s="121">
        <v>1.5</v>
      </c>
      <c r="K53" s="121">
        <v>1.5</v>
      </c>
      <c r="L53" s="121">
        <v>1</v>
      </c>
      <c r="M53" s="121"/>
      <c r="N53" s="121">
        <v>1.5</v>
      </c>
      <c r="O53" s="121">
        <v>1.5</v>
      </c>
      <c r="P53" s="121">
        <v>1.5</v>
      </c>
      <c r="Q53" s="121">
        <v>1.5</v>
      </c>
      <c r="R53" s="121">
        <v>1.5</v>
      </c>
      <c r="S53" s="121">
        <v>0.5</v>
      </c>
      <c r="T53" s="121"/>
      <c r="U53" s="121">
        <v>1.5</v>
      </c>
      <c r="V53" s="121">
        <v>1.5</v>
      </c>
      <c r="W53" s="121">
        <v>1</v>
      </c>
      <c r="X53" s="121">
        <v>1.5</v>
      </c>
      <c r="Y53" s="121">
        <v>1.5</v>
      </c>
      <c r="Z53" s="121">
        <v>0.5</v>
      </c>
      <c r="AA53" s="121"/>
      <c r="AB53" s="121">
        <v>1.5</v>
      </c>
      <c r="AC53" s="121">
        <v>1.5</v>
      </c>
      <c r="AD53" s="121">
        <v>1</v>
      </c>
      <c r="AE53" s="121">
        <v>1.5</v>
      </c>
      <c r="AF53" s="121">
        <v>1.5</v>
      </c>
      <c r="AG53" s="121">
        <v>1</v>
      </c>
      <c r="AH53" s="121"/>
      <c r="AI53" s="121">
        <v>1.5</v>
      </c>
      <c r="AJ53" s="121">
        <v>1.5</v>
      </c>
      <c r="AK53" s="121">
        <v>1.5</v>
      </c>
      <c r="AL53" s="121">
        <v>1.5</v>
      </c>
      <c r="AM53" s="121"/>
      <c r="AN53" s="122">
        <f t="shared" si="4"/>
        <v>35</v>
      </c>
      <c r="AO53" s="118">
        <v>150000</v>
      </c>
      <c r="AP53" s="123">
        <f t="shared" si="5"/>
        <v>5250000</v>
      </c>
    </row>
    <row r="54" spans="1:42" ht="24.9" customHeight="1" x14ac:dyDescent="0.4">
      <c r="A54" s="124">
        <v>49</v>
      </c>
      <c r="B54" s="116" t="s">
        <v>485</v>
      </c>
      <c r="C54" s="117" t="s">
        <v>486</v>
      </c>
      <c r="D54" s="125" t="s">
        <v>364</v>
      </c>
      <c r="E54" s="117" t="s">
        <v>487</v>
      </c>
      <c r="F54" s="126" t="s">
        <v>391</v>
      </c>
      <c r="G54" s="119" t="s">
        <v>485</v>
      </c>
      <c r="H54" s="120" t="s">
        <v>488</v>
      </c>
      <c r="I54" s="121">
        <v>1.5</v>
      </c>
      <c r="J54" s="121">
        <v>1.5</v>
      </c>
      <c r="K54" s="121">
        <v>1.5</v>
      </c>
      <c r="L54" s="121"/>
      <c r="M54" s="121"/>
      <c r="N54" s="121">
        <v>1.5</v>
      </c>
      <c r="O54" s="121">
        <v>1.5</v>
      </c>
      <c r="P54" s="121">
        <v>1.5</v>
      </c>
      <c r="Q54" s="121">
        <v>1.5</v>
      </c>
      <c r="R54" s="121">
        <v>1.5</v>
      </c>
      <c r="S54" s="121">
        <v>1</v>
      </c>
      <c r="T54" s="121"/>
      <c r="U54" s="121">
        <v>1.5</v>
      </c>
      <c r="V54" s="121">
        <v>1.5</v>
      </c>
      <c r="W54" s="121">
        <v>1</v>
      </c>
      <c r="X54" s="121">
        <v>1.5</v>
      </c>
      <c r="Y54" s="121">
        <v>1.5</v>
      </c>
      <c r="Z54" s="121">
        <v>1</v>
      </c>
      <c r="AA54" s="121"/>
      <c r="AB54" s="121">
        <v>1.5</v>
      </c>
      <c r="AC54" s="121">
        <v>1.5</v>
      </c>
      <c r="AD54" s="121">
        <v>1</v>
      </c>
      <c r="AE54" s="121">
        <v>1.5</v>
      </c>
      <c r="AF54" s="121">
        <v>1.5</v>
      </c>
      <c r="AG54" s="121">
        <v>1</v>
      </c>
      <c r="AH54" s="121"/>
      <c r="AI54" s="121">
        <v>1.5</v>
      </c>
      <c r="AJ54" s="121">
        <v>1.5</v>
      </c>
      <c r="AK54" s="121">
        <v>1.5</v>
      </c>
      <c r="AL54" s="121">
        <v>1.5</v>
      </c>
      <c r="AM54" s="121"/>
      <c r="AN54" s="122">
        <f t="shared" si="4"/>
        <v>35</v>
      </c>
      <c r="AO54" s="118">
        <v>220000</v>
      </c>
      <c r="AP54" s="123">
        <f t="shared" si="5"/>
        <v>7700000</v>
      </c>
    </row>
    <row r="55" spans="1:42" ht="24.9" customHeight="1" x14ac:dyDescent="0.4">
      <c r="A55" s="124">
        <v>50</v>
      </c>
      <c r="B55" s="116" t="s">
        <v>489</v>
      </c>
      <c r="C55" s="117" t="s">
        <v>490</v>
      </c>
      <c r="D55" s="125" t="s">
        <v>739</v>
      </c>
      <c r="E55" s="117" t="s">
        <v>491</v>
      </c>
      <c r="F55" s="126" t="s">
        <v>391</v>
      </c>
      <c r="G55" s="119" t="s">
        <v>489</v>
      </c>
      <c r="H55" s="120" t="s">
        <v>492</v>
      </c>
      <c r="I55" s="121">
        <v>1.5</v>
      </c>
      <c r="J55" s="121">
        <v>1.5</v>
      </c>
      <c r="K55" s="121">
        <v>1.5</v>
      </c>
      <c r="L55" s="121">
        <v>0.5</v>
      </c>
      <c r="M55" s="121"/>
      <c r="N55" s="121">
        <v>1.5</v>
      </c>
      <c r="O55" s="121"/>
      <c r="P55" s="121"/>
      <c r="Q55" s="121">
        <v>1.5</v>
      </c>
      <c r="R55" s="121">
        <v>1.5</v>
      </c>
      <c r="S55" s="121">
        <v>1</v>
      </c>
      <c r="T55" s="121"/>
      <c r="U55" s="121">
        <v>1.5</v>
      </c>
      <c r="V55" s="121">
        <v>1.5</v>
      </c>
      <c r="W55" s="121">
        <v>1</v>
      </c>
      <c r="X55" s="121">
        <v>1.5</v>
      </c>
      <c r="Y55" s="121">
        <v>1.5</v>
      </c>
      <c r="Z55" s="121">
        <v>1</v>
      </c>
      <c r="AA55" s="121"/>
      <c r="AB55" s="121"/>
      <c r="AC55" s="121">
        <v>1.5</v>
      </c>
      <c r="AD55" s="121">
        <v>1</v>
      </c>
      <c r="AE55" s="121">
        <v>1.5</v>
      </c>
      <c r="AF55" s="121">
        <v>1.5</v>
      </c>
      <c r="AG55" s="121">
        <v>0.5</v>
      </c>
      <c r="AH55" s="121"/>
      <c r="AI55" s="121">
        <v>1.5</v>
      </c>
      <c r="AJ55" s="121">
        <v>1.5</v>
      </c>
      <c r="AK55" s="121">
        <v>1.5</v>
      </c>
      <c r="AL55" s="121">
        <v>0.5</v>
      </c>
      <c r="AM55" s="121"/>
      <c r="AN55" s="122">
        <f t="shared" si="4"/>
        <v>29.5</v>
      </c>
      <c r="AO55" s="118">
        <v>190000</v>
      </c>
      <c r="AP55" s="123">
        <f t="shared" si="5"/>
        <v>5605000</v>
      </c>
    </row>
    <row r="56" spans="1:42" ht="24.9" customHeight="1" x14ac:dyDescent="0.4">
      <c r="A56" s="124">
        <v>51</v>
      </c>
      <c r="B56" s="116" t="s">
        <v>493</v>
      </c>
      <c r="C56" s="117" t="s">
        <v>494</v>
      </c>
      <c r="D56" s="127" t="s">
        <v>316</v>
      </c>
      <c r="E56" s="117" t="s">
        <v>495</v>
      </c>
      <c r="F56" s="126" t="s">
        <v>496</v>
      </c>
      <c r="G56" s="119" t="s">
        <v>493</v>
      </c>
      <c r="H56" s="120" t="s">
        <v>497</v>
      </c>
      <c r="I56" s="121">
        <v>2</v>
      </c>
      <c r="J56" s="121">
        <v>2</v>
      </c>
      <c r="K56" s="121">
        <v>2</v>
      </c>
      <c r="L56" s="121"/>
      <c r="M56" s="121"/>
      <c r="N56" s="121">
        <v>2</v>
      </c>
      <c r="O56" s="121">
        <v>2</v>
      </c>
      <c r="P56" s="121">
        <v>2</v>
      </c>
      <c r="Q56" s="121">
        <v>2</v>
      </c>
      <c r="R56" s="121">
        <v>2</v>
      </c>
      <c r="S56" s="121"/>
      <c r="T56" s="121"/>
      <c r="U56" s="121">
        <v>2</v>
      </c>
      <c r="V56" s="121">
        <v>2</v>
      </c>
      <c r="W56" s="121">
        <v>2</v>
      </c>
      <c r="X56" s="121">
        <v>2</v>
      </c>
      <c r="Y56" s="121">
        <v>2</v>
      </c>
      <c r="Z56" s="121"/>
      <c r="AA56" s="121"/>
      <c r="AB56" s="121">
        <v>2</v>
      </c>
      <c r="AC56" s="121">
        <v>2</v>
      </c>
      <c r="AD56" s="121">
        <v>2</v>
      </c>
      <c r="AE56" s="121"/>
      <c r="AF56" s="121">
        <v>2</v>
      </c>
      <c r="AG56" s="121"/>
      <c r="AH56" s="121"/>
      <c r="AI56" s="121">
        <v>2</v>
      </c>
      <c r="AJ56" s="121">
        <v>2</v>
      </c>
      <c r="AK56" s="121">
        <v>2</v>
      </c>
      <c r="AL56" s="121"/>
      <c r="AM56" s="121"/>
      <c r="AN56" s="122">
        <f t="shared" si="4"/>
        <v>40</v>
      </c>
      <c r="AO56" s="118">
        <v>150000</v>
      </c>
      <c r="AP56" s="123">
        <f t="shared" si="5"/>
        <v>6000000</v>
      </c>
    </row>
    <row r="57" spans="1:42" ht="24.9" customHeight="1" x14ac:dyDescent="0.4">
      <c r="A57" s="124">
        <v>52</v>
      </c>
      <c r="B57" s="116" t="s">
        <v>498</v>
      </c>
      <c r="C57" s="117" t="s">
        <v>499</v>
      </c>
      <c r="D57" s="127" t="s">
        <v>316</v>
      </c>
      <c r="E57" s="117" t="s">
        <v>500</v>
      </c>
      <c r="F57" s="126" t="s">
        <v>312</v>
      </c>
      <c r="G57" s="119" t="s">
        <v>498</v>
      </c>
      <c r="H57" s="120" t="s">
        <v>501</v>
      </c>
      <c r="I57" s="121">
        <v>2</v>
      </c>
      <c r="J57" s="121">
        <v>2</v>
      </c>
      <c r="K57" s="121">
        <v>2</v>
      </c>
      <c r="L57" s="121"/>
      <c r="M57" s="121"/>
      <c r="N57" s="121">
        <v>2</v>
      </c>
      <c r="O57" s="121">
        <v>2</v>
      </c>
      <c r="P57" s="121">
        <v>2</v>
      </c>
      <c r="Q57" s="121">
        <v>2</v>
      </c>
      <c r="R57" s="121">
        <v>2</v>
      </c>
      <c r="S57" s="121"/>
      <c r="T57" s="121"/>
      <c r="U57" s="121">
        <v>2</v>
      </c>
      <c r="V57" s="121">
        <v>2</v>
      </c>
      <c r="W57" s="121">
        <v>2</v>
      </c>
      <c r="X57" s="121">
        <v>2</v>
      </c>
      <c r="Y57" s="121">
        <v>2</v>
      </c>
      <c r="Z57" s="121"/>
      <c r="AA57" s="121"/>
      <c r="AB57" s="121">
        <v>2</v>
      </c>
      <c r="AC57" s="121">
        <v>2</v>
      </c>
      <c r="AD57" s="121">
        <v>2</v>
      </c>
      <c r="AE57" s="121">
        <v>2</v>
      </c>
      <c r="AF57" s="121">
        <v>2</v>
      </c>
      <c r="AG57" s="121"/>
      <c r="AH57" s="121"/>
      <c r="AI57" s="121">
        <v>2</v>
      </c>
      <c r="AJ57" s="121">
        <v>1.75</v>
      </c>
      <c r="AK57" s="121">
        <v>2</v>
      </c>
      <c r="AL57" s="121"/>
      <c r="AM57" s="121"/>
      <c r="AN57" s="122">
        <f t="shared" si="4"/>
        <v>41.75</v>
      </c>
      <c r="AO57" s="118">
        <v>160000</v>
      </c>
      <c r="AP57" s="123">
        <f t="shared" si="5"/>
        <v>6680000</v>
      </c>
    </row>
    <row r="58" spans="1:42" ht="24.9" customHeight="1" x14ac:dyDescent="0.4">
      <c r="A58" s="124">
        <v>53</v>
      </c>
      <c r="B58" s="116" t="s">
        <v>502</v>
      </c>
      <c r="C58" s="117" t="s">
        <v>503</v>
      </c>
      <c r="D58" s="127" t="s">
        <v>316</v>
      </c>
      <c r="E58" s="117" t="s">
        <v>504</v>
      </c>
      <c r="F58" s="126" t="s">
        <v>401</v>
      </c>
      <c r="G58" s="119" t="s">
        <v>502</v>
      </c>
      <c r="H58" s="120" t="s">
        <v>505</v>
      </c>
      <c r="I58" s="121">
        <v>1.5</v>
      </c>
      <c r="J58" s="121">
        <v>1.5</v>
      </c>
      <c r="K58" s="121">
        <v>1.5</v>
      </c>
      <c r="L58" s="121">
        <v>1</v>
      </c>
      <c r="M58" s="121"/>
      <c r="N58" s="121">
        <v>1.5</v>
      </c>
      <c r="O58" s="121">
        <v>1.5</v>
      </c>
      <c r="P58" s="121">
        <v>1.5</v>
      </c>
      <c r="Q58" s="121">
        <v>1.5</v>
      </c>
      <c r="R58" s="121">
        <v>1.5</v>
      </c>
      <c r="S58" s="121"/>
      <c r="T58" s="121"/>
      <c r="U58" s="121">
        <v>1.5</v>
      </c>
      <c r="V58" s="121">
        <v>1.5</v>
      </c>
      <c r="W58" s="121">
        <v>1</v>
      </c>
      <c r="X58" s="121">
        <v>1.5</v>
      </c>
      <c r="Y58" s="121">
        <v>1.5</v>
      </c>
      <c r="Z58" s="121">
        <v>1</v>
      </c>
      <c r="AA58" s="121"/>
      <c r="AB58" s="121">
        <v>1.5</v>
      </c>
      <c r="AC58" s="121">
        <v>1.5</v>
      </c>
      <c r="AD58" s="121">
        <v>1</v>
      </c>
      <c r="AE58" s="121">
        <v>1.5</v>
      </c>
      <c r="AF58" s="121">
        <v>1.5</v>
      </c>
      <c r="AG58" s="121"/>
      <c r="AH58" s="121"/>
      <c r="AI58" s="121">
        <v>1.5</v>
      </c>
      <c r="AJ58" s="121">
        <v>1.5</v>
      </c>
      <c r="AK58" s="121">
        <v>1.5</v>
      </c>
      <c r="AL58" s="121">
        <v>1.5</v>
      </c>
      <c r="AM58" s="121"/>
      <c r="AN58" s="122">
        <f t="shared" si="4"/>
        <v>34</v>
      </c>
      <c r="AO58" s="118">
        <v>150000</v>
      </c>
      <c r="AP58" s="123">
        <f t="shared" si="5"/>
        <v>5100000</v>
      </c>
    </row>
    <row r="59" spans="1:42" ht="24.9" customHeight="1" x14ac:dyDescent="0.4">
      <c r="A59" s="124">
        <v>54</v>
      </c>
      <c r="B59" s="116" t="s">
        <v>765</v>
      </c>
      <c r="C59" s="117" t="s">
        <v>766</v>
      </c>
      <c r="D59" s="125" t="s">
        <v>316</v>
      </c>
      <c r="E59" s="117" t="s">
        <v>813</v>
      </c>
      <c r="F59" s="126" t="s">
        <v>377</v>
      </c>
      <c r="G59" s="119" t="s">
        <v>765</v>
      </c>
      <c r="H59" s="120" t="s">
        <v>767</v>
      </c>
      <c r="I59" s="121"/>
      <c r="J59" s="121"/>
      <c r="K59" s="121"/>
      <c r="L59" s="121"/>
      <c r="M59" s="121"/>
      <c r="N59" s="121"/>
      <c r="O59" s="121">
        <v>0.75</v>
      </c>
      <c r="P59" s="121"/>
      <c r="Q59" s="121">
        <v>1</v>
      </c>
      <c r="R59" s="121">
        <v>1.5</v>
      </c>
      <c r="S59" s="121"/>
      <c r="T59" s="121"/>
      <c r="U59" s="121">
        <v>1</v>
      </c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2">
        <f t="shared" si="4"/>
        <v>4.25</v>
      </c>
      <c r="AO59" s="118">
        <v>150000</v>
      </c>
      <c r="AP59" s="123">
        <f t="shared" si="5"/>
        <v>637500</v>
      </c>
    </row>
    <row r="60" spans="1:42" ht="24.9" customHeight="1" x14ac:dyDescent="0.4">
      <c r="A60" s="124">
        <v>55</v>
      </c>
      <c r="B60" s="116" t="s">
        <v>506</v>
      </c>
      <c r="C60" s="117" t="s">
        <v>507</v>
      </c>
      <c r="D60" s="125" t="s">
        <v>364</v>
      </c>
      <c r="E60" s="117" t="s">
        <v>508</v>
      </c>
      <c r="F60" s="126" t="s">
        <v>328</v>
      </c>
      <c r="G60" s="119" t="s">
        <v>506</v>
      </c>
      <c r="H60" s="120" t="s">
        <v>509</v>
      </c>
      <c r="I60" s="121">
        <v>1.5</v>
      </c>
      <c r="J60" s="121">
        <v>1.5</v>
      </c>
      <c r="K60" s="121">
        <v>1.5</v>
      </c>
      <c r="L60" s="121">
        <v>1</v>
      </c>
      <c r="M60" s="121"/>
      <c r="N60" s="121">
        <v>1.5</v>
      </c>
      <c r="O60" s="121">
        <v>1.5</v>
      </c>
      <c r="P60" s="121">
        <v>1.5</v>
      </c>
      <c r="Q60" s="121">
        <v>1.5</v>
      </c>
      <c r="R60" s="121">
        <v>1.5</v>
      </c>
      <c r="S60" s="121"/>
      <c r="T60" s="121"/>
      <c r="U60" s="121">
        <v>1.5</v>
      </c>
      <c r="V60" s="121">
        <v>1.5</v>
      </c>
      <c r="W60" s="121">
        <v>1</v>
      </c>
      <c r="X60" s="121">
        <v>1.5</v>
      </c>
      <c r="Y60" s="121">
        <v>1.5</v>
      </c>
      <c r="Z60" s="121">
        <v>1</v>
      </c>
      <c r="AA60" s="121"/>
      <c r="AB60" s="121">
        <v>1.5</v>
      </c>
      <c r="AC60" s="121">
        <v>1.5</v>
      </c>
      <c r="AD60" s="121">
        <v>1</v>
      </c>
      <c r="AE60" s="121">
        <v>1.5</v>
      </c>
      <c r="AF60" s="121">
        <v>1.5</v>
      </c>
      <c r="AG60" s="121">
        <v>1</v>
      </c>
      <c r="AH60" s="121"/>
      <c r="AI60" s="121">
        <v>1.5</v>
      </c>
      <c r="AJ60" s="121">
        <v>1.5</v>
      </c>
      <c r="AK60" s="121">
        <v>1.5</v>
      </c>
      <c r="AL60" s="121">
        <v>1.5</v>
      </c>
      <c r="AM60" s="121"/>
      <c r="AN60" s="122">
        <f t="shared" si="4"/>
        <v>35</v>
      </c>
      <c r="AO60" s="118">
        <v>200000</v>
      </c>
      <c r="AP60" s="123">
        <f t="shared" si="5"/>
        <v>7000000</v>
      </c>
    </row>
    <row r="61" spans="1:42" ht="24.9" customHeight="1" x14ac:dyDescent="0.4">
      <c r="A61" s="124">
        <v>56</v>
      </c>
      <c r="B61" s="116" t="s">
        <v>768</v>
      </c>
      <c r="C61" s="117" t="s">
        <v>769</v>
      </c>
      <c r="D61" s="127" t="s">
        <v>316</v>
      </c>
      <c r="E61" s="117" t="s">
        <v>770</v>
      </c>
      <c r="F61" s="126" t="s">
        <v>328</v>
      </c>
      <c r="G61" s="119" t="s">
        <v>768</v>
      </c>
      <c r="H61" s="120" t="s">
        <v>771</v>
      </c>
      <c r="I61" s="121"/>
      <c r="J61" s="121"/>
      <c r="K61" s="121"/>
      <c r="L61" s="121"/>
      <c r="M61" s="121"/>
      <c r="N61" s="121"/>
      <c r="O61" s="121">
        <v>0.75</v>
      </c>
      <c r="P61" s="121"/>
      <c r="Q61" s="121">
        <v>1</v>
      </c>
      <c r="R61" s="121">
        <v>1.5</v>
      </c>
      <c r="S61" s="121"/>
      <c r="T61" s="121"/>
      <c r="U61" s="121">
        <v>1.25</v>
      </c>
      <c r="V61" s="121">
        <v>1.5</v>
      </c>
      <c r="W61" s="121">
        <v>1</v>
      </c>
      <c r="X61" s="121">
        <v>1.5</v>
      </c>
      <c r="Y61" s="121"/>
      <c r="Z61" s="121">
        <v>1</v>
      </c>
      <c r="AA61" s="121"/>
      <c r="AB61" s="121">
        <v>1.5</v>
      </c>
      <c r="AC61" s="121">
        <v>1.5</v>
      </c>
      <c r="AD61" s="121">
        <v>1</v>
      </c>
      <c r="AE61" s="121">
        <v>1.5</v>
      </c>
      <c r="AF61" s="121">
        <v>1.5</v>
      </c>
      <c r="AG61" s="121"/>
      <c r="AH61" s="121"/>
      <c r="AI61" s="121">
        <v>1.5</v>
      </c>
      <c r="AJ61" s="121"/>
      <c r="AK61" s="121"/>
      <c r="AL61" s="121"/>
      <c r="AM61" s="121"/>
      <c r="AN61" s="122">
        <f t="shared" si="4"/>
        <v>18</v>
      </c>
      <c r="AO61" s="118">
        <v>170000</v>
      </c>
      <c r="AP61" s="123">
        <f t="shared" si="5"/>
        <v>3060000</v>
      </c>
    </row>
    <row r="62" spans="1:42" ht="24.9" customHeight="1" x14ac:dyDescent="0.4">
      <c r="A62" s="124">
        <v>57</v>
      </c>
      <c r="B62" s="116" t="s">
        <v>510</v>
      </c>
      <c r="C62" s="117" t="s">
        <v>511</v>
      </c>
      <c r="D62" s="125" t="s">
        <v>316</v>
      </c>
      <c r="E62" s="117" t="s">
        <v>512</v>
      </c>
      <c r="F62" s="126" t="s">
        <v>401</v>
      </c>
      <c r="G62" s="119" t="s">
        <v>510</v>
      </c>
      <c r="H62" s="120" t="s">
        <v>513</v>
      </c>
      <c r="I62" s="121">
        <v>1.5</v>
      </c>
      <c r="J62" s="121">
        <v>1.5</v>
      </c>
      <c r="K62" s="121">
        <v>1.5</v>
      </c>
      <c r="L62" s="121">
        <v>1</v>
      </c>
      <c r="M62" s="121"/>
      <c r="N62" s="121">
        <v>1.5</v>
      </c>
      <c r="O62" s="121">
        <v>1.5</v>
      </c>
      <c r="P62" s="121">
        <v>1.5</v>
      </c>
      <c r="Q62" s="121">
        <v>1.5</v>
      </c>
      <c r="R62" s="121">
        <v>0.375</v>
      </c>
      <c r="S62" s="121">
        <v>1</v>
      </c>
      <c r="T62" s="121"/>
      <c r="U62" s="121"/>
      <c r="V62" s="121">
        <v>1.5</v>
      </c>
      <c r="W62" s="121">
        <v>1</v>
      </c>
      <c r="X62" s="121">
        <v>1.5</v>
      </c>
      <c r="Y62" s="121">
        <v>1.5</v>
      </c>
      <c r="Z62" s="121">
        <v>1</v>
      </c>
      <c r="AA62" s="121"/>
      <c r="AB62" s="121">
        <v>1.5</v>
      </c>
      <c r="AC62" s="121">
        <v>1.5</v>
      </c>
      <c r="AD62" s="121">
        <v>1</v>
      </c>
      <c r="AE62" s="121">
        <v>1.5</v>
      </c>
      <c r="AF62" s="121">
        <v>1.5</v>
      </c>
      <c r="AG62" s="121">
        <v>0.5</v>
      </c>
      <c r="AH62" s="121"/>
      <c r="AI62" s="121">
        <v>1.5</v>
      </c>
      <c r="AJ62" s="121">
        <v>1.5</v>
      </c>
      <c r="AK62" s="121">
        <v>1.5</v>
      </c>
      <c r="AL62" s="121">
        <v>1.5</v>
      </c>
      <c r="AM62" s="121"/>
      <c r="AN62" s="122">
        <f t="shared" si="4"/>
        <v>32.875</v>
      </c>
      <c r="AO62" s="118">
        <v>200000</v>
      </c>
      <c r="AP62" s="123">
        <f t="shared" si="5"/>
        <v>6575000</v>
      </c>
    </row>
    <row r="63" spans="1:42" ht="24.9" customHeight="1" x14ac:dyDescent="0.4">
      <c r="A63" s="124">
        <v>58</v>
      </c>
      <c r="B63" s="116" t="s">
        <v>514</v>
      </c>
      <c r="C63" s="117" t="s">
        <v>515</v>
      </c>
      <c r="D63" s="127" t="s">
        <v>316</v>
      </c>
      <c r="E63" s="117" t="s">
        <v>516</v>
      </c>
      <c r="F63" s="126" t="s">
        <v>312</v>
      </c>
      <c r="G63" s="119" t="s">
        <v>514</v>
      </c>
      <c r="H63" s="120" t="s">
        <v>517</v>
      </c>
      <c r="I63" s="121">
        <v>1.5</v>
      </c>
      <c r="J63" s="121">
        <v>1.5</v>
      </c>
      <c r="K63" s="121">
        <v>1.5</v>
      </c>
      <c r="L63" s="121">
        <v>1</v>
      </c>
      <c r="M63" s="121"/>
      <c r="N63" s="121">
        <v>1.5</v>
      </c>
      <c r="O63" s="121">
        <v>1.5</v>
      </c>
      <c r="P63" s="121">
        <v>1.5</v>
      </c>
      <c r="Q63" s="121">
        <v>1.5</v>
      </c>
      <c r="R63" s="121">
        <v>1.5</v>
      </c>
      <c r="S63" s="121">
        <v>1</v>
      </c>
      <c r="T63" s="121"/>
      <c r="U63" s="121">
        <v>1.5</v>
      </c>
      <c r="V63" s="121">
        <v>1.5</v>
      </c>
      <c r="W63" s="121">
        <v>1</v>
      </c>
      <c r="X63" s="121">
        <v>1.5</v>
      </c>
      <c r="Y63" s="121">
        <v>1.5</v>
      </c>
      <c r="Z63" s="121">
        <v>1</v>
      </c>
      <c r="AA63" s="121"/>
      <c r="AB63" s="121">
        <v>1.5</v>
      </c>
      <c r="AC63" s="121">
        <v>1.5</v>
      </c>
      <c r="AD63" s="121">
        <v>1</v>
      </c>
      <c r="AE63" s="121">
        <v>1.5</v>
      </c>
      <c r="AF63" s="121">
        <v>1.5</v>
      </c>
      <c r="AG63" s="121">
        <v>1</v>
      </c>
      <c r="AH63" s="121"/>
      <c r="AI63" s="121">
        <v>1.5</v>
      </c>
      <c r="AJ63" s="121">
        <v>1.5</v>
      </c>
      <c r="AK63" s="121">
        <v>1.5</v>
      </c>
      <c r="AL63" s="121">
        <v>1.5</v>
      </c>
      <c r="AM63" s="121"/>
      <c r="AN63" s="122">
        <f t="shared" si="4"/>
        <v>36</v>
      </c>
      <c r="AO63" s="118">
        <v>150000</v>
      </c>
      <c r="AP63" s="123">
        <f t="shared" si="5"/>
        <v>5400000</v>
      </c>
    </row>
    <row r="64" spans="1:42" ht="24.9" customHeight="1" x14ac:dyDescent="0.4">
      <c r="A64" s="124">
        <v>59</v>
      </c>
      <c r="B64" s="116" t="s">
        <v>518</v>
      </c>
      <c r="C64" s="117" t="s">
        <v>519</v>
      </c>
      <c r="D64" s="127" t="s">
        <v>316</v>
      </c>
      <c r="E64" s="117" t="s">
        <v>520</v>
      </c>
      <c r="F64" s="126" t="s">
        <v>312</v>
      </c>
      <c r="G64" s="119" t="s">
        <v>518</v>
      </c>
      <c r="H64" s="120" t="s">
        <v>521</v>
      </c>
      <c r="I64" s="121">
        <v>2</v>
      </c>
      <c r="J64" s="121">
        <v>2</v>
      </c>
      <c r="K64" s="121">
        <v>2</v>
      </c>
      <c r="L64" s="121"/>
      <c r="M64" s="121"/>
      <c r="N64" s="121">
        <v>2</v>
      </c>
      <c r="O64" s="121">
        <v>1.75</v>
      </c>
      <c r="P64" s="121">
        <v>2</v>
      </c>
      <c r="Q64" s="121">
        <v>2</v>
      </c>
      <c r="R64" s="121">
        <v>2</v>
      </c>
      <c r="S64" s="121"/>
      <c r="T64" s="121"/>
      <c r="U64" s="121">
        <v>2</v>
      </c>
      <c r="V64" s="121">
        <v>2</v>
      </c>
      <c r="W64" s="121">
        <v>2</v>
      </c>
      <c r="X64" s="121">
        <v>2</v>
      </c>
      <c r="Y64" s="121">
        <v>2</v>
      </c>
      <c r="Z64" s="121"/>
      <c r="AA64" s="121"/>
      <c r="AB64" s="121">
        <v>2</v>
      </c>
      <c r="AC64" s="121">
        <v>1.75</v>
      </c>
      <c r="AD64" s="121">
        <v>2</v>
      </c>
      <c r="AE64" s="121">
        <v>2</v>
      </c>
      <c r="AF64" s="121">
        <v>2</v>
      </c>
      <c r="AG64" s="121"/>
      <c r="AH64" s="121"/>
      <c r="AI64" s="121">
        <v>2</v>
      </c>
      <c r="AJ64" s="121">
        <v>2</v>
      </c>
      <c r="AK64" s="121">
        <v>2</v>
      </c>
      <c r="AL64" s="121"/>
      <c r="AM64" s="121"/>
      <c r="AN64" s="122">
        <f t="shared" si="4"/>
        <v>41.5</v>
      </c>
      <c r="AO64" s="118">
        <v>150000</v>
      </c>
      <c r="AP64" s="123">
        <f t="shared" si="5"/>
        <v>6225000</v>
      </c>
    </row>
    <row r="65" spans="1:42" ht="24.9" customHeight="1" x14ac:dyDescent="0.4">
      <c r="A65" s="124">
        <v>60</v>
      </c>
      <c r="B65" s="116" t="s">
        <v>522</v>
      </c>
      <c r="C65" s="117" t="s">
        <v>523</v>
      </c>
      <c r="D65" s="127" t="s">
        <v>316</v>
      </c>
      <c r="E65" s="117" t="s">
        <v>524</v>
      </c>
      <c r="F65" s="126" t="s">
        <v>377</v>
      </c>
      <c r="G65" s="119" t="s">
        <v>522</v>
      </c>
      <c r="H65" s="120" t="s">
        <v>525</v>
      </c>
      <c r="I65" s="121">
        <v>1.5</v>
      </c>
      <c r="J65" s="121">
        <v>1.5</v>
      </c>
      <c r="K65" s="121">
        <v>1.5</v>
      </c>
      <c r="L65" s="121">
        <v>0.5</v>
      </c>
      <c r="M65" s="121"/>
      <c r="N65" s="121">
        <v>1.5</v>
      </c>
      <c r="O65" s="121">
        <v>1.5</v>
      </c>
      <c r="P65" s="121">
        <v>1.5</v>
      </c>
      <c r="Q65" s="121">
        <v>1.5</v>
      </c>
      <c r="R65" s="121">
        <v>1.5</v>
      </c>
      <c r="S65" s="121">
        <v>1</v>
      </c>
      <c r="T65" s="121"/>
      <c r="U65" s="121">
        <v>1.5</v>
      </c>
      <c r="V65" s="121">
        <v>1.5</v>
      </c>
      <c r="W65" s="121">
        <v>1</v>
      </c>
      <c r="X65" s="121">
        <v>1.5</v>
      </c>
      <c r="Y65" s="121">
        <v>1.5</v>
      </c>
      <c r="Z65" s="121"/>
      <c r="AA65" s="121"/>
      <c r="AB65" s="121"/>
      <c r="AC65" s="121">
        <v>1.5</v>
      </c>
      <c r="AD65" s="121">
        <v>1</v>
      </c>
      <c r="AE65" s="121"/>
      <c r="AF65" s="121"/>
      <c r="AG65" s="121"/>
      <c r="AH65" s="121"/>
      <c r="AI65" s="121">
        <v>1.5</v>
      </c>
      <c r="AJ65" s="121">
        <v>1.5</v>
      </c>
      <c r="AK65" s="121">
        <v>1.5</v>
      </c>
      <c r="AL65" s="121">
        <v>1.5</v>
      </c>
      <c r="AM65" s="121"/>
      <c r="AN65" s="122">
        <f t="shared" si="4"/>
        <v>29</v>
      </c>
      <c r="AO65" s="118">
        <v>150000</v>
      </c>
      <c r="AP65" s="123">
        <f t="shared" si="5"/>
        <v>4350000</v>
      </c>
    </row>
    <row r="66" spans="1:42" ht="24.9" customHeight="1" x14ac:dyDescent="0.4">
      <c r="A66" s="124">
        <v>61</v>
      </c>
      <c r="B66" s="116" t="s">
        <v>526</v>
      </c>
      <c r="C66" s="117" t="s">
        <v>527</v>
      </c>
      <c r="D66" s="125" t="s">
        <v>364</v>
      </c>
      <c r="E66" s="117" t="s">
        <v>528</v>
      </c>
      <c r="F66" s="126" t="s">
        <v>323</v>
      </c>
      <c r="G66" s="119" t="s">
        <v>526</v>
      </c>
      <c r="H66" s="120" t="s">
        <v>529</v>
      </c>
      <c r="I66" s="121">
        <v>1.5</v>
      </c>
      <c r="J66" s="121">
        <v>1.5</v>
      </c>
      <c r="K66" s="121">
        <v>1.5</v>
      </c>
      <c r="L66" s="121"/>
      <c r="M66" s="121"/>
      <c r="N66" s="121">
        <v>1.5</v>
      </c>
      <c r="O66" s="121">
        <v>1.5</v>
      </c>
      <c r="P66" s="121">
        <v>1.5</v>
      </c>
      <c r="Q66" s="121">
        <v>1.5</v>
      </c>
      <c r="R66" s="121">
        <v>1.5</v>
      </c>
      <c r="S66" s="121">
        <v>0.5</v>
      </c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2">
        <f t="shared" si="4"/>
        <v>12.5</v>
      </c>
      <c r="AO66" s="118">
        <v>220000</v>
      </c>
      <c r="AP66" s="123">
        <f t="shared" si="5"/>
        <v>2750000</v>
      </c>
    </row>
    <row r="67" spans="1:42" ht="24.9" customHeight="1" x14ac:dyDescent="0.4">
      <c r="A67" s="124">
        <v>62</v>
      </c>
      <c r="B67" s="116" t="s">
        <v>530</v>
      </c>
      <c r="C67" s="117" t="s">
        <v>531</v>
      </c>
      <c r="D67" s="125" t="s">
        <v>316</v>
      </c>
      <c r="E67" s="117" t="s">
        <v>532</v>
      </c>
      <c r="F67" s="126" t="s">
        <v>318</v>
      </c>
      <c r="G67" s="119" t="s">
        <v>530</v>
      </c>
      <c r="H67" s="120" t="s">
        <v>533</v>
      </c>
      <c r="I67" s="121">
        <v>1.5</v>
      </c>
      <c r="J67" s="121">
        <v>1.5</v>
      </c>
      <c r="K67" s="121">
        <v>1.5</v>
      </c>
      <c r="L67" s="121">
        <v>1</v>
      </c>
      <c r="M67" s="121"/>
      <c r="N67" s="121">
        <v>1.5</v>
      </c>
      <c r="O67" s="121">
        <v>1.5</v>
      </c>
      <c r="P67" s="121">
        <v>1.5</v>
      </c>
      <c r="Q67" s="121">
        <v>1.5</v>
      </c>
      <c r="R67" s="121">
        <v>1.5</v>
      </c>
      <c r="S67" s="121">
        <v>1</v>
      </c>
      <c r="T67" s="121"/>
      <c r="U67" s="121">
        <v>1.5</v>
      </c>
      <c r="V67" s="121">
        <v>1.5</v>
      </c>
      <c r="W67" s="121">
        <v>1</v>
      </c>
      <c r="X67" s="121">
        <v>1.5</v>
      </c>
      <c r="Y67" s="121">
        <v>1.5</v>
      </c>
      <c r="Z67" s="121">
        <v>1</v>
      </c>
      <c r="AA67" s="121"/>
      <c r="AB67" s="121">
        <v>1.5</v>
      </c>
      <c r="AC67" s="121">
        <v>1.5</v>
      </c>
      <c r="AD67" s="121">
        <v>1</v>
      </c>
      <c r="AE67" s="121">
        <v>1.5</v>
      </c>
      <c r="AF67" s="121">
        <v>1.5</v>
      </c>
      <c r="AG67" s="121"/>
      <c r="AH67" s="121"/>
      <c r="AI67" s="121">
        <v>1.5</v>
      </c>
      <c r="AJ67" s="121">
        <v>1.5</v>
      </c>
      <c r="AK67" s="121">
        <v>1.5</v>
      </c>
      <c r="AL67" s="121">
        <v>1.5</v>
      </c>
      <c r="AM67" s="121"/>
      <c r="AN67" s="122">
        <f t="shared" si="4"/>
        <v>35</v>
      </c>
      <c r="AO67" s="118">
        <v>190000</v>
      </c>
      <c r="AP67" s="123">
        <f t="shared" si="5"/>
        <v>6650000</v>
      </c>
    </row>
    <row r="68" spans="1:42" ht="24.9" customHeight="1" x14ac:dyDescent="0.4">
      <c r="A68" s="124">
        <v>63</v>
      </c>
      <c r="B68" s="116" t="s">
        <v>534</v>
      </c>
      <c r="C68" s="117" t="s">
        <v>535</v>
      </c>
      <c r="D68" s="127" t="s">
        <v>316</v>
      </c>
      <c r="E68" s="117" t="s">
        <v>536</v>
      </c>
      <c r="F68" s="126" t="s">
        <v>383</v>
      </c>
      <c r="G68" s="119" t="s">
        <v>534</v>
      </c>
      <c r="H68" s="120" t="s">
        <v>537</v>
      </c>
      <c r="I68" s="121">
        <v>2</v>
      </c>
      <c r="J68" s="121">
        <v>2</v>
      </c>
      <c r="K68" s="121">
        <v>2</v>
      </c>
      <c r="L68" s="121"/>
      <c r="M68" s="121"/>
      <c r="N68" s="121">
        <v>2</v>
      </c>
      <c r="O68" s="121">
        <v>2</v>
      </c>
      <c r="P68" s="121">
        <v>2</v>
      </c>
      <c r="Q68" s="121">
        <v>2</v>
      </c>
      <c r="R68" s="121">
        <v>2</v>
      </c>
      <c r="S68" s="121"/>
      <c r="T68" s="121"/>
      <c r="U68" s="121">
        <v>2</v>
      </c>
      <c r="V68" s="121">
        <v>2</v>
      </c>
      <c r="W68" s="121">
        <v>2</v>
      </c>
      <c r="X68" s="121">
        <v>2</v>
      </c>
      <c r="Y68" s="121">
        <v>2</v>
      </c>
      <c r="Z68" s="121"/>
      <c r="AA68" s="121"/>
      <c r="AB68" s="121">
        <v>2</v>
      </c>
      <c r="AC68" s="121">
        <v>2</v>
      </c>
      <c r="AD68" s="121">
        <v>2</v>
      </c>
      <c r="AE68" s="121">
        <v>2</v>
      </c>
      <c r="AF68" s="121">
        <v>2</v>
      </c>
      <c r="AG68" s="121"/>
      <c r="AH68" s="121"/>
      <c r="AI68" s="121">
        <v>2</v>
      </c>
      <c r="AJ68" s="121">
        <v>2</v>
      </c>
      <c r="AK68" s="121">
        <v>2</v>
      </c>
      <c r="AL68" s="121"/>
      <c r="AM68" s="121"/>
      <c r="AN68" s="122">
        <f t="shared" si="4"/>
        <v>42</v>
      </c>
      <c r="AO68" s="118">
        <v>150000</v>
      </c>
      <c r="AP68" s="123">
        <f t="shared" si="5"/>
        <v>6300000</v>
      </c>
    </row>
    <row r="69" spans="1:42" ht="24.9" customHeight="1" x14ac:dyDescent="0.4">
      <c r="A69" s="124">
        <v>64</v>
      </c>
      <c r="B69" s="116" t="s">
        <v>772</v>
      </c>
      <c r="C69" s="117" t="s">
        <v>773</v>
      </c>
      <c r="D69" s="125" t="s">
        <v>364</v>
      </c>
      <c r="E69" s="117" t="s">
        <v>774</v>
      </c>
      <c r="F69" s="126" t="s">
        <v>377</v>
      </c>
      <c r="G69" s="119" t="s">
        <v>772</v>
      </c>
      <c r="H69" s="120" t="s">
        <v>775</v>
      </c>
      <c r="I69" s="121"/>
      <c r="J69" s="121"/>
      <c r="K69" s="121"/>
      <c r="L69" s="121"/>
      <c r="M69" s="121"/>
      <c r="N69" s="121"/>
      <c r="O69" s="121">
        <v>1</v>
      </c>
      <c r="P69" s="121"/>
      <c r="Q69" s="121">
        <v>1</v>
      </c>
      <c r="R69" s="121">
        <v>1.5</v>
      </c>
      <c r="S69" s="121"/>
      <c r="T69" s="121"/>
      <c r="U69" s="121">
        <v>1.5</v>
      </c>
      <c r="V69" s="121">
        <v>1.5</v>
      </c>
      <c r="W69" s="121">
        <v>1</v>
      </c>
      <c r="X69" s="121">
        <v>1.5</v>
      </c>
      <c r="Y69" s="121"/>
      <c r="Z69" s="121"/>
      <c r="AA69" s="121"/>
      <c r="AB69" s="121">
        <v>1.5</v>
      </c>
      <c r="AC69" s="121">
        <v>1.5</v>
      </c>
      <c r="AD69" s="121">
        <v>1</v>
      </c>
      <c r="AE69" s="121"/>
      <c r="AF69" s="121">
        <v>1.5</v>
      </c>
      <c r="AG69" s="121"/>
      <c r="AH69" s="121"/>
      <c r="AI69" s="121"/>
      <c r="AJ69" s="121">
        <v>1.5</v>
      </c>
      <c r="AK69" s="121">
        <v>1.375</v>
      </c>
      <c r="AL69" s="121"/>
      <c r="AM69" s="121"/>
      <c r="AN69" s="122">
        <f t="shared" si="4"/>
        <v>17.375</v>
      </c>
      <c r="AO69" s="118">
        <v>210000</v>
      </c>
      <c r="AP69" s="123">
        <f t="shared" si="5"/>
        <v>3648750</v>
      </c>
    </row>
    <row r="70" spans="1:42" ht="24.9" customHeight="1" x14ac:dyDescent="0.4">
      <c r="A70" s="124">
        <v>65</v>
      </c>
      <c r="B70" s="116" t="s">
        <v>538</v>
      </c>
      <c r="C70" s="117" t="s">
        <v>539</v>
      </c>
      <c r="D70" s="127" t="s">
        <v>316</v>
      </c>
      <c r="E70" s="117" t="s">
        <v>540</v>
      </c>
      <c r="F70" s="126" t="s">
        <v>372</v>
      </c>
      <c r="G70" s="119" t="s">
        <v>538</v>
      </c>
      <c r="H70" s="120" t="s">
        <v>541</v>
      </c>
      <c r="I70" s="121">
        <v>1.5</v>
      </c>
      <c r="J70" s="121">
        <v>1.5</v>
      </c>
      <c r="K70" s="121">
        <v>1.5</v>
      </c>
      <c r="L70" s="121"/>
      <c r="M70" s="121"/>
      <c r="N70" s="121">
        <v>1.5</v>
      </c>
      <c r="O70" s="121">
        <v>1.5</v>
      </c>
      <c r="P70" s="121">
        <v>1.5</v>
      </c>
      <c r="Q70" s="121">
        <v>1.5</v>
      </c>
      <c r="R70" s="121">
        <v>1.5</v>
      </c>
      <c r="S70" s="121">
        <v>1</v>
      </c>
      <c r="T70" s="121"/>
      <c r="U70" s="121">
        <v>1.5</v>
      </c>
      <c r="V70" s="121">
        <v>1.5</v>
      </c>
      <c r="W70" s="121">
        <v>1</v>
      </c>
      <c r="X70" s="121">
        <v>1.5</v>
      </c>
      <c r="Y70" s="121">
        <v>1.5</v>
      </c>
      <c r="Z70" s="121">
        <v>0.5</v>
      </c>
      <c r="AA70" s="121"/>
      <c r="AB70" s="121">
        <v>1.5</v>
      </c>
      <c r="AC70" s="121">
        <v>1.5</v>
      </c>
      <c r="AD70" s="121">
        <v>1</v>
      </c>
      <c r="AE70" s="121">
        <v>1.5</v>
      </c>
      <c r="AF70" s="121">
        <v>1.5</v>
      </c>
      <c r="AG70" s="121">
        <v>1</v>
      </c>
      <c r="AH70" s="121"/>
      <c r="AI70" s="121">
        <v>1.5</v>
      </c>
      <c r="AJ70" s="121">
        <v>1.5</v>
      </c>
      <c r="AK70" s="121">
        <v>1.5</v>
      </c>
      <c r="AL70" s="121">
        <v>1.5</v>
      </c>
      <c r="AM70" s="121"/>
      <c r="AN70" s="122">
        <f t="shared" si="4"/>
        <v>34.5</v>
      </c>
      <c r="AO70" s="118">
        <v>170000</v>
      </c>
      <c r="AP70" s="123">
        <f t="shared" si="5"/>
        <v>5865000</v>
      </c>
    </row>
    <row r="71" spans="1:42" ht="24.9" customHeight="1" x14ac:dyDescent="0.4">
      <c r="A71" s="124">
        <v>66</v>
      </c>
      <c r="B71" s="116" t="s">
        <v>542</v>
      </c>
      <c r="C71" s="117" t="s">
        <v>543</v>
      </c>
      <c r="D71" s="127" t="s">
        <v>316</v>
      </c>
      <c r="E71" s="117" t="s">
        <v>544</v>
      </c>
      <c r="F71" s="126" t="s">
        <v>372</v>
      </c>
      <c r="G71" s="119" t="s">
        <v>542</v>
      </c>
      <c r="H71" s="120" t="s">
        <v>545</v>
      </c>
      <c r="I71" s="121">
        <v>2</v>
      </c>
      <c r="J71" s="121">
        <v>2</v>
      </c>
      <c r="K71" s="121">
        <v>0.75</v>
      </c>
      <c r="L71" s="121"/>
      <c r="M71" s="121"/>
      <c r="N71" s="121">
        <v>1.75</v>
      </c>
      <c r="O71" s="121">
        <v>2</v>
      </c>
      <c r="P71" s="121">
        <v>2</v>
      </c>
      <c r="Q71" s="121">
        <v>2</v>
      </c>
      <c r="R71" s="121">
        <v>2</v>
      </c>
      <c r="S71" s="121"/>
      <c r="T71" s="121"/>
      <c r="U71" s="121">
        <v>2</v>
      </c>
      <c r="V71" s="121">
        <v>1.75</v>
      </c>
      <c r="W71" s="121"/>
      <c r="X71" s="121">
        <v>2</v>
      </c>
      <c r="Y71" s="121">
        <v>2</v>
      </c>
      <c r="Z71" s="121"/>
      <c r="AA71" s="121"/>
      <c r="AB71" s="121">
        <v>2</v>
      </c>
      <c r="AC71" s="121">
        <v>2</v>
      </c>
      <c r="AD71" s="121">
        <v>0.5</v>
      </c>
      <c r="AE71" s="121">
        <v>2</v>
      </c>
      <c r="AF71" s="121"/>
      <c r="AG71" s="121"/>
      <c r="AH71" s="121"/>
      <c r="AI71" s="121">
        <v>2</v>
      </c>
      <c r="AJ71" s="121">
        <v>2</v>
      </c>
      <c r="AK71" s="121">
        <v>2</v>
      </c>
      <c r="AL71" s="121"/>
      <c r="AM71" s="121"/>
      <c r="AN71" s="122">
        <f t="shared" si="4"/>
        <v>34.75</v>
      </c>
      <c r="AO71" s="118">
        <v>150000</v>
      </c>
      <c r="AP71" s="123">
        <f t="shared" si="5"/>
        <v>5212500</v>
      </c>
    </row>
    <row r="72" spans="1:42" ht="24.9" customHeight="1" x14ac:dyDescent="0.4">
      <c r="A72" s="124">
        <v>67</v>
      </c>
      <c r="B72" s="116" t="s">
        <v>546</v>
      </c>
      <c r="C72" s="117" t="s">
        <v>547</v>
      </c>
      <c r="D72" s="127" t="s">
        <v>316</v>
      </c>
      <c r="E72" s="117" t="s">
        <v>548</v>
      </c>
      <c r="F72" s="126" t="s">
        <v>335</v>
      </c>
      <c r="G72" s="119" t="s">
        <v>546</v>
      </c>
      <c r="H72" s="120" t="s">
        <v>549</v>
      </c>
      <c r="I72" s="121">
        <v>1.5</v>
      </c>
      <c r="J72" s="121">
        <v>1.5</v>
      </c>
      <c r="K72" s="121">
        <v>1.5</v>
      </c>
      <c r="L72" s="121">
        <v>1</v>
      </c>
      <c r="M72" s="121"/>
      <c r="N72" s="121">
        <v>1.5</v>
      </c>
      <c r="O72" s="121">
        <v>1.5</v>
      </c>
      <c r="P72" s="121">
        <v>1.5</v>
      </c>
      <c r="Q72" s="121">
        <v>1.5</v>
      </c>
      <c r="R72" s="121">
        <v>1.5</v>
      </c>
      <c r="S72" s="121">
        <v>1</v>
      </c>
      <c r="T72" s="121"/>
      <c r="U72" s="121">
        <v>1.5</v>
      </c>
      <c r="V72" s="121">
        <v>1.5</v>
      </c>
      <c r="W72" s="121">
        <v>1</v>
      </c>
      <c r="X72" s="121">
        <v>1.5</v>
      </c>
      <c r="Y72" s="121">
        <v>1.5</v>
      </c>
      <c r="Z72" s="121"/>
      <c r="AA72" s="121"/>
      <c r="AB72" s="121">
        <v>1.5</v>
      </c>
      <c r="AC72" s="121">
        <v>1.5</v>
      </c>
      <c r="AD72" s="121">
        <v>1</v>
      </c>
      <c r="AE72" s="121">
        <v>1.5</v>
      </c>
      <c r="AF72" s="121">
        <v>1.5</v>
      </c>
      <c r="AG72" s="121">
        <v>1</v>
      </c>
      <c r="AH72" s="121"/>
      <c r="AI72" s="121">
        <v>1.375</v>
      </c>
      <c r="AJ72" s="121">
        <v>1.5</v>
      </c>
      <c r="AK72" s="121">
        <v>1.5</v>
      </c>
      <c r="AL72" s="121">
        <v>1.5</v>
      </c>
      <c r="AM72" s="121"/>
      <c r="AN72" s="122">
        <f t="shared" si="4"/>
        <v>34.875</v>
      </c>
      <c r="AO72" s="118">
        <v>160000</v>
      </c>
      <c r="AP72" s="123">
        <f t="shared" si="5"/>
        <v>5580000</v>
      </c>
    </row>
    <row r="73" spans="1:42" ht="24.9" customHeight="1" x14ac:dyDescent="0.4">
      <c r="A73" s="124">
        <v>68</v>
      </c>
      <c r="B73" s="116" t="s">
        <v>550</v>
      </c>
      <c r="C73" s="117" t="s">
        <v>551</v>
      </c>
      <c r="D73" s="125" t="s">
        <v>316</v>
      </c>
      <c r="E73" s="117" t="s">
        <v>552</v>
      </c>
      <c r="F73" s="126" t="s">
        <v>383</v>
      </c>
      <c r="G73" s="119" t="s">
        <v>550</v>
      </c>
      <c r="H73" s="120" t="s">
        <v>553</v>
      </c>
      <c r="I73" s="121">
        <v>2</v>
      </c>
      <c r="J73" s="121">
        <v>2</v>
      </c>
      <c r="K73" s="121"/>
      <c r="L73" s="121"/>
      <c r="M73" s="121"/>
      <c r="N73" s="121">
        <v>2</v>
      </c>
      <c r="O73" s="121">
        <v>2</v>
      </c>
      <c r="P73" s="121">
        <v>2</v>
      </c>
      <c r="Q73" s="121">
        <v>2</v>
      </c>
      <c r="R73" s="121">
        <v>2</v>
      </c>
      <c r="S73" s="121"/>
      <c r="T73" s="121"/>
      <c r="U73" s="121">
        <v>2</v>
      </c>
      <c r="V73" s="121">
        <v>2</v>
      </c>
      <c r="W73" s="121">
        <v>2</v>
      </c>
      <c r="X73" s="121">
        <v>2</v>
      </c>
      <c r="Y73" s="121">
        <v>2</v>
      </c>
      <c r="Z73" s="121"/>
      <c r="AA73" s="121"/>
      <c r="AB73" s="121"/>
      <c r="AC73" s="121">
        <v>2</v>
      </c>
      <c r="AD73" s="121">
        <v>2</v>
      </c>
      <c r="AE73" s="121">
        <v>2</v>
      </c>
      <c r="AF73" s="121">
        <v>2</v>
      </c>
      <c r="AG73" s="121"/>
      <c r="AH73" s="121"/>
      <c r="AI73" s="121">
        <v>2</v>
      </c>
      <c r="AJ73" s="121">
        <v>2</v>
      </c>
      <c r="AK73" s="121">
        <v>2</v>
      </c>
      <c r="AL73" s="121"/>
      <c r="AM73" s="121"/>
      <c r="AN73" s="122">
        <f t="shared" si="4"/>
        <v>38</v>
      </c>
      <c r="AO73" s="118">
        <v>150000</v>
      </c>
      <c r="AP73" s="123">
        <f t="shared" si="5"/>
        <v>5700000</v>
      </c>
    </row>
    <row r="74" spans="1:42" ht="24.9" customHeight="1" x14ac:dyDescent="0.4">
      <c r="A74" s="124">
        <v>69</v>
      </c>
      <c r="B74" s="116" t="s">
        <v>554</v>
      </c>
      <c r="C74" s="117" t="s">
        <v>555</v>
      </c>
      <c r="D74" s="125" t="s">
        <v>316</v>
      </c>
      <c r="E74" s="117" t="s">
        <v>556</v>
      </c>
      <c r="F74" s="126" t="s">
        <v>377</v>
      </c>
      <c r="G74" s="119" t="s">
        <v>554</v>
      </c>
      <c r="H74" s="120" t="s">
        <v>557</v>
      </c>
      <c r="I74" s="121">
        <v>1.5</v>
      </c>
      <c r="J74" s="121">
        <v>1.5</v>
      </c>
      <c r="K74" s="121">
        <v>1.5</v>
      </c>
      <c r="L74" s="121">
        <v>1</v>
      </c>
      <c r="M74" s="121"/>
      <c r="N74" s="121">
        <v>1.5</v>
      </c>
      <c r="O74" s="121">
        <v>1.5</v>
      </c>
      <c r="P74" s="121">
        <v>1.5</v>
      </c>
      <c r="Q74" s="121">
        <v>1.5</v>
      </c>
      <c r="R74" s="121">
        <v>1.5</v>
      </c>
      <c r="S74" s="121">
        <v>1</v>
      </c>
      <c r="T74" s="121"/>
      <c r="U74" s="121">
        <v>1.5</v>
      </c>
      <c r="V74" s="121">
        <v>1.5</v>
      </c>
      <c r="W74" s="121">
        <v>1</v>
      </c>
      <c r="X74" s="121">
        <v>1.5</v>
      </c>
      <c r="Y74" s="121">
        <v>1.5</v>
      </c>
      <c r="Z74" s="121"/>
      <c r="AA74" s="121"/>
      <c r="AB74" s="121">
        <v>1.5</v>
      </c>
      <c r="AC74" s="121">
        <v>1.5</v>
      </c>
      <c r="AD74" s="121">
        <v>1</v>
      </c>
      <c r="AE74" s="121"/>
      <c r="AF74" s="121">
        <v>1.5</v>
      </c>
      <c r="AG74" s="121"/>
      <c r="AH74" s="121"/>
      <c r="AI74" s="121">
        <v>1.5</v>
      </c>
      <c r="AJ74" s="121">
        <v>1.5</v>
      </c>
      <c r="AK74" s="121">
        <v>1.5</v>
      </c>
      <c r="AL74" s="121">
        <v>1.5</v>
      </c>
      <c r="AM74" s="121"/>
      <c r="AN74" s="122">
        <f t="shared" si="4"/>
        <v>32.5</v>
      </c>
      <c r="AO74" s="118">
        <v>150000</v>
      </c>
      <c r="AP74" s="123">
        <f t="shared" si="5"/>
        <v>4875000</v>
      </c>
    </row>
    <row r="75" spans="1:42" ht="24.9" customHeight="1" x14ac:dyDescent="0.4">
      <c r="A75" s="124">
        <v>70</v>
      </c>
      <c r="B75" s="116" t="s">
        <v>558</v>
      </c>
      <c r="C75" s="117" t="s">
        <v>559</v>
      </c>
      <c r="D75" s="127" t="s">
        <v>316</v>
      </c>
      <c r="E75" s="117" t="s">
        <v>560</v>
      </c>
      <c r="F75" s="126" t="s">
        <v>318</v>
      </c>
      <c r="G75" s="119" t="s">
        <v>558</v>
      </c>
      <c r="H75" s="120" t="s">
        <v>561</v>
      </c>
      <c r="I75" s="121">
        <v>1.5</v>
      </c>
      <c r="J75" s="121">
        <v>1.5</v>
      </c>
      <c r="K75" s="121">
        <v>1.5</v>
      </c>
      <c r="L75" s="121">
        <v>1</v>
      </c>
      <c r="M75" s="121"/>
      <c r="N75" s="121">
        <v>1.5</v>
      </c>
      <c r="O75" s="121">
        <v>1.5</v>
      </c>
      <c r="P75" s="121">
        <v>1.5</v>
      </c>
      <c r="Q75" s="121">
        <v>1.5</v>
      </c>
      <c r="R75" s="121">
        <v>1.5</v>
      </c>
      <c r="S75" s="121">
        <v>1</v>
      </c>
      <c r="T75" s="121"/>
      <c r="U75" s="121">
        <v>1.5</v>
      </c>
      <c r="V75" s="121">
        <v>1.5</v>
      </c>
      <c r="W75" s="121">
        <v>1</v>
      </c>
      <c r="X75" s="121">
        <v>1.5</v>
      </c>
      <c r="Y75" s="121">
        <v>1.5</v>
      </c>
      <c r="Z75" s="121">
        <v>1</v>
      </c>
      <c r="AA75" s="121"/>
      <c r="AB75" s="121">
        <v>1.5</v>
      </c>
      <c r="AC75" s="121">
        <v>1.5</v>
      </c>
      <c r="AD75" s="121">
        <v>1</v>
      </c>
      <c r="AE75" s="121">
        <v>1.5</v>
      </c>
      <c r="AF75" s="121">
        <v>1.5</v>
      </c>
      <c r="AG75" s="121">
        <v>1</v>
      </c>
      <c r="AH75" s="121"/>
      <c r="AI75" s="121">
        <v>1.5</v>
      </c>
      <c r="AJ75" s="121">
        <v>1.5</v>
      </c>
      <c r="AK75" s="121">
        <v>1.5</v>
      </c>
      <c r="AL75" s="121">
        <v>1.5</v>
      </c>
      <c r="AM75" s="121"/>
      <c r="AN75" s="122">
        <f t="shared" si="4"/>
        <v>36</v>
      </c>
      <c r="AO75" s="118">
        <v>150000</v>
      </c>
      <c r="AP75" s="123">
        <f t="shared" si="5"/>
        <v>5400000</v>
      </c>
    </row>
    <row r="76" spans="1:42" ht="24.9" customHeight="1" x14ac:dyDescent="0.4">
      <c r="A76" s="124">
        <v>71</v>
      </c>
      <c r="B76" s="116" t="s">
        <v>776</v>
      </c>
      <c r="C76" s="117" t="s">
        <v>777</v>
      </c>
      <c r="D76" s="125" t="s">
        <v>316</v>
      </c>
      <c r="E76" s="117" t="s">
        <v>778</v>
      </c>
      <c r="F76" s="126" t="s">
        <v>318</v>
      </c>
      <c r="G76" s="119" t="s">
        <v>776</v>
      </c>
      <c r="H76" s="120" t="s">
        <v>779</v>
      </c>
      <c r="I76" s="121"/>
      <c r="J76" s="121"/>
      <c r="K76" s="121"/>
      <c r="L76" s="121"/>
      <c r="M76" s="121"/>
      <c r="N76" s="121"/>
      <c r="O76" s="121">
        <v>0.75</v>
      </c>
      <c r="P76" s="121"/>
      <c r="Q76" s="121">
        <v>1</v>
      </c>
      <c r="R76" s="121">
        <v>1.5</v>
      </c>
      <c r="S76" s="121"/>
      <c r="T76" s="121"/>
      <c r="U76" s="121">
        <v>1.5</v>
      </c>
      <c r="V76" s="121">
        <v>1.5</v>
      </c>
      <c r="W76" s="121">
        <v>0.5</v>
      </c>
      <c r="X76" s="121">
        <v>1.5</v>
      </c>
      <c r="Y76" s="121">
        <v>1.5</v>
      </c>
      <c r="Z76" s="121">
        <v>1</v>
      </c>
      <c r="AA76" s="121"/>
      <c r="AB76" s="121">
        <v>1.5</v>
      </c>
      <c r="AC76" s="121">
        <v>1.5</v>
      </c>
      <c r="AD76" s="121">
        <v>1</v>
      </c>
      <c r="AE76" s="121">
        <v>1.5</v>
      </c>
      <c r="AF76" s="121"/>
      <c r="AG76" s="121"/>
      <c r="AH76" s="121"/>
      <c r="AI76" s="121">
        <v>1.5</v>
      </c>
      <c r="AJ76" s="121">
        <v>1.5</v>
      </c>
      <c r="AK76" s="121">
        <v>1.5</v>
      </c>
      <c r="AL76" s="121">
        <v>0.5</v>
      </c>
      <c r="AM76" s="121"/>
      <c r="AN76" s="122">
        <f t="shared" si="4"/>
        <v>21.25</v>
      </c>
      <c r="AO76" s="118">
        <v>180000</v>
      </c>
      <c r="AP76" s="123">
        <f t="shared" si="5"/>
        <v>3825000</v>
      </c>
    </row>
    <row r="77" spans="1:42" ht="24.9" customHeight="1" x14ac:dyDescent="0.4">
      <c r="A77" s="124">
        <v>72</v>
      </c>
      <c r="B77" s="116" t="s">
        <v>562</v>
      </c>
      <c r="C77" s="117" t="s">
        <v>563</v>
      </c>
      <c r="D77" s="127" t="s">
        <v>316</v>
      </c>
      <c r="E77" s="117" t="s">
        <v>564</v>
      </c>
      <c r="F77" s="126" t="s">
        <v>318</v>
      </c>
      <c r="G77" s="119" t="s">
        <v>562</v>
      </c>
      <c r="H77" s="120" t="s">
        <v>565</v>
      </c>
      <c r="I77" s="121">
        <v>1.5</v>
      </c>
      <c r="J77" s="121">
        <v>1.5</v>
      </c>
      <c r="K77" s="121">
        <v>1.5</v>
      </c>
      <c r="L77" s="121"/>
      <c r="M77" s="121"/>
      <c r="N77" s="121">
        <v>1.5</v>
      </c>
      <c r="O77" s="121">
        <v>1.5</v>
      </c>
      <c r="P77" s="121">
        <v>1.5</v>
      </c>
      <c r="Q77" s="121">
        <v>1.5</v>
      </c>
      <c r="R77" s="121">
        <v>1.5</v>
      </c>
      <c r="S77" s="121">
        <v>0.5</v>
      </c>
      <c r="T77" s="121"/>
      <c r="U77" s="121">
        <v>1.5</v>
      </c>
      <c r="V77" s="121">
        <v>1.5</v>
      </c>
      <c r="W77" s="121">
        <v>1</v>
      </c>
      <c r="X77" s="121">
        <v>1.5</v>
      </c>
      <c r="Y77" s="121">
        <v>1.5</v>
      </c>
      <c r="Z77" s="121"/>
      <c r="AA77" s="121"/>
      <c r="AB77" s="121">
        <v>1.5</v>
      </c>
      <c r="AC77" s="121">
        <v>1.5</v>
      </c>
      <c r="AD77" s="121">
        <v>1</v>
      </c>
      <c r="AE77" s="121">
        <v>1.5</v>
      </c>
      <c r="AF77" s="121">
        <v>1.5</v>
      </c>
      <c r="AG77" s="121">
        <v>1</v>
      </c>
      <c r="AH77" s="121"/>
      <c r="AI77" s="121">
        <v>1.5</v>
      </c>
      <c r="AJ77" s="121">
        <v>1.5</v>
      </c>
      <c r="AK77" s="121">
        <v>1.5</v>
      </c>
      <c r="AL77" s="121">
        <v>1.5</v>
      </c>
      <c r="AM77" s="121"/>
      <c r="AN77" s="122">
        <f t="shared" si="4"/>
        <v>33.5</v>
      </c>
      <c r="AO77" s="118">
        <v>150000</v>
      </c>
      <c r="AP77" s="123">
        <f t="shared" si="5"/>
        <v>5025000</v>
      </c>
    </row>
    <row r="78" spans="1:42" ht="24.9" customHeight="1" x14ac:dyDescent="0.4">
      <c r="A78" s="124">
        <v>73</v>
      </c>
      <c r="B78" s="116" t="s">
        <v>780</v>
      </c>
      <c r="C78" s="117" t="s">
        <v>781</v>
      </c>
      <c r="D78" s="127" t="s">
        <v>364</v>
      </c>
      <c r="E78" s="117" t="s">
        <v>782</v>
      </c>
      <c r="F78" s="126" t="s">
        <v>312</v>
      </c>
      <c r="G78" s="119" t="s">
        <v>780</v>
      </c>
      <c r="H78" s="120" t="s">
        <v>783</v>
      </c>
      <c r="I78" s="121"/>
      <c r="J78" s="121"/>
      <c r="K78" s="121"/>
      <c r="L78" s="121"/>
      <c r="M78" s="121"/>
      <c r="N78" s="121"/>
      <c r="O78" s="121">
        <v>1</v>
      </c>
      <c r="P78" s="121"/>
      <c r="Q78" s="121">
        <v>1</v>
      </c>
      <c r="R78" s="121">
        <v>1.5</v>
      </c>
      <c r="S78" s="121"/>
      <c r="T78" s="121"/>
      <c r="U78" s="121">
        <v>1.5</v>
      </c>
      <c r="V78" s="121">
        <v>1.5</v>
      </c>
      <c r="W78" s="121">
        <v>1</v>
      </c>
      <c r="X78" s="121">
        <v>1.5</v>
      </c>
      <c r="Y78" s="121">
        <v>1.5</v>
      </c>
      <c r="Z78" s="121"/>
      <c r="AA78" s="121"/>
      <c r="AB78" s="121"/>
      <c r="AC78" s="121">
        <v>1.5</v>
      </c>
      <c r="AD78" s="121">
        <v>1</v>
      </c>
      <c r="AE78" s="121">
        <v>1.5</v>
      </c>
      <c r="AF78" s="121">
        <v>0.5</v>
      </c>
      <c r="AG78" s="121">
        <v>1</v>
      </c>
      <c r="AH78" s="121"/>
      <c r="AI78" s="121">
        <v>1.5</v>
      </c>
      <c r="AJ78" s="121">
        <v>1.5</v>
      </c>
      <c r="AK78" s="121">
        <v>1.5</v>
      </c>
      <c r="AL78" s="121">
        <v>0.5</v>
      </c>
      <c r="AM78" s="121"/>
      <c r="AN78" s="122">
        <f t="shared" si="4"/>
        <v>21</v>
      </c>
      <c r="AO78" s="118">
        <v>210000</v>
      </c>
      <c r="AP78" s="123">
        <f t="shared" si="5"/>
        <v>4410000</v>
      </c>
    </row>
    <row r="79" spans="1:42" ht="24.9" customHeight="1" x14ac:dyDescent="0.4">
      <c r="A79" s="124">
        <v>74</v>
      </c>
      <c r="B79" s="116" t="s">
        <v>566</v>
      </c>
      <c r="C79" s="117" t="s">
        <v>567</v>
      </c>
      <c r="D79" s="127" t="s">
        <v>739</v>
      </c>
      <c r="E79" s="117" t="s">
        <v>568</v>
      </c>
      <c r="F79" s="126" t="s">
        <v>569</v>
      </c>
      <c r="G79" s="119" t="s">
        <v>566</v>
      </c>
      <c r="H79" s="120" t="s">
        <v>570</v>
      </c>
      <c r="I79" s="121">
        <v>1.5</v>
      </c>
      <c r="J79" s="121">
        <v>1.5</v>
      </c>
      <c r="K79" s="121">
        <v>1.5</v>
      </c>
      <c r="L79" s="121">
        <v>1</v>
      </c>
      <c r="M79" s="121"/>
      <c r="N79" s="121">
        <v>1.5</v>
      </c>
      <c r="O79" s="121">
        <v>1.5</v>
      </c>
      <c r="P79" s="121">
        <v>1.5</v>
      </c>
      <c r="Q79" s="121">
        <v>1.5</v>
      </c>
      <c r="R79" s="121">
        <v>1.5</v>
      </c>
      <c r="S79" s="121">
        <v>1</v>
      </c>
      <c r="T79" s="121"/>
      <c r="U79" s="121">
        <v>1.5</v>
      </c>
      <c r="V79" s="121">
        <v>1.5</v>
      </c>
      <c r="W79" s="121">
        <v>1</v>
      </c>
      <c r="X79" s="121">
        <v>1.5</v>
      </c>
      <c r="Y79" s="121">
        <v>1.5</v>
      </c>
      <c r="Z79" s="121">
        <v>1</v>
      </c>
      <c r="AA79" s="121"/>
      <c r="AB79" s="121">
        <v>1.5</v>
      </c>
      <c r="AC79" s="121">
        <v>1.5</v>
      </c>
      <c r="AD79" s="121">
        <v>1</v>
      </c>
      <c r="AE79" s="121">
        <v>1.5</v>
      </c>
      <c r="AF79" s="121">
        <v>1.5</v>
      </c>
      <c r="AG79" s="121">
        <v>1</v>
      </c>
      <c r="AH79" s="121"/>
      <c r="AI79" s="121">
        <v>1.5</v>
      </c>
      <c r="AJ79" s="121">
        <v>1.5</v>
      </c>
      <c r="AK79" s="121">
        <v>1.5</v>
      </c>
      <c r="AL79" s="121">
        <v>1.75</v>
      </c>
      <c r="AM79" s="121"/>
      <c r="AN79" s="122">
        <f t="shared" si="4"/>
        <v>36.25</v>
      </c>
      <c r="AO79" s="118">
        <v>230000</v>
      </c>
      <c r="AP79" s="123">
        <f t="shared" si="5"/>
        <v>8337500</v>
      </c>
    </row>
    <row r="80" spans="1:42" ht="24.9" customHeight="1" x14ac:dyDescent="0.4">
      <c r="A80" s="124">
        <v>75</v>
      </c>
      <c r="B80" s="116" t="s">
        <v>571</v>
      </c>
      <c r="C80" s="117" t="s">
        <v>572</v>
      </c>
      <c r="D80" s="125" t="s">
        <v>316</v>
      </c>
      <c r="E80" s="117" t="s">
        <v>573</v>
      </c>
      <c r="F80" s="126" t="s">
        <v>335</v>
      </c>
      <c r="G80" s="119" t="s">
        <v>571</v>
      </c>
      <c r="H80" s="120" t="s">
        <v>574</v>
      </c>
      <c r="I80" s="121">
        <v>1.5</v>
      </c>
      <c r="J80" s="121">
        <v>1.5</v>
      </c>
      <c r="K80" s="121">
        <v>1.5</v>
      </c>
      <c r="L80" s="121">
        <v>1</v>
      </c>
      <c r="M80" s="121"/>
      <c r="N80" s="121">
        <v>1.5</v>
      </c>
      <c r="O80" s="121">
        <v>1.5</v>
      </c>
      <c r="P80" s="121">
        <v>1.5</v>
      </c>
      <c r="Q80" s="121"/>
      <c r="R80" s="121"/>
      <c r="S80" s="121"/>
      <c r="T80" s="121"/>
      <c r="U80" s="121">
        <v>1.5</v>
      </c>
      <c r="V80" s="121">
        <v>1.5</v>
      </c>
      <c r="W80" s="121">
        <v>1</v>
      </c>
      <c r="X80" s="121">
        <v>1.5</v>
      </c>
      <c r="Y80" s="121">
        <v>1.5</v>
      </c>
      <c r="Z80" s="121">
        <v>1</v>
      </c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2">
        <f t="shared" si="4"/>
        <v>18</v>
      </c>
      <c r="AO80" s="118">
        <v>160000</v>
      </c>
      <c r="AP80" s="123">
        <f t="shared" si="5"/>
        <v>2880000</v>
      </c>
    </row>
    <row r="81" spans="1:42" ht="24.9" customHeight="1" x14ac:dyDescent="0.4">
      <c r="A81" s="124">
        <v>76</v>
      </c>
      <c r="B81" s="116" t="s">
        <v>575</v>
      </c>
      <c r="C81" s="117" t="s">
        <v>576</v>
      </c>
      <c r="D81" s="125" t="s">
        <v>316</v>
      </c>
      <c r="E81" s="117" t="s">
        <v>577</v>
      </c>
      <c r="F81" s="126" t="s">
        <v>312</v>
      </c>
      <c r="G81" s="119" t="s">
        <v>575</v>
      </c>
      <c r="H81" s="120" t="s">
        <v>578</v>
      </c>
      <c r="I81" s="121">
        <v>2</v>
      </c>
      <c r="J81" s="121">
        <v>2</v>
      </c>
      <c r="K81" s="121">
        <v>2</v>
      </c>
      <c r="L81" s="121"/>
      <c r="M81" s="121"/>
      <c r="N81" s="121">
        <v>2</v>
      </c>
      <c r="O81" s="121">
        <v>2</v>
      </c>
      <c r="P81" s="121">
        <v>2</v>
      </c>
      <c r="Q81" s="121">
        <v>2</v>
      </c>
      <c r="R81" s="121">
        <v>2</v>
      </c>
      <c r="S81" s="121"/>
      <c r="T81" s="121"/>
      <c r="U81" s="121">
        <v>2</v>
      </c>
      <c r="V81" s="121">
        <v>2</v>
      </c>
      <c r="W81" s="121">
        <v>2</v>
      </c>
      <c r="X81" s="121">
        <v>2</v>
      </c>
      <c r="Y81" s="121">
        <v>2</v>
      </c>
      <c r="Z81" s="121"/>
      <c r="AA81" s="121"/>
      <c r="AB81" s="121">
        <v>2</v>
      </c>
      <c r="AC81" s="121">
        <v>2</v>
      </c>
      <c r="AD81" s="121">
        <v>2</v>
      </c>
      <c r="AE81" s="121">
        <v>2</v>
      </c>
      <c r="AF81" s="121">
        <v>2</v>
      </c>
      <c r="AG81" s="121"/>
      <c r="AH81" s="121"/>
      <c r="AI81" s="121">
        <v>2</v>
      </c>
      <c r="AJ81" s="121">
        <v>2</v>
      </c>
      <c r="AK81" s="121">
        <v>2</v>
      </c>
      <c r="AL81" s="121"/>
      <c r="AM81" s="121"/>
      <c r="AN81" s="122">
        <f t="shared" si="4"/>
        <v>42</v>
      </c>
      <c r="AO81" s="118">
        <v>160000</v>
      </c>
      <c r="AP81" s="123">
        <f t="shared" si="5"/>
        <v>6720000</v>
      </c>
    </row>
    <row r="82" spans="1:42" ht="24.9" customHeight="1" x14ac:dyDescent="0.4">
      <c r="A82" s="124">
        <v>77</v>
      </c>
      <c r="B82" s="116" t="s">
        <v>579</v>
      </c>
      <c r="C82" s="117" t="s">
        <v>580</v>
      </c>
      <c r="D82" s="127" t="s">
        <v>364</v>
      </c>
      <c r="E82" s="117" t="s">
        <v>581</v>
      </c>
      <c r="F82" s="126" t="s">
        <v>318</v>
      </c>
      <c r="G82" s="119" t="s">
        <v>579</v>
      </c>
      <c r="H82" s="120" t="s">
        <v>582</v>
      </c>
      <c r="I82" s="121">
        <v>1.5</v>
      </c>
      <c r="J82" s="121">
        <v>1.5</v>
      </c>
      <c r="K82" s="121">
        <v>1.5</v>
      </c>
      <c r="L82" s="121">
        <v>1</v>
      </c>
      <c r="M82" s="121"/>
      <c r="N82" s="121">
        <v>1.5</v>
      </c>
      <c r="O82" s="121">
        <v>1.5</v>
      </c>
      <c r="P82" s="121">
        <v>1.5</v>
      </c>
      <c r="Q82" s="121">
        <v>1.5</v>
      </c>
      <c r="R82" s="121">
        <v>1.5</v>
      </c>
      <c r="S82" s="121">
        <v>1</v>
      </c>
      <c r="T82" s="121"/>
      <c r="U82" s="121">
        <v>1.5</v>
      </c>
      <c r="V82" s="121">
        <v>1.5</v>
      </c>
      <c r="W82" s="121">
        <v>1</v>
      </c>
      <c r="X82" s="121">
        <v>1.5</v>
      </c>
      <c r="Y82" s="121">
        <v>1.5</v>
      </c>
      <c r="Z82" s="121">
        <v>1</v>
      </c>
      <c r="AA82" s="121"/>
      <c r="AB82" s="121">
        <v>1.5</v>
      </c>
      <c r="AC82" s="121">
        <v>1.5</v>
      </c>
      <c r="AD82" s="121">
        <v>1</v>
      </c>
      <c r="AE82" s="121">
        <v>1.5</v>
      </c>
      <c r="AF82" s="121"/>
      <c r="AG82" s="121"/>
      <c r="AH82" s="121"/>
      <c r="AI82" s="121">
        <v>1.5</v>
      </c>
      <c r="AJ82" s="121">
        <v>1.5</v>
      </c>
      <c r="AK82" s="121">
        <v>1.5</v>
      </c>
      <c r="AL82" s="121">
        <v>1.5</v>
      </c>
      <c r="AM82" s="121"/>
      <c r="AN82" s="122">
        <f t="shared" si="4"/>
        <v>33.5</v>
      </c>
      <c r="AO82" s="118">
        <v>200000</v>
      </c>
      <c r="AP82" s="123">
        <f t="shared" si="5"/>
        <v>6700000</v>
      </c>
    </row>
    <row r="83" spans="1:42" ht="24.9" customHeight="1" x14ac:dyDescent="0.4">
      <c r="A83" s="124">
        <v>78</v>
      </c>
      <c r="B83" s="116" t="s">
        <v>583</v>
      </c>
      <c r="C83" s="117" t="s">
        <v>584</v>
      </c>
      <c r="D83" s="125" t="s">
        <v>364</v>
      </c>
      <c r="E83" s="117" t="s">
        <v>585</v>
      </c>
      <c r="F83" s="126" t="s">
        <v>312</v>
      </c>
      <c r="G83" s="119" t="s">
        <v>583</v>
      </c>
      <c r="H83" s="120" t="s">
        <v>586</v>
      </c>
      <c r="I83" s="121">
        <v>2</v>
      </c>
      <c r="J83" s="121">
        <v>2</v>
      </c>
      <c r="K83" s="121">
        <v>2</v>
      </c>
      <c r="L83" s="121"/>
      <c r="M83" s="121"/>
      <c r="N83" s="121">
        <v>2</v>
      </c>
      <c r="O83" s="121">
        <v>2</v>
      </c>
      <c r="P83" s="121">
        <v>2</v>
      </c>
      <c r="Q83" s="121">
        <v>2</v>
      </c>
      <c r="R83" s="121">
        <v>2</v>
      </c>
      <c r="S83" s="121"/>
      <c r="T83" s="121"/>
      <c r="U83" s="121">
        <v>2</v>
      </c>
      <c r="V83" s="121">
        <v>2</v>
      </c>
      <c r="W83" s="121">
        <v>2</v>
      </c>
      <c r="X83" s="121">
        <v>2</v>
      </c>
      <c r="Y83" s="121">
        <v>2</v>
      </c>
      <c r="Z83" s="121"/>
      <c r="AA83" s="121"/>
      <c r="AB83" s="121">
        <v>2</v>
      </c>
      <c r="AC83" s="121">
        <v>2</v>
      </c>
      <c r="AD83" s="121">
        <v>2</v>
      </c>
      <c r="AE83" s="121">
        <v>2</v>
      </c>
      <c r="AF83" s="121">
        <v>2</v>
      </c>
      <c r="AG83" s="121"/>
      <c r="AH83" s="121"/>
      <c r="AI83" s="121">
        <v>2</v>
      </c>
      <c r="AJ83" s="121">
        <v>2</v>
      </c>
      <c r="AK83" s="121">
        <v>2</v>
      </c>
      <c r="AL83" s="121"/>
      <c r="AM83" s="121"/>
      <c r="AN83" s="122">
        <f t="shared" si="4"/>
        <v>42</v>
      </c>
      <c r="AO83" s="118">
        <v>230000</v>
      </c>
      <c r="AP83" s="123">
        <f t="shared" si="5"/>
        <v>9660000</v>
      </c>
    </row>
    <row r="84" spans="1:42" ht="24.9" customHeight="1" x14ac:dyDescent="0.4">
      <c r="A84" s="124">
        <v>79</v>
      </c>
      <c r="B84" s="116" t="s">
        <v>587</v>
      </c>
      <c r="C84" s="117" t="s">
        <v>588</v>
      </c>
      <c r="D84" s="127" t="s">
        <v>316</v>
      </c>
      <c r="E84" s="117" t="s">
        <v>589</v>
      </c>
      <c r="F84" s="126" t="s">
        <v>383</v>
      </c>
      <c r="G84" s="119" t="s">
        <v>587</v>
      </c>
      <c r="H84" s="120" t="s">
        <v>590</v>
      </c>
      <c r="I84" s="121">
        <v>1.5</v>
      </c>
      <c r="J84" s="121">
        <v>1.5</v>
      </c>
      <c r="K84" s="121">
        <v>1.5</v>
      </c>
      <c r="L84" s="121"/>
      <c r="M84" s="121"/>
      <c r="N84" s="121">
        <v>1.5</v>
      </c>
      <c r="O84" s="121">
        <v>1.5</v>
      </c>
      <c r="P84" s="121">
        <v>1.5</v>
      </c>
      <c r="Q84" s="121">
        <v>1.5</v>
      </c>
      <c r="R84" s="121">
        <v>1.5</v>
      </c>
      <c r="S84" s="121"/>
      <c r="T84" s="121"/>
      <c r="U84" s="121">
        <v>1.5</v>
      </c>
      <c r="V84" s="121">
        <v>1.5</v>
      </c>
      <c r="W84" s="121">
        <v>1</v>
      </c>
      <c r="X84" s="121">
        <v>1.5</v>
      </c>
      <c r="Y84" s="121">
        <v>1.5</v>
      </c>
      <c r="Z84" s="121">
        <v>1</v>
      </c>
      <c r="AA84" s="121"/>
      <c r="AB84" s="121">
        <v>1.5</v>
      </c>
      <c r="AC84" s="121">
        <v>1.5</v>
      </c>
      <c r="AD84" s="121">
        <v>1</v>
      </c>
      <c r="AE84" s="121">
        <v>1.5</v>
      </c>
      <c r="AF84" s="121"/>
      <c r="AG84" s="121"/>
      <c r="AH84" s="121"/>
      <c r="AI84" s="121">
        <v>1.5</v>
      </c>
      <c r="AJ84" s="121">
        <v>1.5</v>
      </c>
      <c r="AK84" s="121">
        <v>1.5</v>
      </c>
      <c r="AL84" s="121">
        <v>1.5</v>
      </c>
      <c r="AM84" s="121"/>
      <c r="AN84" s="122">
        <f t="shared" si="4"/>
        <v>31.5</v>
      </c>
      <c r="AO84" s="118">
        <v>150000</v>
      </c>
      <c r="AP84" s="123">
        <f t="shared" si="5"/>
        <v>4725000</v>
      </c>
    </row>
    <row r="85" spans="1:42" ht="24.9" customHeight="1" x14ac:dyDescent="0.4">
      <c r="A85" s="124">
        <v>80</v>
      </c>
      <c r="B85" s="116" t="s">
        <v>587</v>
      </c>
      <c r="C85" s="117" t="s">
        <v>591</v>
      </c>
      <c r="D85" s="127" t="s">
        <v>334</v>
      </c>
      <c r="E85" s="117" t="s">
        <v>592</v>
      </c>
      <c r="F85" s="126" t="s">
        <v>323</v>
      </c>
      <c r="G85" s="119" t="s">
        <v>587</v>
      </c>
      <c r="H85" s="120" t="s">
        <v>814</v>
      </c>
      <c r="I85" s="121">
        <v>1.5</v>
      </c>
      <c r="J85" s="121">
        <v>1.5</v>
      </c>
      <c r="K85" s="121">
        <v>1.5</v>
      </c>
      <c r="L85" s="121"/>
      <c r="M85" s="121"/>
      <c r="N85" s="121">
        <v>1.5</v>
      </c>
      <c r="O85" s="121">
        <v>1.5</v>
      </c>
      <c r="P85" s="121">
        <v>1.5</v>
      </c>
      <c r="Q85" s="121">
        <v>1.5</v>
      </c>
      <c r="R85" s="121">
        <v>1.5</v>
      </c>
      <c r="S85" s="121">
        <v>1</v>
      </c>
      <c r="T85" s="121"/>
      <c r="U85" s="121">
        <v>1.5</v>
      </c>
      <c r="V85" s="121">
        <v>1.5</v>
      </c>
      <c r="W85" s="121">
        <v>0.875</v>
      </c>
      <c r="X85" s="121">
        <v>1.5</v>
      </c>
      <c r="Y85" s="121">
        <v>1.5</v>
      </c>
      <c r="Z85" s="121"/>
      <c r="AA85" s="121"/>
      <c r="AB85" s="121">
        <v>1.5</v>
      </c>
      <c r="AC85" s="121">
        <v>1.5</v>
      </c>
      <c r="AD85" s="121">
        <v>1</v>
      </c>
      <c r="AE85" s="121">
        <v>1.5</v>
      </c>
      <c r="AF85" s="121">
        <v>1.5</v>
      </c>
      <c r="AG85" s="121"/>
      <c r="AH85" s="121"/>
      <c r="AI85" s="121">
        <v>1.5</v>
      </c>
      <c r="AJ85" s="121">
        <v>1.5</v>
      </c>
      <c r="AK85" s="121">
        <v>1.375</v>
      </c>
      <c r="AL85" s="121"/>
      <c r="AM85" s="121"/>
      <c r="AN85" s="122">
        <f t="shared" si="4"/>
        <v>31.25</v>
      </c>
      <c r="AO85" s="118">
        <v>240000</v>
      </c>
      <c r="AP85" s="123">
        <f t="shared" si="5"/>
        <v>7500000</v>
      </c>
    </row>
    <row r="86" spans="1:42" ht="24.9" customHeight="1" x14ac:dyDescent="0.4">
      <c r="A86" s="124">
        <v>81</v>
      </c>
      <c r="B86" s="116" t="s">
        <v>593</v>
      </c>
      <c r="C86" s="117" t="s">
        <v>594</v>
      </c>
      <c r="D86" s="127" t="s">
        <v>334</v>
      </c>
      <c r="E86" s="117" t="s">
        <v>595</v>
      </c>
      <c r="F86" s="126" t="s">
        <v>335</v>
      </c>
      <c r="G86" s="119" t="s">
        <v>593</v>
      </c>
      <c r="H86" s="120" t="s">
        <v>596</v>
      </c>
      <c r="I86" s="121">
        <v>2</v>
      </c>
      <c r="J86" s="121">
        <v>2</v>
      </c>
      <c r="K86" s="121">
        <v>2</v>
      </c>
      <c r="L86" s="121"/>
      <c r="M86" s="121"/>
      <c r="N86" s="121">
        <v>2</v>
      </c>
      <c r="O86" s="121">
        <v>2</v>
      </c>
      <c r="P86" s="121">
        <v>2</v>
      </c>
      <c r="Q86" s="121">
        <v>2</v>
      </c>
      <c r="R86" s="121">
        <v>2</v>
      </c>
      <c r="S86" s="121"/>
      <c r="T86" s="121"/>
      <c r="U86" s="121">
        <v>2</v>
      </c>
      <c r="V86" s="121">
        <v>2</v>
      </c>
      <c r="W86" s="121">
        <v>2</v>
      </c>
      <c r="X86" s="121">
        <v>2</v>
      </c>
      <c r="Y86" s="121">
        <v>2</v>
      </c>
      <c r="Z86" s="121"/>
      <c r="AA86" s="121"/>
      <c r="AB86" s="121">
        <v>2</v>
      </c>
      <c r="AC86" s="121">
        <v>2</v>
      </c>
      <c r="AD86" s="121">
        <v>2</v>
      </c>
      <c r="AE86" s="121">
        <v>2</v>
      </c>
      <c r="AF86" s="121">
        <v>2</v>
      </c>
      <c r="AG86" s="121"/>
      <c r="AH86" s="121"/>
      <c r="AI86" s="121"/>
      <c r="AJ86" s="121"/>
      <c r="AK86" s="121"/>
      <c r="AL86" s="121"/>
      <c r="AM86" s="121"/>
      <c r="AN86" s="122">
        <f t="shared" si="4"/>
        <v>36</v>
      </c>
      <c r="AO86" s="118">
        <v>240000</v>
      </c>
      <c r="AP86" s="123">
        <f t="shared" si="5"/>
        <v>8640000</v>
      </c>
    </row>
    <row r="87" spans="1:42" ht="24.9" customHeight="1" x14ac:dyDescent="0.4">
      <c r="A87" s="124">
        <v>82</v>
      </c>
      <c r="B87" s="116" t="s">
        <v>597</v>
      </c>
      <c r="C87" s="117" t="s">
        <v>598</v>
      </c>
      <c r="D87" s="125" t="s">
        <v>316</v>
      </c>
      <c r="E87" s="117" t="s">
        <v>599</v>
      </c>
      <c r="F87" s="126" t="s">
        <v>312</v>
      </c>
      <c r="G87" s="119" t="s">
        <v>597</v>
      </c>
      <c r="H87" s="120" t="s">
        <v>600</v>
      </c>
      <c r="I87" s="121">
        <v>1.5</v>
      </c>
      <c r="J87" s="121">
        <v>1.5</v>
      </c>
      <c r="K87" s="121">
        <v>1.5</v>
      </c>
      <c r="L87" s="121"/>
      <c r="M87" s="121"/>
      <c r="N87" s="121">
        <v>1.5</v>
      </c>
      <c r="O87" s="121">
        <v>1.5</v>
      </c>
      <c r="P87" s="121">
        <v>1.5</v>
      </c>
      <c r="Q87" s="121">
        <v>1.5</v>
      </c>
      <c r="R87" s="121">
        <v>1.5</v>
      </c>
      <c r="S87" s="121">
        <v>0.5</v>
      </c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2">
        <f t="shared" si="4"/>
        <v>12.5</v>
      </c>
      <c r="AO87" s="118">
        <v>160000</v>
      </c>
      <c r="AP87" s="123">
        <f t="shared" si="5"/>
        <v>2000000</v>
      </c>
    </row>
    <row r="88" spans="1:42" ht="24.9" customHeight="1" x14ac:dyDescent="0.4">
      <c r="A88" s="124">
        <v>83</v>
      </c>
      <c r="B88" s="116" t="s">
        <v>601</v>
      </c>
      <c r="C88" s="117" t="s">
        <v>602</v>
      </c>
      <c r="D88" s="125" t="s">
        <v>316</v>
      </c>
      <c r="E88" s="117" t="s">
        <v>603</v>
      </c>
      <c r="F88" s="126" t="s">
        <v>377</v>
      </c>
      <c r="G88" s="119" t="s">
        <v>601</v>
      </c>
      <c r="H88" s="120" t="s">
        <v>604</v>
      </c>
      <c r="I88" s="121">
        <v>1.5</v>
      </c>
      <c r="J88" s="121">
        <v>1.5</v>
      </c>
      <c r="K88" s="121">
        <v>1.5</v>
      </c>
      <c r="L88" s="121">
        <v>1</v>
      </c>
      <c r="M88" s="121"/>
      <c r="N88" s="121">
        <v>1.5</v>
      </c>
      <c r="O88" s="121">
        <v>1.5</v>
      </c>
      <c r="P88" s="121">
        <v>1.5</v>
      </c>
      <c r="Q88" s="121">
        <v>1.5</v>
      </c>
      <c r="R88" s="121">
        <v>0.5</v>
      </c>
      <c r="S88" s="121"/>
      <c r="T88" s="121"/>
      <c r="U88" s="121">
        <v>1.5</v>
      </c>
      <c r="V88" s="121">
        <v>1.5</v>
      </c>
      <c r="W88" s="121">
        <v>1</v>
      </c>
      <c r="X88" s="121">
        <v>1.5</v>
      </c>
      <c r="Y88" s="121">
        <v>1.5</v>
      </c>
      <c r="Z88" s="121">
        <v>1</v>
      </c>
      <c r="AA88" s="121"/>
      <c r="AB88" s="121">
        <v>1.5</v>
      </c>
      <c r="AC88" s="121">
        <v>1.5</v>
      </c>
      <c r="AD88" s="121">
        <v>1</v>
      </c>
      <c r="AE88" s="121">
        <v>1.5</v>
      </c>
      <c r="AF88" s="121">
        <v>1.5</v>
      </c>
      <c r="AG88" s="121">
        <v>1</v>
      </c>
      <c r="AH88" s="121"/>
      <c r="AI88" s="121">
        <v>1.5</v>
      </c>
      <c r="AJ88" s="121">
        <v>1.5</v>
      </c>
      <c r="AK88" s="121">
        <v>1.5</v>
      </c>
      <c r="AL88" s="121">
        <v>1.5</v>
      </c>
      <c r="AM88" s="121"/>
      <c r="AN88" s="122">
        <f t="shared" si="4"/>
        <v>34</v>
      </c>
      <c r="AO88" s="118">
        <v>150000</v>
      </c>
      <c r="AP88" s="123">
        <f t="shared" si="5"/>
        <v>5100000</v>
      </c>
    </row>
    <row r="89" spans="1:42" ht="24.9" customHeight="1" x14ac:dyDescent="0.4">
      <c r="A89" s="124">
        <v>84</v>
      </c>
      <c r="B89" s="116" t="s">
        <v>605</v>
      </c>
      <c r="C89" s="117" t="s">
        <v>606</v>
      </c>
      <c r="D89" s="127" t="s">
        <v>316</v>
      </c>
      <c r="E89" s="117" t="s">
        <v>607</v>
      </c>
      <c r="F89" s="126" t="s">
        <v>401</v>
      </c>
      <c r="G89" s="119" t="s">
        <v>605</v>
      </c>
      <c r="H89" s="120" t="s">
        <v>608</v>
      </c>
      <c r="I89" s="121">
        <v>1.5</v>
      </c>
      <c r="J89" s="121">
        <v>1.5</v>
      </c>
      <c r="K89" s="121">
        <v>1.5</v>
      </c>
      <c r="L89" s="121">
        <v>1</v>
      </c>
      <c r="M89" s="121"/>
      <c r="N89" s="121">
        <v>1.5</v>
      </c>
      <c r="O89" s="121">
        <v>1.5</v>
      </c>
      <c r="P89" s="121">
        <v>1.5</v>
      </c>
      <c r="Q89" s="121">
        <v>1.5</v>
      </c>
      <c r="R89" s="121">
        <v>1.5</v>
      </c>
      <c r="S89" s="121"/>
      <c r="T89" s="121"/>
      <c r="U89" s="121">
        <v>1.5</v>
      </c>
      <c r="V89" s="121">
        <v>1.5</v>
      </c>
      <c r="W89" s="121">
        <v>1</v>
      </c>
      <c r="X89" s="121">
        <v>1.5</v>
      </c>
      <c r="Y89" s="121">
        <v>1.5</v>
      </c>
      <c r="Z89" s="121"/>
      <c r="AA89" s="121"/>
      <c r="AB89" s="121">
        <v>1.5</v>
      </c>
      <c r="AC89" s="121">
        <v>1.5</v>
      </c>
      <c r="AD89" s="121">
        <v>1</v>
      </c>
      <c r="AE89" s="121">
        <v>1.5</v>
      </c>
      <c r="AF89" s="121">
        <v>1.5</v>
      </c>
      <c r="AG89" s="121"/>
      <c r="AH89" s="121"/>
      <c r="AI89" s="121">
        <v>0.5</v>
      </c>
      <c r="AJ89" s="121">
        <v>1</v>
      </c>
      <c r="AK89" s="121">
        <v>1.5</v>
      </c>
      <c r="AL89" s="121">
        <v>1.5</v>
      </c>
      <c r="AM89" s="121"/>
      <c r="AN89" s="122">
        <f t="shared" si="4"/>
        <v>31.5</v>
      </c>
      <c r="AO89" s="118">
        <v>160000</v>
      </c>
      <c r="AP89" s="123">
        <f t="shared" si="5"/>
        <v>5040000</v>
      </c>
    </row>
    <row r="90" spans="1:42" ht="24.9" customHeight="1" x14ac:dyDescent="0.4">
      <c r="A90" s="124">
        <v>85</v>
      </c>
      <c r="B90" s="116" t="s">
        <v>609</v>
      </c>
      <c r="C90" s="117" t="s">
        <v>610</v>
      </c>
      <c r="D90" s="125" t="s">
        <v>316</v>
      </c>
      <c r="E90" s="117" t="s">
        <v>611</v>
      </c>
      <c r="F90" s="126" t="s">
        <v>312</v>
      </c>
      <c r="G90" s="119" t="s">
        <v>609</v>
      </c>
      <c r="H90" s="120" t="s">
        <v>612</v>
      </c>
      <c r="I90" s="121">
        <v>1.5</v>
      </c>
      <c r="J90" s="121">
        <v>1.375</v>
      </c>
      <c r="K90" s="121">
        <v>1.5</v>
      </c>
      <c r="L90" s="121">
        <v>1</v>
      </c>
      <c r="M90" s="121"/>
      <c r="N90" s="121">
        <v>1.5</v>
      </c>
      <c r="O90" s="121">
        <v>1.5</v>
      </c>
      <c r="P90" s="121">
        <v>1.5</v>
      </c>
      <c r="Q90" s="121">
        <v>1.5</v>
      </c>
      <c r="R90" s="121">
        <v>1.5</v>
      </c>
      <c r="S90" s="121">
        <v>1</v>
      </c>
      <c r="T90" s="121"/>
      <c r="U90" s="121">
        <v>1.5</v>
      </c>
      <c r="V90" s="121">
        <v>1.5</v>
      </c>
      <c r="W90" s="121">
        <v>1</v>
      </c>
      <c r="X90" s="121">
        <v>1.5</v>
      </c>
      <c r="Y90" s="121">
        <v>1.5</v>
      </c>
      <c r="Z90" s="121">
        <v>1</v>
      </c>
      <c r="AA90" s="121"/>
      <c r="AB90" s="121">
        <v>1.5</v>
      </c>
      <c r="AC90" s="121">
        <v>1.5</v>
      </c>
      <c r="AD90" s="121">
        <v>1</v>
      </c>
      <c r="AE90" s="121">
        <v>1.5</v>
      </c>
      <c r="AF90" s="121">
        <v>1.5</v>
      </c>
      <c r="AG90" s="121">
        <v>1</v>
      </c>
      <c r="AH90" s="121"/>
      <c r="AI90" s="121">
        <v>1.5</v>
      </c>
      <c r="AJ90" s="121">
        <v>1.5</v>
      </c>
      <c r="AK90" s="121">
        <v>1.5</v>
      </c>
      <c r="AL90" s="121">
        <v>1.5</v>
      </c>
      <c r="AM90" s="121"/>
      <c r="AN90" s="122">
        <f t="shared" si="4"/>
        <v>35.875</v>
      </c>
      <c r="AO90" s="118">
        <v>150000</v>
      </c>
      <c r="AP90" s="123">
        <f t="shared" si="5"/>
        <v>5381250</v>
      </c>
    </row>
    <row r="91" spans="1:42" ht="24.9" customHeight="1" x14ac:dyDescent="0.4">
      <c r="A91" s="124">
        <v>86</v>
      </c>
      <c r="B91" s="116" t="s">
        <v>784</v>
      </c>
      <c r="C91" s="117" t="s">
        <v>785</v>
      </c>
      <c r="D91" s="127" t="s">
        <v>316</v>
      </c>
      <c r="E91" s="117" t="s">
        <v>786</v>
      </c>
      <c r="F91" s="126" t="s">
        <v>372</v>
      </c>
      <c r="G91" s="119" t="s">
        <v>784</v>
      </c>
      <c r="H91" s="120" t="s">
        <v>815</v>
      </c>
      <c r="I91" s="121"/>
      <c r="J91" s="121"/>
      <c r="K91" s="121"/>
      <c r="L91" s="121"/>
      <c r="M91" s="121"/>
      <c r="N91" s="121"/>
      <c r="O91" s="121">
        <v>0.75</v>
      </c>
      <c r="P91" s="121"/>
      <c r="Q91" s="121">
        <v>1</v>
      </c>
      <c r="R91" s="121">
        <v>1.5</v>
      </c>
      <c r="S91" s="121"/>
      <c r="T91" s="121"/>
      <c r="U91" s="121">
        <v>1.5</v>
      </c>
      <c r="V91" s="121">
        <v>1.5</v>
      </c>
      <c r="W91" s="121">
        <v>1</v>
      </c>
      <c r="X91" s="121">
        <v>1.5</v>
      </c>
      <c r="Y91" s="121">
        <v>1.5</v>
      </c>
      <c r="Z91" s="121">
        <v>1</v>
      </c>
      <c r="AA91" s="121"/>
      <c r="AB91" s="121">
        <v>1.5</v>
      </c>
      <c r="AC91" s="121">
        <v>1.5</v>
      </c>
      <c r="AD91" s="121">
        <v>1</v>
      </c>
      <c r="AE91" s="121">
        <v>1.5</v>
      </c>
      <c r="AF91" s="121">
        <v>1.5</v>
      </c>
      <c r="AG91" s="121">
        <v>1</v>
      </c>
      <c r="AH91" s="121"/>
      <c r="AI91" s="121">
        <v>1.5</v>
      </c>
      <c r="AJ91" s="121">
        <v>1.5</v>
      </c>
      <c r="AK91" s="121">
        <v>1.5</v>
      </c>
      <c r="AL91" s="121">
        <v>0.5</v>
      </c>
      <c r="AM91" s="121"/>
      <c r="AN91" s="122">
        <f t="shared" si="4"/>
        <v>24.25</v>
      </c>
      <c r="AO91" s="118">
        <v>160000</v>
      </c>
      <c r="AP91" s="123">
        <f t="shared" si="5"/>
        <v>3880000</v>
      </c>
    </row>
    <row r="92" spans="1:42" ht="24.9" customHeight="1" x14ac:dyDescent="0.4">
      <c r="A92" s="124">
        <v>87</v>
      </c>
      <c r="B92" s="116" t="s">
        <v>613</v>
      </c>
      <c r="C92" s="117" t="s">
        <v>614</v>
      </c>
      <c r="D92" s="127" t="s">
        <v>316</v>
      </c>
      <c r="E92" s="117" t="s">
        <v>615</v>
      </c>
      <c r="F92" s="126" t="s">
        <v>377</v>
      </c>
      <c r="G92" s="119" t="s">
        <v>613</v>
      </c>
      <c r="H92" s="120" t="s">
        <v>616</v>
      </c>
      <c r="I92" s="121">
        <v>1.5</v>
      </c>
      <c r="J92" s="121">
        <v>1.5</v>
      </c>
      <c r="K92" s="121">
        <v>1.5</v>
      </c>
      <c r="L92" s="121"/>
      <c r="M92" s="121"/>
      <c r="N92" s="121">
        <v>1.5</v>
      </c>
      <c r="O92" s="121">
        <v>0.5</v>
      </c>
      <c r="P92" s="121">
        <v>1.5</v>
      </c>
      <c r="Q92" s="121">
        <v>1.5</v>
      </c>
      <c r="R92" s="121">
        <v>1.5</v>
      </c>
      <c r="S92" s="121"/>
      <c r="T92" s="121"/>
      <c r="U92" s="121">
        <v>1.5</v>
      </c>
      <c r="V92" s="121">
        <v>1.5</v>
      </c>
      <c r="W92" s="121">
        <v>1</v>
      </c>
      <c r="X92" s="121">
        <v>1.5</v>
      </c>
      <c r="Y92" s="121">
        <v>1.5</v>
      </c>
      <c r="Z92" s="121"/>
      <c r="AA92" s="121"/>
      <c r="AB92" s="121">
        <v>1.5</v>
      </c>
      <c r="AC92" s="121">
        <v>1.5</v>
      </c>
      <c r="AD92" s="121">
        <v>1</v>
      </c>
      <c r="AE92" s="121">
        <v>1.5</v>
      </c>
      <c r="AF92" s="121">
        <v>1.5</v>
      </c>
      <c r="AG92" s="121">
        <v>1</v>
      </c>
      <c r="AH92" s="121"/>
      <c r="AI92" s="121">
        <v>1.5</v>
      </c>
      <c r="AJ92" s="121">
        <v>1.5</v>
      </c>
      <c r="AK92" s="121">
        <v>1.5</v>
      </c>
      <c r="AL92" s="121">
        <v>1.5</v>
      </c>
      <c r="AM92" s="121"/>
      <c r="AN92" s="122">
        <f t="shared" si="4"/>
        <v>32</v>
      </c>
      <c r="AO92" s="118">
        <v>150000</v>
      </c>
      <c r="AP92" s="123">
        <f t="shared" si="5"/>
        <v>4800000</v>
      </c>
    </row>
    <row r="93" spans="1:42" ht="24.9" customHeight="1" x14ac:dyDescent="0.4">
      <c r="A93" s="124">
        <v>88</v>
      </c>
      <c r="B93" s="116" t="s">
        <v>617</v>
      </c>
      <c r="C93" s="117" t="s">
        <v>618</v>
      </c>
      <c r="D93" s="127" t="s">
        <v>316</v>
      </c>
      <c r="E93" s="117" t="s">
        <v>619</v>
      </c>
      <c r="F93" s="126" t="s">
        <v>323</v>
      </c>
      <c r="G93" s="119" t="s">
        <v>617</v>
      </c>
      <c r="H93" s="120" t="s">
        <v>620</v>
      </c>
      <c r="I93" s="121">
        <v>2</v>
      </c>
      <c r="J93" s="121">
        <v>2</v>
      </c>
      <c r="K93" s="121">
        <v>2</v>
      </c>
      <c r="L93" s="121"/>
      <c r="M93" s="121"/>
      <c r="N93" s="121">
        <v>2</v>
      </c>
      <c r="O93" s="121">
        <v>2</v>
      </c>
      <c r="P93" s="121">
        <v>2</v>
      </c>
      <c r="Q93" s="121">
        <v>2</v>
      </c>
      <c r="R93" s="121">
        <v>2</v>
      </c>
      <c r="S93" s="121"/>
      <c r="T93" s="121"/>
      <c r="U93" s="121">
        <v>2</v>
      </c>
      <c r="V93" s="121">
        <v>2</v>
      </c>
      <c r="W93" s="121">
        <v>2</v>
      </c>
      <c r="X93" s="121">
        <v>2</v>
      </c>
      <c r="Y93" s="121"/>
      <c r="Z93" s="121"/>
      <c r="AA93" s="121"/>
      <c r="AB93" s="121">
        <v>2</v>
      </c>
      <c r="AC93" s="121">
        <v>2</v>
      </c>
      <c r="AD93" s="121">
        <v>2</v>
      </c>
      <c r="AE93" s="121">
        <v>2</v>
      </c>
      <c r="AF93" s="121">
        <v>2</v>
      </c>
      <c r="AG93" s="121"/>
      <c r="AH93" s="121"/>
      <c r="AI93" s="121">
        <v>2</v>
      </c>
      <c r="AJ93" s="121">
        <v>2</v>
      </c>
      <c r="AK93" s="121">
        <v>2</v>
      </c>
      <c r="AL93" s="121"/>
      <c r="AM93" s="121"/>
      <c r="AN93" s="122">
        <f t="shared" si="4"/>
        <v>40</v>
      </c>
      <c r="AO93" s="118">
        <v>160000</v>
      </c>
      <c r="AP93" s="123">
        <f t="shared" si="5"/>
        <v>6400000</v>
      </c>
    </row>
    <row r="94" spans="1:42" ht="24.9" customHeight="1" x14ac:dyDescent="0.4">
      <c r="A94" s="124">
        <v>89</v>
      </c>
      <c r="B94" s="116" t="s">
        <v>805</v>
      </c>
      <c r="C94" s="117" t="s">
        <v>806</v>
      </c>
      <c r="D94" s="125" t="s">
        <v>334</v>
      </c>
      <c r="E94" s="117" t="s">
        <v>807</v>
      </c>
      <c r="F94" s="126" t="s">
        <v>318</v>
      </c>
      <c r="G94" s="119" t="s">
        <v>805</v>
      </c>
      <c r="H94" s="120" t="s">
        <v>808</v>
      </c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>
        <v>1</v>
      </c>
      <c r="W94" s="121"/>
      <c r="X94" s="121">
        <v>1</v>
      </c>
      <c r="Y94" s="121">
        <v>1.5</v>
      </c>
      <c r="Z94" s="121"/>
      <c r="AA94" s="121"/>
      <c r="AB94" s="121">
        <v>1.5</v>
      </c>
      <c r="AC94" s="121">
        <v>1.5</v>
      </c>
      <c r="AD94" s="121">
        <v>1</v>
      </c>
      <c r="AE94" s="121">
        <v>1.5</v>
      </c>
      <c r="AF94" s="121">
        <v>1.5</v>
      </c>
      <c r="AG94" s="121">
        <v>1</v>
      </c>
      <c r="AH94" s="121"/>
      <c r="AI94" s="121">
        <v>1.5</v>
      </c>
      <c r="AJ94" s="121">
        <v>1.5</v>
      </c>
      <c r="AK94" s="121">
        <v>1.5</v>
      </c>
      <c r="AL94" s="121">
        <v>1.5</v>
      </c>
      <c r="AM94" s="121"/>
      <c r="AN94" s="122">
        <f t="shared" si="4"/>
        <v>17.5</v>
      </c>
      <c r="AO94" s="118">
        <v>240000</v>
      </c>
      <c r="AP94" s="123">
        <f t="shared" si="5"/>
        <v>4200000</v>
      </c>
    </row>
    <row r="95" spans="1:42" ht="24.9" customHeight="1" x14ac:dyDescent="0.4">
      <c r="A95" s="124">
        <v>90</v>
      </c>
      <c r="B95" s="116" t="s">
        <v>621</v>
      </c>
      <c r="C95" s="117" t="s">
        <v>622</v>
      </c>
      <c r="D95" s="125" t="s">
        <v>316</v>
      </c>
      <c r="E95" s="117" t="s">
        <v>623</v>
      </c>
      <c r="F95" s="126" t="s">
        <v>312</v>
      </c>
      <c r="G95" s="119" t="s">
        <v>621</v>
      </c>
      <c r="H95" s="120" t="s">
        <v>624</v>
      </c>
      <c r="I95" s="121">
        <v>2</v>
      </c>
      <c r="J95" s="121">
        <v>2</v>
      </c>
      <c r="K95" s="121">
        <v>2</v>
      </c>
      <c r="L95" s="121"/>
      <c r="M95" s="121"/>
      <c r="N95" s="121">
        <v>2</v>
      </c>
      <c r="O95" s="121">
        <v>2</v>
      </c>
      <c r="P95" s="121">
        <v>2</v>
      </c>
      <c r="Q95" s="121">
        <v>2</v>
      </c>
      <c r="R95" s="121">
        <v>2</v>
      </c>
      <c r="S95" s="121"/>
      <c r="T95" s="121"/>
      <c r="U95" s="121">
        <v>2</v>
      </c>
      <c r="V95" s="121">
        <v>2</v>
      </c>
      <c r="W95" s="121">
        <v>2</v>
      </c>
      <c r="X95" s="121">
        <v>2</v>
      </c>
      <c r="Y95" s="121">
        <v>2</v>
      </c>
      <c r="Z95" s="121"/>
      <c r="AA95" s="121"/>
      <c r="AB95" s="121">
        <v>2</v>
      </c>
      <c r="AC95" s="121">
        <v>2</v>
      </c>
      <c r="AD95" s="121">
        <v>2</v>
      </c>
      <c r="AE95" s="121">
        <v>2</v>
      </c>
      <c r="AF95" s="121">
        <v>2</v>
      </c>
      <c r="AG95" s="121"/>
      <c r="AH95" s="121"/>
      <c r="AI95" s="121">
        <v>2</v>
      </c>
      <c r="AJ95" s="121">
        <v>2</v>
      </c>
      <c r="AK95" s="121">
        <v>2</v>
      </c>
      <c r="AL95" s="121"/>
      <c r="AM95" s="121"/>
      <c r="AN95" s="122">
        <f t="shared" si="4"/>
        <v>42</v>
      </c>
      <c r="AO95" s="118">
        <v>160000</v>
      </c>
      <c r="AP95" s="123">
        <f t="shared" si="5"/>
        <v>6720000</v>
      </c>
    </row>
    <row r="96" spans="1:42" ht="24.9" customHeight="1" x14ac:dyDescent="0.4">
      <c r="A96" s="124">
        <v>91</v>
      </c>
      <c r="B96" s="116" t="s">
        <v>625</v>
      </c>
      <c r="C96" s="117" t="s">
        <v>626</v>
      </c>
      <c r="D96" s="127" t="s">
        <v>334</v>
      </c>
      <c r="E96" s="117" t="s">
        <v>627</v>
      </c>
      <c r="F96" s="126" t="s">
        <v>323</v>
      </c>
      <c r="G96" s="119" t="s">
        <v>625</v>
      </c>
      <c r="H96" s="120" t="s">
        <v>628</v>
      </c>
      <c r="I96" s="121">
        <v>1.5</v>
      </c>
      <c r="J96" s="121">
        <v>1.5</v>
      </c>
      <c r="K96" s="121">
        <v>1.5</v>
      </c>
      <c r="L96" s="121">
        <v>1</v>
      </c>
      <c r="M96" s="121"/>
      <c r="N96" s="121"/>
      <c r="O96" s="121">
        <v>1.5</v>
      </c>
      <c r="P96" s="121">
        <v>1.5</v>
      </c>
      <c r="Q96" s="121">
        <v>1.5</v>
      </c>
      <c r="R96" s="121">
        <v>1.5</v>
      </c>
      <c r="S96" s="121">
        <v>1</v>
      </c>
      <c r="T96" s="121"/>
      <c r="U96" s="121">
        <v>1.5</v>
      </c>
      <c r="V96" s="121">
        <v>1.5</v>
      </c>
      <c r="W96" s="121">
        <v>1</v>
      </c>
      <c r="X96" s="121">
        <v>1.5</v>
      </c>
      <c r="Y96" s="121">
        <v>1.5</v>
      </c>
      <c r="Z96" s="121">
        <v>1</v>
      </c>
      <c r="AA96" s="121"/>
      <c r="AB96" s="121">
        <v>1.5</v>
      </c>
      <c r="AC96" s="121">
        <v>1.5</v>
      </c>
      <c r="AD96" s="121">
        <v>1</v>
      </c>
      <c r="AE96" s="121">
        <v>1.5</v>
      </c>
      <c r="AF96" s="121">
        <v>1.5</v>
      </c>
      <c r="AG96" s="121">
        <v>1</v>
      </c>
      <c r="AH96" s="121"/>
      <c r="AI96" s="121">
        <v>1.5</v>
      </c>
      <c r="AJ96" s="121">
        <v>1.5</v>
      </c>
      <c r="AK96" s="121">
        <v>1.5</v>
      </c>
      <c r="AL96" s="121">
        <v>1.5</v>
      </c>
      <c r="AM96" s="121"/>
      <c r="AN96" s="122">
        <f t="shared" si="4"/>
        <v>34.5</v>
      </c>
      <c r="AO96" s="118">
        <v>240000</v>
      </c>
      <c r="AP96" s="123">
        <f t="shared" si="5"/>
        <v>8280000</v>
      </c>
    </row>
    <row r="97" spans="1:42" ht="24.9" customHeight="1" x14ac:dyDescent="0.4">
      <c r="A97" s="124">
        <v>92</v>
      </c>
      <c r="B97" s="116" t="s">
        <v>629</v>
      </c>
      <c r="C97" s="117" t="s">
        <v>630</v>
      </c>
      <c r="D97" s="125" t="s">
        <v>739</v>
      </c>
      <c r="E97" s="117" t="s">
        <v>631</v>
      </c>
      <c r="F97" s="126" t="s">
        <v>318</v>
      </c>
      <c r="G97" s="119" t="s">
        <v>629</v>
      </c>
      <c r="H97" s="120" t="s">
        <v>632</v>
      </c>
      <c r="I97" s="121">
        <v>1.5</v>
      </c>
      <c r="J97" s="121">
        <v>1.5</v>
      </c>
      <c r="K97" s="121">
        <v>1.5</v>
      </c>
      <c r="L97" s="121">
        <v>1</v>
      </c>
      <c r="M97" s="121"/>
      <c r="N97" s="121">
        <v>1.5</v>
      </c>
      <c r="O97" s="121">
        <v>1.5</v>
      </c>
      <c r="P97" s="121">
        <v>1.5</v>
      </c>
      <c r="Q97" s="121">
        <v>1.5</v>
      </c>
      <c r="R97" s="121">
        <v>1.5</v>
      </c>
      <c r="S97" s="121">
        <v>1</v>
      </c>
      <c r="T97" s="121"/>
      <c r="U97" s="121">
        <v>1.5</v>
      </c>
      <c r="V97" s="121">
        <v>1.5</v>
      </c>
      <c r="W97" s="121">
        <v>1</v>
      </c>
      <c r="X97" s="121">
        <v>1.5</v>
      </c>
      <c r="Y97" s="121">
        <v>1.5</v>
      </c>
      <c r="Z97" s="121"/>
      <c r="AA97" s="121"/>
      <c r="AB97" s="121">
        <v>1.5</v>
      </c>
      <c r="AC97" s="121">
        <v>1.5</v>
      </c>
      <c r="AD97" s="121">
        <v>1</v>
      </c>
      <c r="AE97" s="121">
        <v>1.5</v>
      </c>
      <c r="AF97" s="121">
        <v>1.5</v>
      </c>
      <c r="AG97" s="121">
        <v>1</v>
      </c>
      <c r="AH97" s="121"/>
      <c r="AI97" s="121">
        <v>1.5</v>
      </c>
      <c r="AJ97" s="121">
        <v>1.5</v>
      </c>
      <c r="AK97" s="121">
        <v>1.5</v>
      </c>
      <c r="AL97" s="121">
        <v>1.75</v>
      </c>
      <c r="AM97" s="121"/>
      <c r="AN97" s="122">
        <f t="shared" si="4"/>
        <v>35.25</v>
      </c>
      <c r="AO97" s="118">
        <v>210000</v>
      </c>
      <c r="AP97" s="123">
        <f t="shared" si="5"/>
        <v>7402500</v>
      </c>
    </row>
    <row r="98" spans="1:42" ht="24.9" customHeight="1" x14ac:dyDescent="0.4">
      <c r="A98" s="124">
        <v>93</v>
      </c>
      <c r="B98" s="116" t="s">
        <v>787</v>
      </c>
      <c r="C98" s="117" t="s">
        <v>788</v>
      </c>
      <c r="D98" s="127" t="s">
        <v>316</v>
      </c>
      <c r="E98" s="117" t="s">
        <v>789</v>
      </c>
      <c r="F98" s="126" t="s">
        <v>323</v>
      </c>
      <c r="G98" s="119" t="s">
        <v>787</v>
      </c>
      <c r="H98" s="120" t="s">
        <v>790</v>
      </c>
      <c r="I98" s="121"/>
      <c r="J98" s="121"/>
      <c r="K98" s="121"/>
      <c r="L98" s="121"/>
      <c r="M98" s="121"/>
      <c r="N98" s="121"/>
      <c r="O98" s="121">
        <v>0.75</v>
      </c>
      <c r="P98" s="121"/>
      <c r="Q98" s="121">
        <v>1</v>
      </c>
      <c r="R98" s="121">
        <v>1.5</v>
      </c>
      <c r="S98" s="121"/>
      <c r="T98" s="121"/>
      <c r="U98" s="121">
        <v>1.5</v>
      </c>
      <c r="V98" s="121">
        <v>1.25</v>
      </c>
      <c r="W98" s="121">
        <v>0.5</v>
      </c>
      <c r="X98" s="121">
        <v>1.5</v>
      </c>
      <c r="Y98" s="121">
        <v>1.5</v>
      </c>
      <c r="Z98" s="121">
        <v>1</v>
      </c>
      <c r="AA98" s="121"/>
      <c r="AB98" s="121">
        <v>1.5</v>
      </c>
      <c r="AC98" s="121"/>
      <c r="AD98" s="121">
        <v>1</v>
      </c>
      <c r="AE98" s="121">
        <v>1.5</v>
      </c>
      <c r="AF98" s="121">
        <v>1.5</v>
      </c>
      <c r="AG98" s="121">
        <v>1</v>
      </c>
      <c r="AH98" s="121"/>
      <c r="AI98" s="121">
        <v>1.5</v>
      </c>
      <c r="AJ98" s="121">
        <v>1.5</v>
      </c>
      <c r="AK98" s="121">
        <v>1.5</v>
      </c>
      <c r="AL98" s="121">
        <v>1</v>
      </c>
      <c r="AM98" s="121"/>
      <c r="AN98" s="122">
        <f t="shared" si="4"/>
        <v>22.5</v>
      </c>
      <c r="AO98" s="118">
        <v>150000</v>
      </c>
      <c r="AP98" s="123">
        <f t="shared" si="5"/>
        <v>3375000</v>
      </c>
    </row>
    <row r="99" spans="1:42" ht="24.9" customHeight="1" x14ac:dyDescent="0.4">
      <c r="A99" s="124">
        <v>94</v>
      </c>
      <c r="B99" s="116" t="s">
        <v>633</v>
      </c>
      <c r="C99" s="117" t="s">
        <v>634</v>
      </c>
      <c r="D99" s="127" t="s">
        <v>316</v>
      </c>
      <c r="E99" s="117" t="s">
        <v>635</v>
      </c>
      <c r="F99" s="126" t="s">
        <v>318</v>
      </c>
      <c r="G99" s="119" t="s">
        <v>633</v>
      </c>
      <c r="H99" s="120" t="s">
        <v>636</v>
      </c>
      <c r="I99" s="121">
        <v>1.5</v>
      </c>
      <c r="J99" s="121">
        <v>1.5</v>
      </c>
      <c r="K99" s="121">
        <v>1.5</v>
      </c>
      <c r="L99" s="121">
        <v>1</v>
      </c>
      <c r="M99" s="121"/>
      <c r="N99" s="121">
        <v>1.5</v>
      </c>
      <c r="O99" s="121">
        <v>1.5</v>
      </c>
      <c r="P99" s="121">
        <v>1.5</v>
      </c>
      <c r="Q99" s="121">
        <v>1.5</v>
      </c>
      <c r="R99" s="121">
        <v>1</v>
      </c>
      <c r="S99" s="121">
        <v>1</v>
      </c>
      <c r="T99" s="121"/>
      <c r="U99" s="121">
        <v>1.5</v>
      </c>
      <c r="V99" s="121">
        <v>1.5</v>
      </c>
      <c r="W99" s="121">
        <v>1</v>
      </c>
      <c r="X99" s="121">
        <v>1.5</v>
      </c>
      <c r="Y99" s="121">
        <v>1.5</v>
      </c>
      <c r="Z99" s="121">
        <v>1</v>
      </c>
      <c r="AA99" s="121"/>
      <c r="AB99" s="121">
        <v>0.5</v>
      </c>
      <c r="AC99" s="121">
        <v>1.5</v>
      </c>
      <c r="AD99" s="121">
        <v>1</v>
      </c>
      <c r="AE99" s="121">
        <v>1.5</v>
      </c>
      <c r="AF99" s="121">
        <v>1.5</v>
      </c>
      <c r="AG99" s="121">
        <v>1</v>
      </c>
      <c r="AH99" s="121"/>
      <c r="AI99" s="121">
        <v>1.5</v>
      </c>
      <c r="AJ99" s="121">
        <v>1.5</v>
      </c>
      <c r="AK99" s="121">
        <v>1.5</v>
      </c>
      <c r="AL99" s="121">
        <v>1.5</v>
      </c>
      <c r="AM99" s="121"/>
      <c r="AN99" s="122">
        <f t="shared" si="4"/>
        <v>34.5</v>
      </c>
      <c r="AO99" s="118">
        <v>210000</v>
      </c>
      <c r="AP99" s="123">
        <f t="shared" si="5"/>
        <v>7245000</v>
      </c>
    </row>
    <row r="100" spans="1:42" ht="24.9" customHeight="1" x14ac:dyDescent="0.4">
      <c r="A100" s="124">
        <v>95</v>
      </c>
      <c r="B100" s="116" t="s">
        <v>637</v>
      </c>
      <c r="C100" s="117" t="s">
        <v>638</v>
      </c>
      <c r="D100" s="127" t="s">
        <v>744</v>
      </c>
      <c r="E100" s="117" t="s">
        <v>639</v>
      </c>
      <c r="F100" s="126" t="s">
        <v>640</v>
      </c>
      <c r="G100" s="119" t="s">
        <v>637</v>
      </c>
      <c r="H100" s="120" t="s">
        <v>641</v>
      </c>
      <c r="I100" s="121">
        <v>1</v>
      </c>
      <c r="J100" s="121">
        <v>1.5</v>
      </c>
      <c r="K100" s="121">
        <v>1.5</v>
      </c>
      <c r="L100" s="121">
        <v>1</v>
      </c>
      <c r="M100" s="121"/>
      <c r="N100" s="121">
        <v>1.5</v>
      </c>
      <c r="O100" s="121">
        <v>1.5</v>
      </c>
      <c r="P100" s="121">
        <v>1.5</v>
      </c>
      <c r="Q100" s="121">
        <v>1.5</v>
      </c>
      <c r="R100" s="121">
        <v>1</v>
      </c>
      <c r="S100" s="121">
        <v>1</v>
      </c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2">
        <f t="shared" si="4"/>
        <v>13</v>
      </c>
      <c r="AO100" s="118">
        <v>160000</v>
      </c>
      <c r="AP100" s="123">
        <f t="shared" si="5"/>
        <v>2080000</v>
      </c>
    </row>
    <row r="101" spans="1:42" ht="24.9" customHeight="1" x14ac:dyDescent="0.4">
      <c r="A101" s="124">
        <v>96</v>
      </c>
      <c r="B101" s="116" t="s">
        <v>642</v>
      </c>
      <c r="C101" s="117" t="s">
        <v>643</v>
      </c>
      <c r="D101" s="125" t="s">
        <v>316</v>
      </c>
      <c r="E101" s="117" t="s">
        <v>644</v>
      </c>
      <c r="F101" s="126" t="s">
        <v>401</v>
      </c>
      <c r="G101" s="119" t="s">
        <v>642</v>
      </c>
      <c r="H101" s="120" t="s">
        <v>645</v>
      </c>
      <c r="I101" s="121">
        <v>2</v>
      </c>
      <c r="J101" s="121"/>
      <c r="K101" s="121"/>
      <c r="L101" s="121"/>
      <c r="M101" s="121"/>
      <c r="N101" s="121">
        <v>2</v>
      </c>
      <c r="O101" s="121">
        <v>2</v>
      </c>
      <c r="P101" s="121">
        <v>2</v>
      </c>
      <c r="Q101" s="121">
        <v>2</v>
      </c>
      <c r="R101" s="121">
        <v>2</v>
      </c>
      <c r="S101" s="121"/>
      <c r="T101" s="121"/>
      <c r="U101" s="121">
        <v>2</v>
      </c>
      <c r="V101" s="121">
        <v>2</v>
      </c>
      <c r="W101" s="121">
        <v>2</v>
      </c>
      <c r="X101" s="121">
        <v>2</v>
      </c>
      <c r="Y101" s="121">
        <v>2</v>
      </c>
      <c r="Z101" s="121"/>
      <c r="AA101" s="121"/>
      <c r="AB101" s="121">
        <v>2</v>
      </c>
      <c r="AC101" s="121">
        <v>2</v>
      </c>
      <c r="AD101" s="121">
        <v>2</v>
      </c>
      <c r="AE101" s="121">
        <v>2</v>
      </c>
      <c r="AF101" s="121">
        <v>2</v>
      </c>
      <c r="AG101" s="121"/>
      <c r="AH101" s="121"/>
      <c r="AI101" s="121">
        <v>2</v>
      </c>
      <c r="AJ101" s="121">
        <v>2</v>
      </c>
      <c r="AK101" s="121">
        <v>2</v>
      </c>
      <c r="AL101" s="121"/>
      <c r="AM101" s="121"/>
      <c r="AN101" s="122">
        <f t="shared" si="4"/>
        <v>38</v>
      </c>
      <c r="AO101" s="118">
        <v>160000</v>
      </c>
      <c r="AP101" s="123">
        <f t="shared" si="5"/>
        <v>6080000</v>
      </c>
    </row>
    <row r="102" spans="1:42" ht="24.9" customHeight="1" x14ac:dyDescent="0.4">
      <c r="A102" s="124">
        <v>97</v>
      </c>
      <c r="B102" s="116" t="s">
        <v>646</v>
      </c>
      <c r="C102" s="117" t="s">
        <v>647</v>
      </c>
      <c r="D102" s="125" t="s">
        <v>334</v>
      </c>
      <c r="E102" s="117" t="s">
        <v>648</v>
      </c>
      <c r="F102" s="126" t="s">
        <v>318</v>
      </c>
      <c r="G102" s="119" t="s">
        <v>646</v>
      </c>
      <c r="H102" s="120" t="s">
        <v>649</v>
      </c>
      <c r="I102" s="121"/>
      <c r="J102" s="121">
        <v>1.5</v>
      </c>
      <c r="K102" s="121"/>
      <c r="L102" s="121">
        <v>1</v>
      </c>
      <c r="M102" s="121"/>
      <c r="N102" s="121">
        <v>1.5</v>
      </c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2">
        <f t="shared" si="4"/>
        <v>4</v>
      </c>
      <c r="AO102" s="118">
        <v>240000</v>
      </c>
      <c r="AP102" s="123">
        <f t="shared" si="5"/>
        <v>960000</v>
      </c>
    </row>
    <row r="103" spans="1:42" ht="24.9" customHeight="1" x14ac:dyDescent="0.4">
      <c r="A103" s="124">
        <v>98</v>
      </c>
      <c r="B103" s="116" t="s">
        <v>791</v>
      </c>
      <c r="C103" s="117" t="s">
        <v>792</v>
      </c>
      <c r="D103" s="127" t="s">
        <v>334</v>
      </c>
      <c r="E103" s="117" t="s">
        <v>793</v>
      </c>
      <c r="F103" s="126" t="s">
        <v>312</v>
      </c>
      <c r="G103" s="119" t="s">
        <v>791</v>
      </c>
      <c r="H103" s="120" t="s">
        <v>794</v>
      </c>
      <c r="I103" s="121"/>
      <c r="J103" s="121"/>
      <c r="K103" s="121"/>
      <c r="L103" s="121"/>
      <c r="M103" s="121"/>
      <c r="N103" s="121">
        <v>0.5</v>
      </c>
      <c r="O103" s="121">
        <v>1</v>
      </c>
      <c r="P103" s="121"/>
      <c r="Q103" s="121">
        <v>1</v>
      </c>
      <c r="R103" s="121">
        <v>1.5</v>
      </c>
      <c r="S103" s="121">
        <v>1</v>
      </c>
      <c r="T103" s="121"/>
      <c r="U103" s="121">
        <v>1.5</v>
      </c>
      <c r="V103" s="121">
        <v>1.5</v>
      </c>
      <c r="W103" s="121">
        <v>1</v>
      </c>
      <c r="X103" s="121">
        <v>1.375</v>
      </c>
      <c r="Y103" s="121">
        <v>1.5</v>
      </c>
      <c r="Z103" s="121">
        <v>1</v>
      </c>
      <c r="AA103" s="121"/>
      <c r="AB103" s="121">
        <v>1.5</v>
      </c>
      <c r="AC103" s="121">
        <v>1.5</v>
      </c>
      <c r="AD103" s="121">
        <v>1</v>
      </c>
      <c r="AE103" s="121">
        <v>1.5</v>
      </c>
      <c r="AF103" s="121">
        <v>1.5</v>
      </c>
      <c r="AG103" s="121">
        <v>0.875</v>
      </c>
      <c r="AH103" s="121"/>
      <c r="AI103" s="121">
        <v>1.5</v>
      </c>
      <c r="AJ103" s="121">
        <v>1.5</v>
      </c>
      <c r="AK103" s="121">
        <v>1.5</v>
      </c>
      <c r="AL103" s="121">
        <v>1.5</v>
      </c>
      <c r="AM103" s="121"/>
      <c r="AN103" s="122">
        <f t="shared" si="4"/>
        <v>26.75</v>
      </c>
      <c r="AO103" s="118">
        <v>240000</v>
      </c>
      <c r="AP103" s="123">
        <f t="shared" si="5"/>
        <v>6420000</v>
      </c>
    </row>
    <row r="104" spans="1:42" ht="24.9" customHeight="1" x14ac:dyDescent="0.4">
      <c r="A104" s="124">
        <v>99</v>
      </c>
      <c r="B104" s="116" t="s">
        <v>650</v>
      </c>
      <c r="C104" s="117" t="s">
        <v>651</v>
      </c>
      <c r="D104" s="127" t="s">
        <v>334</v>
      </c>
      <c r="E104" s="117" t="s">
        <v>652</v>
      </c>
      <c r="F104" s="126" t="s">
        <v>335</v>
      </c>
      <c r="G104" s="119" t="s">
        <v>650</v>
      </c>
      <c r="H104" s="120" t="s">
        <v>653</v>
      </c>
      <c r="I104" s="121">
        <v>1.75</v>
      </c>
      <c r="J104" s="121">
        <v>2</v>
      </c>
      <c r="K104" s="121">
        <v>2</v>
      </c>
      <c r="L104" s="121"/>
      <c r="M104" s="121"/>
      <c r="N104" s="121">
        <v>2</v>
      </c>
      <c r="O104" s="121">
        <v>2</v>
      </c>
      <c r="P104" s="121">
        <v>2</v>
      </c>
      <c r="Q104" s="121">
        <v>2</v>
      </c>
      <c r="R104" s="121">
        <v>2</v>
      </c>
      <c r="S104" s="121"/>
      <c r="T104" s="121"/>
      <c r="U104" s="121">
        <v>2</v>
      </c>
      <c r="V104" s="121">
        <v>2</v>
      </c>
      <c r="W104" s="121">
        <v>2</v>
      </c>
      <c r="X104" s="121">
        <v>2</v>
      </c>
      <c r="Y104" s="121">
        <v>2</v>
      </c>
      <c r="Z104" s="121"/>
      <c r="AA104" s="121"/>
      <c r="AB104" s="121">
        <v>2</v>
      </c>
      <c r="AC104" s="121">
        <v>2</v>
      </c>
      <c r="AD104" s="121">
        <v>2</v>
      </c>
      <c r="AE104" s="121">
        <v>2</v>
      </c>
      <c r="AF104" s="121">
        <v>2</v>
      </c>
      <c r="AG104" s="121"/>
      <c r="AH104" s="121"/>
      <c r="AI104" s="121">
        <v>2</v>
      </c>
      <c r="AJ104" s="121">
        <v>2</v>
      </c>
      <c r="AK104" s="121">
        <v>2</v>
      </c>
      <c r="AL104" s="121"/>
      <c r="AM104" s="121"/>
      <c r="AN104" s="122">
        <f t="shared" si="2"/>
        <v>41.75</v>
      </c>
      <c r="AO104" s="118">
        <v>240000</v>
      </c>
      <c r="AP104" s="123">
        <f t="shared" si="3"/>
        <v>10020000</v>
      </c>
    </row>
    <row r="105" spans="1:42" ht="24.9" customHeight="1" x14ac:dyDescent="0.4">
      <c r="A105" s="124">
        <v>100</v>
      </c>
      <c r="B105" s="116" t="s">
        <v>654</v>
      </c>
      <c r="C105" s="117" t="s">
        <v>655</v>
      </c>
      <c r="D105" s="125" t="s">
        <v>364</v>
      </c>
      <c r="E105" s="117" t="s">
        <v>656</v>
      </c>
      <c r="F105" s="126" t="s">
        <v>318</v>
      </c>
      <c r="G105" s="119" t="s">
        <v>654</v>
      </c>
      <c r="H105" s="120" t="s">
        <v>657</v>
      </c>
      <c r="I105" s="121">
        <v>1.5</v>
      </c>
      <c r="J105" s="121">
        <v>1.5</v>
      </c>
      <c r="K105" s="121">
        <v>1.5</v>
      </c>
      <c r="L105" s="121">
        <v>1</v>
      </c>
      <c r="M105" s="121"/>
      <c r="N105" s="121">
        <v>1.5</v>
      </c>
      <c r="O105" s="121">
        <v>1.5</v>
      </c>
      <c r="P105" s="121">
        <v>1.5</v>
      </c>
      <c r="Q105" s="121">
        <v>1.5</v>
      </c>
      <c r="R105" s="121">
        <v>1.5</v>
      </c>
      <c r="S105" s="121">
        <v>1</v>
      </c>
      <c r="T105" s="121"/>
      <c r="U105" s="121">
        <v>1.5</v>
      </c>
      <c r="V105" s="121">
        <v>1.5</v>
      </c>
      <c r="W105" s="121">
        <v>1</v>
      </c>
      <c r="X105" s="121">
        <v>1.5</v>
      </c>
      <c r="Y105" s="121">
        <v>1.5</v>
      </c>
      <c r="Z105" s="121">
        <v>1</v>
      </c>
      <c r="AA105" s="121"/>
      <c r="AB105" s="121">
        <v>1.5</v>
      </c>
      <c r="AC105" s="121">
        <v>1.5</v>
      </c>
      <c r="AD105" s="121">
        <v>1</v>
      </c>
      <c r="AE105" s="121">
        <v>1.5</v>
      </c>
      <c r="AF105" s="121">
        <v>1.5</v>
      </c>
      <c r="AG105" s="121">
        <v>1</v>
      </c>
      <c r="AH105" s="121"/>
      <c r="AI105" s="121">
        <v>1.5</v>
      </c>
      <c r="AJ105" s="121">
        <v>1.5</v>
      </c>
      <c r="AK105" s="121">
        <v>1.5</v>
      </c>
      <c r="AL105" s="121">
        <v>1.5</v>
      </c>
      <c r="AM105" s="121"/>
      <c r="AN105" s="122">
        <f t="shared" si="2"/>
        <v>36</v>
      </c>
      <c r="AO105" s="118">
        <v>220000</v>
      </c>
      <c r="AP105" s="123">
        <f t="shared" si="3"/>
        <v>7920000</v>
      </c>
    </row>
    <row r="106" spans="1:42" ht="24.9" customHeight="1" x14ac:dyDescent="0.4">
      <c r="A106" s="124">
        <v>101</v>
      </c>
      <c r="B106" s="116" t="s">
        <v>658</v>
      </c>
      <c r="C106" s="117" t="s">
        <v>659</v>
      </c>
      <c r="D106" s="125" t="s">
        <v>316</v>
      </c>
      <c r="E106" s="117" t="s">
        <v>660</v>
      </c>
      <c r="F106" s="126" t="s">
        <v>318</v>
      </c>
      <c r="G106" s="119" t="s">
        <v>658</v>
      </c>
      <c r="H106" s="120" t="s">
        <v>661</v>
      </c>
      <c r="I106" s="121">
        <v>1.5</v>
      </c>
      <c r="J106" s="121">
        <v>1.5</v>
      </c>
      <c r="K106" s="121">
        <v>1.5</v>
      </c>
      <c r="L106" s="121"/>
      <c r="M106" s="121"/>
      <c r="N106" s="121">
        <v>1.5</v>
      </c>
      <c r="O106" s="121">
        <v>1.5</v>
      </c>
      <c r="P106" s="121">
        <v>1.5</v>
      </c>
      <c r="Q106" s="121">
        <v>1.5</v>
      </c>
      <c r="R106" s="121">
        <v>1.5</v>
      </c>
      <c r="S106" s="121">
        <v>1</v>
      </c>
      <c r="T106" s="121"/>
      <c r="U106" s="121"/>
      <c r="V106" s="121">
        <v>0.5</v>
      </c>
      <c r="W106" s="121">
        <v>1</v>
      </c>
      <c r="X106" s="121">
        <v>1.5</v>
      </c>
      <c r="Y106" s="121">
        <v>1.5</v>
      </c>
      <c r="Z106" s="121">
        <v>1</v>
      </c>
      <c r="AA106" s="121"/>
      <c r="AB106" s="121">
        <v>1.5</v>
      </c>
      <c r="AC106" s="121">
        <v>1.5</v>
      </c>
      <c r="AD106" s="121">
        <v>1</v>
      </c>
      <c r="AE106" s="121">
        <v>1.5</v>
      </c>
      <c r="AF106" s="121">
        <v>1.5</v>
      </c>
      <c r="AG106" s="121">
        <v>1</v>
      </c>
      <c r="AH106" s="121"/>
      <c r="AI106" s="121">
        <v>1.5</v>
      </c>
      <c r="AJ106" s="121">
        <v>1.5</v>
      </c>
      <c r="AK106" s="121">
        <v>1.5</v>
      </c>
      <c r="AL106" s="121">
        <v>1.5</v>
      </c>
      <c r="AM106" s="121"/>
      <c r="AN106" s="122">
        <f t="shared" si="2"/>
        <v>32.5</v>
      </c>
      <c r="AO106" s="118">
        <v>160000</v>
      </c>
      <c r="AP106" s="123">
        <f t="shared" si="3"/>
        <v>5200000</v>
      </c>
    </row>
    <row r="107" spans="1:42" ht="24.9" customHeight="1" x14ac:dyDescent="0.4">
      <c r="A107" s="124">
        <v>102</v>
      </c>
      <c r="B107" s="116" t="s">
        <v>662</v>
      </c>
      <c r="C107" s="117" t="s">
        <v>663</v>
      </c>
      <c r="D107" s="127" t="s">
        <v>316</v>
      </c>
      <c r="E107" s="117" t="s">
        <v>664</v>
      </c>
      <c r="F107" s="126" t="s">
        <v>496</v>
      </c>
      <c r="G107" s="119" t="s">
        <v>662</v>
      </c>
      <c r="H107" s="120" t="s">
        <v>665</v>
      </c>
      <c r="I107" s="121">
        <v>1.5</v>
      </c>
      <c r="J107" s="121"/>
      <c r="K107" s="121">
        <v>1.5</v>
      </c>
      <c r="L107" s="121"/>
      <c r="M107" s="121"/>
      <c r="N107" s="121">
        <v>1.5</v>
      </c>
      <c r="O107" s="121">
        <v>1.5</v>
      </c>
      <c r="P107" s="121">
        <v>1.5</v>
      </c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2">
        <f t="shared" si="2"/>
        <v>7.5</v>
      </c>
      <c r="AO107" s="118">
        <v>150000</v>
      </c>
      <c r="AP107" s="123">
        <f t="shared" si="3"/>
        <v>1125000</v>
      </c>
    </row>
    <row r="108" spans="1:42" ht="24.9" customHeight="1" x14ac:dyDescent="0.4">
      <c r="A108" s="124">
        <v>103</v>
      </c>
      <c r="B108" s="116" t="s">
        <v>666</v>
      </c>
      <c r="C108" s="117" t="s">
        <v>667</v>
      </c>
      <c r="D108" s="125" t="s">
        <v>364</v>
      </c>
      <c r="E108" s="117" t="s">
        <v>668</v>
      </c>
      <c r="F108" s="126" t="s">
        <v>312</v>
      </c>
      <c r="G108" s="119" t="s">
        <v>666</v>
      </c>
      <c r="H108" s="120" t="s">
        <v>669</v>
      </c>
      <c r="I108" s="121">
        <v>1.5</v>
      </c>
      <c r="J108" s="121">
        <v>1.5</v>
      </c>
      <c r="K108" s="121">
        <v>1.5</v>
      </c>
      <c r="L108" s="121"/>
      <c r="M108" s="121"/>
      <c r="N108" s="121">
        <v>1.5</v>
      </c>
      <c r="O108" s="121">
        <v>1.5</v>
      </c>
      <c r="P108" s="121">
        <v>1.5</v>
      </c>
      <c r="Q108" s="121">
        <v>1.5</v>
      </c>
      <c r="R108" s="121">
        <v>1.5</v>
      </c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2">
        <f t="shared" si="2"/>
        <v>12</v>
      </c>
      <c r="AO108" s="118">
        <v>220000</v>
      </c>
      <c r="AP108" s="123">
        <f t="shared" si="3"/>
        <v>2640000</v>
      </c>
    </row>
    <row r="109" spans="1:42" ht="24.9" customHeight="1" x14ac:dyDescent="0.4">
      <c r="A109" s="124">
        <v>104</v>
      </c>
      <c r="B109" s="116" t="s">
        <v>670</v>
      </c>
      <c r="C109" s="117" t="s">
        <v>671</v>
      </c>
      <c r="D109" s="127" t="s">
        <v>364</v>
      </c>
      <c r="E109" s="117" t="s">
        <v>672</v>
      </c>
      <c r="F109" s="126" t="s">
        <v>377</v>
      </c>
      <c r="G109" s="119" t="s">
        <v>670</v>
      </c>
      <c r="H109" s="120" t="s">
        <v>673</v>
      </c>
      <c r="I109" s="121">
        <v>2</v>
      </c>
      <c r="J109" s="121">
        <v>2</v>
      </c>
      <c r="K109" s="121">
        <v>2</v>
      </c>
      <c r="L109" s="121"/>
      <c r="M109" s="121"/>
      <c r="N109" s="121">
        <v>2</v>
      </c>
      <c r="O109" s="121">
        <v>2</v>
      </c>
      <c r="P109" s="121">
        <v>2</v>
      </c>
      <c r="Q109" s="121">
        <v>2</v>
      </c>
      <c r="R109" s="121">
        <v>2</v>
      </c>
      <c r="S109" s="121"/>
      <c r="T109" s="121"/>
      <c r="U109" s="121">
        <v>2</v>
      </c>
      <c r="V109" s="121">
        <v>2</v>
      </c>
      <c r="W109" s="121">
        <v>2</v>
      </c>
      <c r="X109" s="121">
        <v>2</v>
      </c>
      <c r="Y109" s="121">
        <v>2</v>
      </c>
      <c r="Z109" s="121"/>
      <c r="AA109" s="121"/>
      <c r="AB109" s="121">
        <v>2</v>
      </c>
      <c r="AC109" s="121">
        <v>2</v>
      </c>
      <c r="AD109" s="121">
        <v>2</v>
      </c>
      <c r="AE109" s="121">
        <v>2</v>
      </c>
      <c r="AF109" s="121">
        <v>2</v>
      </c>
      <c r="AG109" s="121"/>
      <c r="AH109" s="121"/>
      <c r="AI109" s="121">
        <v>2</v>
      </c>
      <c r="AJ109" s="121">
        <v>2</v>
      </c>
      <c r="AK109" s="121">
        <v>2</v>
      </c>
      <c r="AL109" s="121"/>
      <c r="AM109" s="121"/>
      <c r="AN109" s="122">
        <f t="shared" ref="AN109:AN115" si="6">SUM(I109:AM109)</f>
        <v>42</v>
      </c>
      <c r="AO109" s="118">
        <v>220000</v>
      </c>
      <c r="AP109" s="123">
        <f t="shared" ref="AP109:AP115" si="7">AN109*AO109</f>
        <v>9240000</v>
      </c>
    </row>
    <row r="110" spans="1:42" ht="24.9" customHeight="1" x14ac:dyDescent="0.4">
      <c r="A110" s="124">
        <v>105</v>
      </c>
      <c r="B110" s="116" t="s">
        <v>674</v>
      </c>
      <c r="C110" s="117" t="s">
        <v>675</v>
      </c>
      <c r="D110" s="127" t="s">
        <v>316</v>
      </c>
      <c r="E110" s="117" t="s">
        <v>816</v>
      </c>
      <c r="F110" s="126" t="s">
        <v>496</v>
      </c>
      <c r="G110" s="119" t="s">
        <v>674</v>
      </c>
      <c r="H110" s="120" t="s">
        <v>676</v>
      </c>
      <c r="I110" s="121">
        <v>1.5</v>
      </c>
      <c r="J110" s="121">
        <v>1.5</v>
      </c>
      <c r="K110" s="121">
        <v>1.5</v>
      </c>
      <c r="L110" s="121">
        <v>1</v>
      </c>
      <c r="M110" s="121"/>
      <c r="N110" s="121">
        <v>1.5</v>
      </c>
      <c r="O110" s="121">
        <v>1.5</v>
      </c>
      <c r="P110" s="121">
        <v>1.5</v>
      </c>
      <c r="Q110" s="121">
        <v>1.5</v>
      </c>
      <c r="R110" s="121">
        <v>1.5</v>
      </c>
      <c r="S110" s="121"/>
      <c r="T110" s="121"/>
      <c r="U110" s="121">
        <v>1.5</v>
      </c>
      <c r="V110" s="121">
        <v>1.5</v>
      </c>
      <c r="W110" s="121">
        <v>1</v>
      </c>
      <c r="X110" s="121">
        <v>1.5</v>
      </c>
      <c r="Y110" s="121">
        <v>1.5</v>
      </c>
      <c r="Z110" s="121">
        <v>1</v>
      </c>
      <c r="AA110" s="121"/>
      <c r="AB110" s="121">
        <v>1.5</v>
      </c>
      <c r="AC110" s="121">
        <v>1.5</v>
      </c>
      <c r="AD110" s="121">
        <v>1</v>
      </c>
      <c r="AE110" s="121">
        <v>1.5</v>
      </c>
      <c r="AF110" s="121">
        <v>1.5</v>
      </c>
      <c r="AG110" s="121">
        <v>1</v>
      </c>
      <c r="AH110" s="121"/>
      <c r="AI110" s="121">
        <v>1.5</v>
      </c>
      <c r="AJ110" s="121">
        <v>1.5</v>
      </c>
      <c r="AK110" s="121">
        <v>1.5</v>
      </c>
      <c r="AL110" s="121">
        <v>1.5</v>
      </c>
      <c r="AM110" s="121"/>
      <c r="AN110" s="122">
        <f t="shared" si="6"/>
        <v>35</v>
      </c>
      <c r="AO110" s="118">
        <v>160000</v>
      </c>
      <c r="AP110" s="123">
        <f t="shared" si="7"/>
        <v>5600000</v>
      </c>
    </row>
    <row r="111" spans="1:42" ht="24.9" customHeight="1" x14ac:dyDescent="0.4">
      <c r="A111" s="124">
        <v>106</v>
      </c>
      <c r="B111" s="116" t="s">
        <v>677</v>
      </c>
      <c r="C111" s="117" t="s">
        <v>678</v>
      </c>
      <c r="D111" s="127" t="s">
        <v>316</v>
      </c>
      <c r="E111" s="117" t="s">
        <v>679</v>
      </c>
      <c r="F111" s="126" t="s">
        <v>383</v>
      </c>
      <c r="G111" s="119" t="s">
        <v>677</v>
      </c>
      <c r="H111" s="120" t="s">
        <v>680</v>
      </c>
      <c r="I111" s="121">
        <v>1.5</v>
      </c>
      <c r="J111" s="121">
        <v>1.5</v>
      </c>
      <c r="K111" s="121">
        <v>1.5</v>
      </c>
      <c r="L111" s="121">
        <v>1</v>
      </c>
      <c r="M111" s="121"/>
      <c r="N111" s="121">
        <v>1.5</v>
      </c>
      <c r="O111" s="121">
        <v>1.5</v>
      </c>
      <c r="P111" s="121">
        <v>1.5</v>
      </c>
      <c r="Q111" s="121">
        <v>1.5</v>
      </c>
      <c r="R111" s="121">
        <v>1.5</v>
      </c>
      <c r="S111" s="121"/>
      <c r="T111" s="121"/>
      <c r="U111" s="121">
        <v>1.5</v>
      </c>
      <c r="V111" s="121">
        <v>1.5</v>
      </c>
      <c r="W111" s="121">
        <v>1</v>
      </c>
      <c r="X111" s="121">
        <v>1.5</v>
      </c>
      <c r="Y111" s="121">
        <v>1.5</v>
      </c>
      <c r="Z111" s="121">
        <v>1</v>
      </c>
      <c r="AA111" s="121"/>
      <c r="AB111" s="121">
        <v>1.5</v>
      </c>
      <c r="AC111" s="121">
        <v>1.5</v>
      </c>
      <c r="AD111" s="121">
        <v>1</v>
      </c>
      <c r="AE111" s="121">
        <v>1.5</v>
      </c>
      <c r="AF111" s="121">
        <v>1.5</v>
      </c>
      <c r="AG111" s="121">
        <v>1</v>
      </c>
      <c r="AH111" s="121"/>
      <c r="AI111" s="121">
        <v>1.5</v>
      </c>
      <c r="AJ111" s="121">
        <v>1.5</v>
      </c>
      <c r="AK111" s="121">
        <v>1.5</v>
      </c>
      <c r="AL111" s="121">
        <v>1.5</v>
      </c>
      <c r="AM111" s="121"/>
      <c r="AN111" s="122">
        <f t="shared" si="6"/>
        <v>35</v>
      </c>
      <c r="AO111" s="118">
        <v>160000</v>
      </c>
      <c r="AP111" s="123">
        <f t="shared" si="7"/>
        <v>5600000</v>
      </c>
    </row>
    <row r="112" spans="1:42" ht="24.9" customHeight="1" x14ac:dyDescent="0.4">
      <c r="A112" s="124">
        <v>107</v>
      </c>
      <c r="B112" s="116" t="s">
        <v>795</v>
      </c>
      <c r="C112" s="117" t="s">
        <v>796</v>
      </c>
      <c r="D112" s="125" t="s">
        <v>364</v>
      </c>
      <c r="E112" s="117" t="s">
        <v>797</v>
      </c>
      <c r="F112" s="126" t="s">
        <v>312</v>
      </c>
      <c r="G112" s="119" t="s">
        <v>795</v>
      </c>
      <c r="H112" s="120" t="s">
        <v>798</v>
      </c>
      <c r="I112" s="121"/>
      <c r="J112" s="121"/>
      <c r="K112" s="121"/>
      <c r="L112" s="121"/>
      <c r="M112" s="121"/>
      <c r="N112" s="121">
        <v>1</v>
      </c>
      <c r="O112" s="121">
        <v>1</v>
      </c>
      <c r="P112" s="121"/>
      <c r="Q112" s="121">
        <v>1</v>
      </c>
      <c r="R112" s="121">
        <v>1.5</v>
      </c>
      <c r="S112" s="121"/>
      <c r="T112" s="121"/>
      <c r="U112" s="121">
        <v>1.5</v>
      </c>
      <c r="V112" s="121">
        <v>1.5</v>
      </c>
      <c r="W112" s="121">
        <v>0.5</v>
      </c>
      <c r="X112" s="121">
        <v>1.5</v>
      </c>
      <c r="Y112" s="121">
        <v>1.5</v>
      </c>
      <c r="Z112" s="121">
        <v>1</v>
      </c>
      <c r="AA112" s="121"/>
      <c r="AB112" s="121">
        <v>1.5</v>
      </c>
      <c r="AC112" s="121">
        <v>1.5</v>
      </c>
      <c r="AD112" s="121">
        <v>1</v>
      </c>
      <c r="AE112" s="121">
        <v>1.5</v>
      </c>
      <c r="AF112" s="121">
        <v>1.5</v>
      </c>
      <c r="AG112" s="121">
        <v>0.5</v>
      </c>
      <c r="AH112" s="121"/>
      <c r="AI112" s="121">
        <v>1</v>
      </c>
      <c r="AJ112" s="121">
        <v>1.5</v>
      </c>
      <c r="AK112" s="121">
        <v>1.5</v>
      </c>
      <c r="AL112" s="121">
        <v>0.375</v>
      </c>
      <c r="AM112" s="121"/>
      <c r="AN112" s="122">
        <f t="shared" si="6"/>
        <v>23.875</v>
      </c>
      <c r="AO112" s="118">
        <v>220000</v>
      </c>
      <c r="AP112" s="123">
        <f t="shared" si="7"/>
        <v>5252500</v>
      </c>
    </row>
    <row r="113" spans="1:42" ht="24.9" customHeight="1" x14ac:dyDescent="0.4">
      <c r="A113" s="124">
        <v>108</v>
      </c>
      <c r="B113" s="116" t="s">
        <v>681</v>
      </c>
      <c r="C113" s="117" t="s">
        <v>682</v>
      </c>
      <c r="D113" s="125" t="s">
        <v>364</v>
      </c>
      <c r="E113" s="117" t="s">
        <v>683</v>
      </c>
      <c r="F113" s="126" t="s">
        <v>372</v>
      </c>
      <c r="G113" s="119" t="s">
        <v>681</v>
      </c>
      <c r="H113" s="120" t="s">
        <v>684</v>
      </c>
      <c r="I113" s="121">
        <v>1.5</v>
      </c>
      <c r="J113" s="121">
        <v>1.5</v>
      </c>
      <c r="K113" s="121">
        <v>1.5</v>
      </c>
      <c r="L113" s="121">
        <v>1</v>
      </c>
      <c r="M113" s="121"/>
      <c r="N113" s="121">
        <v>1.5</v>
      </c>
      <c r="O113" s="121">
        <v>1.5</v>
      </c>
      <c r="P113" s="121">
        <v>1.5</v>
      </c>
      <c r="Q113" s="121">
        <v>1.5</v>
      </c>
      <c r="R113" s="121">
        <v>1.5</v>
      </c>
      <c r="S113" s="121">
        <v>1</v>
      </c>
      <c r="T113" s="121"/>
      <c r="U113" s="121">
        <v>1.5</v>
      </c>
      <c r="V113" s="121">
        <v>1.5</v>
      </c>
      <c r="W113" s="121">
        <v>1</v>
      </c>
      <c r="X113" s="121">
        <v>1.5</v>
      </c>
      <c r="Y113" s="121">
        <v>1.5</v>
      </c>
      <c r="Z113" s="121">
        <v>1</v>
      </c>
      <c r="AA113" s="121"/>
      <c r="AB113" s="121">
        <v>1.5</v>
      </c>
      <c r="AC113" s="121">
        <v>1.5</v>
      </c>
      <c r="AD113" s="121">
        <v>1</v>
      </c>
      <c r="AE113" s="121">
        <v>1.5</v>
      </c>
      <c r="AF113" s="121">
        <v>1.5</v>
      </c>
      <c r="AG113" s="121">
        <v>1</v>
      </c>
      <c r="AH113" s="121"/>
      <c r="AI113" s="121">
        <v>1.5</v>
      </c>
      <c r="AJ113" s="121">
        <v>1.5</v>
      </c>
      <c r="AK113" s="121">
        <v>1.5</v>
      </c>
      <c r="AL113" s="121">
        <v>1.5</v>
      </c>
      <c r="AM113" s="121"/>
      <c r="AN113" s="122">
        <f t="shared" si="6"/>
        <v>36</v>
      </c>
      <c r="AO113" s="118">
        <v>230000</v>
      </c>
      <c r="AP113" s="123">
        <f t="shared" si="7"/>
        <v>8280000</v>
      </c>
    </row>
    <row r="114" spans="1:42" ht="24.9" customHeight="1" x14ac:dyDescent="0.4">
      <c r="A114" s="124">
        <v>109</v>
      </c>
      <c r="B114" s="116" t="s">
        <v>685</v>
      </c>
      <c r="C114" s="117" t="s">
        <v>686</v>
      </c>
      <c r="D114" s="127" t="s">
        <v>316</v>
      </c>
      <c r="E114" s="117" t="s">
        <v>687</v>
      </c>
      <c r="F114" s="126" t="s">
        <v>318</v>
      </c>
      <c r="G114" s="119" t="s">
        <v>685</v>
      </c>
      <c r="H114" s="120" t="s">
        <v>688</v>
      </c>
      <c r="I114" s="121">
        <v>1.5</v>
      </c>
      <c r="J114" s="121">
        <v>1.5</v>
      </c>
      <c r="K114" s="121">
        <v>1.5</v>
      </c>
      <c r="L114" s="121"/>
      <c r="M114" s="121"/>
      <c r="N114" s="121">
        <v>1.5</v>
      </c>
      <c r="O114" s="121">
        <v>1.5</v>
      </c>
      <c r="P114" s="121">
        <v>1.5</v>
      </c>
      <c r="Q114" s="121">
        <v>1.5</v>
      </c>
      <c r="R114" s="121">
        <v>1.5</v>
      </c>
      <c r="S114" s="121">
        <v>1</v>
      </c>
      <c r="T114" s="121"/>
      <c r="U114" s="121">
        <v>1.5</v>
      </c>
      <c r="V114" s="121">
        <v>1.5</v>
      </c>
      <c r="W114" s="121">
        <v>1</v>
      </c>
      <c r="X114" s="121">
        <v>1.5</v>
      </c>
      <c r="Y114" s="121">
        <v>1.5</v>
      </c>
      <c r="Z114" s="121"/>
      <c r="AA114" s="121"/>
      <c r="AB114" s="121">
        <v>1.5</v>
      </c>
      <c r="AC114" s="121">
        <v>1.5</v>
      </c>
      <c r="AD114" s="121">
        <v>1</v>
      </c>
      <c r="AE114" s="121">
        <v>1.5</v>
      </c>
      <c r="AF114" s="121">
        <v>1.5</v>
      </c>
      <c r="AG114" s="121">
        <v>1</v>
      </c>
      <c r="AH114" s="121"/>
      <c r="AI114" s="121">
        <v>1.5</v>
      </c>
      <c r="AJ114" s="121">
        <v>1.5</v>
      </c>
      <c r="AK114" s="121">
        <v>1.5</v>
      </c>
      <c r="AL114" s="121">
        <v>1.5</v>
      </c>
      <c r="AM114" s="121"/>
      <c r="AN114" s="122">
        <f t="shared" si="6"/>
        <v>34</v>
      </c>
      <c r="AO114" s="118">
        <v>160000</v>
      </c>
      <c r="AP114" s="123">
        <f t="shared" si="7"/>
        <v>5440000</v>
      </c>
    </row>
    <row r="115" spans="1:42" ht="24.9" customHeight="1" x14ac:dyDescent="0.4">
      <c r="A115" s="124">
        <v>110</v>
      </c>
      <c r="B115" s="116" t="s">
        <v>689</v>
      </c>
      <c r="C115" s="117" t="s">
        <v>690</v>
      </c>
      <c r="D115" s="125" t="s">
        <v>316</v>
      </c>
      <c r="E115" s="117" t="s">
        <v>691</v>
      </c>
      <c r="F115" s="126" t="s">
        <v>383</v>
      </c>
      <c r="G115" s="119" t="s">
        <v>689</v>
      </c>
      <c r="H115" s="120" t="s">
        <v>692</v>
      </c>
      <c r="I115" s="121">
        <v>1.5</v>
      </c>
      <c r="J115" s="121">
        <v>1.5</v>
      </c>
      <c r="K115" s="121">
        <v>1.5</v>
      </c>
      <c r="L115" s="121">
        <v>1</v>
      </c>
      <c r="M115" s="121"/>
      <c r="N115" s="121">
        <v>1.5</v>
      </c>
      <c r="O115" s="121">
        <v>1.5</v>
      </c>
      <c r="P115" s="121">
        <v>1.5</v>
      </c>
      <c r="Q115" s="121">
        <v>1.5</v>
      </c>
      <c r="R115" s="121">
        <v>1.5</v>
      </c>
      <c r="S115" s="121">
        <v>1</v>
      </c>
      <c r="T115" s="121"/>
      <c r="U115" s="121">
        <v>1.5</v>
      </c>
      <c r="V115" s="121">
        <v>1.5</v>
      </c>
      <c r="W115" s="121">
        <v>1</v>
      </c>
      <c r="X115" s="121">
        <v>1.5</v>
      </c>
      <c r="Y115" s="121">
        <v>1.5</v>
      </c>
      <c r="Z115" s="121">
        <v>1</v>
      </c>
      <c r="AA115" s="121"/>
      <c r="AB115" s="121"/>
      <c r="AC115" s="121">
        <v>1.5</v>
      </c>
      <c r="AD115" s="121">
        <v>1</v>
      </c>
      <c r="AE115" s="121">
        <v>1.5</v>
      </c>
      <c r="AF115" s="121">
        <v>1.5</v>
      </c>
      <c r="AG115" s="121"/>
      <c r="AH115" s="121"/>
      <c r="AI115" s="121">
        <v>1.5</v>
      </c>
      <c r="AJ115" s="121">
        <v>1.5</v>
      </c>
      <c r="AK115" s="121">
        <v>1.5</v>
      </c>
      <c r="AL115" s="121">
        <v>1.5</v>
      </c>
      <c r="AM115" s="121"/>
      <c r="AN115" s="122">
        <f t="shared" si="6"/>
        <v>33.5</v>
      </c>
      <c r="AO115" s="118">
        <v>160000</v>
      </c>
      <c r="AP115" s="123">
        <f t="shared" si="7"/>
        <v>5360000</v>
      </c>
    </row>
    <row r="116" spans="1:42" ht="24.9" customHeight="1" x14ac:dyDescent="0.4">
      <c r="A116" s="124">
        <v>111</v>
      </c>
      <c r="B116" s="116" t="s">
        <v>693</v>
      </c>
      <c r="C116" s="117" t="s">
        <v>694</v>
      </c>
      <c r="D116" s="127" t="s">
        <v>739</v>
      </c>
      <c r="E116" s="117" t="s">
        <v>695</v>
      </c>
      <c r="F116" s="126" t="s">
        <v>318</v>
      </c>
      <c r="G116" s="119" t="s">
        <v>693</v>
      </c>
      <c r="H116" s="120" t="s">
        <v>696</v>
      </c>
      <c r="I116" s="121">
        <v>1.5</v>
      </c>
      <c r="J116" s="121">
        <v>1.5</v>
      </c>
      <c r="K116" s="121">
        <v>1.5</v>
      </c>
      <c r="L116" s="121">
        <v>1</v>
      </c>
      <c r="M116" s="121"/>
      <c r="N116" s="121">
        <v>1.5</v>
      </c>
      <c r="O116" s="121">
        <v>1.5</v>
      </c>
      <c r="P116" s="121">
        <v>1.5</v>
      </c>
      <c r="Q116" s="121">
        <v>1.5</v>
      </c>
      <c r="R116" s="121">
        <v>1.5</v>
      </c>
      <c r="S116" s="121">
        <v>1</v>
      </c>
      <c r="T116" s="121"/>
      <c r="U116" s="121">
        <v>1.5</v>
      </c>
      <c r="V116" s="121">
        <v>1.5</v>
      </c>
      <c r="W116" s="121">
        <v>1</v>
      </c>
      <c r="X116" s="121">
        <v>1.5</v>
      </c>
      <c r="Y116" s="121">
        <v>1.5</v>
      </c>
      <c r="Z116" s="121">
        <v>1</v>
      </c>
      <c r="AA116" s="121"/>
      <c r="AB116" s="121"/>
      <c r="AC116" s="121">
        <v>1.5</v>
      </c>
      <c r="AD116" s="121">
        <v>1</v>
      </c>
      <c r="AE116" s="121">
        <v>1.5</v>
      </c>
      <c r="AF116" s="121">
        <v>1.5</v>
      </c>
      <c r="AG116" s="121">
        <v>1</v>
      </c>
      <c r="AH116" s="121"/>
      <c r="AI116" s="121">
        <v>1.5</v>
      </c>
      <c r="AJ116" s="121">
        <v>1.5</v>
      </c>
      <c r="AK116" s="121">
        <v>1.5</v>
      </c>
      <c r="AL116" s="121">
        <v>1.5</v>
      </c>
      <c r="AM116" s="121"/>
      <c r="AN116" s="122">
        <f t="shared" si="2"/>
        <v>34.5</v>
      </c>
      <c r="AO116" s="118">
        <v>240000</v>
      </c>
      <c r="AP116" s="123">
        <f t="shared" si="3"/>
        <v>8280000</v>
      </c>
    </row>
    <row r="117" spans="1:42" ht="24.9" customHeight="1" x14ac:dyDescent="0.4">
      <c r="A117" s="124">
        <v>112</v>
      </c>
      <c r="B117" s="116" t="s">
        <v>697</v>
      </c>
      <c r="C117" s="117" t="s">
        <v>698</v>
      </c>
      <c r="D117" s="127" t="s">
        <v>744</v>
      </c>
      <c r="E117" s="117" t="s">
        <v>699</v>
      </c>
      <c r="F117" s="126" t="s">
        <v>810</v>
      </c>
      <c r="G117" s="119" t="s">
        <v>697</v>
      </c>
      <c r="H117" s="120" t="s">
        <v>809</v>
      </c>
      <c r="I117" s="121">
        <v>1.5</v>
      </c>
      <c r="J117" s="121">
        <v>1.5</v>
      </c>
      <c r="K117" s="121">
        <v>1.5</v>
      </c>
      <c r="L117" s="121">
        <v>1</v>
      </c>
      <c r="M117" s="121"/>
      <c r="N117" s="121">
        <v>1.5</v>
      </c>
      <c r="O117" s="121">
        <v>1.5</v>
      </c>
      <c r="P117" s="121">
        <v>1.5</v>
      </c>
      <c r="Q117" s="121">
        <v>1.5</v>
      </c>
      <c r="R117" s="121">
        <v>1.5</v>
      </c>
      <c r="S117" s="121">
        <v>1</v>
      </c>
      <c r="T117" s="121"/>
      <c r="U117" s="121">
        <v>1.5</v>
      </c>
      <c r="V117" s="121">
        <v>1.5</v>
      </c>
      <c r="W117" s="121">
        <v>1</v>
      </c>
      <c r="X117" s="121">
        <v>1.5</v>
      </c>
      <c r="Y117" s="121">
        <v>1.5</v>
      </c>
      <c r="Z117" s="121">
        <v>1</v>
      </c>
      <c r="AA117" s="121"/>
      <c r="AB117" s="121">
        <v>1.5</v>
      </c>
      <c r="AC117" s="121">
        <v>1.5</v>
      </c>
      <c r="AD117" s="121">
        <v>1</v>
      </c>
      <c r="AE117" s="121">
        <v>1.5</v>
      </c>
      <c r="AF117" s="121">
        <v>1.5</v>
      </c>
      <c r="AG117" s="121">
        <v>1</v>
      </c>
      <c r="AH117" s="121"/>
      <c r="AI117" s="121">
        <v>1.5</v>
      </c>
      <c r="AJ117" s="121">
        <v>1.5</v>
      </c>
      <c r="AK117" s="121">
        <v>1.5</v>
      </c>
      <c r="AL117" s="121">
        <v>1.5</v>
      </c>
      <c r="AM117" s="121"/>
      <c r="AN117" s="122">
        <f t="shared" si="2"/>
        <v>36</v>
      </c>
      <c r="AO117" s="118">
        <v>160000</v>
      </c>
      <c r="AP117" s="123">
        <f t="shared" si="3"/>
        <v>5760000</v>
      </c>
    </row>
    <row r="118" spans="1:42" ht="24.9" customHeight="1" x14ac:dyDescent="0.4">
      <c r="A118" s="124">
        <v>113</v>
      </c>
      <c r="B118" s="116" t="s">
        <v>700</v>
      </c>
      <c r="C118" s="117" t="s">
        <v>701</v>
      </c>
      <c r="D118" s="127" t="s">
        <v>316</v>
      </c>
      <c r="E118" s="117" t="s">
        <v>702</v>
      </c>
      <c r="F118" s="126" t="s">
        <v>401</v>
      </c>
      <c r="G118" s="119" t="s">
        <v>700</v>
      </c>
      <c r="H118" s="120" t="s">
        <v>703</v>
      </c>
      <c r="I118" s="121">
        <v>1.5</v>
      </c>
      <c r="J118" s="121">
        <v>1.5</v>
      </c>
      <c r="K118" s="121">
        <v>1.5</v>
      </c>
      <c r="L118" s="121">
        <v>1</v>
      </c>
      <c r="M118" s="121"/>
      <c r="N118" s="121">
        <v>1.5</v>
      </c>
      <c r="O118" s="121">
        <v>1.5</v>
      </c>
      <c r="P118" s="121">
        <v>1.5</v>
      </c>
      <c r="Q118" s="121">
        <v>1.5</v>
      </c>
      <c r="R118" s="121">
        <v>1.5</v>
      </c>
      <c r="S118" s="121">
        <v>1</v>
      </c>
      <c r="T118" s="121"/>
      <c r="U118" s="121">
        <v>1.5</v>
      </c>
      <c r="V118" s="121">
        <v>1.5</v>
      </c>
      <c r="W118" s="121">
        <v>1</v>
      </c>
      <c r="X118" s="121">
        <v>1.5</v>
      </c>
      <c r="Y118" s="121">
        <v>1.5</v>
      </c>
      <c r="Z118" s="121">
        <v>1</v>
      </c>
      <c r="AA118" s="121"/>
      <c r="AB118" s="121">
        <v>1.5</v>
      </c>
      <c r="AC118" s="121">
        <v>1.5</v>
      </c>
      <c r="AD118" s="121">
        <v>1</v>
      </c>
      <c r="AE118" s="121">
        <v>1.5</v>
      </c>
      <c r="AF118" s="121">
        <v>1.5</v>
      </c>
      <c r="AG118" s="121">
        <v>1</v>
      </c>
      <c r="AH118" s="121"/>
      <c r="AI118" s="121">
        <v>1.5</v>
      </c>
      <c r="AJ118" s="121">
        <v>1.5</v>
      </c>
      <c r="AK118" s="121">
        <v>1.5</v>
      </c>
      <c r="AL118" s="121">
        <v>1.5</v>
      </c>
      <c r="AM118" s="121"/>
      <c r="AN118" s="122">
        <f t="shared" si="2"/>
        <v>36</v>
      </c>
      <c r="AO118" s="118">
        <v>170000</v>
      </c>
      <c r="AP118" s="123">
        <f t="shared" si="3"/>
        <v>6120000</v>
      </c>
    </row>
    <row r="119" spans="1:42" ht="24.9" customHeight="1" x14ac:dyDescent="0.4">
      <c r="A119" s="124">
        <v>114</v>
      </c>
      <c r="B119" s="116" t="s">
        <v>704</v>
      </c>
      <c r="C119" s="117" t="s">
        <v>705</v>
      </c>
      <c r="D119" s="125" t="s">
        <v>334</v>
      </c>
      <c r="E119" s="117" t="s">
        <v>706</v>
      </c>
      <c r="F119" s="126" t="s">
        <v>383</v>
      </c>
      <c r="G119" s="119" t="s">
        <v>704</v>
      </c>
      <c r="H119" s="120" t="s">
        <v>707</v>
      </c>
      <c r="I119" s="121">
        <v>2</v>
      </c>
      <c r="J119" s="121">
        <v>2</v>
      </c>
      <c r="K119" s="121">
        <v>2</v>
      </c>
      <c r="L119" s="121"/>
      <c r="M119" s="121"/>
      <c r="N119" s="121">
        <v>2</v>
      </c>
      <c r="O119" s="121">
        <v>2</v>
      </c>
      <c r="P119" s="121">
        <v>2</v>
      </c>
      <c r="Q119" s="121">
        <v>2</v>
      </c>
      <c r="R119" s="121">
        <v>2</v>
      </c>
      <c r="S119" s="121"/>
      <c r="T119" s="121"/>
      <c r="U119" s="121">
        <v>2</v>
      </c>
      <c r="V119" s="121">
        <v>2</v>
      </c>
      <c r="W119" s="121">
        <v>2</v>
      </c>
      <c r="X119" s="121">
        <v>2</v>
      </c>
      <c r="Y119" s="121">
        <v>2</v>
      </c>
      <c r="Z119" s="121"/>
      <c r="AA119" s="121"/>
      <c r="AB119" s="121">
        <v>2</v>
      </c>
      <c r="AC119" s="121">
        <v>2</v>
      </c>
      <c r="AD119" s="121">
        <v>2</v>
      </c>
      <c r="AE119" s="121">
        <v>2</v>
      </c>
      <c r="AF119" s="121">
        <v>2</v>
      </c>
      <c r="AG119" s="121"/>
      <c r="AH119" s="121"/>
      <c r="AI119" s="121">
        <v>2</v>
      </c>
      <c r="AJ119" s="121">
        <v>2</v>
      </c>
      <c r="AK119" s="121">
        <v>2</v>
      </c>
      <c r="AL119" s="121"/>
      <c r="AM119" s="121"/>
      <c r="AN119" s="122">
        <f t="shared" si="2"/>
        <v>42</v>
      </c>
      <c r="AO119" s="118">
        <v>240000</v>
      </c>
      <c r="AP119" s="123">
        <f t="shared" si="3"/>
        <v>10080000</v>
      </c>
    </row>
    <row r="120" spans="1:42" ht="24.9" customHeight="1" x14ac:dyDescent="0.4">
      <c r="A120" s="124">
        <v>115</v>
      </c>
      <c r="B120" s="116" t="s">
        <v>708</v>
      </c>
      <c r="C120" s="117" t="s">
        <v>709</v>
      </c>
      <c r="D120" s="125" t="s">
        <v>316</v>
      </c>
      <c r="E120" s="117" t="s">
        <v>710</v>
      </c>
      <c r="F120" s="126" t="s">
        <v>372</v>
      </c>
      <c r="G120" s="119" t="s">
        <v>708</v>
      </c>
      <c r="H120" s="120" t="s">
        <v>711</v>
      </c>
      <c r="I120" s="121">
        <v>2</v>
      </c>
      <c r="J120" s="121">
        <v>2</v>
      </c>
      <c r="K120" s="121">
        <v>2</v>
      </c>
      <c r="L120" s="121"/>
      <c r="M120" s="121"/>
      <c r="N120" s="121">
        <v>2</v>
      </c>
      <c r="O120" s="121">
        <v>2</v>
      </c>
      <c r="P120" s="121">
        <v>2</v>
      </c>
      <c r="Q120" s="121">
        <v>2</v>
      </c>
      <c r="R120" s="121">
        <v>2</v>
      </c>
      <c r="S120" s="121"/>
      <c r="T120" s="121"/>
      <c r="U120" s="121">
        <v>2</v>
      </c>
      <c r="V120" s="121">
        <v>2</v>
      </c>
      <c r="W120" s="121">
        <v>2</v>
      </c>
      <c r="X120" s="121">
        <v>2</v>
      </c>
      <c r="Y120" s="121">
        <v>2</v>
      </c>
      <c r="Z120" s="121"/>
      <c r="AA120" s="121"/>
      <c r="AB120" s="121">
        <v>2</v>
      </c>
      <c r="AC120" s="121">
        <v>2</v>
      </c>
      <c r="AD120" s="121">
        <v>2</v>
      </c>
      <c r="AE120" s="121">
        <v>2</v>
      </c>
      <c r="AF120" s="121">
        <v>2</v>
      </c>
      <c r="AG120" s="121"/>
      <c r="AH120" s="121"/>
      <c r="AI120" s="121">
        <v>2</v>
      </c>
      <c r="AJ120" s="121">
        <v>2</v>
      </c>
      <c r="AK120" s="121">
        <v>2</v>
      </c>
      <c r="AL120" s="121"/>
      <c r="AM120" s="121"/>
      <c r="AN120" s="122">
        <f t="shared" si="2"/>
        <v>42</v>
      </c>
      <c r="AO120" s="118">
        <v>200000</v>
      </c>
      <c r="AP120" s="123">
        <f t="shared" si="3"/>
        <v>8400000</v>
      </c>
    </row>
    <row r="121" spans="1:42" ht="24.9" customHeight="1" x14ac:dyDescent="0.4">
      <c r="A121" s="124">
        <v>116</v>
      </c>
      <c r="B121" s="116" t="s">
        <v>712</v>
      </c>
      <c r="C121" s="117" t="s">
        <v>713</v>
      </c>
      <c r="D121" s="127" t="s">
        <v>316</v>
      </c>
      <c r="E121" s="117" t="s">
        <v>714</v>
      </c>
      <c r="F121" s="126" t="s">
        <v>335</v>
      </c>
      <c r="G121" s="119" t="s">
        <v>712</v>
      </c>
      <c r="H121" s="120" t="s">
        <v>715</v>
      </c>
      <c r="I121" s="121">
        <v>1.5</v>
      </c>
      <c r="J121" s="121">
        <v>1.5</v>
      </c>
      <c r="K121" s="121">
        <v>1.5</v>
      </c>
      <c r="L121" s="121">
        <v>1</v>
      </c>
      <c r="M121" s="121"/>
      <c r="N121" s="121">
        <v>1.5</v>
      </c>
      <c r="O121" s="121">
        <v>1.5</v>
      </c>
      <c r="P121" s="121">
        <v>1.5</v>
      </c>
      <c r="Q121" s="121">
        <v>1.5</v>
      </c>
      <c r="R121" s="121">
        <v>1.5</v>
      </c>
      <c r="S121" s="121">
        <v>1</v>
      </c>
      <c r="T121" s="121"/>
      <c r="U121" s="121">
        <v>1.5</v>
      </c>
      <c r="V121" s="121">
        <v>1.5</v>
      </c>
      <c r="W121" s="121">
        <v>1</v>
      </c>
      <c r="X121" s="121">
        <v>1.5</v>
      </c>
      <c r="Y121" s="121">
        <v>1.5</v>
      </c>
      <c r="Z121" s="121">
        <v>1</v>
      </c>
      <c r="AA121" s="121"/>
      <c r="AB121" s="121">
        <v>1.5</v>
      </c>
      <c r="AC121" s="121">
        <v>1.5</v>
      </c>
      <c r="AD121" s="121">
        <v>1</v>
      </c>
      <c r="AE121" s="121">
        <v>1.5</v>
      </c>
      <c r="AF121" s="121">
        <v>1.5</v>
      </c>
      <c r="AG121" s="121">
        <v>1</v>
      </c>
      <c r="AH121" s="121"/>
      <c r="AI121" s="121">
        <v>1.5</v>
      </c>
      <c r="AJ121" s="121">
        <v>1.5</v>
      </c>
      <c r="AK121" s="121">
        <v>1.5</v>
      </c>
      <c r="AL121" s="121">
        <v>1.5</v>
      </c>
      <c r="AM121" s="121"/>
      <c r="AN121" s="122">
        <f t="shared" si="2"/>
        <v>36</v>
      </c>
      <c r="AO121" s="118">
        <v>170000</v>
      </c>
      <c r="AP121" s="123">
        <f t="shared" si="3"/>
        <v>6120000</v>
      </c>
    </row>
    <row r="122" spans="1:42" ht="24.9" customHeight="1" thickBot="1" x14ac:dyDescent="0.45">
      <c r="A122" s="124">
        <v>117</v>
      </c>
      <c r="B122" s="116" t="s">
        <v>716</v>
      </c>
      <c r="C122" s="117" t="s">
        <v>717</v>
      </c>
      <c r="D122" s="125" t="s">
        <v>316</v>
      </c>
      <c r="E122" s="117" t="s">
        <v>718</v>
      </c>
      <c r="F122" s="126" t="s">
        <v>312</v>
      </c>
      <c r="G122" s="119" t="s">
        <v>716</v>
      </c>
      <c r="H122" s="120" t="s">
        <v>719</v>
      </c>
      <c r="I122" s="121">
        <v>1.5</v>
      </c>
      <c r="J122" s="121">
        <v>1.5</v>
      </c>
      <c r="K122" s="121">
        <v>1.5</v>
      </c>
      <c r="L122" s="121">
        <v>1</v>
      </c>
      <c r="M122" s="121"/>
      <c r="N122" s="121">
        <v>1.5</v>
      </c>
      <c r="O122" s="121">
        <v>1.5</v>
      </c>
      <c r="P122" s="121">
        <v>1.5</v>
      </c>
      <c r="Q122" s="121">
        <v>1.5</v>
      </c>
      <c r="R122" s="121">
        <v>1.5</v>
      </c>
      <c r="S122" s="121">
        <v>1</v>
      </c>
      <c r="T122" s="121"/>
      <c r="U122" s="121">
        <v>1.5</v>
      </c>
      <c r="V122" s="121">
        <v>1.5</v>
      </c>
      <c r="W122" s="121">
        <v>1</v>
      </c>
      <c r="X122" s="121">
        <v>1.5</v>
      </c>
      <c r="Y122" s="121">
        <v>1.5</v>
      </c>
      <c r="Z122" s="121">
        <v>1</v>
      </c>
      <c r="AA122" s="121"/>
      <c r="AB122" s="121">
        <v>1.5</v>
      </c>
      <c r="AC122" s="121">
        <v>1.5</v>
      </c>
      <c r="AD122" s="121">
        <v>1</v>
      </c>
      <c r="AE122" s="121">
        <v>1.5</v>
      </c>
      <c r="AF122" s="121">
        <v>1.5</v>
      </c>
      <c r="AG122" s="121">
        <v>1</v>
      </c>
      <c r="AH122" s="121"/>
      <c r="AI122" s="121">
        <v>1.5</v>
      </c>
      <c r="AJ122" s="121">
        <v>1.5</v>
      </c>
      <c r="AK122" s="121">
        <v>1.5</v>
      </c>
      <c r="AL122" s="121">
        <v>1.5</v>
      </c>
      <c r="AM122" s="121"/>
      <c r="AN122" s="122">
        <f t="shared" si="2"/>
        <v>36</v>
      </c>
      <c r="AO122" s="118">
        <v>180000</v>
      </c>
      <c r="AP122" s="123">
        <f t="shared" si="3"/>
        <v>6480000</v>
      </c>
    </row>
    <row r="123" spans="1:42" ht="30" customHeight="1" thickBot="1" x14ac:dyDescent="0.45">
      <c r="A123" s="312" t="s">
        <v>220</v>
      </c>
      <c r="B123" s="313"/>
      <c r="C123" s="313"/>
      <c r="D123" s="313"/>
      <c r="E123" s="313"/>
      <c r="F123" s="313"/>
      <c r="G123" s="313"/>
      <c r="H123" s="314"/>
      <c r="I123" s="128">
        <f t="shared" ref="I123:AN123" si="8">SUM(I6:I122)</f>
        <v>159.25</v>
      </c>
      <c r="J123" s="129">
        <f t="shared" si="8"/>
        <v>158.125</v>
      </c>
      <c r="K123" s="129">
        <f t="shared" si="8"/>
        <v>157.875</v>
      </c>
      <c r="L123" s="129">
        <f t="shared" si="8"/>
        <v>50.875</v>
      </c>
      <c r="M123" s="129">
        <f t="shared" si="8"/>
        <v>0</v>
      </c>
      <c r="N123" s="129">
        <f t="shared" si="8"/>
        <v>157</v>
      </c>
      <c r="O123" s="129">
        <f t="shared" si="8"/>
        <v>163.25</v>
      </c>
      <c r="P123" s="129">
        <f t="shared" si="8"/>
        <v>158.875</v>
      </c>
      <c r="Q123" s="129">
        <f t="shared" si="8"/>
        <v>173.625</v>
      </c>
      <c r="R123" s="129">
        <f t="shared" si="8"/>
        <v>175.375</v>
      </c>
      <c r="S123" s="129">
        <f t="shared" si="8"/>
        <v>48.875</v>
      </c>
      <c r="T123" s="129">
        <f t="shared" si="8"/>
        <v>0</v>
      </c>
      <c r="U123" s="129">
        <f t="shared" si="8"/>
        <v>168.75</v>
      </c>
      <c r="V123" s="129">
        <f t="shared" si="8"/>
        <v>168.25</v>
      </c>
      <c r="W123" s="129">
        <f t="shared" si="8"/>
        <v>124.75</v>
      </c>
      <c r="X123" s="129">
        <f t="shared" si="8"/>
        <v>170.625</v>
      </c>
      <c r="Y123" s="129">
        <f t="shared" si="8"/>
        <v>165.625</v>
      </c>
      <c r="Z123" s="129">
        <f t="shared" si="8"/>
        <v>52.75</v>
      </c>
      <c r="AA123" s="129">
        <f t="shared" si="8"/>
        <v>0</v>
      </c>
      <c r="AB123" s="129">
        <f t="shared" si="8"/>
        <v>154.25</v>
      </c>
      <c r="AC123" s="129">
        <f t="shared" si="8"/>
        <v>163.125</v>
      </c>
      <c r="AD123" s="129">
        <f t="shared" si="8"/>
        <v>129.875</v>
      </c>
      <c r="AE123" s="129">
        <f t="shared" si="8"/>
        <v>155.5</v>
      </c>
      <c r="AF123" s="129">
        <f t="shared" si="8"/>
        <v>154</v>
      </c>
      <c r="AG123" s="129">
        <f t="shared" si="8"/>
        <v>49.625</v>
      </c>
      <c r="AH123" s="129">
        <f t="shared" si="8"/>
        <v>0</v>
      </c>
      <c r="AI123" s="129">
        <f t="shared" si="8"/>
        <v>161.875</v>
      </c>
      <c r="AJ123" s="129">
        <f t="shared" si="8"/>
        <v>161.75</v>
      </c>
      <c r="AK123" s="129">
        <f t="shared" si="8"/>
        <v>160.375</v>
      </c>
      <c r="AL123" s="129">
        <f t="shared" si="8"/>
        <v>98.25</v>
      </c>
      <c r="AM123" s="130">
        <f t="shared" si="8"/>
        <v>0</v>
      </c>
      <c r="AN123" s="131">
        <f t="shared" si="8"/>
        <v>3642.5</v>
      </c>
      <c r="AO123" s="132">
        <f>AP123/AN123</f>
        <v>185052.16197666439</v>
      </c>
      <c r="AP123" s="133">
        <f>SUM(AP6:AP122)</f>
        <v>674052500</v>
      </c>
    </row>
    <row r="124" spans="1:42" ht="24.9" customHeight="1" x14ac:dyDescent="0.4">
      <c r="A124" s="115">
        <v>1</v>
      </c>
      <c r="B124" s="116"/>
      <c r="C124" s="117"/>
      <c r="D124" s="117"/>
      <c r="E124" s="117"/>
      <c r="F124" s="118"/>
      <c r="G124" s="119"/>
      <c r="H124" s="120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2">
        <f>SUM(I124:AM124)</f>
        <v>0</v>
      </c>
      <c r="AO124" s="118"/>
      <c r="AP124" s="123">
        <f>AN124*AO124</f>
        <v>0</v>
      </c>
    </row>
    <row r="125" spans="1:42" ht="24.9" customHeight="1" x14ac:dyDescent="0.4">
      <c r="A125" s="124">
        <v>2</v>
      </c>
      <c r="B125" s="116"/>
      <c r="C125" s="117"/>
      <c r="D125" s="125"/>
      <c r="E125" s="117"/>
      <c r="F125" s="126"/>
      <c r="G125" s="119"/>
      <c r="H125" s="120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2">
        <f t="shared" ref="AN125:AN128" si="9">SUM(I125:AM125)</f>
        <v>0</v>
      </c>
      <c r="AO125" s="118"/>
      <c r="AP125" s="123">
        <f t="shared" ref="AP125:AP128" si="10">AN125*AO125</f>
        <v>0</v>
      </c>
    </row>
    <row r="126" spans="1:42" ht="24.9" customHeight="1" x14ac:dyDescent="0.4">
      <c r="A126" s="124">
        <v>3</v>
      </c>
      <c r="B126" s="116"/>
      <c r="C126" s="117"/>
      <c r="D126" s="127"/>
      <c r="E126" s="117"/>
      <c r="F126" s="126"/>
      <c r="G126" s="119"/>
      <c r="H126" s="120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2">
        <f t="shared" si="9"/>
        <v>0</v>
      </c>
      <c r="AO126" s="118"/>
      <c r="AP126" s="123">
        <f t="shared" si="10"/>
        <v>0</v>
      </c>
    </row>
    <row r="127" spans="1:42" ht="24.9" customHeight="1" x14ac:dyDescent="0.4">
      <c r="A127" s="124">
        <v>4</v>
      </c>
      <c r="B127" s="116"/>
      <c r="C127" s="117"/>
      <c r="D127" s="125"/>
      <c r="E127" s="117"/>
      <c r="F127" s="126"/>
      <c r="G127" s="119"/>
      <c r="H127" s="120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2">
        <f t="shared" si="9"/>
        <v>0</v>
      </c>
      <c r="AO127" s="118"/>
      <c r="AP127" s="123">
        <f t="shared" si="10"/>
        <v>0</v>
      </c>
    </row>
    <row r="128" spans="1:42" ht="24.9" customHeight="1" thickBot="1" x14ac:dyDescent="0.45">
      <c r="A128" s="124">
        <v>5</v>
      </c>
      <c r="B128" s="116"/>
      <c r="C128" s="117"/>
      <c r="D128" s="125"/>
      <c r="E128" s="117"/>
      <c r="F128" s="126"/>
      <c r="G128" s="119"/>
      <c r="H128" s="120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2">
        <f t="shared" si="9"/>
        <v>0</v>
      </c>
      <c r="AO128" s="118"/>
      <c r="AP128" s="123">
        <f t="shared" si="10"/>
        <v>0</v>
      </c>
    </row>
    <row r="129" spans="1:42" ht="30" customHeight="1" thickBot="1" x14ac:dyDescent="0.45">
      <c r="A129" s="312" t="s">
        <v>235</v>
      </c>
      <c r="B129" s="313"/>
      <c r="C129" s="313"/>
      <c r="D129" s="313"/>
      <c r="E129" s="313"/>
      <c r="F129" s="313"/>
      <c r="G129" s="313"/>
      <c r="H129" s="314"/>
      <c r="I129" s="128">
        <f t="shared" ref="I129:AN129" si="11">SUM(I124:I128)</f>
        <v>0</v>
      </c>
      <c r="J129" s="129">
        <f t="shared" si="11"/>
        <v>0</v>
      </c>
      <c r="K129" s="129">
        <f t="shared" si="11"/>
        <v>0</v>
      </c>
      <c r="L129" s="129">
        <f t="shared" si="11"/>
        <v>0</v>
      </c>
      <c r="M129" s="129">
        <f t="shared" si="11"/>
        <v>0</v>
      </c>
      <c r="N129" s="129">
        <f t="shared" si="11"/>
        <v>0</v>
      </c>
      <c r="O129" s="129">
        <f t="shared" si="11"/>
        <v>0</v>
      </c>
      <c r="P129" s="129">
        <f t="shared" si="11"/>
        <v>0</v>
      </c>
      <c r="Q129" s="129">
        <f t="shared" si="11"/>
        <v>0</v>
      </c>
      <c r="R129" s="129">
        <f t="shared" si="11"/>
        <v>0</v>
      </c>
      <c r="S129" s="129">
        <f t="shared" si="11"/>
        <v>0</v>
      </c>
      <c r="T129" s="129">
        <f t="shared" si="11"/>
        <v>0</v>
      </c>
      <c r="U129" s="129">
        <f t="shared" si="11"/>
        <v>0</v>
      </c>
      <c r="V129" s="129">
        <f t="shared" si="11"/>
        <v>0</v>
      </c>
      <c r="W129" s="129">
        <f t="shared" si="11"/>
        <v>0</v>
      </c>
      <c r="X129" s="129">
        <f t="shared" si="11"/>
        <v>0</v>
      </c>
      <c r="Y129" s="129">
        <f t="shared" si="11"/>
        <v>0</v>
      </c>
      <c r="Z129" s="129">
        <f t="shared" si="11"/>
        <v>0</v>
      </c>
      <c r="AA129" s="129">
        <f t="shared" si="11"/>
        <v>0</v>
      </c>
      <c r="AB129" s="129">
        <f t="shared" si="11"/>
        <v>0</v>
      </c>
      <c r="AC129" s="129">
        <f t="shared" si="11"/>
        <v>0</v>
      </c>
      <c r="AD129" s="129">
        <f t="shared" si="11"/>
        <v>0</v>
      </c>
      <c r="AE129" s="129">
        <f t="shared" si="11"/>
        <v>0</v>
      </c>
      <c r="AF129" s="129">
        <f t="shared" si="11"/>
        <v>0</v>
      </c>
      <c r="AG129" s="129">
        <f t="shared" si="11"/>
        <v>0</v>
      </c>
      <c r="AH129" s="129">
        <f t="shared" si="11"/>
        <v>0</v>
      </c>
      <c r="AI129" s="129">
        <f t="shared" si="11"/>
        <v>0</v>
      </c>
      <c r="AJ129" s="129">
        <f t="shared" si="11"/>
        <v>0</v>
      </c>
      <c r="AK129" s="129">
        <f t="shared" si="11"/>
        <v>0</v>
      </c>
      <c r="AL129" s="129">
        <f t="shared" si="11"/>
        <v>0</v>
      </c>
      <c r="AM129" s="130">
        <f t="shared" si="11"/>
        <v>0</v>
      </c>
      <c r="AN129" s="131">
        <f t="shared" si="11"/>
        <v>0</v>
      </c>
      <c r="AO129" s="132"/>
      <c r="AP129" s="133">
        <f>SUM(AP124:AP128)</f>
        <v>0</v>
      </c>
    </row>
    <row r="130" spans="1:42" ht="35.1" customHeight="1" thickBot="1" x14ac:dyDescent="0.45">
      <c r="A130" s="315" t="s">
        <v>236</v>
      </c>
      <c r="B130" s="316"/>
      <c r="C130" s="316"/>
      <c r="D130" s="316"/>
      <c r="E130" s="316"/>
      <c r="F130" s="316"/>
      <c r="G130" s="316"/>
      <c r="H130" s="317"/>
      <c r="I130" s="134">
        <f t="shared" ref="I130:AN130" si="12">I123+I129</f>
        <v>159.25</v>
      </c>
      <c r="J130" s="135">
        <f t="shared" si="12"/>
        <v>158.125</v>
      </c>
      <c r="K130" s="135">
        <f t="shared" si="12"/>
        <v>157.875</v>
      </c>
      <c r="L130" s="135">
        <f t="shared" si="12"/>
        <v>50.875</v>
      </c>
      <c r="M130" s="135">
        <f t="shared" si="12"/>
        <v>0</v>
      </c>
      <c r="N130" s="135">
        <f t="shared" si="12"/>
        <v>157</v>
      </c>
      <c r="O130" s="135">
        <f t="shared" si="12"/>
        <v>163.25</v>
      </c>
      <c r="P130" s="135">
        <f t="shared" si="12"/>
        <v>158.875</v>
      </c>
      <c r="Q130" s="135">
        <f t="shared" si="12"/>
        <v>173.625</v>
      </c>
      <c r="R130" s="135">
        <f t="shared" si="12"/>
        <v>175.375</v>
      </c>
      <c r="S130" s="135">
        <f t="shared" si="12"/>
        <v>48.875</v>
      </c>
      <c r="T130" s="135">
        <f t="shared" si="12"/>
        <v>0</v>
      </c>
      <c r="U130" s="135">
        <f t="shared" si="12"/>
        <v>168.75</v>
      </c>
      <c r="V130" s="135">
        <f t="shared" si="12"/>
        <v>168.25</v>
      </c>
      <c r="W130" s="135">
        <f t="shared" si="12"/>
        <v>124.75</v>
      </c>
      <c r="X130" s="135">
        <f t="shared" si="12"/>
        <v>170.625</v>
      </c>
      <c r="Y130" s="135">
        <f t="shared" si="12"/>
        <v>165.625</v>
      </c>
      <c r="Z130" s="135">
        <f t="shared" si="12"/>
        <v>52.75</v>
      </c>
      <c r="AA130" s="135">
        <f t="shared" si="12"/>
        <v>0</v>
      </c>
      <c r="AB130" s="135">
        <f t="shared" si="12"/>
        <v>154.25</v>
      </c>
      <c r="AC130" s="135">
        <f t="shared" si="12"/>
        <v>163.125</v>
      </c>
      <c r="AD130" s="135">
        <f t="shared" si="12"/>
        <v>129.875</v>
      </c>
      <c r="AE130" s="135">
        <f t="shared" si="12"/>
        <v>155.5</v>
      </c>
      <c r="AF130" s="135">
        <f t="shared" si="12"/>
        <v>154</v>
      </c>
      <c r="AG130" s="135">
        <f t="shared" si="12"/>
        <v>49.625</v>
      </c>
      <c r="AH130" s="135">
        <f t="shared" si="12"/>
        <v>0</v>
      </c>
      <c r="AI130" s="135">
        <f t="shared" si="12"/>
        <v>161.875</v>
      </c>
      <c r="AJ130" s="135">
        <f t="shared" si="12"/>
        <v>161.75</v>
      </c>
      <c r="AK130" s="135">
        <f t="shared" si="12"/>
        <v>160.375</v>
      </c>
      <c r="AL130" s="135">
        <f t="shared" si="12"/>
        <v>98.25</v>
      </c>
      <c r="AM130" s="135">
        <f t="shared" si="12"/>
        <v>0</v>
      </c>
      <c r="AN130" s="136">
        <f t="shared" si="12"/>
        <v>3642.5</v>
      </c>
      <c r="AO130" s="137">
        <f>AP130/AN130</f>
        <v>185052.16197666439</v>
      </c>
      <c r="AP130" s="138">
        <f>AP123+AP129</f>
        <v>674052500</v>
      </c>
    </row>
    <row r="131" spans="1:42" x14ac:dyDescent="0.4">
      <c r="G131" s="100"/>
      <c r="H131" s="100"/>
      <c r="AG131" s="139"/>
      <c r="AI131" s="140"/>
      <c r="AO131" s="100"/>
    </row>
    <row r="132" spans="1:42" x14ac:dyDescent="0.4">
      <c r="G132" s="100"/>
      <c r="H132" s="100"/>
      <c r="AG132" s="139"/>
      <c r="AI132" s="140"/>
      <c r="AO132" s="100"/>
    </row>
    <row r="133" spans="1:42" x14ac:dyDescent="0.4">
      <c r="G133" s="100"/>
      <c r="H133" s="100"/>
      <c r="AG133" s="139"/>
      <c r="AI133" s="140"/>
      <c r="AO133" s="100"/>
    </row>
    <row r="134" spans="1:42" x14ac:dyDescent="0.4">
      <c r="G134" s="100"/>
      <c r="H134" s="100"/>
      <c r="AG134" s="139"/>
      <c r="AI134" s="140"/>
      <c r="AO134" s="100"/>
    </row>
    <row r="135" spans="1:42" x14ac:dyDescent="0.4">
      <c r="G135" s="100"/>
      <c r="H135" s="100"/>
      <c r="AI135" s="139"/>
      <c r="AM135" s="140"/>
      <c r="AO135" s="100"/>
    </row>
    <row r="136" spans="1:42" x14ac:dyDescent="0.4">
      <c r="G136" s="100"/>
      <c r="H136" s="100"/>
      <c r="AI136" s="139"/>
      <c r="AJ136" s="139"/>
      <c r="AM136" s="140"/>
      <c r="AO136" s="100"/>
    </row>
    <row r="137" spans="1:42" x14ac:dyDescent="0.4">
      <c r="G137" s="100"/>
      <c r="H137" s="100"/>
      <c r="AJ137" s="139"/>
      <c r="AK137" s="139"/>
      <c r="AL137" s="139"/>
      <c r="AO137" s="100"/>
    </row>
    <row r="138" spans="1:42" x14ac:dyDescent="0.4">
      <c r="G138" s="100"/>
      <c r="H138" s="100"/>
      <c r="AJ138" s="139"/>
      <c r="AK138" s="139"/>
      <c r="AL138" s="139"/>
      <c r="AO138" s="100"/>
    </row>
    <row r="139" spans="1:42" x14ac:dyDescent="0.4">
      <c r="G139" s="100"/>
      <c r="H139" s="100"/>
      <c r="AJ139" s="139"/>
      <c r="AK139" s="139"/>
      <c r="AL139" s="139"/>
      <c r="AO139" s="100"/>
    </row>
    <row r="140" spans="1:42" x14ac:dyDescent="0.4">
      <c r="G140" s="100"/>
      <c r="H140" s="100"/>
      <c r="AK140" s="139"/>
      <c r="AL140" s="139"/>
      <c r="AO140" s="100"/>
    </row>
    <row r="141" spans="1:42" x14ac:dyDescent="0.4">
      <c r="C141" s="101"/>
      <c r="D141" s="101"/>
      <c r="E141" s="101"/>
      <c r="G141" s="100"/>
      <c r="H141" s="100"/>
      <c r="AN141" s="140"/>
      <c r="AO141" s="100"/>
    </row>
    <row r="142" spans="1:42" x14ac:dyDescent="0.4">
      <c r="C142" s="101"/>
      <c r="D142" s="101"/>
      <c r="E142" s="101"/>
      <c r="G142" s="100"/>
      <c r="H142" s="100"/>
      <c r="AN142" s="140"/>
      <c r="AO142" s="100"/>
    </row>
    <row r="143" spans="1:42" x14ac:dyDescent="0.4">
      <c r="C143" s="101"/>
      <c r="D143" s="101"/>
      <c r="E143" s="101"/>
      <c r="G143" s="100"/>
      <c r="H143" s="100"/>
      <c r="AN143" s="140"/>
      <c r="AO143" s="100"/>
    </row>
    <row r="144" spans="1:42" x14ac:dyDescent="0.4">
      <c r="C144" s="101"/>
      <c r="D144" s="101"/>
      <c r="E144" s="101"/>
      <c r="G144" s="100"/>
      <c r="H144" s="100"/>
      <c r="AN144" s="140"/>
      <c r="AO144" s="100"/>
    </row>
    <row r="145" spans="3:41" x14ac:dyDescent="0.4">
      <c r="C145" s="101"/>
      <c r="D145" s="101"/>
      <c r="E145" s="101"/>
      <c r="G145" s="100"/>
      <c r="H145" s="100"/>
      <c r="AN145" s="140"/>
      <c r="AO145" s="100"/>
    </row>
    <row r="146" spans="3:41" x14ac:dyDescent="0.4">
      <c r="E146" s="101"/>
      <c r="F146" s="101"/>
      <c r="G146" s="100"/>
      <c r="H146" s="100"/>
      <c r="AO146" s="140"/>
    </row>
    <row r="147" spans="3:41" x14ac:dyDescent="0.4">
      <c r="E147" s="101"/>
      <c r="F147" s="101"/>
      <c r="G147" s="100"/>
      <c r="H147" s="100"/>
      <c r="AO147" s="140"/>
    </row>
    <row r="148" spans="3:41" x14ac:dyDescent="0.4">
      <c r="E148" s="101"/>
      <c r="F148" s="101"/>
      <c r="G148" s="100"/>
      <c r="H148" s="100"/>
      <c r="AO148" s="140"/>
    </row>
    <row r="149" spans="3:41" x14ac:dyDescent="0.4">
      <c r="E149" s="101"/>
      <c r="F149" s="101"/>
      <c r="G149" s="100"/>
      <c r="H149" s="100"/>
      <c r="AO149" s="140"/>
    </row>
    <row r="150" spans="3:41" x14ac:dyDescent="0.4">
      <c r="E150" s="101"/>
      <c r="F150" s="101"/>
      <c r="G150" s="100"/>
      <c r="H150" s="100"/>
      <c r="AO150" s="140"/>
    </row>
    <row r="151" spans="3:41" x14ac:dyDescent="0.4">
      <c r="E151" s="101"/>
      <c r="F151" s="101"/>
      <c r="G151" s="100"/>
      <c r="H151" s="100"/>
      <c r="AO151" s="140"/>
    </row>
    <row r="152" spans="3:41" x14ac:dyDescent="0.4">
      <c r="E152" s="101"/>
      <c r="F152" s="101"/>
      <c r="G152" s="100"/>
      <c r="H152" s="100"/>
      <c r="AO152" s="140"/>
    </row>
    <row r="153" spans="3:41" x14ac:dyDescent="0.4">
      <c r="E153" s="101"/>
      <c r="F153" s="101"/>
      <c r="G153" s="100"/>
      <c r="H153" s="100"/>
      <c r="AO153" s="140"/>
    </row>
    <row r="154" spans="3:41" x14ac:dyDescent="0.4">
      <c r="E154" s="101"/>
      <c r="F154" s="101"/>
      <c r="G154" s="100"/>
      <c r="H154" s="100"/>
      <c r="AO154" s="140"/>
    </row>
    <row r="155" spans="3:41" x14ac:dyDescent="0.4">
      <c r="E155" s="101"/>
      <c r="F155" s="101"/>
      <c r="G155" s="100"/>
      <c r="H155" s="100"/>
      <c r="AO155" s="140"/>
    </row>
    <row r="156" spans="3:41" x14ac:dyDescent="0.4">
      <c r="E156" s="101"/>
      <c r="F156" s="101"/>
      <c r="G156" s="100"/>
      <c r="H156" s="100"/>
      <c r="AO156" s="140"/>
    </row>
    <row r="157" spans="3:41" x14ac:dyDescent="0.4">
      <c r="E157" s="101"/>
      <c r="F157" s="101"/>
      <c r="G157" s="100"/>
      <c r="H157" s="100"/>
      <c r="AO157" s="140"/>
    </row>
    <row r="158" spans="3:41" x14ac:dyDescent="0.4">
      <c r="E158" s="101"/>
      <c r="F158" s="101"/>
      <c r="G158" s="100"/>
      <c r="H158" s="100"/>
      <c r="AO158" s="140"/>
    </row>
    <row r="159" spans="3:41" x14ac:dyDescent="0.4">
      <c r="E159" s="101"/>
      <c r="F159" s="101"/>
      <c r="G159" s="100"/>
      <c r="H159" s="100"/>
      <c r="AO159" s="140"/>
    </row>
    <row r="160" spans="3:41" x14ac:dyDescent="0.4">
      <c r="E160" s="101"/>
      <c r="F160" s="101"/>
      <c r="G160" s="100"/>
      <c r="H160" s="100"/>
      <c r="AO160" s="140"/>
    </row>
    <row r="161" spans="5:42" x14ac:dyDescent="0.4">
      <c r="E161" s="101"/>
      <c r="F161" s="101"/>
      <c r="G161" s="100"/>
      <c r="H161" s="100"/>
      <c r="AO161" s="140"/>
    </row>
    <row r="162" spans="5:42" x14ac:dyDescent="0.4">
      <c r="E162" s="101"/>
      <c r="F162" s="101"/>
      <c r="G162" s="100"/>
      <c r="H162" s="100"/>
      <c r="AO162" s="140"/>
    </row>
    <row r="163" spans="5:42" x14ac:dyDescent="0.4">
      <c r="E163" s="101"/>
      <c r="F163" s="101"/>
      <c r="G163" s="100"/>
      <c r="H163" s="100"/>
      <c r="AO163" s="140"/>
    </row>
    <row r="164" spans="5:42" x14ac:dyDescent="0.4">
      <c r="E164" s="101"/>
      <c r="F164" s="101"/>
      <c r="G164" s="100"/>
      <c r="H164" s="100"/>
      <c r="AO164" s="140"/>
    </row>
    <row r="165" spans="5:42" x14ac:dyDescent="0.4">
      <c r="E165" s="101"/>
      <c r="F165" s="101"/>
      <c r="G165" s="100"/>
      <c r="H165" s="100"/>
      <c r="AO165" s="140"/>
    </row>
    <row r="166" spans="5:42" x14ac:dyDescent="0.4">
      <c r="E166" s="101"/>
      <c r="F166" s="101"/>
      <c r="G166" s="100"/>
      <c r="H166" s="100"/>
      <c r="AO166" s="140"/>
    </row>
    <row r="167" spans="5:42" x14ac:dyDescent="0.4">
      <c r="E167" s="101"/>
      <c r="F167" s="101"/>
      <c r="G167" s="100"/>
      <c r="H167" s="100"/>
      <c r="AO167" s="140"/>
    </row>
    <row r="168" spans="5:42" x14ac:dyDescent="0.4">
      <c r="E168" s="101"/>
      <c r="F168" s="101"/>
      <c r="G168" s="100"/>
      <c r="H168" s="100"/>
      <c r="AO168" s="140"/>
    </row>
    <row r="169" spans="5:42" x14ac:dyDescent="0.4">
      <c r="E169" s="101"/>
      <c r="F169" s="101"/>
      <c r="G169" s="100"/>
      <c r="H169" s="100"/>
      <c r="AO169" s="140"/>
    </row>
    <row r="170" spans="5:42" x14ac:dyDescent="0.4">
      <c r="F170" s="101"/>
      <c r="H170" s="100"/>
      <c r="AN170" s="139"/>
      <c r="AO170" s="100"/>
      <c r="AP170" s="142"/>
    </row>
    <row r="171" spans="5:42" x14ac:dyDescent="0.4">
      <c r="F171" s="101"/>
      <c r="H171" s="100"/>
      <c r="AN171" s="139"/>
      <c r="AO171" s="100"/>
      <c r="AP171" s="142"/>
    </row>
    <row r="172" spans="5:42" x14ac:dyDescent="0.4">
      <c r="F172" s="101"/>
      <c r="H172" s="100"/>
      <c r="AN172" s="139"/>
      <c r="AO172" s="100"/>
      <c r="AP172" s="142"/>
    </row>
    <row r="173" spans="5:42" x14ac:dyDescent="0.4">
      <c r="F173" s="101"/>
      <c r="H173" s="100"/>
      <c r="AN173" s="139"/>
      <c r="AO173" s="100"/>
      <c r="AP173" s="142"/>
    </row>
    <row r="174" spans="5:42" x14ac:dyDescent="0.4">
      <c r="F174" s="101"/>
      <c r="H174" s="100"/>
      <c r="AN174" s="139"/>
      <c r="AO174" s="100"/>
      <c r="AP174" s="142"/>
    </row>
    <row r="175" spans="5:42" x14ac:dyDescent="0.4">
      <c r="F175" s="101"/>
      <c r="H175" s="100"/>
      <c r="AN175" s="139"/>
      <c r="AO175" s="100"/>
      <c r="AP175" s="142"/>
    </row>
    <row r="176" spans="5:42" x14ac:dyDescent="0.4">
      <c r="F176" s="101"/>
      <c r="H176" s="100"/>
      <c r="AN176" s="139"/>
      <c r="AO176" s="100"/>
      <c r="AP176" s="142"/>
    </row>
    <row r="177" spans="6:42" x14ac:dyDescent="0.4">
      <c r="F177" s="101"/>
      <c r="H177" s="100"/>
      <c r="AN177" s="139"/>
      <c r="AO177" s="100"/>
      <c r="AP177" s="142"/>
    </row>
    <row r="178" spans="6:42" x14ac:dyDescent="0.4">
      <c r="F178" s="101"/>
      <c r="H178" s="100"/>
      <c r="AN178" s="139"/>
      <c r="AO178" s="100"/>
      <c r="AP178" s="142"/>
    </row>
    <row r="179" spans="6:42" x14ac:dyDescent="0.4">
      <c r="F179" s="101"/>
      <c r="H179" s="100"/>
      <c r="AN179" s="139"/>
      <c r="AO179" s="100"/>
      <c r="AP179" s="142"/>
    </row>
    <row r="180" spans="6:42" x14ac:dyDescent="0.4">
      <c r="F180" s="101"/>
      <c r="H180" s="100"/>
      <c r="AN180" s="139"/>
      <c r="AO180" s="100"/>
      <c r="AP180" s="142"/>
    </row>
    <row r="181" spans="6:42" x14ac:dyDescent="0.4">
      <c r="F181" s="101"/>
      <c r="H181" s="100"/>
      <c r="AN181" s="139"/>
      <c r="AO181" s="100"/>
      <c r="AP181" s="142"/>
    </row>
    <row r="182" spans="6:42" x14ac:dyDescent="0.4">
      <c r="F182" s="101"/>
      <c r="H182" s="100"/>
      <c r="AN182" s="139"/>
      <c r="AO182" s="100"/>
      <c r="AP182" s="142"/>
    </row>
    <row r="183" spans="6:42" x14ac:dyDescent="0.4">
      <c r="F183" s="101"/>
      <c r="H183" s="100"/>
      <c r="AN183" s="139"/>
      <c r="AO183" s="100"/>
      <c r="AP183" s="142"/>
    </row>
    <row r="184" spans="6:42" x14ac:dyDescent="0.4">
      <c r="F184" s="101"/>
      <c r="H184" s="100"/>
      <c r="AN184" s="139"/>
      <c r="AO184" s="100"/>
      <c r="AP184" s="142"/>
    </row>
    <row r="185" spans="6:42" x14ac:dyDescent="0.4">
      <c r="F185" s="101"/>
      <c r="H185" s="100"/>
      <c r="AN185" s="139"/>
      <c r="AO185" s="100"/>
      <c r="AP185" s="142"/>
    </row>
    <row r="186" spans="6:42" x14ac:dyDescent="0.4">
      <c r="F186" s="101"/>
      <c r="H186" s="100"/>
      <c r="AN186" s="139"/>
      <c r="AO186" s="100"/>
      <c r="AP186" s="142"/>
    </row>
    <row r="187" spans="6:42" x14ac:dyDescent="0.4">
      <c r="F187" s="101"/>
      <c r="H187" s="100"/>
      <c r="AN187" s="139"/>
      <c r="AO187" s="100"/>
      <c r="AP187" s="142"/>
    </row>
    <row r="188" spans="6:42" x14ac:dyDescent="0.4">
      <c r="F188" s="101"/>
      <c r="H188" s="100"/>
      <c r="AN188" s="139"/>
      <c r="AO188" s="100"/>
      <c r="AP188" s="142"/>
    </row>
    <row r="189" spans="6:42" x14ac:dyDescent="0.4">
      <c r="F189" s="101"/>
      <c r="H189" s="100"/>
      <c r="AN189" s="139"/>
      <c r="AO189" s="100"/>
      <c r="AP189" s="142"/>
    </row>
    <row r="190" spans="6:42" x14ac:dyDescent="0.4">
      <c r="F190" s="101"/>
      <c r="H190" s="100"/>
      <c r="AN190" s="139"/>
      <c r="AO190" s="100"/>
      <c r="AP190" s="142"/>
    </row>
    <row r="191" spans="6:42" x14ac:dyDescent="0.4">
      <c r="F191" s="101"/>
      <c r="H191" s="100"/>
      <c r="AN191" s="139"/>
      <c r="AO191" s="100"/>
      <c r="AP191" s="142"/>
    </row>
    <row r="192" spans="6:42" x14ac:dyDescent="0.4">
      <c r="F192" s="101"/>
      <c r="H192" s="100"/>
      <c r="AN192" s="139"/>
      <c r="AO192" s="100"/>
      <c r="AP192" s="142"/>
    </row>
    <row r="193" spans="6:42" x14ac:dyDescent="0.4">
      <c r="F193" s="101"/>
      <c r="H193" s="100"/>
      <c r="AN193" s="139"/>
      <c r="AO193" s="100"/>
      <c r="AP193" s="142"/>
    </row>
    <row r="194" spans="6:42" x14ac:dyDescent="0.4">
      <c r="F194" s="101"/>
      <c r="H194" s="100"/>
      <c r="AN194" s="139"/>
      <c r="AO194" s="100"/>
      <c r="AP194" s="142"/>
    </row>
    <row r="195" spans="6:42" x14ac:dyDescent="0.4">
      <c r="F195" s="101"/>
      <c r="H195" s="100"/>
      <c r="AN195" s="139"/>
      <c r="AO195" s="100"/>
      <c r="AP195" s="142"/>
    </row>
    <row r="196" spans="6:42" x14ac:dyDescent="0.4">
      <c r="F196" s="101"/>
      <c r="H196" s="100"/>
      <c r="AN196" s="139"/>
      <c r="AO196" s="100"/>
      <c r="AP196" s="142"/>
    </row>
    <row r="197" spans="6:42" x14ac:dyDescent="0.4">
      <c r="F197" s="101"/>
      <c r="H197" s="100"/>
      <c r="AN197" s="139"/>
      <c r="AO197" s="100"/>
      <c r="AP197" s="142"/>
    </row>
    <row r="198" spans="6:42" x14ac:dyDescent="0.4">
      <c r="F198" s="101"/>
      <c r="H198" s="100"/>
      <c r="AN198" s="139"/>
      <c r="AO198" s="100"/>
      <c r="AP198" s="142"/>
    </row>
    <row r="199" spans="6:42" x14ac:dyDescent="0.4">
      <c r="F199" s="101"/>
      <c r="H199" s="100"/>
      <c r="AN199" s="139"/>
      <c r="AO199" s="100"/>
      <c r="AP199" s="142"/>
    </row>
    <row r="200" spans="6:42" x14ac:dyDescent="0.4">
      <c r="F200" s="101"/>
      <c r="H200" s="100"/>
      <c r="AN200" s="139"/>
      <c r="AO200" s="100"/>
      <c r="AP200" s="142"/>
    </row>
    <row r="201" spans="6:42" x14ac:dyDescent="0.4">
      <c r="F201" s="101"/>
      <c r="H201" s="100"/>
      <c r="AN201" s="139"/>
      <c r="AO201" s="100"/>
      <c r="AP201" s="142"/>
    </row>
    <row r="202" spans="6:42" x14ac:dyDescent="0.4">
      <c r="F202" s="101"/>
      <c r="H202" s="100"/>
      <c r="AN202" s="139"/>
      <c r="AO202" s="100"/>
      <c r="AP202" s="142"/>
    </row>
    <row r="203" spans="6:42" x14ac:dyDescent="0.4">
      <c r="F203" s="101"/>
      <c r="H203" s="100"/>
      <c r="AN203" s="139"/>
      <c r="AO203" s="100"/>
      <c r="AP203" s="142"/>
    </row>
    <row r="204" spans="6:42" x14ac:dyDescent="0.4">
      <c r="F204" s="101"/>
      <c r="H204" s="100"/>
      <c r="AN204" s="139"/>
      <c r="AO204" s="100"/>
      <c r="AP204" s="142"/>
    </row>
    <row r="205" spans="6:42" x14ac:dyDescent="0.4">
      <c r="F205" s="101"/>
      <c r="H205" s="100"/>
      <c r="AN205" s="139"/>
      <c r="AO205" s="100"/>
      <c r="AP205" s="142"/>
    </row>
    <row r="206" spans="6:42" x14ac:dyDescent="0.4">
      <c r="F206" s="101"/>
      <c r="H206" s="100"/>
      <c r="AN206" s="139"/>
      <c r="AO206" s="100"/>
      <c r="AP206" s="142"/>
    </row>
    <row r="207" spans="6:42" x14ac:dyDescent="0.4">
      <c r="F207" s="101"/>
      <c r="H207" s="100"/>
      <c r="AN207" s="139"/>
      <c r="AO207" s="100"/>
      <c r="AP207" s="142"/>
    </row>
    <row r="208" spans="6:42" x14ac:dyDescent="0.4">
      <c r="F208" s="101"/>
      <c r="H208" s="100"/>
      <c r="AN208" s="139"/>
      <c r="AO208" s="100"/>
      <c r="AP208" s="142"/>
    </row>
    <row r="209" spans="6:42" x14ac:dyDescent="0.4">
      <c r="F209" s="101"/>
      <c r="H209" s="100"/>
      <c r="AN209" s="139"/>
      <c r="AO209" s="100"/>
      <c r="AP209" s="142"/>
    </row>
    <row r="210" spans="6:42" x14ac:dyDescent="0.4">
      <c r="F210" s="101"/>
      <c r="H210" s="100"/>
      <c r="AN210" s="139"/>
      <c r="AO210" s="100"/>
      <c r="AP210" s="142"/>
    </row>
    <row r="211" spans="6:42" x14ac:dyDescent="0.4">
      <c r="F211" s="101"/>
      <c r="H211" s="100"/>
      <c r="AN211" s="139"/>
      <c r="AO211" s="100"/>
      <c r="AP211" s="142"/>
    </row>
  </sheetData>
  <mergeCells count="10">
    <mergeCell ref="AM1:AP1"/>
    <mergeCell ref="AH2:AL2"/>
    <mergeCell ref="AM2:AP2"/>
    <mergeCell ref="AH3:AL3"/>
    <mergeCell ref="AM3:AP3"/>
    <mergeCell ref="A123:H123"/>
    <mergeCell ref="A129:H129"/>
    <mergeCell ref="A130:H130"/>
    <mergeCell ref="A1:AG3"/>
    <mergeCell ref="AH1:AL1"/>
  </mergeCells>
  <phoneticPr fontId="3" type="noConversion"/>
  <conditionalFormatting sqref="B6:B122">
    <cfRule type="duplicateValues" dxfId="56" priority="236"/>
  </conditionalFormatting>
  <conditionalFormatting sqref="B124:B128">
    <cfRule type="duplicateValues" dxfId="55" priority="105"/>
  </conditionalFormatting>
  <conditionalFormatting sqref="B131:B1048576 B1:B5">
    <cfRule type="duplicateValues" dxfId="54" priority="33"/>
  </conditionalFormatting>
  <conditionalFormatting sqref="B6:C122">
    <cfRule type="duplicateValues" dxfId="53" priority="238"/>
  </conditionalFormatting>
  <conditionalFormatting sqref="B124:C128">
    <cfRule type="duplicateValues" dxfId="52" priority="107"/>
  </conditionalFormatting>
  <conditionalFormatting sqref="B131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22 E6:E122">
    <cfRule type="duplicateValues" dxfId="47" priority="240"/>
  </conditionalFormatting>
  <conditionalFormatting sqref="C6:C122">
    <cfRule type="duplicateValues" dxfId="46" priority="242"/>
    <cfRule type="duplicateValues" dxfId="45" priority="243"/>
    <cfRule type="duplicateValues" dxfId="44" priority="244"/>
  </conditionalFormatting>
  <conditionalFormatting sqref="C124:C128 E124:E128">
    <cfRule type="duplicateValues" dxfId="43" priority="109"/>
  </conditionalFormatting>
  <conditionalFormatting sqref="C124:C128">
    <cfRule type="duplicateValues" dxfId="42" priority="111"/>
    <cfRule type="duplicateValues" dxfId="41" priority="112"/>
    <cfRule type="duplicateValues" dxfId="40" priority="113"/>
  </conditionalFormatting>
  <conditionalFormatting sqref="C131:C1048576 C1:C5">
    <cfRule type="duplicateValues" dxfId="39" priority="34"/>
  </conditionalFormatting>
  <conditionalFormatting sqref="C131:C1048576 C4">
    <cfRule type="duplicateValues" dxfId="38" priority="49"/>
  </conditionalFormatting>
  <conditionalFormatting sqref="C131:C1048576 C4:C5">
    <cfRule type="duplicateValues" dxfId="37" priority="39"/>
    <cfRule type="duplicateValues" dxfId="36" priority="42"/>
    <cfRule type="duplicateValues" dxfId="35" priority="47"/>
  </conditionalFormatting>
  <conditionalFormatting sqref="C131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22">
    <cfRule type="duplicateValues" dxfId="31" priority="251"/>
    <cfRule type="duplicateValues" dxfId="30" priority="252"/>
    <cfRule type="duplicateValues" dxfId="29" priority="253"/>
  </conditionalFormatting>
  <conditionalFormatting sqref="E124:E128">
    <cfRule type="duplicateValues" dxfId="28" priority="119"/>
    <cfRule type="duplicateValues" dxfId="27" priority="120"/>
    <cfRule type="duplicateValues" dxfId="26" priority="121"/>
  </conditionalFormatting>
  <conditionalFormatting sqref="E131:E1048576 C4:C5 E4:E5 C131:C1048576">
    <cfRule type="duplicateValues" dxfId="25" priority="44"/>
  </conditionalFormatting>
  <conditionalFormatting sqref="E131:E1048576 E1:E5">
    <cfRule type="duplicateValues" dxfId="24" priority="36"/>
  </conditionalFormatting>
  <conditionalFormatting sqref="E131:E1048576 E4:E5">
    <cfRule type="duplicateValues" dxfId="23" priority="38"/>
    <cfRule type="duplicateValues" dxfId="22" priority="41"/>
    <cfRule type="duplicateValues" dxfId="21" priority="46"/>
  </conditionalFormatting>
  <conditionalFormatting sqref="G6:H122">
    <cfRule type="duplicateValues" dxfId="20" priority="261"/>
  </conditionalFormatting>
  <conditionalFormatting sqref="G124:H128">
    <cfRule type="duplicateValues" dxfId="19" priority="129"/>
  </conditionalFormatting>
  <conditionalFormatting sqref="G131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122">
    <cfRule type="duplicateValues" dxfId="15" priority="263"/>
    <cfRule type="duplicateValues" dxfId="14" priority="264"/>
    <cfRule type="duplicateValues" dxfId="13" priority="265"/>
    <cfRule type="duplicateValues" dxfId="12" priority="266"/>
    <cfRule type="duplicateValues" dxfId="11" priority="267"/>
    <cfRule type="duplicateValues" dxfId="10" priority="268"/>
  </conditionalFormatting>
  <conditionalFormatting sqref="H124:H128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131:H1048576 H4">
    <cfRule type="duplicateValues" dxfId="3" priority="48"/>
  </conditionalFormatting>
  <conditionalFormatting sqref="H131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2" manualBreakCount="2">
    <brk id="63" max="41" man="1"/>
    <brk id="123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B12" sqref="B12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41.19921875" style="164" bestFit="1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 x14ac:dyDescent="0.25">
      <c r="A1" s="333" t="s">
        <v>293</v>
      </c>
      <c r="B1" s="334"/>
      <c r="C1" s="334"/>
      <c r="D1" s="334"/>
      <c r="E1" s="334"/>
      <c r="F1" s="334"/>
      <c r="G1" s="334"/>
      <c r="H1" s="334"/>
      <c r="I1" s="334"/>
      <c r="J1" s="335"/>
    </row>
    <row r="2" spans="1:12" s="154" customFormat="1" ht="19.5" customHeight="1" x14ac:dyDescent="0.4">
      <c r="A2" s="336" t="s">
        <v>294</v>
      </c>
      <c r="B2" s="337" t="s">
        <v>287</v>
      </c>
      <c r="C2" s="336" t="s">
        <v>251</v>
      </c>
      <c r="D2" s="336" t="s">
        <v>252</v>
      </c>
      <c r="E2" s="339" t="s">
        <v>295</v>
      </c>
      <c r="F2" s="336" t="s">
        <v>280</v>
      </c>
      <c r="G2" s="340" t="s">
        <v>296</v>
      </c>
      <c r="H2" s="341" t="s">
        <v>289</v>
      </c>
      <c r="I2" s="153" t="s">
        <v>290</v>
      </c>
      <c r="J2" s="336" t="s">
        <v>291</v>
      </c>
    </row>
    <row r="3" spans="1:12" s="154" customFormat="1" ht="19.5" customHeight="1" x14ac:dyDescent="0.4">
      <c r="A3" s="336"/>
      <c r="B3" s="338"/>
      <c r="C3" s="336"/>
      <c r="D3" s="336"/>
      <c r="E3" s="339"/>
      <c r="F3" s="336"/>
      <c r="G3" s="340"/>
      <c r="H3" s="341"/>
      <c r="I3" s="149">
        <f>ROUND(SUM(I4:I82),)</f>
        <v>659700</v>
      </c>
      <c r="J3" s="336"/>
    </row>
    <row r="4" spans="1:12" s="160" customFormat="1" ht="15" customHeight="1" x14ac:dyDescent="0.4">
      <c r="A4" s="156">
        <f t="shared" ref="A4:A9" si="0">ROW()-3</f>
        <v>1</v>
      </c>
      <c r="B4" s="157">
        <v>46121</v>
      </c>
      <c r="C4" s="156" t="s">
        <v>984</v>
      </c>
      <c r="D4" s="156" t="s">
        <v>841</v>
      </c>
      <c r="E4" s="156" t="s">
        <v>842</v>
      </c>
      <c r="F4" s="156" t="s">
        <v>827</v>
      </c>
      <c r="G4" s="158">
        <v>1</v>
      </c>
      <c r="H4" s="159">
        <v>89500</v>
      </c>
      <c r="I4" s="159">
        <v>89500</v>
      </c>
      <c r="J4" s="156"/>
      <c r="L4" s="161" t="s">
        <v>248</v>
      </c>
    </row>
    <row r="5" spans="1:12" s="160" customFormat="1" ht="15" customHeight="1" x14ac:dyDescent="0.4">
      <c r="A5" s="156">
        <f t="shared" si="0"/>
        <v>2</v>
      </c>
      <c r="B5" s="157">
        <v>46125</v>
      </c>
      <c r="C5" s="156" t="s">
        <v>984</v>
      </c>
      <c r="D5" s="156" t="s">
        <v>841</v>
      </c>
      <c r="E5" s="156" t="s">
        <v>842</v>
      </c>
      <c r="F5" s="156" t="s">
        <v>827</v>
      </c>
      <c r="G5" s="158">
        <v>1</v>
      </c>
      <c r="H5" s="159">
        <v>89500</v>
      </c>
      <c r="I5" s="159">
        <v>89500</v>
      </c>
      <c r="J5" s="156"/>
      <c r="L5" s="161" t="s">
        <v>297</v>
      </c>
    </row>
    <row r="6" spans="1:12" s="160" customFormat="1" ht="15" customHeight="1" x14ac:dyDescent="0.4">
      <c r="A6" s="156">
        <f t="shared" si="0"/>
        <v>3</v>
      </c>
      <c r="B6" s="157">
        <v>46128</v>
      </c>
      <c r="C6" s="156" t="s">
        <v>984</v>
      </c>
      <c r="D6" s="156" t="s">
        <v>870</v>
      </c>
      <c r="E6" s="156" t="s">
        <v>871</v>
      </c>
      <c r="F6" s="156" t="s">
        <v>827</v>
      </c>
      <c r="G6" s="158">
        <v>3</v>
      </c>
      <c r="H6" s="159">
        <v>95900</v>
      </c>
      <c r="I6" s="159">
        <v>287700</v>
      </c>
      <c r="J6" s="156"/>
      <c r="L6" s="161" t="s">
        <v>287</v>
      </c>
    </row>
    <row r="7" spans="1:12" s="160" customFormat="1" ht="15" customHeight="1" x14ac:dyDescent="0.4">
      <c r="A7" s="156">
        <f t="shared" si="0"/>
        <v>4</v>
      </c>
      <c r="B7" s="157">
        <v>46135</v>
      </c>
      <c r="C7" s="156" t="s">
        <v>984</v>
      </c>
      <c r="D7" s="156" t="s">
        <v>841</v>
      </c>
      <c r="E7" s="156" t="s">
        <v>882</v>
      </c>
      <c r="F7" s="156" t="s">
        <v>827</v>
      </c>
      <c r="G7" s="158">
        <v>2</v>
      </c>
      <c r="H7" s="159">
        <v>71500</v>
      </c>
      <c r="I7" s="159">
        <v>143000</v>
      </c>
      <c r="J7" s="156"/>
      <c r="L7" s="161" t="s">
        <v>251</v>
      </c>
    </row>
    <row r="8" spans="1:12" s="160" customFormat="1" ht="15" customHeight="1" x14ac:dyDescent="0.4">
      <c r="A8" s="156">
        <f t="shared" si="0"/>
        <v>5</v>
      </c>
      <c r="B8" s="157">
        <v>46135</v>
      </c>
      <c r="C8" s="156" t="s">
        <v>984</v>
      </c>
      <c r="D8" s="156" t="s">
        <v>883</v>
      </c>
      <c r="E8" s="156" t="s">
        <v>884</v>
      </c>
      <c r="F8" s="156" t="s">
        <v>827</v>
      </c>
      <c r="G8" s="158">
        <v>10</v>
      </c>
      <c r="H8" s="159">
        <v>100</v>
      </c>
      <c r="I8" s="159">
        <v>1000</v>
      </c>
      <c r="J8" s="156"/>
      <c r="L8" s="161" t="s">
        <v>252</v>
      </c>
    </row>
    <row r="9" spans="1:12" s="160" customFormat="1" ht="15" customHeight="1" x14ac:dyDescent="0.4">
      <c r="A9" s="156">
        <f t="shared" si="0"/>
        <v>6</v>
      </c>
      <c r="B9" s="157">
        <v>46139</v>
      </c>
      <c r="C9" s="156" t="s">
        <v>984</v>
      </c>
      <c r="D9" s="156" t="s">
        <v>889</v>
      </c>
      <c r="E9" s="156" t="s">
        <v>890</v>
      </c>
      <c r="F9" s="156" t="s">
        <v>827</v>
      </c>
      <c r="G9" s="158">
        <v>5</v>
      </c>
      <c r="H9" s="159">
        <v>9800</v>
      </c>
      <c r="I9" s="159">
        <v>49000</v>
      </c>
      <c r="J9" s="156"/>
      <c r="L9" s="161" t="s">
        <v>295</v>
      </c>
    </row>
    <row r="10" spans="1:12" s="160" customFormat="1" ht="15" customHeight="1" x14ac:dyDescent="0.35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L10" s="161" t="s">
        <v>298</v>
      </c>
    </row>
    <row r="11" spans="1:12" s="160" customFormat="1" ht="15" customHeight="1" x14ac:dyDescent="0.35">
      <c r="A11" s="164"/>
      <c r="B11" s="164"/>
      <c r="C11" s="164"/>
      <c r="D11" s="164"/>
      <c r="E11" s="164"/>
      <c r="F11" s="164"/>
      <c r="G11" s="164"/>
      <c r="H11" s="164"/>
      <c r="I11" s="164"/>
      <c r="J11" s="164"/>
      <c r="L11" s="161" t="s">
        <v>299</v>
      </c>
    </row>
    <row r="12" spans="1:12" ht="13.5" customHeight="1" x14ac:dyDescent="0.35">
      <c r="L12" s="160" t="s">
        <v>289</v>
      </c>
    </row>
    <row r="13" spans="1:12" x14ac:dyDescent="0.35">
      <c r="L13" s="160"/>
    </row>
    <row r="14" spans="1:12" ht="17.399999999999999" x14ac:dyDescent="0.35">
      <c r="L14" s="162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66"/>
  <sheetViews>
    <sheetView view="pageBreakPreview" topLeftCell="A41" zoomScaleNormal="115" zoomScaleSheetLayoutView="100" workbookViewId="0">
      <selection activeCell="F13" sqref="F13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55" style="164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 x14ac:dyDescent="0.25">
      <c r="A1" s="333" t="s">
        <v>301</v>
      </c>
      <c r="B1" s="334"/>
      <c r="C1" s="334"/>
      <c r="D1" s="334"/>
      <c r="E1" s="334"/>
      <c r="F1" s="334"/>
      <c r="G1" s="334"/>
      <c r="H1" s="334"/>
      <c r="I1" s="334"/>
      <c r="J1" s="335"/>
    </row>
    <row r="2" spans="1:14" s="154" customFormat="1" ht="19.5" customHeight="1" x14ac:dyDescent="0.4">
      <c r="A2" s="336" t="s">
        <v>294</v>
      </c>
      <c r="B2" s="337" t="s">
        <v>287</v>
      </c>
      <c r="C2" s="336" t="s">
        <v>251</v>
      </c>
      <c r="D2" s="336" t="s">
        <v>252</v>
      </c>
      <c r="E2" s="339" t="s">
        <v>295</v>
      </c>
      <c r="F2" s="336" t="s">
        <v>280</v>
      </c>
      <c r="G2" s="340" t="s">
        <v>296</v>
      </c>
      <c r="H2" s="341" t="s">
        <v>289</v>
      </c>
      <c r="I2" s="153" t="s">
        <v>290</v>
      </c>
      <c r="J2" s="336" t="s">
        <v>291</v>
      </c>
    </row>
    <row r="3" spans="1:14" s="154" customFormat="1" ht="19.5" customHeight="1" x14ac:dyDescent="0.4">
      <c r="A3" s="336"/>
      <c r="B3" s="338"/>
      <c r="C3" s="336"/>
      <c r="D3" s="336"/>
      <c r="E3" s="339"/>
      <c r="F3" s="336"/>
      <c r="G3" s="340"/>
      <c r="H3" s="341"/>
      <c r="I3" s="149">
        <f>ROUND(SUM(I4:I66),)</f>
        <v>2583673</v>
      </c>
      <c r="J3" s="336"/>
      <c r="L3" s="155" t="s">
        <v>248</v>
      </c>
    </row>
    <row r="4" spans="1:14" s="160" customFormat="1" ht="15" customHeight="1" x14ac:dyDescent="0.4">
      <c r="A4" s="156">
        <f t="shared" ref="A4:A35" si="0">ROW()-3</f>
        <v>1</v>
      </c>
      <c r="B4" s="157">
        <v>46120</v>
      </c>
      <c r="C4" s="156" t="s">
        <v>984</v>
      </c>
      <c r="D4" s="156" t="s">
        <v>817</v>
      </c>
      <c r="E4" s="156"/>
      <c r="F4" s="156" t="s">
        <v>818</v>
      </c>
      <c r="G4" s="158">
        <v>100</v>
      </c>
      <c r="H4" s="159">
        <v>840.90909090909088</v>
      </c>
      <c r="I4" s="159">
        <v>84090.909090909088</v>
      </c>
      <c r="J4" s="156"/>
      <c r="L4" s="161" t="s">
        <v>297</v>
      </c>
    </row>
    <row r="5" spans="1:14" s="160" customFormat="1" ht="15" customHeight="1" x14ac:dyDescent="0.4">
      <c r="A5" s="156">
        <f t="shared" si="0"/>
        <v>2</v>
      </c>
      <c r="B5" s="157">
        <v>46133</v>
      </c>
      <c r="C5" s="156" t="s">
        <v>984</v>
      </c>
      <c r="D5" s="156" t="s">
        <v>819</v>
      </c>
      <c r="E5" s="156" t="s">
        <v>820</v>
      </c>
      <c r="F5" s="156" t="s">
        <v>821</v>
      </c>
      <c r="G5" s="158">
        <v>35</v>
      </c>
      <c r="H5" s="159">
        <v>667.27272727272725</v>
      </c>
      <c r="I5" s="159">
        <v>23354.545454545452</v>
      </c>
      <c r="J5" s="156"/>
      <c r="L5" s="161" t="s">
        <v>287</v>
      </c>
    </row>
    <row r="6" spans="1:14" s="160" customFormat="1" ht="15" customHeight="1" x14ac:dyDescent="0.4">
      <c r="A6" s="156">
        <f t="shared" si="0"/>
        <v>3</v>
      </c>
      <c r="B6" s="157">
        <v>46141</v>
      </c>
      <c r="C6" s="156" t="s">
        <v>985</v>
      </c>
      <c r="D6" s="156" t="s">
        <v>822</v>
      </c>
      <c r="E6" s="156" t="s">
        <v>823</v>
      </c>
      <c r="F6" s="156" t="s">
        <v>821</v>
      </c>
      <c r="G6" s="158">
        <v>5</v>
      </c>
      <c r="H6" s="159">
        <v>4236.363636363636</v>
      </c>
      <c r="I6" s="159">
        <v>21181.81818181818</v>
      </c>
      <c r="J6" s="156"/>
      <c r="L6" s="161" t="s">
        <v>251</v>
      </c>
    </row>
    <row r="7" spans="1:14" s="160" customFormat="1" ht="15" customHeight="1" x14ac:dyDescent="0.4">
      <c r="A7" s="156">
        <f t="shared" si="0"/>
        <v>4</v>
      </c>
      <c r="B7" s="157">
        <v>46125</v>
      </c>
      <c r="C7" s="156" t="s">
        <v>984</v>
      </c>
      <c r="D7" s="156" t="s">
        <v>824</v>
      </c>
      <c r="E7" s="156" t="s">
        <v>825</v>
      </c>
      <c r="F7" s="156" t="s">
        <v>826</v>
      </c>
      <c r="G7" s="158">
        <v>100</v>
      </c>
      <c r="H7" s="159">
        <v>1800</v>
      </c>
      <c r="I7" s="159">
        <v>180000</v>
      </c>
      <c r="J7" s="156"/>
      <c r="L7" s="161" t="s">
        <v>252</v>
      </c>
    </row>
    <row r="8" spans="1:14" s="160" customFormat="1" ht="15" customHeight="1" x14ac:dyDescent="0.4">
      <c r="A8" s="156">
        <f t="shared" si="0"/>
        <v>5</v>
      </c>
      <c r="B8" s="157">
        <v>46139</v>
      </c>
      <c r="C8" s="156" t="s">
        <v>984</v>
      </c>
      <c r="D8" s="156" t="s">
        <v>824</v>
      </c>
      <c r="E8" s="156" t="s">
        <v>825</v>
      </c>
      <c r="F8" s="156" t="s">
        <v>826</v>
      </c>
      <c r="G8" s="158">
        <v>50</v>
      </c>
      <c r="H8" s="159">
        <v>1800</v>
      </c>
      <c r="I8" s="159">
        <v>90000</v>
      </c>
      <c r="J8" s="156"/>
      <c r="L8" s="161" t="s">
        <v>295</v>
      </c>
    </row>
    <row r="9" spans="1:14" s="160" customFormat="1" ht="15" customHeight="1" x14ac:dyDescent="0.4">
      <c r="A9" s="156">
        <f t="shared" si="0"/>
        <v>6</v>
      </c>
      <c r="B9" s="157">
        <v>46113</v>
      </c>
      <c r="C9" s="156" t="s">
        <v>984</v>
      </c>
      <c r="D9" s="156" t="s">
        <v>991</v>
      </c>
      <c r="E9" s="156" t="s">
        <v>990</v>
      </c>
      <c r="F9" s="156" t="s">
        <v>827</v>
      </c>
      <c r="G9" s="158">
        <v>20</v>
      </c>
      <c r="H9" s="159">
        <v>4000</v>
      </c>
      <c r="I9" s="159">
        <v>80000</v>
      </c>
      <c r="J9" s="156"/>
      <c r="L9" s="161" t="s">
        <v>298</v>
      </c>
    </row>
    <row r="10" spans="1:14" s="160" customFormat="1" ht="15" customHeight="1" x14ac:dyDescent="0.4">
      <c r="A10" s="156">
        <f t="shared" si="0"/>
        <v>7</v>
      </c>
      <c r="B10" s="157">
        <v>46113</v>
      </c>
      <c r="C10" s="156" t="s">
        <v>984</v>
      </c>
      <c r="D10" s="156" t="s">
        <v>989</v>
      </c>
      <c r="E10" s="156" t="s">
        <v>988</v>
      </c>
      <c r="F10" s="156" t="s">
        <v>827</v>
      </c>
      <c r="G10" s="158">
        <v>2</v>
      </c>
      <c r="H10" s="159">
        <v>6100</v>
      </c>
      <c r="I10" s="159">
        <v>12200</v>
      </c>
      <c r="J10" s="156"/>
      <c r="L10" s="161" t="s">
        <v>299</v>
      </c>
    </row>
    <row r="11" spans="1:14" s="160" customFormat="1" ht="15" customHeight="1" x14ac:dyDescent="0.4">
      <c r="A11" s="156">
        <f t="shared" si="0"/>
        <v>8</v>
      </c>
      <c r="B11" s="157">
        <v>46114</v>
      </c>
      <c r="C11" s="156" t="s">
        <v>984</v>
      </c>
      <c r="D11" s="156" t="s">
        <v>828</v>
      </c>
      <c r="E11" s="156" t="s">
        <v>829</v>
      </c>
      <c r="F11" s="156" t="s">
        <v>827</v>
      </c>
      <c r="G11" s="158">
        <v>200</v>
      </c>
      <c r="H11" s="159">
        <v>300</v>
      </c>
      <c r="I11" s="159">
        <v>60000</v>
      </c>
      <c r="J11" s="156"/>
      <c r="L11" s="161" t="s">
        <v>289</v>
      </c>
    </row>
    <row r="12" spans="1:14" s="160" customFormat="1" ht="15" customHeight="1" x14ac:dyDescent="0.4">
      <c r="A12" s="156">
        <f t="shared" si="0"/>
        <v>9</v>
      </c>
      <c r="B12" s="157">
        <v>46114</v>
      </c>
      <c r="C12" s="156" t="s">
        <v>984</v>
      </c>
      <c r="D12" s="156" t="s">
        <v>830</v>
      </c>
      <c r="E12" s="156" t="s">
        <v>831</v>
      </c>
      <c r="F12" s="156" t="s">
        <v>827</v>
      </c>
      <c r="G12" s="158">
        <v>2</v>
      </c>
      <c r="H12" s="159">
        <v>12000</v>
      </c>
      <c r="I12" s="159">
        <v>24000</v>
      </c>
      <c r="J12" s="156"/>
      <c r="L12" s="161"/>
    </row>
    <row r="13" spans="1:14" s="160" customFormat="1" ht="15" customHeight="1" x14ac:dyDescent="0.4">
      <c r="A13" s="156">
        <f t="shared" si="0"/>
        <v>10</v>
      </c>
      <c r="B13" s="157">
        <v>46114</v>
      </c>
      <c r="C13" s="156" t="s">
        <v>984</v>
      </c>
      <c r="D13" s="156" t="s">
        <v>832</v>
      </c>
      <c r="E13" s="156" t="s">
        <v>833</v>
      </c>
      <c r="F13" s="156" t="s">
        <v>827</v>
      </c>
      <c r="G13" s="158">
        <v>2</v>
      </c>
      <c r="H13" s="159">
        <v>1700</v>
      </c>
      <c r="I13" s="159">
        <v>3400</v>
      </c>
      <c r="J13" s="156"/>
      <c r="N13" s="161" t="s">
        <v>300</v>
      </c>
    </row>
    <row r="14" spans="1:14" s="160" customFormat="1" ht="15" customHeight="1" x14ac:dyDescent="0.4">
      <c r="A14" s="156">
        <f t="shared" si="0"/>
        <v>11</v>
      </c>
      <c r="B14" s="157">
        <v>46114</v>
      </c>
      <c r="C14" s="156" t="s">
        <v>984</v>
      </c>
      <c r="D14" s="156" t="s">
        <v>832</v>
      </c>
      <c r="E14" s="156" t="s">
        <v>834</v>
      </c>
      <c r="F14" s="156" t="s">
        <v>827</v>
      </c>
      <c r="G14" s="158">
        <v>2</v>
      </c>
      <c r="H14" s="159">
        <v>2000</v>
      </c>
      <c r="I14" s="159">
        <v>4000</v>
      </c>
      <c r="J14" s="156"/>
      <c r="L14" s="161"/>
    </row>
    <row r="15" spans="1:14" s="160" customFormat="1" ht="15" customHeight="1" x14ac:dyDescent="0.4">
      <c r="A15" s="156">
        <f t="shared" si="0"/>
        <v>12</v>
      </c>
      <c r="B15" s="157">
        <v>46115</v>
      </c>
      <c r="C15" s="156" t="s">
        <v>984</v>
      </c>
      <c r="D15" s="156" t="s">
        <v>835</v>
      </c>
      <c r="E15" s="156" t="s">
        <v>836</v>
      </c>
      <c r="F15" s="156" t="s">
        <v>827</v>
      </c>
      <c r="G15" s="158">
        <v>10</v>
      </c>
      <c r="H15" s="159">
        <v>1200</v>
      </c>
      <c r="I15" s="159">
        <v>12000</v>
      </c>
      <c r="J15" s="156"/>
      <c r="L15" s="161"/>
    </row>
    <row r="16" spans="1:14" s="160" customFormat="1" ht="15" customHeight="1" x14ac:dyDescent="0.4">
      <c r="A16" s="156">
        <f t="shared" si="0"/>
        <v>13</v>
      </c>
      <c r="B16" s="157">
        <v>46119</v>
      </c>
      <c r="C16" s="156" t="s">
        <v>984</v>
      </c>
      <c r="D16" s="156" t="s">
        <v>837</v>
      </c>
      <c r="E16" s="156" t="s">
        <v>838</v>
      </c>
      <c r="F16" s="156" t="s">
        <v>827</v>
      </c>
      <c r="G16" s="158">
        <v>30</v>
      </c>
      <c r="H16" s="159">
        <v>3500</v>
      </c>
      <c r="I16" s="159">
        <v>105000</v>
      </c>
      <c r="J16" s="156"/>
      <c r="L16" s="161"/>
    </row>
    <row r="17" spans="1:12" s="160" customFormat="1" ht="15" customHeight="1" x14ac:dyDescent="0.4">
      <c r="A17" s="156">
        <f t="shared" si="0"/>
        <v>14</v>
      </c>
      <c r="B17" s="157">
        <v>46119</v>
      </c>
      <c r="C17" s="156" t="s">
        <v>984</v>
      </c>
      <c r="D17" s="156" t="s">
        <v>839</v>
      </c>
      <c r="E17" s="156" t="s">
        <v>840</v>
      </c>
      <c r="F17" s="156" t="s">
        <v>827</v>
      </c>
      <c r="G17" s="158">
        <v>1</v>
      </c>
      <c r="H17" s="159">
        <v>25700</v>
      </c>
      <c r="I17" s="159">
        <v>25700</v>
      </c>
      <c r="J17" s="156"/>
      <c r="L17" s="161"/>
    </row>
    <row r="18" spans="1:12" s="160" customFormat="1" ht="15" customHeight="1" x14ac:dyDescent="0.4">
      <c r="A18" s="156">
        <f t="shared" si="0"/>
        <v>15</v>
      </c>
      <c r="B18" s="157">
        <v>46121</v>
      </c>
      <c r="C18" s="156" t="s">
        <v>984</v>
      </c>
      <c r="D18" s="156" t="s">
        <v>828</v>
      </c>
      <c r="E18" s="156" t="s">
        <v>843</v>
      </c>
      <c r="F18" s="156" t="s">
        <v>827</v>
      </c>
      <c r="G18" s="158">
        <v>20</v>
      </c>
      <c r="H18" s="159">
        <v>400</v>
      </c>
      <c r="I18" s="159">
        <v>8000</v>
      </c>
      <c r="J18" s="156"/>
      <c r="L18" s="161"/>
    </row>
    <row r="19" spans="1:12" s="160" customFormat="1" ht="15" customHeight="1" x14ac:dyDescent="0.4">
      <c r="A19" s="156">
        <f t="shared" si="0"/>
        <v>16</v>
      </c>
      <c r="B19" s="157">
        <v>46121</v>
      </c>
      <c r="C19" s="156" t="s">
        <v>984</v>
      </c>
      <c r="D19" s="156" t="s">
        <v>844</v>
      </c>
      <c r="E19" s="156" t="s">
        <v>845</v>
      </c>
      <c r="F19" s="156" t="s">
        <v>827</v>
      </c>
      <c r="G19" s="158">
        <v>3</v>
      </c>
      <c r="H19" s="159">
        <v>13000</v>
      </c>
      <c r="I19" s="159">
        <v>39000</v>
      </c>
      <c r="J19" s="156"/>
      <c r="L19" s="161"/>
    </row>
    <row r="20" spans="1:12" s="160" customFormat="1" ht="15" customHeight="1" x14ac:dyDescent="0.4">
      <c r="A20" s="156">
        <f t="shared" si="0"/>
        <v>17</v>
      </c>
      <c r="B20" s="157">
        <v>46121</v>
      </c>
      <c r="C20" s="156" t="s">
        <v>984</v>
      </c>
      <c r="D20" s="156" t="s">
        <v>846</v>
      </c>
      <c r="E20" s="156" t="s">
        <v>847</v>
      </c>
      <c r="F20" s="156" t="s">
        <v>827</v>
      </c>
      <c r="G20" s="158">
        <v>3</v>
      </c>
      <c r="H20" s="159">
        <v>8400</v>
      </c>
      <c r="I20" s="159">
        <v>25200</v>
      </c>
      <c r="J20" s="156"/>
      <c r="L20" s="161"/>
    </row>
    <row r="21" spans="1:12" s="160" customFormat="1" ht="15" customHeight="1" x14ac:dyDescent="0.4">
      <c r="A21" s="156">
        <f t="shared" si="0"/>
        <v>18</v>
      </c>
      <c r="B21" s="157">
        <v>46121</v>
      </c>
      <c r="C21" s="156" t="s">
        <v>984</v>
      </c>
      <c r="D21" s="156" t="s">
        <v>846</v>
      </c>
      <c r="E21" s="156" t="s">
        <v>848</v>
      </c>
      <c r="F21" s="156" t="s">
        <v>827</v>
      </c>
      <c r="G21" s="158">
        <v>3</v>
      </c>
      <c r="H21" s="159">
        <v>10000</v>
      </c>
      <c r="I21" s="159">
        <v>30000</v>
      </c>
      <c r="J21" s="156"/>
      <c r="L21" s="161"/>
    </row>
    <row r="22" spans="1:12" s="160" customFormat="1" ht="15" customHeight="1" x14ac:dyDescent="0.4">
      <c r="A22" s="156">
        <f t="shared" si="0"/>
        <v>19</v>
      </c>
      <c r="B22" s="157">
        <v>46122</v>
      </c>
      <c r="C22" s="156" t="s">
        <v>984</v>
      </c>
      <c r="D22" s="156" t="s">
        <v>849</v>
      </c>
      <c r="E22" s="156" t="s">
        <v>850</v>
      </c>
      <c r="F22" s="156" t="s">
        <v>827</v>
      </c>
      <c r="G22" s="158">
        <v>1</v>
      </c>
      <c r="H22" s="159">
        <v>89500</v>
      </c>
      <c r="I22" s="159">
        <v>89500</v>
      </c>
      <c r="J22" s="156"/>
      <c r="L22" s="161"/>
    </row>
    <row r="23" spans="1:12" s="160" customFormat="1" ht="15" customHeight="1" x14ac:dyDescent="0.4">
      <c r="A23" s="156">
        <f t="shared" si="0"/>
        <v>20</v>
      </c>
      <c r="B23" s="157">
        <v>46122</v>
      </c>
      <c r="C23" s="156" t="s">
        <v>984</v>
      </c>
      <c r="D23" s="156" t="s">
        <v>851</v>
      </c>
      <c r="E23" s="156" t="s">
        <v>852</v>
      </c>
      <c r="F23" s="156" t="s">
        <v>827</v>
      </c>
      <c r="G23" s="158">
        <v>10</v>
      </c>
      <c r="H23" s="159">
        <v>19000</v>
      </c>
      <c r="I23" s="159">
        <v>190000</v>
      </c>
      <c r="J23" s="156"/>
      <c r="L23" s="161"/>
    </row>
    <row r="24" spans="1:12" s="160" customFormat="1" ht="15" customHeight="1" x14ac:dyDescent="0.4">
      <c r="A24" s="156">
        <f t="shared" si="0"/>
        <v>21</v>
      </c>
      <c r="B24" s="157">
        <v>46122</v>
      </c>
      <c r="C24" s="156" t="s">
        <v>984</v>
      </c>
      <c r="D24" s="156" t="s">
        <v>851</v>
      </c>
      <c r="E24" s="156" t="s">
        <v>853</v>
      </c>
      <c r="F24" s="156" t="s">
        <v>827</v>
      </c>
      <c r="G24" s="158">
        <v>10</v>
      </c>
      <c r="H24" s="159">
        <v>14500</v>
      </c>
      <c r="I24" s="159">
        <v>145000</v>
      </c>
      <c r="J24" s="156"/>
      <c r="L24" s="161"/>
    </row>
    <row r="25" spans="1:12" s="160" customFormat="1" ht="15" customHeight="1" x14ac:dyDescent="0.4">
      <c r="A25" s="156">
        <f t="shared" si="0"/>
        <v>22</v>
      </c>
      <c r="B25" s="157">
        <v>46122</v>
      </c>
      <c r="C25" s="156" t="s">
        <v>984</v>
      </c>
      <c r="D25" s="156" t="s">
        <v>854</v>
      </c>
      <c r="E25" s="156" t="s">
        <v>855</v>
      </c>
      <c r="F25" s="156" t="s">
        <v>827</v>
      </c>
      <c r="G25" s="158">
        <v>5</v>
      </c>
      <c r="H25" s="159">
        <v>2500</v>
      </c>
      <c r="I25" s="159">
        <v>12500</v>
      </c>
      <c r="J25" s="156"/>
      <c r="L25" s="161"/>
    </row>
    <row r="26" spans="1:12" s="160" customFormat="1" ht="15" customHeight="1" x14ac:dyDescent="0.4">
      <c r="A26" s="156">
        <f t="shared" si="0"/>
        <v>23</v>
      </c>
      <c r="B26" s="157">
        <v>46125</v>
      </c>
      <c r="C26" s="156" t="s">
        <v>984</v>
      </c>
      <c r="D26" s="156" t="s">
        <v>856</v>
      </c>
      <c r="E26" s="156" t="s">
        <v>857</v>
      </c>
      <c r="F26" s="156" t="s">
        <v>827</v>
      </c>
      <c r="G26" s="158">
        <v>20</v>
      </c>
      <c r="H26" s="159">
        <v>800</v>
      </c>
      <c r="I26" s="159">
        <v>16000</v>
      </c>
      <c r="J26" s="156"/>
      <c r="L26" s="161"/>
    </row>
    <row r="27" spans="1:12" s="160" customFormat="1" ht="15" customHeight="1" x14ac:dyDescent="0.4">
      <c r="A27" s="156">
        <f t="shared" si="0"/>
        <v>24</v>
      </c>
      <c r="B27" s="157">
        <v>46125</v>
      </c>
      <c r="C27" s="156" t="s">
        <v>984</v>
      </c>
      <c r="D27" s="156" t="s">
        <v>858</v>
      </c>
      <c r="E27" s="156" t="s">
        <v>859</v>
      </c>
      <c r="F27" s="156" t="s">
        <v>827</v>
      </c>
      <c r="G27" s="158">
        <v>200</v>
      </c>
      <c r="H27" s="159">
        <v>100</v>
      </c>
      <c r="I27" s="159">
        <v>20000</v>
      </c>
      <c r="J27" s="156"/>
      <c r="L27" s="161"/>
    </row>
    <row r="28" spans="1:12" s="160" customFormat="1" ht="15" customHeight="1" x14ac:dyDescent="0.4">
      <c r="A28" s="156">
        <f t="shared" si="0"/>
        <v>25</v>
      </c>
      <c r="B28" s="157">
        <v>46126</v>
      </c>
      <c r="C28" s="156" t="s">
        <v>984</v>
      </c>
      <c r="D28" s="156" t="s">
        <v>860</v>
      </c>
      <c r="E28" s="156" t="s">
        <v>861</v>
      </c>
      <c r="F28" s="156" t="s">
        <v>827</v>
      </c>
      <c r="G28" s="158">
        <v>30</v>
      </c>
      <c r="H28" s="159">
        <v>110</v>
      </c>
      <c r="I28" s="159">
        <v>3300</v>
      </c>
      <c r="J28" s="156"/>
      <c r="L28" s="161"/>
    </row>
    <row r="29" spans="1:12" s="160" customFormat="1" ht="15" customHeight="1" x14ac:dyDescent="0.4">
      <c r="A29" s="156">
        <f t="shared" si="0"/>
        <v>26</v>
      </c>
      <c r="B29" s="157">
        <v>46126</v>
      </c>
      <c r="C29" s="156" t="s">
        <v>984</v>
      </c>
      <c r="D29" s="156" t="s">
        <v>862</v>
      </c>
      <c r="E29" s="156" t="s">
        <v>863</v>
      </c>
      <c r="F29" s="156" t="s">
        <v>827</v>
      </c>
      <c r="G29" s="158">
        <v>3</v>
      </c>
      <c r="H29" s="159">
        <v>7000</v>
      </c>
      <c r="I29" s="159">
        <v>21000</v>
      </c>
      <c r="J29" s="156"/>
      <c r="L29" s="161"/>
    </row>
    <row r="30" spans="1:12" s="160" customFormat="1" ht="15" customHeight="1" x14ac:dyDescent="0.4">
      <c r="A30" s="156">
        <f t="shared" si="0"/>
        <v>27</v>
      </c>
      <c r="B30" s="157">
        <v>46126</v>
      </c>
      <c r="C30" s="156" t="s">
        <v>984</v>
      </c>
      <c r="D30" s="156" t="s">
        <v>828</v>
      </c>
      <c r="E30" s="156" t="s">
        <v>829</v>
      </c>
      <c r="F30" s="156" t="s">
        <v>827</v>
      </c>
      <c r="G30" s="158">
        <v>200</v>
      </c>
      <c r="H30" s="159">
        <v>300</v>
      </c>
      <c r="I30" s="159">
        <v>60000</v>
      </c>
      <c r="J30" s="156"/>
      <c r="L30" s="161"/>
    </row>
    <row r="31" spans="1:12" s="160" customFormat="1" ht="15" customHeight="1" x14ac:dyDescent="0.4">
      <c r="A31" s="156">
        <f t="shared" si="0"/>
        <v>28</v>
      </c>
      <c r="B31" s="157">
        <v>46128</v>
      </c>
      <c r="C31" s="156" t="s">
        <v>984</v>
      </c>
      <c r="D31" s="156" t="s">
        <v>864</v>
      </c>
      <c r="E31" s="156" t="s">
        <v>865</v>
      </c>
      <c r="F31" s="156" t="s">
        <v>827</v>
      </c>
      <c r="G31" s="158">
        <v>10</v>
      </c>
      <c r="H31" s="159">
        <v>7100</v>
      </c>
      <c r="I31" s="159">
        <v>71000</v>
      </c>
      <c r="J31" s="156"/>
      <c r="L31" s="161"/>
    </row>
    <row r="32" spans="1:12" s="160" customFormat="1" ht="15" customHeight="1" x14ac:dyDescent="0.4">
      <c r="A32" s="156">
        <f t="shared" si="0"/>
        <v>29</v>
      </c>
      <c r="B32" s="157">
        <v>46128</v>
      </c>
      <c r="C32" s="156" t="s">
        <v>984</v>
      </c>
      <c r="D32" s="156" t="s">
        <v>866</v>
      </c>
      <c r="E32" s="156" t="s">
        <v>867</v>
      </c>
      <c r="F32" s="156" t="s">
        <v>827</v>
      </c>
      <c r="G32" s="158">
        <v>10</v>
      </c>
      <c r="H32" s="159">
        <v>2700</v>
      </c>
      <c r="I32" s="159">
        <v>27000</v>
      </c>
      <c r="J32" s="156"/>
      <c r="L32" s="161"/>
    </row>
    <row r="33" spans="1:12" s="160" customFormat="1" ht="15" customHeight="1" x14ac:dyDescent="0.4">
      <c r="A33" s="156">
        <f t="shared" si="0"/>
        <v>30</v>
      </c>
      <c r="B33" s="157">
        <v>46128</v>
      </c>
      <c r="C33" s="156" t="s">
        <v>984</v>
      </c>
      <c r="D33" s="156" t="s">
        <v>868</v>
      </c>
      <c r="E33" s="156" t="s">
        <v>869</v>
      </c>
      <c r="F33" s="156" t="s">
        <v>827</v>
      </c>
      <c r="G33" s="158">
        <v>1</v>
      </c>
      <c r="H33" s="159">
        <v>4000</v>
      </c>
      <c r="I33" s="159">
        <v>4000</v>
      </c>
      <c r="J33" s="156"/>
      <c r="L33" s="161"/>
    </row>
    <row r="34" spans="1:12" s="160" customFormat="1" ht="15" customHeight="1" x14ac:dyDescent="0.4">
      <c r="A34" s="156">
        <f t="shared" si="0"/>
        <v>31</v>
      </c>
      <c r="B34" s="157">
        <v>46129</v>
      </c>
      <c r="C34" s="156" t="s">
        <v>984</v>
      </c>
      <c r="D34" s="156" t="s">
        <v>872</v>
      </c>
      <c r="E34" s="156" t="s">
        <v>873</v>
      </c>
      <c r="F34" s="156" t="s">
        <v>827</v>
      </c>
      <c r="G34" s="158">
        <v>10</v>
      </c>
      <c r="H34" s="159">
        <v>2700</v>
      </c>
      <c r="I34" s="159">
        <v>27000</v>
      </c>
      <c r="J34" s="156"/>
      <c r="L34" s="161"/>
    </row>
    <row r="35" spans="1:12" s="160" customFormat="1" ht="15" customHeight="1" x14ac:dyDescent="0.4">
      <c r="A35" s="156">
        <f t="shared" si="0"/>
        <v>32</v>
      </c>
      <c r="B35" s="157">
        <v>46129</v>
      </c>
      <c r="C35" s="156" t="s">
        <v>984</v>
      </c>
      <c r="D35" s="156" t="s">
        <v>874</v>
      </c>
      <c r="E35" s="156" t="s">
        <v>875</v>
      </c>
      <c r="F35" s="156" t="s">
        <v>827</v>
      </c>
      <c r="G35" s="158">
        <v>5</v>
      </c>
      <c r="H35" s="159">
        <v>4500</v>
      </c>
      <c r="I35" s="159">
        <v>22500</v>
      </c>
      <c r="J35" s="156"/>
      <c r="L35" s="161"/>
    </row>
    <row r="36" spans="1:12" s="160" customFormat="1" ht="15" customHeight="1" x14ac:dyDescent="0.4">
      <c r="A36" s="156">
        <f t="shared" ref="A36:A55" si="1">ROW()-3</f>
        <v>33</v>
      </c>
      <c r="B36" s="157">
        <v>46129</v>
      </c>
      <c r="C36" s="156" t="s">
        <v>984</v>
      </c>
      <c r="D36" s="156" t="s">
        <v>876</v>
      </c>
      <c r="E36" s="156" t="s">
        <v>877</v>
      </c>
      <c r="F36" s="156" t="s">
        <v>827</v>
      </c>
      <c r="G36" s="158">
        <v>5</v>
      </c>
      <c r="H36" s="159">
        <v>5700</v>
      </c>
      <c r="I36" s="159">
        <v>28500</v>
      </c>
      <c r="J36" s="156"/>
      <c r="L36" s="161"/>
    </row>
    <row r="37" spans="1:12" s="160" customFormat="1" ht="15" customHeight="1" x14ac:dyDescent="0.4">
      <c r="A37" s="156">
        <f t="shared" si="1"/>
        <v>34</v>
      </c>
      <c r="B37" s="157">
        <v>46132</v>
      </c>
      <c r="C37" s="156" t="s">
        <v>984</v>
      </c>
      <c r="D37" s="156" t="s">
        <v>878</v>
      </c>
      <c r="E37" s="156" t="s">
        <v>879</v>
      </c>
      <c r="F37" s="156" t="s">
        <v>827</v>
      </c>
      <c r="G37" s="158">
        <v>10</v>
      </c>
      <c r="H37" s="159">
        <v>3600</v>
      </c>
      <c r="I37" s="159">
        <v>36000</v>
      </c>
      <c r="J37" s="156"/>
      <c r="L37" s="161"/>
    </row>
    <row r="38" spans="1:12" s="160" customFormat="1" ht="15" customHeight="1" x14ac:dyDescent="0.4">
      <c r="A38" s="156">
        <f t="shared" si="1"/>
        <v>35</v>
      </c>
      <c r="B38" s="157">
        <v>46132</v>
      </c>
      <c r="C38" s="156" t="s">
        <v>984</v>
      </c>
      <c r="D38" s="156" t="s">
        <v>880</v>
      </c>
      <c r="E38" s="156" t="s">
        <v>881</v>
      </c>
      <c r="F38" s="156" t="s">
        <v>827</v>
      </c>
      <c r="G38" s="158">
        <v>20</v>
      </c>
      <c r="H38" s="159">
        <v>3500</v>
      </c>
      <c r="I38" s="159">
        <v>70000</v>
      </c>
      <c r="J38" s="156"/>
      <c r="L38" s="161"/>
    </row>
    <row r="39" spans="1:12" s="160" customFormat="1" ht="15" customHeight="1" x14ac:dyDescent="0.4">
      <c r="A39" s="156">
        <f t="shared" si="1"/>
        <v>36</v>
      </c>
      <c r="B39" s="157">
        <v>46133</v>
      </c>
      <c r="C39" s="156" t="s">
        <v>984</v>
      </c>
      <c r="D39" s="156" t="s">
        <v>868</v>
      </c>
      <c r="E39" s="156" t="s">
        <v>869</v>
      </c>
      <c r="F39" s="156" t="s">
        <v>827</v>
      </c>
      <c r="G39" s="158">
        <v>1</v>
      </c>
      <c r="H39" s="159">
        <v>4000</v>
      </c>
      <c r="I39" s="159">
        <v>4000</v>
      </c>
      <c r="J39" s="156"/>
      <c r="L39" s="161"/>
    </row>
    <row r="40" spans="1:12" s="160" customFormat="1" ht="15" customHeight="1" x14ac:dyDescent="0.4">
      <c r="A40" s="156">
        <f t="shared" si="1"/>
        <v>37</v>
      </c>
      <c r="B40" s="157">
        <v>46135</v>
      </c>
      <c r="C40" s="156" t="s">
        <v>984</v>
      </c>
      <c r="D40" s="156" t="s">
        <v>851</v>
      </c>
      <c r="E40" s="156" t="s">
        <v>852</v>
      </c>
      <c r="F40" s="156" t="s">
        <v>827</v>
      </c>
      <c r="G40" s="158">
        <v>10</v>
      </c>
      <c r="H40" s="159">
        <v>19000</v>
      </c>
      <c r="I40" s="159">
        <v>190000</v>
      </c>
      <c r="J40" s="156"/>
      <c r="L40" s="161"/>
    </row>
    <row r="41" spans="1:12" s="160" customFormat="1" ht="15" customHeight="1" x14ac:dyDescent="0.4">
      <c r="A41" s="156">
        <f t="shared" si="1"/>
        <v>38</v>
      </c>
      <c r="B41" s="157">
        <v>46135</v>
      </c>
      <c r="C41" s="156" t="s">
        <v>984</v>
      </c>
      <c r="D41" s="156" t="s">
        <v>885</v>
      </c>
      <c r="E41" s="156" t="s">
        <v>886</v>
      </c>
      <c r="F41" s="156" t="s">
        <v>827</v>
      </c>
      <c r="G41" s="158">
        <v>10</v>
      </c>
      <c r="H41" s="159">
        <v>12000</v>
      </c>
      <c r="I41" s="159">
        <v>120000</v>
      </c>
      <c r="J41" s="156"/>
      <c r="L41" s="161"/>
    </row>
    <row r="42" spans="1:12" s="160" customFormat="1" ht="15" customHeight="1" x14ac:dyDescent="0.4">
      <c r="A42" s="156">
        <f t="shared" si="1"/>
        <v>39</v>
      </c>
      <c r="B42" s="157">
        <v>46139</v>
      </c>
      <c r="C42" s="156" t="s">
        <v>984</v>
      </c>
      <c r="D42" s="156" t="s">
        <v>887</v>
      </c>
      <c r="E42" s="156" t="s">
        <v>888</v>
      </c>
      <c r="F42" s="156" t="s">
        <v>827</v>
      </c>
      <c r="G42" s="158">
        <v>1</v>
      </c>
      <c r="H42" s="159">
        <v>13000</v>
      </c>
      <c r="I42" s="159">
        <v>13000</v>
      </c>
      <c r="J42" s="156"/>
      <c r="L42" s="161"/>
    </row>
    <row r="43" spans="1:12" s="160" customFormat="1" ht="15" customHeight="1" x14ac:dyDescent="0.4">
      <c r="A43" s="156">
        <f t="shared" si="1"/>
        <v>40</v>
      </c>
      <c r="B43" s="157">
        <v>46139</v>
      </c>
      <c r="C43" s="156" t="s">
        <v>984</v>
      </c>
      <c r="D43" s="156" t="s">
        <v>891</v>
      </c>
      <c r="E43" s="156" t="s">
        <v>892</v>
      </c>
      <c r="F43" s="156" t="s">
        <v>827</v>
      </c>
      <c r="G43" s="158">
        <v>3</v>
      </c>
      <c r="H43" s="159">
        <v>15500</v>
      </c>
      <c r="I43" s="159">
        <v>46500</v>
      </c>
      <c r="J43" s="156"/>
      <c r="L43" s="161"/>
    </row>
    <row r="44" spans="1:12" s="160" customFormat="1" ht="15" customHeight="1" x14ac:dyDescent="0.4">
      <c r="A44" s="156">
        <f t="shared" si="1"/>
        <v>41</v>
      </c>
      <c r="B44" s="157">
        <v>46139</v>
      </c>
      <c r="C44" s="156" t="s">
        <v>984</v>
      </c>
      <c r="D44" s="156" t="s">
        <v>858</v>
      </c>
      <c r="E44" s="156" t="s">
        <v>859</v>
      </c>
      <c r="F44" s="156" t="s">
        <v>827</v>
      </c>
      <c r="G44" s="158">
        <v>100</v>
      </c>
      <c r="H44" s="159">
        <v>100</v>
      </c>
      <c r="I44" s="159">
        <v>10000</v>
      </c>
      <c r="J44" s="156"/>
      <c r="L44" s="161"/>
    </row>
    <row r="45" spans="1:12" s="160" customFormat="1" ht="15" customHeight="1" x14ac:dyDescent="0.4">
      <c r="A45" s="156">
        <f t="shared" si="1"/>
        <v>42</v>
      </c>
      <c r="B45" s="157">
        <v>46139</v>
      </c>
      <c r="C45" s="156" t="s">
        <v>984</v>
      </c>
      <c r="D45" s="156" t="s">
        <v>862</v>
      </c>
      <c r="E45" s="156" t="s">
        <v>893</v>
      </c>
      <c r="F45" s="156" t="s">
        <v>827</v>
      </c>
      <c r="G45" s="158">
        <v>14</v>
      </c>
      <c r="H45" s="159">
        <v>9500</v>
      </c>
      <c r="I45" s="159">
        <v>133000</v>
      </c>
      <c r="J45" s="156"/>
      <c r="L45" s="161"/>
    </row>
    <row r="46" spans="1:12" s="160" customFormat="1" ht="15" customHeight="1" x14ac:dyDescent="0.4">
      <c r="A46" s="156">
        <f t="shared" si="1"/>
        <v>43</v>
      </c>
      <c r="B46" s="157">
        <v>46139</v>
      </c>
      <c r="C46" s="156" t="s">
        <v>984</v>
      </c>
      <c r="D46" s="156" t="s">
        <v>862</v>
      </c>
      <c r="E46" s="156" t="s">
        <v>894</v>
      </c>
      <c r="F46" s="156" t="s">
        <v>827</v>
      </c>
      <c r="G46" s="158">
        <v>5</v>
      </c>
      <c r="H46" s="159">
        <v>7000</v>
      </c>
      <c r="I46" s="159">
        <v>35000</v>
      </c>
      <c r="J46" s="156"/>
      <c r="L46" s="161"/>
    </row>
    <row r="47" spans="1:12" s="160" customFormat="1" ht="15" customHeight="1" x14ac:dyDescent="0.4">
      <c r="A47" s="156">
        <f t="shared" si="1"/>
        <v>44</v>
      </c>
      <c r="B47" s="157">
        <v>46140</v>
      </c>
      <c r="C47" s="156" t="s">
        <v>984</v>
      </c>
      <c r="D47" s="156" t="s">
        <v>895</v>
      </c>
      <c r="E47" s="156" t="s">
        <v>896</v>
      </c>
      <c r="F47" s="156" t="s">
        <v>827</v>
      </c>
      <c r="G47" s="158">
        <v>2</v>
      </c>
      <c r="H47" s="159">
        <v>31000</v>
      </c>
      <c r="I47" s="159">
        <v>62000</v>
      </c>
      <c r="J47" s="156"/>
      <c r="L47" s="161"/>
    </row>
    <row r="48" spans="1:12" s="160" customFormat="1" ht="15" customHeight="1" x14ac:dyDescent="0.4">
      <c r="A48" s="156">
        <f t="shared" si="1"/>
        <v>45</v>
      </c>
      <c r="B48" s="157">
        <v>46141</v>
      </c>
      <c r="C48" s="156" t="s">
        <v>984</v>
      </c>
      <c r="D48" s="156" t="s">
        <v>897</v>
      </c>
      <c r="E48" s="156" t="s">
        <v>898</v>
      </c>
      <c r="F48" s="156" t="s">
        <v>827</v>
      </c>
      <c r="G48" s="158">
        <v>20</v>
      </c>
      <c r="H48" s="159">
        <v>4500</v>
      </c>
      <c r="I48" s="159">
        <v>90000</v>
      </c>
      <c r="J48" s="156"/>
      <c r="L48" s="161"/>
    </row>
    <row r="49" spans="1:12" s="160" customFormat="1" ht="15" customHeight="1" x14ac:dyDescent="0.4">
      <c r="A49" s="156">
        <f t="shared" si="1"/>
        <v>46</v>
      </c>
      <c r="B49" s="157">
        <v>46141</v>
      </c>
      <c r="C49" s="156" t="s">
        <v>984</v>
      </c>
      <c r="D49" s="156" t="s">
        <v>868</v>
      </c>
      <c r="E49" s="156" t="s">
        <v>869</v>
      </c>
      <c r="F49" s="156" t="s">
        <v>827</v>
      </c>
      <c r="G49" s="158">
        <v>2</v>
      </c>
      <c r="H49" s="159">
        <v>4000</v>
      </c>
      <c r="I49" s="159">
        <v>8000</v>
      </c>
      <c r="J49" s="156"/>
      <c r="L49" s="161"/>
    </row>
    <row r="50" spans="1:12" s="160" customFormat="1" ht="15" customHeight="1" x14ac:dyDescent="0.4">
      <c r="A50" s="156">
        <f t="shared" si="1"/>
        <v>47</v>
      </c>
      <c r="B50" s="157">
        <v>46142</v>
      </c>
      <c r="C50" s="156" t="s">
        <v>984</v>
      </c>
      <c r="D50" s="156" t="s">
        <v>828</v>
      </c>
      <c r="E50" s="156" t="s">
        <v>829</v>
      </c>
      <c r="F50" s="156" t="s">
        <v>827</v>
      </c>
      <c r="G50" s="158">
        <v>200</v>
      </c>
      <c r="H50" s="159">
        <v>300</v>
      </c>
      <c r="I50" s="159">
        <v>60000</v>
      </c>
      <c r="J50" s="156"/>
      <c r="L50" s="161"/>
    </row>
    <row r="51" spans="1:12" s="160" customFormat="1" ht="15" customHeight="1" x14ac:dyDescent="0.4">
      <c r="A51" s="156">
        <f t="shared" si="1"/>
        <v>48</v>
      </c>
      <c r="B51" s="157">
        <v>46142</v>
      </c>
      <c r="C51" s="156" t="s">
        <v>984</v>
      </c>
      <c r="D51" s="156" t="s">
        <v>899</v>
      </c>
      <c r="E51" s="156" t="s">
        <v>900</v>
      </c>
      <c r="F51" s="156" t="s">
        <v>827</v>
      </c>
      <c r="G51" s="158">
        <v>1</v>
      </c>
      <c r="H51" s="159">
        <v>1700</v>
      </c>
      <c r="I51" s="159">
        <v>1700</v>
      </c>
      <c r="J51" s="156"/>
      <c r="L51" s="161"/>
    </row>
    <row r="52" spans="1:12" s="160" customFormat="1" ht="15" customHeight="1" x14ac:dyDescent="0.4">
      <c r="A52" s="156">
        <f t="shared" si="1"/>
        <v>49</v>
      </c>
      <c r="B52" s="157">
        <v>46129</v>
      </c>
      <c r="C52" s="156" t="s">
        <v>984</v>
      </c>
      <c r="D52" s="156" t="s">
        <v>901</v>
      </c>
      <c r="E52" s="156"/>
      <c r="F52" s="156" t="s">
        <v>902</v>
      </c>
      <c r="G52" s="158">
        <v>1</v>
      </c>
      <c r="H52" s="159">
        <v>54999.999999999993</v>
      </c>
      <c r="I52" s="159">
        <v>54999.999999999993</v>
      </c>
      <c r="J52" s="156"/>
      <c r="L52" s="161"/>
    </row>
    <row r="53" spans="1:12" s="160" customFormat="1" ht="15" customHeight="1" x14ac:dyDescent="0.4">
      <c r="A53" s="156">
        <f t="shared" si="1"/>
        <v>50</v>
      </c>
      <c r="B53" s="157">
        <v>46129</v>
      </c>
      <c r="C53" s="156" t="s">
        <v>984</v>
      </c>
      <c r="D53" s="156" t="s">
        <v>903</v>
      </c>
      <c r="E53" s="156"/>
      <c r="F53" s="156" t="s">
        <v>904</v>
      </c>
      <c r="G53" s="158">
        <v>2</v>
      </c>
      <c r="H53" s="159">
        <v>11581.81818181818</v>
      </c>
      <c r="I53" s="159">
        <v>23163.63636363636</v>
      </c>
      <c r="J53" s="156"/>
      <c r="L53" s="161"/>
    </row>
    <row r="54" spans="1:12" s="160" customFormat="1" ht="15" customHeight="1" x14ac:dyDescent="0.4">
      <c r="A54" s="156">
        <f t="shared" si="1"/>
        <v>51</v>
      </c>
      <c r="B54" s="157">
        <v>46129</v>
      </c>
      <c r="C54" s="156" t="s">
        <v>984</v>
      </c>
      <c r="D54" s="156" t="s">
        <v>903</v>
      </c>
      <c r="E54" s="156"/>
      <c r="F54" s="156" t="s">
        <v>904</v>
      </c>
      <c r="G54" s="158">
        <v>3</v>
      </c>
      <c r="H54" s="159">
        <v>11566.666666666666</v>
      </c>
      <c r="I54" s="159">
        <v>34700</v>
      </c>
      <c r="J54" s="156"/>
      <c r="L54" s="161"/>
    </row>
    <row r="55" spans="1:12" s="160" customFormat="1" ht="15" customHeight="1" x14ac:dyDescent="0.4">
      <c r="A55" s="156">
        <f t="shared" si="1"/>
        <v>52</v>
      </c>
      <c r="B55" s="157">
        <v>46139</v>
      </c>
      <c r="C55" s="156" t="s">
        <v>985</v>
      </c>
      <c r="D55" s="156" t="s">
        <v>905</v>
      </c>
      <c r="E55" s="156"/>
      <c r="F55" s="156" t="s">
        <v>904</v>
      </c>
      <c r="G55" s="158">
        <v>4</v>
      </c>
      <c r="H55" s="159">
        <v>6795.454545454545</v>
      </c>
      <c r="I55" s="159">
        <v>27181.81818181818</v>
      </c>
      <c r="J55" s="156"/>
      <c r="L55" s="161"/>
    </row>
    <row r="56" spans="1:12" s="160" customFormat="1" ht="15" customHeight="1" x14ac:dyDescent="0.35">
      <c r="A56" s="163"/>
      <c r="B56" s="164"/>
      <c r="C56" s="163"/>
      <c r="D56" s="164"/>
      <c r="E56" s="164"/>
      <c r="F56" s="164"/>
      <c r="G56" s="165"/>
      <c r="H56" s="166"/>
      <c r="I56" s="166"/>
      <c r="J56" s="164"/>
      <c r="L56" s="161"/>
    </row>
    <row r="57" spans="1:12" s="160" customFormat="1" ht="15" customHeight="1" x14ac:dyDescent="0.35">
      <c r="A57" s="163"/>
      <c r="B57" s="164"/>
      <c r="C57" s="163"/>
      <c r="D57" s="164"/>
      <c r="E57" s="164"/>
      <c r="F57" s="164"/>
      <c r="G57" s="165"/>
      <c r="H57" s="166"/>
      <c r="I57" s="166"/>
      <c r="J57" s="164"/>
      <c r="L57" s="161"/>
    </row>
    <row r="58" spans="1:12" s="160" customFormat="1" ht="15" customHeight="1" x14ac:dyDescent="0.35">
      <c r="A58" s="163"/>
      <c r="B58" s="164"/>
      <c r="C58" s="163"/>
      <c r="D58" s="164"/>
      <c r="E58" s="164"/>
      <c r="F58" s="164"/>
      <c r="G58" s="165"/>
      <c r="H58" s="166"/>
      <c r="I58" s="166"/>
      <c r="J58" s="164"/>
      <c r="L58" s="161"/>
    </row>
    <row r="59" spans="1:12" s="160" customFormat="1" ht="15" customHeight="1" x14ac:dyDescent="0.35">
      <c r="A59" s="163"/>
      <c r="B59" s="164"/>
      <c r="C59" s="163"/>
      <c r="D59" s="164"/>
      <c r="E59" s="164"/>
      <c r="F59" s="164"/>
      <c r="G59" s="165"/>
      <c r="H59" s="166"/>
      <c r="I59" s="166"/>
      <c r="J59" s="164"/>
      <c r="L59" s="161"/>
    </row>
    <row r="60" spans="1:12" s="160" customFormat="1" ht="15" customHeight="1" x14ac:dyDescent="0.35">
      <c r="A60" s="163"/>
      <c r="B60" s="164"/>
      <c r="C60" s="163"/>
      <c r="D60" s="164"/>
      <c r="E60" s="164"/>
      <c r="F60" s="164"/>
      <c r="G60" s="165"/>
      <c r="H60" s="166"/>
      <c r="I60" s="166"/>
      <c r="J60" s="164"/>
      <c r="L60" s="161"/>
    </row>
    <row r="61" spans="1:12" s="160" customFormat="1" ht="15" customHeight="1" x14ac:dyDescent="0.35">
      <c r="A61" s="163"/>
      <c r="B61" s="164"/>
      <c r="C61" s="163"/>
      <c r="D61" s="164"/>
      <c r="E61" s="164"/>
      <c r="F61" s="164"/>
      <c r="G61" s="165"/>
      <c r="H61" s="166"/>
      <c r="I61" s="166"/>
      <c r="J61" s="164"/>
      <c r="L61" s="161"/>
    </row>
    <row r="62" spans="1:12" s="160" customFormat="1" ht="15" customHeight="1" x14ac:dyDescent="0.35">
      <c r="A62" s="163"/>
      <c r="B62" s="164"/>
      <c r="C62" s="163"/>
      <c r="D62" s="164"/>
      <c r="E62" s="164"/>
      <c r="F62" s="164"/>
      <c r="G62" s="165"/>
      <c r="H62" s="166"/>
      <c r="I62" s="166"/>
      <c r="J62" s="164"/>
      <c r="L62" s="161"/>
    </row>
    <row r="63" spans="1:12" s="160" customFormat="1" ht="15" customHeight="1" x14ac:dyDescent="0.35">
      <c r="A63" s="163"/>
      <c r="B63" s="164"/>
      <c r="C63" s="163"/>
      <c r="D63" s="164"/>
      <c r="E63" s="164"/>
      <c r="F63" s="164"/>
      <c r="G63" s="165"/>
      <c r="H63" s="166"/>
      <c r="I63" s="166"/>
      <c r="J63" s="164"/>
      <c r="L63" s="161"/>
    </row>
    <row r="64" spans="1:12" s="160" customFormat="1" ht="15" customHeight="1" x14ac:dyDescent="0.35">
      <c r="A64" s="163"/>
      <c r="B64" s="164"/>
      <c r="C64" s="163"/>
      <c r="D64" s="164"/>
      <c r="E64" s="164"/>
      <c r="F64" s="164"/>
      <c r="G64" s="165"/>
      <c r="H64" s="166"/>
      <c r="I64" s="166"/>
      <c r="J64" s="164"/>
      <c r="L64" s="161"/>
    </row>
    <row r="65" spans="1:12" s="160" customFormat="1" ht="15" customHeight="1" x14ac:dyDescent="0.35">
      <c r="A65" s="163"/>
      <c r="B65" s="164"/>
      <c r="C65" s="163"/>
      <c r="D65" s="164"/>
      <c r="E65" s="164"/>
      <c r="F65" s="164"/>
      <c r="G65" s="165"/>
      <c r="H65" s="166"/>
      <c r="I65" s="166"/>
      <c r="J65" s="164"/>
      <c r="L65" s="161"/>
    </row>
    <row r="66" spans="1:12" s="160" customFormat="1" ht="15" customHeight="1" x14ac:dyDescent="0.35">
      <c r="A66" s="163"/>
      <c r="B66" s="164"/>
      <c r="C66" s="163"/>
      <c r="D66" s="164"/>
      <c r="E66" s="164"/>
      <c r="F66" s="164"/>
      <c r="G66" s="165"/>
      <c r="H66" s="166"/>
      <c r="I66" s="166"/>
      <c r="J66" s="164"/>
      <c r="L66" s="161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5"/>
  <sheetViews>
    <sheetView view="pageBreakPreview" zoomScaleNormal="100" zoomScaleSheetLayoutView="100" workbookViewId="0">
      <selection activeCell="B12" sqref="B12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42" t="s">
        <v>237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2" ht="20.100000000000001" customHeight="1" x14ac:dyDescent="0.4">
      <c r="A2" s="345" t="s">
        <v>238</v>
      </c>
      <c r="B2" s="345" t="s">
        <v>239</v>
      </c>
      <c r="C2" s="345" t="s">
        <v>240</v>
      </c>
      <c r="D2" s="345" t="s">
        <v>241</v>
      </c>
      <c r="E2" s="345" t="s">
        <v>242</v>
      </c>
      <c r="F2" s="345" t="s">
        <v>243</v>
      </c>
      <c r="G2" s="345" t="s">
        <v>244</v>
      </c>
      <c r="H2" s="345" t="s">
        <v>245</v>
      </c>
      <c r="I2" s="143" t="s">
        <v>246</v>
      </c>
      <c r="J2" s="345" t="s">
        <v>247</v>
      </c>
    </row>
    <row r="3" spans="1:12" ht="20.100000000000001" customHeight="1" x14ac:dyDescent="0.4">
      <c r="A3" s="345"/>
      <c r="B3" s="345"/>
      <c r="C3" s="345"/>
      <c r="D3" s="345"/>
      <c r="E3" s="345"/>
      <c r="F3" s="345"/>
      <c r="G3" s="345"/>
      <c r="H3" s="345"/>
      <c r="I3" s="144">
        <f>SUM(I4:I25)</f>
        <v>21500000</v>
      </c>
      <c r="J3" s="345"/>
      <c r="L3" s="145" t="s">
        <v>248</v>
      </c>
    </row>
    <row r="4" spans="1:12" ht="20.100000000000001" customHeight="1" x14ac:dyDescent="0.4">
      <c r="A4" s="156">
        <f t="shared" ref="A4:A25" si="0">ROW()-3</f>
        <v>1</v>
      </c>
      <c r="B4" s="182">
        <v>46142</v>
      </c>
      <c r="C4" s="46" t="s">
        <v>906</v>
      </c>
      <c r="D4" s="46" t="s">
        <v>907</v>
      </c>
      <c r="E4" s="46" t="s">
        <v>908</v>
      </c>
      <c r="F4" s="46" t="s">
        <v>909</v>
      </c>
      <c r="G4" s="46">
        <v>1</v>
      </c>
      <c r="H4" s="46"/>
      <c r="I4" s="184">
        <f>800000</f>
        <v>800000</v>
      </c>
      <c r="J4" s="46" t="s">
        <v>249</v>
      </c>
      <c r="L4" s="146" t="s">
        <v>250</v>
      </c>
    </row>
    <row r="5" spans="1:12" ht="20.100000000000001" customHeight="1" x14ac:dyDescent="0.4">
      <c r="A5" s="156">
        <f t="shared" si="0"/>
        <v>2</v>
      </c>
      <c r="B5" s="182">
        <v>46142</v>
      </c>
      <c r="C5" s="46" t="s">
        <v>906</v>
      </c>
      <c r="D5" s="46" t="s">
        <v>907</v>
      </c>
      <c r="E5" s="46" t="s">
        <v>910</v>
      </c>
      <c r="F5" s="46" t="s">
        <v>911</v>
      </c>
      <c r="G5" s="46">
        <v>1</v>
      </c>
      <c r="H5" s="46"/>
      <c r="I5" s="184">
        <f>800000</f>
        <v>800000</v>
      </c>
      <c r="J5" s="46" t="s">
        <v>249</v>
      </c>
      <c r="L5" s="146" t="s">
        <v>251</v>
      </c>
    </row>
    <row r="6" spans="1:12" ht="20.100000000000001" customHeight="1" x14ac:dyDescent="0.4">
      <c r="A6" s="156">
        <f t="shared" si="0"/>
        <v>3</v>
      </c>
      <c r="B6" s="182">
        <v>46142</v>
      </c>
      <c r="C6" s="46" t="s">
        <v>906</v>
      </c>
      <c r="D6" s="46" t="s">
        <v>907</v>
      </c>
      <c r="E6" s="46" t="s">
        <v>912</v>
      </c>
      <c r="F6" s="46" t="s">
        <v>913</v>
      </c>
      <c r="G6" s="46">
        <v>1</v>
      </c>
      <c r="H6" s="46"/>
      <c r="I6" s="184">
        <f>850000</f>
        <v>850000</v>
      </c>
      <c r="J6" s="46" t="s">
        <v>249</v>
      </c>
      <c r="L6" s="146" t="s">
        <v>252</v>
      </c>
    </row>
    <row r="7" spans="1:12" ht="20.100000000000001" customHeight="1" x14ac:dyDescent="0.4">
      <c r="A7" s="156">
        <f t="shared" si="0"/>
        <v>4</v>
      </c>
      <c r="B7" s="182">
        <v>46142</v>
      </c>
      <c r="C7" s="46" t="s">
        <v>906</v>
      </c>
      <c r="D7" s="46" t="s">
        <v>907</v>
      </c>
      <c r="E7" s="46" t="s">
        <v>914</v>
      </c>
      <c r="F7" s="46" t="s">
        <v>915</v>
      </c>
      <c r="G7" s="46">
        <v>1</v>
      </c>
      <c r="H7" s="46"/>
      <c r="I7" s="184">
        <f>850000</f>
        <v>850000</v>
      </c>
      <c r="J7" s="46" t="s">
        <v>249</v>
      </c>
      <c r="L7" s="146" t="s">
        <v>253</v>
      </c>
    </row>
    <row r="8" spans="1:12" ht="20.100000000000001" customHeight="1" x14ac:dyDescent="0.4">
      <c r="A8" s="156">
        <f t="shared" si="0"/>
        <v>5</v>
      </c>
      <c r="B8" s="182">
        <v>46142</v>
      </c>
      <c r="C8" s="46" t="s">
        <v>906</v>
      </c>
      <c r="D8" s="46" t="s">
        <v>907</v>
      </c>
      <c r="E8" s="46" t="s">
        <v>916</v>
      </c>
      <c r="F8" s="46" t="s">
        <v>917</v>
      </c>
      <c r="G8" s="46">
        <v>1</v>
      </c>
      <c r="H8" s="46"/>
      <c r="I8" s="184">
        <f>950000</f>
        <v>950000</v>
      </c>
      <c r="J8" s="46" t="s">
        <v>249</v>
      </c>
      <c r="L8" s="147" t="s">
        <v>254</v>
      </c>
    </row>
    <row r="9" spans="1:12" ht="20.100000000000001" customHeight="1" x14ac:dyDescent="0.4">
      <c r="A9" s="156">
        <f t="shared" si="0"/>
        <v>6</v>
      </c>
      <c r="B9" s="182">
        <v>46142</v>
      </c>
      <c r="C9" s="46" t="s">
        <v>906</v>
      </c>
      <c r="D9" s="46" t="s">
        <v>907</v>
      </c>
      <c r="E9" s="46" t="s">
        <v>918</v>
      </c>
      <c r="F9" s="46" t="s">
        <v>915</v>
      </c>
      <c r="G9" s="46">
        <v>1</v>
      </c>
      <c r="H9" s="46"/>
      <c r="I9" s="184">
        <f>1000000</f>
        <v>1000000</v>
      </c>
      <c r="J9" s="46" t="s">
        <v>249</v>
      </c>
      <c r="L9" s="147" t="s">
        <v>255</v>
      </c>
    </row>
    <row r="10" spans="1:12" ht="20.100000000000001" customHeight="1" x14ac:dyDescent="0.4">
      <c r="A10" s="156">
        <f t="shared" si="0"/>
        <v>7</v>
      </c>
      <c r="B10" s="182">
        <v>46142</v>
      </c>
      <c r="C10" s="46" t="s">
        <v>906</v>
      </c>
      <c r="D10" s="46" t="s">
        <v>907</v>
      </c>
      <c r="E10" s="46" t="s">
        <v>918</v>
      </c>
      <c r="F10" s="46" t="s">
        <v>917</v>
      </c>
      <c r="G10" s="46">
        <v>1</v>
      </c>
      <c r="H10" s="46"/>
      <c r="I10" s="184">
        <f>1000000</f>
        <v>1000000</v>
      </c>
      <c r="J10" s="46" t="s">
        <v>249</v>
      </c>
      <c r="L10" s="147" t="s">
        <v>256</v>
      </c>
    </row>
    <row r="11" spans="1:12" ht="20.100000000000001" customHeight="1" x14ac:dyDescent="0.4">
      <c r="A11" s="156">
        <f t="shared" si="0"/>
        <v>8</v>
      </c>
      <c r="B11" s="182">
        <v>46142</v>
      </c>
      <c r="C11" s="46" t="s">
        <v>906</v>
      </c>
      <c r="D11" s="46" t="s">
        <v>907</v>
      </c>
      <c r="E11" s="46" t="s">
        <v>919</v>
      </c>
      <c r="F11" s="46" t="s">
        <v>920</v>
      </c>
      <c r="G11" s="46">
        <v>1</v>
      </c>
      <c r="H11" s="46"/>
      <c r="I11" s="184">
        <f>1000000</f>
        <v>1000000</v>
      </c>
      <c r="J11" s="46" t="s">
        <v>249</v>
      </c>
      <c r="L11" s="147"/>
    </row>
    <row r="12" spans="1:12" ht="20.100000000000001" customHeight="1" x14ac:dyDescent="0.4">
      <c r="A12" s="156">
        <f t="shared" si="0"/>
        <v>9</v>
      </c>
      <c r="B12" s="182">
        <v>46142</v>
      </c>
      <c r="C12" s="46" t="s">
        <v>906</v>
      </c>
      <c r="D12" s="46" t="s">
        <v>907</v>
      </c>
      <c r="E12" s="46" t="s">
        <v>921</v>
      </c>
      <c r="F12" s="46" t="s">
        <v>922</v>
      </c>
      <c r="G12" s="46">
        <v>1</v>
      </c>
      <c r="H12" s="46"/>
      <c r="I12" s="184">
        <f>850000</f>
        <v>850000</v>
      </c>
      <c r="J12" s="46" t="s">
        <v>249</v>
      </c>
      <c r="L12" s="145" t="s">
        <v>257</v>
      </c>
    </row>
    <row r="13" spans="1:12" ht="20.100000000000001" customHeight="1" x14ac:dyDescent="0.4">
      <c r="A13" s="156">
        <f t="shared" si="0"/>
        <v>10</v>
      </c>
      <c r="B13" s="182">
        <v>46142</v>
      </c>
      <c r="C13" s="46" t="s">
        <v>906</v>
      </c>
      <c r="D13" s="46" t="s">
        <v>907</v>
      </c>
      <c r="E13" s="46" t="s">
        <v>923</v>
      </c>
      <c r="F13" s="46" t="s">
        <v>913</v>
      </c>
      <c r="G13" s="46">
        <v>1</v>
      </c>
      <c r="H13" s="46"/>
      <c r="I13" s="184">
        <f>850000</f>
        <v>850000</v>
      </c>
      <c r="J13" s="46" t="s">
        <v>249</v>
      </c>
    </row>
    <row r="14" spans="1:12" ht="20.100000000000001" customHeight="1" x14ac:dyDescent="0.4">
      <c r="A14" s="156">
        <f t="shared" si="0"/>
        <v>11</v>
      </c>
      <c r="B14" s="182">
        <v>46142</v>
      </c>
      <c r="C14" s="46" t="s">
        <v>906</v>
      </c>
      <c r="D14" s="46" t="s">
        <v>907</v>
      </c>
      <c r="E14" s="46" t="s">
        <v>924</v>
      </c>
      <c r="F14" s="46" t="s">
        <v>913</v>
      </c>
      <c r="G14" s="46">
        <v>1</v>
      </c>
      <c r="H14" s="46"/>
      <c r="I14" s="190">
        <f>850000</f>
        <v>850000</v>
      </c>
      <c r="J14" s="46" t="s">
        <v>249</v>
      </c>
      <c r="L14" s="147"/>
    </row>
    <row r="15" spans="1:12" ht="20.100000000000001" customHeight="1" x14ac:dyDescent="0.4">
      <c r="A15" s="156">
        <f t="shared" si="0"/>
        <v>12</v>
      </c>
      <c r="B15" s="182">
        <v>46142</v>
      </c>
      <c r="C15" s="46" t="s">
        <v>906</v>
      </c>
      <c r="D15" s="46" t="s">
        <v>907</v>
      </c>
      <c r="E15" s="46" t="s">
        <v>925</v>
      </c>
      <c r="F15" s="46" t="s">
        <v>926</v>
      </c>
      <c r="G15" s="46">
        <v>1</v>
      </c>
      <c r="H15" s="46"/>
      <c r="I15" s="185">
        <f>1000000</f>
        <v>1000000</v>
      </c>
      <c r="J15" s="46" t="s">
        <v>249</v>
      </c>
      <c r="L15" s="147"/>
    </row>
    <row r="16" spans="1:12" ht="20.100000000000001" customHeight="1" x14ac:dyDescent="0.4">
      <c r="A16" s="156">
        <f t="shared" si="0"/>
        <v>13</v>
      </c>
      <c r="B16" s="182">
        <v>46142</v>
      </c>
      <c r="C16" s="46" t="s">
        <v>906</v>
      </c>
      <c r="D16" s="46" t="s">
        <v>907</v>
      </c>
      <c r="E16" s="46" t="s">
        <v>925</v>
      </c>
      <c r="F16" s="46" t="s">
        <v>927</v>
      </c>
      <c r="G16" s="46">
        <v>1</v>
      </c>
      <c r="H16" s="46"/>
      <c r="I16" s="185">
        <f>1000000</f>
        <v>1000000</v>
      </c>
      <c r="J16" s="46" t="s">
        <v>249</v>
      </c>
      <c r="L16" s="147"/>
    </row>
    <row r="17" spans="1:12" ht="20.100000000000001" customHeight="1" x14ac:dyDescent="0.4">
      <c r="A17" s="156">
        <f t="shared" si="0"/>
        <v>14</v>
      </c>
      <c r="B17" s="182">
        <v>46142</v>
      </c>
      <c r="C17" s="46" t="s">
        <v>906</v>
      </c>
      <c r="D17" s="46" t="s">
        <v>907</v>
      </c>
      <c r="E17" s="46" t="s">
        <v>925</v>
      </c>
      <c r="F17" s="46" t="s">
        <v>928</v>
      </c>
      <c r="G17" s="46">
        <v>1</v>
      </c>
      <c r="H17" s="46"/>
      <c r="I17" s="185">
        <f>1000000</f>
        <v>1000000</v>
      </c>
      <c r="J17" s="46" t="s">
        <v>249</v>
      </c>
      <c r="L17" s="147"/>
    </row>
    <row r="18" spans="1:12" ht="20.100000000000001" customHeight="1" x14ac:dyDescent="0.4">
      <c r="A18" s="156">
        <f t="shared" si="0"/>
        <v>15</v>
      </c>
      <c r="B18" s="182">
        <v>46142</v>
      </c>
      <c r="C18" s="46" t="s">
        <v>906</v>
      </c>
      <c r="D18" s="46" t="s">
        <v>907</v>
      </c>
      <c r="E18" s="46" t="s">
        <v>929</v>
      </c>
      <c r="F18" s="46" t="s">
        <v>927</v>
      </c>
      <c r="G18" s="46">
        <v>1</v>
      </c>
      <c r="H18" s="46"/>
      <c r="I18" s="185">
        <f>950000</f>
        <v>950000</v>
      </c>
      <c r="J18" s="46" t="s">
        <v>249</v>
      </c>
      <c r="L18" s="147"/>
    </row>
    <row r="19" spans="1:12" ht="20.100000000000001" customHeight="1" x14ac:dyDescent="0.4">
      <c r="A19" s="156">
        <f t="shared" si="0"/>
        <v>16</v>
      </c>
      <c r="B19" s="182">
        <v>46142</v>
      </c>
      <c r="C19" s="46" t="s">
        <v>906</v>
      </c>
      <c r="D19" s="46" t="s">
        <v>907</v>
      </c>
      <c r="E19" s="46" t="s">
        <v>930</v>
      </c>
      <c r="F19" s="46" t="s">
        <v>931</v>
      </c>
      <c r="G19" s="46">
        <v>1</v>
      </c>
      <c r="H19" s="46"/>
      <c r="I19" s="185">
        <f>950000</f>
        <v>950000</v>
      </c>
      <c r="J19" s="46" t="s">
        <v>249</v>
      </c>
      <c r="L19" s="147"/>
    </row>
    <row r="20" spans="1:12" ht="20.100000000000001" customHeight="1" x14ac:dyDescent="0.4">
      <c r="A20" s="156">
        <f t="shared" si="0"/>
        <v>17</v>
      </c>
      <c r="B20" s="182">
        <v>46142</v>
      </c>
      <c r="C20" s="46" t="s">
        <v>906</v>
      </c>
      <c r="D20" s="46" t="s">
        <v>907</v>
      </c>
      <c r="E20" s="46" t="s">
        <v>932</v>
      </c>
      <c r="F20" s="46" t="s">
        <v>928</v>
      </c>
      <c r="G20" s="46">
        <v>1</v>
      </c>
      <c r="H20" s="46"/>
      <c r="I20" s="185">
        <f>1000000</f>
        <v>1000000</v>
      </c>
      <c r="J20" s="46" t="s">
        <v>249</v>
      </c>
      <c r="L20" s="147"/>
    </row>
    <row r="21" spans="1:12" ht="20.100000000000001" customHeight="1" x14ac:dyDescent="0.4">
      <c r="A21" s="156">
        <f t="shared" si="0"/>
        <v>18</v>
      </c>
      <c r="B21" s="182">
        <v>46142</v>
      </c>
      <c r="C21" s="46" t="s">
        <v>906</v>
      </c>
      <c r="D21" s="46" t="s">
        <v>907</v>
      </c>
      <c r="E21" s="46" t="s">
        <v>933</v>
      </c>
      <c r="F21" s="46" t="s">
        <v>927</v>
      </c>
      <c r="G21" s="46">
        <v>1</v>
      </c>
      <c r="H21" s="46"/>
      <c r="I21" s="185">
        <f>1000000</f>
        <v>1000000</v>
      </c>
      <c r="J21" s="46" t="s">
        <v>249</v>
      </c>
      <c r="L21" s="147"/>
    </row>
    <row r="22" spans="1:12" ht="20.100000000000001" customHeight="1" x14ac:dyDescent="0.4">
      <c r="A22" s="156">
        <f t="shared" si="0"/>
        <v>19</v>
      </c>
      <c r="B22" s="182">
        <v>46142</v>
      </c>
      <c r="C22" s="46" t="s">
        <v>906</v>
      </c>
      <c r="D22" s="46" t="s">
        <v>907</v>
      </c>
      <c r="E22" s="46" t="s">
        <v>934</v>
      </c>
      <c r="F22" s="46" t="s">
        <v>926</v>
      </c>
      <c r="G22" s="46">
        <v>1</v>
      </c>
      <c r="H22" s="46"/>
      <c r="I22" s="185">
        <f>1100000</f>
        <v>1100000</v>
      </c>
      <c r="J22" s="46" t="s">
        <v>249</v>
      </c>
      <c r="L22" s="147"/>
    </row>
    <row r="23" spans="1:12" ht="20.100000000000001" customHeight="1" x14ac:dyDescent="0.4">
      <c r="A23" s="156">
        <f t="shared" si="0"/>
        <v>20</v>
      </c>
      <c r="B23" s="182">
        <v>46142</v>
      </c>
      <c r="C23" s="46" t="s">
        <v>906</v>
      </c>
      <c r="D23" s="46" t="s">
        <v>907</v>
      </c>
      <c r="E23" s="46" t="s">
        <v>935</v>
      </c>
      <c r="F23" s="46" t="s">
        <v>926</v>
      </c>
      <c r="G23" s="46">
        <v>1</v>
      </c>
      <c r="H23" s="46"/>
      <c r="I23" s="185">
        <f>1100000</f>
        <v>1100000</v>
      </c>
      <c r="J23" s="46" t="s">
        <v>249</v>
      </c>
      <c r="L23" s="147"/>
    </row>
    <row r="24" spans="1:12" ht="20.100000000000001" customHeight="1" x14ac:dyDescent="0.4">
      <c r="A24" s="156">
        <f t="shared" si="0"/>
        <v>21</v>
      </c>
      <c r="B24" s="182">
        <v>46142</v>
      </c>
      <c r="C24" s="46" t="s">
        <v>906</v>
      </c>
      <c r="D24" s="46" t="s">
        <v>907</v>
      </c>
      <c r="E24" s="46" t="s">
        <v>936</v>
      </c>
      <c r="F24" s="46" t="s">
        <v>928</v>
      </c>
      <c r="G24" s="46">
        <v>1</v>
      </c>
      <c r="H24" s="46"/>
      <c r="I24" s="185">
        <f>1100000</f>
        <v>1100000</v>
      </c>
      <c r="J24" s="46" t="s">
        <v>249</v>
      </c>
      <c r="L24" s="147"/>
    </row>
    <row r="25" spans="1:12" ht="20.100000000000001" customHeight="1" x14ac:dyDescent="0.4">
      <c r="A25" s="156">
        <f t="shared" si="0"/>
        <v>22</v>
      </c>
      <c r="B25" s="182">
        <v>46142</v>
      </c>
      <c r="C25" s="46" t="s">
        <v>906</v>
      </c>
      <c r="D25" s="46" t="s">
        <v>907</v>
      </c>
      <c r="E25" s="46" t="s">
        <v>937</v>
      </c>
      <c r="F25" s="46" t="s">
        <v>926</v>
      </c>
      <c r="G25" s="46">
        <v>1</v>
      </c>
      <c r="H25" s="46"/>
      <c r="I25" s="185">
        <f>1500000</f>
        <v>1500000</v>
      </c>
      <c r="J25" s="46" t="s">
        <v>249</v>
      </c>
      <c r="L25" s="14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AND(COUNTIF($E$6:$E$6, E4)+COUNTIF(#REF!, E4)+COUNTIF(#REF!, E4)&gt;1,NOT(ISBLANK(E4)))</formula>
    </cfRule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71"/>
  <sheetViews>
    <sheetView view="pageBreakPreview" zoomScaleNormal="100" zoomScaleSheetLayoutView="100" workbookViewId="0">
      <selection activeCell="H14" sqref="H14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342" t="s">
        <v>258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0" ht="20.100000000000001" customHeight="1" x14ac:dyDescent="0.4">
      <c r="A2" s="345" t="s">
        <v>259</v>
      </c>
      <c r="B2" s="345" t="s">
        <v>239</v>
      </c>
      <c r="C2" s="345" t="s">
        <v>260</v>
      </c>
      <c r="D2" s="345" t="s">
        <v>241</v>
      </c>
      <c r="E2" s="345" t="s">
        <v>261</v>
      </c>
      <c r="F2" s="345" t="s">
        <v>243</v>
      </c>
      <c r="G2" s="345" t="s">
        <v>262</v>
      </c>
      <c r="H2" s="345" t="s">
        <v>263</v>
      </c>
      <c r="I2" s="143" t="s">
        <v>264</v>
      </c>
      <c r="J2" s="345" t="s">
        <v>265</v>
      </c>
    </row>
    <row r="3" spans="1:10" ht="20.100000000000001" customHeight="1" x14ac:dyDescent="0.4">
      <c r="A3" s="345"/>
      <c r="B3" s="345"/>
      <c r="C3" s="345"/>
      <c r="D3" s="345"/>
      <c r="E3" s="345"/>
      <c r="F3" s="345"/>
      <c r="G3" s="345"/>
      <c r="H3" s="345"/>
      <c r="I3" s="144">
        <f>SUM(I4:I71)</f>
        <v>4306300</v>
      </c>
      <c r="J3" s="345"/>
    </row>
    <row r="4" spans="1:10" ht="20.100000000000001" customHeight="1" x14ac:dyDescent="0.35">
      <c r="A4" s="167">
        <f t="shared" ref="A4:A67" si="0">ROW()-3</f>
        <v>1</v>
      </c>
      <c r="B4" s="168">
        <v>46142</v>
      </c>
      <c r="C4" s="169" t="s">
        <v>938</v>
      </c>
      <c r="D4" s="170" t="s">
        <v>939</v>
      </c>
      <c r="E4" s="46" t="s">
        <v>940</v>
      </c>
      <c r="F4" s="46" t="s">
        <v>909</v>
      </c>
      <c r="G4" s="171">
        <v>1</v>
      </c>
      <c r="H4" s="172"/>
      <c r="I4" s="173">
        <v>31460</v>
      </c>
      <c r="J4" s="174"/>
    </row>
    <row r="5" spans="1:10" ht="20.100000000000001" customHeight="1" x14ac:dyDescent="0.4">
      <c r="A5" s="167">
        <f t="shared" si="0"/>
        <v>2</v>
      </c>
      <c r="B5" s="168">
        <v>46142</v>
      </c>
      <c r="C5" s="169" t="s">
        <v>938</v>
      </c>
      <c r="D5" s="170" t="s">
        <v>939</v>
      </c>
      <c r="E5" s="46" t="s">
        <v>941</v>
      </c>
      <c r="F5" s="46" t="s">
        <v>911</v>
      </c>
      <c r="G5" s="171">
        <v>1</v>
      </c>
      <c r="H5" s="191"/>
      <c r="I5" s="173">
        <v>22700</v>
      </c>
      <c r="J5" s="174"/>
    </row>
    <row r="6" spans="1:10" ht="20.100000000000001" customHeight="1" x14ac:dyDescent="0.35">
      <c r="A6" s="167">
        <f t="shared" si="0"/>
        <v>3</v>
      </c>
      <c r="B6" s="168">
        <v>46142</v>
      </c>
      <c r="C6" s="169" t="s">
        <v>938</v>
      </c>
      <c r="D6" s="170" t="s">
        <v>939</v>
      </c>
      <c r="E6" s="186" t="s">
        <v>942</v>
      </c>
      <c r="F6" s="46" t="s">
        <v>943</v>
      </c>
      <c r="G6" s="171">
        <v>1</v>
      </c>
      <c r="H6" s="172"/>
      <c r="I6" s="173">
        <v>21790</v>
      </c>
      <c r="J6" s="174"/>
    </row>
    <row r="7" spans="1:10" ht="20.100000000000001" customHeight="1" x14ac:dyDescent="0.4">
      <c r="A7" s="167">
        <f t="shared" si="0"/>
        <v>4</v>
      </c>
      <c r="B7" s="168">
        <v>46142</v>
      </c>
      <c r="C7" s="169" t="s">
        <v>938</v>
      </c>
      <c r="D7" s="170" t="s">
        <v>939</v>
      </c>
      <c r="E7" s="46" t="s">
        <v>944</v>
      </c>
      <c r="F7" s="46" t="s">
        <v>945</v>
      </c>
      <c r="G7" s="171">
        <v>1</v>
      </c>
      <c r="H7" s="191"/>
      <c r="I7" s="173">
        <v>23000</v>
      </c>
      <c r="J7" s="174"/>
    </row>
    <row r="8" spans="1:10" ht="20.100000000000001" customHeight="1" x14ac:dyDescent="0.35">
      <c r="A8" s="167">
        <f t="shared" si="0"/>
        <v>5</v>
      </c>
      <c r="B8" s="168">
        <v>46142</v>
      </c>
      <c r="C8" s="169" t="s">
        <v>938</v>
      </c>
      <c r="D8" s="170" t="s">
        <v>939</v>
      </c>
      <c r="E8" s="46" t="s">
        <v>946</v>
      </c>
      <c r="F8" s="46" t="s">
        <v>909</v>
      </c>
      <c r="G8" s="171">
        <v>1</v>
      </c>
      <c r="H8" s="172"/>
      <c r="I8" s="173">
        <v>34760</v>
      </c>
      <c r="J8" s="174"/>
    </row>
    <row r="9" spans="1:10" ht="20.100000000000001" customHeight="1" x14ac:dyDescent="0.4">
      <c r="A9" s="167">
        <f t="shared" si="0"/>
        <v>6</v>
      </c>
      <c r="B9" s="168">
        <v>46142</v>
      </c>
      <c r="C9" s="169" t="s">
        <v>938</v>
      </c>
      <c r="D9" s="170" t="s">
        <v>939</v>
      </c>
      <c r="E9" s="186" t="s">
        <v>947</v>
      </c>
      <c r="F9" s="46" t="s">
        <v>945</v>
      </c>
      <c r="G9" s="171">
        <v>1</v>
      </c>
      <c r="H9" s="181"/>
      <c r="I9" s="185">
        <v>22760</v>
      </c>
      <c r="J9" s="181"/>
    </row>
    <row r="10" spans="1:10" ht="20.100000000000001" customHeight="1" x14ac:dyDescent="0.4">
      <c r="A10" s="167">
        <f t="shared" si="0"/>
        <v>7</v>
      </c>
      <c r="B10" s="168">
        <v>46142</v>
      </c>
      <c r="C10" s="169" t="s">
        <v>938</v>
      </c>
      <c r="D10" s="170" t="s">
        <v>939</v>
      </c>
      <c r="E10" s="46" t="s">
        <v>947</v>
      </c>
      <c r="F10" s="46" t="s">
        <v>909</v>
      </c>
      <c r="G10" s="171">
        <v>1</v>
      </c>
      <c r="H10" s="181"/>
      <c r="I10" s="185">
        <v>21100</v>
      </c>
      <c r="J10" s="181"/>
    </row>
    <row r="11" spans="1:10" ht="20.100000000000001" customHeight="1" x14ac:dyDescent="0.4">
      <c r="A11" s="167">
        <f t="shared" si="0"/>
        <v>8</v>
      </c>
      <c r="B11" s="168">
        <v>46142</v>
      </c>
      <c r="C11" s="169" t="s">
        <v>938</v>
      </c>
      <c r="D11" s="170" t="s">
        <v>939</v>
      </c>
      <c r="E11" s="46" t="s">
        <v>948</v>
      </c>
      <c r="F11" s="46" t="s">
        <v>911</v>
      </c>
      <c r="G11" s="171">
        <v>1</v>
      </c>
      <c r="H11" s="181"/>
      <c r="I11" s="185">
        <v>33280</v>
      </c>
      <c r="J11" s="181"/>
    </row>
    <row r="12" spans="1:10" ht="20.100000000000001" customHeight="1" x14ac:dyDescent="0.4">
      <c r="A12" s="167">
        <f t="shared" si="0"/>
        <v>9</v>
      </c>
      <c r="B12" s="168">
        <v>46142</v>
      </c>
      <c r="C12" s="169" t="s">
        <v>938</v>
      </c>
      <c r="D12" s="170" t="s">
        <v>939</v>
      </c>
      <c r="E12" s="186" t="s">
        <v>949</v>
      </c>
      <c r="F12" s="46" t="s">
        <v>950</v>
      </c>
      <c r="G12" s="171">
        <v>1</v>
      </c>
      <c r="H12" s="181"/>
      <c r="I12" s="185">
        <v>19070</v>
      </c>
      <c r="J12" s="181"/>
    </row>
    <row r="13" spans="1:10" ht="20.100000000000001" customHeight="1" x14ac:dyDescent="0.4">
      <c r="A13" s="167">
        <f t="shared" si="0"/>
        <v>10</v>
      </c>
      <c r="B13" s="168">
        <v>46142</v>
      </c>
      <c r="C13" s="169" t="s">
        <v>938</v>
      </c>
      <c r="D13" s="170" t="s">
        <v>939</v>
      </c>
      <c r="E13" s="186" t="s">
        <v>951</v>
      </c>
      <c r="F13" s="46" t="s">
        <v>943</v>
      </c>
      <c r="G13" s="171">
        <v>1</v>
      </c>
      <c r="H13" s="181"/>
      <c r="I13" s="185">
        <v>16500</v>
      </c>
      <c r="J13" s="181"/>
    </row>
    <row r="14" spans="1:10" ht="20.100000000000001" customHeight="1" x14ac:dyDescent="0.4">
      <c r="A14" s="167">
        <f t="shared" si="0"/>
        <v>11</v>
      </c>
      <c r="B14" s="168">
        <v>46142</v>
      </c>
      <c r="C14" s="169" t="s">
        <v>938</v>
      </c>
      <c r="D14" s="170" t="s">
        <v>939</v>
      </c>
      <c r="E14" s="46" t="s">
        <v>952</v>
      </c>
      <c r="F14" s="46" t="s">
        <v>943</v>
      </c>
      <c r="G14" s="171">
        <v>1</v>
      </c>
      <c r="H14" s="191"/>
      <c r="I14" s="173">
        <v>59750</v>
      </c>
      <c r="J14" s="174"/>
    </row>
    <row r="15" spans="1:10" ht="20.100000000000001" customHeight="1" x14ac:dyDescent="0.35">
      <c r="A15" s="167">
        <f t="shared" si="0"/>
        <v>12</v>
      </c>
      <c r="B15" s="168">
        <v>46142</v>
      </c>
      <c r="C15" s="169" t="s">
        <v>938</v>
      </c>
      <c r="D15" s="170" t="s">
        <v>939</v>
      </c>
      <c r="E15" s="46" t="s">
        <v>925</v>
      </c>
      <c r="F15" s="46" t="s">
        <v>909</v>
      </c>
      <c r="G15" s="171">
        <v>1</v>
      </c>
      <c r="H15" s="172"/>
      <c r="I15" s="173">
        <v>25110</v>
      </c>
      <c r="J15" s="174"/>
    </row>
    <row r="16" spans="1:10" ht="20.100000000000001" customHeight="1" x14ac:dyDescent="0.4">
      <c r="A16" s="167">
        <f t="shared" si="0"/>
        <v>13</v>
      </c>
      <c r="B16" s="168">
        <v>46142</v>
      </c>
      <c r="C16" s="169" t="s">
        <v>938</v>
      </c>
      <c r="D16" s="170" t="s">
        <v>939</v>
      </c>
      <c r="E16" s="46" t="s">
        <v>925</v>
      </c>
      <c r="F16" s="46" t="s">
        <v>945</v>
      </c>
      <c r="G16" s="171">
        <v>1</v>
      </c>
      <c r="H16" s="181"/>
      <c r="I16" s="185">
        <v>22390</v>
      </c>
      <c r="J16" s="181"/>
    </row>
    <row r="17" spans="1:10" ht="20.100000000000001" customHeight="1" x14ac:dyDescent="0.4">
      <c r="A17" s="167">
        <f t="shared" si="0"/>
        <v>14</v>
      </c>
      <c r="B17" s="168">
        <v>46142</v>
      </c>
      <c r="C17" s="169" t="s">
        <v>938</v>
      </c>
      <c r="D17" s="170" t="s">
        <v>939</v>
      </c>
      <c r="E17" s="46" t="s">
        <v>925</v>
      </c>
      <c r="F17" s="46" t="s">
        <v>943</v>
      </c>
      <c r="G17" s="171">
        <v>1</v>
      </c>
      <c r="H17" s="181"/>
      <c r="I17" s="185">
        <v>22700</v>
      </c>
      <c r="J17" s="181"/>
    </row>
    <row r="18" spans="1:10" ht="20.100000000000001" customHeight="1" x14ac:dyDescent="0.4">
      <c r="A18" s="167">
        <f t="shared" si="0"/>
        <v>15</v>
      </c>
      <c r="B18" s="168">
        <v>46142</v>
      </c>
      <c r="C18" s="169" t="s">
        <v>938</v>
      </c>
      <c r="D18" s="170" t="s">
        <v>939</v>
      </c>
      <c r="E18" s="46" t="s">
        <v>929</v>
      </c>
      <c r="F18" s="46" t="s">
        <v>945</v>
      </c>
      <c r="G18" s="171">
        <v>1</v>
      </c>
      <c r="H18" s="181"/>
      <c r="I18" s="185">
        <v>31000</v>
      </c>
      <c r="J18" s="181"/>
    </row>
    <row r="19" spans="1:10" ht="20.100000000000001" customHeight="1" x14ac:dyDescent="0.4">
      <c r="A19" s="167">
        <f t="shared" si="0"/>
        <v>16</v>
      </c>
      <c r="B19" s="168">
        <v>46142</v>
      </c>
      <c r="C19" s="169" t="s">
        <v>938</v>
      </c>
      <c r="D19" s="170" t="s">
        <v>939</v>
      </c>
      <c r="E19" s="46" t="s">
        <v>930</v>
      </c>
      <c r="F19" s="46" t="s">
        <v>911</v>
      </c>
      <c r="G19" s="171">
        <v>1</v>
      </c>
      <c r="H19" s="181"/>
      <c r="I19" s="185">
        <v>26620</v>
      </c>
      <c r="J19" s="181"/>
    </row>
    <row r="20" spans="1:10" ht="20.100000000000001" customHeight="1" x14ac:dyDescent="0.4">
      <c r="A20" s="167">
        <f t="shared" si="0"/>
        <v>17</v>
      </c>
      <c r="B20" s="168">
        <v>46142</v>
      </c>
      <c r="C20" s="169" t="s">
        <v>938</v>
      </c>
      <c r="D20" s="170" t="s">
        <v>939</v>
      </c>
      <c r="E20" s="46" t="s">
        <v>932</v>
      </c>
      <c r="F20" s="46" t="s">
        <v>943</v>
      </c>
      <c r="G20" s="171">
        <v>1</v>
      </c>
      <c r="H20" s="181"/>
      <c r="I20" s="185">
        <v>23910</v>
      </c>
      <c r="J20" s="181"/>
    </row>
    <row r="21" spans="1:10" ht="20.100000000000001" customHeight="1" x14ac:dyDescent="0.4">
      <c r="A21" s="167">
        <f t="shared" si="0"/>
        <v>18</v>
      </c>
      <c r="B21" s="168">
        <v>46142</v>
      </c>
      <c r="C21" s="169" t="s">
        <v>938</v>
      </c>
      <c r="D21" s="170" t="s">
        <v>939</v>
      </c>
      <c r="E21" s="46" t="s">
        <v>933</v>
      </c>
      <c r="F21" s="46" t="s">
        <v>945</v>
      </c>
      <c r="G21" s="171">
        <v>1</v>
      </c>
      <c r="H21" s="181"/>
      <c r="I21" s="185">
        <v>26020</v>
      </c>
      <c r="J21" s="181"/>
    </row>
    <row r="22" spans="1:10" ht="20.100000000000001" customHeight="1" x14ac:dyDescent="0.4">
      <c r="A22" s="167">
        <f t="shared" si="0"/>
        <v>19</v>
      </c>
      <c r="B22" s="168">
        <v>46142</v>
      </c>
      <c r="C22" s="169" t="s">
        <v>938</v>
      </c>
      <c r="D22" s="170" t="s">
        <v>939</v>
      </c>
      <c r="E22" s="46" t="s">
        <v>934</v>
      </c>
      <c r="F22" s="46" t="s">
        <v>909</v>
      </c>
      <c r="G22" s="171">
        <v>1</v>
      </c>
      <c r="H22" s="181"/>
      <c r="I22" s="185">
        <v>45580</v>
      </c>
      <c r="J22" s="181"/>
    </row>
    <row r="23" spans="1:10" ht="20.100000000000001" customHeight="1" x14ac:dyDescent="0.4">
      <c r="A23" s="167">
        <f t="shared" si="0"/>
        <v>20</v>
      </c>
      <c r="B23" s="168">
        <v>46142</v>
      </c>
      <c r="C23" s="169" t="s">
        <v>938</v>
      </c>
      <c r="D23" s="170" t="s">
        <v>939</v>
      </c>
      <c r="E23" s="46" t="s">
        <v>935</v>
      </c>
      <c r="F23" s="46" t="s">
        <v>909</v>
      </c>
      <c r="G23" s="171">
        <v>1</v>
      </c>
      <c r="H23" s="181"/>
      <c r="I23" s="185">
        <v>26780</v>
      </c>
      <c r="J23" s="181"/>
    </row>
    <row r="24" spans="1:10" ht="20.100000000000001" customHeight="1" x14ac:dyDescent="0.4">
      <c r="A24" s="167">
        <f t="shared" si="0"/>
        <v>21</v>
      </c>
      <c r="B24" s="168">
        <v>46142</v>
      </c>
      <c r="C24" s="169" t="s">
        <v>938</v>
      </c>
      <c r="D24" s="170" t="s">
        <v>939</v>
      </c>
      <c r="E24" s="46" t="s">
        <v>936</v>
      </c>
      <c r="F24" s="46" t="s">
        <v>943</v>
      </c>
      <c r="G24" s="171">
        <v>1</v>
      </c>
      <c r="H24" s="181"/>
      <c r="I24" s="185">
        <v>40680</v>
      </c>
      <c r="J24" s="181"/>
    </row>
    <row r="25" spans="1:10" ht="20.100000000000001" customHeight="1" x14ac:dyDescent="0.4">
      <c r="A25" s="167">
        <f t="shared" si="0"/>
        <v>22</v>
      </c>
      <c r="B25" s="168">
        <v>46142</v>
      </c>
      <c r="C25" s="169" t="s">
        <v>938</v>
      </c>
      <c r="D25" s="170" t="s">
        <v>939</v>
      </c>
      <c r="E25" s="46" t="s">
        <v>953</v>
      </c>
      <c r="F25" s="46" t="s">
        <v>909</v>
      </c>
      <c r="G25" s="171">
        <v>1</v>
      </c>
      <c r="H25" s="181"/>
      <c r="I25" s="185">
        <v>38880</v>
      </c>
      <c r="J25" s="181"/>
    </row>
    <row r="26" spans="1:10" ht="20.100000000000001" customHeight="1" x14ac:dyDescent="0.4">
      <c r="A26" s="167">
        <f t="shared" si="0"/>
        <v>23</v>
      </c>
      <c r="B26" s="168">
        <v>46142</v>
      </c>
      <c r="C26" s="169" t="s">
        <v>938</v>
      </c>
      <c r="D26" s="170" t="s">
        <v>939</v>
      </c>
      <c r="E26" s="46" t="s">
        <v>954</v>
      </c>
      <c r="F26" s="46" t="s">
        <v>955</v>
      </c>
      <c r="G26" s="171">
        <v>1</v>
      </c>
      <c r="H26" s="181"/>
      <c r="I26" s="185">
        <v>16650</v>
      </c>
      <c r="J26" s="181"/>
    </row>
    <row r="27" spans="1:10" ht="20.100000000000001" customHeight="1" x14ac:dyDescent="0.4">
      <c r="A27" s="167">
        <f t="shared" si="0"/>
        <v>24</v>
      </c>
      <c r="B27" s="168">
        <v>46142</v>
      </c>
      <c r="C27" s="169" t="s">
        <v>938</v>
      </c>
      <c r="D27" s="170" t="s">
        <v>956</v>
      </c>
      <c r="E27" s="46" t="s">
        <v>940</v>
      </c>
      <c r="F27" s="46" t="s">
        <v>909</v>
      </c>
      <c r="G27" s="171">
        <v>1</v>
      </c>
      <c r="H27" s="181"/>
      <c r="I27" s="185">
        <v>102070</v>
      </c>
      <c r="J27" s="181"/>
    </row>
    <row r="28" spans="1:10" ht="20.100000000000001" customHeight="1" x14ac:dyDescent="0.4">
      <c r="A28" s="167">
        <f t="shared" si="0"/>
        <v>25</v>
      </c>
      <c r="B28" s="168">
        <v>46142</v>
      </c>
      <c r="C28" s="169" t="s">
        <v>938</v>
      </c>
      <c r="D28" s="170" t="s">
        <v>956</v>
      </c>
      <c r="E28" s="46" t="s">
        <v>941</v>
      </c>
      <c r="F28" s="46" t="s">
        <v>911</v>
      </c>
      <c r="G28" s="171">
        <v>1</v>
      </c>
      <c r="H28" s="181"/>
      <c r="I28" s="185">
        <v>127410</v>
      </c>
      <c r="J28" s="181"/>
    </row>
    <row r="29" spans="1:10" ht="20.100000000000001" customHeight="1" x14ac:dyDescent="0.4">
      <c r="A29" s="167">
        <f t="shared" si="0"/>
        <v>26</v>
      </c>
      <c r="B29" s="168">
        <v>46142</v>
      </c>
      <c r="C29" s="169" t="s">
        <v>938</v>
      </c>
      <c r="D29" s="170" t="s">
        <v>956</v>
      </c>
      <c r="E29" s="186" t="s">
        <v>942</v>
      </c>
      <c r="F29" s="46" t="s">
        <v>943</v>
      </c>
      <c r="G29" s="171">
        <v>1</v>
      </c>
      <c r="H29" s="181"/>
      <c r="I29" s="185">
        <v>128060</v>
      </c>
      <c r="J29" s="181"/>
    </row>
    <row r="30" spans="1:10" ht="20.100000000000001" customHeight="1" x14ac:dyDescent="0.4">
      <c r="A30" s="167">
        <f t="shared" si="0"/>
        <v>27</v>
      </c>
      <c r="B30" s="168">
        <v>46142</v>
      </c>
      <c r="C30" s="169" t="s">
        <v>938</v>
      </c>
      <c r="D30" s="170" t="s">
        <v>956</v>
      </c>
      <c r="E30" s="46" t="s">
        <v>944</v>
      </c>
      <c r="F30" s="46" t="s">
        <v>945</v>
      </c>
      <c r="G30" s="171">
        <v>1</v>
      </c>
      <c r="H30" s="181"/>
      <c r="I30" s="185">
        <v>154890</v>
      </c>
      <c r="J30" s="181"/>
    </row>
    <row r="31" spans="1:10" ht="20.100000000000001" customHeight="1" x14ac:dyDescent="0.4">
      <c r="A31" s="167">
        <f t="shared" si="0"/>
        <v>28</v>
      </c>
      <c r="B31" s="168">
        <v>46142</v>
      </c>
      <c r="C31" s="169" t="s">
        <v>938</v>
      </c>
      <c r="D31" s="170" t="s">
        <v>956</v>
      </c>
      <c r="E31" s="46" t="s">
        <v>946</v>
      </c>
      <c r="F31" s="46" t="s">
        <v>909</v>
      </c>
      <c r="G31" s="171">
        <v>1</v>
      </c>
      <c r="H31" s="181"/>
      <c r="I31" s="185">
        <v>167570</v>
      </c>
      <c r="J31" s="181"/>
    </row>
    <row r="32" spans="1:10" ht="20.100000000000001" customHeight="1" x14ac:dyDescent="0.4">
      <c r="A32" s="167">
        <f t="shared" si="0"/>
        <v>29</v>
      </c>
      <c r="B32" s="168">
        <v>46142</v>
      </c>
      <c r="C32" s="169" t="s">
        <v>938</v>
      </c>
      <c r="D32" s="170" t="s">
        <v>956</v>
      </c>
      <c r="E32" s="186" t="s">
        <v>947</v>
      </c>
      <c r="F32" s="46" t="s">
        <v>945</v>
      </c>
      <c r="G32" s="171">
        <v>1</v>
      </c>
      <c r="H32" s="181"/>
      <c r="I32" s="185">
        <v>155950</v>
      </c>
      <c r="J32" s="181"/>
    </row>
    <row r="33" spans="1:10" ht="20.100000000000001" customHeight="1" x14ac:dyDescent="0.4">
      <c r="A33" s="167">
        <f t="shared" si="0"/>
        <v>30</v>
      </c>
      <c r="B33" s="168">
        <v>46142</v>
      </c>
      <c r="C33" s="169" t="s">
        <v>938</v>
      </c>
      <c r="D33" s="170" t="s">
        <v>956</v>
      </c>
      <c r="E33" s="46" t="s">
        <v>947</v>
      </c>
      <c r="F33" s="46" t="s">
        <v>909</v>
      </c>
      <c r="G33" s="171">
        <v>1</v>
      </c>
      <c r="H33" s="181"/>
      <c r="I33" s="185">
        <v>199260</v>
      </c>
      <c r="J33" s="181"/>
    </row>
    <row r="34" spans="1:10" ht="20.100000000000001" customHeight="1" x14ac:dyDescent="0.4">
      <c r="A34" s="167">
        <f t="shared" si="0"/>
        <v>31</v>
      </c>
      <c r="B34" s="168">
        <v>46142</v>
      </c>
      <c r="C34" s="169" t="s">
        <v>938</v>
      </c>
      <c r="D34" s="170" t="s">
        <v>956</v>
      </c>
      <c r="E34" s="46" t="s">
        <v>948</v>
      </c>
      <c r="F34" s="46" t="s">
        <v>911</v>
      </c>
      <c r="G34" s="171">
        <v>1</v>
      </c>
      <c r="H34" s="181"/>
      <c r="I34" s="185">
        <v>151650</v>
      </c>
      <c r="J34" s="181"/>
    </row>
    <row r="35" spans="1:10" ht="20.100000000000001" customHeight="1" x14ac:dyDescent="0.4">
      <c r="A35" s="167">
        <f t="shared" si="0"/>
        <v>32</v>
      </c>
      <c r="B35" s="168">
        <v>46142</v>
      </c>
      <c r="C35" s="169" t="s">
        <v>938</v>
      </c>
      <c r="D35" s="170" t="s">
        <v>956</v>
      </c>
      <c r="E35" s="186" t="s">
        <v>949</v>
      </c>
      <c r="F35" s="46" t="s">
        <v>950</v>
      </c>
      <c r="G35" s="171">
        <v>1</v>
      </c>
      <c r="H35" s="181"/>
      <c r="I35" s="185">
        <v>94640</v>
      </c>
      <c r="J35" s="181"/>
    </row>
    <row r="36" spans="1:10" ht="20.100000000000001" customHeight="1" x14ac:dyDescent="0.4">
      <c r="A36" s="167">
        <f t="shared" si="0"/>
        <v>33</v>
      </c>
      <c r="B36" s="168">
        <v>46142</v>
      </c>
      <c r="C36" s="169" t="s">
        <v>938</v>
      </c>
      <c r="D36" s="170" t="s">
        <v>956</v>
      </c>
      <c r="E36" s="186" t="s">
        <v>951</v>
      </c>
      <c r="F36" s="46" t="s">
        <v>943</v>
      </c>
      <c r="G36" s="171">
        <v>1</v>
      </c>
      <c r="H36" s="181"/>
      <c r="I36" s="185">
        <v>70360</v>
      </c>
      <c r="J36" s="181"/>
    </row>
    <row r="37" spans="1:10" ht="20.100000000000001" customHeight="1" x14ac:dyDescent="0.4">
      <c r="A37" s="167">
        <f t="shared" si="0"/>
        <v>34</v>
      </c>
      <c r="B37" s="168">
        <v>46142</v>
      </c>
      <c r="C37" s="169" t="s">
        <v>938</v>
      </c>
      <c r="D37" s="170" t="s">
        <v>956</v>
      </c>
      <c r="E37" s="46" t="s">
        <v>952</v>
      </c>
      <c r="F37" s="46" t="s">
        <v>943</v>
      </c>
      <c r="G37" s="171">
        <v>1</v>
      </c>
      <c r="H37" s="181"/>
      <c r="I37" s="185">
        <v>36570</v>
      </c>
      <c r="J37" s="181"/>
    </row>
    <row r="38" spans="1:10" ht="20.100000000000001" customHeight="1" x14ac:dyDescent="0.4">
      <c r="A38" s="167">
        <f t="shared" si="0"/>
        <v>35</v>
      </c>
      <c r="B38" s="168">
        <v>46142</v>
      </c>
      <c r="C38" s="169" t="s">
        <v>938</v>
      </c>
      <c r="D38" s="170" t="s">
        <v>956</v>
      </c>
      <c r="E38" s="46" t="s">
        <v>925</v>
      </c>
      <c r="F38" s="46" t="s">
        <v>909</v>
      </c>
      <c r="G38" s="171">
        <v>1</v>
      </c>
      <c r="H38" s="181"/>
      <c r="I38" s="185">
        <v>123140</v>
      </c>
      <c r="J38" s="181"/>
    </row>
    <row r="39" spans="1:10" ht="20.100000000000001" customHeight="1" x14ac:dyDescent="0.4">
      <c r="A39" s="167">
        <f t="shared" si="0"/>
        <v>36</v>
      </c>
      <c r="B39" s="168">
        <v>46142</v>
      </c>
      <c r="C39" s="169" t="s">
        <v>938</v>
      </c>
      <c r="D39" s="170" t="s">
        <v>956</v>
      </c>
      <c r="E39" s="46" t="s">
        <v>925</v>
      </c>
      <c r="F39" s="46" t="s">
        <v>945</v>
      </c>
      <c r="G39" s="171">
        <v>1</v>
      </c>
      <c r="H39" s="181"/>
      <c r="I39" s="185">
        <v>109420</v>
      </c>
      <c r="J39" s="181"/>
    </row>
    <row r="40" spans="1:10" ht="20.100000000000001" customHeight="1" x14ac:dyDescent="0.4">
      <c r="A40" s="167">
        <f t="shared" si="0"/>
        <v>37</v>
      </c>
      <c r="B40" s="168">
        <v>46142</v>
      </c>
      <c r="C40" s="169" t="s">
        <v>938</v>
      </c>
      <c r="D40" s="170" t="s">
        <v>956</v>
      </c>
      <c r="E40" s="46" t="s">
        <v>925</v>
      </c>
      <c r="F40" s="46" t="s">
        <v>943</v>
      </c>
      <c r="G40" s="171">
        <v>1</v>
      </c>
      <c r="H40" s="181"/>
      <c r="I40" s="185">
        <v>75640</v>
      </c>
      <c r="J40" s="181"/>
    </row>
    <row r="41" spans="1:10" ht="20.100000000000001" customHeight="1" x14ac:dyDescent="0.4">
      <c r="A41" s="167">
        <f t="shared" si="0"/>
        <v>38</v>
      </c>
      <c r="B41" s="168">
        <v>46142</v>
      </c>
      <c r="C41" s="169" t="s">
        <v>938</v>
      </c>
      <c r="D41" s="170" t="s">
        <v>956</v>
      </c>
      <c r="E41" s="46" t="s">
        <v>929</v>
      </c>
      <c r="F41" s="46" t="s">
        <v>945</v>
      </c>
      <c r="G41" s="171">
        <v>1</v>
      </c>
      <c r="H41" s="181"/>
      <c r="I41" s="185">
        <v>210530</v>
      </c>
      <c r="J41" s="181"/>
    </row>
    <row r="42" spans="1:10" ht="20.100000000000001" customHeight="1" x14ac:dyDescent="0.4">
      <c r="A42" s="167">
        <f t="shared" si="0"/>
        <v>39</v>
      </c>
      <c r="B42" s="168">
        <v>46142</v>
      </c>
      <c r="C42" s="169" t="s">
        <v>938</v>
      </c>
      <c r="D42" s="170" t="s">
        <v>956</v>
      </c>
      <c r="E42" s="46" t="s">
        <v>930</v>
      </c>
      <c r="F42" s="46" t="s">
        <v>911</v>
      </c>
      <c r="G42" s="171">
        <v>1</v>
      </c>
      <c r="H42" s="181"/>
      <c r="I42" s="185">
        <v>71450</v>
      </c>
      <c r="J42" s="181"/>
    </row>
    <row r="43" spans="1:10" ht="20.100000000000001" customHeight="1" x14ac:dyDescent="0.4">
      <c r="A43" s="167">
        <f t="shared" si="0"/>
        <v>40</v>
      </c>
      <c r="B43" s="168">
        <v>46142</v>
      </c>
      <c r="C43" s="169" t="s">
        <v>938</v>
      </c>
      <c r="D43" s="170" t="s">
        <v>956</v>
      </c>
      <c r="E43" s="46" t="s">
        <v>932</v>
      </c>
      <c r="F43" s="46" t="s">
        <v>943</v>
      </c>
      <c r="G43" s="171">
        <v>1</v>
      </c>
      <c r="H43" s="181"/>
      <c r="I43" s="185">
        <v>127440</v>
      </c>
      <c r="J43" s="181"/>
    </row>
    <row r="44" spans="1:10" ht="20.100000000000001" customHeight="1" x14ac:dyDescent="0.4">
      <c r="A44" s="167">
        <f t="shared" si="0"/>
        <v>41</v>
      </c>
      <c r="B44" s="168">
        <v>46142</v>
      </c>
      <c r="C44" s="169" t="s">
        <v>938</v>
      </c>
      <c r="D44" s="170" t="s">
        <v>956</v>
      </c>
      <c r="E44" s="46" t="s">
        <v>933</v>
      </c>
      <c r="F44" s="46" t="s">
        <v>945</v>
      </c>
      <c r="G44" s="171">
        <v>1</v>
      </c>
      <c r="H44" s="181"/>
      <c r="I44" s="185">
        <v>118970</v>
      </c>
      <c r="J44" s="181"/>
    </row>
    <row r="45" spans="1:10" ht="20.100000000000001" customHeight="1" x14ac:dyDescent="0.4">
      <c r="A45" s="167">
        <f t="shared" si="0"/>
        <v>42</v>
      </c>
      <c r="B45" s="168">
        <v>46142</v>
      </c>
      <c r="C45" s="169" t="s">
        <v>938</v>
      </c>
      <c r="D45" s="170" t="s">
        <v>956</v>
      </c>
      <c r="E45" s="46" t="s">
        <v>934</v>
      </c>
      <c r="F45" s="46" t="s">
        <v>909</v>
      </c>
      <c r="G45" s="171">
        <v>1</v>
      </c>
      <c r="H45" s="181"/>
      <c r="I45" s="185">
        <v>112630</v>
      </c>
      <c r="J45" s="181"/>
    </row>
    <row r="46" spans="1:10" ht="20.100000000000001" customHeight="1" x14ac:dyDescent="0.4">
      <c r="A46" s="167">
        <f t="shared" si="0"/>
        <v>43</v>
      </c>
      <c r="B46" s="168">
        <v>46142</v>
      </c>
      <c r="C46" s="169" t="s">
        <v>938</v>
      </c>
      <c r="D46" s="170" t="s">
        <v>956</v>
      </c>
      <c r="E46" s="46" t="s">
        <v>935</v>
      </c>
      <c r="F46" s="46" t="s">
        <v>909</v>
      </c>
      <c r="G46" s="171">
        <v>1</v>
      </c>
      <c r="H46" s="181"/>
      <c r="I46" s="185">
        <v>169690</v>
      </c>
      <c r="J46" s="181"/>
    </row>
    <row r="47" spans="1:10" ht="20.100000000000001" customHeight="1" x14ac:dyDescent="0.4">
      <c r="A47" s="167">
        <f t="shared" si="0"/>
        <v>44</v>
      </c>
      <c r="B47" s="168">
        <v>46142</v>
      </c>
      <c r="C47" s="169" t="s">
        <v>938</v>
      </c>
      <c r="D47" s="170" t="s">
        <v>956</v>
      </c>
      <c r="E47" s="46" t="s">
        <v>936</v>
      </c>
      <c r="F47" s="46" t="s">
        <v>943</v>
      </c>
      <c r="G47" s="171">
        <v>1</v>
      </c>
      <c r="H47" s="181"/>
      <c r="I47" s="185">
        <v>155990</v>
      </c>
      <c r="J47" s="181"/>
    </row>
    <row r="48" spans="1:10" ht="20.100000000000001" customHeight="1" x14ac:dyDescent="0.4">
      <c r="A48" s="167">
        <f t="shared" si="0"/>
        <v>45</v>
      </c>
      <c r="B48" s="168">
        <v>46142</v>
      </c>
      <c r="C48" s="169" t="s">
        <v>938</v>
      </c>
      <c r="D48" s="170" t="s">
        <v>957</v>
      </c>
      <c r="E48" s="46" t="s">
        <v>953</v>
      </c>
      <c r="F48" s="46" t="s">
        <v>909</v>
      </c>
      <c r="G48" s="171">
        <v>1</v>
      </c>
      <c r="H48" s="181"/>
      <c r="I48" s="185">
        <v>253000</v>
      </c>
      <c r="J48" s="181"/>
    </row>
    <row r="49" spans="1:10" ht="20.100000000000001" customHeight="1" x14ac:dyDescent="0.4">
      <c r="A49" s="167">
        <f t="shared" si="0"/>
        <v>46</v>
      </c>
      <c r="B49" s="168">
        <v>46142</v>
      </c>
      <c r="C49" s="169" t="s">
        <v>938</v>
      </c>
      <c r="D49" s="170" t="s">
        <v>957</v>
      </c>
      <c r="E49" s="46" t="s">
        <v>954</v>
      </c>
      <c r="F49" s="46" t="s">
        <v>955</v>
      </c>
      <c r="G49" s="171">
        <v>1</v>
      </c>
      <c r="H49" s="181"/>
      <c r="I49" s="185">
        <v>73480</v>
      </c>
      <c r="J49" s="181"/>
    </row>
    <row r="50" spans="1:10" ht="20.100000000000001" customHeight="1" x14ac:dyDescent="0.4">
      <c r="A50" s="167">
        <f t="shared" si="0"/>
        <v>47</v>
      </c>
      <c r="B50" s="168">
        <v>46142</v>
      </c>
      <c r="C50" s="169" t="s">
        <v>938</v>
      </c>
      <c r="D50" s="170" t="s">
        <v>957</v>
      </c>
      <c r="E50" s="46" t="s">
        <v>940</v>
      </c>
      <c r="F50" s="46" t="s">
        <v>909</v>
      </c>
      <c r="G50" s="171">
        <v>1</v>
      </c>
      <c r="H50" s="181"/>
      <c r="I50" s="185">
        <v>27130</v>
      </c>
      <c r="J50" s="181"/>
    </row>
    <row r="51" spans="1:10" ht="20.100000000000001" customHeight="1" x14ac:dyDescent="0.4">
      <c r="A51" s="167">
        <f t="shared" si="0"/>
        <v>48</v>
      </c>
      <c r="B51" s="168">
        <v>46142</v>
      </c>
      <c r="C51" s="169" t="s">
        <v>938</v>
      </c>
      <c r="D51" s="170" t="s">
        <v>957</v>
      </c>
      <c r="E51" s="46" t="s">
        <v>941</v>
      </c>
      <c r="F51" s="46" t="s">
        <v>911</v>
      </c>
      <c r="G51" s="171">
        <v>1</v>
      </c>
      <c r="H51" s="181"/>
      <c r="I51" s="185">
        <v>30580</v>
      </c>
      <c r="J51" s="181"/>
    </row>
    <row r="52" spans="1:10" ht="20.100000000000001" customHeight="1" x14ac:dyDescent="0.4">
      <c r="A52" s="167">
        <f t="shared" si="0"/>
        <v>49</v>
      </c>
      <c r="B52" s="168">
        <v>46142</v>
      </c>
      <c r="C52" s="169" t="s">
        <v>938</v>
      </c>
      <c r="D52" s="170" t="s">
        <v>957</v>
      </c>
      <c r="E52" s="186" t="s">
        <v>942</v>
      </c>
      <c r="F52" s="46" t="s">
        <v>943</v>
      </c>
      <c r="G52" s="171">
        <v>1</v>
      </c>
      <c r="H52" s="181"/>
      <c r="I52" s="185">
        <v>27130</v>
      </c>
      <c r="J52" s="181"/>
    </row>
    <row r="53" spans="1:10" ht="20.100000000000001" customHeight="1" x14ac:dyDescent="0.4">
      <c r="A53" s="167">
        <f t="shared" si="0"/>
        <v>50</v>
      </c>
      <c r="B53" s="168">
        <v>46142</v>
      </c>
      <c r="C53" s="169" t="s">
        <v>938</v>
      </c>
      <c r="D53" s="170" t="s">
        <v>957</v>
      </c>
      <c r="E53" s="46" t="s">
        <v>944</v>
      </c>
      <c r="F53" s="46" t="s">
        <v>945</v>
      </c>
      <c r="G53" s="171">
        <v>1</v>
      </c>
      <c r="H53" s="181"/>
      <c r="I53" s="185">
        <v>28850</v>
      </c>
      <c r="J53" s="181"/>
    </row>
    <row r="54" spans="1:10" ht="20.100000000000001" customHeight="1" x14ac:dyDescent="0.4">
      <c r="A54" s="167">
        <f t="shared" si="0"/>
        <v>51</v>
      </c>
      <c r="B54" s="168">
        <v>46142</v>
      </c>
      <c r="C54" s="169" t="s">
        <v>938</v>
      </c>
      <c r="D54" s="170" t="s">
        <v>957</v>
      </c>
      <c r="E54" s="46" t="s">
        <v>946</v>
      </c>
      <c r="F54" s="46" t="s">
        <v>909</v>
      </c>
      <c r="G54" s="171">
        <v>1</v>
      </c>
      <c r="H54" s="181"/>
      <c r="I54" s="185">
        <v>37500</v>
      </c>
      <c r="J54" s="181"/>
    </row>
    <row r="55" spans="1:10" ht="20.100000000000001" customHeight="1" x14ac:dyDescent="0.4">
      <c r="A55" s="167">
        <f t="shared" si="0"/>
        <v>52</v>
      </c>
      <c r="B55" s="168">
        <v>46142</v>
      </c>
      <c r="C55" s="169" t="s">
        <v>938</v>
      </c>
      <c r="D55" s="170" t="s">
        <v>957</v>
      </c>
      <c r="E55" s="186" t="s">
        <v>947</v>
      </c>
      <c r="F55" s="46" t="s">
        <v>945</v>
      </c>
      <c r="G55" s="171">
        <v>1</v>
      </c>
      <c r="H55" s="181"/>
      <c r="I55" s="185">
        <v>42680</v>
      </c>
      <c r="J55" s="181"/>
    </row>
    <row r="56" spans="1:10" ht="20.100000000000001" customHeight="1" x14ac:dyDescent="0.4">
      <c r="A56" s="167">
        <f t="shared" si="0"/>
        <v>53</v>
      </c>
      <c r="B56" s="168">
        <v>46142</v>
      </c>
      <c r="C56" s="169" t="s">
        <v>938</v>
      </c>
      <c r="D56" s="170" t="s">
        <v>957</v>
      </c>
      <c r="E56" s="46" t="s">
        <v>947</v>
      </c>
      <c r="F56" s="46" t="s">
        <v>909</v>
      </c>
      <c r="G56" s="171">
        <v>1</v>
      </c>
      <c r="H56" s="181"/>
      <c r="I56" s="185">
        <v>40950</v>
      </c>
      <c r="J56" s="181"/>
    </row>
    <row r="57" spans="1:10" ht="20.100000000000001" customHeight="1" x14ac:dyDescent="0.4">
      <c r="A57" s="167">
        <f t="shared" si="0"/>
        <v>54</v>
      </c>
      <c r="B57" s="168">
        <v>46142</v>
      </c>
      <c r="C57" s="169" t="s">
        <v>938</v>
      </c>
      <c r="D57" s="170" t="s">
        <v>957</v>
      </c>
      <c r="E57" s="46" t="s">
        <v>948</v>
      </c>
      <c r="F57" s="46" t="s">
        <v>911</v>
      </c>
      <c r="G57" s="171">
        <v>1</v>
      </c>
      <c r="H57" s="181"/>
      <c r="I57" s="185">
        <v>25390</v>
      </c>
      <c r="J57" s="181"/>
    </row>
    <row r="58" spans="1:10" ht="20.100000000000001" customHeight="1" x14ac:dyDescent="0.4">
      <c r="A58" s="167">
        <f t="shared" si="0"/>
        <v>55</v>
      </c>
      <c r="B58" s="168">
        <v>46142</v>
      </c>
      <c r="C58" s="169" t="s">
        <v>938</v>
      </c>
      <c r="D58" s="170" t="s">
        <v>957</v>
      </c>
      <c r="E58" s="186" t="s">
        <v>949</v>
      </c>
      <c r="F58" s="46" t="s">
        <v>950</v>
      </c>
      <c r="G58" s="171">
        <v>1</v>
      </c>
      <c r="H58" s="181"/>
      <c r="I58" s="185">
        <v>18480</v>
      </c>
      <c r="J58" s="181"/>
    </row>
    <row r="59" spans="1:10" ht="20.100000000000001" customHeight="1" x14ac:dyDescent="0.4">
      <c r="A59" s="167">
        <f t="shared" si="0"/>
        <v>56</v>
      </c>
      <c r="B59" s="168">
        <v>46142</v>
      </c>
      <c r="C59" s="169" t="s">
        <v>938</v>
      </c>
      <c r="D59" s="170" t="s">
        <v>957</v>
      </c>
      <c r="E59" s="186" t="s">
        <v>951</v>
      </c>
      <c r="F59" s="46" t="s">
        <v>943</v>
      </c>
      <c r="G59" s="171">
        <v>1</v>
      </c>
      <c r="H59" s="181"/>
      <c r="I59" s="185">
        <v>9840</v>
      </c>
      <c r="J59" s="181"/>
    </row>
    <row r="60" spans="1:10" ht="20.100000000000001" customHeight="1" x14ac:dyDescent="0.4">
      <c r="A60" s="167">
        <f t="shared" si="0"/>
        <v>57</v>
      </c>
      <c r="B60" s="168">
        <v>46142</v>
      </c>
      <c r="C60" s="169" t="s">
        <v>938</v>
      </c>
      <c r="D60" s="170" t="s">
        <v>957</v>
      </c>
      <c r="E60" s="46" t="s">
        <v>952</v>
      </c>
      <c r="F60" s="46" t="s">
        <v>943</v>
      </c>
      <c r="G60" s="171">
        <v>1</v>
      </c>
      <c r="H60" s="181"/>
      <c r="I60" s="185">
        <v>15020</v>
      </c>
      <c r="J60" s="181"/>
    </row>
    <row r="61" spans="1:10" ht="20.100000000000001" customHeight="1" x14ac:dyDescent="0.4">
      <c r="A61" s="167">
        <f t="shared" si="0"/>
        <v>58</v>
      </c>
      <c r="B61" s="168">
        <v>46142</v>
      </c>
      <c r="C61" s="169" t="s">
        <v>938</v>
      </c>
      <c r="D61" s="170" t="s">
        <v>957</v>
      </c>
      <c r="E61" s="46" t="s">
        <v>925</v>
      </c>
      <c r="F61" s="46" t="s">
        <v>909</v>
      </c>
      <c r="G61" s="171">
        <v>1</v>
      </c>
      <c r="H61" s="181"/>
      <c r="I61" s="185">
        <v>42680</v>
      </c>
      <c r="J61" s="181"/>
    </row>
    <row r="62" spans="1:10" ht="20.100000000000001" customHeight="1" x14ac:dyDescent="0.4">
      <c r="A62" s="167">
        <f t="shared" si="0"/>
        <v>59</v>
      </c>
      <c r="B62" s="168">
        <v>46142</v>
      </c>
      <c r="C62" s="169" t="s">
        <v>938</v>
      </c>
      <c r="D62" s="170" t="s">
        <v>957</v>
      </c>
      <c r="E62" s="46" t="s">
        <v>925</v>
      </c>
      <c r="F62" s="46" t="s">
        <v>945</v>
      </c>
      <c r="G62" s="171">
        <v>1</v>
      </c>
      <c r="H62" s="181"/>
      <c r="I62" s="185">
        <v>54790</v>
      </c>
      <c r="J62" s="181"/>
    </row>
    <row r="63" spans="1:10" ht="20.100000000000001" customHeight="1" x14ac:dyDescent="0.4">
      <c r="A63" s="167">
        <f t="shared" si="0"/>
        <v>60</v>
      </c>
      <c r="B63" s="168">
        <v>46142</v>
      </c>
      <c r="C63" s="169" t="s">
        <v>938</v>
      </c>
      <c r="D63" s="170" t="s">
        <v>957</v>
      </c>
      <c r="E63" s="46" t="s">
        <v>925</v>
      </c>
      <c r="F63" s="46" t="s">
        <v>943</v>
      </c>
      <c r="G63" s="171">
        <v>1</v>
      </c>
      <c r="H63" s="181"/>
      <c r="I63" s="185">
        <v>18480</v>
      </c>
      <c r="J63" s="181"/>
    </row>
    <row r="64" spans="1:10" ht="20.100000000000001" customHeight="1" x14ac:dyDescent="0.4">
      <c r="A64" s="167">
        <f t="shared" si="0"/>
        <v>61</v>
      </c>
      <c r="B64" s="168">
        <v>46142</v>
      </c>
      <c r="C64" s="169" t="s">
        <v>938</v>
      </c>
      <c r="D64" s="170" t="s">
        <v>957</v>
      </c>
      <c r="E64" s="46" t="s">
        <v>929</v>
      </c>
      <c r="F64" s="46" t="s">
        <v>945</v>
      </c>
      <c r="G64" s="171">
        <v>1</v>
      </c>
      <c r="H64" s="181"/>
      <c r="I64" s="185">
        <v>28850</v>
      </c>
      <c r="J64" s="181"/>
    </row>
    <row r="65" spans="1:10" ht="20.100000000000001" customHeight="1" x14ac:dyDescent="0.4">
      <c r="A65" s="167">
        <f t="shared" si="0"/>
        <v>62</v>
      </c>
      <c r="B65" s="168">
        <v>46142</v>
      </c>
      <c r="C65" s="169" t="s">
        <v>938</v>
      </c>
      <c r="D65" s="170" t="s">
        <v>957</v>
      </c>
      <c r="E65" s="46" t="s">
        <v>930</v>
      </c>
      <c r="F65" s="46" t="s">
        <v>911</v>
      </c>
      <c r="G65" s="171">
        <v>1</v>
      </c>
      <c r="H65" s="181"/>
      <c r="I65" s="185">
        <v>28850</v>
      </c>
      <c r="J65" s="181"/>
    </row>
    <row r="66" spans="1:10" ht="20.100000000000001" customHeight="1" x14ac:dyDescent="0.4">
      <c r="A66" s="167">
        <f t="shared" si="0"/>
        <v>63</v>
      </c>
      <c r="B66" s="168">
        <v>46142</v>
      </c>
      <c r="C66" s="169" t="s">
        <v>938</v>
      </c>
      <c r="D66" s="170" t="s">
        <v>957</v>
      </c>
      <c r="E66" s="46" t="s">
        <v>932</v>
      </c>
      <c r="F66" s="46" t="s">
        <v>943</v>
      </c>
      <c r="G66" s="171">
        <v>1</v>
      </c>
      <c r="H66" s="181"/>
      <c r="I66" s="185">
        <v>32310</v>
      </c>
      <c r="J66" s="181"/>
    </row>
    <row r="67" spans="1:10" ht="20.100000000000001" customHeight="1" x14ac:dyDescent="0.4">
      <c r="A67" s="167">
        <f t="shared" si="0"/>
        <v>64</v>
      </c>
      <c r="B67" s="168">
        <v>46142</v>
      </c>
      <c r="C67" s="169" t="s">
        <v>938</v>
      </c>
      <c r="D67" s="170" t="s">
        <v>957</v>
      </c>
      <c r="E67" s="46" t="s">
        <v>933</v>
      </c>
      <c r="F67" s="46" t="s">
        <v>945</v>
      </c>
      <c r="G67" s="171">
        <v>1</v>
      </c>
      <c r="H67" s="181"/>
      <c r="I67" s="185">
        <v>46140</v>
      </c>
      <c r="J67" s="181"/>
    </row>
    <row r="68" spans="1:10" ht="20.100000000000001" customHeight="1" x14ac:dyDescent="0.4">
      <c r="A68" s="167">
        <f t="shared" ref="A68:A71" si="1">ROW()-3</f>
        <v>65</v>
      </c>
      <c r="B68" s="168">
        <v>46142</v>
      </c>
      <c r="C68" s="169" t="s">
        <v>938</v>
      </c>
      <c r="D68" s="170" t="s">
        <v>957</v>
      </c>
      <c r="E68" s="46" t="s">
        <v>934</v>
      </c>
      <c r="F68" s="46" t="s">
        <v>909</v>
      </c>
      <c r="G68" s="171">
        <v>1</v>
      </c>
      <c r="H68" s="181"/>
      <c r="I68" s="185">
        <v>30580</v>
      </c>
      <c r="J68" s="181"/>
    </row>
    <row r="69" spans="1:10" ht="20.100000000000001" customHeight="1" x14ac:dyDescent="0.4">
      <c r="A69" s="167">
        <f t="shared" si="1"/>
        <v>66</v>
      </c>
      <c r="B69" s="168">
        <v>46142</v>
      </c>
      <c r="C69" s="169" t="s">
        <v>938</v>
      </c>
      <c r="D69" s="170" t="s">
        <v>957</v>
      </c>
      <c r="E69" s="46" t="s">
        <v>935</v>
      </c>
      <c r="F69" s="46" t="s">
        <v>909</v>
      </c>
      <c r="G69" s="171">
        <v>1</v>
      </c>
      <c r="H69" s="181"/>
      <c r="I69" s="185">
        <v>37500</v>
      </c>
      <c r="J69" s="181"/>
    </row>
    <row r="70" spans="1:10" ht="20.100000000000001" customHeight="1" x14ac:dyDescent="0.4">
      <c r="A70" s="167">
        <f t="shared" si="1"/>
        <v>67</v>
      </c>
      <c r="B70" s="168">
        <v>46142</v>
      </c>
      <c r="C70" s="169" t="s">
        <v>938</v>
      </c>
      <c r="D70" s="170" t="s">
        <v>957</v>
      </c>
      <c r="E70" s="46" t="s">
        <v>936</v>
      </c>
      <c r="F70" s="46" t="s">
        <v>943</v>
      </c>
      <c r="G70" s="171">
        <v>1</v>
      </c>
      <c r="H70" s="181"/>
      <c r="I70" s="185">
        <v>28850</v>
      </c>
      <c r="J70" s="181"/>
    </row>
    <row r="71" spans="1:10" ht="20.100000000000001" customHeight="1" x14ac:dyDescent="0.4">
      <c r="A71" s="167">
        <f t="shared" si="1"/>
        <v>68</v>
      </c>
      <c r="B71" s="168">
        <v>46142</v>
      </c>
      <c r="C71" s="169" t="s">
        <v>938</v>
      </c>
      <c r="D71" s="170" t="s">
        <v>957</v>
      </c>
      <c r="E71" s="46" t="s">
        <v>953</v>
      </c>
      <c r="F71" s="46" t="s">
        <v>909</v>
      </c>
      <c r="G71" s="171">
        <v>1</v>
      </c>
      <c r="H71" s="181"/>
      <c r="I71" s="185">
        <v>11420</v>
      </c>
      <c r="J71" s="181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 E6">
    <cfRule type="expression" priority="21" stopIfTrue="1">
      <formula>AND(COUNTIF($E$6:$E$6, E4)+COUNTIF(#REF!, E4)+COUNTIF(#REF!, E4)&gt;1,NOT(ISBLANK(E4)))</formula>
    </cfRule>
  </conditionalFormatting>
  <conditionalFormatting sqref="E5">
    <cfRule type="duplicateValues" priority="22"/>
  </conditionalFormatting>
  <conditionalFormatting sqref="E7">
    <cfRule type="duplicateValues" priority="23"/>
  </conditionalFormatting>
  <conditionalFormatting sqref="E8">
    <cfRule type="duplicateValues" priority="20"/>
  </conditionalFormatting>
  <conditionalFormatting sqref="E14">
    <cfRule type="duplicateValues" priority="19"/>
  </conditionalFormatting>
  <conditionalFormatting sqref="E15">
    <cfRule type="duplicateValues" priority="18"/>
  </conditionalFormatting>
  <conditionalFormatting sqref="E25">
    <cfRule type="expression" priority="16" stopIfTrue="1">
      <formula>AND(COUNTIF($E$6:$E$6, E25)+COUNTIF(#REF!, E25)+COUNTIF(#REF!, E25)&gt;1,NOT(ISBLANK(E25)))</formula>
    </cfRule>
  </conditionalFormatting>
  <conditionalFormatting sqref="E26">
    <cfRule type="duplicateValues" priority="17"/>
  </conditionalFormatting>
  <conditionalFormatting sqref="E27 E29">
    <cfRule type="expression" priority="13" stopIfTrue="1">
      <formula>AND(COUNTIF($E$6:$E$6, E27)+COUNTIF(#REF!, E27)+COUNTIF(#REF!, E27)&gt;1,NOT(ISBLANK(E27)))</formula>
    </cfRule>
  </conditionalFormatting>
  <conditionalFormatting sqref="E28">
    <cfRule type="duplicateValues" priority="14"/>
  </conditionalFormatting>
  <conditionalFormatting sqref="E30">
    <cfRule type="duplicateValues" priority="15"/>
  </conditionalFormatting>
  <conditionalFormatting sqref="E31">
    <cfRule type="duplicateValues" priority="12"/>
  </conditionalFormatting>
  <conditionalFormatting sqref="E37">
    <cfRule type="duplicateValues" priority="11"/>
  </conditionalFormatting>
  <conditionalFormatting sqref="E38">
    <cfRule type="duplicateValues" priority="10"/>
  </conditionalFormatting>
  <conditionalFormatting sqref="E48">
    <cfRule type="expression" priority="8" stopIfTrue="1">
      <formula>AND(COUNTIF($E$6:$E$6, E48)+COUNTIF(#REF!, E48)+COUNTIF(#REF!, E48)&gt;1,NOT(ISBLANK(E48)))</formula>
    </cfRule>
  </conditionalFormatting>
  <conditionalFormatting sqref="E49">
    <cfRule type="duplicateValues" priority="9"/>
  </conditionalFormatting>
  <conditionalFormatting sqref="E50 E52">
    <cfRule type="expression" priority="5" stopIfTrue="1">
      <formula>AND(COUNTIF($E$6:$E$6, E50)+COUNTIF(#REF!, E50)+COUNTIF(#REF!, E50)&gt;1,NOT(ISBLANK(E50)))</formula>
    </cfRule>
  </conditionalFormatting>
  <conditionalFormatting sqref="E51">
    <cfRule type="duplicateValues" priority="6"/>
  </conditionalFormatting>
  <conditionalFormatting sqref="E53">
    <cfRule type="duplicateValues" priority="7"/>
  </conditionalFormatting>
  <conditionalFormatting sqref="E54">
    <cfRule type="duplicateValues" priority="4"/>
  </conditionalFormatting>
  <conditionalFormatting sqref="E60">
    <cfRule type="duplicateValues" priority="3"/>
  </conditionalFormatting>
  <conditionalFormatting sqref="E61">
    <cfRule type="duplicateValues" priority="2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J20" sqref="J20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42" t="s">
        <v>266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2" ht="24.9" customHeight="1" x14ac:dyDescent="0.4">
      <c r="A2" s="345" t="s">
        <v>267</v>
      </c>
      <c r="B2" s="345" t="s">
        <v>268</v>
      </c>
      <c r="C2" s="345" t="s">
        <v>110</v>
      </c>
      <c r="D2" s="345" t="s">
        <v>269</v>
      </c>
      <c r="E2" s="345" t="s">
        <v>270</v>
      </c>
      <c r="F2" s="345" t="s">
        <v>271</v>
      </c>
      <c r="G2" s="345" t="s">
        <v>272</v>
      </c>
      <c r="H2" s="345" t="s">
        <v>273</v>
      </c>
      <c r="I2" s="143" t="s">
        <v>274</v>
      </c>
      <c r="J2" s="345" t="s">
        <v>247</v>
      </c>
    </row>
    <row r="3" spans="1:12" ht="24.9" customHeight="1" x14ac:dyDescent="0.4">
      <c r="A3" s="345"/>
      <c r="B3" s="345"/>
      <c r="C3" s="345"/>
      <c r="D3" s="345"/>
      <c r="E3" s="345"/>
      <c r="F3" s="345"/>
      <c r="G3" s="345"/>
      <c r="H3" s="345"/>
      <c r="I3" s="144">
        <f>SUM(I4:I10)</f>
        <v>50484180</v>
      </c>
      <c r="J3" s="345"/>
      <c r="L3" s="145" t="s">
        <v>275</v>
      </c>
    </row>
    <row r="4" spans="1:12" ht="15" customHeight="1" x14ac:dyDescent="0.4">
      <c r="A4" s="156">
        <f>ROW()-3</f>
        <v>1</v>
      </c>
      <c r="B4" s="182">
        <v>46137</v>
      </c>
      <c r="C4" s="46" t="s">
        <v>958</v>
      </c>
      <c r="D4" s="46" t="s">
        <v>959</v>
      </c>
      <c r="E4" s="46" t="s">
        <v>960</v>
      </c>
      <c r="F4" s="46">
        <v>1</v>
      </c>
      <c r="G4" s="46"/>
      <c r="H4" s="184">
        <v>1675545</v>
      </c>
      <c r="I4" s="184">
        <f>F4*H4</f>
        <v>1675545</v>
      </c>
      <c r="J4" s="46" t="s">
        <v>249</v>
      </c>
      <c r="L4" s="146" t="s">
        <v>276</v>
      </c>
    </row>
    <row r="5" spans="1:12" ht="15" customHeight="1" x14ac:dyDescent="0.4">
      <c r="A5" s="156">
        <f>ROW()-3</f>
        <v>2</v>
      </c>
      <c r="B5" s="182">
        <v>46137</v>
      </c>
      <c r="C5" s="46" t="s">
        <v>958</v>
      </c>
      <c r="D5" s="46" t="s">
        <v>959</v>
      </c>
      <c r="E5" s="46" t="s">
        <v>961</v>
      </c>
      <c r="F5" s="46">
        <v>85</v>
      </c>
      <c r="G5" s="46"/>
      <c r="H5" s="184">
        <v>7000</v>
      </c>
      <c r="I5" s="184">
        <f t="shared" ref="I5:I11" si="0">F5*H5</f>
        <v>595000</v>
      </c>
      <c r="J5" s="46" t="s">
        <v>249</v>
      </c>
      <c r="L5" s="146" t="s">
        <v>277</v>
      </c>
    </row>
    <row r="6" spans="1:12" ht="15" customHeight="1" x14ac:dyDescent="0.4">
      <c r="A6" s="156">
        <f t="shared" ref="A6:A11" si="1">ROW()-3</f>
        <v>3</v>
      </c>
      <c r="B6" s="182">
        <v>46137</v>
      </c>
      <c r="C6" s="46" t="s">
        <v>958</v>
      </c>
      <c r="D6" s="46" t="s">
        <v>959</v>
      </c>
      <c r="E6" s="46" t="s">
        <v>962</v>
      </c>
      <c r="F6" s="46">
        <v>1</v>
      </c>
      <c r="G6" s="46"/>
      <c r="H6" s="184">
        <v>1464545</v>
      </c>
      <c r="I6" s="184">
        <f t="shared" si="0"/>
        <v>1464545</v>
      </c>
      <c r="J6" s="46" t="s">
        <v>249</v>
      </c>
      <c r="L6" s="146" t="s">
        <v>278</v>
      </c>
    </row>
    <row r="7" spans="1:12" ht="15" customHeight="1" x14ac:dyDescent="0.4">
      <c r="A7" s="156">
        <f t="shared" si="1"/>
        <v>4</v>
      </c>
      <c r="B7" s="182">
        <v>46137</v>
      </c>
      <c r="C7" s="46" t="s">
        <v>958</v>
      </c>
      <c r="D7" s="46" t="s">
        <v>959</v>
      </c>
      <c r="E7" s="46" t="s">
        <v>963</v>
      </c>
      <c r="F7" s="46">
        <v>6341</v>
      </c>
      <c r="G7" s="46"/>
      <c r="H7" s="184">
        <v>7000</v>
      </c>
      <c r="I7" s="184">
        <f t="shared" si="0"/>
        <v>44387000</v>
      </c>
      <c r="J7" s="46" t="s">
        <v>249</v>
      </c>
      <c r="L7" s="146" t="s">
        <v>279</v>
      </c>
    </row>
    <row r="8" spans="1:12" ht="15" customHeight="1" x14ac:dyDescent="0.4">
      <c r="A8" s="156">
        <f t="shared" si="1"/>
        <v>5</v>
      </c>
      <c r="B8" s="182">
        <v>46137</v>
      </c>
      <c r="C8" s="46" t="s">
        <v>958</v>
      </c>
      <c r="D8" s="46" t="s">
        <v>959</v>
      </c>
      <c r="E8" s="46" t="s">
        <v>964</v>
      </c>
      <c r="F8" s="46">
        <v>80</v>
      </c>
      <c r="G8" s="46"/>
      <c r="H8" s="184">
        <v>7000</v>
      </c>
      <c r="I8" s="184">
        <f t="shared" si="0"/>
        <v>560000</v>
      </c>
      <c r="J8" s="46" t="s">
        <v>249</v>
      </c>
      <c r="L8" s="147" t="s">
        <v>280</v>
      </c>
    </row>
    <row r="9" spans="1:12" ht="15" customHeight="1" x14ac:dyDescent="0.4">
      <c r="A9" s="156">
        <f t="shared" si="1"/>
        <v>6</v>
      </c>
      <c r="B9" s="182">
        <v>46137</v>
      </c>
      <c r="C9" s="46" t="s">
        <v>958</v>
      </c>
      <c r="D9" s="46" t="s">
        <v>959</v>
      </c>
      <c r="E9" s="46" t="s">
        <v>965</v>
      </c>
      <c r="F9" s="46">
        <v>1</v>
      </c>
      <c r="G9" s="46"/>
      <c r="H9" s="184">
        <v>1487545</v>
      </c>
      <c r="I9" s="184">
        <f t="shared" si="0"/>
        <v>1487545</v>
      </c>
      <c r="J9" s="46" t="s">
        <v>249</v>
      </c>
      <c r="L9" s="147" t="s">
        <v>281</v>
      </c>
    </row>
    <row r="10" spans="1:12" ht="15" customHeight="1" x14ac:dyDescent="0.4">
      <c r="A10" s="156">
        <f t="shared" si="1"/>
        <v>7</v>
      </c>
      <c r="B10" s="182">
        <v>46137</v>
      </c>
      <c r="C10" s="46" t="s">
        <v>958</v>
      </c>
      <c r="D10" s="46" t="s">
        <v>959</v>
      </c>
      <c r="E10" s="46" t="s">
        <v>966</v>
      </c>
      <c r="F10" s="46">
        <v>1</v>
      </c>
      <c r="G10" s="46"/>
      <c r="H10" s="184">
        <v>314545</v>
      </c>
      <c r="I10" s="184">
        <f t="shared" si="0"/>
        <v>314545</v>
      </c>
      <c r="J10" s="46" t="s">
        <v>249</v>
      </c>
      <c r="L10" s="147" t="s">
        <v>282</v>
      </c>
    </row>
    <row r="11" spans="1:12" ht="15" customHeight="1" x14ac:dyDescent="0.4">
      <c r="A11" s="156">
        <f t="shared" si="1"/>
        <v>8</v>
      </c>
      <c r="B11" s="182">
        <v>46142</v>
      </c>
      <c r="C11" s="46" t="s">
        <v>967</v>
      </c>
      <c r="D11" s="46"/>
      <c r="E11" s="46" t="s">
        <v>968</v>
      </c>
      <c r="F11" s="46">
        <v>1</v>
      </c>
      <c r="G11" s="46"/>
      <c r="H11" s="184">
        <v>2112545</v>
      </c>
      <c r="I11" s="184">
        <f t="shared" si="0"/>
        <v>2112545</v>
      </c>
      <c r="J11" s="46"/>
      <c r="L11" s="147" t="s">
        <v>283</v>
      </c>
    </row>
    <row r="12" spans="1:12" ht="15" customHeight="1" x14ac:dyDescent="0.4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L12" s="147"/>
    </row>
    <row r="13" spans="1:12" x14ac:dyDescent="0.4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L13" s="55" t="s">
        <v>284</v>
      </c>
    </row>
    <row r="14" spans="1:12" x14ac:dyDescent="0.4">
      <c r="D14" s="183"/>
    </row>
    <row r="15" spans="1:12" x14ac:dyDescent="0.4">
      <c r="D15" s="183"/>
    </row>
    <row r="16" spans="1:12" x14ac:dyDescent="0.4">
      <c r="D16" s="183"/>
    </row>
    <row r="17" spans="4:9" x14ac:dyDescent="0.4">
      <c r="D17" s="183"/>
      <c r="I17" s="178"/>
    </row>
    <row r="18" spans="4:9" x14ac:dyDescent="0.4">
      <c r="D18" s="183"/>
      <c r="I18" s="178"/>
    </row>
    <row r="19" spans="4:9" x14ac:dyDescent="0.4">
      <c r="D19" s="183"/>
    </row>
    <row r="20" spans="4:9" x14ac:dyDescent="0.4">
      <c r="D20" s="183"/>
    </row>
    <row r="21" spans="4:9" x14ac:dyDescent="0.4">
      <c r="D21" s="183"/>
    </row>
    <row r="22" spans="4:9" x14ac:dyDescent="0.4">
      <c r="D22" s="183"/>
    </row>
    <row r="23" spans="4:9" x14ac:dyDescent="0.4">
      <c r="D23" s="183"/>
    </row>
    <row r="24" spans="4:9" x14ac:dyDescent="0.4">
      <c r="D24" s="183"/>
    </row>
    <row r="25" spans="4:9" x14ac:dyDescent="0.4">
      <c r="D25" s="183"/>
    </row>
    <row r="26" spans="4:9" x14ac:dyDescent="0.4">
      <c r="D26" s="183"/>
    </row>
    <row r="27" spans="4:9" x14ac:dyDescent="0.4">
      <c r="D27" s="183"/>
    </row>
    <row r="28" spans="4:9" x14ac:dyDescent="0.4">
      <c r="D28" s="183"/>
    </row>
    <row r="29" spans="4:9" x14ac:dyDescent="0.4">
      <c r="D29" s="183"/>
    </row>
    <row r="30" spans="4:9" x14ac:dyDescent="0.4">
      <c r="D30" s="183"/>
    </row>
    <row r="31" spans="4:9" x14ac:dyDescent="0.4">
      <c r="D31" s="183"/>
    </row>
    <row r="32" spans="4:9" x14ac:dyDescent="0.4">
      <c r="D32" s="183"/>
    </row>
    <row r="33" spans="4:4" x14ac:dyDescent="0.4">
      <c r="D33" s="18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3"/>
  <sheetViews>
    <sheetView view="pageBreakPreview" zoomScale="85" zoomScaleNormal="100" zoomScaleSheetLayoutView="85" workbookViewId="0">
      <selection activeCell="H17" sqref="H17:H23"/>
    </sheetView>
  </sheetViews>
  <sheetFormatPr defaultRowHeight="17.399999999999999" x14ac:dyDescent="0.4"/>
  <cols>
    <col min="2" max="2" width="11.09765625" bestFit="1" customWidth="1"/>
    <col min="3" max="3" width="10.59765625" bestFit="1" customWidth="1"/>
    <col min="4" max="4" width="32.1992187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 x14ac:dyDescent="0.4">
      <c r="A1" s="346" t="s">
        <v>285</v>
      </c>
      <c r="B1" s="346"/>
      <c r="C1" s="346"/>
      <c r="D1" s="346"/>
      <c r="E1" s="346"/>
      <c r="F1" s="346"/>
      <c r="G1" s="346"/>
      <c r="H1" s="346"/>
      <c r="I1" s="346"/>
      <c r="J1" s="55"/>
      <c r="K1" s="55"/>
      <c r="L1" s="55"/>
    </row>
    <row r="2" spans="1:20" ht="24.9" customHeight="1" x14ac:dyDescent="0.4">
      <c r="A2" s="345" t="s">
        <v>286</v>
      </c>
      <c r="B2" s="347" t="s">
        <v>287</v>
      </c>
      <c r="C2" s="347" t="s">
        <v>288</v>
      </c>
      <c r="D2" s="348" t="s">
        <v>279</v>
      </c>
      <c r="E2" s="347" t="s">
        <v>280</v>
      </c>
      <c r="F2" s="347" t="s">
        <v>255</v>
      </c>
      <c r="G2" s="349" t="s">
        <v>289</v>
      </c>
      <c r="H2" s="148" t="s">
        <v>290</v>
      </c>
      <c r="I2" s="347" t="s">
        <v>291</v>
      </c>
      <c r="J2" s="55"/>
      <c r="K2" s="55"/>
      <c r="L2" s="55"/>
    </row>
    <row r="3" spans="1:20" ht="24.9" customHeight="1" x14ac:dyDescent="0.4">
      <c r="A3" s="345"/>
      <c r="B3" s="347"/>
      <c r="C3" s="347"/>
      <c r="D3" s="348"/>
      <c r="E3" s="347"/>
      <c r="F3" s="347"/>
      <c r="G3" s="349"/>
      <c r="H3" s="149">
        <f>SUM(H4:H23)</f>
        <v>3324027.2727272725</v>
      </c>
      <c r="I3" s="347"/>
      <c r="J3" s="55"/>
      <c r="K3" s="179" t="s">
        <v>248</v>
      </c>
      <c r="L3" s="147"/>
      <c r="M3" s="147"/>
      <c r="N3" s="147"/>
      <c r="O3" s="147"/>
      <c r="P3" s="147"/>
      <c r="Q3" s="147"/>
      <c r="R3" s="147"/>
      <c r="S3" s="147"/>
      <c r="T3" s="147"/>
    </row>
    <row r="4" spans="1:20" ht="15" customHeight="1" x14ac:dyDescent="0.4">
      <c r="A4" s="156">
        <f t="shared" ref="A4:A23" si="0">ROW()-3</f>
        <v>1</v>
      </c>
      <c r="B4" s="168">
        <v>46114</v>
      </c>
      <c r="C4" s="174" t="s">
        <v>969</v>
      </c>
      <c r="D4" s="174" t="s">
        <v>970</v>
      </c>
      <c r="E4" s="175" t="s">
        <v>971</v>
      </c>
      <c r="F4" s="174">
        <v>1</v>
      </c>
      <c r="G4" s="176">
        <v>63636.363636363632</v>
      </c>
      <c r="H4" s="176">
        <f>F4*G4</f>
        <v>63636.363636363632</v>
      </c>
      <c r="I4" s="184"/>
      <c r="J4" s="55"/>
      <c r="K4" s="146" t="s">
        <v>297</v>
      </c>
      <c r="L4" s="147"/>
      <c r="M4" s="147"/>
      <c r="N4" s="147"/>
      <c r="O4" s="147"/>
      <c r="P4" s="147"/>
      <c r="Q4" s="147"/>
      <c r="R4" s="147"/>
      <c r="S4" s="147"/>
      <c r="T4" s="147"/>
    </row>
    <row r="5" spans="1:20" ht="15" customHeight="1" x14ac:dyDescent="0.4">
      <c r="A5" s="156">
        <f t="shared" si="0"/>
        <v>2</v>
      </c>
      <c r="B5" s="168">
        <v>46118</v>
      </c>
      <c r="C5" s="174" t="s">
        <v>969</v>
      </c>
      <c r="D5" s="174" t="s">
        <v>970</v>
      </c>
      <c r="E5" s="175" t="s">
        <v>972</v>
      </c>
      <c r="F5" s="174">
        <v>1</v>
      </c>
      <c r="G5" s="176">
        <v>63636.363636363632</v>
      </c>
      <c r="H5" s="176">
        <f t="shared" ref="H5:H23" si="1">F5*G5</f>
        <v>63636.363636363632</v>
      </c>
      <c r="I5" s="184"/>
      <c r="J5" s="55"/>
      <c r="K5" s="146" t="s">
        <v>287</v>
      </c>
      <c r="L5" s="147"/>
      <c r="M5" s="147"/>
      <c r="N5" s="147"/>
      <c r="O5" s="147"/>
      <c r="P5" s="147"/>
      <c r="Q5" s="147"/>
      <c r="R5" s="147"/>
      <c r="S5" s="147"/>
      <c r="T5" s="147"/>
    </row>
    <row r="6" spans="1:20" ht="15" customHeight="1" x14ac:dyDescent="0.4">
      <c r="A6" s="156">
        <f t="shared" si="0"/>
        <v>3</v>
      </c>
      <c r="B6" s="168">
        <v>46120</v>
      </c>
      <c r="C6" s="174" t="s">
        <v>969</v>
      </c>
      <c r="D6" s="174" t="s">
        <v>970</v>
      </c>
      <c r="E6" s="175" t="s">
        <v>971</v>
      </c>
      <c r="F6" s="174">
        <v>1</v>
      </c>
      <c r="G6" s="176">
        <v>63636.363636363632</v>
      </c>
      <c r="H6" s="176">
        <f t="shared" si="1"/>
        <v>63636.363636363632</v>
      </c>
      <c r="I6" s="184"/>
      <c r="J6" s="55"/>
      <c r="K6" s="146" t="s">
        <v>251</v>
      </c>
      <c r="L6" s="147"/>
      <c r="M6" s="147"/>
      <c r="N6" s="147"/>
      <c r="O6" s="147"/>
      <c r="P6" s="147"/>
      <c r="Q6" s="147"/>
      <c r="R6" s="147"/>
      <c r="S6" s="147"/>
      <c r="T6" s="147"/>
    </row>
    <row r="7" spans="1:20" ht="15" customHeight="1" x14ac:dyDescent="0.4">
      <c r="A7" s="156">
        <f t="shared" si="0"/>
        <v>4</v>
      </c>
      <c r="B7" s="168">
        <v>46122</v>
      </c>
      <c r="C7" s="174" t="s">
        <v>969</v>
      </c>
      <c r="D7" s="174" t="s">
        <v>970</v>
      </c>
      <c r="E7" s="175" t="s">
        <v>971</v>
      </c>
      <c r="F7" s="174">
        <v>1</v>
      </c>
      <c r="G7" s="176">
        <v>63636.363636363632</v>
      </c>
      <c r="H7" s="176">
        <f>F7*G7</f>
        <v>63636.363636363632</v>
      </c>
      <c r="I7" s="184"/>
      <c r="J7" s="55"/>
      <c r="K7" s="146" t="s">
        <v>252</v>
      </c>
      <c r="L7" s="147"/>
      <c r="M7" s="147"/>
      <c r="N7" s="147"/>
      <c r="O7" s="147"/>
      <c r="P7" s="147"/>
      <c r="Q7" s="147"/>
      <c r="R7" s="147"/>
      <c r="S7" s="147"/>
      <c r="T7" s="147"/>
    </row>
    <row r="8" spans="1:20" ht="15" customHeight="1" x14ac:dyDescent="0.4">
      <c r="A8" s="156">
        <f t="shared" si="0"/>
        <v>5</v>
      </c>
      <c r="B8" s="168">
        <v>46122</v>
      </c>
      <c r="C8" s="174" t="s">
        <v>969</v>
      </c>
      <c r="D8" s="174" t="s">
        <v>970</v>
      </c>
      <c r="E8" s="175" t="s">
        <v>971</v>
      </c>
      <c r="F8" s="174">
        <v>1</v>
      </c>
      <c r="G8" s="176">
        <v>9090.9090909090901</v>
      </c>
      <c r="H8" s="176">
        <f>F8*G8</f>
        <v>9090.9090909090901</v>
      </c>
      <c r="I8" s="184"/>
      <c r="J8" s="55"/>
      <c r="K8" s="146" t="s">
        <v>298</v>
      </c>
      <c r="L8" s="147"/>
      <c r="M8" s="147"/>
      <c r="N8" s="147"/>
      <c r="O8" s="147"/>
      <c r="P8" s="147"/>
      <c r="Q8" s="147"/>
      <c r="R8" s="147"/>
      <c r="S8" s="147"/>
      <c r="T8" s="147"/>
    </row>
    <row r="9" spans="1:20" ht="15" customHeight="1" x14ac:dyDescent="0.4">
      <c r="A9" s="156">
        <f t="shared" si="0"/>
        <v>6</v>
      </c>
      <c r="B9" s="168">
        <v>46126</v>
      </c>
      <c r="C9" s="174" t="s">
        <v>969</v>
      </c>
      <c r="D9" s="174" t="s">
        <v>970</v>
      </c>
      <c r="E9" s="175" t="s">
        <v>973</v>
      </c>
      <c r="F9" s="174">
        <v>1</v>
      </c>
      <c r="G9" s="176">
        <v>63636.363636363632</v>
      </c>
      <c r="H9" s="176">
        <f>F9*G9</f>
        <v>63636.363636363632</v>
      </c>
      <c r="I9" s="184"/>
      <c r="J9" s="55"/>
      <c r="K9" s="147" t="s">
        <v>255</v>
      </c>
      <c r="L9" s="147"/>
      <c r="M9" s="147"/>
      <c r="N9" s="147"/>
      <c r="O9" s="147"/>
      <c r="P9" s="147"/>
      <c r="Q9" s="147"/>
      <c r="R9" s="147"/>
      <c r="S9" s="147"/>
      <c r="T9" s="147"/>
    </row>
    <row r="10" spans="1:20" ht="15" customHeight="1" x14ac:dyDescent="0.4">
      <c r="A10" s="156">
        <f t="shared" si="0"/>
        <v>7</v>
      </c>
      <c r="B10" s="168">
        <v>46128</v>
      </c>
      <c r="C10" s="174" t="s">
        <v>969</v>
      </c>
      <c r="D10" s="174" t="s">
        <v>970</v>
      </c>
      <c r="E10" s="175" t="s">
        <v>971</v>
      </c>
      <c r="F10" s="174">
        <v>1</v>
      </c>
      <c r="G10" s="176">
        <v>63636.363636363632</v>
      </c>
      <c r="H10" s="176">
        <f>F10*G10</f>
        <v>63636.363636363632</v>
      </c>
      <c r="I10" s="184"/>
      <c r="J10" s="55"/>
      <c r="K10" s="147" t="s">
        <v>289</v>
      </c>
      <c r="L10" s="180"/>
      <c r="M10" s="147"/>
      <c r="N10" s="147"/>
      <c r="O10" s="147"/>
      <c r="P10" s="147"/>
      <c r="Q10" s="147"/>
      <c r="R10" s="147"/>
      <c r="S10" s="147"/>
      <c r="T10" s="147"/>
    </row>
    <row r="11" spans="1:20" ht="15" customHeight="1" x14ac:dyDescent="0.4">
      <c r="A11" s="156">
        <f t="shared" si="0"/>
        <v>8</v>
      </c>
      <c r="B11" s="168">
        <v>46132</v>
      </c>
      <c r="C11" s="174" t="s">
        <v>969</v>
      </c>
      <c r="D11" s="174" t="s">
        <v>970</v>
      </c>
      <c r="E11" s="175" t="s">
        <v>972</v>
      </c>
      <c r="F11" s="174">
        <v>1</v>
      </c>
      <c r="G11" s="176">
        <v>63636.363636363632</v>
      </c>
      <c r="H11" s="176">
        <f t="shared" si="1"/>
        <v>63636.363636363632</v>
      </c>
      <c r="I11" s="184"/>
      <c r="J11" s="55"/>
      <c r="K11" s="147"/>
      <c r="L11" s="180"/>
      <c r="M11" s="147"/>
      <c r="N11" s="147"/>
      <c r="O11" s="147"/>
      <c r="P11" s="147"/>
      <c r="Q11" s="147"/>
      <c r="R11" s="147"/>
      <c r="S11" s="147"/>
      <c r="T11" s="147"/>
    </row>
    <row r="12" spans="1:20" ht="15" customHeight="1" x14ac:dyDescent="0.4">
      <c r="A12" s="156">
        <f t="shared" si="0"/>
        <v>9</v>
      </c>
      <c r="B12" s="168">
        <v>46134</v>
      </c>
      <c r="C12" s="174" t="s">
        <v>969</v>
      </c>
      <c r="D12" s="174" t="s">
        <v>970</v>
      </c>
      <c r="E12" s="175" t="s">
        <v>972</v>
      </c>
      <c r="F12" s="174">
        <v>1</v>
      </c>
      <c r="G12" s="176">
        <v>63636.363636363632</v>
      </c>
      <c r="H12" s="176">
        <f t="shared" si="1"/>
        <v>63636.363636363632</v>
      </c>
      <c r="I12" s="184"/>
      <c r="J12" s="55"/>
      <c r="K12" s="179" t="s">
        <v>308</v>
      </c>
      <c r="L12" s="180"/>
      <c r="M12" s="180"/>
      <c r="N12" s="180"/>
      <c r="O12" s="180"/>
      <c r="P12" s="180"/>
      <c r="Q12" s="180"/>
      <c r="R12" s="180"/>
      <c r="S12" s="180"/>
      <c r="T12" s="180"/>
    </row>
    <row r="13" spans="1:20" ht="15" customHeight="1" x14ac:dyDescent="0.4">
      <c r="A13" s="156">
        <f t="shared" si="0"/>
        <v>10</v>
      </c>
      <c r="B13" s="168">
        <v>46137</v>
      </c>
      <c r="C13" s="174" t="s">
        <v>969</v>
      </c>
      <c r="D13" s="174" t="s">
        <v>970</v>
      </c>
      <c r="E13" s="175" t="s">
        <v>972</v>
      </c>
      <c r="F13" s="174">
        <v>1</v>
      </c>
      <c r="G13" s="176">
        <v>63636.363636363632</v>
      </c>
      <c r="H13" s="176">
        <f t="shared" si="1"/>
        <v>63636.363636363632</v>
      </c>
      <c r="I13" s="184"/>
      <c r="J13" s="55"/>
      <c r="K13" s="55"/>
      <c r="L13" s="55"/>
    </row>
    <row r="14" spans="1:20" ht="15" customHeight="1" x14ac:dyDescent="0.4">
      <c r="A14" s="156">
        <f t="shared" si="0"/>
        <v>11</v>
      </c>
      <c r="B14" s="168">
        <v>46140</v>
      </c>
      <c r="C14" s="174" t="s">
        <v>969</v>
      </c>
      <c r="D14" s="174" t="s">
        <v>970</v>
      </c>
      <c r="E14" s="175" t="s">
        <v>972</v>
      </c>
      <c r="F14" s="174">
        <v>1</v>
      </c>
      <c r="G14" s="176">
        <v>63636.363636363632</v>
      </c>
      <c r="H14" s="176">
        <f t="shared" si="1"/>
        <v>63636.363636363632</v>
      </c>
      <c r="I14" s="184"/>
      <c r="J14" s="55"/>
      <c r="L14" s="55"/>
    </row>
    <row r="15" spans="1:20" ht="15" customHeight="1" x14ac:dyDescent="0.4">
      <c r="A15" s="156">
        <f t="shared" si="0"/>
        <v>12</v>
      </c>
      <c r="B15" s="168">
        <v>46129</v>
      </c>
      <c r="C15" s="174" t="s">
        <v>986</v>
      </c>
      <c r="D15" s="174" t="s">
        <v>974</v>
      </c>
      <c r="E15" s="175" t="s">
        <v>975</v>
      </c>
      <c r="F15" s="174">
        <v>1</v>
      </c>
      <c r="G15" s="176">
        <v>109999.99999999999</v>
      </c>
      <c r="H15" s="176">
        <f t="shared" si="1"/>
        <v>109999.99999999999</v>
      </c>
      <c r="I15" s="184"/>
      <c r="J15" s="55"/>
      <c r="L15" s="55"/>
    </row>
    <row r="16" spans="1:20" ht="15" customHeight="1" x14ac:dyDescent="0.4">
      <c r="A16" s="156">
        <f t="shared" si="0"/>
        <v>13</v>
      </c>
      <c r="B16" s="168">
        <v>46139</v>
      </c>
      <c r="C16" s="174" t="s">
        <v>986</v>
      </c>
      <c r="D16" s="174" t="s">
        <v>976</v>
      </c>
      <c r="E16" s="175" t="s">
        <v>975</v>
      </c>
      <c r="F16" s="174">
        <v>1</v>
      </c>
      <c r="G16" s="176">
        <v>1981818.1818181816</v>
      </c>
      <c r="H16" s="176">
        <f t="shared" si="1"/>
        <v>1981818.1818181816</v>
      </c>
      <c r="I16" s="184"/>
      <c r="J16" s="55"/>
      <c r="L16" s="55"/>
    </row>
    <row r="17" spans="1:12" ht="15" customHeight="1" x14ac:dyDescent="0.4">
      <c r="A17" s="156">
        <f t="shared" si="0"/>
        <v>14</v>
      </c>
      <c r="B17" s="168">
        <v>46136</v>
      </c>
      <c r="C17" s="174" t="s">
        <v>986</v>
      </c>
      <c r="D17" s="174" t="s">
        <v>977</v>
      </c>
      <c r="E17" s="175" t="s">
        <v>978</v>
      </c>
      <c r="F17" s="174">
        <v>4</v>
      </c>
      <c r="G17" s="176">
        <v>91124.999999999985</v>
      </c>
      <c r="H17" s="176">
        <f t="shared" si="1"/>
        <v>364499.99999999994</v>
      </c>
      <c r="I17" s="184"/>
      <c r="J17" s="55"/>
      <c r="L17" s="55"/>
    </row>
    <row r="18" spans="1:12" ht="15" customHeight="1" x14ac:dyDescent="0.4">
      <c r="A18" s="156">
        <f t="shared" si="0"/>
        <v>15</v>
      </c>
      <c r="B18" s="168">
        <v>46121</v>
      </c>
      <c r="C18" s="174" t="s">
        <v>986</v>
      </c>
      <c r="D18" s="174" t="s">
        <v>979</v>
      </c>
      <c r="E18" s="175" t="s">
        <v>904</v>
      </c>
      <c r="F18" s="174">
        <v>24</v>
      </c>
      <c r="G18" s="176">
        <v>727.27272727272714</v>
      </c>
      <c r="H18" s="176">
        <f t="shared" si="1"/>
        <v>17454.545454545452</v>
      </c>
      <c r="I18" s="184"/>
      <c r="J18" s="55"/>
      <c r="L18" s="55"/>
    </row>
    <row r="19" spans="1:12" ht="15" customHeight="1" x14ac:dyDescent="0.4">
      <c r="A19" s="156">
        <f t="shared" si="0"/>
        <v>16</v>
      </c>
      <c r="B19" s="168">
        <v>46121</v>
      </c>
      <c r="C19" s="174" t="s">
        <v>986</v>
      </c>
      <c r="D19" s="174" t="s">
        <v>980</v>
      </c>
      <c r="E19" s="175" t="s">
        <v>904</v>
      </c>
      <c r="F19" s="174">
        <v>24</v>
      </c>
      <c r="G19" s="176">
        <v>348.48484848484844</v>
      </c>
      <c r="H19" s="176">
        <f t="shared" si="1"/>
        <v>8363.6363636363621</v>
      </c>
      <c r="I19" s="184"/>
      <c r="J19" s="55"/>
      <c r="L19" s="55"/>
    </row>
    <row r="20" spans="1:12" ht="15" customHeight="1" x14ac:dyDescent="0.4">
      <c r="A20" s="156">
        <f t="shared" si="0"/>
        <v>17</v>
      </c>
      <c r="B20" s="168">
        <v>46125</v>
      </c>
      <c r="C20" s="174" t="s">
        <v>986</v>
      </c>
      <c r="D20" s="174" t="s">
        <v>981</v>
      </c>
      <c r="E20" s="175" t="s">
        <v>904</v>
      </c>
      <c r="F20" s="174">
        <v>6</v>
      </c>
      <c r="G20" s="176">
        <v>13545.454545454544</v>
      </c>
      <c r="H20" s="176">
        <f t="shared" si="1"/>
        <v>81272.727272727265</v>
      </c>
      <c r="I20" s="184"/>
      <c r="J20" s="55"/>
      <c r="K20" s="177"/>
      <c r="L20" s="178"/>
    </row>
    <row r="21" spans="1:12" ht="15" customHeight="1" x14ac:dyDescent="0.4">
      <c r="A21" s="156">
        <f t="shared" si="0"/>
        <v>18</v>
      </c>
      <c r="B21" s="168">
        <v>46125</v>
      </c>
      <c r="C21" s="174" t="s">
        <v>986</v>
      </c>
      <c r="D21" s="174" t="s">
        <v>982</v>
      </c>
      <c r="E21" s="175" t="s">
        <v>904</v>
      </c>
      <c r="F21" s="174">
        <v>24</v>
      </c>
      <c r="G21" s="176">
        <v>713.63636363636351</v>
      </c>
      <c r="H21" s="176">
        <f t="shared" si="1"/>
        <v>17127.272727272724</v>
      </c>
      <c r="I21" s="184"/>
      <c r="K21" s="177"/>
      <c r="L21" s="178"/>
    </row>
    <row r="22" spans="1:12" ht="15" customHeight="1" x14ac:dyDescent="0.4">
      <c r="A22" s="156">
        <f t="shared" si="0"/>
        <v>19</v>
      </c>
      <c r="B22" s="168">
        <v>46135</v>
      </c>
      <c r="C22" s="174" t="s">
        <v>986</v>
      </c>
      <c r="D22" s="174" t="s">
        <v>979</v>
      </c>
      <c r="E22" s="175" t="s">
        <v>904</v>
      </c>
      <c r="F22" s="174">
        <v>24</v>
      </c>
      <c r="G22" s="176">
        <v>493.93939393939394</v>
      </c>
      <c r="H22" s="176">
        <f t="shared" si="1"/>
        <v>11854.545454545454</v>
      </c>
      <c r="I22" s="184"/>
      <c r="K22" s="177"/>
      <c r="L22" s="178"/>
    </row>
    <row r="23" spans="1:12" ht="15" customHeight="1" x14ac:dyDescent="0.4">
      <c r="A23" s="156">
        <f t="shared" si="0"/>
        <v>20</v>
      </c>
      <c r="B23" s="168">
        <v>46140</v>
      </c>
      <c r="C23" s="174" t="s">
        <v>987</v>
      </c>
      <c r="D23" s="174" t="s">
        <v>983</v>
      </c>
      <c r="E23" s="175" t="s">
        <v>904</v>
      </c>
      <c r="F23" s="174">
        <v>2</v>
      </c>
      <c r="G23" s="176">
        <v>43090.909090909088</v>
      </c>
      <c r="H23" s="176">
        <f t="shared" si="1"/>
        <v>86181.818181818177</v>
      </c>
      <c r="I23" s="184"/>
      <c r="K23" s="177"/>
      <c r="L23" s="178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50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51"/>
      <c r="C3" s="38" t="s">
        <v>38</v>
      </c>
      <c r="D3" s="38"/>
      <c r="E3" s="38" t="s">
        <v>40</v>
      </c>
    </row>
    <row r="4" spans="2:18" ht="30" customHeight="1" x14ac:dyDescent="0.4">
      <c r="B4" s="351"/>
      <c r="C4" s="38" t="s">
        <v>39</v>
      </c>
      <c r="D4" s="38"/>
      <c r="E4" s="38" t="s">
        <v>40</v>
      </c>
    </row>
    <row r="6" spans="2:18" ht="48.9" customHeight="1" x14ac:dyDescent="0.4">
      <c r="G6" s="350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350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52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53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54" t="s">
        <v>55</v>
      </c>
      <c r="C3" s="355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10</vt:i4>
      </vt:variant>
    </vt:vector>
  </HeadingPairs>
  <TitlesOfParts>
    <vt:vector size="25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(04월)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2026-05-06T23:47:28Z</cp:lastPrinted>
  <dcterms:created xsi:type="dcterms:W3CDTF">2025-09-12T00:04:15Z</dcterms:created>
  <dcterms:modified xsi:type="dcterms:W3CDTF">2026-05-07T07:16:57Z</dcterms:modified>
</cp:coreProperties>
</file>