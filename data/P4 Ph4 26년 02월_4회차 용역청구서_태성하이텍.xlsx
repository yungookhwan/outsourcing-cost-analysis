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2월\S25-004\"/>
    </mc:Choice>
  </mc:AlternateContent>
  <xr:revisionPtr revIDLastSave="0" documentId="13_ncr:1_{107D1FB5-6640-4282-9176-1DFA6E266738}" xr6:coauthVersionLast="36" xr6:coauthVersionMax="47" xr10:uidLastSave="{00000000-0000-0000-0000-000000000000}"/>
  <bookViews>
    <workbookView xWindow="28680" yWindow="-120" windowWidth="29040" windowHeight="15720" tabRatio="964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02월)" sheetId="8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hidden="1">'[5]0226'!#REF!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>#REF!</definedName>
    <definedName name="_1p11_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[6]고정1!$A$146:$L$188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[6]고정1!$A$191:$L$233</definedName>
    <definedName name="_5_401K">#REF!</definedName>
    <definedName name="_50">#N/A</definedName>
    <definedName name="_51">#N/A</definedName>
    <definedName name="_52">#N/A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'[8]F4-F7'!#REF!</definedName>
    <definedName name="_Fill" hidden="1">#N/A</definedName>
    <definedName name="_xlnm._FilterDatabase" localSheetId="8" hidden="1">배관기자재!$A$2:$J$18</definedName>
    <definedName name="_xlnm._FilterDatabase" localSheetId="7" hidden="1">용접기자재!$A$2:$J$3</definedName>
    <definedName name="_xlnm._FilterDatabase" hidden="1">#REF!</definedName>
    <definedName name="_k" hidden="1">[9]프랜트면허!#REF!</definedName>
    <definedName name="_Key1" hidden="1">#REF!</definedName>
    <definedName name="_Key2" hidden="1">#N/A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7">'[7]118.세금과공과'!$A$46:$H$60</definedName>
    <definedName name="_Parse_In" hidden="1">[10]PriceSummary!#REF!</definedName>
    <definedName name="_Parse_Out" hidden="1">#N/A</definedName>
    <definedName name="_PH1">#REF!</definedName>
    <definedName name="_PP1">#REF!</definedName>
    <definedName name="_QQ12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[9]토목주소!#REF!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>#REF!</definedName>
    <definedName name="\e">#N/A</definedName>
    <definedName name="\F">#REF!</definedName>
    <definedName name="\g">#N/A</definedName>
    <definedName name="\H">#REF!</definedName>
    <definedName name="\j">#N/A</definedName>
    <definedName name="\k">#REF!</definedName>
    <definedName name="\l">#REF!</definedName>
    <definedName name="\m">[11]매출원가_회사제시!#REF!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#N/A</definedName>
    <definedName name="\t">#REF!</definedName>
    <definedName name="\u">#N/A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[12]현재!#REF!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>[0]!BlankMacro1</definedName>
    <definedName name="AAA">[0]!BlankMacro1</definedName>
    <definedName name="AAAAA">[0]!BlankMacro1</definedName>
    <definedName name="AAAAAAAA">[0]!BlankMacro1</definedName>
    <definedName name="AAAAS" hidden="1">{#N/A,#N/A,FALSE,"정공"}</definedName>
    <definedName name="AAAWERT">[0]!BlankMacro1</definedName>
    <definedName name="abc">[0]!BlankMacro1</definedName>
    <definedName name="ABCDEF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>#REF!</definedName>
    <definedName name="acct_reg">#REF!</definedName>
    <definedName name="ACDA" hidden="1">#N/A</definedName>
    <definedName name="Acount">[14]Configuration!$M$3</definedName>
    <definedName name="ACPERD">[14]Configuration!#REF!</definedName>
    <definedName name="ADC" hidden="1">#N/A</definedName>
    <definedName name="adv">#REF!</definedName>
    <definedName name="adv_board">#REF!</definedName>
    <definedName name="all">#REF!</definedName>
    <definedName name="AOCNFTHSDLR" hidden="1">{#N/A,#N/A,FALSE,"정공"}</definedName>
    <definedName name="AREA0002" hidden="1">#N/A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hidden="1">{#N/A,#N/A,FALSE,"정공"}</definedName>
    <definedName name="asdfg">[0]!BlankMacro1</definedName>
    <definedName name="ass" hidden="1">#N/A</definedName>
    <definedName name="aut">#REF!</definedName>
    <definedName name="AV">#REF!</definedName>
    <definedName name="Avg.__calls_per_user">[15]Assumptions!#REF!</definedName>
    <definedName name="AWLBSRTDK">#REF!</definedName>
    <definedName name="axcdf" hidden="1">{#N/A,#N/A,FALSE,"정공"}</definedName>
    <definedName name="Aㅁ1505">#REF!</definedName>
    <definedName name="B">[16]BM_NEW2!#REF!</definedName>
    <definedName name="BALWOL">[14]DATA!$BF$1:$BF$970</definedName>
    <definedName name="BASE">#REF!</definedName>
    <definedName name="BASE_열">#REF!</definedName>
    <definedName name="bb">[0]!BlankMacro1</definedName>
    <definedName name="bbb">[0]!BlankMacro1</definedName>
    <definedName name="Bcount">[14]Configuration!$M$4</definedName>
    <definedName name="bcrclcl100rt">'[17]9-1차이내역'!#REF!</definedName>
    <definedName name="bcrclcl100rtrkrk">'[17]9-1차이내역'!#REF!</definedName>
    <definedName name="benef_tot">#REF!</definedName>
    <definedName name="Benefit_sub">#REF!</definedName>
    <definedName name="beta">#REF!</definedName>
    <definedName name="betas">#REF!</definedName>
    <definedName name="BG_Del">15</definedName>
    <definedName name="BG_Ins">4</definedName>
    <definedName name="BG_Mod">6</definedName>
    <definedName name="BMI_CARD68926.">#REF!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[15]Assumptions!#REF!</definedName>
    <definedName name="Calls_per_Month__estimated">[15]Assumptions!#REF!</definedName>
    <definedName name="CC">#REF!</definedName>
    <definedName name="ccc" hidden="1">{#N/A,#N/A,FALSE,"정공"}</definedName>
    <definedName name="CCCC">[0]!BlankMacro1</definedName>
    <definedName name="CD">#REF!</definedName>
    <definedName name="Cday">[14]Configuration!$K$2</definedName>
    <definedName name="CHDDOR">#REF!</definedName>
    <definedName name="CHK">[14]JournalSummary!#REF!</definedName>
    <definedName name="cho">[0]!BlankMacro1</definedName>
    <definedName name="Churn_Rate_of_New_Users">[15]Assumptions!#REF!</definedName>
    <definedName name="CKFKFL">[0]!BlankMacro1</definedName>
    <definedName name="Client">#REF!</definedName>
    <definedName name="CLIENT_NAME">#REF!</definedName>
    <definedName name="CM">#REF!</definedName>
    <definedName name="CMO">[18]F9804!$A$3:$K$6641</definedName>
    <definedName name="Cmonth">[14]Configuration!$I$2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>#REF!</definedName>
    <definedName name="CONC">#N/A</definedName>
    <definedName name="COND_D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[14]DATA!$AP$1:$AP$950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[14]Configuration!$H$2</definedName>
    <definedName name="d">[19]뒤차축소!$G$380:$S$381</definedName>
    <definedName name="DANGA">#REF!,#REF!</definedName>
    <definedName name="datab">[20]고정자산원본!$A$1:$S$236</definedName>
    <definedName name="DATABAS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>#REF!</definedName>
    <definedName name="DD">#REF!</definedName>
    <definedName name="ddd">#REF!</definedName>
    <definedName name="DDDD">[0]!BlankMacro1</definedName>
    <definedName name="DDDDFGH">[0]!BlankMacro1</definedName>
    <definedName name="dddfg" hidden="1">{#N/A,#N/A,FALSE,"정공"}</definedName>
    <definedName name="dek">#REF!</definedName>
    <definedName name="dfdfdfd">[0]!BlankMacro1</definedName>
    <definedName name="DJHD">BlankMacro1</definedName>
    <definedName name="DJQAN">[0]!BlankMacro1</definedName>
    <definedName name="DR">[14]DATA!$AA$1:$AA$950</definedName>
    <definedName name="drsg">#REF!</definedName>
    <definedName name="DWGL_AREA">#REF!</definedName>
    <definedName name="E">#REF!</definedName>
    <definedName name="E5625RTDK">#REF!</definedName>
    <definedName name="edgh">#REF!</definedName>
    <definedName name="edtgh">#REF!</definedName>
    <definedName name="EEEEEE">[0]!BlankMacro1</definedName>
    <definedName name="EK" hidden="1">#N/A</definedName>
    <definedName name="ENCOST">#N/A</definedName>
    <definedName name="EOCK">'[21]118.세금과공과'!#REF!</definedName>
    <definedName name="EQPT_Rate">#REF!</definedName>
    <definedName name="er">#REF!</definedName>
    <definedName name="Exchange_Rate">#REF!</definedName>
    <definedName name="EXE">#N/A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EXPAC">[14]WorkFile!#REF!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>[0]!BlankMacro1</definedName>
    <definedName name="FFFFFWRRQW">#REF!</definedName>
    <definedName name="FG22TBTB3RTDKDKDK">[22]차수!#REF!</definedName>
    <definedName name="FG46TBTB4RTDKDK">#REF!</definedName>
    <definedName name="fgfgggg">[0]!BlankMacro1</definedName>
    <definedName name="FOR">#N/A</definedName>
    <definedName name="fy">#REF!</definedName>
    <definedName name="g">[0]!BlankMacro1</definedName>
    <definedName name="gbe">[0]!BlankMacro1</definedName>
    <definedName name="GCONS">#REF!</definedName>
    <definedName name="GEMCO" hidden="1">#REF!</definedName>
    <definedName name="GG">#REF!</definedName>
    <definedName name="GONGJONG">#REF!</definedName>
    <definedName name="GRDS">#REF!</definedName>
    <definedName name="greg">[0]!BlankMacro1</definedName>
    <definedName name="grg">[0]!BlankMacro1</definedName>
    <definedName name="gt">[0]!BlankMacro1</definedName>
    <definedName name="gtr">[0]!BlankMacro1</definedName>
    <definedName name="H">#REF!</definedName>
    <definedName name="h.sys">#REF!</definedName>
    <definedName name="han" hidden="1">#REF!</definedName>
    <definedName name="hardwar" hidden="1">#REF!</definedName>
    <definedName name="HEADER">#REF!</definedName>
    <definedName name="HIGH" hidden="1">[23]FAB별!#REF!</definedName>
    <definedName name="HIP6400KA___91428_53429">#REF!</definedName>
    <definedName name="hrg">[0]!BlankMacro1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[11]매출원가_회사제시!#REF!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>#REF!</definedName>
    <definedName name="ir_d3">#REF!</definedName>
    <definedName name="it_new">#REF!</definedName>
    <definedName name="it_reg">#REF!</definedName>
    <definedName name="J">#REF!</definedName>
    <definedName name="jj">[0]!BlankMacro1</definedName>
    <definedName name="JJJ">#REF!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>[0]!BlankMacro1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>#REF!</definedName>
    <definedName name="mm">#REF!</definedName>
    <definedName name="MONEY">#REF!,#REF!</definedName>
    <definedName name="MOTOR">#REF!</definedName>
    <definedName name="MRB">[0]!BlankMacro1</definedName>
    <definedName name="MZ">#REF!</definedName>
    <definedName name="n">[0]!BlankMacro1</definedName>
    <definedName name="NAK">#N/A</definedName>
    <definedName name="NAME">#N/A</definedName>
    <definedName name="nbg">[0]!BlankMacro1</definedName>
    <definedName name="nego2">#REF!</definedName>
    <definedName name="New_Users">[15]Assumptions!#REF!</definedName>
    <definedName name="NUMBER">#REF!</definedName>
    <definedName name="OFFER" hidden="1">#N/A</definedName>
    <definedName name="ooo">#REF!</definedName>
    <definedName name="Other_sub">#REF!</definedName>
    <definedName name="other_tot">#REF!</definedName>
    <definedName name="Out_of_Scope">#REF!</definedName>
    <definedName name="OUTPUT">#REF!</definedName>
    <definedName name="P">[16]BM_NEW2!#REF!</definedName>
    <definedName name="Period_Const">#REF!</definedName>
    <definedName name="PERIOD_END">#REF!</definedName>
    <definedName name="PHOTO" hidden="1">[24]FAB별!#REF!</definedName>
    <definedName name="pihkj">#REF!</definedName>
    <definedName name="PIPE40">#REF!</definedName>
    <definedName name="PJT">#N/A</definedName>
    <definedName name="PL">[25]현재!#REF!</definedName>
    <definedName name="PPK" hidden="1">{#N/A,#N/A,FALSE,"96 3월물량표";#N/A,#N/A,FALSE,"96 4월물량표";#N/A,#N/A,FALSE,"96 5월물량표"}</definedName>
    <definedName name="PPP">#REF!</definedName>
    <definedName name="prcs1" hidden="1">{#N/A,#N/A,FALSE,"정공"}</definedName>
    <definedName name="PREPARED_BY">#REF!</definedName>
    <definedName name="PREPARED_DATE">#REF!</definedName>
    <definedName name="Print">#REF!</definedName>
    <definedName name="_xlnm.Print_Area" localSheetId="12">기타비용!$A$1:$I$24</definedName>
    <definedName name="_xlnm.Print_Area" localSheetId="8">배관기자재!$A$1:$J$80</definedName>
    <definedName name="_xlnm.Print_Area" localSheetId="10">숙소관리비!$A$1:$J$66</definedName>
    <definedName name="_xlnm.Print_Area" localSheetId="9">숙소임차료!$A$1:$J$26</definedName>
    <definedName name="_xlnm.Print_Area" localSheetId="11">식대비용!$A$1:$J$12</definedName>
    <definedName name="_xlnm.Print_Area" localSheetId="1">'용역 청구서(갑지)'!$A$1:$L$26</definedName>
    <definedName name="_xlnm.Print_Area" localSheetId="7">용접기자재!$A$1:$J$10</definedName>
    <definedName name="_xlnm.Print_Area">#REF!</definedName>
    <definedName name="Print_Area_MI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[27]부문손익!$D$7:$L$33</definedName>
    <definedName name="q1u">#REF!</definedName>
    <definedName name="QLQL">#REF!</definedName>
    <definedName name="qq" hidden="1">{#N/A,#N/A,FALSE,"정공"}</definedName>
    <definedName name="QQQ">[0]!BlankMacro1</definedName>
    <definedName name="Query3">'[28]10월상품입고'!$A$1:$D$55</definedName>
    <definedName name="qwe" hidden="1">#N/A</definedName>
    <definedName name="_xlnm.Recorder">#REF!</definedName>
    <definedName name="REFER_AREA">#REF!</definedName>
    <definedName name="reg">[0]!BlankMacro1</definedName>
    <definedName name="REM">#N/A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[29]BM_NEW2!#REF!</definedName>
    <definedName name="rkdjf">[0]!BlankMacro1</definedName>
    <definedName name="rkdrmsqo">[0]!BlankMacro1</definedName>
    <definedName name="rlr">#REF!</definedName>
    <definedName name="round">#REF!</definedName>
    <definedName name="rrr">[0]!BlankMacro1</definedName>
    <definedName name="RRRRRRR">[0]!BlankMacro1</definedName>
    <definedName name="s">[0]!BlankMacro1</definedName>
    <definedName name="SAC">[14]JournalSummary!$I$6:$I$394</definedName>
    <definedName name="SBL">[14]JournalSummary!$D$6:$D$394</definedName>
    <definedName name="SCODE">#REF!</definedName>
    <definedName name="SD">#REF!</definedName>
    <definedName name="SDASDASDA" hidden="1">#REF!</definedName>
    <definedName name="SDF" hidden="1">[30]CTEMCOST!#REF!</definedName>
    <definedName name="SEJIN">[0]!BlankMacro1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emp" hidden="1">{"'Break down'!$A$4"}</definedName>
    <definedName name="TEST0">#REF!</definedName>
    <definedName name="TESTHKEY">[1]원본!#REF!</definedName>
    <definedName name="TESTKEYS">#REF!</definedName>
    <definedName name="TESTVKEY">[1]원본!#REF!</definedName>
    <definedName name="TextRefCopyRangeCount">1</definedName>
    <definedName name="THEME2" hidden="1">{#N/A,#N/A,FALSE,"96 3월물량표";#N/A,#N/A,FALSE,"96 4월물량표";#N/A,#N/A,FALSE,"96 5월물량표"}</definedName>
    <definedName name="TIT">#REF!</definedName>
    <definedName name="TK">[0]!BlankMacro1</definedName>
    <definedName name="TNSQJS">#REF!</definedName>
    <definedName name="TON_TRT_FR">#REF!</definedName>
    <definedName name="TOO">#N/A</definedName>
    <definedName name="total">[0]!BlankMacro1</definedName>
    <definedName name="Total_Floor_Area">#REF!</definedName>
    <definedName name="Total_sub">#REF!</definedName>
    <definedName name="Total_Users">[15]Assumptions!#REF!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>[0]!BlankMacro1</definedName>
    <definedName name="UPW할증">#REF!</definedName>
    <definedName name="VVV">#REF!</definedName>
    <definedName name="w">[0]!BlankMacro1</definedName>
    <definedName name="wc">'[31]시산표(매출조정전)'!#REF!</definedName>
    <definedName name="wd">#REF!</definedName>
    <definedName name="wessdd">#REF!</definedName>
    <definedName name="WKSEKFMZM">[0]!BlankMacro1</definedName>
    <definedName name="wl">#REF!</definedName>
    <definedName name="workcomp">#REF!</definedName>
    <definedName name="wrn.345." hidden="1">{#N/A,#N/A,FALSE,"96 3월물량표";#N/A,#N/A,FALSE,"96 4월물량표";#N/A,#N/A,FALSE,"96 5월물량표"}</definedName>
    <definedName name="wrn.test." hidden="1">{#N/A,#N/A,FALSE,"Tower &amp; Car Park"}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hidden="1">{#N/A,#N/A,FALSE,"사업총괄";#N/A,#N/A,FALSE,"장비사업";#N/A,#N/A,FALSE,"철구사업";#N/A,#N/A,FALSE,"준설사업"}</definedName>
    <definedName name="wrn.교육청." hidden="1">{#N/A,#N/A,FALSE,"전력간선"}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hidden="1">{#N/A,#N/A,FALSE,"견적조건";#N/A,#N/A,FALSE,"산출근거"}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>[0]!BlankMacro1</definedName>
    <definedName name="XDDXX">[0]!BlankMacro1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>#REF!</definedName>
    <definedName name="YE">#N/A</definedName>
    <definedName name="YEAREND">#REF!</definedName>
    <definedName name="YEKA">#N/A</definedName>
    <definedName name="YYYYYYYYY">[0]!BlankMacro1</definedName>
    <definedName name="z">#REF!</definedName>
    <definedName name="ZXCV">[0]!BlankMacro1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hidden="1">{#N/A,#N/A,FALSE,"현장 NCR 분석";#N/A,#N/A,FALSE,"현장품질감사";#N/A,#N/A,FALSE,"현장품질감사"}</definedName>
    <definedName name="가">#REF!</definedName>
    <definedName name="가1" hidden="1">{#N/A,#N/A,TRUE,"Y생산";#N/A,#N/A,TRUE,"Y판매";#N/A,#N/A,TRUE,"Y총물량";#N/A,#N/A,TRUE,"Y능력";#N/A,#N/A,TRUE,"YKD"}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>[0]!BlankMacro1</definedName>
    <definedName name="간지">BlankMacro1</definedName>
    <definedName name="감나무">#REF!</definedName>
    <definedName name="갑근세">#REF!</definedName>
    <definedName name="갑지">#REF!</definedName>
    <definedName name="강">[0]!BlankMacro1</definedName>
    <definedName name="강현구">#REF!</definedName>
    <definedName name="개나리">#REF!</definedName>
    <definedName name="개요" hidden="1">[32]기안!#REF!</definedName>
    <definedName name="개요1" hidden="1">[32]기안!#REF!</definedName>
    <definedName name="개요2" hidden="1">[33]개산공사비!#REF!</definedName>
    <definedName name="갤로" hidden="1">{#N/A,#N/A,FALSE,"정공"}</definedName>
    <definedName name="거리">#REF!</definedName>
    <definedName name="검ㄴ" hidden="1">{#N/A,#N/A,FALSE,"이정표"}</definedName>
    <definedName name="견적">#REF!</definedName>
    <definedName name="견적2">#REF!</definedName>
    <definedName name="견적2001">#REF!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>BlankMacro1</definedName>
    <definedName name="결사명세">#REF!</definedName>
    <definedName name="경리손익" hidden="1">{#N/A,#N/A,FALSE,"정공"}</definedName>
    <definedName name="경비">[34]수입2!#REF!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'[35]24.보증금(전신전화가입권)'!#REF!</definedName>
    <definedName name="計定明細.書2.B">'[35]24.보증금(전신전화가입권)'!#REF!</definedName>
    <definedName name="計定明細.書2.D">'[35]24.보증금(전신전화가입권)'!#REF!</definedName>
    <definedName name="계획" hidden="1">{#N/A,#N/A,FALSE,"정공"}</definedName>
    <definedName name="계획2" hidden="1">{#N/A,#N/A,FALSE,"정공"}</definedName>
    <definedName name="고">[0]!BlankMacro1</definedName>
    <definedName name="고용보험료율">#REF!</definedName>
    <definedName name="곤ㅇ" hidden="1">{#N/A,#N/A,FALSE,"전력간선"}</definedName>
    <definedName name="골조사이클" hidden="1">'[3]입찰내역 발주처 양식'!#REF!</definedName>
    <definedName name="곰" hidden="1">{#N/A,#N/A,FALSE,"구조1"}</definedName>
    <definedName name="공___종">#REF!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hidden="1">{#N/A,#N/A,FALSE,"정공"}</definedName>
    <definedName name="공용">#REF!</definedName>
    <definedName name="공일">#REF!</definedName>
    <definedName name="공정">[0]!BlankMacro1</definedName>
    <definedName name="공정1">[0]!BlankMacro1</definedName>
    <definedName name="공정2">[0]!BlankMacro1</definedName>
    <definedName name="공정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>BlankMacro1</definedName>
    <definedName name="구분1">BlankMacro1</definedName>
    <definedName name="구조물공" hidden="1">{#N/A,#N/A,FALSE,"이정표"}</definedName>
    <definedName name="국가명">#REF!</definedName>
    <definedName name="국내abs">#REF!</definedName>
    <definedName name="국어">#REF!</definedName>
    <definedName name="국퇴전">'[36]25.보증금(임차보증금외)'!$A$2:$D$30</definedName>
    <definedName name="권">[0]!BlankMacro1</definedName>
    <definedName name="궘규한">[0]!BlankMacro1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hidden="1">{"'별표'!$N$220"}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>BlankMacro1</definedName>
    <definedName name="기관명">#REF!</definedName>
    <definedName name="기명기">'[37]24.보증금(전신전화가입권)'!#REF!</definedName>
    <definedName name="기술">#REF!</definedName>
    <definedName name="기아모텍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[38]대비!#REF!</definedName>
    <definedName name="김상구">[0]!BlankMacro1</definedName>
    <definedName name="꽃창포">#REF!</definedName>
    <definedName name="꽃향유">#REF!</definedName>
    <definedName name="ㄴ">[0]!BlankMacro1</definedName>
    <definedName name="ㄴㄴ">#REF!</definedName>
    <definedName name="ㄴㄴㄴ">#REF!</definedName>
    <definedName name="ㄴㄴㄴㄴㄴ" hidden="1">{"'별표'!$N$220"}</definedName>
    <definedName name="ㄴㄺㄷ" hidden="1">{#N/A,#N/A,FALSE,"현장 NCR 분석";#N/A,#N/A,FALSE,"현장품질감사";#N/A,#N/A,FALSE,"현장품질감사"}</definedName>
    <definedName name="ㄴㅁㅇㄻㄴㅇㄹ" hidden="1">[30]CTEMCOST!#REF!</definedName>
    <definedName name="ㄴㅇ">#REF!</definedName>
    <definedName name="ㄴㅇㄴㄹㅇㄴㅁ" hidden="1">#REF!</definedName>
    <definedName name="ㄴㅇㄹ" hidden="1">{#N/A,#N/A,FALSE,"전력간선"}</definedName>
    <definedName name="ㄴㅇ란ㅇ">[0]!BlankMacro1</definedName>
    <definedName name="ㄴㅇㅀㅁㅇㅎㄴㅇㅁㅀㅇㅀㄴㅇㅀ" hidden="1">{#N/A,#N/A,FALSE,"정공"}</definedName>
    <definedName name="ㄴㅇㅎ">[0]!BlankMacro1</definedName>
    <definedName name="나.">#REF!</definedName>
    <definedName name="나라사랑" hidden="1">{#N/A,#N/A,FALSE,"정공"}</definedName>
    <definedName name="나무라오" hidden="1">{#N/A,#N/A,FALSE,"정공"}</definedName>
    <definedName name="나오시오">[0]!BlankMacro1</definedName>
    <definedName name="난데어이">[0]!BlankMacro1</definedName>
    <definedName name="남덕">BlankMacro1</definedName>
    <definedName name="남덕1">BlankMacro1</definedName>
    <definedName name="남의나라" hidden="1">{#N/A,#N/A,FALSE,"정공"}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년___월___일_까지">[7]수선비!#REF!</definedName>
    <definedName name="노무">#REF!</definedName>
    <definedName name="노무단가할증">#REF!</definedName>
    <definedName name="노무비총액">#REF!</definedName>
    <definedName name="노무수량할증">#REF!</definedName>
    <definedName name="노임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>[0]!BlankMacro1</definedName>
    <definedName name="ㄷ">[0]!BlankMacro1</definedName>
    <definedName name="ㄷㄱ" hidden="1">{#N/A,#N/A,FALSE,"포장2"}</definedName>
    <definedName name="ㄷㄷ">BlankMacro1</definedName>
    <definedName name="ㄷㄷㄷㄷ">[0]!BlankMacro1</definedName>
    <definedName name="ㄷㄷㄷㄷㄷ">[0]!BlankMacro1</definedName>
    <definedName name="ㄷㅇ">#REF!</definedName>
    <definedName name="ㄷㅌㅇㅇ">[0]!BlankMacro1</definedName>
    <definedName name="다.">#REF!</definedName>
    <definedName name="다나가라" hidden="1">{#N/A,#N/A,FALSE,"정공"}</definedName>
    <definedName name="다니오오">[0]!BlankMacro1</definedName>
    <definedName name="다다" hidden="1">{#N/A,#N/A,FALSE,"정공"}</definedName>
    <definedName name="다다익선" hidden="1">{#N/A,#N/A,FALSE,"정공"}</definedName>
    <definedName name="다닫이">[0]!BlankMacro1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[39]배서어음명세서!$A$2:$F$31</definedName>
    <definedName name="단말기" hidden="1">{#N/A,#N/A,FALSE,"정공"}</definedName>
    <definedName name="단말기번호" hidden="1">{#N/A,#N/A,FALSE,"정공"}</definedName>
    <definedName name="단아라">[0]!BlankMacro1</definedName>
    <definedName name="단아리다">[0]!BlankMacro1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>#REF!</definedName>
    <definedName name="당초기준손이" hidden="1">{#N/A,#N/A,FALSE,"정공"}</definedName>
    <definedName name="당초부대공계">#REF!</definedName>
    <definedName name="당초손익표" hidden="1">{#N/A,#N/A,FALSE,"정공"}</definedName>
    <definedName name="당초토공계">#REF!</definedName>
    <definedName name="당초포장공계">#REF!</definedName>
    <definedName name="대" hidden="1">'[41]#REF'!$A$45:$A$73</definedName>
    <definedName name="대경갑지">#REF!</definedName>
    <definedName name="대나무">#REF!</definedName>
    <definedName name="대리님" hidden="1">{#N/A,#N/A,FALSE,"정공"}</definedName>
    <definedName name="대변합계">#REF!</definedName>
    <definedName name="대비">#REF!</definedName>
    <definedName name="대상시트" hidden="1">{#N/A,#N/A,FALSE,"정공"}</definedName>
    <definedName name="대표회의" hidden="1">{#N/A,#N/A,FALSE,"현장 NCR 분석";#N/A,#N/A,FALSE,"현장품질감사";#N/A,#N/A,FALSE,"현장품질감사"}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hidden="1">{#N/A,#N/A,FALSE,"정공"}</definedName>
    <definedName name="따">BlankMacro1</definedName>
    <definedName name="ㄹ">#REF!</definedName>
    <definedName name="ㄹ2">#REF!</definedName>
    <definedName name="ㄹㄹㄹ" hidden="1">#N/A</definedName>
    <definedName name="ㄹㅇㅎㄴㅇ">[0]!BlankMacro1</definedName>
    <definedName name="란다리아" hidden="1">{#N/A,#N/A,FALSE,"정공"}</definedName>
    <definedName name="레180">#REF!</definedName>
    <definedName name="레210">#REF!</definedName>
    <definedName name="로6">[0]!BlankMacro1</definedName>
    <definedName name="ㄻ" hidden="1">{#N/A,#N/A,FALSE,"포장2"}</definedName>
    <definedName name="ㅀ">#REF!</definedName>
    <definedName name="ㅀㅇ">[0]!BlankMacro1</definedName>
    <definedName name="ㅁ">[0]!BlankMacro1</definedName>
    <definedName name="ㅁ1">#REF!</definedName>
    <definedName name="ㅁ1180">#REF!</definedName>
    <definedName name="ㅁ139">#REF!</definedName>
    <definedName name="ㅁ1510.">#REF!</definedName>
    <definedName name="ㅁ169">[42]승용!#REF!</definedName>
    <definedName name="ㅁ2923">#REF!</definedName>
    <definedName name="ㅁㄴ">#REF!</definedName>
    <definedName name="ㅁㄴㄴ">[0]!BlankMacro1</definedName>
    <definedName name="ㅁㄴㅇㄻㄴ" hidden="1">[43]금융비용!#REF!</definedName>
    <definedName name="ㅁㅁㅁ">[0]!BlankMacro1</definedName>
    <definedName name="ㅁㅁㅁㅁ">[0]!BlankMacro1</definedName>
    <definedName name="ㅁㅁㅁㅁㅁ">[0]!BlankMacro1</definedName>
    <definedName name="ㅁㅁㅁㅁㅁㅁ" hidden="1">#REF!</definedName>
    <definedName name="ㅁㅈㄷ" hidden="1">{#N/A,#N/A,FALSE,"배수1"}</definedName>
    <definedName name="마감" hidden="1">{#N/A,#N/A,FALSE,"견적조건";#N/A,#N/A,FALSE,"산출근거"}</definedName>
    <definedName name="마나맘">[0]!BlankMacro1</definedName>
    <definedName name="마라앙">[0]!BlankMacro1</definedName>
    <definedName name="마마보이" hidden="1">{#N/A,#N/A,FALSE,"정공"}</definedName>
    <definedName name="만나리아">[0]!BlankMacro1</definedName>
    <definedName name="만다라">[0]!BlankMacro1</definedName>
    <definedName name="만아오오">[0]!BlankMacro1</definedName>
    <definedName name="맘모스">[0]!BlankMacro1</definedName>
    <definedName name="매출">#REF!</definedName>
    <definedName name="매출기준" hidden="1">{#N/A,#N/A,FALSE,"정공"}</definedName>
    <definedName name="매출손익" hidden="1">{#N/A,#N/A,FALSE,"정공"}</definedName>
    <definedName name="매출손익계산">[0]!BlankMacro1</definedName>
    <definedName name="매출이익율">[0]!BlankMacro1</definedName>
    <definedName name="매출전환손익" hidden="1">{#N/A,#N/A,FALSE,"정공"}</definedName>
    <definedName name="매출채권">#REF!</definedName>
    <definedName name="매출추1" hidden="1">{#N/A,#N/A,FALSE,"정공"}</definedName>
    <definedName name="매출추정" hidden="1">{#N/A,#N/A,FALSE,"정공"}</definedName>
    <definedName name="맥문동">#REF!</definedName>
    <definedName name="면제부다오">[0]!BlankMacro1</definedName>
    <definedName name="명칭">#REF!</definedName>
    <definedName name="모과나무">#REF!</definedName>
    <definedName name="모나리자아" hidden="1">{#N/A,#N/A,FALSE,"정공"}</definedName>
    <definedName name="목백합">#REF!</definedName>
    <definedName name="목적">[0]!BlankMacro1</definedName>
    <definedName name="목차도" hidden="1">{#N/A,#N/A,FALSE,"정공"}</definedName>
    <definedName name="몰라" hidden="1">{#N/A,#N/A,FALSE,"정공"}</definedName>
    <definedName name="무궁화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hidden="1">{#N/A,#N/A,FALSE,"정공"}</definedName>
    <definedName name="미석" hidden="1">{#N/A,#N/A,FALSE,"정공"}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hidden="1">{#N/A,#N/A,TRUE,"Y생산";#N/A,#N/A,TRUE,"Y판매";#N/A,#N/A,TRUE,"Y총물량";#N/A,#N/A,TRUE,"Y능력";#N/A,#N/A,TRUE,"YKD"}</definedName>
    <definedName name="ㅂㅁ">#REF!</definedName>
    <definedName name="ㅂㅂ">[39]배서어음명세서!$A$34:$F$55</definedName>
    <definedName name="ㅂㅂㅂㅂ">[0]!BlankMacro1</definedName>
    <definedName name="ㅂㅈㄷㄱ" hidden="1">{#N/A,#N/A,FALSE,"현장 NCR 분석";#N/A,#N/A,FALSE,"현장품질감사";#N/A,#N/A,FALSE,"현장품질감사"}</definedName>
    <definedName name="바다나라">[0]!BlankMacro1</definedName>
    <definedName name="바랑라" hidden="1">{#N/A,#N/A,FALSE,"정공"}</definedName>
    <definedName name="바보" hidden="1">{#N/A,#N/A,FALSE,"정공"}</definedName>
    <definedName name="바보상자" hidden="1">{#N/A,#N/A,FALSE,"정공"}</definedName>
    <definedName name="박재규">[0]!BlankMacro1</definedName>
    <definedName name="박태기">#REF!</definedName>
    <definedName name="반출0507">[44]BM_NEW2!#REF!</definedName>
    <definedName name="방송">#REF!</definedName>
    <definedName name="방수">#REF!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hidden="1">{#N/A,#N/A,FALSE,"부대1"}</definedName>
    <definedName name="변간접노무비">#REF!</definedName>
    <definedName name="변경개요" hidden="1">[33]개산공사비!#REF!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[45]개산공사비!#REF!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>#REF!</definedName>
    <definedName name="보통">#REF!</definedName>
    <definedName name="보통인부">#REF!</definedName>
    <definedName name="복ㅇ" hidden="1">{#N/A,#N/A,FALSE,"부대2"}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>#REF!</definedName>
    <definedName name="부가가치세">#REF!</definedName>
    <definedName name="부손익" hidden="1">{#N/A,#N/A,FALSE,"현장 NCR 분석";#N/A,#N/A,FALSE,"현장품질감사";#N/A,#N/A,FALSE,"현장품질감사"}</definedName>
    <definedName name="부자지">[0]!BlankMacro1</definedName>
    <definedName name="부자지간">[0]!BlankMacro1</definedName>
    <definedName name="부장님">[0]!BlankMacro1</definedName>
    <definedName name="분기">[46]뒤차축소!$G$380:$S$381</definedName>
    <definedName name="분당내역서" hidden="1">#REF!</definedName>
    <definedName name="분당아파트">#REF!</definedName>
    <definedName name="분석변경" hidden="1">{#N/A,#N/A,FALSE,"변경관리예산";#N/A,#N/A,FALSE,"변경장비예산";#N/A,#N/A,FALSE,"변경준설예산";#N/A,#N/A,FALSE,"변경철구예산"}</definedName>
    <definedName name="분전반">BlankMacro1</definedName>
    <definedName name="비">#REF!</definedName>
    <definedName name="비계">#REF!</definedName>
    <definedName name="비계공">#REF!</definedName>
    <definedName name="비교">#REF!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>[0]!BlankMacro1</definedName>
    <definedName name="ㅅㅅㅅ">[0]!BlankMacro1</definedName>
    <definedName name="사">[47]유형!$D$31:$D$32</definedName>
    <definedName name="사급">#REF!</definedName>
    <definedName name="사다함이" hidden="1">{#N/A,#N/A,FALSE,"정공"}</definedName>
    <definedName name="사라미이은">[0]!BlankMacro1</definedName>
    <definedName name="사람이름">[0]!BlankMacro1</definedName>
    <definedName name="사람이야" hidden="1">{#N/A,#N/A,FALSE,"정공"}</definedName>
    <definedName name="사랑하오" hidden="1">{#N/A,#N/A,FALSE,"정공"}</definedName>
    <definedName name="사본" hidden="1">{#N/A,#N/A,FALSE,"정공"}</definedName>
    <definedName name="사업렬">[0]!BlankMacro1</definedName>
    <definedName name="사업별">[0]!BlankMacro1</definedName>
    <definedName name="사업부문">#REF!</definedName>
    <definedName name="사업비교표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>BlankMacro1</definedName>
    <definedName name="산출내역">#REF!</definedName>
    <definedName name="산출냐역">#REF!</definedName>
    <definedName name="삼">[47]유형!$D$28:$D$30</definedName>
    <definedName name="삼성" hidden="1">{#N/A,#N/A,FALSE,"정공"}</definedName>
    <definedName name="삼성2" hidden="1">{#N/A,#N/A,FALSE,"정공"}</definedName>
    <definedName name="상">#REF!</definedName>
    <definedName name="상각">#REF!</definedName>
    <definedName name="상담">#REF!</definedName>
    <definedName name="상로허호" hidden="1">{#N/A,#N/A,FALSE,"정공"}</definedName>
    <definedName name="상수">#REF!</definedName>
    <definedName name="상용">[48]뒤차축소!$G$380:$S$381</definedName>
    <definedName name="새무형">#REF!</definedName>
    <definedName name="새파일편집" hidden="1">{#N/A,#N/A,FALSE,"정공"}</definedName>
    <definedName name="생계">#REF!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hidden="1">{"'별표'!$N$220"}</definedName>
    <definedName name="석공">#REF!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>#REF!</definedName>
    <definedName name="성과분석용">[0]!BlankMacro1</definedName>
    <definedName name="성적">#REF!</definedName>
    <definedName name="세보1_2" hidden="1">'[3]입찰내역 발주처 양식'!#REF!</definedName>
    <definedName name="세보2" hidden="1">'[5]0226'!#REF!</definedName>
    <definedName name="세부실적">[0]!BlankMacro1</definedName>
    <definedName name="세부자료">[49]부문손익!$D$7:$L$33</definedName>
    <definedName name="소계">#REF!</definedName>
    <definedName name="소공" comment="소방설비 공장검사">[47]정보!$I$2:$I$9</definedName>
    <definedName name="소나무">#REF!</definedName>
    <definedName name="소방">#REF!</definedName>
    <definedName name="소방시설공사">#REF!</definedName>
    <definedName name="소시" comment="소방설비 시공품질 관리">[47]정보!$I$38:$I$50</definedName>
    <definedName name="소요기간" hidden="1">{#N/A,#N/A,FALSE,"정공"}</definedName>
    <definedName name="소요약">[0]!BlankMacro1</definedName>
    <definedName name="소입" comment="소방설비 입고검사">[47]정보!$I$10:$I$37</definedName>
    <definedName name="소형차축부">#REF!</definedName>
    <definedName name="소ㅑ104" hidden="1">[50]FAB별!#REF!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>BlankMacro1</definedName>
    <definedName name="수량산출2">BlankMacro1</definedName>
    <definedName name="수량산출5">BlankMacro1</definedName>
    <definedName name="수량추정" hidden="1">{#N/A,#N/A,FALSE,"정공"}</definedName>
    <definedName name="수목수량">#REF!</definedName>
    <definedName name="수수꽃다리">#REF!</definedName>
    <definedName name="수입금액조정며엣서">'[51]108.수선비'!#REF!</definedName>
    <definedName name="수정사항2">#REF!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'[52]신상기록(지우지 말것)'!$C$2:$F$35</definedName>
    <definedName name="신안" hidden="1">{#N/A,#N/A,FALSE,"현장 NCR 분석";#N/A,#N/A,FALSE,"현장품질감사";#N/A,#N/A,FALSE,"현장품질감사"}</definedName>
    <definedName name="실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>#REF!</definedName>
    <definedName name="ㅇ">#REF!</definedName>
    <definedName name="ㅇㄴㄹㄴㅁㄹ" hidden="1">0</definedName>
    <definedName name="ㅇㄴㄹㄴㅁㅇㄻ">#REF!</definedName>
    <definedName name="ㅇㄹ">#REF!</definedName>
    <definedName name="ㅇㄹㄹ" hidden="1">#N/A</definedName>
    <definedName name="ㅇㄹㅇㄹㅇ" hidden="1">{#N/A,#N/A,FALSE,"정공"}</definedName>
    <definedName name="ㅇㅀ">[0]!BlankMacro1</definedName>
    <definedName name="ㅇㅇ">#REF!</definedName>
    <definedName name="ㅇㅇㅇ" hidden="1">{#N/A,#N/A,FALSE,"정공"}</definedName>
    <definedName name="ㅇㅎ" hidden="1">{#N/A,#N/A,FALSE,"부대1"}</definedName>
    <definedName name="ㅇ호">[0]!BlankMacro1</definedName>
    <definedName name="아">#REF!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니오오오">[0]!BlankMacro1</definedName>
    <definedName name="아닙니다" hidden="1">{#N/A,#N/A,FALSE,"정공"}</definedName>
    <definedName name="아라리오">[0]!BlankMacro1</definedName>
    <definedName name="아리">[0]!BlankMacro1</definedName>
    <definedName name="아무거나" hidden="1">#N/A</definedName>
    <definedName name="아이">#REF!</definedName>
    <definedName name="안">#REF!</definedName>
    <definedName name="안녕">#REF!</definedName>
    <definedName name="안영ㅇㅇ">[0]!BlankMacro1</definedName>
    <definedName name="안전관리비기초액">#REF!</definedName>
    <definedName name="안전관리비율">#REF!</definedName>
    <definedName name="알">#REF!</definedName>
    <definedName name="알미뉴">#REF!</definedName>
    <definedName name="알미늄">#REF!</definedName>
    <definedName name="앗서" hidden="1">{#N/A,#N/A,FALSE,"정공"}</definedName>
    <definedName name="앙">[0]!BlankMacro1</definedName>
    <definedName name="약식손익" hidden="1">{#N/A,#N/A,FALSE,"정공"}</definedName>
    <definedName name="약정분임">[0]!BlankMacro1</definedName>
    <definedName name="약정이이자율">[0]!BlankMacro1</definedName>
    <definedName name="약정잉자" hidden="1">{#N/A,#N/A,FALSE,"정공"}</definedName>
    <definedName name="양식">[0]!BlankMacro1</definedName>
    <definedName name="양호">#REF!</definedName>
    <definedName name="어">[0]!BlankMacro1</definedName>
    <definedName name="어학">#REF!</definedName>
    <definedName name="어ㅏㄹ">BlankMacro1</definedName>
    <definedName name="업무">[0]!BlankMacro1</definedName>
    <definedName name="업무2">[0]!BlankMacro1</definedName>
    <definedName name="업무3">[0]!BlankMacro1</definedName>
    <definedName name="업무목표" hidden="1">{#N/A,#N/A,FALSE,"정공"}</definedName>
    <definedName name="업무보고용" hidden="1">{#N/A,#N/A,FALSE,"정공"}</definedName>
    <definedName name="업체" hidden="1">#REF!</definedName>
    <definedName name="에이비">[53]BM_NEW2!#REF!</definedName>
    <definedName name="에이씨">[53]BM_NEW2!#REF!</definedName>
    <definedName name="연결부하">#REF!</definedName>
    <definedName name="연도.도금">#REF!</definedName>
    <definedName name="연습">#REF!</definedName>
    <definedName name="연습2" hidden="1">[54]금융비용!#REF!</definedName>
    <definedName name="연주얀" hidden="1">{#N/A,#N/A,FALSE,"정공"}</definedName>
    <definedName name="영1팀">[0]!BlankMacro1</definedName>
    <definedName name="영산홍">#REF!</definedName>
    <definedName name="영어">#REF!</definedName>
    <definedName name="영업외비용">[0]!BlankMacro1</definedName>
    <definedName name="영역별매출">[55]영역별수주!#REF!</definedName>
    <definedName name="영역별수주">#REF!</definedName>
    <definedName name="예">[0]!BlankMacro1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절">#REF!</definedName>
    <definedName name="오">[47]유형!$D$33:$D$34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>#REF!</definedName>
    <definedName name="외화환차" hidden="1">{#N/A,#N/A,FALSE,"정공"}</definedName>
    <definedName name="외화환차1" hidden="1">{#N/A,#N/A,FALSE,"정공"}</definedName>
    <definedName name="요약" hidden="1">{#N/A,#N/A,FALSE,"정공"}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>BlankMacro1</definedName>
    <definedName name="원가개선">[0]!BlankMacro1</definedName>
    <definedName name="원가관리라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>#REF!</definedName>
    <definedName name="월별원가절감상세" hidden="1">{#N/A,#N/A,FALSE,"정공"}</definedName>
    <definedName name="위병면회소">#REF!</definedName>
    <definedName name="위생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[11]매출원가_회사제시!#REF!</definedName>
    <definedName name="이윤율">#REF!</definedName>
    <definedName name="인동덩쿨">#REF!</definedName>
    <definedName name="인소">[47]정보!$J$2:$J$16</definedName>
    <definedName name="인쇄영역">#REF!</definedName>
    <definedName name="인쇄제목">#REF!</definedName>
    <definedName name="인할">#REF!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>#REF!</definedName>
    <definedName name="ㅈㅈㅈㅈ">BlankMacro1</definedName>
    <definedName name="자귀나무">#REF!</definedName>
    <definedName name="자본금" hidden="1">{#N/A,#N/A,FALSE,"정공"}</definedName>
    <definedName name="자재">#REF!</definedName>
    <definedName name="자재단가할증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>[0]!BlankMacro1</definedName>
    <definedName name="잔다르크" hidden="1">{#N/A,#N/A,FALSE,"정공"}</definedName>
    <definedName name="잔디_평떼">#REF!</definedName>
    <definedName name="잔디구해">[0]!BlankMacro1</definedName>
    <definedName name="잣나무">#REF!</definedName>
    <definedName name="장비단가할증">#REF!</definedName>
    <definedName name="장비입고현황_품명별_List">#REF!</definedName>
    <definedName name="재량">#REF!</definedName>
    <definedName name="재료비">#REF!</definedName>
    <definedName name="저1" hidden="1">{#N/A,#N/A,FALSE,"정공"}</definedName>
    <definedName name="저2" hidden="1">{#N/A,#N/A,FALSE,"정공"}</definedName>
    <definedName name="전">[0]!BlankMacro1</definedName>
    <definedName name="전2" hidden="1">{#N/A,#N/A,FALSE,"정공"}</definedName>
    <definedName name="전기공사">#REF!</definedName>
    <definedName name="전기공사원가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hidden="1">{#N/A,#N/A,FALSE,"현장 NCR 분석";#N/A,#N/A,FALSE,"현장품질감사";#N/A,#N/A,FALSE,"현장품질감사"}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>[0]!BlankMacro1</definedName>
    <definedName name="절">#REF!</definedName>
    <definedName name="절감">[0]!BlankMacro1</definedName>
    <definedName name="절감내역상세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hidden="1">{#N/A,#N/A,FALSE,"Tower &amp; Car Park"}</definedName>
    <definedName name="정리용2" hidden="1">{#N/A,#N/A,FALSE,"Tower &amp; Car Park"}</definedName>
    <definedName name="정산액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>[0]!BlankMacro1</definedName>
    <definedName name="조정후손익" hidden="1">{#N/A,#N/A,FALSE,"정공"}</definedName>
    <definedName name="조직">[0]!BlankMacro1</definedName>
    <definedName name="조직3" hidden="1">{#N/A,#N/A,FALSE,"정공"}</definedName>
    <definedName name="종가">[57]종가!$A$2:$C$25</definedName>
    <definedName name="종산총액">#REF!</definedName>
    <definedName name="종합2" hidden="1">{#N/A,#N/A,FALSE,"정공"}</definedName>
    <definedName name="종합미래2" hidden="1">{#N/A,#N/A,FALSE,"정공"}</definedName>
    <definedName name="종합추이">[0]!BlankMacro1</definedName>
    <definedName name="주목">#REF!</definedName>
    <definedName name="주민세율">#REF!</definedName>
    <definedName name="주방기구.도금">#REF!</definedName>
    <definedName name="주요">[0]!BlankMacro1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>[0]!BlankMacro1</definedName>
    <definedName name="줄사철">#REF!</definedName>
    <definedName name="중기" hidden="1">{#N/A,#N/A,FALSE,"정공"}</definedName>
    <definedName name="중기변속기">[0]!BlankMacro1</definedName>
    <definedName name="지급어음">#REF!</definedName>
    <definedName name="지급어음명세">[0]!BlankMacro1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>[0]!BlankMacro1</definedName>
    <definedName name="차라이">[0]!BlankMacro1</definedName>
    <definedName name="차명고래">[0]!BlankMacro1</definedName>
    <definedName name="차변합계">#REF!</definedName>
    <definedName name="차익거래">[0]!BlankMacro1</definedName>
    <definedName name="차트" hidden="1">{#N/A,#N/A,FALSE,"정공"}</definedName>
    <definedName name="참석자" hidden="1">{#N/A,#N/A,FALSE,"현장 NCR 분석";#N/A,#N/A,FALSE,"현장품질감사";#N/A,#N/A,FALSE,"현장품질감사"}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>#REF!</definedName>
    <definedName name="총토탈">#REF!</definedName>
    <definedName name="총토탈1">#REF!</definedName>
    <definedName name="총토탈2">#REF!</definedName>
    <definedName name="최영" hidden="1">{#N/A,#N/A,FALSE,"정공"}</definedName>
    <definedName name="추진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>[0]!BlankMacro1</definedName>
    <definedName name="치장벽돌공">#REF!</definedName>
    <definedName name="ㅋ">[0]!BlankMacro1</definedName>
    <definedName name="ㅋㅋ" hidden="1">{#N/A,#N/A,TRUE,"Y생산";#N/A,#N/A,TRUE,"Y판매";#N/A,#N/A,TRUE,"Y총물량";#N/A,#N/A,TRUE,"Y능력";#N/A,#N/A,TRUE,"YKD"}</definedName>
    <definedName name="ㅋㅌ" hidden="1">{#N/A,#N/A,FALSE,"구조1"}</definedName>
    <definedName name="컴">#REF!</definedName>
    <definedName name="컴퓨">#REF!</definedName>
    <definedName name="콩" hidden="1">{#N/A,#N/A,FALSE,"구조1"}</definedName>
    <definedName name="크레인">#REF!</definedName>
    <definedName name="ㅌㅍ" hidden="1">{#N/A,#N/A,FALSE,"부대2"}</definedName>
    <definedName name="탈의">#REF!</definedName>
    <definedName name="태양열.도금">#REF!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토" hidden="1">#REF!</definedName>
    <definedName name="토목내역">#REF!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[58]집연95!#REF!</definedName>
    <definedName name="특수">#REF!</definedName>
    <definedName name="특수비계공">#REF!</definedName>
    <definedName name="파라이다">[0]!BlankMacro1</definedName>
    <definedName name="판다다">[0]!BlankMacro1</definedName>
    <definedName name="판도라상자" hidden="1">{#N/A,#N/A,FALSE,"정공"}</definedName>
    <definedName name="평당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[59]분개장·원장!#REF!</definedName>
    <definedName name="프">#REF!</definedName>
    <definedName name="ㅎ">#REF!</definedName>
    <definedName name="ㅎ384">#REF!</definedName>
    <definedName name="ㅎㄴㅇㅎㄹ">[0]!BlankMacro1</definedName>
    <definedName name="ㅎㅇㄴ">[0]!BlankMacro1</definedName>
    <definedName name="ㅎㅎ">[11]매출원가_회사제시!#REF!</definedName>
    <definedName name="하나하나">[0]!BlankMacro1</definedName>
    <definedName name="하하">#REF!</definedName>
    <definedName name="학생">#REF!</definedName>
    <definedName name="한" hidden="1">#REF!</definedName>
    <definedName name="한라구절초">#REF!</definedName>
    <definedName name="한맥">#REF!</definedName>
    <definedName name="한번">[0]!BlankMacro1</definedName>
    <definedName name="한울" hidden="1">[60]토목주소!#REF!</definedName>
    <definedName name="한울11" hidden="1">[60]프랜트면허!#REF!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>[0]!BlankMacro1</definedName>
    <definedName name="해당화">#REF!</definedName>
    <definedName name="현대" hidden="1">{#N/A,#N/A,FALSE,"정공"}</definedName>
    <definedName name="現代綜合商事經由分">[61]수입!#REF!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>[0]!BlankMacro1</definedName>
    <definedName name="환율">#REF!</definedName>
    <definedName name="황">#REF!</definedName>
    <definedName name="휴게">#REF!</definedName>
    <definedName name="흄_____관">#REF!</definedName>
    <definedName name="힌울" hidden="1">[60]토목주소!#REF!</definedName>
    <definedName name="ㅏㅏ">[0]!BlankMacro1</definedName>
    <definedName name="ㅏㅓ" hidden="1">{#N/A,#N/A,FALSE,"구조2"}</definedName>
    <definedName name="ㅐ" hidden="1">{#N/A,#N/A,FALSE,"현장 NCR 분석";#N/A,#N/A,FALSE,"현장품질감사";#N/A,#N/A,FALSE,"현장품질감사"}</definedName>
    <definedName name="ㅐㅐㅐㅐ">[0]!BlankMacro1</definedName>
    <definedName name="ㅑ3081">#REF!</definedName>
    <definedName name="ㅑㅕ" hidden="1">{#N/A,#N/A,FALSE,"이정표"}</definedName>
    <definedName name="ㅓ" hidden="1">{#N/A,#N/A,TRUE,"Y생산";#N/A,#N/A,TRUE,"Y판매";#N/A,#N/A,TRUE,"Y총물량";#N/A,#N/A,TRUE,"Y능력";#N/A,#N/A,TRUE,"YKD"}</definedName>
    <definedName name="ㅓㅓ">[0]!BlankMacro1</definedName>
    <definedName name="ㅓㅗ">[0]!BlankMacro1</definedName>
    <definedName name="ㅔ">#REF!</definedName>
    <definedName name="ㅔㅔㅔㅔ">[0]!BlankMacro1</definedName>
    <definedName name="ㅕㅛㅕㅛㅏ">BlankMacro1</definedName>
    <definedName name="ㅗ" hidden="1">{#N/A,#N/A,FALSE,"현장 NCR 분석";#N/A,#N/A,FALSE,"현장품질감사";#N/A,#N/A,FALSE,"현장품질감사"}</definedName>
    <definedName name="ㅗㅓ" hidden="1">{#N/A,#N/A,FALSE,"부대2"}</definedName>
    <definedName name="ㅗㅕ" hidden="1">{#N/A,#N/A,FALSE,"배수2"}</definedName>
    <definedName name="ㅗㅕㅓ">[0]!BlankMacro1</definedName>
    <definedName name="ㅛㅅ" hidden="1">{#N/A,#N/A,FALSE,"속도"}</definedName>
    <definedName name="ㅛㅑㅐ" hidden="1">{#N/A,#N/A,FALSE,"구조1"}</definedName>
    <definedName name="ㅛㅛㅛㅛ">[0]!BlankMacro1</definedName>
    <definedName name="ㅜ">'[17]9-1차이내역'!#REF!</definedName>
    <definedName name="ㅜㅎㄹ" hidden="1">{#N/A,#N/A,FALSE,"부대2"}</definedName>
    <definedName name="ㅜㅜ">BlankMacro1</definedName>
    <definedName name="ㅜㅠ" hidden="1">{#N/A,#N/A,FALSE,"토공2"}</definedName>
    <definedName name="ㅜㅠㅍ" hidden="1">{#N/A,#N/A,FALSE,"전력간선"}</definedName>
    <definedName name="ㅠ">#REF!</definedName>
    <definedName name="ㅡ">#REF!</definedName>
    <definedName name="ㅡㅡㅡ">[0]!BlankMacro1</definedName>
    <definedName name="ㅣ" hidden="1">{#N/A,#N/A,FALSE,"정공"}</definedName>
    <definedName name="ㅣ275">#REF!</definedName>
    <definedName name="ㅣ81">#REF!</definedName>
    <definedName name="ㅣㅓㅏ" hidden="1">{#N/A,#N/A,FALSE,"전력간선"}</definedName>
    <definedName name="ㅣㅔ">#REF!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8" i="7" l="1"/>
  <c r="O37" i="7"/>
  <c r="O36" i="7"/>
  <c r="O35" i="7"/>
  <c r="O34" i="7"/>
  <c r="O33" i="7"/>
  <c r="O32" i="7"/>
  <c r="O31" i="7"/>
  <c r="O39" i="7"/>
  <c r="D10" i="6" l="1"/>
  <c r="E27" i="15"/>
  <c r="F11" i="15"/>
  <c r="F10" i="15"/>
  <c r="F9" i="15"/>
  <c r="F8" i="15"/>
  <c r="F7" i="15"/>
  <c r="F6" i="15"/>
  <c r="F5" i="15"/>
  <c r="F13" i="15" l="1"/>
  <c r="F27" i="15" s="1"/>
  <c r="H3" i="12" l="1"/>
  <c r="G18" i="6" l="1"/>
  <c r="G21" i="6" s="1"/>
  <c r="G22" i="6" s="1"/>
  <c r="G14" i="6"/>
  <c r="G13" i="6"/>
  <c r="A24" i="12" l="1"/>
  <c r="A23" i="12"/>
  <c r="A22" i="12"/>
  <c r="A21" i="12"/>
  <c r="A20" i="12"/>
  <c r="A19" i="12"/>
  <c r="A18" i="12"/>
  <c r="A17" i="12"/>
  <c r="A16" i="12"/>
  <c r="A15" i="12"/>
  <c r="A14" i="12"/>
  <c r="H13" i="12"/>
  <c r="A13" i="12"/>
  <c r="H12" i="12"/>
  <c r="A12" i="12"/>
  <c r="H11" i="12"/>
  <c r="A11" i="12"/>
  <c r="H10" i="12"/>
  <c r="A10" i="12"/>
  <c r="H9" i="12"/>
  <c r="A9" i="12"/>
  <c r="H8" i="12"/>
  <c r="A8" i="12"/>
  <c r="H7" i="12"/>
  <c r="A7" i="12"/>
  <c r="H6" i="12"/>
  <c r="A6" i="12"/>
  <c r="H5" i="12"/>
  <c r="A5" i="12"/>
  <c r="H4" i="12"/>
  <c r="A4" i="12"/>
  <c r="I3" i="11"/>
  <c r="A12" i="11"/>
  <c r="I11" i="11"/>
  <c r="A11" i="11"/>
  <c r="I10" i="11"/>
  <c r="A10" i="11"/>
  <c r="I9" i="11"/>
  <c r="A9" i="11"/>
  <c r="I8" i="11"/>
  <c r="A8" i="11"/>
  <c r="I7" i="11"/>
  <c r="A7" i="11"/>
  <c r="I6" i="11"/>
  <c r="A6" i="11"/>
  <c r="I5" i="11"/>
  <c r="A5" i="11"/>
  <c r="I4" i="11"/>
  <c r="A4" i="11"/>
  <c r="I3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I3" i="9"/>
  <c r="I26" i="9"/>
  <c r="A26" i="9"/>
  <c r="I25" i="9"/>
  <c r="A25" i="9"/>
  <c r="I24" i="9"/>
  <c r="A24" i="9"/>
  <c r="I23" i="9"/>
  <c r="A23" i="9"/>
  <c r="I22" i="9"/>
  <c r="A22" i="9"/>
  <c r="I21" i="9"/>
  <c r="A21" i="9"/>
  <c r="I20" i="9"/>
  <c r="A20" i="9"/>
  <c r="I19" i="9"/>
  <c r="A19" i="9"/>
  <c r="I18" i="9"/>
  <c r="A18" i="9"/>
  <c r="I17" i="9"/>
  <c r="A17" i="9"/>
  <c r="I16" i="9"/>
  <c r="A16" i="9"/>
  <c r="I15" i="9"/>
  <c r="A15" i="9"/>
  <c r="I14" i="9"/>
  <c r="A14" i="9"/>
  <c r="I13" i="9"/>
  <c r="A13" i="9"/>
  <c r="I12" i="9"/>
  <c r="A12" i="9"/>
  <c r="I11" i="9"/>
  <c r="A11" i="9"/>
  <c r="I10" i="9"/>
  <c r="A10" i="9"/>
  <c r="I9" i="9"/>
  <c r="A9" i="9"/>
  <c r="I8" i="9"/>
  <c r="A8" i="9"/>
  <c r="I7" i="9"/>
  <c r="A7" i="9"/>
  <c r="I6" i="9"/>
  <c r="A6" i="9"/>
  <c r="I5" i="9"/>
  <c r="A5" i="9"/>
  <c r="I4" i="9"/>
  <c r="A4" i="9"/>
  <c r="J8" i="7" l="1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 s="1"/>
  <c r="I3" i="14"/>
  <c r="I3" i="13"/>
  <c r="AN103" i="8" l="1"/>
  <c r="AP103" i="8" s="1"/>
  <c r="AN102" i="8"/>
  <c r="AP102" i="8" s="1"/>
  <c r="AN101" i="8"/>
  <c r="AP101" i="8" s="1"/>
  <c r="AN100" i="8"/>
  <c r="AP100" i="8" s="1"/>
  <c r="AN99" i="8"/>
  <c r="AP99" i="8" s="1"/>
  <c r="AN98" i="8"/>
  <c r="AP98" i="8" s="1"/>
  <c r="AN97" i="8"/>
  <c r="AP97" i="8" s="1"/>
  <c r="AN96" i="8"/>
  <c r="AP96" i="8" s="1"/>
  <c r="AN95" i="8"/>
  <c r="AP95" i="8" s="1"/>
  <c r="AN94" i="8"/>
  <c r="AP94" i="8" s="1"/>
  <c r="AN93" i="8"/>
  <c r="AP93" i="8" s="1"/>
  <c r="AN92" i="8"/>
  <c r="AP92" i="8" s="1"/>
  <c r="AN91" i="8"/>
  <c r="AP91" i="8" s="1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N83" i="8"/>
  <c r="AP83" i="8" s="1"/>
  <c r="AN82" i="8"/>
  <c r="AP82" i="8" s="1"/>
  <c r="AN81" i="8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I125" i="8"/>
  <c r="J125" i="8"/>
  <c r="K125" i="8"/>
  <c r="L125" i="8"/>
  <c r="M125" i="8"/>
  <c r="N125" i="8"/>
  <c r="N132" i="8" s="1"/>
  <c r="O125" i="8"/>
  <c r="O132" i="8" s="1"/>
  <c r="P125" i="8"/>
  <c r="P132" i="8" s="1"/>
  <c r="Q125" i="8"/>
  <c r="Q132" i="8" s="1"/>
  <c r="R125" i="8"/>
  <c r="S125" i="8"/>
  <c r="T125" i="8"/>
  <c r="U125" i="8"/>
  <c r="V125" i="8"/>
  <c r="W125" i="8"/>
  <c r="X125" i="8"/>
  <c r="Y125" i="8"/>
  <c r="Z125" i="8"/>
  <c r="Z132" i="8" s="1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L132" i="8" s="1"/>
  <c r="AM125" i="8"/>
  <c r="AM132" i="8" s="1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D132" i="8" s="1"/>
  <c r="AE131" i="8"/>
  <c r="AF131" i="8"/>
  <c r="AG131" i="8"/>
  <c r="AH131" i="8"/>
  <c r="AI131" i="8"/>
  <c r="AJ131" i="8"/>
  <c r="AK131" i="8"/>
  <c r="AL131" i="8"/>
  <c r="AM131" i="8"/>
  <c r="T132" i="8" l="1"/>
  <c r="AF132" i="8"/>
  <c r="R132" i="8"/>
  <c r="AB132" i="8"/>
  <c r="AA132" i="8"/>
  <c r="AC132" i="8"/>
  <c r="AJ132" i="8"/>
  <c r="AE132" i="8"/>
  <c r="W132" i="8"/>
  <c r="AK132" i="8"/>
  <c r="Y132" i="8"/>
  <c r="M132" i="8"/>
  <c r="X132" i="8"/>
  <c r="L132" i="8"/>
  <c r="AI132" i="8"/>
  <c r="K132" i="8"/>
  <c r="V132" i="8"/>
  <c r="J132" i="8"/>
  <c r="AG132" i="8"/>
  <c r="U132" i="8"/>
  <c r="I132" i="8"/>
  <c r="S132" i="8"/>
  <c r="AH132" i="8"/>
  <c r="AN124" i="8" l="1"/>
  <c r="AP124" i="8" s="1"/>
  <c r="AN123" i="8"/>
  <c r="AP123" i="8" s="1"/>
  <c r="AN122" i="8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15" i="8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AM3" i="8" l="1"/>
  <c r="AM1" i="8"/>
  <c r="AN130" i="8"/>
  <c r="AP130" i="8" s="1"/>
  <c r="AN129" i="8"/>
  <c r="AP129" i="8" s="1"/>
  <c r="AN128" i="8"/>
  <c r="AP128" i="8" s="1"/>
  <c r="AN127" i="8"/>
  <c r="AP127" i="8" s="1"/>
  <c r="AN126" i="8"/>
  <c r="AP126" i="8" s="1"/>
  <c r="AP131" i="8" l="1"/>
  <c r="F6" i="6" s="1"/>
  <c r="AN125" i="8"/>
  <c r="AP125" i="8"/>
  <c r="AN131" i="8"/>
  <c r="E50" i="7"/>
  <c r="K50" i="7" s="1"/>
  <c r="M50" i="7" s="1"/>
  <c r="G50" i="7" s="1"/>
  <c r="E49" i="7"/>
  <c r="K49" i="7" s="1"/>
  <c r="M49" i="7" s="1"/>
  <c r="G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J22" i="7"/>
  <c r="J21" i="7"/>
  <c r="K21" i="7" s="1"/>
  <c r="J20" i="7"/>
  <c r="K20" i="7" s="1"/>
  <c r="J19" i="7"/>
  <c r="J18" i="7"/>
  <c r="K18" i="7" s="1"/>
  <c r="J17" i="7"/>
  <c r="J7" i="7"/>
  <c r="J6" i="7"/>
  <c r="J5" i="7"/>
  <c r="A2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L23" i="7"/>
  <c r="F23" i="7" s="1"/>
  <c r="K23" i="7"/>
  <c r="M23" i="7" s="1"/>
  <c r="G23" i="7" s="1"/>
  <c r="A1" i="6"/>
  <c r="L2" i="6"/>
  <c r="AN132" i="8" l="1"/>
  <c r="D9" i="6" s="1"/>
  <c r="K26" i="7"/>
  <c r="M26" i="7" s="1"/>
  <c r="G26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K38" i="7"/>
  <c r="K39" i="7"/>
  <c r="M39" i="7" s="1"/>
  <c r="G39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AP132" i="8"/>
  <c r="AO125" i="8"/>
  <c r="L40" i="7"/>
  <c r="F40" i="7" s="1"/>
  <c r="L38" i="7"/>
  <c r="F38" i="7" s="1"/>
  <c r="K6" i="7"/>
  <c r="K22" i="7"/>
  <c r="K5" i="7"/>
  <c r="L29" i="7"/>
  <c r="F29" i="7" s="1"/>
  <c r="L36" i="7"/>
  <c r="F36" i="7" s="1"/>
  <c r="L43" i="7"/>
  <c r="F43" i="7" s="1"/>
  <c r="L50" i="7"/>
  <c r="F50" i="7" s="1"/>
  <c r="K19" i="7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L25" i="7"/>
  <c r="F25" i="7" s="1"/>
  <c r="L44" i="7"/>
  <c r="F44" i="7" s="1"/>
  <c r="L28" i="7"/>
  <c r="F28" i="7" s="1"/>
  <c r="L35" i="7"/>
  <c r="F35" i="7" s="1"/>
  <c r="F20" i="6"/>
  <c r="H19" i="6"/>
  <c r="I19" i="6" s="1"/>
  <c r="H17" i="6"/>
  <c r="I17" i="6" s="1"/>
  <c r="H16" i="6"/>
  <c r="I16" i="6" s="1"/>
  <c r="E14" i="2" s="1"/>
  <c r="H15" i="6"/>
  <c r="I15" i="6" s="1"/>
  <c r="F12" i="6"/>
  <c r="F7" i="6"/>
  <c r="H7" i="6" s="1"/>
  <c r="I7" i="6" s="1"/>
  <c r="H6" i="6"/>
  <c r="I6" i="6" s="1"/>
  <c r="AO132" i="8" l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K51" i="7"/>
  <c r="J51" i="7"/>
  <c r="E11" i="6"/>
  <c r="H11" i="6"/>
  <c r="I11" i="6" s="1"/>
  <c r="E10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E5" i="6"/>
  <c r="H5" i="6"/>
  <c r="I5" i="6" s="1"/>
  <c r="H9" i="6"/>
  <c r="E9" i="6"/>
  <c r="F13" i="6"/>
  <c r="H13" i="6" s="1"/>
  <c r="I13" i="6" s="1"/>
  <c r="H4" i="6"/>
  <c r="I4" i="6" s="1"/>
  <c r="E4" i="6"/>
  <c r="H8" i="6"/>
  <c r="I8" i="6" s="1"/>
  <c r="F13" i="5"/>
  <c r="F15" i="5" s="1"/>
  <c r="D14" i="2"/>
  <c r="D12" i="2"/>
  <c r="D11" i="2"/>
  <c r="D10" i="2"/>
  <c r="D9" i="2"/>
  <c r="D7" i="2"/>
  <c r="F14" i="6" l="1"/>
  <c r="H14" i="6" l="1"/>
  <c r="I14" i="6" s="1"/>
  <c r="F18" i="6"/>
  <c r="F21" i="6" s="1"/>
  <c r="H18" i="6" l="1"/>
  <c r="I18" i="6" s="1"/>
  <c r="E8" i="2"/>
  <c r="D8" i="2" s="1"/>
  <c r="H21" i="6"/>
  <c r="I21" i="6" s="1"/>
  <c r="F22" i="6"/>
  <c r="H22" i="6" s="1"/>
  <c r="I22" i="6" s="1"/>
  <c r="E5" i="2" s="1"/>
  <c r="D5" i="2" s="1"/>
  <c r="E13" i="2" l="1"/>
  <c r="E6" i="2" s="1"/>
  <c r="D6" i="2" s="1"/>
  <c r="I9" i="6"/>
  <c r="D13" i="2" l="1"/>
  <c r="M7" i="7"/>
  <c r="G7" i="7" s="1"/>
  <c r="M6" i="7"/>
  <c r="G6" i="7" s="1"/>
  <c r="L7" i="7"/>
  <c r="F7" i="7" s="1"/>
  <c r="L6" i="7"/>
  <c r="F6" i="7" s="1"/>
  <c r="L5" i="7"/>
  <c r="F5" i="7" s="1"/>
  <c r="M5" i="7"/>
  <c r="G5" i="7" s="1"/>
  <c r="M16" i="7"/>
  <c r="L19" i="7"/>
  <c r="F19" i="7" s="1"/>
  <c r="L14" i="7"/>
  <c r="F14" i="7" s="1"/>
  <c r="M10" i="7"/>
  <c r="G10" i="7" s="1"/>
  <c r="L21" i="7"/>
  <c r="F21" i="7" s="1"/>
  <c r="M14" i="7"/>
  <c r="G14" i="7" s="1"/>
  <c r="M21" i="7"/>
  <c r="G21" i="7" s="1"/>
  <c r="M12" i="7"/>
  <c r="G12" i="7" s="1"/>
  <c r="M15" i="7"/>
  <c r="G15" i="7" s="1"/>
  <c r="L17" i="7"/>
  <c r="F17" i="7" s="1"/>
  <c r="M22" i="7"/>
  <c r="G22" i="7" s="1"/>
  <c r="M9" i="7"/>
  <c r="G9" i="7" s="1"/>
  <c r="M18" i="7"/>
  <c r="G18" i="7" s="1"/>
  <c r="L20" i="7"/>
  <c r="F20" i="7" s="1"/>
  <c r="L18" i="7"/>
  <c r="F18" i="7" s="1"/>
  <c r="L10" i="7"/>
  <c r="F10" i="7" s="1"/>
  <c r="L22" i="7"/>
  <c r="F22" i="7" s="1"/>
  <c r="L11" i="7"/>
  <c r="F11" i="7" s="1"/>
  <c r="I51" i="7"/>
  <c r="M17" i="7"/>
  <c r="G17" i="7"/>
  <c r="L12" i="7"/>
  <c r="F12" i="7" s="1"/>
  <c r="M20" i="7"/>
  <c r="G20" i="7" s="1"/>
  <c r="L15" i="7"/>
  <c r="F15" i="7" s="1"/>
  <c r="M19" i="7"/>
  <c r="G19" i="7" s="1"/>
  <c r="L13" i="7"/>
  <c r="F13" i="7" s="1"/>
  <c r="L9" i="7"/>
  <c r="F9" i="7"/>
  <c r="H51" i="7"/>
  <c r="M11" i="7"/>
  <c r="G11" i="7" s="1"/>
  <c r="M13" i="7"/>
  <c r="G13" i="7"/>
  <c r="L16" i="7"/>
  <c r="F16" i="7" s="1"/>
  <c r="L8" i="7"/>
  <c r="M8" i="7"/>
  <c r="G8" i="7" s="1"/>
  <c r="M51" i="7" l="1"/>
  <c r="G16" i="7"/>
  <c r="L51" i="7"/>
  <c r="G51" i="7"/>
  <c r="F8" i="7"/>
  <c r="F5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<sst xmlns="http://schemas.openxmlformats.org/spreadsheetml/2006/main" count="2154" uniqueCount="1066">
  <si>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</si>
  <si>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</si>
  <si>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</si>
  <si>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</si>
  <si>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</si>
  <si>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</si>
  <si>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</si>
  <si>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</si>
  <si>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</si>
  <si>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</si>
  <si>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</si>
  <si>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</si>
  <si>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</si>
  <si>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</si>
  <si>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</si>
  <si>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</si>
  <si>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</si>
  <si>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</si>
  <si>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</si>
  <si>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</si>
  <si>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</si>
  <si>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</si>
  <si>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</si>
  <si>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</si>
  <si>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</si>
  <si>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</si>
  <si>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</si>
  <si>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</si>
  <si>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</si>
  <si>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</si>
  <si>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</si>
  <si>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</si>
  <si>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</si>
  <si>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</si>
  <si>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</si>
  <si>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</si>
  <si>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</si>
  <si>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</si>
  <si>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</si>
  <si>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</si>
  <si>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</si>
  <si>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</si>
  <si>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</si>
  <si>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</si>
  <si>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</si>
  <si>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</si>
  <si>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</si>
  <si>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</si>
  <si>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</si>
  <si>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</si>
  <si>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</si>
  <si>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</si>
  <si>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</si>
  <si>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</si>
  <si>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</si>
  <si>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</si>
  <si>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</si>
  <si>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</si>
  <si>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</si>
  <si>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</si>
  <si>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</si>
  <si>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</si>
  <si>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</si>
  <si>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</si>
  <si>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</si>
  <si>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</si>
  <si>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</si>
  <si>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</si>
  <si>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</si>
  <si>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</si>
  <si>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</si>
  <si>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</si>
  <si>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</si>
  <si>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</si>
  <si>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</si>
  <si>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</si>
  <si>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</si>
  <si>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</si>
  <si>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</si>
  <si>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</si>
  <si>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</si>
  <si>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</si>
  <si>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</si>
  <si>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</si>
  <si>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</si>
  <si>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</si>
  <si>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</si>
  <si>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</si>
  <si>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</si>
  <si>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</si>
  <si>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</si>
  <si>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</si>
  <si>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</si>
  <si>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</si>
  <si>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</si>
  <si>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</si>
  <si>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</si>
  <si>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</si>
  <si>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</si>
  <si>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</si>
  <si>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</si>
  <si>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</si>
  <si>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</si>
  <si>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</si>
  <si>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</si>
  <si>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</si>
  <si>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</si>
  <si>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</si>
  <si>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</si>
  <si>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</si>
  <si>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</si>
  <si>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</si>
  <si>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</si>
  <si>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</si>
  <si>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</si>
  <si>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</si>
  <si>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</si>
  <si>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</si>
  <si>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</si>
  <si>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</si>
  <si>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</si>
  <si>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</si>
  <si>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</si>
  <si>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</si>
  <si>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</si>
  <si>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</si>
  <si>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</si>
  <si>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</si>
  <si>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</si>
  <si>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</si>
  <si>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</si>
  <si>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</si>
  <si>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</si>
  <si>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</si>
  <si>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</si>
  <si>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</si>
  <si>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</si>
  <si>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</si>
  <si>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</si>
  <si>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</si>
  <si>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</si>
  <si>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</si>
  <si>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</si>
  <si>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</si>
  <si>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</si>
  <si>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</si>
  <si>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</si>
  <si>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</si>
  <si>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</si>
  <si>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</si>
  <si>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</si>
  <si>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</si>
  <si>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</si>
  <si>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</si>
  <si>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</si>
  <si>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</si>
  <si>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</si>
  <si>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</si>
  <si>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</si>
  <si>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</si>
  <si>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</si>
  <si>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</si>
  <si>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</si>
  <si>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</si>
  <si>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</si>
  <si>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</si>
  <si>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</si>
  <si>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</si>
  <si>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</si>
  <si>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</si>
  <si>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</si>
  <si>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</si>
  <si>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</si>
  <si>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</si>
  <si>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</si>
  <si>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</si>
  <si>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</si>
  <si>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</si>
  <si>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</si>
  <si>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</si>
  <si>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</si>
  <si>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</si>
  <si>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</si>
  <si>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</si>
  <si>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</si>
  <si>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</si>
  <si>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</si>
  <si>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</si>
  <si>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</si>
  <si>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</si>
  <si>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</si>
  <si>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</si>
  <si>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</si>
  <si>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</si>
  <si>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</si>
  <si>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</si>
  <si>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</si>
  <si>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</si>
  <si>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</si>
  <si>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</si>
  <si>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</si>
  <si>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</si>
  <si>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</si>
  <si>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</si>
  <si>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</si>
  <si>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</si>
  <si>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</si>
  <si>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</si>
  <si>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</si>
  <si>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</si>
  <si>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</si>
  <si>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</si>
  <si>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</si>
  <si>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</si>
  <si>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</si>
  <si>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</si>
  <si>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</si>
  <si>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</si>
  <si>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</si>
  <si>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</si>
  <si>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</si>
  <si>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</si>
  <si>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</si>
  <si>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</si>
  <si>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</si>
  <si>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</si>
  <si>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</si>
  <si>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</si>
  <si>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</si>
  <si>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</si>
  <si>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</si>
  <si>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</si>
  <si>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</si>
  <si>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</si>
  <si>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</si>
  <si>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</si>
  <si>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</si>
  <si>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</si>
  <si>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</si>
  <si>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</si>
  <si>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</si>
  <si>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</si>
  <si>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</si>
  <si>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</si>
  <si>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</si>
  <si>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</si>
  <si>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</si>
  <si>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</si>
  <si>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</si>
  <si>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</si>
  <si>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</si>
  <si>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</si>
  <si>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</si>
  <si>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</si>
  <si>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</si>
  <si>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</si>
  <si>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</si>
  <si>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</si>
  <si>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</si>
  <si>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</si>
  <si>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</si>
  <si>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</si>
  <si>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</si>
  <si>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</si>
  <si>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</si>
  <si>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</si>
  <si>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</si>
  <si>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</si>
  <si>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</si>
  <si>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</si>
  <si>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</si>
  <si>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</si>
  <si>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</si>
  <si>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</si>
  <si>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</si>
  <si>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</si>
  <si>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</si>
  <si>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</si>
  <si>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</si>
  <si>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</si>
  <si>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</si>
  <si>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</si>
  <si>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</si>
  <si>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</si>
  <si>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</si>
  <si>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</si>
  <si>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</si>
  <si>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</si>
  <si>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</si>
  <si>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</si>
  <si>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</si>
  <si>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</si>
  <si>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</si>
  <si>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</si>
  <si>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</si>
  <si>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</si>
  <si>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</si>
  <si>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</si>
  <si>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</si>
  <si>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</si>
  <si>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</si>
  <si>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</si>
  <si>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</si>
  <si>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</si>
  <si>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</si>
  <si>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</si>
  <si>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</si>
  <si>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</si>
  <si>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강경섭</t>
  </si>
  <si>
    <t>781225-1392311</t>
  </si>
  <si>
    <t>공사보조</t>
  </si>
  <si>
    <t>010-2573-6379</t>
  </si>
  <si>
    <t>농협</t>
  </si>
  <si>
    <t>356-0973-5567-73</t>
  </si>
  <si>
    <t>고종진</t>
  </si>
  <si>
    <t>790213-1912022</t>
  </si>
  <si>
    <t>용접공</t>
  </si>
  <si>
    <t>010-7478-4040</t>
  </si>
  <si>
    <t>국민</t>
  </si>
  <si>
    <t>120-21-0593-080</t>
  </si>
  <si>
    <t>권혁만</t>
  </si>
  <si>
    <t>770319-1772710</t>
  </si>
  <si>
    <t>보통인부</t>
  </si>
  <si>
    <t>010-9084-0127</t>
  </si>
  <si>
    <t>기업</t>
  </si>
  <si>
    <t>530-023847-01-014</t>
  </si>
  <si>
    <t>김강현</t>
  </si>
  <si>
    <t>910414-1031829</t>
  </si>
  <si>
    <t>010-6733-7963</t>
  </si>
  <si>
    <t>신한</t>
  </si>
  <si>
    <t>110-302-846665</t>
  </si>
  <si>
    <t>김경태</t>
  </si>
  <si>
    <t>901120-1588112</t>
  </si>
  <si>
    <t>010-9538-3223</t>
  </si>
  <si>
    <t>99538322358</t>
  </si>
  <si>
    <t>김기진</t>
  </si>
  <si>
    <t>871020-1850315</t>
  </si>
  <si>
    <t>010-6613-2156</t>
  </si>
  <si>
    <t>937-12-468305</t>
  </si>
  <si>
    <t>김동민</t>
  </si>
  <si>
    <t>840606-1768018</t>
  </si>
  <si>
    <t>010-3804-2432</t>
  </si>
  <si>
    <t>110-408-565589</t>
  </si>
  <si>
    <t>김동준</t>
  </si>
  <si>
    <t>981003-1558112</t>
  </si>
  <si>
    <t>배관공</t>
  </si>
  <si>
    <t>010-9930-1495</t>
  </si>
  <si>
    <t>카카오</t>
  </si>
  <si>
    <t>3333-16-2421842</t>
  </si>
  <si>
    <t>김선광</t>
  </si>
  <si>
    <t>880728-1903519</t>
  </si>
  <si>
    <t>010-4560-3710</t>
  </si>
  <si>
    <t>110-214-578576</t>
  </si>
  <si>
    <t>김성인</t>
  </si>
  <si>
    <t>781127-1567319</t>
  </si>
  <si>
    <t>010-8336-3710</t>
  </si>
  <si>
    <t>우체국</t>
  </si>
  <si>
    <t>503904-02-235538</t>
  </si>
  <si>
    <t>김승진</t>
  </si>
  <si>
    <t>751018-1332839</t>
  </si>
  <si>
    <t>안전보조</t>
  </si>
  <si>
    <t>010-4742-4181</t>
  </si>
  <si>
    <t>110-338-273904</t>
  </si>
  <si>
    <t>김영광</t>
  </si>
  <si>
    <t>920704-1860718</t>
  </si>
  <si>
    <t>관리보조</t>
  </si>
  <si>
    <t>010-7704-1777</t>
  </si>
  <si>
    <t>580-022392-01-010</t>
  </si>
  <si>
    <t>우리</t>
  </si>
  <si>
    <t>김태훈</t>
  </si>
  <si>
    <t>810515-1814611</t>
  </si>
  <si>
    <t>010-5844-3098</t>
  </si>
  <si>
    <t>793-12-097221</t>
  </si>
  <si>
    <t>김현수</t>
  </si>
  <si>
    <t>960703-1675511</t>
  </si>
  <si>
    <t>010-7760-4917</t>
  </si>
  <si>
    <t>대구</t>
  </si>
  <si>
    <t>143-13132-971</t>
  </si>
  <si>
    <t>도남철</t>
  </si>
  <si>
    <t>681003-1683610</t>
  </si>
  <si>
    <t>010-3734-2196</t>
  </si>
  <si>
    <t>박민우</t>
  </si>
  <si>
    <t>841026-1531716</t>
  </si>
  <si>
    <t>010-4768-4757</t>
  </si>
  <si>
    <t>673002-01-201903</t>
  </si>
  <si>
    <t>박성근</t>
  </si>
  <si>
    <t>850811-1526610</t>
  </si>
  <si>
    <t>010-9463-2277</t>
  </si>
  <si>
    <t>352-0406-9764-83</t>
  </si>
  <si>
    <t>박안서</t>
  </si>
  <si>
    <t>810228-1469327</t>
  </si>
  <si>
    <t>010-3690-0417</t>
  </si>
  <si>
    <t>1002-040-987874</t>
  </si>
  <si>
    <t>박주영</t>
  </si>
  <si>
    <t>730810-1457613</t>
  </si>
  <si>
    <t>010-3356-9406</t>
  </si>
  <si>
    <t>하나</t>
  </si>
  <si>
    <t>130-910013-37908</t>
  </si>
  <si>
    <t>박태진</t>
  </si>
  <si>
    <t>750405-1773126</t>
  </si>
  <si>
    <t>010-4090-1447</t>
  </si>
  <si>
    <t>3333055010135</t>
  </si>
  <si>
    <t>백승배</t>
  </si>
  <si>
    <t>850323-1520514</t>
  </si>
  <si>
    <t>도비공</t>
  </si>
  <si>
    <t>010-8113-3288</t>
  </si>
  <si>
    <t>402057 02 369681</t>
  </si>
  <si>
    <t>서주석</t>
  </si>
  <si>
    <t>670215-1386321</t>
  </si>
  <si>
    <t>010-4514-8042</t>
  </si>
  <si>
    <t>352-1129-4746-73</t>
  </si>
  <si>
    <t>송상엽</t>
  </si>
  <si>
    <t>820530-1167417</t>
  </si>
  <si>
    <t>010-3142-8904</t>
  </si>
  <si>
    <t>349-910362-94907</t>
  </si>
  <si>
    <t>송용기</t>
  </si>
  <si>
    <t>980114-1811111</t>
  </si>
  <si>
    <t>010-9473-9352</t>
  </si>
  <si>
    <t>신준호</t>
  </si>
  <si>
    <t>860115-1063914</t>
  </si>
  <si>
    <t>010-7628-6061</t>
  </si>
  <si>
    <t>1002-735-727923</t>
  </si>
  <si>
    <t>안수민</t>
  </si>
  <si>
    <t>900220-1083010</t>
  </si>
  <si>
    <t>010-5250-9814</t>
  </si>
  <si>
    <t>새마을</t>
  </si>
  <si>
    <t>8010525098140</t>
  </si>
  <si>
    <t>이관창</t>
  </si>
  <si>
    <t>010-5385-2305</t>
  </si>
  <si>
    <t>167-02-743383</t>
  </si>
  <si>
    <t>이상범</t>
  </si>
  <si>
    <t>860701-1070519</t>
  </si>
  <si>
    <t>010-2221-9310</t>
  </si>
  <si>
    <t>352-2141557483</t>
  </si>
  <si>
    <t>이승건</t>
  </si>
  <si>
    <t>740817-1392348</t>
  </si>
  <si>
    <t>010-6496-7944</t>
  </si>
  <si>
    <t>187-100-476-02-011</t>
  </si>
  <si>
    <t>이예성</t>
  </si>
  <si>
    <t>851227-1117515</t>
  </si>
  <si>
    <t>010-3639-0770</t>
  </si>
  <si>
    <t>114-001-04-126831</t>
  </si>
  <si>
    <t>이용근</t>
  </si>
  <si>
    <t>010607-3842716</t>
  </si>
  <si>
    <t>010-3312-7198</t>
  </si>
  <si>
    <t>95000200462440</t>
  </si>
  <si>
    <t>이정완</t>
  </si>
  <si>
    <t>680304-1661020</t>
  </si>
  <si>
    <t>010-3833-5897</t>
  </si>
  <si>
    <t>333322-9072681</t>
  </si>
  <si>
    <t>임국빈</t>
  </si>
  <si>
    <t>730623-1357211</t>
  </si>
  <si>
    <t>010-9061-4722</t>
  </si>
  <si>
    <t>336- 02-182566</t>
  </si>
  <si>
    <t>임세훈</t>
  </si>
  <si>
    <t>801028-1113827</t>
  </si>
  <si>
    <t>010-7444-3839</t>
  </si>
  <si>
    <t xml:space="preserve"> 453-050090-01-012</t>
  </si>
  <si>
    <t>새마을금고</t>
  </si>
  <si>
    <t>정덕원</t>
  </si>
  <si>
    <t>970110-1675211</t>
  </si>
  <si>
    <t>010-5100-8961</t>
  </si>
  <si>
    <t>119-910619-32507</t>
  </si>
  <si>
    <t>정일교</t>
  </si>
  <si>
    <t>761021-1348015</t>
  </si>
  <si>
    <t>010-3789-1185</t>
  </si>
  <si>
    <t>조민규</t>
  </si>
  <si>
    <t>891111-1113118</t>
  </si>
  <si>
    <t>010-6269-5994</t>
  </si>
  <si>
    <t>3333 10 4699384</t>
  </si>
  <si>
    <t>최은희</t>
  </si>
  <si>
    <t>850227-2454711</t>
  </si>
  <si>
    <t>010-2052-6656</t>
  </si>
  <si>
    <t>472-910128-17307</t>
  </si>
  <si>
    <t>최진웅</t>
  </si>
  <si>
    <t>810101-1447610</t>
  </si>
  <si>
    <t>010-6545-2244</t>
  </si>
  <si>
    <t>1002-150-879909</t>
  </si>
  <si>
    <t>허창훈</t>
  </si>
  <si>
    <t>850908-1100619</t>
  </si>
  <si>
    <t>010-9244-6987</t>
  </si>
  <si>
    <t>9002-1418-0675-3</t>
  </si>
  <si>
    <t>황선정</t>
  </si>
  <si>
    <t>730308-1057411</t>
  </si>
  <si>
    <t>010-7480-0008</t>
  </si>
  <si>
    <t>302-0861-0223-61</t>
  </si>
  <si>
    <t>■ 구분은 [사무용품, 소모품비, 법인카드] 이외 항목은 입력금지</t>
    <phoneticPr fontId="5" type="noConversion"/>
  </si>
  <si>
    <t>홍성연</t>
  </si>
  <si>
    <t>960406-1213110</t>
  </si>
  <si>
    <t>010-7451-1297</t>
  </si>
  <si>
    <t>216502-04-453135</t>
  </si>
  <si>
    <t>김민창</t>
  </si>
  <si>
    <t>950725-1119917</t>
  </si>
  <si>
    <t>010-6427-2425</t>
  </si>
  <si>
    <t>110-4294-08-656</t>
  </si>
  <si>
    <t>강동근</t>
  </si>
  <si>
    <t>960219-1406218</t>
  </si>
  <si>
    <t>010-5555-5945</t>
  </si>
  <si>
    <t>110-444-941185</t>
  </si>
  <si>
    <t>안영애</t>
  </si>
  <si>
    <t>730210-2810921</t>
  </si>
  <si>
    <t>010-4250-5380</t>
  </si>
  <si>
    <t>402401 -04-137923</t>
  </si>
  <si>
    <t>곽명재</t>
  </si>
  <si>
    <t>800514-1894915</t>
  </si>
  <si>
    <t>010-9232-3215</t>
  </si>
  <si>
    <t>3120172259661</t>
  </si>
  <si>
    <t>천문철</t>
  </si>
  <si>
    <t>791112-1845617</t>
  </si>
  <si>
    <t>010-9308-2264</t>
  </si>
  <si>
    <t>110-454-393832</t>
  </si>
  <si>
    <t>장영우</t>
  </si>
  <si>
    <t>891120-1078219</t>
  </si>
  <si>
    <t>010-4054-8911</t>
  </si>
  <si>
    <t>46390204095630</t>
  </si>
  <si>
    <t>김기훈</t>
  </si>
  <si>
    <t>890417-1468411</t>
  </si>
  <si>
    <t>010-4131-6732</t>
  </si>
  <si>
    <t>여훈</t>
  </si>
  <si>
    <t>790116-1696716</t>
  </si>
  <si>
    <t>010-8583-1849</t>
  </si>
  <si>
    <t>110-302-536595</t>
  </si>
  <si>
    <t>전준</t>
  </si>
  <si>
    <t>800228-1168033</t>
  </si>
  <si>
    <t>010-2822-3392</t>
  </si>
  <si>
    <t>110-264-802497</t>
  </si>
  <si>
    <t>김지웅</t>
  </si>
  <si>
    <t>980518-1056817</t>
  </si>
  <si>
    <t>010-3273-8579</t>
  </si>
  <si>
    <t>3333-05-6473488</t>
  </si>
  <si>
    <t>김효형</t>
  </si>
  <si>
    <t>880616-1841518</t>
  </si>
  <si>
    <t>010-4963-5022</t>
  </si>
  <si>
    <t>479402-04-091853</t>
  </si>
  <si>
    <t>안성원</t>
  </si>
  <si>
    <t>730222-1674813</t>
  </si>
  <si>
    <t>010-9575-3445</t>
  </si>
  <si>
    <t>9003-2348-2974-4</t>
  </si>
  <si>
    <t>안대현</t>
  </si>
  <si>
    <t>991116-1726115</t>
  </si>
  <si>
    <t>010-7444-2128</t>
  </si>
  <si>
    <t>1002-665-648518</t>
  </si>
  <si>
    <t>조인수</t>
  </si>
  <si>
    <t>730220-1203419</t>
  </si>
  <si>
    <t>010-2058-4177</t>
  </si>
  <si>
    <t>신협</t>
  </si>
  <si>
    <t>06100-13-007653</t>
  </si>
  <si>
    <t>강희재</t>
  </si>
  <si>
    <t>940122-1491011</t>
  </si>
  <si>
    <t>010-9127-3784</t>
  </si>
  <si>
    <t>110-404-502876</t>
  </si>
  <si>
    <t>이대성</t>
  </si>
  <si>
    <t>720711-1140417</t>
  </si>
  <si>
    <t>010-6655-0889</t>
  </si>
  <si>
    <t>302-0746-9284-21</t>
  </si>
  <si>
    <t>최민수</t>
  </si>
  <si>
    <t>700218-1520614</t>
  </si>
  <si>
    <t>010-3748-8253</t>
  </si>
  <si>
    <t>076-18-69071-1</t>
  </si>
  <si>
    <t>정웅진</t>
  </si>
  <si>
    <t>881120-1890214</t>
  </si>
  <si>
    <t>010-6694-2204</t>
  </si>
  <si>
    <t>6950020-12-37429</t>
  </si>
  <si>
    <t>제시현</t>
  </si>
  <si>
    <t>010115-3837010</t>
  </si>
  <si>
    <t>010-9628-1542</t>
  </si>
  <si>
    <t>352-107726-7163</t>
  </si>
  <si>
    <t>이경백</t>
  </si>
  <si>
    <t>830511-1727011</t>
  </si>
  <si>
    <t>010-9612-0511</t>
  </si>
  <si>
    <t>613201-04-212972</t>
  </si>
  <si>
    <t>김광동</t>
  </si>
  <si>
    <t>930520-1692511</t>
  </si>
  <si>
    <t>010-4348-0266</t>
  </si>
  <si>
    <t>926102-01-496205</t>
  </si>
  <si>
    <t>박세호</t>
  </si>
  <si>
    <t>830125-1674711</t>
  </si>
  <si>
    <t>010-8898-7171</t>
  </si>
  <si>
    <t>3333217116487</t>
  </si>
  <si>
    <t>이상수</t>
  </si>
  <si>
    <t>810518-1927711</t>
  </si>
  <si>
    <t>010-3552-7717</t>
  </si>
  <si>
    <t>171-077318-02-013</t>
  </si>
  <si>
    <t>김동열</t>
  </si>
  <si>
    <t>920815-1331213</t>
  </si>
  <si>
    <t>010-2426-3254</t>
  </si>
  <si>
    <t>9003299983139</t>
  </si>
  <si>
    <t>이광민</t>
  </si>
  <si>
    <t>991122-1069811</t>
  </si>
  <si>
    <t>010-3902-9550</t>
  </si>
  <si>
    <t>3333-04-5860686</t>
  </si>
  <si>
    <t>김홍진</t>
  </si>
  <si>
    <t>760929-1011711</t>
  </si>
  <si>
    <t>010-3392-6726</t>
  </si>
  <si>
    <t>515-01-091563</t>
  </si>
  <si>
    <t>서용원</t>
  </si>
  <si>
    <t>680629-1224212</t>
  </si>
  <si>
    <t>010-5326-2653</t>
  </si>
  <si>
    <t>132-101-853762</t>
  </si>
  <si>
    <t>안현진</t>
  </si>
  <si>
    <t>940313-1105610</t>
  </si>
  <si>
    <t>010-8108-0460</t>
  </si>
  <si>
    <t>1002-750-745421</t>
  </si>
  <si>
    <t>700720-1002642</t>
  </si>
  <si>
    <t>010-3217-1540</t>
  </si>
  <si>
    <t>조성진</t>
  </si>
  <si>
    <t xml:space="preserve">746702-01-281948 </t>
  </si>
  <si>
    <t>941107-1199714</t>
  </si>
  <si>
    <t>010-2922-3403</t>
  </si>
  <si>
    <t>박성호</t>
  </si>
  <si>
    <t>450-033865-01-013</t>
  </si>
  <si>
    <t>신기현</t>
  </si>
  <si>
    <t>951018-1458314</t>
  </si>
  <si>
    <t>010-3950-1045</t>
  </si>
  <si>
    <t>3333-05-4607779</t>
  </si>
  <si>
    <t>이현창</t>
  </si>
  <si>
    <t>790905-1233211</t>
  </si>
  <si>
    <t>010-5141-1179</t>
  </si>
  <si>
    <t>케이뱅크</t>
  </si>
  <si>
    <t>100-219-707095</t>
  </si>
  <si>
    <t>김영철</t>
  </si>
  <si>
    <t>720622-1921415</t>
  </si>
  <si>
    <t>010-3884-4513</t>
  </si>
  <si>
    <t>9003-2504-8199-8</t>
  </si>
  <si>
    <t>강원태</t>
  </si>
  <si>
    <t>920818-1240811</t>
  </si>
  <si>
    <t>010-9205-4684</t>
  </si>
  <si>
    <t>186-075475-01-013</t>
  </si>
  <si>
    <t>전일갑</t>
  </si>
  <si>
    <t>700207-1545619</t>
  </si>
  <si>
    <t>010-4937-9345</t>
  </si>
  <si>
    <t>전북은행</t>
  </si>
  <si>
    <t>566-21-0309550</t>
  </si>
  <si>
    <t>김수남</t>
  </si>
  <si>
    <t>800306-1567513</t>
  </si>
  <si>
    <t>010-2093-0129</t>
  </si>
  <si>
    <t>110-500-068-364</t>
  </si>
  <si>
    <t>양동현</t>
  </si>
  <si>
    <t>970121-1126611</t>
  </si>
  <si>
    <t>010-5213-3183</t>
  </si>
  <si>
    <t>3333-05-3629952</t>
  </si>
  <si>
    <t>김성준</t>
  </si>
  <si>
    <t>961016-1179611</t>
  </si>
  <si>
    <t>010-7732-6708</t>
  </si>
  <si>
    <t>166102-04-160013</t>
  </si>
  <si>
    <t>이해주</t>
  </si>
  <si>
    <t>701028-1536510</t>
  </si>
  <si>
    <t>010-4503-9417</t>
  </si>
  <si>
    <t>541-011332-01-010</t>
  </si>
  <si>
    <t>신현영</t>
  </si>
  <si>
    <t>931210-1870114</t>
  </si>
  <si>
    <t>010-5742-9496</t>
  </si>
  <si>
    <t>9003-2991-1940-1</t>
  </si>
  <si>
    <t>박승남</t>
  </si>
  <si>
    <t>730316-1654417</t>
  </si>
  <si>
    <t>010-7618-6130</t>
  </si>
  <si>
    <t>211065-56-138642</t>
  </si>
  <si>
    <t>반춘호</t>
  </si>
  <si>
    <t>680115-1057219</t>
  </si>
  <si>
    <t>010-5440-6205</t>
  </si>
  <si>
    <t>농렵</t>
  </si>
  <si>
    <t>최동철</t>
  </si>
  <si>
    <t>841202-1000819</t>
  </si>
  <si>
    <t>010-8530-8537</t>
  </si>
  <si>
    <t>110-198-836862</t>
  </si>
  <si>
    <t>정희종</t>
  </si>
  <si>
    <t>770910-1932544</t>
  </si>
  <si>
    <t>010-4137-6786</t>
  </si>
  <si>
    <t>백승모</t>
  </si>
  <si>
    <t>800106-1229412</t>
  </si>
  <si>
    <t xml:space="preserve">배관공 </t>
  </si>
  <si>
    <t>010-2773-3333</t>
  </si>
  <si>
    <t>101824-02-361526</t>
  </si>
  <si>
    <t>주병돈</t>
  </si>
  <si>
    <t>691217-1029722</t>
  </si>
  <si>
    <t>010-8585-6212</t>
  </si>
  <si>
    <t>9002138286953</t>
  </si>
  <si>
    <t>최건희</t>
  </si>
  <si>
    <t>891016-1177813</t>
  </si>
  <si>
    <t>010-5133-8306</t>
  </si>
  <si>
    <t>110-356-523328</t>
  </si>
  <si>
    <t>이종</t>
  </si>
  <si>
    <t>690308-1475714</t>
  </si>
  <si>
    <t>010-8588-7716</t>
  </si>
  <si>
    <t>302-0629-4786-91</t>
  </si>
  <si>
    <t>남희수</t>
  </si>
  <si>
    <t>741212-1068534</t>
  </si>
  <si>
    <t>010-8994-9296</t>
  </si>
  <si>
    <t>547201-01-029724</t>
  </si>
  <si>
    <t>강인수</t>
  </si>
  <si>
    <t>690511-1067622</t>
  </si>
  <si>
    <t>010-2486-6843</t>
  </si>
  <si>
    <t>부산</t>
  </si>
  <si>
    <t>1122027356601</t>
  </si>
  <si>
    <t>조병업</t>
  </si>
  <si>
    <t>800609-1253523</t>
  </si>
  <si>
    <t>010-6467-2994</t>
  </si>
  <si>
    <t>137-014-675322</t>
  </si>
  <si>
    <t>조병욱</t>
  </si>
  <si>
    <t>781213-1253515</t>
  </si>
  <si>
    <t>010-3855-2994</t>
  </si>
  <si>
    <t>1002-915-102274</t>
  </si>
  <si>
    <t>이상수78</t>
  </si>
  <si>
    <t>781203-1474219</t>
  </si>
  <si>
    <t>010-6515-6214</t>
  </si>
  <si>
    <t>1002-531-775338</t>
  </si>
  <si>
    <t>신원석</t>
  </si>
  <si>
    <t>820823-1151611</t>
  </si>
  <si>
    <t>010-5794-3572</t>
  </si>
  <si>
    <t>110-312-958801</t>
  </si>
  <si>
    <t>이창수</t>
  </si>
  <si>
    <t>891212-1042614</t>
  </si>
  <si>
    <t>010-7370-6219</t>
  </si>
  <si>
    <t>3333263010854</t>
  </si>
  <si>
    <t>배재성</t>
  </si>
  <si>
    <t>930728-1114025</t>
  </si>
  <si>
    <t>010-9016-7229</t>
  </si>
  <si>
    <t>3333-18-4868163</t>
  </si>
  <si>
    <t>송수림</t>
  </si>
  <si>
    <t>840920-1789928</t>
  </si>
  <si>
    <t>010-2777-7145</t>
  </si>
  <si>
    <t>352-0253-3500-63</t>
  </si>
  <si>
    <t>740709-1262013</t>
  </si>
  <si>
    <t>137-002-026080</t>
  </si>
  <si>
    <t>2026년 02월</t>
    <phoneticPr fontId="5" type="noConversion"/>
  </si>
  <si>
    <t>작 성 일 :   2026  년  02 월   28 일</t>
    <phoneticPr fontId="9" type="noConversion"/>
  </si>
  <si>
    <t>2026. 02. 01 ~ 2026. 02. 28</t>
    <phoneticPr fontId="3" type="noConversion"/>
  </si>
  <si>
    <t>2026년 (02)월 물량 내역서</t>
    <phoneticPr fontId="3" type="noConversion"/>
  </si>
  <si>
    <t>2026년 (    02   )월 일용 노무비명세서</t>
    <phoneticPr fontId="3" type="noConversion"/>
  </si>
  <si>
    <t>751012-1023227</t>
  </si>
  <si>
    <t>010-9076-7046</t>
  </si>
  <si>
    <t>110-0133-54524</t>
  </si>
  <si>
    <t>김상엽</t>
  </si>
  <si>
    <t>951227-1213217</t>
  </si>
  <si>
    <t>010-2697-7981</t>
  </si>
  <si>
    <t>1002-266-329436</t>
  </si>
  <si>
    <t>김성중</t>
  </si>
  <si>
    <t>911126-1043210</t>
  </si>
  <si>
    <t>010-3777-9825</t>
  </si>
  <si>
    <t>118-149-246-01-011</t>
  </si>
  <si>
    <t>김세엽</t>
  </si>
  <si>
    <t>000807-3114418</t>
  </si>
  <si>
    <t>010-2246-0870</t>
  </si>
  <si>
    <t>161-910525-50607</t>
  </si>
  <si>
    <t>김양근</t>
  </si>
  <si>
    <t>930824-1030929</t>
  </si>
  <si>
    <t>010-2301-4979</t>
  </si>
  <si>
    <t>110-349-207217</t>
  </si>
  <si>
    <t>김태륭</t>
  </si>
  <si>
    <t>850630-1408910</t>
  </si>
  <si>
    <t>010-2030-6205</t>
  </si>
  <si>
    <t>1002-248-631510</t>
  </si>
  <si>
    <t>김현규</t>
  </si>
  <si>
    <t>921116-1163211</t>
  </si>
  <si>
    <t>010-9150-0018</t>
  </si>
  <si>
    <t>920302-01-333030</t>
  </si>
  <si>
    <t>서현우</t>
  </si>
  <si>
    <t>911210-1163410</t>
  </si>
  <si>
    <t>010-2320-6077</t>
  </si>
  <si>
    <t>576-91035827807</t>
  </si>
  <si>
    <t>손동섭</t>
  </si>
  <si>
    <t>700908-1108719</t>
  </si>
  <si>
    <t>010-3842-1987</t>
  </si>
  <si>
    <t>067-12-0259430</t>
  </si>
  <si>
    <t>원홍연</t>
  </si>
  <si>
    <t>801025-1057720</t>
  </si>
  <si>
    <t>010-2922-2223</t>
  </si>
  <si>
    <t>100-214-461370</t>
  </si>
  <si>
    <t>유보선</t>
  </si>
  <si>
    <t>771010-1468813</t>
  </si>
  <si>
    <t>010-6476-6260</t>
  </si>
  <si>
    <t>110-0058-71461</t>
  </si>
  <si>
    <t>이건표</t>
  </si>
  <si>
    <t>810205-1621634</t>
  </si>
  <si>
    <t>010-6877-4263</t>
  </si>
  <si>
    <t>3333-20-5972661</t>
  </si>
  <si>
    <t>이명재</t>
  </si>
  <si>
    <t>840407-1011315</t>
  </si>
  <si>
    <t>010-2288-2353</t>
  </si>
  <si>
    <t>110-470-707347</t>
  </si>
  <si>
    <t>이학규</t>
  </si>
  <si>
    <t>840914-1533316</t>
  </si>
  <si>
    <t>010-3930-0121</t>
  </si>
  <si>
    <t>669-91015544507</t>
  </si>
  <si>
    <t>이해찬</t>
  </si>
  <si>
    <t>990130-1106130</t>
  </si>
  <si>
    <t>010-7390-8469</t>
  </si>
  <si>
    <t>110-80204-367781</t>
  </si>
  <si>
    <t>임승희</t>
  </si>
  <si>
    <t>881107-1235222</t>
  </si>
  <si>
    <t>010-4393-9938</t>
  </si>
  <si>
    <t>110-353-055995</t>
  </si>
  <si>
    <t>전재혁</t>
  </si>
  <si>
    <t>710315-1545421</t>
  </si>
  <si>
    <t>010-5292-0909</t>
  </si>
  <si>
    <t>618302-96-113409</t>
  </si>
  <si>
    <t>정성우</t>
  </si>
  <si>
    <t>790119-1023221</t>
  </si>
  <si>
    <t>010-8891-4986</t>
  </si>
  <si>
    <t>110-019-844818</t>
  </si>
  <si>
    <t>최동건</t>
  </si>
  <si>
    <t>830504-1000819</t>
  </si>
  <si>
    <t>010-9456-1177</t>
  </si>
  <si>
    <t>1002-646-504814</t>
  </si>
  <si>
    <t>최연지</t>
  </si>
  <si>
    <t>981006-2192118</t>
  </si>
  <si>
    <t>010-6714-4859</t>
  </si>
  <si>
    <t>302-0897-3571-01</t>
  </si>
  <si>
    <t>강우식</t>
  </si>
  <si>
    <t>302-1494-8082-31</t>
  </si>
  <si>
    <t>352-2309-2775-73</t>
  </si>
  <si>
    <t>청보호테이프</t>
  </si>
  <si>
    <t>500mm*4롤</t>
  </si>
  <si>
    <t>네이버파이낸셜㈜</t>
  </si>
  <si>
    <t>커터칼</t>
  </si>
  <si>
    <t>SK-10</t>
  </si>
  <si>
    <t>브라더 토너</t>
  </si>
  <si>
    <t>안전화</t>
  </si>
  <si>
    <t>ZB-171S</t>
  </si>
  <si>
    <t>빗자루</t>
  </si>
  <si>
    <t>[갈대비 [수입/HNS]]</t>
  </si>
  <si>
    <t>미래공구</t>
  </si>
  <si>
    <t>가위</t>
  </si>
  <si>
    <t>[SB-P300,CTX [세신]]</t>
  </si>
  <si>
    <t>가위집</t>
  </si>
  <si>
    <t>[PVC [AK]]</t>
  </si>
  <si>
    <t>쓰레받이</t>
  </si>
  <si>
    <t>[외곽용,주황 [수입]]</t>
  </si>
  <si>
    <t>물파스</t>
  </si>
  <si>
    <t>[90ML [현대약품]]</t>
  </si>
  <si>
    <t>볼렌치세트</t>
  </si>
  <si>
    <t>[10992,mm,7pcs [본더스]]</t>
  </si>
  <si>
    <t>L렌치</t>
  </si>
  <si>
    <t>[5mm,CTX [에이트]]</t>
  </si>
  <si>
    <t>철근절단비트</t>
  </si>
  <si>
    <t>[MSRC-17 [모스툴]]</t>
  </si>
  <si>
    <t>SNOOP</t>
  </si>
  <si>
    <t>[8OZ [스웨즈락]]</t>
  </si>
  <si>
    <t>낙상경보기부품</t>
  </si>
  <si>
    <t>[풀피리]</t>
  </si>
  <si>
    <t>알곤용접봉</t>
  </si>
  <si>
    <t>[TGC316L.2.4mm,5kg [조선선재]]</t>
  </si>
  <si>
    <t>보루</t>
  </si>
  <si>
    <t>[5KG,면 [백호]]</t>
  </si>
  <si>
    <t>볼트가방</t>
  </si>
  <si>
    <t>[검정,형광띠 [영신티오피]]</t>
  </si>
  <si>
    <t>파이프컷팅날</t>
  </si>
  <si>
    <t>[LS6844 [엑서]]</t>
  </si>
  <si>
    <t>볼소켓어댑터</t>
  </si>
  <si>
    <t>[13mm(1/2"),CTX [지니어스]]</t>
  </si>
  <si>
    <t>실리콘헤라</t>
  </si>
  <si>
    <t>[SPK-3(3호),중 [스마토]]</t>
  </si>
  <si>
    <t>번호열쇠</t>
  </si>
  <si>
    <t>[XD-40,4열 [자커]]</t>
  </si>
  <si>
    <t>다이아몬드줄</t>
  </si>
  <si>
    <t>[180mm,반원 [삼익]]</t>
  </si>
  <si>
    <t>마대</t>
  </si>
  <si>
    <t>[PP,신재 [국산/HNS]]</t>
  </si>
  <si>
    <t>비너</t>
  </si>
  <si>
    <t>[6mm,락타입,CTX [KBC]]</t>
  </si>
  <si>
    <t>텅스텐봉</t>
  </si>
  <si>
    <t>[3.2Q,10개,란탄2%,CTX [크레토스]]</t>
  </si>
  <si>
    <t>[2.4Q,10개,란탄2%,CTX [크레토스]]</t>
  </si>
  <si>
    <t>플랩디스크</t>
  </si>
  <si>
    <t>[#40,내경16mm,769F [3M]]</t>
  </si>
  <si>
    <t>추페이퍼</t>
  </si>
  <si>
    <t>[25mm*1(120#),CTX [한신연마]]</t>
  </si>
  <si>
    <t>알곤세라믹</t>
  </si>
  <si>
    <t>[350A-12.5mm(#8)YJ-35,변형,CTX [크레토스]]</t>
  </si>
  <si>
    <t>[TGC308L.2.4mm,5kg [조선선재]]</t>
  </si>
  <si>
    <t>[TGC308L.3.2mm,5kg [조선선재]]</t>
  </si>
  <si>
    <t>[TGC50S.3.2mm,5kg [조선선재]]</t>
  </si>
  <si>
    <t>고무대야</t>
  </si>
  <si>
    <t>[고무대야,(고매)]</t>
  </si>
  <si>
    <t>연마석</t>
  </si>
  <si>
    <t>[4"*3T*#36 [3M]]</t>
  </si>
  <si>
    <t>화이트보드지우개</t>
  </si>
  <si>
    <t>[지우개,CTX [문화]]</t>
  </si>
  <si>
    <t>안전커버</t>
  </si>
  <si>
    <t>[마그네틱드릴보호커버,PMD3530용(#104),CTX [UDT]]</t>
  </si>
  <si>
    <t>[수입,정80kg,80L [SW]]</t>
  </si>
  <si>
    <t>스티커제거</t>
  </si>
  <si>
    <t>제 [SSR-220,220ML,CTX [나바켐]]</t>
  </si>
  <si>
    <t>베벨브라운</t>
  </si>
  <si>
    <t>[#180 [3M]]</t>
  </si>
  <si>
    <t>베벨그린</t>
  </si>
  <si>
    <t>[#400 [3M]]</t>
  </si>
  <si>
    <t>낙상경보기</t>
  </si>
  <si>
    <t>[200*90 [3S]]</t>
  </si>
  <si>
    <t>단프라시트</t>
  </si>
  <si>
    <t>[청색,900*1800*3T,플로베니아 [HNS]]</t>
  </si>
  <si>
    <t>파이프안전커버</t>
  </si>
  <si>
    <t>[10T*50mm*2m,난연 [SW]]</t>
  </si>
  <si>
    <t>안전칼</t>
  </si>
  <si>
    <t>[SK-4 [올파]]</t>
  </si>
  <si>
    <t>케이블타이</t>
  </si>
  <si>
    <t>[릴리져블타이,270mm(1봉=500개),청색[전오]]</t>
  </si>
  <si>
    <t>컷쏘날</t>
  </si>
  <si>
    <t>[S1122BF,철재,바이메탈,5개입 [보쉬]]</t>
  </si>
  <si>
    <t>[S922BF,철재,바이메탈,5개입 [보쉬]]</t>
  </si>
  <si>
    <t>페인트롤러</t>
  </si>
  <si>
    <t>[4" [동양]]</t>
  </si>
  <si>
    <t>실내화주머니</t>
  </si>
  <si>
    <t>[배낭형,고급 [수입]]</t>
  </si>
  <si>
    <t>[수입,90kg,100L [HNS]]</t>
  </si>
  <si>
    <t>건전지</t>
  </si>
  <si>
    <t>[AA,2개 [벡셀]]</t>
  </si>
  <si>
    <t>임팩그라인더드릴어댑터</t>
  </si>
  <si>
    <t>[75mm,IGDA75,CTX [세신]]</t>
  </si>
  <si>
    <t>평브러쉬</t>
  </si>
  <si>
    <t>[4",스텐 [동양]]</t>
  </si>
  <si>
    <t>칫솔브러쉬</t>
  </si>
  <si>
    <t>[브러쉬,스텐 [스마토]]</t>
  </si>
  <si>
    <t>튜브컷터날</t>
  </si>
  <si>
    <t>[TCBC105 [슈퍼]]</t>
  </si>
  <si>
    <t>[RBN67P용,스텐 [렉스]]</t>
  </si>
  <si>
    <t>종이테이프</t>
  </si>
  <si>
    <t>[50mm*40m,박스 [3M]]</t>
  </si>
  <si>
    <t>수리비,쵸크그라인더</t>
  </si>
  <si>
    <t>[GGS5000,스테이터 [보쉬]]</t>
  </si>
  <si>
    <t>[GGS5000,아마츄어,베어링,샤프트가공 [보쉬]]</t>
  </si>
  <si>
    <t>[GGS5000L,배선 [보쉬]]</t>
  </si>
  <si>
    <t>수리비,충전컷쏘</t>
  </si>
  <si>
    <t>[GAS18V-10L,모터 [보쉬]]</t>
  </si>
  <si>
    <t>[GAS18V-10L,스위치키판 [보쉬]]</t>
  </si>
  <si>
    <t>[GAS18V-10L,폐기 [보쉬]]</t>
  </si>
  <si>
    <t>수리비,마그네틱드릴</t>
  </si>
  <si>
    <t>[PMD3530,실린더가공,손잡이세트 [UDT]]</t>
  </si>
  <si>
    <t>[PMD3530,배선 [UDT]]</t>
  </si>
  <si>
    <t>수리비,충전드릴</t>
  </si>
  <si>
    <t>[M18FPD3,키레스척 [밀워키]]</t>
  </si>
  <si>
    <t>[DCS380,루크핀 [디월트]]</t>
  </si>
  <si>
    <t>수리비,밴드쏘</t>
  </si>
  <si>
    <t>[6",바이스기어,레일수리,루크세트,톱날,각도교정 [록스]]</t>
  </si>
  <si>
    <t>[XD-40,4열[자커]]</t>
  </si>
  <si>
    <t>체인</t>
  </si>
  <si>
    <t>[4mm,CTX [KBC]]</t>
  </si>
  <si>
    <t>K2 벨트</t>
  </si>
  <si>
    <t>옥션</t>
  </si>
  <si>
    <t>앤드밀 4.5부품</t>
  </si>
  <si>
    <t>㈜비제이테크</t>
  </si>
  <si>
    <t>크린룸가방</t>
  </si>
  <si>
    <t>쿠팡㈜</t>
  </si>
  <si>
    <t>손전등 라이트</t>
  </si>
  <si>
    <t>지벤 안전화</t>
  </si>
  <si>
    <t>롯데쇼핑㈜</t>
  </si>
  <si>
    <t>소모성자재</t>
    <phoneticPr fontId="5" type="noConversion"/>
  </si>
  <si>
    <t>안전용품</t>
    <phoneticPr fontId="5" type="noConversion"/>
  </si>
  <si>
    <t>KC대납 임대료</t>
  </si>
  <si>
    <t xml:space="preserve">숙소임대료(2월분) </t>
  </si>
  <si>
    <t>함박산1길 16</t>
    <phoneticPr fontId="5" type="noConversion"/>
  </si>
  <si>
    <t>301호</t>
  </si>
  <si>
    <t>함박산8길 37</t>
    <phoneticPr fontId="5" type="noConversion"/>
  </si>
  <si>
    <t>302호</t>
  </si>
  <si>
    <t>고덕여염11길 85</t>
    <phoneticPr fontId="9" type="noConversion"/>
  </si>
  <si>
    <t>202호</t>
    <phoneticPr fontId="9" type="noConversion"/>
  </si>
  <si>
    <t>함박산9길 8-1</t>
    <phoneticPr fontId="9" type="noConversion"/>
  </si>
  <si>
    <t>201호</t>
    <phoneticPr fontId="9" type="noConversion"/>
  </si>
  <si>
    <t>함박산12길 8-10</t>
    <phoneticPr fontId="9" type="noConversion"/>
  </si>
  <si>
    <t>301호</t>
    <phoneticPr fontId="9" type="noConversion"/>
  </si>
  <si>
    <t>함박산10길 19</t>
    <phoneticPr fontId="9" type="noConversion"/>
  </si>
  <si>
    <t>고덕여염6길 108</t>
    <phoneticPr fontId="9" type="noConversion"/>
  </si>
  <si>
    <t>302호</t>
    <phoneticPr fontId="9" type="noConversion"/>
  </si>
  <si>
    <t>고덕여염5길 23-16</t>
    <phoneticPr fontId="9" type="noConversion"/>
  </si>
  <si>
    <t>402호</t>
    <phoneticPr fontId="9" type="noConversion"/>
  </si>
  <si>
    <t>고덕여염12길 92</t>
    <phoneticPr fontId="9" type="noConversion"/>
  </si>
  <si>
    <t>고덕여염16길 32</t>
    <phoneticPr fontId="9" type="noConversion"/>
  </si>
  <si>
    <t xml:space="preserve">  고덕여염 5길 15-10</t>
  </si>
  <si>
    <t>301호</t>
    <phoneticPr fontId="5" type="noConversion"/>
  </si>
  <si>
    <t>201호</t>
    <phoneticPr fontId="5" type="noConversion"/>
  </si>
  <si>
    <t>202호</t>
    <phoneticPr fontId="5" type="noConversion"/>
  </si>
  <si>
    <t xml:space="preserve">  고덕 갈평10길 67</t>
  </si>
  <si>
    <t xml:space="preserve">  고덕 갈평10길 102</t>
  </si>
  <si>
    <t>302호</t>
    <phoneticPr fontId="5" type="noConversion"/>
  </si>
  <si>
    <t xml:space="preserve">  고덕 갈평9길 43</t>
  </si>
  <si>
    <t xml:space="preserve">  함박산2길 32-2</t>
  </si>
  <si>
    <t xml:space="preserve">  함박산8길 36-2</t>
  </si>
  <si>
    <t xml:space="preserve">  고덕갈평7길 61</t>
  </si>
  <si>
    <t xml:space="preserve">  함박산4길 20</t>
  </si>
  <si>
    <t xml:space="preserve"> 칠괴길 118-10</t>
  </si>
  <si>
    <t>303호</t>
    <phoneticPr fontId="5" type="noConversion"/>
  </si>
  <si>
    <t>함박산1길 51</t>
    <phoneticPr fontId="5" type="noConversion"/>
  </si>
  <si>
    <t>관리비</t>
    <phoneticPr fontId="5" type="noConversion"/>
  </si>
  <si>
    <t>숙소전기요금(2월)</t>
  </si>
  <si>
    <t>고덕여염11길 85</t>
  </si>
  <si>
    <t>202호</t>
  </si>
  <si>
    <t>함박산9길 8-1</t>
  </si>
  <si>
    <t>201호</t>
  </si>
  <si>
    <t>함박산12길 8-10</t>
  </si>
  <si>
    <t>함박산10길 19</t>
  </si>
  <si>
    <t>고덕여염6길 108</t>
  </si>
  <si>
    <t>고덕여염5길 23-16</t>
  </si>
  <si>
    <t>402호</t>
  </si>
  <si>
    <t>고덕여염12길 92</t>
  </si>
  <si>
    <t>고덕여염16길 32</t>
  </si>
  <si>
    <t>숙소도시가스(2월)</t>
  </si>
  <si>
    <t>숙소수도요금(2월)</t>
  </si>
  <si>
    <t>고덕여염11길 85</t>
    <phoneticPr fontId="5" type="noConversion"/>
  </si>
  <si>
    <t>함박산9길 8-1</t>
    <phoneticPr fontId="5" type="noConversion"/>
  </si>
  <si>
    <t>함박산12길 8-10</t>
    <phoneticPr fontId="5" type="noConversion"/>
  </si>
  <si>
    <t>함박산10길 19</t>
    <phoneticPr fontId="5" type="noConversion"/>
  </si>
  <si>
    <t>고덕여염6길 108</t>
    <phoneticPr fontId="5" type="noConversion"/>
  </si>
  <si>
    <t>고덕여염5길 23-16</t>
    <phoneticPr fontId="5" type="noConversion"/>
  </si>
  <si>
    <t>고덕여염12길 92</t>
    <phoneticPr fontId="5" type="noConversion"/>
  </si>
  <si>
    <t>고덕여염16길 32</t>
    <phoneticPr fontId="5" type="noConversion"/>
  </si>
  <si>
    <t xml:space="preserve">  고덕여염 5길 15-10</t>
    <phoneticPr fontId="5" type="noConversion"/>
  </si>
  <si>
    <t xml:space="preserve">  고덕 갈평10길 67</t>
    <phoneticPr fontId="5" type="noConversion"/>
  </si>
  <si>
    <t xml:space="preserve">  고덕 갈평10길 102</t>
    <phoneticPr fontId="5" type="noConversion"/>
  </si>
  <si>
    <t xml:space="preserve">  고덕 갈평9길 43</t>
    <phoneticPr fontId="5" type="noConversion"/>
  </si>
  <si>
    <t xml:space="preserve">  함박산2길 32-2</t>
    <phoneticPr fontId="5" type="noConversion"/>
  </si>
  <si>
    <t xml:space="preserve">  함박산8길 36-2</t>
    <phoneticPr fontId="5" type="noConversion"/>
  </si>
  <si>
    <t xml:space="preserve">  고덕갈평7길 61</t>
    <phoneticPr fontId="5" type="noConversion"/>
  </si>
  <si>
    <t xml:space="preserve">  함박산4길 20</t>
    <phoneticPr fontId="5" type="noConversion"/>
  </si>
  <si>
    <t>KC대납 식대</t>
  </si>
  <si>
    <t>기술인및관리자 (현장 식당)</t>
  </si>
  <si>
    <t>태정위드유 주식회사</t>
    <phoneticPr fontId="5" type="noConversion"/>
  </si>
  <si>
    <t>다모아한식뷔페</t>
  </si>
  <si>
    <t>영미손김밥</t>
  </si>
  <si>
    <t>옛날장터</t>
  </si>
  <si>
    <t>은주네한식뷔페</t>
  </si>
  <si>
    <t>삼성김밥</t>
  </si>
  <si>
    <t>한솥</t>
    <phoneticPr fontId="5" type="noConversion"/>
  </si>
  <si>
    <t>식대</t>
  </si>
  <si>
    <t>설날 선물세트</t>
    <phoneticPr fontId="5" type="noConversion"/>
  </si>
  <si>
    <t>법인카드</t>
    <phoneticPr fontId="5" type="noConversion"/>
  </si>
  <si>
    <t>가락씨제이㈜</t>
    <phoneticPr fontId="5" type="noConversion"/>
  </si>
  <si>
    <t>차량유류대</t>
    <phoneticPr fontId="5" type="noConversion"/>
  </si>
  <si>
    <t>85어 5471 포터2</t>
    <phoneticPr fontId="9" type="noConversion"/>
  </si>
  <si>
    <t>남사농업협동조합</t>
  </si>
  <si>
    <t>(주)소모 칠곡주유소</t>
  </si>
  <si>
    <t>요소수</t>
    <phoneticPr fontId="5" type="noConversion"/>
  </si>
  <si>
    <t>청원로셀프주유소</t>
  </si>
  <si>
    <t>SB새벽주유소</t>
  </si>
  <si>
    <t>85어 5471 엔진오일</t>
  </si>
  <si>
    <t>공임나라 평택진위점</t>
    <phoneticPr fontId="5" type="noConversion"/>
  </si>
  <si>
    <t>AAA건전지</t>
  </si>
  <si>
    <t>페인트 마카</t>
  </si>
  <si>
    <t>책꽂이</t>
  </si>
  <si>
    <t>A4 용지</t>
  </si>
  <si>
    <t>다용도 가방</t>
  </si>
  <si>
    <t>A4 코팅지</t>
  </si>
  <si>
    <t>AA 건전지</t>
  </si>
  <si>
    <t>소모품비</t>
    <phoneticPr fontId="3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</si>
  <si>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</si>
  <si>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</si>
  <si>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</si>
  <si>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</si>
  <si>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</si>
  <si>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</si>
  <si>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</si>
  <si>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7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</si>
  <si>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</si>
  <si>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</si>
  <si>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</si>
  <si>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</si>
  <si>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</si>
  <si>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</si>
  <si>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</si>
  <si>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</si>
  <si>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</si>
  <si>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</si>
  <si>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</si>
  <si>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</si>
  <si>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</si>
  <si>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</si>
  <si>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총   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</si>
</sst>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_-;\-* #,##0_-;_-* &quot;-&quot;??_-;_-@_-"/>
    <numFmt numFmtId="190" formatCode="_-* #,##0.0_-;\-* #,##0.0_-;_-* &quot;-&quot;_-;_-@_-"/>
  </numFmts>
  <fonts count="6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0" fillId="0" borderId="0"/>
    <xf numFmtId="41" fontId="1" fillId="0" borderId="0" applyFont="0" applyFill="0" applyBorder="0" applyAlignment="0" applyProtection="0"/>
    <xf numFmtId="0" fontId="55" fillId="0" borderId="0"/>
    <xf numFmtId="0" fontId="61" fillId="0" borderId="0">
      <alignment vertical="center"/>
    </xf>
    <xf numFmtId="187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34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0" fillId="0" borderId="0" xfId="0" applyFont="1">
      <alignment vertical="center"/>
    </xf>
    <xf numFmtId="182" fontId="30" fillId="0" borderId="0" xfId="0" applyNumberFormat="1" applyFont="1">
      <alignment vertical="center"/>
    </xf>
    <xf numFmtId="0" fontId="31" fillId="0" borderId="0" xfId="9" applyFont="1" applyAlignment="1" applyProtection="1">
      <alignment horizontal="left" vertical="center"/>
      <protection locked="0"/>
    </xf>
    <xf numFmtId="40" fontId="32" fillId="0" borderId="0" xfId="9" applyNumberFormat="1" applyFont="1" applyAlignment="1" applyProtection="1">
      <alignment horizontal="left" vertical="center"/>
      <protection locked="0"/>
    </xf>
    <xf numFmtId="181" fontId="32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3" fillId="5" borderId="43" xfId="0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3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0" fillId="0" borderId="0" xfId="0" applyNumberFormat="1" applyFont="1">
      <alignment vertical="center"/>
    </xf>
    <xf numFmtId="0" fontId="30" fillId="0" borderId="0" xfId="0" applyFont="1" applyAlignment="1">
      <alignment horizontal="center" vertical="center"/>
    </xf>
    <xf numFmtId="181" fontId="30" fillId="0" borderId="0" xfId="0" applyNumberFormat="1" applyFont="1">
      <alignment vertical="center"/>
    </xf>
    <xf numFmtId="181" fontId="30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4" fillId="0" borderId="0" xfId="3" applyFont="1" applyAlignment="1">
      <alignment vertical="center"/>
    </xf>
    <xf numFmtId="0" fontId="48" fillId="0" borderId="0" xfId="3" applyFont="1" applyAlignment="1">
      <alignment vertical="center"/>
    </xf>
    <xf numFmtId="0" fontId="45" fillId="0" borderId="9" xfId="3" applyFont="1" applyBorder="1" applyAlignment="1">
      <alignment horizontal="center" vertical="center"/>
    </xf>
    <xf numFmtId="14" fontId="45" fillId="0" borderId="9" xfId="3" applyNumberFormat="1" applyFont="1" applyBorder="1" applyAlignment="1">
      <alignment horizontal="center" vertical="center"/>
    </xf>
    <xf numFmtId="182" fontId="45" fillId="0" borderId="9" xfId="3" applyNumberFormat="1" applyFont="1" applyBorder="1" applyAlignment="1">
      <alignment horizontal="center" vertical="center"/>
    </xf>
    <xf numFmtId="41" fontId="45" fillId="0" borderId="9" xfId="3" applyNumberFormat="1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5" fillId="0" borderId="0" xfId="3" applyFont="1"/>
    <xf numFmtId="0" fontId="45" fillId="0" borderId="0" xfId="3" applyFont="1" applyAlignment="1">
      <alignment horizontal="center"/>
    </xf>
    <xf numFmtId="182" fontId="45" fillId="0" borderId="0" xfId="3" applyNumberFormat="1" applyFont="1" applyAlignment="1">
      <alignment horizontal="center" vertical="center"/>
    </xf>
    <xf numFmtId="41" fontId="45" fillId="0" borderId="0" xfId="3" applyNumberFormat="1" applyFont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14" fontId="45" fillId="12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186" fontId="45" fillId="0" borderId="9" xfId="0" applyNumberFormat="1" applyFont="1" applyBorder="1" applyAlignment="1">
      <alignment horizontal="center" vertical="center"/>
    </xf>
    <xf numFmtId="0" fontId="45" fillId="0" borderId="9" xfId="0" applyFont="1" applyBorder="1" applyAlignment="1"/>
    <xf numFmtId="41" fontId="45" fillId="0" borderId="9" xfId="0" applyNumberFormat="1" applyFont="1" applyBorder="1" applyAlignment="1">
      <alignment horizontal="center" vertical="center"/>
    </xf>
    <xf numFmtId="0" fontId="45" fillId="12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41" fontId="45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8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182" fontId="35" fillId="5" borderId="45" xfId="0" applyNumberFormat="1" applyFont="1" applyFill="1" applyBorder="1" applyAlignment="1">
      <alignment horizontal="center" vertical="center"/>
    </xf>
    <xf numFmtId="41" fontId="13" fillId="0" borderId="9" xfId="14" applyFont="1" applyFill="1" applyBorder="1" applyAlignment="1">
      <alignment horizontal="center" vertical="center"/>
    </xf>
    <xf numFmtId="0" fontId="1" fillId="0" borderId="0" xfId="2">
      <alignment vertical="center"/>
    </xf>
    <xf numFmtId="41" fontId="53" fillId="2" borderId="0" xfId="2" applyNumberFormat="1" applyFont="1" applyFill="1">
      <alignment vertical="center"/>
    </xf>
    <xf numFmtId="0" fontId="53" fillId="0" borderId="0" xfId="2" quotePrefix="1" applyFont="1">
      <alignment vertical="center"/>
    </xf>
    <xf numFmtId="0" fontId="54" fillId="0" borderId="0" xfId="2" quotePrefix="1" applyFont="1">
      <alignment vertical="center"/>
    </xf>
    <xf numFmtId="0" fontId="54" fillId="0" borderId="0" xfId="2" applyFont="1" applyAlignment="1">
      <alignment horizontal="right" vertical="center"/>
    </xf>
    <xf numFmtId="41" fontId="53" fillId="13" borderId="9" xfId="4" applyFont="1" applyFill="1" applyBorder="1" applyAlignment="1">
      <alignment horizontal="center" vertical="center"/>
    </xf>
    <xf numFmtId="41" fontId="58" fillId="0" borderId="17" xfId="2" applyNumberFormat="1" applyFont="1" applyBorder="1" applyAlignment="1">
      <alignment horizontal="center" vertical="center"/>
    </xf>
    <xf numFmtId="0" fontId="58" fillId="0" borderId="9" xfId="2" applyFont="1" applyBorder="1" applyAlignment="1">
      <alignment horizontal="center" vertical="center"/>
    </xf>
    <xf numFmtId="41" fontId="58" fillId="0" borderId="9" xfId="10" applyFont="1" applyBorder="1" applyAlignment="1">
      <alignment horizontal="center" vertical="center"/>
    </xf>
    <xf numFmtId="41" fontId="58" fillId="0" borderId="9" xfId="4" applyFont="1" applyFill="1" applyBorder="1" applyAlignment="1">
      <alignment vertical="center" shrinkToFit="1"/>
    </xf>
    <xf numFmtId="184" fontId="59" fillId="0" borderId="18" xfId="2" applyNumberFormat="1" applyFont="1" applyBorder="1" applyAlignment="1">
      <alignment vertical="center" shrinkToFit="1"/>
    </xf>
    <xf numFmtId="184" fontId="59" fillId="0" borderId="18" xfId="2" quotePrefix="1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0" fillId="0" borderId="18" xfId="2" applyFont="1" applyBorder="1">
      <alignment vertical="center"/>
    </xf>
    <xf numFmtId="0" fontId="58" fillId="0" borderId="17" xfId="16" applyFont="1" applyBorder="1" applyAlignment="1">
      <alignment horizontal="left" vertical="center" wrapText="1"/>
    </xf>
    <xf numFmtId="0" fontId="58" fillId="0" borderId="9" xfId="16" applyFont="1" applyBorder="1" applyAlignment="1">
      <alignment horizontal="center" vertical="center"/>
    </xf>
    <xf numFmtId="0" fontId="58" fillId="0" borderId="17" xfId="16" applyFont="1" applyBorder="1" applyAlignment="1">
      <alignment horizontal="center" vertical="center" wrapText="1"/>
    </xf>
    <xf numFmtId="188" fontId="58" fillId="0" borderId="9" xfId="17" applyNumberFormat="1" applyFont="1" applyFill="1" applyBorder="1" applyAlignment="1">
      <alignment horizontal="center" vertical="center"/>
    </xf>
    <xf numFmtId="9" fontId="58" fillId="0" borderId="9" xfId="18" applyFont="1" applyFill="1" applyBorder="1" applyAlignment="1">
      <alignment vertical="center" shrinkToFit="1"/>
    </xf>
    <xf numFmtId="189" fontId="58" fillId="0" borderId="9" xfId="4" applyNumberFormat="1" applyFont="1" applyFill="1" applyBorder="1" applyAlignment="1">
      <alignment vertical="center" shrinkToFit="1"/>
    </xf>
    <xf numFmtId="0" fontId="58" fillId="0" borderId="9" xfId="16" applyFont="1" applyBorder="1" applyAlignment="1">
      <alignment horizontal="center" vertical="center" wrapText="1"/>
    </xf>
    <xf numFmtId="0" fontId="58" fillId="12" borderId="17" xfId="2" applyFont="1" applyFill="1" applyBorder="1" applyAlignment="1">
      <alignment horizontal="left" vertical="center" indent="1"/>
    </xf>
    <xf numFmtId="0" fontId="58" fillId="0" borderId="9" xfId="2" applyFont="1" applyBorder="1" applyAlignment="1">
      <alignment horizontal="center" vertical="center" shrinkToFit="1"/>
    </xf>
    <xf numFmtId="41" fontId="58" fillId="0" borderId="9" xfId="4" applyFont="1" applyBorder="1" applyAlignment="1">
      <alignment horizontal="center" vertical="center"/>
    </xf>
    <xf numFmtId="41" fontId="58" fillId="0" borderId="9" xfId="4" applyFont="1" applyBorder="1" applyAlignment="1">
      <alignment vertical="center" shrinkToFit="1"/>
    </xf>
    <xf numFmtId="0" fontId="58" fillId="0" borderId="17" xfId="16" applyFont="1" applyBorder="1" applyAlignment="1">
      <alignment vertical="center" shrinkToFit="1"/>
    </xf>
    <xf numFmtId="0" fontId="58" fillId="0" borderId="9" xfId="16" applyFont="1" applyBorder="1" applyAlignment="1">
      <alignment horizontal="center" vertical="center" shrinkToFit="1"/>
    </xf>
    <xf numFmtId="41" fontId="58" fillId="0" borderId="9" xfId="4" applyFont="1" applyBorder="1" applyAlignment="1">
      <alignment vertical="center"/>
    </xf>
    <xf numFmtId="0" fontId="58" fillId="0" borderId="17" xfId="16" applyFont="1" applyBorder="1" applyAlignment="1">
      <alignment horizontal="left" vertical="center" wrapText="1" indent="1"/>
    </xf>
    <xf numFmtId="0" fontId="58" fillId="0" borderId="17" xfId="2" applyFont="1" applyBorder="1" applyAlignment="1">
      <alignment horizontal="left" vertical="center" indent="1"/>
    </xf>
    <xf numFmtId="0" fontId="62" fillId="0" borderId="17" xfId="2" applyFont="1" applyBorder="1" applyAlignment="1">
      <alignment horizontal="left" vertical="center"/>
    </xf>
    <xf numFmtId="0" fontId="62" fillId="0" borderId="9" xfId="2" applyFont="1" applyBorder="1" applyAlignment="1">
      <alignment horizontal="center" vertical="center" shrinkToFit="1"/>
    </xf>
    <xf numFmtId="41" fontId="62" fillId="0" borderId="9" xfId="4" applyFont="1" applyBorder="1" applyAlignment="1">
      <alignment horizontal="center" vertical="center"/>
    </xf>
    <xf numFmtId="0" fontId="62" fillId="0" borderId="19" xfId="2" applyFont="1" applyBorder="1" applyAlignment="1">
      <alignment horizontal="center" vertical="center"/>
    </xf>
    <xf numFmtId="0" fontId="58" fillId="0" borderId="20" xfId="2" applyFont="1" applyBorder="1" applyAlignment="1">
      <alignment horizontal="center" vertical="center" shrinkToFit="1"/>
    </xf>
    <xf numFmtId="0" fontId="58" fillId="0" borderId="20" xfId="2" applyFont="1" applyBorder="1" applyAlignment="1">
      <alignment horizontal="center" vertical="center"/>
    </xf>
    <xf numFmtId="41" fontId="58" fillId="0" borderId="20" xfId="2" applyNumberFormat="1" applyFont="1" applyBorder="1" applyAlignment="1">
      <alignment horizontal="center" vertical="center"/>
    </xf>
    <xf numFmtId="190" fontId="58" fillId="0" borderId="20" xfId="2" applyNumberFormat="1" applyFont="1" applyBorder="1" applyAlignment="1">
      <alignment horizontal="center" vertical="center"/>
    </xf>
    <xf numFmtId="41" fontId="58" fillId="0" borderId="20" xfId="2" applyNumberFormat="1" applyFont="1" applyBorder="1" applyAlignment="1">
      <alignment vertical="center" shrinkToFit="1"/>
    </xf>
    <xf numFmtId="0" fontId="60" fillId="0" borderId="21" xfId="2" applyFont="1" applyBorder="1">
      <alignment vertical="center"/>
    </xf>
    <xf numFmtId="0" fontId="5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 shrinkToFit="1"/>
    </xf>
    <xf numFmtId="0" fontId="60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84" fontId="53" fillId="13" borderId="14" xfId="2" applyNumberFormat="1" applyFont="1" applyFill="1" applyBorder="1" applyAlignment="1">
      <alignment horizontal="center" vertical="center"/>
    </xf>
    <xf numFmtId="184" fontId="53" fillId="13" borderId="17" xfId="2" applyNumberFormat="1" applyFont="1" applyFill="1" applyBorder="1" applyAlignment="1">
      <alignment horizontal="center" vertical="center"/>
    </xf>
    <xf numFmtId="184" fontId="53" fillId="13" borderId="15" xfId="2" applyNumberFormat="1" applyFont="1" applyFill="1" applyBorder="1" applyAlignment="1">
      <alignment horizontal="center" vertical="center"/>
    </xf>
    <xf numFmtId="184" fontId="53" fillId="13" borderId="9" xfId="2" applyNumberFormat="1" applyFont="1" applyFill="1" applyBorder="1" applyAlignment="1">
      <alignment horizontal="center" vertical="center"/>
    </xf>
    <xf numFmtId="41" fontId="53" fillId="13" borderId="15" xfId="4" applyFont="1" applyFill="1" applyBorder="1" applyAlignment="1">
      <alignment horizontal="center" vertical="center"/>
    </xf>
    <xf numFmtId="41" fontId="53" fillId="13" borderId="9" xfId="4" applyFont="1" applyFill="1" applyBorder="1" applyAlignment="1">
      <alignment horizontal="center" vertical="center"/>
    </xf>
    <xf numFmtId="41" fontId="56" fillId="13" borderId="16" xfId="15" applyNumberFormat="1" applyFont="1" applyFill="1" applyBorder="1" applyAlignment="1">
      <alignment horizontal="center" vertical="center" shrinkToFit="1"/>
    </xf>
    <xf numFmtId="41" fontId="56" fillId="13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181" fontId="29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47" fillId="0" borderId="12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5" fillId="10" borderId="9" xfId="3" applyFont="1" applyFill="1" applyBorder="1" applyAlignment="1">
      <alignment horizontal="center" vertical="center"/>
    </xf>
    <xf numFmtId="0" fontId="45" fillId="10" borderId="10" xfId="3" applyFont="1" applyFill="1" applyBorder="1" applyAlignment="1">
      <alignment horizontal="center" vertical="center"/>
    </xf>
    <xf numFmtId="0" fontId="45" fillId="10" borderId="11" xfId="3" applyFont="1" applyFill="1" applyBorder="1" applyAlignment="1">
      <alignment horizontal="center" vertical="center"/>
    </xf>
    <xf numFmtId="49" fontId="45" fillId="10" borderId="9" xfId="3" applyNumberFormat="1" applyFont="1" applyFill="1" applyBorder="1" applyAlignment="1">
      <alignment horizontal="center" vertical="center"/>
    </xf>
    <xf numFmtId="182" fontId="45" fillId="10" borderId="9" xfId="3" applyNumberFormat="1" applyFont="1" applyFill="1" applyBorder="1" applyAlignment="1">
      <alignment horizontal="center"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90" fontId="0" fillId="0" borderId="0" xfId="0" applyNumberFormat="1">
      <alignment vertical="center"/>
    </xf>
  </cellXfs>
  <cellStyles count="19">
    <cellStyle name="백분율" xfId="7" builtinId="5"/>
    <cellStyle name="백분율 2" xfId="5" xr:uid="{00000000-0005-0000-0000-000001000000}"/>
    <cellStyle name="백분율 7" xfId="18" xr:uid="{4DE7AC7D-160A-4E19-80CE-F1584DAD8BC9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9C873BCE-F75C-4087-972C-A47543ECAC42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 2" xfId="16" xr:uid="{0EE3EE12-A90A-4755-AABA-8C832836E852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3C59242B-CB14-41F3-BB30-7018DECB7316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16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59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6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717176</xdr:colOff>
      <xdr:row>51</xdr:row>
      <xdr:rowOff>75423</xdr:rowOff>
    </xdr:from>
    <xdr:to>
      <xdr:col>12</xdr:col>
      <xdr:colOff>1445559</xdr:colOff>
      <xdr:row>61</xdr:row>
      <xdr:rowOff>155897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646EA3A-6465-45E3-B63F-548B78C22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0" y="8076423"/>
          <a:ext cx="4090147" cy="22095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  <sheetName val="노임이"/>
      <sheetName val="CAL1"/>
      <sheetName val="1062-X방향_"/>
      <sheetName val="크린룸_설비_공사"/>
      <sheetName val="을지_"/>
      <sheetName val="차액보증"/>
      <sheetName val="BID"/>
      <sheetName val="토목내역"/>
      <sheetName val="을 2"/>
      <sheetName val="을 1"/>
      <sheetName val="대치판정"/>
      <sheetName val="제출계산서"/>
      <sheetName val="세부내역"/>
      <sheetName val="inter"/>
      <sheetName val="Char"/>
      <sheetName val="gVL"/>
      <sheetName val="Cước CG"/>
      <sheetName val="gia tri theo phong"/>
      <sheetName val="Analisa Upah &amp; Bahan Plum"/>
      <sheetName val="산출2-기기동력"/>
      <sheetName val="견적서"/>
      <sheetName val="CEQ_Master"/>
      <sheetName val="Man_Master"/>
      <sheetName val="FCR-001"/>
      <sheetName val="외주가공"/>
      <sheetName val="CB"/>
      <sheetName val="EP0618"/>
      <sheetName val="집계"/>
      <sheetName val="직노"/>
      <sheetName val="경산"/>
      <sheetName val="4_MECH4"/>
      <sheetName val="1995년_섹터별_매출4"/>
      <sheetName val="표지_(2)4"/>
      <sheetName val="노원열병합__건축공사기성내역서3"/>
      <sheetName val="6PILE__(돌출)3"/>
      <sheetName val="3련_BOX3"/>
      <sheetName val="견적_(2)3"/>
      <sheetName val="1_설계조건2"/>
      <sheetName val="LOADING_경향_R13"/>
      <sheetName val="118_세금과공과3"/>
      <sheetName val="P_M_별3"/>
      <sheetName val="3__Hardware_Key_Para2"/>
      <sheetName val="DivA1_-_He_thong_nuoc_cap4"/>
      <sheetName val="DPR_format3"/>
      <sheetName val="입찰내역_발주처_양식3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RAB_AR&amp;STR9"/>
      <sheetName val="Chiet_tinh_dz355"/>
      <sheetName val="단면_(2)4"/>
      <sheetName val="CT_Thang_Mo4"/>
      <sheetName val="CT__PL4"/>
      <sheetName val="GT_nội_suy3"/>
      <sheetName val="Vật_liệu_liền_tường3"/>
      <sheetName val="견적대비_견적서2"/>
      <sheetName val="DETAIL_3"/>
      <sheetName val="BOQExterior_Work3"/>
      <sheetName val="RC_footing3"/>
      <sheetName val="Summary_cal3"/>
      <sheetName val="Luong_khoan_BĐH4"/>
      <sheetName val="NHAP_SL4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M&amp;E9"/>
      <sheetName val="RAB_AR_STR8"/>
      <sheetName val="Lat_gach_san_nha9"/>
      <sheetName val="01_THGTTT7"/>
      <sheetName val="HD_151227"/>
      <sheetName val="GT_Bieu_hanh_lang7"/>
      <sheetName val="COMMON_AREA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Danh_mục5"/>
      <sheetName val="TONG_HOP_STK_NHA_CUNG_CAP5"/>
      <sheetName val="B1_1Giatri_theo_HD5"/>
      <sheetName val="Sàn_T15"/>
      <sheetName val="Lỗ_thông_gió5"/>
      <sheetName val="Tổng_Hợp_giá_trị_theo_tháng4"/>
      <sheetName val="SS_Coc_Khoan_Nhoi4"/>
      <sheetName val="04_-_XUONG_DET_B4"/>
      <sheetName val="Data_(2)4"/>
      <sheetName val="KTXD-TQT,_PS4"/>
      <sheetName val="TH_SKL4"/>
      <sheetName val="DIEN_GIAI_KLCV_NHA_LAP_RAP4"/>
      <sheetName val="KL_THEP_NHA_LAP_RAP4"/>
      <sheetName val="Du_tru_CP-Bieu_014"/>
      <sheetName val="gia_cong_tac4"/>
      <sheetName val="GIÁ_VẬT_TƯ4"/>
      <sheetName val="Data_014"/>
      <sheetName val="General_Schedule4"/>
      <sheetName val="Data_Phat3"/>
      <sheetName val="Div26_-_Elect3"/>
      <sheetName val="MTO_REV_2(ARMOR)3"/>
      <sheetName val="Eq__Mobilization4"/>
      <sheetName val="Đơn_Giá_3"/>
      <sheetName val="2_HĐ_MÁY_+_NHÂN_LỰC3"/>
      <sheetName val="CAP_NHAT_GIA_VL3"/>
      <sheetName val="HẠNG_MỤC3"/>
      <sheetName val="GIÁM_SÁT3"/>
      <sheetName val="Dinh_muc_CP_KTCB_khac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NVN_Hotel3"/>
      <sheetName val="Doi_so3"/>
      <sheetName val="VO_-_18_2"/>
      <sheetName val="INPUT_LISTS2"/>
      <sheetName val="truc_tiep2"/>
      <sheetName val="TONG_HOP_VL-NC3"/>
      <sheetName val="TONGKE3p_3"/>
      <sheetName val="TH_VL,_NC,_DDHT_Thanhphuoc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MTO_REV_02"/>
      <sheetName val="Vật_tư2"/>
      <sheetName val="Cash_Flow2"/>
      <sheetName val="Sch_52"/>
      <sheetName val="Main_Sum_(Hotel_&amp;_Residences)2"/>
      <sheetName val="Architectural_works2"/>
      <sheetName val="Data_Validation2"/>
      <sheetName val="Bill_1_Prelim2"/>
      <sheetName val="Bill_2_Bored_Pile2"/>
      <sheetName val="KLHT-02_11"/>
      <sheetName val="D_&amp;_W_sizes1"/>
      <sheetName val="Ngân_sách1"/>
      <sheetName val="Cst_Pkg-Eden"/>
      <sheetName val="KLDT_DIEN"/>
      <sheetName val="PTVT_DIEN"/>
      <sheetName val="Thong_ke_thiet_bi"/>
      <sheetName val="TH_vat_tu1"/>
      <sheetName val="KL_VẬT_TƯ_THEO_ĐỊNH_MỨC1"/>
      <sheetName val="TH_thiet_bi1"/>
      <sheetName val="Bang_phan_tich1"/>
      <sheetName val="DM_Chi_phi1"/>
      <sheetName val="Tính_giá_NC"/>
      <sheetName val="Đầu_vào"/>
      <sheetName val="Tiên_lượng"/>
      <sheetName val="SL_cước"/>
      <sheetName val="1995_Cellular"/>
      <sheetName val="bang_tien_luong"/>
      <sheetName val="Annex_B"/>
      <sheetName val="Share_price_data"/>
      <sheetName val="1_1_Barrette_pile1"/>
      <sheetName val="TOWER_10TON"/>
      <sheetName val="Diễn_Giải_khối_lượng_bê_tông1"/>
      <sheetName val="TOWER_12TON"/>
      <sheetName val="Hơp_đồng"/>
      <sheetName val="1-2(긴급무기_원형_옥상)"/>
      <sheetName val="Int_Wind_Girder"/>
      <sheetName val="Shell_(App_A)"/>
      <sheetName val="App_F"/>
      <sheetName val="Shell_(VP_Dgn)"/>
      <sheetName val="VS_P-Q"/>
      <sheetName val="Var_"/>
      <sheetName val="백암비스타내역"/>
      <sheetName val="sum1 (2)"/>
      <sheetName val="경비_원본"/>
      <sheetName val="diff_tube"/>
      <sheetName val="1호맨홀토공"/>
      <sheetName val="Sheet9"/>
      <sheetName val="전기자료"/>
      <sheetName val="Sheet10"/>
      <sheetName val="4.포장집계"/>
      <sheetName val="부대"/>
      <sheetName val="全社"/>
      <sheetName val="RAW_Data"/>
      <sheetName val="앞면인쇄후180도_왼쪽회전"/>
      <sheetName val="뒷면나중인쇄"/>
      <sheetName val="9609추"/>
      <sheetName val="#REF!"/>
      <sheetName val="M-work"/>
      <sheetName val="WORK"/>
      <sheetName val="OTHERS"/>
      <sheetName val="Sanitary"/>
      <sheetName val="RATES"/>
      <sheetName val="tiles"/>
      <sheetName val="UPH,BHN,ALT"/>
      <sheetName val="Masonry"/>
      <sheetName val="CPA33-34"/>
      <sheetName val="Analis harga"/>
      <sheetName val="Bill 4_1a___"/>
      <sheetName val="Original External Work"/>
      <sheetName val="지질조사분석"/>
      <sheetName val="입력"/>
      <sheetName val="임대차월세계약서(사무실)"/>
      <sheetName val="공통비총괄표"/>
      <sheetName val="12월7일"/>
      <sheetName val="11월19일"/>
      <sheetName val="설비원가"/>
      <sheetName val="7. 현장관리비 "/>
      <sheetName val="6. 안전관리비"/>
      <sheetName val="Sheet465"/>
      <sheetName val="&lt;표 4&gt;시중노임단가표(공사부문)"/>
      <sheetName val="&lt;표 3&gt;단가조사"/>
      <sheetName val="계정참조"/>
      <sheetName val="수량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/>
      <sheetData sheetId="1325" refreshError="1"/>
      <sheetData sheetId="1326" refreshError="1"/>
      <sheetData sheetId="1327" refreshError="1"/>
      <sheetData sheetId="13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sheet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자재단가비교표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MOTOR"/>
      <sheetName val="UserData"/>
      <sheetName val="표지(토공)"/>
      <sheetName val="II손익관리"/>
      <sheetName val="0217상가미분양자산"/>
      <sheetName val="공사비"/>
      <sheetName val="ITB COST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  <sheetName val="RAW MATL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  <sheetName val="20_10_100"/>
      <sheetName val="도근좌표"/>
      <sheetName val="9-1전_x0001_서적"/>
      <sheetName val="주관사업"/>
      <sheetName val="현금"/>
      <sheetName val="1106  APS RATE "/>
      <sheetName val="SDR"/>
      <sheetName val="증기"/>
      <sheetName val="BIG_yosu"/>
      <sheetName val="0226"/>
      <sheetName val="pre-anal손익계산서"/>
      <sheetName val="pre-anal대차대조표"/>
      <sheetName val="3CHBDC"/>
      <sheetName val="7-1단위세대오배수FUD"/>
      <sheetName val="누락일위대가내역"/>
      <sheetName val="중연"/>
      <sheetName val="용연"/>
      <sheetName val="예산M11A"/>
      <sheetName val="计算稿"/>
      <sheetName val="처짐량비교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원가내역"/>
      <sheetName val="Financ. Overview"/>
      <sheetName val="Toolbox"/>
      <sheetName val="N001_01_A"/>
      <sheetName val="Sheet1_(3)1"/>
      <sheetName val="Balance_Sheet"/>
      <sheetName val="客戶清單customer_list"/>
      <sheetName val="JT3.0견적-구1"/>
      <sheetName val="사원번호"/>
      <sheetName val="승용"/>
      <sheetName val="관급자재"/>
      <sheetName val="특별안전보건교육"/>
      <sheetName val="코드표"/>
      <sheetName val="※_Code2__危险性分类｜위험성분류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Q4_VE_Saving(_vs_Q3)3"/>
      <sheetName val="Pad_좌표&amp;Location3"/>
      <sheetName val="Tool_trouble3"/>
      <sheetName val="4TH_64M3"/>
      <sheetName val="1__H2SO4_SUPPLY3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11월_매출_f'cst2"/>
      <sheetName val="2010_확산_SDET2"/>
      <sheetName val="样式2附件_分类体系1"/>
      <sheetName val="5_임직원_사진"/>
      <sheetName val="0_조회"/>
      <sheetName val="WAFER_X-Y_AM03-008581A"/>
      <sheetName val="Build_Plan_All"/>
      <sheetName val="총괄갑_"/>
      <sheetName val="TRE_TABLE"/>
      <sheetName val="P_M_별"/>
      <sheetName val="comps_LFY+"/>
      <sheetName val="HDI_implied"/>
      <sheetName val="Data_Table"/>
      <sheetName val="Trend_그래프用1"/>
      <sheetName val="Sch_PR-21"/>
      <sheetName val="Sch_PR-31"/>
      <sheetName val="선급법인세_(2)1"/>
      <sheetName val="DataBase_작성_샘플1"/>
      <sheetName val="일위대가_"/>
      <sheetName val="6)Matl_analysis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※_Code1__部门｜부서(팀)_"/>
      <sheetName val="부하계산서"/>
      <sheetName val="열지마시오"/>
      <sheetName val="지역개발"/>
      <sheetName val="C.O.S.S."/>
      <sheetName val="사급연봉(2_5)1"/>
      <sheetName val="오급연봉(2_5)1"/>
      <sheetName val="구급연봉(2_5)1"/>
      <sheetName val="선임연봉(2_5)1"/>
      <sheetName val="수석연봉(2_5)1"/>
      <sheetName val="전임연봉(2_5)1"/>
      <sheetName val="책임연봉(2_5)1"/>
      <sheetName val="Cutting_Dies_"/>
      <sheetName val="etc"/>
      <sheetName val="매출"/>
      <sheetName val="미수채권미도래어음기준"/>
      <sheetName val="①FABII"/>
      <sheetName val="구의33고"/>
      <sheetName val="설계명세"/>
      <sheetName val="시중노임(공사)"/>
      <sheetName val="98수문일위"/>
      <sheetName val="TOWER 12TON"/>
      <sheetName val="TOWER 10TON"/>
      <sheetName val="1.변압기용량"/>
      <sheetName val="건축일위()"/>
      <sheetName val="203"/>
      <sheetName val="계측기"/>
      <sheetName val="______C_NYJ_JMN_PLAN_97PLAN_0_2"/>
      <sheetName val="0000"/>
      <sheetName val="단위수량"/>
      <sheetName val="C.배수관공"/>
      <sheetName val="Macro(차단기)"/>
      <sheetName val="Field2"/>
      <sheetName val="Field1"/>
      <sheetName val="150227 Master"/>
      <sheetName val="Cost &amp; Fee 현장"/>
      <sheetName val="8.PILE  (돌출)"/>
      <sheetName val="04"/>
      <sheetName val="05"/>
      <sheetName val="0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 refreshError="1"/>
      <sheetData sheetId="3872"/>
      <sheetData sheetId="3873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FORM-0"/>
      <sheetName val="C.배수관공"/>
      <sheetName val="관리자명부"/>
      <sheetName val="업체현황"/>
      <sheetName val="일일계획(가공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기둥"/>
      <sheetName val="저판(버림100)"/>
      <sheetName val="토공(우물통,기타) "/>
      <sheetName val="변경집계2"/>
      <sheetName val="사급비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XL4Poppy"/>
      <sheetName val="조작대(1연)"/>
      <sheetName val="노임단가 및 기계경비"/>
      <sheetName val="영업소실적"/>
      <sheetName val="내역서(일괄적용)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5직접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철근량"/>
      <sheetName val="일위(철거)"/>
      <sheetName val="열차제어동"/>
      <sheetName val="전기성능동"/>
      <sheetName val="차량시스템인자"/>
      <sheetName val="차량부품동"/>
      <sheetName val="직재"/>
      <sheetName val="내역서(총)"/>
      <sheetName val="45,46"/>
      <sheetName val="유리"/>
      <sheetName val="철물"/>
      <sheetName val="t2s-2"/>
      <sheetName val="투찰판"/>
      <sheetName val="계약서"/>
      <sheetName val="맨홀토공"/>
      <sheetName val="청천내"/>
      <sheetName val="맨홀조서"/>
      <sheetName val="가실행 내역서"/>
      <sheetName val="공사개요"/>
      <sheetName val="보도포장연장조서-표준차도부"/>
      <sheetName val="표준차도부연장조서-ASP"/>
      <sheetName val="일위대가1"/>
      <sheetName val="지구단위계획"/>
      <sheetName val="NB - A"/>
      <sheetName val="선정요령"/>
      <sheetName val="마산방향"/>
      <sheetName val="공통가설공사"/>
      <sheetName val="단가대비표 (2)"/>
      <sheetName val="단중표"/>
      <sheetName val="합의경상"/>
      <sheetName val="J형측구단위수량"/>
      <sheetName val="연결임시"/>
      <sheetName val="기성금내역서"/>
      <sheetName val="대가"/>
      <sheetName val="옥외등신설"/>
      <sheetName val="저케CV22신설"/>
      <sheetName val="저케CV38신설"/>
      <sheetName val="저케CV8신설"/>
      <sheetName val="접지3종"/>
      <sheetName val="I一般比"/>
      <sheetName val="00년재노경"/>
      <sheetName val="인공LIST"/>
      <sheetName val="문10"/>
      <sheetName val="단면치수기입"/>
      <sheetName val="BID9697"/>
      <sheetName val="DATA 입력부"/>
      <sheetName val="sh1"/>
      <sheetName val="집수정(600-700)"/>
      <sheetName val="특2호하천산근"/>
      <sheetName val="특2호부관하천산근"/>
      <sheetName val="4차원가계산서"/>
      <sheetName val="전기단가조사서"/>
      <sheetName val="8-1"/>
      <sheetName val="식재가격"/>
      <sheetName val="식재총괄"/>
      <sheetName val="계수시트"/>
      <sheetName val="Salary(HDEC)"/>
      <sheetName val="INPUT"/>
      <sheetName val="유림골조"/>
      <sheetName val="영업.일1"/>
      <sheetName val="주관사업"/>
      <sheetName val="손익분석"/>
      <sheetName val="건축원가"/>
      <sheetName val="CHANNEL_DM"/>
      <sheetName val="당월 인력"/>
      <sheetName val="개산공사비"/>
      <sheetName val="수목단가"/>
      <sheetName val="식재수량표"/>
      <sheetName val="APT"/>
      <sheetName val="CTEMCOST"/>
      <sheetName val="NOMUBI"/>
      <sheetName val="DC-O-4-S(설명서)"/>
      <sheetName val="1. H2SO4_SUPPLY"/>
      <sheetName val="단가대비표(SYS)"/>
      <sheetName val="제조노임"/>
      <sheetName val="산출서_조적(부대동)"/>
      <sheetName val="산출서_조적(본동)"/>
      <sheetName val="SAMPLE!"/>
      <sheetName val="도수로현황"/>
      <sheetName val="STORAGE"/>
      <sheetName val="조정금액결과표 (차수별)"/>
      <sheetName val="EQT-ESTN"/>
      <sheetName val="실행(1)"/>
      <sheetName val="기안"/>
      <sheetName val="고유코드_설계"/>
      <sheetName val="작성"/>
      <sheetName val="견적서"/>
      <sheetName val="구역원별목본 "/>
      <sheetName val="자재co"/>
      <sheetName val="토공총괄표"/>
      <sheetName val="C.배수관공"/>
      <sheetName val="교량하부공"/>
      <sheetName val="단가(보완)"/>
      <sheetName val="대가 (보완)"/>
      <sheetName val="유효성목록"/>
      <sheetName val="合成単価作成表-BLDG"/>
      <sheetName val="TARGET"/>
      <sheetName val="남양시작동자105노65기1.3화1.2"/>
      <sheetName val="[95조경공.XLS][95조경공.XLS]B__95___2"/>
      <sheetName val="[95조경공.XLS][95조경공.XLS]B__95___3"/>
      <sheetName val="PI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공통비"/>
      <sheetName val="TYPE-A"/>
      <sheetName val="유형"/>
      <sheetName val="유방야장기초"/>
      <sheetName val="주식"/>
      <sheetName val="배수내역 (2)"/>
      <sheetName val="인입관수량총괄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단가조사서"/>
      <sheetName val="단가(마감)"/>
      <sheetName val="위치"/>
      <sheetName val="DATA2000"/>
      <sheetName val="경비TABLE"/>
      <sheetName val="bm-marine"/>
      <sheetName val="[95조경공.XLS]B__95___2"/>
      <sheetName val="[95조경공.XLS]B__95___3"/>
      <sheetName val="관리범위 확대"/>
      <sheetName val="월말"/>
      <sheetName val="운용미수"/>
      <sheetName val="비교손익계산서"/>
      <sheetName val="근로자자료입력"/>
      <sheetName val="참고자료"/>
      <sheetName val="공문"/>
      <sheetName val="견적갑지-70%-동명"/>
      <sheetName val="소방사항"/>
      <sheetName val="등록자료"/>
      <sheetName val="정렬"/>
      <sheetName val="인부임"/>
      <sheetName val="가로등기초"/>
      <sheetName val="분석"/>
      <sheetName val="가설공사내역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장비단"/>
      <sheetName val="노임단"/>
      <sheetName val="환경평가"/>
      <sheetName val="인구"/>
      <sheetName val="NAIL단가산출"/>
      <sheetName val="시공여유율"/>
      <sheetName val="HVAC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요약&amp;결과"/>
      <sheetName val="계약내역서"/>
      <sheetName val="const."/>
      <sheetName val="배수관공"/>
      <sheetName val="Data&amp;Result"/>
      <sheetName val="b_balju_cho"/>
      <sheetName val="system"/>
      <sheetName val="Whole Month USD"/>
      <sheetName val="데이터"/>
      <sheetName val="2000년 공정표"/>
      <sheetName val="하조서"/>
      <sheetName val="예산서"/>
      <sheetName val="금일"/>
      <sheetName val="주요자재집계"/>
      <sheetName val="열지마시오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횡배수관집현황(2공구)"/>
      <sheetName val="맨홀_공사비"/>
      <sheetName val="가도공"/>
      <sheetName val="8.PILE  (돌출)"/>
      <sheetName val="배관단가조사서"/>
      <sheetName val="종합기별"/>
      <sheetName val="노무비명세서"/>
      <sheetName val="위스키3"/>
      <sheetName val="주류전체2"/>
      <sheetName val="배수공 내역서 적용수량"/>
      <sheetName val="97노임단가"/>
      <sheetName val="입력란"/>
      <sheetName val="빗물받이(910-510-410)"/>
      <sheetName val="단위중량"/>
      <sheetName val="비품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전기설계변경"/>
      <sheetName val="현장관리비 산출내역"/>
      <sheetName val="배관배선"/>
      <sheetName val="중기사용료"/>
      <sheetName val="참조-(2)"/>
      <sheetName val="SANTOGO"/>
      <sheetName val="배수장토목공사비"/>
      <sheetName val="선급금신청서"/>
      <sheetName val="시행후면적"/>
      <sheetName val="수지예산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A24" sqref="A24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38" t="s">
        <v>0</v>
      </c>
      <c r="C4" s="238"/>
      <c r="D4" s="238"/>
      <c r="E4" s="238"/>
      <c r="F4" s="7"/>
    </row>
    <row r="5" spans="1:6" ht="21.9" customHeight="1" x14ac:dyDescent="0.4">
      <c r="A5" s="8"/>
      <c r="B5" s="238"/>
      <c r="C5" s="238"/>
      <c r="D5" s="238"/>
      <c r="E5" s="238"/>
      <c r="F5" s="9"/>
    </row>
    <row r="6" spans="1:6" ht="21.9" customHeight="1" x14ac:dyDescent="0.4">
      <c r="A6" s="10"/>
      <c r="B6" s="238"/>
      <c r="C6" s="238"/>
      <c r="D6" s="238"/>
      <c r="E6" s="238"/>
      <c r="F6" s="11"/>
    </row>
    <row r="7" spans="1:6" ht="36.9" customHeight="1" x14ac:dyDescent="0.4">
      <c r="A7" s="12"/>
      <c r="B7" s="239" t="s">
        <v>1</v>
      </c>
      <c r="C7" s="239"/>
      <c r="D7" s="239"/>
      <c r="E7" s="239"/>
      <c r="F7" s="11"/>
    </row>
    <row r="8" spans="1:6" ht="29.1" customHeight="1" x14ac:dyDescent="0.4">
      <c r="A8" s="8"/>
      <c r="B8" s="13"/>
      <c r="C8" s="240" t="s">
        <v>292</v>
      </c>
      <c r="D8" s="241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42" t="s">
        <v>724</v>
      </c>
      <c r="D14" s="242"/>
      <c r="E14" s="13"/>
      <c r="F14" s="9"/>
    </row>
    <row r="15" spans="1:6" ht="21.9" customHeight="1" x14ac:dyDescent="0.4">
      <c r="A15" s="8"/>
      <c r="B15" s="13"/>
      <c r="C15" s="243" t="s">
        <v>303</v>
      </c>
      <c r="D15" s="243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37"/>
      <c r="D19" s="237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A24" sqref="A24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44" t="s">
        <v>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80000000</v>
      </c>
      <c r="E5" s="22">
        <f>집계장!I22</f>
        <v>80000000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4" si="0">ROUNDUP(E6,0)</f>
        <v>80000000</v>
      </c>
      <c r="E6" s="22">
        <f>E7+E13</f>
        <v>80000000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40000000</v>
      </c>
      <c r="E7" s="22">
        <f>집계장!G22</f>
        <v>40000000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40000001</v>
      </c>
      <c r="E8" s="22">
        <f>집계장!F18</f>
        <v>40000000.142857194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40000000</v>
      </c>
      <c r="E13" s="32">
        <f>집계장!F22</f>
        <v>40000000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726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45" t="s">
        <v>29</v>
      </c>
      <c r="C18" s="245"/>
      <c r="D18" s="245"/>
      <c r="E18" s="245"/>
      <c r="F18" s="245"/>
      <c r="G18" s="245"/>
      <c r="H18" s="245"/>
      <c r="I18" s="245"/>
      <c r="J18" s="246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725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247" t="s">
        <v>304</v>
      </c>
      <c r="H23" s="247"/>
      <c r="I23" s="247"/>
      <c r="J23" s="247"/>
      <c r="K23" s="247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247" t="s">
        <v>305</v>
      </c>
      <c r="H24" s="247"/>
      <c r="I24" s="247"/>
      <c r="J24" s="247"/>
      <c r="K24" s="247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247" t="s">
        <v>306</v>
      </c>
      <c r="H25" s="247"/>
      <c r="I25" s="23" t="s">
        <v>307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248" t="s">
        <v>81</v>
      </c>
      <c r="B1" s="249"/>
      <c r="C1" s="249"/>
      <c r="D1" s="249"/>
      <c r="E1" s="249"/>
      <c r="F1" s="249"/>
      <c r="G1" s="249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250" t="s">
        <v>84</v>
      </c>
      <c r="B3" s="252" t="s">
        <v>85</v>
      </c>
      <c r="C3" s="252" t="s">
        <v>86</v>
      </c>
      <c r="D3" s="252" t="s">
        <v>87</v>
      </c>
      <c r="E3" s="252" t="s">
        <v>88</v>
      </c>
      <c r="F3" s="252"/>
      <c r="G3" s="254"/>
    </row>
    <row r="4" spans="1:7" ht="27.9" customHeight="1" x14ac:dyDescent="0.4">
      <c r="A4" s="251"/>
      <c r="B4" s="253"/>
      <c r="C4" s="253"/>
      <c r="D4" s="253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DCB7-7CDC-4C0A-8791-B66DDBC44691}">
  <sheetPr>
    <pageSetUpPr fitToPage="1"/>
  </sheetPr>
  <dimension ref="A1:G46"/>
  <sheetViews>
    <sheetView zoomScale="85" zoomScaleNormal="85" workbookViewId="0">
      <selection activeCell="A24" sqref="A24"/>
    </sheetView>
  </sheetViews>
  <sheetFormatPr defaultRowHeight="17.399999999999999" x14ac:dyDescent="0.4"/>
  <cols>
    <col min="1" max="1" width="25.59765625" style="191" customWidth="1"/>
    <col min="2" max="2" width="20.19921875" style="191" customWidth="1"/>
    <col min="3" max="3" width="7.3984375" style="191" customWidth="1"/>
    <col min="4" max="4" width="10.59765625" style="236" customWidth="1"/>
    <col min="5" max="5" width="9.8984375" style="191" customWidth="1"/>
    <col min="6" max="6" width="17.69921875" style="191" customWidth="1"/>
    <col min="7" max="7" width="15.59765625" style="191" customWidth="1"/>
  </cols>
  <sheetData>
    <row r="1" spans="1:7" ht="30" customHeight="1" x14ac:dyDescent="0.4">
      <c r="A1" s="255" t="s">
        <v>1043</v>
      </c>
      <c r="B1" s="255"/>
      <c r="C1" s="255"/>
      <c r="D1" s="255"/>
      <c r="E1" s="255"/>
      <c r="F1" s="255"/>
      <c r="G1" s="255"/>
    </row>
    <row r="2" spans="1:7" ht="30" customHeight="1" thickBot="1" x14ac:dyDescent="0.45">
      <c r="A2" s="192" t="s">
        <v>82</v>
      </c>
      <c r="B2" s="193"/>
      <c r="C2" s="193"/>
      <c r="D2" s="193"/>
      <c r="E2" s="194"/>
      <c r="F2" s="195"/>
      <c r="G2" s="195" t="s">
        <v>1044</v>
      </c>
    </row>
    <row r="3" spans="1:7" ht="30" customHeight="1" x14ac:dyDescent="0.4">
      <c r="A3" s="256" t="s">
        <v>1045</v>
      </c>
      <c r="B3" s="258" t="s">
        <v>1046</v>
      </c>
      <c r="C3" s="258" t="s">
        <v>1047</v>
      </c>
      <c r="D3" s="260" t="s">
        <v>1048</v>
      </c>
      <c r="E3" s="260" t="s">
        <v>1049</v>
      </c>
      <c r="F3" s="260"/>
      <c r="G3" s="262" t="s">
        <v>1050</v>
      </c>
    </row>
    <row r="4" spans="1:7" ht="30" customHeight="1" x14ac:dyDescent="0.4">
      <c r="A4" s="257"/>
      <c r="B4" s="259"/>
      <c r="C4" s="259"/>
      <c r="D4" s="261"/>
      <c r="E4" s="196" t="s">
        <v>1051</v>
      </c>
      <c r="F4" s="196" t="s">
        <v>1052</v>
      </c>
      <c r="G4" s="263"/>
    </row>
    <row r="5" spans="1:7" ht="30" customHeight="1" x14ac:dyDescent="0.4">
      <c r="A5" s="197" t="s">
        <v>1053</v>
      </c>
      <c r="B5" s="198" t="s">
        <v>1054</v>
      </c>
      <c r="C5" s="198" t="s">
        <v>1055</v>
      </c>
      <c r="D5" s="199">
        <v>1400000</v>
      </c>
      <c r="E5" s="200">
        <v>6</v>
      </c>
      <c r="F5" s="200">
        <f>D5*E5</f>
        <v>8400000</v>
      </c>
      <c r="G5" s="201"/>
    </row>
    <row r="6" spans="1:7" ht="30" customHeight="1" x14ac:dyDescent="0.4">
      <c r="A6" s="197" t="s">
        <v>1053</v>
      </c>
      <c r="B6" s="198" t="s">
        <v>1056</v>
      </c>
      <c r="C6" s="198" t="s">
        <v>1055</v>
      </c>
      <c r="D6" s="199">
        <v>1200000</v>
      </c>
      <c r="E6" s="200">
        <v>6</v>
      </c>
      <c r="F6" s="200">
        <f t="shared" ref="F6:F11" si="0">D6*E6</f>
        <v>7200000</v>
      </c>
      <c r="G6" s="202" t="s">
        <v>1057</v>
      </c>
    </row>
    <row r="7" spans="1:7" ht="30" customHeight="1" x14ac:dyDescent="0.4">
      <c r="A7" s="197" t="s">
        <v>1058</v>
      </c>
      <c r="B7" s="198" t="s">
        <v>1059</v>
      </c>
      <c r="C7" s="198" t="s">
        <v>1055</v>
      </c>
      <c r="D7" s="199">
        <v>1000000</v>
      </c>
      <c r="E7" s="200">
        <v>6</v>
      </c>
      <c r="F7" s="200">
        <f t="shared" si="0"/>
        <v>6000000</v>
      </c>
      <c r="G7" s="203" t="s">
        <v>1057</v>
      </c>
    </row>
    <row r="8" spans="1:7" ht="30" customHeight="1" x14ac:dyDescent="0.4">
      <c r="A8" s="197" t="s">
        <v>1058</v>
      </c>
      <c r="B8" s="198" t="s">
        <v>1060</v>
      </c>
      <c r="C8" s="198" t="s">
        <v>1055</v>
      </c>
      <c r="D8" s="199">
        <v>900000</v>
      </c>
      <c r="E8" s="200">
        <v>6</v>
      </c>
      <c r="F8" s="200">
        <f t="shared" si="0"/>
        <v>5400000</v>
      </c>
      <c r="G8" s="203" t="s">
        <v>1057</v>
      </c>
    </row>
    <row r="9" spans="1:7" ht="30" customHeight="1" x14ac:dyDescent="0.4">
      <c r="A9" s="197" t="s">
        <v>1058</v>
      </c>
      <c r="B9" s="198" t="s">
        <v>1061</v>
      </c>
      <c r="C9" s="198" t="s">
        <v>1055</v>
      </c>
      <c r="D9" s="199">
        <v>800000</v>
      </c>
      <c r="E9" s="200">
        <v>5</v>
      </c>
      <c r="F9" s="200">
        <f t="shared" si="0"/>
        <v>4000000</v>
      </c>
      <c r="G9" s="204"/>
    </row>
    <row r="10" spans="1:7" ht="30" customHeight="1" x14ac:dyDescent="0.4">
      <c r="A10" s="197" t="s">
        <v>1058</v>
      </c>
      <c r="B10" s="198" t="s">
        <v>1062</v>
      </c>
      <c r="C10" s="198" t="s">
        <v>1055</v>
      </c>
      <c r="D10" s="199">
        <v>700000</v>
      </c>
      <c r="E10" s="200">
        <v>6</v>
      </c>
      <c r="F10" s="200">
        <f t="shared" si="0"/>
        <v>4200000</v>
      </c>
      <c r="G10" s="203"/>
    </row>
    <row r="11" spans="1:7" ht="30" customHeight="1" x14ac:dyDescent="0.4">
      <c r="A11" s="197" t="s">
        <v>1063</v>
      </c>
      <c r="B11" s="198" t="s">
        <v>1064</v>
      </c>
      <c r="C11" s="198" t="s">
        <v>1055</v>
      </c>
      <c r="D11" s="199">
        <v>600000</v>
      </c>
      <c r="E11" s="200">
        <v>8</v>
      </c>
      <c r="F11" s="200">
        <f t="shared" si="0"/>
        <v>4800000</v>
      </c>
      <c r="G11" s="205"/>
    </row>
    <row r="12" spans="1:7" ht="30" customHeight="1" x14ac:dyDescent="0.4">
      <c r="A12" s="206"/>
      <c r="B12" s="198"/>
      <c r="C12" s="207"/>
      <c r="D12" s="199"/>
      <c r="E12" s="200"/>
      <c r="F12" s="200"/>
      <c r="G12" s="205"/>
    </row>
    <row r="13" spans="1:7" ht="30" customHeight="1" x14ac:dyDescent="0.4">
      <c r="A13" s="208" t="s">
        <v>108</v>
      </c>
      <c r="B13" s="198"/>
      <c r="C13" s="207"/>
      <c r="D13" s="209"/>
      <c r="E13" s="210">
        <v>0</v>
      </c>
      <c r="F13" s="211">
        <f>SUM(F5:F11)*E13</f>
        <v>0</v>
      </c>
      <c r="G13" s="205"/>
    </row>
    <row r="14" spans="1:7" ht="30" customHeight="1" x14ac:dyDescent="0.4">
      <c r="A14" s="206"/>
      <c r="B14" s="198"/>
      <c r="C14" s="207"/>
      <c r="D14" s="209"/>
      <c r="E14" s="200"/>
      <c r="F14" s="200"/>
      <c r="G14" s="205"/>
    </row>
    <row r="15" spans="1:7" ht="30" customHeight="1" x14ac:dyDescent="0.4">
      <c r="A15" s="206"/>
      <c r="B15" s="212"/>
      <c r="C15" s="207"/>
      <c r="D15" s="209"/>
      <c r="E15" s="200"/>
      <c r="F15" s="200"/>
      <c r="G15" s="205"/>
    </row>
    <row r="16" spans="1:7" ht="30" customHeight="1" x14ac:dyDescent="0.4">
      <c r="A16" s="206"/>
      <c r="B16" s="212"/>
      <c r="C16" s="207"/>
      <c r="D16" s="209"/>
      <c r="E16" s="200"/>
      <c r="F16" s="200"/>
      <c r="G16" s="205"/>
    </row>
    <row r="17" spans="1:7" ht="30" customHeight="1" x14ac:dyDescent="0.4">
      <c r="A17" s="206"/>
      <c r="B17" s="212"/>
      <c r="C17" s="207"/>
      <c r="D17" s="209"/>
      <c r="E17" s="200"/>
      <c r="F17" s="200"/>
      <c r="G17" s="205"/>
    </row>
    <row r="18" spans="1:7" ht="30" customHeight="1" x14ac:dyDescent="0.4">
      <c r="A18" s="213"/>
      <c r="B18" s="214"/>
      <c r="C18" s="215"/>
      <c r="D18" s="216"/>
      <c r="E18" s="200"/>
      <c r="F18" s="200"/>
      <c r="G18" s="205"/>
    </row>
    <row r="19" spans="1:7" ht="30" customHeight="1" x14ac:dyDescent="0.4">
      <c r="A19" s="217"/>
      <c r="B19" s="218"/>
      <c r="C19" s="207"/>
      <c r="D19" s="219"/>
      <c r="E19" s="200"/>
      <c r="F19" s="200"/>
      <c r="G19" s="205"/>
    </row>
    <row r="20" spans="1:7" ht="30" customHeight="1" x14ac:dyDescent="0.4">
      <c r="A20" s="217"/>
      <c r="B20" s="218"/>
      <c r="C20" s="207"/>
      <c r="D20" s="219"/>
      <c r="E20" s="200"/>
      <c r="F20" s="200"/>
      <c r="G20" s="205"/>
    </row>
    <row r="21" spans="1:7" ht="30" customHeight="1" x14ac:dyDescent="0.4">
      <c r="A21" s="220"/>
      <c r="B21" s="212"/>
      <c r="C21" s="207"/>
      <c r="D21" s="219"/>
      <c r="E21" s="200"/>
      <c r="F21" s="200"/>
      <c r="G21" s="205"/>
    </row>
    <row r="22" spans="1:7" ht="30" customHeight="1" x14ac:dyDescent="0.4">
      <c r="A22" s="220"/>
      <c r="B22" s="212"/>
      <c r="C22" s="207"/>
      <c r="D22" s="219"/>
      <c r="E22" s="200"/>
      <c r="F22" s="200"/>
      <c r="G22" s="205"/>
    </row>
    <row r="23" spans="1:7" ht="30" customHeight="1" x14ac:dyDescent="0.4">
      <c r="A23" s="221"/>
      <c r="B23" s="214"/>
      <c r="C23" s="215"/>
      <c r="D23" s="219"/>
      <c r="E23" s="200"/>
      <c r="F23" s="200"/>
      <c r="G23" s="205"/>
    </row>
    <row r="24" spans="1:7" ht="30" customHeight="1" x14ac:dyDescent="0.4">
      <c r="A24" s="220"/>
      <c r="B24" s="212"/>
      <c r="C24" s="207"/>
      <c r="D24" s="219"/>
      <c r="E24" s="200"/>
      <c r="F24" s="200"/>
      <c r="G24" s="205"/>
    </row>
    <row r="25" spans="1:7" ht="30" customHeight="1" x14ac:dyDescent="0.4">
      <c r="A25" s="221"/>
      <c r="B25" s="214"/>
      <c r="C25" s="215"/>
      <c r="D25" s="219"/>
      <c r="E25" s="200"/>
      <c r="F25" s="200"/>
      <c r="G25" s="205"/>
    </row>
    <row r="26" spans="1:7" ht="30" customHeight="1" x14ac:dyDescent="0.4">
      <c r="A26" s="222"/>
      <c r="B26" s="223"/>
      <c r="C26" s="224"/>
      <c r="D26" s="224"/>
      <c r="E26" s="200"/>
      <c r="F26" s="200"/>
      <c r="G26" s="205"/>
    </row>
    <row r="27" spans="1:7" ht="30" customHeight="1" thickBot="1" x14ac:dyDescent="0.45">
      <c r="A27" s="225" t="s">
        <v>1065</v>
      </c>
      <c r="B27" s="226"/>
      <c r="C27" s="227"/>
      <c r="D27" s="228"/>
      <c r="E27" s="229">
        <f>SUM(E5:E11)</f>
        <v>43</v>
      </c>
      <c r="F27" s="230">
        <f>SUM(F5:F26)</f>
        <v>40000000</v>
      </c>
      <c r="G27" s="231"/>
    </row>
    <row r="28" spans="1:7" x14ac:dyDescent="0.4">
      <c r="A28" s="232"/>
      <c r="B28" s="233"/>
      <c r="C28" s="234"/>
      <c r="D28" s="234"/>
    </row>
    <row r="29" spans="1:7" x14ac:dyDescent="0.4">
      <c r="A29" s="234"/>
      <c r="B29" s="234"/>
      <c r="C29" s="234"/>
      <c r="D29" s="234"/>
    </row>
    <row r="30" spans="1:7" x14ac:dyDescent="0.4">
      <c r="A30" s="234"/>
      <c r="B30" s="234"/>
      <c r="C30" s="234"/>
      <c r="D30" s="234"/>
    </row>
    <row r="31" spans="1:7" x14ac:dyDescent="0.4">
      <c r="A31" s="234"/>
      <c r="B31" s="234"/>
      <c r="C31" s="234"/>
      <c r="D31" s="234"/>
    </row>
    <row r="32" spans="1:7" x14ac:dyDescent="0.4">
      <c r="A32" s="234"/>
      <c r="B32" s="234"/>
      <c r="C32" s="234"/>
      <c r="D32" s="234"/>
    </row>
    <row r="33" spans="1:4" x14ac:dyDescent="0.4">
      <c r="A33" s="235"/>
      <c r="B33" s="235"/>
      <c r="C33" s="235"/>
      <c r="D33" s="235"/>
    </row>
    <row r="34" spans="1:4" x14ac:dyDescent="0.4">
      <c r="A34" s="235"/>
      <c r="B34" s="235"/>
      <c r="C34" s="235"/>
      <c r="D34" s="235"/>
    </row>
    <row r="35" spans="1:4" x14ac:dyDescent="0.4">
      <c r="A35" s="235"/>
      <c r="B35" s="235"/>
      <c r="C35" s="235"/>
      <c r="D35" s="235"/>
    </row>
    <row r="36" spans="1:4" x14ac:dyDescent="0.4">
      <c r="A36" s="235"/>
      <c r="B36" s="235"/>
      <c r="C36" s="235"/>
      <c r="D36" s="235"/>
    </row>
    <row r="37" spans="1:4" x14ac:dyDescent="0.4">
      <c r="A37" s="235"/>
      <c r="B37" s="235"/>
      <c r="C37" s="235"/>
      <c r="D37" s="235"/>
    </row>
    <row r="38" spans="1:4" x14ac:dyDescent="0.4">
      <c r="A38" s="235"/>
      <c r="B38" s="235"/>
      <c r="C38" s="235"/>
      <c r="D38" s="235"/>
    </row>
    <row r="39" spans="1:4" x14ac:dyDescent="0.4">
      <c r="A39" s="235"/>
      <c r="C39" s="235"/>
      <c r="D39" s="235"/>
    </row>
    <row r="40" spans="1:4" x14ac:dyDescent="0.4">
      <c r="A40" s="235"/>
      <c r="C40" s="235"/>
      <c r="D40" s="235"/>
    </row>
    <row r="41" spans="1:4" x14ac:dyDescent="0.4">
      <c r="A41" s="235"/>
      <c r="C41" s="235"/>
      <c r="D41" s="235"/>
    </row>
    <row r="42" spans="1:4" x14ac:dyDescent="0.4">
      <c r="A42" s="235"/>
      <c r="C42" s="235"/>
      <c r="D42" s="235"/>
    </row>
    <row r="43" spans="1:4" x14ac:dyDescent="0.4">
      <c r="A43" s="235"/>
      <c r="C43" s="235"/>
      <c r="D43" s="235"/>
    </row>
    <row r="44" spans="1:4" x14ac:dyDescent="0.4">
      <c r="C44" s="235"/>
      <c r="D44" s="235"/>
    </row>
    <row r="45" spans="1:4" x14ac:dyDescent="0.4">
      <c r="C45" s="235"/>
    </row>
    <row r="46" spans="1:4" x14ac:dyDescent="0.4">
      <c r="C46" s="235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6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tabSelected="1" view="pageBreakPreview" zoomScale="85" zoomScaleNormal="100" zoomScaleSheetLayoutView="85" workbookViewId="0">
      <selection activeCell="H9" sqref="H9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</cols>
  <sheetData>
    <row r="1" spans="1:12" ht="39.9" customHeight="1" thickTop="1" x14ac:dyDescent="0.4">
      <c r="A1" s="267" t="str">
        <f>'용역청구서 표지'!$B$7</f>
        <v>P4 Ph4 GAS 1공구 마감공사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9"/>
    </row>
    <row r="2" spans="1:12" ht="20.100000000000001" customHeight="1" x14ac:dyDescent="0.35">
      <c r="A2" s="54"/>
      <c r="J2" s="56"/>
      <c r="L2" s="57" t="str">
        <f>'용역청구서 표지'!$C$15</f>
        <v>㈜태성하이텍</v>
      </c>
    </row>
    <row r="3" spans="1:12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70" t="s">
        <v>119</v>
      </c>
      <c r="K3" s="270"/>
      <c r="L3" s="271"/>
    </row>
    <row r="4" spans="1:12" ht="30" customHeight="1" x14ac:dyDescent="0.4">
      <c r="A4" s="63" t="s">
        <v>120</v>
      </c>
      <c r="B4" s="64" t="s">
        <v>121</v>
      </c>
      <c r="C4" s="46" t="s">
        <v>122</v>
      </c>
      <c r="D4" s="151">
        <f>SUM('물량 내역서'!$J$5:$J$27)</f>
        <v>2056.5</v>
      </c>
      <c r="E4" s="47">
        <f>F4/D4</f>
        <v>437000</v>
      </c>
      <c r="F4" s="65">
        <f>SUM('물량 내역서'!$K$5:$K$27)</f>
        <v>898690500</v>
      </c>
      <c r="G4" s="66">
        <v>939113000</v>
      </c>
      <c r="H4" s="47">
        <f t="shared" ref="H4:H22" si="0">F4</f>
        <v>898690500</v>
      </c>
      <c r="I4" s="67">
        <f>G4+H4</f>
        <v>1837803500</v>
      </c>
      <c r="J4" s="264"/>
      <c r="K4" s="265"/>
      <c r="L4" s="266"/>
    </row>
    <row r="5" spans="1:12" ht="30" customHeight="1" x14ac:dyDescent="0.4">
      <c r="A5" s="68"/>
      <c r="B5" s="64" t="s">
        <v>123</v>
      </c>
      <c r="C5" s="46" t="s">
        <v>124</v>
      </c>
      <c r="D5" s="150">
        <f>SUM('물량 내역서'!$J$28:$J$50)</f>
        <v>104</v>
      </c>
      <c r="E5" s="47">
        <f>F5/D5</f>
        <v>124519.23076923077</v>
      </c>
      <c r="F5" s="65">
        <f>SUM('물량 내역서'!$K$28:$K$50)</f>
        <v>12950000</v>
      </c>
      <c r="G5" s="66"/>
      <c r="H5" s="47">
        <f t="shared" si="0"/>
        <v>12950000</v>
      </c>
      <c r="I5" s="67">
        <f t="shared" ref="I5:I7" si="1">G5+H5</f>
        <v>12950000</v>
      </c>
      <c r="J5" s="264"/>
      <c r="K5" s="265"/>
      <c r="L5" s="266"/>
    </row>
    <row r="6" spans="1:12" ht="30" customHeight="1" x14ac:dyDescent="0.4">
      <c r="A6" s="68"/>
      <c r="B6" s="64" t="s">
        <v>125</v>
      </c>
      <c r="C6" s="46" t="s">
        <v>126</v>
      </c>
      <c r="D6" s="69">
        <f>'근로내역 (02월)'!AN131</f>
        <v>0</v>
      </c>
      <c r="E6" s="47">
        <v>0</v>
      </c>
      <c r="F6" s="65">
        <f>'근로내역 (02월)'!AP131</f>
        <v>0</v>
      </c>
      <c r="G6" s="66"/>
      <c r="H6" s="47">
        <f t="shared" si="0"/>
        <v>0</v>
      </c>
      <c r="I6" s="67">
        <f t="shared" si="1"/>
        <v>0</v>
      </c>
      <c r="J6" s="264"/>
      <c r="K6" s="265"/>
      <c r="L6" s="266"/>
    </row>
    <row r="7" spans="1:12" ht="30" customHeight="1" x14ac:dyDescent="0.4">
      <c r="A7" s="63" t="s">
        <v>127</v>
      </c>
      <c r="B7" s="70"/>
      <c r="C7" s="46" t="s">
        <v>128</v>
      </c>
      <c r="D7" s="46"/>
      <c r="E7" s="47">
        <v>0</v>
      </c>
      <c r="F7" s="65">
        <f t="shared" ref="F7:F12" si="2">D7*E7</f>
        <v>0</v>
      </c>
      <c r="G7" s="66"/>
      <c r="H7" s="47">
        <f t="shared" si="0"/>
        <v>0</v>
      </c>
      <c r="I7" s="67">
        <f t="shared" si="1"/>
        <v>0</v>
      </c>
      <c r="J7" s="264"/>
      <c r="K7" s="265"/>
      <c r="L7" s="266"/>
    </row>
    <row r="8" spans="1:12" ht="30" customHeight="1" x14ac:dyDescent="0.4">
      <c r="A8" s="71" t="s">
        <v>129</v>
      </c>
      <c r="B8" s="272" t="s">
        <v>130</v>
      </c>
      <c r="C8" s="273"/>
      <c r="D8" s="72"/>
      <c r="E8" s="72"/>
      <c r="F8" s="73">
        <f>SUM(F4:F7)</f>
        <v>911640500</v>
      </c>
      <c r="G8" s="74">
        <v>939113000</v>
      </c>
      <c r="H8" s="75">
        <f t="shared" si="0"/>
        <v>911640500</v>
      </c>
      <c r="I8" s="76">
        <f>G8+H8</f>
        <v>1850753500</v>
      </c>
      <c r="J8" s="274"/>
      <c r="K8" s="275"/>
      <c r="L8" s="276"/>
    </row>
    <row r="9" spans="1:12" ht="30" customHeight="1" x14ac:dyDescent="0.4">
      <c r="A9" s="63" t="s">
        <v>131</v>
      </c>
      <c r="B9" s="64" t="s">
        <v>132</v>
      </c>
      <c r="C9" s="46" t="s">
        <v>133</v>
      </c>
      <c r="D9" s="69">
        <f>'근로내역 (02월)'!AN132</f>
        <v>2975.125</v>
      </c>
      <c r="E9" s="77">
        <f>F9/D9</f>
        <v>183883.03012478468</v>
      </c>
      <c r="F9" s="65">
        <f>'근로내역 (02월)'!AP132</f>
        <v>547075000</v>
      </c>
      <c r="G9" s="66">
        <v>627525000</v>
      </c>
      <c r="H9" s="47">
        <f t="shared" si="0"/>
        <v>547075000</v>
      </c>
      <c r="I9" s="67">
        <f>G9+H9</f>
        <v>1174600000</v>
      </c>
      <c r="J9" s="264"/>
      <c r="K9" s="265"/>
      <c r="L9" s="266"/>
    </row>
    <row r="10" spans="1:12" ht="30" customHeight="1" x14ac:dyDescent="0.4">
      <c r="A10" s="63" t="s">
        <v>134</v>
      </c>
      <c r="B10" s="64" t="s">
        <v>135</v>
      </c>
      <c r="C10" s="46" t="s">
        <v>128</v>
      </c>
      <c r="D10" s="46">
        <f>SUM(숙소임차료!G4:G100)+SUM(숙소관리비!G4:G8)</f>
        <v>28</v>
      </c>
      <c r="E10" s="47">
        <f>F10/D10</f>
        <v>983745.45918367349</v>
      </c>
      <c r="F10" s="65">
        <f>숙소임차료!I3+숙소관리비!I3</f>
        <v>27544872.857142858</v>
      </c>
      <c r="G10" s="66">
        <v>29636519.89247312</v>
      </c>
      <c r="H10" s="47">
        <f t="shared" si="0"/>
        <v>27544872.857142858</v>
      </c>
      <c r="I10" s="67">
        <f t="shared" ref="I10:I12" si="3">G10+H10</f>
        <v>57181392.749615982</v>
      </c>
      <c r="J10" s="264"/>
      <c r="K10" s="265"/>
      <c r="L10" s="266"/>
    </row>
    <row r="11" spans="1:12" ht="30" customHeight="1" x14ac:dyDescent="0.4">
      <c r="A11" s="63"/>
      <c r="B11" s="64" t="s">
        <v>136</v>
      </c>
      <c r="C11" s="46" t="s">
        <v>137</v>
      </c>
      <c r="D11" s="46">
        <f>SUM(식대비용!G4:G9)</f>
        <v>5283</v>
      </c>
      <c r="E11" s="47">
        <f>F11/D11</f>
        <v>8046.9946999810718</v>
      </c>
      <c r="F11" s="65">
        <f>식대비용!I3</f>
        <v>42512273</v>
      </c>
      <c r="G11" s="66">
        <v>40830728</v>
      </c>
      <c r="H11" s="47">
        <f t="shared" si="0"/>
        <v>42512273</v>
      </c>
      <c r="I11" s="67">
        <f t="shared" si="3"/>
        <v>83343001</v>
      </c>
      <c r="J11" s="264"/>
      <c r="K11" s="265"/>
      <c r="L11" s="266"/>
    </row>
    <row r="12" spans="1:12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/>
      <c r="H12" s="47">
        <f t="shared" si="0"/>
        <v>0</v>
      </c>
      <c r="I12" s="67">
        <f t="shared" si="3"/>
        <v>0</v>
      </c>
      <c r="J12" s="264"/>
      <c r="K12" s="265"/>
      <c r="L12" s="266"/>
    </row>
    <row r="13" spans="1:12" ht="30" customHeight="1" x14ac:dyDescent="0.4">
      <c r="A13" s="71" t="s">
        <v>139</v>
      </c>
      <c r="B13" s="272" t="s">
        <v>140</v>
      </c>
      <c r="C13" s="273"/>
      <c r="D13" s="72"/>
      <c r="E13" s="72"/>
      <c r="F13" s="73">
        <f t="shared" ref="F13" si="4">SUM(F9:F12)</f>
        <v>617132145.85714281</v>
      </c>
      <c r="G13" s="74">
        <f>SUM(G9:G12)</f>
        <v>697992247.8924731</v>
      </c>
      <c r="H13" s="75">
        <f t="shared" si="0"/>
        <v>617132145.85714281</v>
      </c>
      <c r="I13" s="76">
        <f>G13+H13</f>
        <v>1315124393.7496159</v>
      </c>
      <c r="J13" s="274"/>
      <c r="K13" s="275"/>
      <c r="L13" s="276"/>
    </row>
    <row r="14" spans="1:12" ht="30" customHeight="1" x14ac:dyDescent="0.4">
      <c r="A14" s="71" t="s">
        <v>141</v>
      </c>
      <c r="B14" s="272" t="s">
        <v>142</v>
      </c>
      <c r="C14" s="273"/>
      <c r="D14" s="72"/>
      <c r="E14" s="72"/>
      <c r="F14" s="73">
        <f>F8-F13</f>
        <v>294508354.14285719</v>
      </c>
      <c r="G14" s="74">
        <f>G8-G13</f>
        <v>241120752.1075269</v>
      </c>
      <c r="H14" s="75">
        <f t="shared" si="0"/>
        <v>294508354.14285719</v>
      </c>
      <c r="I14" s="76">
        <f>G14+H14</f>
        <v>535629106.25038409</v>
      </c>
      <c r="J14" s="274"/>
      <c r="K14" s="275"/>
      <c r="L14" s="276"/>
    </row>
    <row r="15" spans="1:12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>
        <v>254508354</v>
      </c>
      <c r="G15" s="66">
        <v>201068934</v>
      </c>
      <c r="H15" s="47">
        <f t="shared" si="0"/>
        <v>254508354</v>
      </c>
      <c r="I15" s="67">
        <f>G15+H15</f>
        <v>455577288</v>
      </c>
      <c r="J15" s="264"/>
      <c r="K15" s="265"/>
      <c r="L15" s="266"/>
    </row>
    <row r="16" spans="1:12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64"/>
      <c r="K16" s="265"/>
      <c r="L16" s="266"/>
    </row>
    <row r="17" spans="1:12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64"/>
      <c r="K17" s="265"/>
      <c r="L17" s="266"/>
    </row>
    <row r="18" spans="1:12" ht="30" customHeight="1" x14ac:dyDescent="0.4">
      <c r="A18" s="71" t="s">
        <v>151</v>
      </c>
      <c r="B18" s="272" t="s">
        <v>152</v>
      </c>
      <c r="C18" s="273"/>
      <c r="D18" s="72"/>
      <c r="E18" s="72"/>
      <c r="F18" s="73">
        <f>F14-F15+F16+F17</f>
        <v>40000000.142857194</v>
      </c>
      <c r="G18" s="74">
        <f>G14-G15-G16-G17</f>
        <v>40051818.107526898</v>
      </c>
      <c r="H18" s="75">
        <f t="shared" si="0"/>
        <v>40000000.142857194</v>
      </c>
      <c r="I18" s="76">
        <f>G18+H18</f>
        <v>80051818.250384092</v>
      </c>
      <c r="J18" s="274"/>
      <c r="K18" s="275"/>
      <c r="L18" s="276"/>
    </row>
    <row r="19" spans="1:12" ht="30" customHeight="1" x14ac:dyDescent="0.4">
      <c r="A19" s="281" t="s">
        <v>153</v>
      </c>
      <c r="B19" s="64" t="s">
        <v>154</v>
      </c>
      <c r="C19" s="46" t="s">
        <v>147</v>
      </c>
      <c r="D19" s="46"/>
      <c r="E19" s="46"/>
      <c r="F19" s="65"/>
      <c r="G19" s="66"/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 x14ac:dyDescent="0.4">
      <c r="A20" s="281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82">
        <v>0</v>
      </c>
      <c r="L20" s="285">
        <f>K20-I20</f>
        <v>0</v>
      </c>
    </row>
    <row r="21" spans="1:12" ht="30" customHeight="1" x14ac:dyDescent="0.4">
      <c r="A21" s="288" t="s">
        <v>159</v>
      </c>
      <c r="B21" s="289"/>
      <c r="C21" s="290"/>
      <c r="D21" s="81"/>
      <c r="E21" s="81"/>
      <c r="F21" s="82">
        <f>F18-F20</f>
        <v>40000000.142857194</v>
      </c>
      <c r="G21" s="83">
        <f>G18-G19</f>
        <v>40051818.107526898</v>
      </c>
      <c r="H21" s="84">
        <f t="shared" si="0"/>
        <v>40000000.142857194</v>
      </c>
      <c r="I21" s="85">
        <f>G21+H21</f>
        <v>80051818.250384092</v>
      </c>
      <c r="J21" s="81"/>
      <c r="K21" s="283"/>
      <c r="L21" s="286"/>
    </row>
    <row r="22" spans="1:12" ht="30" customHeight="1" x14ac:dyDescent="0.4">
      <c r="A22" s="288" t="s">
        <v>160</v>
      </c>
      <c r="B22" s="289"/>
      <c r="C22" s="290"/>
      <c r="D22" s="81"/>
      <c r="E22" s="81"/>
      <c r="F22" s="82">
        <f>ROUNDDOWN(F21,-5)</f>
        <v>40000000</v>
      </c>
      <c r="G22" s="83">
        <f>ROUNDDOWN(G21,-5)</f>
        <v>40000000</v>
      </c>
      <c r="H22" s="84">
        <f t="shared" si="0"/>
        <v>40000000</v>
      </c>
      <c r="I22" s="85">
        <f>G22+H22</f>
        <v>80000000</v>
      </c>
      <c r="J22" s="86" t="s">
        <v>161</v>
      </c>
      <c r="K22" s="284"/>
      <c r="L22" s="287"/>
    </row>
    <row r="23" spans="1:12" ht="30" customHeight="1" x14ac:dyDescent="0.4">
      <c r="A23" s="277" t="s">
        <v>162</v>
      </c>
      <c r="B23" s="278"/>
      <c r="C23" s="279"/>
      <c r="D23" s="278" t="s">
        <v>163</v>
      </c>
      <c r="E23" s="278"/>
      <c r="F23" s="278"/>
      <c r="G23" s="278"/>
      <c r="H23" s="278"/>
      <c r="I23" s="278"/>
      <c r="J23" s="278"/>
      <c r="K23" s="278"/>
      <c r="L23" s="280"/>
    </row>
    <row r="24" spans="1:12" ht="21" customHeight="1" x14ac:dyDescent="0.4">
      <c r="A24" s="87" t="s">
        <v>164</v>
      </c>
      <c r="L24" s="88"/>
    </row>
    <row r="25" spans="1:12" ht="21" customHeight="1" x14ac:dyDescent="0.4">
      <c r="A25" s="87" t="s">
        <v>165</v>
      </c>
      <c r="L25" s="88"/>
    </row>
    <row r="26" spans="1:12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 x14ac:dyDescent="0.4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1"/>
  <sheetViews>
    <sheetView zoomScale="85" zoomScaleNormal="85" workbookViewId="0">
      <pane ySplit="4" topLeftCell="A5" activePane="bottomLeft" state="frozen"/>
      <selection activeCell="A24" sqref="A24"/>
      <selection pane="bottomLeft" activeCell="O39" sqref="O31:O39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9.8984375" bestFit="1" customWidth="1"/>
    <col min="8" max="8" width="13.19921875" bestFit="1" customWidth="1"/>
    <col min="9" max="9" width="17.59765625" customWidth="1"/>
    <col min="10" max="10" width="13.19921875" bestFit="1" customWidth="1"/>
    <col min="11" max="11" width="17.59765625" customWidth="1"/>
    <col min="12" max="12" width="13.19921875" bestFit="1" customWidth="1"/>
    <col min="13" max="13" width="19.8984375" bestFit="1" customWidth="1"/>
  </cols>
  <sheetData>
    <row r="1" spans="1:16" ht="37.799999999999997" x14ac:dyDescent="0.4">
      <c r="A1" s="294" t="s">
        <v>727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</row>
    <row r="2" spans="1:16" ht="19.2" x14ac:dyDescent="0.4">
      <c r="A2" s="92" t="str">
        <f>'용역청구서 표지'!$B$7</f>
        <v>P4 Ph4 GAS 1공구 마감공사</v>
      </c>
      <c r="M2" s="42" t="s">
        <v>167</v>
      </c>
    </row>
    <row r="3" spans="1:16" ht="27.9" customHeight="1" x14ac:dyDescent="0.4">
      <c r="A3" s="295" t="s">
        <v>168</v>
      </c>
      <c r="B3" s="295" t="s">
        <v>169</v>
      </c>
      <c r="C3" s="295" t="s">
        <v>170</v>
      </c>
      <c r="D3" s="296" t="s">
        <v>171</v>
      </c>
      <c r="E3" s="295" t="s">
        <v>172</v>
      </c>
      <c r="F3" s="295" t="s">
        <v>173</v>
      </c>
      <c r="G3" s="295"/>
      <c r="H3" s="295" t="s">
        <v>174</v>
      </c>
      <c r="I3" s="295"/>
      <c r="J3" s="295" t="s">
        <v>175</v>
      </c>
      <c r="K3" s="295"/>
      <c r="L3" s="295" t="s">
        <v>176</v>
      </c>
      <c r="M3" s="295"/>
    </row>
    <row r="4" spans="1:16" ht="27.9" customHeight="1" x14ac:dyDescent="0.4">
      <c r="A4" s="295"/>
      <c r="B4" s="295"/>
      <c r="C4" s="295"/>
      <c r="D4" s="296"/>
      <c r="E4" s="295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6" ht="27.9" hidden="1" customHeight="1" x14ac:dyDescent="0.4">
      <c r="A5" s="94" t="s">
        <v>180</v>
      </c>
      <c r="B5" s="38" t="s">
        <v>181</v>
      </c>
      <c r="C5" s="38" t="s">
        <v>182</v>
      </c>
      <c r="D5" s="95">
        <v>0</v>
      </c>
      <c r="E5" s="96">
        <v>437000</v>
      </c>
      <c r="F5" s="99">
        <f>L5</f>
        <v>0</v>
      </c>
      <c r="G5" s="97">
        <f>M5</f>
        <v>0</v>
      </c>
      <c r="H5" s="99"/>
      <c r="I5" s="94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6" ht="27.9" hidden="1" customHeight="1" x14ac:dyDescent="0.4">
      <c r="A6" s="94" t="s">
        <v>183</v>
      </c>
      <c r="B6" s="38" t="s">
        <v>184</v>
      </c>
      <c r="C6" s="38" t="s">
        <v>185</v>
      </c>
      <c r="D6" s="95">
        <v>0</v>
      </c>
      <c r="E6" s="96">
        <v>437000</v>
      </c>
      <c r="F6" s="99">
        <f t="shared" ref="F6:G50" si="0">L6</f>
        <v>0</v>
      </c>
      <c r="G6" s="97">
        <f t="shared" si="0"/>
        <v>0</v>
      </c>
      <c r="H6" s="99"/>
      <c r="I6" s="94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6" ht="27.9" hidden="1" customHeight="1" x14ac:dyDescent="0.4">
      <c r="A7" s="94" t="s">
        <v>180</v>
      </c>
      <c r="B7" s="38" t="s">
        <v>186</v>
      </c>
      <c r="C7" s="38" t="s">
        <v>182</v>
      </c>
      <c r="D7" s="95">
        <v>0</v>
      </c>
      <c r="E7" s="96">
        <v>437000</v>
      </c>
      <c r="F7" s="99">
        <f t="shared" si="0"/>
        <v>0</v>
      </c>
      <c r="G7" s="97">
        <f t="shared" si="0"/>
        <v>0</v>
      </c>
      <c r="H7" s="99"/>
      <c r="I7" s="94"/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6" ht="27.9" customHeight="1" x14ac:dyDescent="0.4">
      <c r="A8" s="94" t="s">
        <v>180</v>
      </c>
      <c r="B8" s="38" t="s">
        <v>187</v>
      </c>
      <c r="C8" s="38" t="s">
        <v>182</v>
      </c>
      <c r="D8" s="95">
        <v>179</v>
      </c>
      <c r="E8" s="96">
        <v>437000</v>
      </c>
      <c r="F8" s="99">
        <f t="shared" si="0"/>
        <v>310</v>
      </c>
      <c r="G8" s="97">
        <f t="shared" si="0"/>
        <v>135470000</v>
      </c>
      <c r="H8" s="99">
        <v>131</v>
      </c>
      <c r="I8" s="96">
        <v>57247000</v>
      </c>
      <c r="J8" s="99">
        <f>$D8*'DIA-INCH'!$C8</f>
        <v>179</v>
      </c>
      <c r="K8" s="97">
        <f t="shared" si="1"/>
        <v>78223000</v>
      </c>
      <c r="L8" s="99">
        <f t="shared" si="2"/>
        <v>310</v>
      </c>
      <c r="M8" s="97">
        <f t="shared" si="2"/>
        <v>135470000</v>
      </c>
      <c r="P8" s="187"/>
    </row>
    <row r="9" spans="1:16" ht="27.9" hidden="1" customHeight="1" x14ac:dyDescent="0.4">
      <c r="A9" s="94" t="s">
        <v>180</v>
      </c>
      <c r="B9" s="38" t="s">
        <v>188</v>
      </c>
      <c r="C9" s="38" t="s">
        <v>182</v>
      </c>
      <c r="D9" s="95">
        <v>0</v>
      </c>
      <c r="E9" s="96">
        <v>437000</v>
      </c>
      <c r="F9" s="99">
        <f t="shared" si="0"/>
        <v>0</v>
      </c>
      <c r="G9" s="97">
        <f t="shared" si="0"/>
        <v>0</v>
      </c>
      <c r="H9" s="99">
        <v>0</v>
      </c>
      <c r="I9" s="96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  <c r="P9" s="187"/>
    </row>
    <row r="10" spans="1:16" ht="27.9" customHeight="1" x14ac:dyDescent="0.4">
      <c r="A10" s="94" t="s">
        <v>180</v>
      </c>
      <c r="B10" s="38" t="s">
        <v>189</v>
      </c>
      <c r="C10" s="38" t="s">
        <v>185</v>
      </c>
      <c r="D10" s="95">
        <v>14</v>
      </c>
      <c r="E10" s="96">
        <v>437000</v>
      </c>
      <c r="F10" s="99">
        <f t="shared" si="0"/>
        <v>58.5</v>
      </c>
      <c r="G10" s="97">
        <f t="shared" si="0"/>
        <v>25564500</v>
      </c>
      <c r="H10" s="99">
        <v>37.5</v>
      </c>
      <c r="I10" s="96">
        <v>16387500</v>
      </c>
      <c r="J10" s="99">
        <f>$D10*'DIA-INCH'!$C10</f>
        <v>21</v>
      </c>
      <c r="K10" s="97">
        <f t="shared" si="1"/>
        <v>9177000</v>
      </c>
      <c r="L10" s="99">
        <f t="shared" si="2"/>
        <v>58.5</v>
      </c>
      <c r="M10" s="97">
        <f t="shared" si="2"/>
        <v>25564500</v>
      </c>
      <c r="P10" s="187"/>
    </row>
    <row r="11" spans="1:16" ht="27.9" customHeight="1" x14ac:dyDescent="0.4">
      <c r="A11" s="94" t="s">
        <v>180</v>
      </c>
      <c r="B11" s="38" t="s">
        <v>190</v>
      </c>
      <c r="C11" s="38" t="s">
        <v>185</v>
      </c>
      <c r="D11" s="95">
        <v>92</v>
      </c>
      <c r="E11" s="96">
        <v>437000</v>
      </c>
      <c r="F11" s="99">
        <f t="shared" si="0"/>
        <v>298</v>
      </c>
      <c r="G11" s="97">
        <f t="shared" si="0"/>
        <v>130226000</v>
      </c>
      <c r="H11" s="99">
        <v>114</v>
      </c>
      <c r="I11" s="96">
        <v>49818000</v>
      </c>
      <c r="J11" s="99">
        <f>$D11*'DIA-INCH'!$C11</f>
        <v>184</v>
      </c>
      <c r="K11" s="97">
        <f t="shared" si="1"/>
        <v>80408000</v>
      </c>
      <c r="L11" s="99">
        <f t="shared" si="2"/>
        <v>298</v>
      </c>
      <c r="M11" s="97">
        <f t="shared" si="2"/>
        <v>130226000</v>
      </c>
      <c r="P11" s="187"/>
    </row>
    <row r="12" spans="1:16" ht="27.9" customHeight="1" x14ac:dyDescent="0.4">
      <c r="A12" s="94" t="s">
        <v>183</v>
      </c>
      <c r="B12" s="38" t="s">
        <v>191</v>
      </c>
      <c r="C12" s="38" t="s">
        <v>182</v>
      </c>
      <c r="D12" s="95">
        <v>41</v>
      </c>
      <c r="E12" s="96">
        <v>437000</v>
      </c>
      <c r="F12" s="99">
        <f t="shared" si="0"/>
        <v>195</v>
      </c>
      <c r="G12" s="97">
        <f t="shared" si="0"/>
        <v>85215000</v>
      </c>
      <c r="H12" s="99">
        <v>92.5</v>
      </c>
      <c r="I12" s="96">
        <v>40422500</v>
      </c>
      <c r="J12" s="99">
        <f>$D12*'DIA-INCH'!$C12</f>
        <v>102.5</v>
      </c>
      <c r="K12" s="97">
        <f t="shared" si="1"/>
        <v>44792500</v>
      </c>
      <c r="L12" s="99">
        <f t="shared" si="2"/>
        <v>195</v>
      </c>
      <c r="M12" s="97">
        <f t="shared" si="2"/>
        <v>85215000</v>
      </c>
      <c r="P12" s="187"/>
    </row>
    <row r="13" spans="1:16" ht="27.9" customHeight="1" x14ac:dyDescent="0.4">
      <c r="A13" s="94" t="s">
        <v>180</v>
      </c>
      <c r="B13" s="38" t="s">
        <v>192</v>
      </c>
      <c r="C13" s="38" t="s">
        <v>182</v>
      </c>
      <c r="D13" s="95">
        <v>41</v>
      </c>
      <c r="E13" s="96">
        <v>437000</v>
      </c>
      <c r="F13" s="99">
        <f t="shared" si="0"/>
        <v>231</v>
      </c>
      <c r="G13" s="97">
        <f t="shared" si="0"/>
        <v>100947000</v>
      </c>
      <c r="H13" s="99">
        <v>108</v>
      </c>
      <c r="I13" s="96">
        <v>47196000</v>
      </c>
      <c r="J13" s="99">
        <f>$D13*'DIA-INCH'!$C13</f>
        <v>123</v>
      </c>
      <c r="K13" s="97">
        <f t="shared" si="1"/>
        <v>53751000</v>
      </c>
      <c r="L13" s="99">
        <f t="shared" si="2"/>
        <v>231</v>
      </c>
      <c r="M13" s="97">
        <f t="shared" si="2"/>
        <v>100947000</v>
      </c>
      <c r="P13" s="187"/>
    </row>
    <row r="14" spans="1:16" ht="27.9" customHeight="1" x14ac:dyDescent="0.4">
      <c r="A14" s="94" t="s">
        <v>193</v>
      </c>
      <c r="B14" s="38" t="s">
        <v>194</v>
      </c>
      <c r="C14" s="38" t="s">
        <v>182</v>
      </c>
      <c r="D14" s="95">
        <v>16</v>
      </c>
      <c r="E14" s="96">
        <v>437000</v>
      </c>
      <c r="F14" s="99">
        <f t="shared" si="0"/>
        <v>364</v>
      </c>
      <c r="G14" s="97">
        <f t="shared" si="0"/>
        <v>159068000</v>
      </c>
      <c r="H14" s="99">
        <v>300</v>
      </c>
      <c r="I14" s="96">
        <v>131100000</v>
      </c>
      <c r="J14" s="99">
        <f>$D14*'DIA-INCH'!$C14</f>
        <v>64</v>
      </c>
      <c r="K14" s="97">
        <f t="shared" si="1"/>
        <v>27968000</v>
      </c>
      <c r="L14" s="99">
        <f t="shared" si="2"/>
        <v>364</v>
      </c>
      <c r="M14" s="97">
        <f t="shared" si="2"/>
        <v>159068000</v>
      </c>
      <c r="P14" s="187"/>
    </row>
    <row r="15" spans="1:16" ht="27.9" hidden="1" customHeight="1" x14ac:dyDescent="0.4">
      <c r="A15" s="94" t="s">
        <v>180</v>
      </c>
      <c r="B15" s="38" t="s">
        <v>195</v>
      </c>
      <c r="C15" s="38" t="s">
        <v>185</v>
      </c>
      <c r="D15" s="95">
        <v>0</v>
      </c>
      <c r="E15" s="96">
        <v>437000</v>
      </c>
      <c r="F15" s="99">
        <f t="shared" si="0"/>
        <v>0</v>
      </c>
      <c r="G15" s="97">
        <f t="shared" si="0"/>
        <v>0</v>
      </c>
      <c r="H15" s="99">
        <v>0</v>
      </c>
      <c r="I15" s="96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  <c r="P15" s="187"/>
    </row>
    <row r="16" spans="1:16" ht="27.9" customHeight="1" x14ac:dyDescent="0.4">
      <c r="A16" s="94" t="s">
        <v>183</v>
      </c>
      <c r="B16" s="38" t="s">
        <v>196</v>
      </c>
      <c r="C16" s="38" t="s">
        <v>182</v>
      </c>
      <c r="D16" s="95">
        <v>105</v>
      </c>
      <c r="E16" s="96">
        <v>437000</v>
      </c>
      <c r="F16" s="99">
        <f t="shared" si="0"/>
        <v>1015</v>
      </c>
      <c r="G16" s="97">
        <f t="shared" si="0"/>
        <v>443555000</v>
      </c>
      <c r="H16" s="99">
        <v>490</v>
      </c>
      <c r="I16" s="96">
        <v>214130000</v>
      </c>
      <c r="J16" s="99">
        <f>$D16*'DIA-INCH'!$C16</f>
        <v>525</v>
      </c>
      <c r="K16" s="97">
        <f t="shared" si="1"/>
        <v>229425000</v>
      </c>
      <c r="L16" s="99">
        <f t="shared" si="2"/>
        <v>1015</v>
      </c>
      <c r="M16" s="97">
        <f t="shared" si="2"/>
        <v>443555000</v>
      </c>
      <c r="P16" s="187"/>
    </row>
    <row r="17" spans="1:16" ht="27.9" customHeight="1" x14ac:dyDescent="0.4">
      <c r="A17" s="94" t="s">
        <v>183</v>
      </c>
      <c r="B17" s="38" t="s">
        <v>197</v>
      </c>
      <c r="C17" s="38" t="s">
        <v>182</v>
      </c>
      <c r="D17" s="95">
        <v>6</v>
      </c>
      <c r="E17" s="96">
        <v>437000</v>
      </c>
      <c r="F17" s="99">
        <f t="shared" si="0"/>
        <v>36</v>
      </c>
      <c r="G17" s="97">
        <f t="shared" si="0"/>
        <v>15732000</v>
      </c>
      <c r="H17" s="99">
        <v>0</v>
      </c>
      <c r="I17" s="96">
        <v>0</v>
      </c>
      <c r="J17" s="99">
        <f>$D17*'DIA-INCH'!$C17</f>
        <v>36</v>
      </c>
      <c r="K17" s="97">
        <f t="shared" si="1"/>
        <v>15732000</v>
      </c>
      <c r="L17" s="99">
        <f t="shared" si="2"/>
        <v>36</v>
      </c>
      <c r="M17" s="97">
        <f t="shared" si="2"/>
        <v>15732000</v>
      </c>
      <c r="P17" s="187"/>
    </row>
    <row r="18" spans="1:16" ht="27.9" hidden="1" customHeight="1" x14ac:dyDescent="0.4">
      <c r="A18" s="94" t="s">
        <v>183</v>
      </c>
      <c r="B18" s="38" t="s">
        <v>198</v>
      </c>
      <c r="C18" s="38" t="s">
        <v>182</v>
      </c>
      <c r="D18" s="95">
        <v>0</v>
      </c>
      <c r="E18" s="96">
        <v>437000</v>
      </c>
      <c r="F18" s="99">
        <f t="shared" si="0"/>
        <v>0</v>
      </c>
      <c r="G18" s="97">
        <f t="shared" si="0"/>
        <v>0</v>
      </c>
      <c r="H18" s="99">
        <v>0</v>
      </c>
      <c r="I18" s="96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  <c r="P18" s="187"/>
    </row>
    <row r="19" spans="1:16" ht="27.9" customHeight="1" x14ac:dyDescent="0.4">
      <c r="A19" s="94" t="s">
        <v>183</v>
      </c>
      <c r="B19" s="38" t="s">
        <v>199</v>
      </c>
      <c r="C19" s="38" t="s">
        <v>182</v>
      </c>
      <c r="D19" s="95">
        <v>19</v>
      </c>
      <c r="E19" s="96">
        <v>437000</v>
      </c>
      <c r="F19" s="99">
        <f t="shared" si="0"/>
        <v>304</v>
      </c>
      <c r="G19" s="97">
        <f t="shared" si="0"/>
        <v>132848000</v>
      </c>
      <c r="H19" s="99">
        <v>152</v>
      </c>
      <c r="I19" s="96">
        <v>66424000</v>
      </c>
      <c r="J19" s="99">
        <f>$D19*'DIA-INCH'!$C19</f>
        <v>152</v>
      </c>
      <c r="K19" s="97">
        <f t="shared" si="1"/>
        <v>66424000</v>
      </c>
      <c r="L19" s="99">
        <f t="shared" si="2"/>
        <v>304</v>
      </c>
      <c r="M19" s="97">
        <f t="shared" si="2"/>
        <v>132848000</v>
      </c>
      <c r="P19" s="187"/>
    </row>
    <row r="20" spans="1:16" ht="27.9" hidden="1" customHeight="1" x14ac:dyDescent="0.4">
      <c r="A20" s="94" t="s">
        <v>180</v>
      </c>
      <c r="B20" s="38" t="s">
        <v>200</v>
      </c>
      <c r="C20" s="38" t="s">
        <v>185</v>
      </c>
      <c r="D20" s="95">
        <v>0</v>
      </c>
      <c r="E20" s="96">
        <v>437000</v>
      </c>
      <c r="F20" s="99">
        <f t="shared" si="0"/>
        <v>0</v>
      </c>
      <c r="G20" s="97">
        <f t="shared" si="0"/>
        <v>0</v>
      </c>
      <c r="H20" s="99">
        <v>0</v>
      </c>
      <c r="I20" s="96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  <c r="P20" s="187"/>
    </row>
    <row r="21" spans="1:16" ht="27.9" customHeight="1" x14ac:dyDescent="0.4">
      <c r="A21" s="94" t="s">
        <v>180</v>
      </c>
      <c r="B21" s="38" t="s">
        <v>201</v>
      </c>
      <c r="C21" s="38" t="s">
        <v>202</v>
      </c>
      <c r="D21" s="95">
        <v>31</v>
      </c>
      <c r="E21" s="96">
        <v>437000</v>
      </c>
      <c r="F21" s="99">
        <f t="shared" si="0"/>
        <v>530</v>
      </c>
      <c r="G21" s="97">
        <f t="shared" si="0"/>
        <v>231610000</v>
      </c>
      <c r="H21" s="99">
        <v>220</v>
      </c>
      <c r="I21" s="96">
        <v>96140000</v>
      </c>
      <c r="J21" s="99">
        <f>$D21*'DIA-INCH'!$C21</f>
        <v>310</v>
      </c>
      <c r="K21" s="97">
        <f t="shared" si="1"/>
        <v>135470000</v>
      </c>
      <c r="L21" s="99">
        <f t="shared" si="2"/>
        <v>530</v>
      </c>
      <c r="M21" s="97">
        <f t="shared" si="2"/>
        <v>231610000</v>
      </c>
      <c r="P21" s="187"/>
    </row>
    <row r="22" spans="1:16" ht="27.9" customHeight="1" x14ac:dyDescent="0.4">
      <c r="A22" s="94" t="s">
        <v>183</v>
      </c>
      <c r="B22" s="38" t="s">
        <v>203</v>
      </c>
      <c r="C22" s="38" t="s">
        <v>204</v>
      </c>
      <c r="D22" s="95">
        <v>30</v>
      </c>
      <c r="E22" s="96">
        <v>437000</v>
      </c>
      <c r="F22" s="99">
        <f t="shared" si="0"/>
        <v>864</v>
      </c>
      <c r="G22" s="97">
        <f t="shared" si="0"/>
        <v>377568000</v>
      </c>
      <c r="H22" s="99">
        <v>504</v>
      </c>
      <c r="I22" s="96">
        <v>220248000</v>
      </c>
      <c r="J22" s="99">
        <f>$D22*'DIA-INCH'!$C22</f>
        <v>360</v>
      </c>
      <c r="K22" s="97">
        <f t="shared" si="1"/>
        <v>157320000</v>
      </c>
      <c r="L22" s="99">
        <f t="shared" si="2"/>
        <v>864</v>
      </c>
      <c r="M22" s="97">
        <f t="shared" si="2"/>
        <v>377568000</v>
      </c>
      <c r="P22" s="187"/>
    </row>
    <row r="23" spans="1:16" ht="27.9" hidden="1" customHeight="1" x14ac:dyDescent="0.4">
      <c r="A23" s="94" t="s">
        <v>205</v>
      </c>
      <c r="B23" s="38" t="s">
        <v>206</v>
      </c>
      <c r="C23" s="38" t="s">
        <v>182</v>
      </c>
      <c r="D23" s="95">
        <v>0</v>
      </c>
      <c r="E23" s="96">
        <v>437000</v>
      </c>
      <c r="F23" s="99">
        <f t="shared" si="0"/>
        <v>0</v>
      </c>
      <c r="G23" s="97">
        <f t="shared" si="0"/>
        <v>0</v>
      </c>
      <c r="H23" s="99"/>
      <c r="I23" s="96"/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6" ht="27.9" hidden="1" customHeight="1" x14ac:dyDescent="0.4">
      <c r="A24" s="94" t="s">
        <v>180</v>
      </c>
      <c r="B24" s="38" t="s">
        <v>207</v>
      </c>
      <c r="C24" s="38" t="s">
        <v>185</v>
      </c>
      <c r="D24" s="95">
        <v>0</v>
      </c>
      <c r="E24" s="96">
        <v>437000</v>
      </c>
      <c r="F24" s="99">
        <f t="shared" si="0"/>
        <v>0</v>
      </c>
      <c r="G24" s="97">
        <f t="shared" si="0"/>
        <v>0</v>
      </c>
      <c r="H24" s="99"/>
      <c r="I24" s="96"/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6" ht="27.9" hidden="1" customHeight="1" x14ac:dyDescent="0.4">
      <c r="A25" s="94" t="s">
        <v>193</v>
      </c>
      <c r="B25" s="38" t="s">
        <v>208</v>
      </c>
      <c r="C25" s="38" t="s">
        <v>209</v>
      </c>
      <c r="D25" s="95">
        <v>0</v>
      </c>
      <c r="E25" s="96">
        <v>437000</v>
      </c>
      <c r="F25" s="99">
        <f t="shared" si="0"/>
        <v>0</v>
      </c>
      <c r="G25" s="97">
        <f t="shared" si="0"/>
        <v>0</v>
      </c>
      <c r="H25" s="99"/>
      <c r="I25" s="94"/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6" ht="27.9" hidden="1" customHeight="1" x14ac:dyDescent="0.4">
      <c r="A26" s="94" t="s">
        <v>183</v>
      </c>
      <c r="B26" s="38" t="s">
        <v>210</v>
      </c>
      <c r="C26" s="38" t="s">
        <v>182</v>
      </c>
      <c r="D26" s="95">
        <v>0</v>
      </c>
      <c r="E26" s="96">
        <v>437000</v>
      </c>
      <c r="F26" s="99">
        <f t="shared" si="0"/>
        <v>0</v>
      </c>
      <c r="G26" s="97">
        <f t="shared" si="0"/>
        <v>0</v>
      </c>
      <c r="H26" s="99"/>
      <c r="I26" s="94"/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6" ht="27.9" hidden="1" customHeight="1" x14ac:dyDescent="0.4">
      <c r="A27" s="94" t="s">
        <v>193</v>
      </c>
      <c r="B27" s="38" t="s">
        <v>211</v>
      </c>
      <c r="C27" s="38" t="s">
        <v>182</v>
      </c>
      <c r="D27" s="95">
        <v>0</v>
      </c>
      <c r="E27" s="96">
        <v>437000</v>
      </c>
      <c r="F27" s="99">
        <f t="shared" si="0"/>
        <v>0</v>
      </c>
      <c r="G27" s="97">
        <f t="shared" si="0"/>
        <v>0</v>
      </c>
      <c r="H27" s="99"/>
      <c r="I27" s="94"/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6" ht="27.9" hidden="1" customHeight="1" x14ac:dyDescent="0.4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21875</v>
      </c>
      <c r="F28" s="97">
        <f t="shared" si="0"/>
        <v>0</v>
      </c>
      <c r="G28" s="97">
        <f t="shared" si="0"/>
        <v>0</v>
      </c>
      <c r="H28" s="94"/>
      <c r="I28" s="94"/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6" ht="27.9" hidden="1" customHeight="1" x14ac:dyDescent="0.4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43750</v>
      </c>
      <c r="F29" s="97">
        <f t="shared" si="0"/>
        <v>0</v>
      </c>
      <c r="G29" s="97">
        <f t="shared" si="0"/>
        <v>0</v>
      </c>
      <c r="H29" s="94"/>
      <c r="I29" s="94"/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6" ht="27.9" hidden="1" customHeight="1" x14ac:dyDescent="0.4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65625</v>
      </c>
      <c r="F30" s="97">
        <f t="shared" si="0"/>
        <v>0</v>
      </c>
      <c r="G30" s="97">
        <f t="shared" si="0"/>
        <v>0</v>
      </c>
      <c r="H30" s="94"/>
      <c r="I30" s="94"/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6" ht="27.9" customHeight="1" x14ac:dyDescent="0.4">
      <c r="A31" s="94" t="s">
        <v>216</v>
      </c>
      <c r="B31" s="38" t="s">
        <v>187</v>
      </c>
      <c r="C31" s="38" t="s">
        <v>217</v>
      </c>
      <c r="D31" s="95">
        <v>31</v>
      </c>
      <c r="E31" s="96">
        <v>87500</v>
      </c>
      <c r="F31" s="97">
        <f t="shared" si="0"/>
        <v>31</v>
      </c>
      <c r="G31" s="97">
        <f t="shared" si="0"/>
        <v>2712500</v>
      </c>
      <c r="H31" s="94"/>
      <c r="I31" s="94"/>
      <c r="J31" s="97">
        <f t="shared" si="3"/>
        <v>31</v>
      </c>
      <c r="K31" s="97">
        <f t="shared" si="4"/>
        <v>2712500</v>
      </c>
      <c r="L31" s="97">
        <f t="shared" si="2"/>
        <v>31</v>
      </c>
      <c r="M31" s="97">
        <f t="shared" si="2"/>
        <v>2712500</v>
      </c>
      <c r="N31">
        <v>1</v>
      </c>
      <c r="O31" s="341">
        <f t="shared" ref="O31:O38" si="5">+N31*J31</f>
        <v>31</v>
      </c>
    </row>
    <row r="32" spans="1:16" ht="27.9" customHeight="1" x14ac:dyDescent="0.4">
      <c r="A32" s="94" t="s">
        <v>216</v>
      </c>
      <c r="B32" s="38" t="s">
        <v>188</v>
      </c>
      <c r="C32" s="38" t="s">
        <v>213</v>
      </c>
      <c r="D32" s="95">
        <v>60</v>
      </c>
      <c r="E32" s="96">
        <f>$E$31*'DIA-INCH'!$C9</f>
        <v>109375</v>
      </c>
      <c r="F32" s="97">
        <f t="shared" si="0"/>
        <v>60</v>
      </c>
      <c r="G32" s="97">
        <f t="shared" si="0"/>
        <v>6562500</v>
      </c>
      <c r="H32" s="94"/>
      <c r="I32" s="94"/>
      <c r="J32" s="97">
        <f t="shared" si="3"/>
        <v>60</v>
      </c>
      <c r="K32" s="97">
        <f t="shared" si="4"/>
        <v>6562500</v>
      </c>
      <c r="L32" s="97">
        <f t="shared" si="2"/>
        <v>60</v>
      </c>
      <c r="M32" s="97">
        <f t="shared" si="2"/>
        <v>6562500</v>
      </c>
      <c r="N32">
        <v>1.25</v>
      </c>
      <c r="O32" s="341">
        <f t="shared" si="5"/>
        <v>75</v>
      </c>
    </row>
    <row r="33" spans="1:15" ht="27.9" customHeight="1" x14ac:dyDescent="0.4">
      <c r="A33" s="94" t="s">
        <v>216</v>
      </c>
      <c r="B33" s="38" t="s">
        <v>189</v>
      </c>
      <c r="C33" s="38" t="s">
        <v>124</v>
      </c>
      <c r="D33" s="95">
        <v>2</v>
      </c>
      <c r="E33" s="96">
        <f>$E$31*'DIA-INCH'!$C10</f>
        <v>131250</v>
      </c>
      <c r="F33" s="97">
        <f t="shared" si="0"/>
        <v>2</v>
      </c>
      <c r="G33" s="97">
        <f t="shared" si="0"/>
        <v>262500</v>
      </c>
      <c r="H33" s="94"/>
      <c r="I33" s="94"/>
      <c r="J33" s="97">
        <f t="shared" si="3"/>
        <v>2</v>
      </c>
      <c r="K33" s="97">
        <f t="shared" si="4"/>
        <v>262500</v>
      </c>
      <c r="L33" s="97">
        <f t="shared" si="2"/>
        <v>2</v>
      </c>
      <c r="M33" s="97">
        <f t="shared" si="2"/>
        <v>262500</v>
      </c>
      <c r="N33">
        <v>1.5</v>
      </c>
      <c r="O33" s="341">
        <f t="shared" si="5"/>
        <v>3</v>
      </c>
    </row>
    <row r="34" spans="1:15" ht="27.9" customHeight="1" x14ac:dyDescent="0.4">
      <c r="A34" s="94" t="s">
        <v>216</v>
      </c>
      <c r="B34" s="38" t="s">
        <v>190</v>
      </c>
      <c r="C34" s="38" t="s">
        <v>213</v>
      </c>
      <c r="D34" s="95">
        <v>3</v>
      </c>
      <c r="E34" s="96">
        <f>$E$31*'DIA-INCH'!$C11</f>
        <v>175000</v>
      </c>
      <c r="F34" s="97">
        <f t="shared" si="0"/>
        <v>3</v>
      </c>
      <c r="G34" s="97">
        <f t="shared" si="0"/>
        <v>525000</v>
      </c>
      <c r="H34" s="94"/>
      <c r="I34" s="94"/>
      <c r="J34" s="97">
        <f t="shared" si="3"/>
        <v>3</v>
      </c>
      <c r="K34" s="97">
        <f t="shared" si="4"/>
        <v>525000</v>
      </c>
      <c r="L34" s="97">
        <f t="shared" si="2"/>
        <v>3</v>
      </c>
      <c r="M34" s="97">
        <f t="shared" si="2"/>
        <v>525000</v>
      </c>
      <c r="N34">
        <v>2</v>
      </c>
      <c r="O34" s="341">
        <f t="shared" si="5"/>
        <v>6</v>
      </c>
    </row>
    <row r="35" spans="1:15" ht="27.9" customHeight="1" x14ac:dyDescent="0.4">
      <c r="A35" s="94" t="s">
        <v>212</v>
      </c>
      <c r="B35" s="38" t="s">
        <v>191</v>
      </c>
      <c r="C35" s="38" t="s">
        <v>124</v>
      </c>
      <c r="D35" s="95">
        <v>2</v>
      </c>
      <c r="E35" s="96">
        <f>$E$31*'DIA-INCH'!$C12</f>
        <v>218750</v>
      </c>
      <c r="F35" s="97">
        <f t="shared" si="0"/>
        <v>2</v>
      </c>
      <c r="G35" s="97">
        <f t="shared" si="0"/>
        <v>437500</v>
      </c>
      <c r="H35" s="94"/>
      <c r="I35" s="94"/>
      <c r="J35" s="97">
        <f t="shared" si="3"/>
        <v>2</v>
      </c>
      <c r="K35" s="97">
        <f t="shared" si="4"/>
        <v>437500</v>
      </c>
      <c r="L35" s="97">
        <f t="shared" si="2"/>
        <v>2</v>
      </c>
      <c r="M35" s="97">
        <f t="shared" si="2"/>
        <v>437500</v>
      </c>
      <c r="N35">
        <v>2.5</v>
      </c>
      <c r="O35" s="341">
        <f t="shared" si="5"/>
        <v>5</v>
      </c>
    </row>
    <row r="36" spans="1:15" ht="27.9" customHeight="1" x14ac:dyDescent="0.4">
      <c r="A36" s="94" t="s">
        <v>212</v>
      </c>
      <c r="B36" s="38" t="s">
        <v>192</v>
      </c>
      <c r="C36" s="38" t="s">
        <v>213</v>
      </c>
      <c r="D36" s="95">
        <v>1</v>
      </c>
      <c r="E36" s="96">
        <f>$E$31*'DIA-INCH'!$C13</f>
        <v>262500</v>
      </c>
      <c r="F36" s="97">
        <f t="shared" si="0"/>
        <v>1</v>
      </c>
      <c r="G36" s="97">
        <f t="shared" si="0"/>
        <v>262500</v>
      </c>
      <c r="H36" s="94"/>
      <c r="I36" s="94"/>
      <c r="J36" s="97">
        <f t="shared" si="3"/>
        <v>1</v>
      </c>
      <c r="K36" s="97">
        <f t="shared" si="4"/>
        <v>262500</v>
      </c>
      <c r="L36" s="97">
        <f t="shared" si="2"/>
        <v>1</v>
      </c>
      <c r="M36" s="97">
        <f t="shared" si="2"/>
        <v>262500</v>
      </c>
      <c r="N36">
        <v>3</v>
      </c>
      <c r="O36" s="341">
        <f t="shared" si="5"/>
        <v>3</v>
      </c>
    </row>
    <row r="37" spans="1:15" ht="27.9" hidden="1" customHeight="1" x14ac:dyDescent="0.4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350000</v>
      </c>
      <c r="F37" s="97">
        <f t="shared" si="0"/>
        <v>0</v>
      </c>
      <c r="G37" s="97">
        <f t="shared" si="0"/>
        <v>0</v>
      </c>
      <c r="H37" s="94"/>
      <c r="I37" s="94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  <c r="O37" s="341">
        <f t="shared" si="5"/>
        <v>0</v>
      </c>
    </row>
    <row r="38" spans="1:15" ht="27.9" hidden="1" customHeight="1" x14ac:dyDescent="0.4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350000</v>
      </c>
      <c r="F38" s="97">
        <f t="shared" si="0"/>
        <v>0</v>
      </c>
      <c r="G38" s="97">
        <f t="shared" si="0"/>
        <v>0</v>
      </c>
      <c r="H38" s="94"/>
      <c r="I38" s="94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  <c r="O38" s="341">
        <f t="shared" si="5"/>
        <v>0</v>
      </c>
    </row>
    <row r="39" spans="1:15" ht="27.9" customHeight="1" x14ac:dyDescent="0.4">
      <c r="A39" s="94" t="s">
        <v>212</v>
      </c>
      <c r="B39" s="38" t="s">
        <v>196</v>
      </c>
      <c r="C39" s="38" t="s">
        <v>219</v>
      </c>
      <c r="D39" s="95">
        <v>5</v>
      </c>
      <c r="E39" s="96">
        <f>$E$31*'DIA-INCH'!$C16</f>
        <v>437500</v>
      </c>
      <c r="F39" s="97">
        <f t="shared" si="0"/>
        <v>5</v>
      </c>
      <c r="G39" s="97">
        <f t="shared" si="0"/>
        <v>2187500</v>
      </c>
      <c r="H39" s="94"/>
      <c r="I39" s="94"/>
      <c r="J39" s="97">
        <f t="shared" si="3"/>
        <v>5</v>
      </c>
      <c r="K39" s="97">
        <f t="shared" si="4"/>
        <v>2187500</v>
      </c>
      <c r="L39" s="97">
        <f t="shared" si="2"/>
        <v>5</v>
      </c>
      <c r="M39" s="97">
        <f t="shared" si="2"/>
        <v>2187500</v>
      </c>
      <c r="N39">
        <v>5</v>
      </c>
      <c r="O39" s="341">
        <f>+N39*J39</f>
        <v>25</v>
      </c>
    </row>
    <row r="40" spans="1:15" ht="27.9" hidden="1" customHeight="1" x14ac:dyDescent="0.4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525000</v>
      </c>
      <c r="F40" s="97">
        <f t="shared" si="0"/>
        <v>0</v>
      </c>
      <c r="G40" s="97">
        <f t="shared" si="0"/>
        <v>0</v>
      </c>
      <c r="H40" s="94"/>
      <c r="I40" s="94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5" ht="27.9" hidden="1" customHeight="1" x14ac:dyDescent="0.4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7">
        <f t="shared" si="0"/>
        <v>0</v>
      </c>
      <c r="H41" s="94"/>
      <c r="I41" s="94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5" ht="27.9" hidden="1" customHeight="1" x14ac:dyDescent="0.4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700000</v>
      </c>
      <c r="F42" s="97">
        <f t="shared" si="0"/>
        <v>0</v>
      </c>
      <c r="G42" s="97">
        <f t="shared" si="0"/>
        <v>0</v>
      </c>
      <c r="H42" s="94"/>
      <c r="I42" s="94"/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5" ht="27.9" hidden="1" customHeight="1" x14ac:dyDescent="0.4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787500</v>
      </c>
      <c r="F43" s="97">
        <f t="shared" si="0"/>
        <v>0</v>
      </c>
      <c r="G43" s="97">
        <f t="shared" si="0"/>
        <v>0</v>
      </c>
      <c r="H43" s="94"/>
      <c r="I43" s="94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5" ht="27.9" hidden="1" customHeight="1" x14ac:dyDescent="0.4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875000</v>
      </c>
      <c r="F44" s="97">
        <f t="shared" si="0"/>
        <v>0</v>
      </c>
      <c r="G44" s="97">
        <f t="shared" si="0"/>
        <v>0</v>
      </c>
      <c r="H44" s="94"/>
      <c r="I44" s="94"/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5" ht="27.9" hidden="1" customHeight="1" x14ac:dyDescent="0.4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7">
        <f t="shared" si="0"/>
        <v>0</v>
      </c>
      <c r="H45" s="94"/>
      <c r="I45" s="94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5" ht="27.9" hidden="1" customHeight="1" x14ac:dyDescent="0.4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1225000</v>
      </c>
      <c r="F46" s="97">
        <f t="shared" si="0"/>
        <v>0</v>
      </c>
      <c r="G46" s="97">
        <f t="shared" si="0"/>
        <v>0</v>
      </c>
      <c r="H46" s="94"/>
      <c r="I46" s="94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5" ht="27.9" hidden="1" customHeight="1" x14ac:dyDescent="0.4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1400000</v>
      </c>
      <c r="F47" s="97">
        <f t="shared" si="0"/>
        <v>0</v>
      </c>
      <c r="G47" s="97">
        <f t="shared" si="0"/>
        <v>0</v>
      </c>
      <c r="H47" s="94"/>
      <c r="I47" s="94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5" ht="27.9" hidden="1" customHeight="1" x14ac:dyDescent="0.4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1575000</v>
      </c>
      <c r="F48" s="97">
        <f t="shared" si="0"/>
        <v>0</v>
      </c>
      <c r="G48" s="97">
        <f t="shared" si="0"/>
        <v>0</v>
      </c>
      <c r="H48" s="94"/>
      <c r="I48" s="94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hidden="1" customHeight="1" x14ac:dyDescent="0.4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1750000</v>
      </c>
      <c r="F49" s="97">
        <f t="shared" si="0"/>
        <v>0</v>
      </c>
      <c r="G49" s="97">
        <f t="shared" si="0"/>
        <v>0</v>
      </c>
      <c r="H49" s="94"/>
      <c r="I49" s="94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hidden="1" customHeight="1" x14ac:dyDescent="0.4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1925000</v>
      </c>
      <c r="F50" s="97">
        <f t="shared" si="0"/>
        <v>0</v>
      </c>
      <c r="G50" s="97">
        <f t="shared" si="0"/>
        <v>0</v>
      </c>
      <c r="H50" s="94"/>
      <c r="I50" s="94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 x14ac:dyDescent="0.4">
      <c r="A51" s="291" t="s">
        <v>220</v>
      </c>
      <c r="B51" s="292"/>
      <c r="C51" s="292"/>
      <c r="D51" s="292"/>
      <c r="E51" s="293"/>
      <c r="F51" s="152">
        <f>SUM(F5:F50)</f>
        <v>4309.5</v>
      </c>
      <c r="G51" s="98">
        <f t="shared" ref="G51:M51" si="6">SUM(G5:G50)</f>
        <v>1850753500</v>
      </c>
      <c r="H51" s="152">
        <f t="shared" si="6"/>
        <v>2149</v>
      </c>
      <c r="I51" s="98">
        <f t="shared" si="6"/>
        <v>939113000</v>
      </c>
      <c r="J51" s="152">
        <f t="shared" si="6"/>
        <v>2160.5</v>
      </c>
      <c r="K51" s="98">
        <f t="shared" si="6"/>
        <v>911640500</v>
      </c>
      <c r="L51" s="152">
        <f t="shared" si="6"/>
        <v>4309.5</v>
      </c>
      <c r="M51" s="98">
        <f t="shared" si="6"/>
        <v>1850753500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5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13"/>
  <sheetViews>
    <sheetView view="pageBreakPreview" topLeftCell="B22" zoomScale="60" zoomScaleNormal="70" workbookViewId="0">
      <selection activeCell="J32" sqref="J32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6" width="7.59765625" style="100" customWidth="1"/>
    <col min="37" max="39" width="7.59765625" style="100" hidden="1" customWidth="1"/>
    <col min="40" max="40" width="11.8984375" style="100" customWidth="1"/>
    <col min="41" max="41" width="15.8984375" style="139" bestFit="1" customWidth="1"/>
    <col min="42" max="42" width="18.19921875" style="141" bestFit="1" customWidth="1"/>
  </cols>
  <sheetData>
    <row r="1" spans="1:42" ht="32.1" customHeight="1" x14ac:dyDescent="0.4">
      <c r="A1" s="309" t="s">
        <v>728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1"/>
      <c r="AH1" s="300" t="s">
        <v>221</v>
      </c>
      <c r="AI1" s="301"/>
      <c r="AJ1" s="301"/>
      <c r="AK1" s="301"/>
      <c r="AL1" s="302"/>
      <c r="AM1" s="297" t="str">
        <f>'용역청구서 표지'!$B$7</f>
        <v>P4 Ph4 GAS 1공구 마감공사</v>
      </c>
      <c r="AN1" s="298"/>
      <c r="AO1" s="298"/>
      <c r="AP1" s="299"/>
    </row>
    <row r="2" spans="1:42" ht="32.1" customHeight="1" x14ac:dyDescent="0.4">
      <c r="A2" s="312"/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4"/>
      <c r="AH2" s="300" t="s">
        <v>222</v>
      </c>
      <c r="AI2" s="301"/>
      <c r="AJ2" s="301"/>
      <c r="AK2" s="301"/>
      <c r="AL2" s="302"/>
      <c r="AM2" s="297" t="s">
        <v>302</v>
      </c>
      <c r="AN2" s="298"/>
      <c r="AO2" s="298"/>
      <c r="AP2" s="299"/>
    </row>
    <row r="3" spans="1:42" ht="32.1" customHeight="1" x14ac:dyDescent="0.4">
      <c r="A3" s="315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7"/>
      <c r="AH3" s="300" t="s">
        <v>223</v>
      </c>
      <c r="AI3" s="301"/>
      <c r="AJ3" s="301"/>
      <c r="AK3" s="301"/>
      <c r="AL3" s="302"/>
      <c r="AM3" s="297" t="str">
        <f>'용역청구서 표지'!$C$8</f>
        <v>S25-004</v>
      </c>
      <c r="AN3" s="298"/>
      <c r="AO3" s="298"/>
      <c r="AP3" s="299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89">
        <v>1</v>
      </c>
      <c r="J5" s="188">
        <v>2</v>
      </c>
      <c r="K5" s="188">
        <v>3</v>
      </c>
      <c r="L5" s="188">
        <v>4</v>
      </c>
      <c r="M5" s="188">
        <v>5</v>
      </c>
      <c r="N5" s="188">
        <v>6</v>
      </c>
      <c r="O5" s="110">
        <v>7</v>
      </c>
      <c r="P5" s="111">
        <v>8</v>
      </c>
      <c r="Q5" s="188">
        <v>9</v>
      </c>
      <c r="R5" s="188">
        <v>10</v>
      </c>
      <c r="S5" s="188">
        <v>11</v>
      </c>
      <c r="T5" s="188">
        <v>12</v>
      </c>
      <c r="U5" s="188">
        <v>13</v>
      </c>
      <c r="V5" s="110">
        <v>14</v>
      </c>
      <c r="W5" s="111">
        <v>15</v>
      </c>
      <c r="X5" s="111">
        <v>16</v>
      </c>
      <c r="Y5" s="111">
        <v>17</v>
      </c>
      <c r="Z5" s="111">
        <v>18</v>
      </c>
      <c r="AA5" s="188">
        <v>19</v>
      </c>
      <c r="AB5" s="188">
        <v>20</v>
      </c>
      <c r="AC5" s="110">
        <v>21</v>
      </c>
      <c r="AD5" s="111">
        <v>22</v>
      </c>
      <c r="AE5" s="188">
        <v>23</v>
      </c>
      <c r="AF5" s="188">
        <v>24</v>
      </c>
      <c r="AG5" s="188">
        <v>25</v>
      </c>
      <c r="AH5" s="188">
        <v>26</v>
      </c>
      <c r="AI5" s="188">
        <v>27</v>
      </c>
      <c r="AJ5" s="188">
        <v>28</v>
      </c>
      <c r="AK5" s="188"/>
      <c r="AL5" s="109"/>
      <c r="AM5" s="112"/>
      <c r="AN5" s="113" t="s">
        <v>232</v>
      </c>
      <c r="AO5" s="106" t="s">
        <v>233</v>
      </c>
      <c r="AP5" s="114" t="s">
        <v>234</v>
      </c>
    </row>
    <row r="6" spans="1:42" ht="24.9" customHeight="1" x14ac:dyDescent="0.4">
      <c r="A6" s="115">
        <v>1</v>
      </c>
      <c r="B6" s="116" t="s">
        <v>308</v>
      </c>
      <c r="C6" s="117" t="s">
        <v>309</v>
      </c>
      <c r="D6" s="117" t="s">
        <v>310</v>
      </c>
      <c r="E6" s="117" t="s">
        <v>311</v>
      </c>
      <c r="F6" s="118" t="s">
        <v>312</v>
      </c>
      <c r="G6" s="119" t="s">
        <v>308</v>
      </c>
      <c r="H6" s="120" t="s">
        <v>313</v>
      </c>
      <c r="I6" s="121"/>
      <c r="J6" s="121">
        <v>2</v>
      </c>
      <c r="K6" s="121">
        <v>2</v>
      </c>
      <c r="L6" s="121">
        <v>2</v>
      </c>
      <c r="M6" s="121">
        <v>2</v>
      </c>
      <c r="N6" s="121">
        <v>2</v>
      </c>
      <c r="O6" s="121"/>
      <c r="P6" s="121"/>
      <c r="Q6" s="121">
        <v>2</v>
      </c>
      <c r="R6" s="121">
        <v>2</v>
      </c>
      <c r="S6" s="121">
        <v>2</v>
      </c>
      <c r="T6" s="121">
        <v>2</v>
      </c>
      <c r="U6" s="121">
        <v>2</v>
      </c>
      <c r="V6" s="121"/>
      <c r="W6" s="121"/>
      <c r="X6" s="121"/>
      <c r="Y6" s="121"/>
      <c r="Z6" s="121"/>
      <c r="AA6" s="121">
        <v>2</v>
      </c>
      <c r="AB6" s="121">
        <v>2</v>
      </c>
      <c r="AC6" s="121"/>
      <c r="AD6" s="121"/>
      <c r="AE6" s="121">
        <v>2</v>
      </c>
      <c r="AF6" s="121">
        <v>2</v>
      </c>
      <c r="AG6" s="121">
        <v>2</v>
      </c>
      <c r="AH6" s="121">
        <v>2</v>
      </c>
      <c r="AI6" s="121">
        <v>2</v>
      </c>
      <c r="AJ6" s="121"/>
      <c r="AK6" s="121"/>
      <c r="AL6" s="121"/>
      <c r="AM6" s="121"/>
      <c r="AN6" s="122">
        <f>SUM(I6:AM6)</f>
        <v>34</v>
      </c>
      <c r="AO6" s="118">
        <v>230000</v>
      </c>
      <c r="AP6" s="123">
        <f>AN6*AO6</f>
        <v>7820000</v>
      </c>
    </row>
    <row r="7" spans="1:42" ht="24.9" customHeight="1" x14ac:dyDescent="0.4">
      <c r="A7" s="124">
        <v>2</v>
      </c>
      <c r="B7" s="116" t="s">
        <v>495</v>
      </c>
      <c r="C7" s="117" t="s">
        <v>496</v>
      </c>
      <c r="D7" s="125" t="s">
        <v>322</v>
      </c>
      <c r="E7" s="117" t="s">
        <v>497</v>
      </c>
      <c r="F7" s="126" t="s">
        <v>329</v>
      </c>
      <c r="G7" s="119" t="s">
        <v>495</v>
      </c>
      <c r="H7" s="120" t="s">
        <v>498</v>
      </c>
      <c r="I7" s="121"/>
      <c r="J7" s="121"/>
      <c r="K7" s="121">
        <v>1</v>
      </c>
      <c r="L7" s="121">
        <v>1.5</v>
      </c>
      <c r="M7" s="121">
        <v>1.5</v>
      </c>
      <c r="N7" s="121">
        <v>1.5</v>
      </c>
      <c r="O7" s="121"/>
      <c r="P7" s="121"/>
      <c r="Q7" s="121">
        <v>1.5</v>
      </c>
      <c r="R7" s="121"/>
      <c r="S7" s="121">
        <v>1.5</v>
      </c>
      <c r="T7" s="121">
        <v>1.5</v>
      </c>
      <c r="U7" s="121">
        <v>1.5</v>
      </c>
      <c r="V7" s="121">
        <v>1</v>
      </c>
      <c r="W7" s="121"/>
      <c r="X7" s="121"/>
      <c r="Y7" s="121"/>
      <c r="Z7" s="121"/>
      <c r="AA7" s="121">
        <v>1</v>
      </c>
      <c r="AB7" s="121"/>
      <c r="AC7" s="121"/>
      <c r="AD7" s="121"/>
      <c r="AE7" s="121">
        <v>1.5</v>
      </c>
      <c r="AF7" s="121">
        <v>1.5</v>
      </c>
      <c r="AG7" s="121"/>
      <c r="AH7" s="121">
        <v>1.5</v>
      </c>
      <c r="AI7" s="121">
        <v>1.5</v>
      </c>
      <c r="AJ7" s="121"/>
      <c r="AK7" s="121"/>
      <c r="AL7" s="121"/>
      <c r="AM7" s="121"/>
      <c r="AN7" s="122">
        <f t="shared" ref="AN7:AN11" si="0">SUM(I7:AM7)</f>
        <v>19.5</v>
      </c>
      <c r="AO7" s="118">
        <v>150000</v>
      </c>
      <c r="AP7" s="123">
        <f t="shared" ref="AP7:AP11" si="1">AN7*AO7</f>
        <v>2925000</v>
      </c>
    </row>
    <row r="8" spans="1:42" ht="24.9" customHeight="1" x14ac:dyDescent="0.4">
      <c r="A8" s="115">
        <v>3</v>
      </c>
      <c r="B8" s="116" t="s">
        <v>808</v>
      </c>
      <c r="C8" s="117" t="s">
        <v>729</v>
      </c>
      <c r="D8" s="127" t="s">
        <v>322</v>
      </c>
      <c r="E8" s="117" t="s">
        <v>730</v>
      </c>
      <c r="F8" s="126" t="s">
        <v>356</v>
      </c>
      <c r="G8" s="119" t="s">
        <v>808</v>
      </c>
      <c r="H8" s="120" t="s">
        <v>731</v>
      </c>
      <c r="I8" s="121"/>
      <c r="J8" s="121"/>
      <c r="K8" s="121"/>
      <c r="L8" s="121"/>
      <c r="M8" s="121"/>
      <c r="N8" s="121"/>
      <c r="O8" s="121"/>
      <c r="P8" s="121"/>
      <c r="Q8" s="121">
        <v>0.75</v>
      </c>
      <c r="R8" s="121">
        <v>0.375</v>
      </c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2">
        <f t="shared" si="0"/>
        <v>1.125</v>
      </c>
      <c r="AO8" s="118">
        <v>150000</v>
      </c>
      <c r="AP8" s="123">
        <f t="shared" si="1"/>
        <v>168750</v>
      </c>
    </row>
    <row r="9" spans="1:42" ht="24.9" customHeight="1" x14ac:dyDescent="0.4">
      <c r="A9" s="124">
        <v>4</v>
      </c>
      <c r="B9" s="116" t="s">
        <v>624</v>
      </c>
      <c r="C9" s="117" t="s">
        <v>625</v>
      </c>
      <c r="D9" s="125" t="s">
        <v>322</v>
      </c>
      <c r="E9" s="117" t="s">
        <v>626</v>
      </c>
      <c r="F9" s="126" t="s">
        <v>324</v>
      </c>
      <c r="G9" s="119" t="s">
        <v>624</v>
      </c>
      <c r="H9" s="120" t="s">
        <v>627</v>
      </c>
      <c r="I9" s="121"/>
      <c r="J9" s="121">
        <v>1.5</v>
      </c>
      <c r="K9" s="121">
        <v>1</v>
      </c>
      <c r="L9" s="121">
        <v>1.5</v>
      </c>
      <c r="M9" s="121">
        <v>1.5</v>
      </c>
      <c r="N9" s="121">
        <v>1.5</v>
      </c>
      <c r="O9" s="121">
        <v>1</v>
      </c>
      <c r="P9" s="121"/>
      <c r="Q9" s="121">
        <v>1.5</v>
      </c>
      <c r="R9" s="121">
        <v>1.5</v>
      </c>
      <c r="S9" s="121">
        <v>1.5</v>
      </c>
      <c r="T9" s="121">
        <v>1.5</v>
      </c>
      <c r="U9" s="121">
        <v>1.5</v>
      </c>
      <c r="V9" s="121"/>
      <c r="W9" s="121"/>
      <c r="X9" s="121"/>
      <c r="Y9" s="121"/>
      <c r="Z9" s="121"/>
      <c r="AA9" s="121">
        <v>1</v>
      </c>
      <c r="AB9" s="121">
        <v>1.5</v>
      </c>
      <c r="AC9" s="121"/>
      <c r="AD9" s="121"/>
      <c r="AE9" s="121">
        <v>1.5</v>
      </c>
      <c r="AF9" s="121">
        <v>1.5</v>
      </c>
      <c r="AG9" s="121">
        <v>1.5</v>
      </c>
      <c r="AH9" s="121">
        <v>1.375</v>
      </c>
      <c r="AI9" s="121">
        <v>1.5</v>
      </c>
      <c r="AJ9" s="121"/>
      <c r="AK9" s="121"/>
      <c r="AL9" s="121"/>
      <c r="AM9" s="121"/>
      <c r="AN9" s="122">
        <f t="shared" si="0"/>
        <v>25.375</v>
      </c>
      <c r="AO9" s="118">
        <v>160000</v>
      </c>
      <c r="AP9" s="123">
        <f t="shared" si="1"/>
        <v>4060000</v>
      </c>
    </row>
    <row r="10" spans="1:42" ht="24.9" customHeight="1" x14ac:dyDescent="0.4">
      <c r="A10" s="115">
        <v>5</v>
      </c>
      <c r="B10" s="116" t="s">
        <v>689</v>
      </c>
      <c r="C10" s="117" t="s">
        <v>690</v>
      </c>
      <c r="D10" s="125" t="s">
        <v>322</v>
      </c>
      <c r="E10" s="117" t="s">
        <v>691</v>
      </c>
      <c r="F10" s="126" t="s">
        <v>692</v>
      </c>
      <c r="G10" s="119" t="s">
        <v>689</v>
      </c>
      <c r="H10" s="120" t="s">
        <v>693</v>
      </c>
      <c r="I10" s="121"/>
      <c r="J10" s="121">
        <v>1.5</v>
      </c>
      <c r="K10" s="121">
        <v>1.5</v>
      </c>
      <c r="L10" s="121">
        <v>1.5</v>
      </c>
      <c r="M10" s="121">
        <v>1.5</v>
      </c>
      <c r="N10" s="121">
        <v>1.5</v>
      </c>
      <c r="O10" s="121">
        <v>1</v>
      </c>
      <c r="P10" s="121"/>
      <c r="Q10" s="121">
        <v>1.5</v>
      </c>
      <c r="R10" s="121">
        <v>1.5</v>
      </c>
      <c r="S10" s="121">
        <v>1.5</v>
      </c>
      <c r="T10" s="121">
        <v>1.5</v>
      </c>
      <c r="U10" s="121">
        <v>1.5</v>
      </c>
      <c r="V10" s="121">
        <v>1</v>
      </c>
      <c r="W10" s="121"/>
      <c r="X10" s="121"/>
      <c r="Y10" s="121"/>
      <c r="Z10" s="121"/>
      <c r="AA10" s="121">
        <v>1</v>
      </c>
      <c r="AB10" s="121">
        <v>1.5</v>
      </c>
      <c r="AC10" s="121"/>
      <c r="AD10" s="121"/>
      <c r="AE10" s="121">
        <v>1.5</v>
      </c>
      <c r="AF10" s="121">
        <v>1.5</v>
      </c>
      <c r="AG10" s="121">
        <v>1.5</v>
      </c>
      <c r="AH10" s="121">
        <v>1.5</v>
      </c>
      <c r="AI10" s="121">
        <v>1.5</v>
      </c>
      <c r="AJ10" s="121">
        <v>1</v>
      </c>
      <c r="AK10" s="121"/>
      <c r="AL10" s="121"/>
      <c r="AM10" s="121"/>
      <c r="AN10" s="122">
        <f t="shared" si="0"/>
        <v>28</v>
      </c>
      <c r="AO10" s="118">
        <v>160000</v>
      </c>
      <c r="AP10" s="123">
        <f t="shared" si="1"/>
        <v>4480000</v>
      </c>
    </row>
    <row r="11" spans="1:42" ht="24.9" customHeight="1" x14ac:dyDescent="0.4">
      <c r="A11" s="124">
        <v>6</v>
      </c>
      <c r="B11" s="116" t="s">
        <v>547</v>
      </c>
      <c r="C11" s="117" t="s">
        <v>548</v>
      </c>
      <c r="D11" s="127" t="s">
        <v>310</v>
      </c>
      <c r="E11" s="117" t="s">
        <v>549</v>
      </c>
      <c r="F11" s="126" t="s">
        <v>329</v>
      </c>
      <c r="G11" s="119" t="s">
        <v>547</v>
      </c>
      <c r="H11" s="120" t="s">
        <v>550</v>
      </c>
      <c r="I11" s="121"/>
      <c r="J11" s="121">
        <v>1.5</v>
      </c>
      <c r="K11" s="121">
        <v>1.5</v>
      </c>
      <c r="L11" s="121">
        <v>1.5</v>
      </c>
      <c r="M11" s="121">
        <v>1.5</v>
      </c>
      <c r="N11" s="121">
        <v>1.5</v>
      </c>
      <c r="O11" s="121">
        <v>0.5</v>
      </c>
      <c r="P11" s="121"/>
      <c r="Q11" s="121">
        <v>1.5</v>
      </c>
      <c r="R11" s="121">
        <v>1.5</v>
      </c>
      <c r="S11" s="121">
        <v>1.5</v>
      </c>
      <c r="T11" s="121">
        <v>1.5</v>
      </c>
      <c r="U11" s="121">
        <v>1.5</v>
      </c>
      <c r="V11" s="121">
        <v>1</v>
      </c>
      <c r="W11" s="121"/>
      <c r="X11" s="121"/>
      <c r="Y11" s="121"/>
      <c r="Z11" s="121"/>
      <c r="AA11" s="121">
        <v>1</v>
      </c>
      <c r="AB11" s="121">
        <v>1.5</v>
      </c>
      <c r="AC11" s="121"/>
      <c r="AD11" s="121"/>
      <c r="AE11" s="121">
        <v>1.5</v>
      </c>
      <c r="AF11" s="121">
        <v>1.5</v>
      </c>
      <c r="AG11" s="121">
        <v>1.5</v>
      </c>
      <c r="AH11" s="121">
        <v>1.5</v>
      </c>
      <c r="AI11" s="121">
        <v>1.5</v>
      </c>
      <c r="AJ11" s="121">
        <v>1</v>
      </c>
      <c r="AK11" s="121"/>
      <c r="AL11" s="121"/>
      <c r="AM11" s="121"/>
      <c r="AN11" s="122">
        <f t="shared" si="0"/>
        <v>27.5</v>
      </c>
      <c r="AO11" s="118">
        <v>230000</v>
      </c>
      <c r="AP11" s="123">
        <f t="shared" si="1"/>
        <v>6325000</v>
      </c>
    </row>
    <row r="12" spans="1:42" ht="24.9" customHeight="1" x14ac:dyDescent="0.4">
      <c r="A12" s="115">
        <v>7</v>
      </c>
      <c r="B12" s="116" t="s">
        <v>314</v>
      </c>
      <c r="C12" s="117" t="s">
        <v>315</v>
      </c>
      <c r="D12" s="125" t="s">
        <v>316</v>
      </c>
      <c r="E12" s="117" t="s">
        <v>317</v>
      </c>
      <c r="F12" s="126" t="s">
        <v>318</v>
      </c>
      <c r="G12" s="119" t="s">
        <v>314</v>
      </c>
      <c r="H12" s="120" t="s">
        <v>319</v>
      </c>
      <c r="I12" s="121"/>
      <c r="J12" s="121">
        <v>1.5</v>
      </c>
      <c r="K12" s="121">
        <v>1.5</v>
      </c>
      <c r="L12" s="121">
        <v>1.5</v>
      </c>
      <c r="M12" s="121">
        <v>1.5</v>
      </c>
      <c r="N12" s="121">
        <v>1.5</v>
      </c>
      <c r="O12" s="121"/>
      <c r="P12" s="121"/>
      <c r="Q12" s="121">
        <v>1.5</v>
      </c>
      <c r="R12" s="121">
        <v>1.5</v>
      </c>
      <c r="S12" s="121">
        <v>1.5</v>
      </c>
      <c r="T12" s="121">
        <v>1.5</v>
      </c>
      <c r="U12" s="121">
        <v>1.5</v>
      </c>
      <c r="V12" s="121"/>
      <c r="W12" s="121"/>
      <c r="X12" s="121"/>
      <c r="Y12" s="121"/>
      <c r="Z12" s="121"/>
      <c r="AA12" s="121">
        <v>1</v>
      </c>
      <c r="AB12" s="121">
        <v>1.5</v>
      </c>
      <c r="AC12" s="121"/>
      <c r="AD12" s="121"/>
      <c r="AE12" s="121">
        <v>1.5</v>
      </c>
      <c r="AF12" s="121">
        <v>1.5</v>
      </c>
      <c r="AG12" s="121">
        <v>1.5</v>
      </c>
      <c r="AH12" s="121">
        <v>1.5</v>
      </c>
      <c r="AI12" s="121">
        <v>1.5</v>
      </c>
      <c r="AJ12" s="121"/>
      <c r="AK12" s="121"/>
      <c r="AL12" s="121"/>
      <c r="AM12" s="121"/>
      <c r="AN12" s="122">
        <f t="shared" ref="AN12:AN124" si="2">SUM(I12:AM12)</f>
        <v>25</v>
      </c>
      <c r="AO12" s="118">
        <v>240000</v>
      </c>
      <c r="AP12" s="123">
        <f t="shared" ref="AP12:AP124" si="3">AN12*AO12</f>
        <v>6000000</v>
      </c>
    </row>
    <row r="13" spans="1:42" ht="24.9" customHeight="1" x14ac:dyDescent="0.4">
      <c r="A13" s="124">
        <v>8</v>
      </c>
      <c r="B13" s="116" t="s">
        <v>503</v>
      </c>
      <c r="C13" s="117" t="s">
        <v>504</v>
      </c>
      <c r="D13" s="127" t="s">
        <v>316</v>
      </c>
      <c r="E13" s="117" t="s">
        <v>505</v>
      </c>
      <c r="F13" s="126" t="s">
        <v>312</v>
      </c>
      <c r="G13" s="119" t="s">
        <v>503</v>
      </c>
      <c r="H13" s="120" t="s">
        <v>506</v>
      </c>
      <c r="I13" s="121"/>
      <c r="J13" s="121">
        <v>2</v>
      </c>
      <c r="K13" s="121">
        <v>2</v>
      </c>
      <c r="L13" s="121">
        <v>2</v>
      </c>
      <c r="M13" s="121">
        <v>2</v>
      </c>
      <c r="N13" s="121">
        <v>2</v>
      </c>
      <c r="O13" s="121"/>
      <c r="P13" s="121"/>
      <c r="Q13" s="121">
        <v>2</v>
      </c>
      <c r="R13" s="121">
        <v>2</v>
      </c>
      <c r="S13" s="121">
        <v>2</v>
      </c>
      <c r="T13" s="121">
        <v>2</v>
      </c>
      <c r="U13" s="121">
        <v>2</v>
      </c>
      <c r="V13" s="121"/>
      <c r="W13" s="121"/>
      <c r="X13" s="121"/>
      <c r="Y13" s="121"/>
      <c r="Z13" s="121"/>
      <c r="AA13" s="121">
        <v>2</v>
      </c>
      <c r="AB13" s="121">
        <v>2</v>
      </c>
      <c r="AC13" s="121"/>
      <c r="AD13" s="121"/>
      <c r="AE13" s="121">
        <v>2</v>
      </c>
      <c r="AF13" s="121">
        <v>2</v>
      </c>
      <c r="AG13" s="121">
        <v>2</v>
      </c>
      <c r="AH13" s="121">
        <v>2</v>
      </c>
      <c r="AI13" s="121">
        <v>2</v>
      </c>
      <c r="AJ13" s="121"/>
      <c r="AK13" s="121"/>
      <c r="AL13" s="121"/>
      <c r="AM13" s="121"/>
      <c r="AN13" s="122">
        <f t="shared" si="2"/>
        <v>34</v>
      </c>
      <c r="AO13" s="118">
        <v>240000</v>
      </c>
      <c r="AP13" s="123">
        <f t="shared" si="3"/>
        <v>8160000</v>
      </c>
    </row>
    <row r="14" spans="1:42" ht="24.9" customHeight="1" x14ac:dyDescent="0.4">
      <c r="A14" s="115">
        <v>9</v>
      </c>
      <c r="B14" s="116" t="s">
        <v>320</v>
      </c>
      <c r="C14" s="117" t="s">
        <v>321</v>
      </c>
      <c r="D14" s="127" t="s">
        <v>322</v>
      </c>
      <c r="E14" s="117" t="s">
        <v>323</v>
      </c>
      <c r="F14" s="126" t="s">
        <v>324</v>
      </c>
      <c r="G14" s="119" t="s">
        <v>320</v>
      </c>
      <c r="H14" s="120" t="s">
        <v>325</v>
      </c>
      <c r="I14" s="121"/>
      <c r="J14" s="121">
        <v>1.5</v>
      </c>
      <c r="K14" s="121">
        <v>1</v>
      </c>
      <c r="L14" s="121">
        <v>1.5</v>
      </c>
      <c r="M14" s="121">
        <v>1.5</v>
      </c>
      <c r="N14" s="121">
        <v>1.5</v>
      </c>
      <c r="O14" s="121">
        <v>1</v>
      </c>
      <c r="P14" s="121"/>
      <c r="Q14" s="121">
        <v>1.5</v>
      </c>
      <c r="R14" s="121">
        <v>1.5</v>
      </c>
      <c r="S14" s="121">
        <v>1.5</v>
      </c>
      <c r="T14" s="121">
        <v>1.5</v>
      </c>
      <c r="U14" s="121">
        <v>1.5</v>
      </c>
      <c r="V14" s="121">
        <v>1</v>
      </c>
      <c r="W14" s="121"/>
      <c r="X14" s="121"/>
      <c r="Y14" s="121"/>
      <c r="Z14" s="121"/>
      <c r="AA14" s="121">
        <v>1</v>
      </c>
      <c r="AB14" s="121">
        <v>1.5</v>
      </c>
      <c r="AC14" s="121"/>
      <c r="AD14" s="121"/>
      <c r="AE14" s="121">
        <v>1.5</v>
      </c>
      <c r="AF14" s="121">
        <v>1.5</v>
      </c>
      <c r="AG14" s="121">
        <v>1.5</v>
      </c>
      <c r="AH14" s="121">
        <v>1.5</v>
      </c>
      <c r="AI14" s="121">
        <v>1.5</v>
      </c>
      <c r="AJ14" s="121"/>
      <c r="AK14" s="121"/>
      <c r="AL14" s="121"/>
      <c r="AM14" s="121"/>
      <c r="AN14" s="122">
        <f t="shared" si="2"/>
        <v>26.5</v>
      </c>
      <c r="AO14" s="118">
        <v>180000</v>
      </c>
      <c r="AP14" s="123">
        <f t="shared" si="3"/>
        <v>4770000</v>
      </c>
    </row>
    <row r="15" spans="1:42" ht="24.9" customHeight="1" x14ac:dyDescent="0.4">
      <c r="A15" s="124">
        <v>10</v>
      </c>
      <c r="B15" s="116" t="s">
        <v>326</v>
      </c>
      <c r="C15" s="117" t="s">
        <v>327</v>
      </c>
      <c r="D15" s="127" t="s">
        <v>322</v>
      </c>
      <c r="E15" s="117" t="s">
        <v>328</v>
      </c>
      <c r="F15" s="126" t="s">
        <v>329</v>
      </c>
      <c r="G15" s="119" t="s">
        <v>326</v>
      </c>
      <c r="H15" s="120" t="s">
        <v>330</v>
      </c>
      <c r="I15" s="121"/>
      <c r="J15" s="121">
        <v>1.5</v>
      </c>
      <c r="K15" s="121">
        <v>1</v>
      </c>
      <c r="L15" s="121">
        <v>1.5</v>
      </c>
      <c r="M15" s="121">
        <v>1.5</v>
      </c>
      <c r="N15" s="121">
        <v>1.5</v>
      </c>
      <c r="O15" s="121">
        <v>1</v>
      </c>
      <c r="P15" s="121"/>
      <c r="Q15" s="121">
        <v>1.5</v>
      </c>
      <c r="R15" s="121">
        <v>1.5</v>
      </c>
      <c r="S15" s="121">
        <v>1.5</v>
      </c>
      <c r="T15" s="121">
        <v>1.5</v>
      </c>
      <c r="U15" s="121">
        <v>1.5</v>
      </c>
      <c r="V15" s="121">
        <v>1</v>
      </c>
      <c r="W15" s="121"/>
      <c r="X15" s="121"/>
      <c r="Y15" s="121"/>
      <c r="Z15" s="121"/>
      <c r="AA15" s="121">
        <v>1</v>
      </c>
      <c r="AB15" s="121">
        <v>1.5</v>
      </c>
      <c r="AC15" s="121"/>
      <c r="AD15" s="121"/>
      <c r="AE15" s="121">
        <v>1.5</v>
      </c>
      <c r="AF15" s="121">
        <v>1.5</v>
      </c>
      <c r="AG15" s="121">
        <v>1.5</v>
      </c>
      <c r="AH15" s="121">
        <v>1.5</v>
      </c>
      <c r="AI15" s="121">
        <v>1.5</v>
      </c>
      <c r="AJ15" s="121">
        <v>1</v>
      </c>
      <c r="AK15" s="121"/>
      <c r="AL15" s="121"/>
      <c r="AM15" s="121"/>
      <c r="AN15" s="122">
        <f t="shared" si="2"/>
        <v>27.5</v>
      </c>
      <c r="AO15" s="118">
        <v>190000</v>
      </c>
      <c r="AP15" s="123">
        <f t="shared" si="3"/>
        <v>5225000</v>
      </c>
    </row>
    <row r="16" spans="1:42" ht="24.9" customHeight="1" x14ac:dyDescent="0.4">
      <c r="A16" s="115">
        <v>11</v>
      </c>
      <c r="B16" s="116" t="s">
        <v>331</v>
      </c>
      <c r="C16" s="117" t="s">
        <v>332</v>
      </c>
      <c r="D16" s="125" t="s">
        <v>322</v>
      </c>
      <c r="E16" s="117" t="s">
        <v>333</v>
      </c>
      <c r="F16" s="126" t="s">
        <v>318</v>
      </c>
      <c r="G16" s="119" t="s">
        <v>331</v>
      </c>
      <c r="H16" s="120" t="s">
        <v>334</v>
      </c>
      <c r="I16" s="121"/>
      <c r="J16" s="121">
        <v>2</v>
      </c>
      <c r="K16" s="121">
        <v>2</v>
      </c>
      <c r="L16" s="121">
        <v>2</v>
      </c>
      <c r="M16" s="121">
        <v>2</v>
      </c>
      <c r="N16" s="121">
        <v>2</v>
      </c>
      <c r="O16" s="121"/>
      <c r="P16" s="121"/>
      <c r="Q16" s="121">
        <v>2</v>
      </c>
      <c r="R16" s="121">
        <v>2</v>
      </c>
      <c r="S16" s="121">
        <v>2</v>
      </c>
      <c r="T16" s="121">
        <v>2</v>
      </c>
      <c r="U16" s="121">
        <v>2</v>
      </c>
      <c r="V16" s="121"/>
      <c r="W16" s="121"/>
      <c r="X16" s="121"/>
      <c r="Y16" s="121"/>
      <c r="Z16" s="121"/>
      <c r="AA16" s="121">
        <v>2</v>
      </c>
      <c r="AB16" s="121">
        <v>2</v>
      </c>
      <c r="AC16" s="121"/>
      <c r="AD16" s="121"/>
      <c r="AE16" s="121">
        <v>2</v>
      </c>
      <c r="AF16" s="121">
        <v>2</v>
      </c>
      <c r="AG16" s="121">
        <v>2</v>
      </c>
      <c r="AH16" s="121">
        <v>2</v>
      </c>
      <c r="AI16" s="121">
        <v>2</v>
      </c>
      <c r="AJ16" s="121"/>
      <c r="AK16" s="121"/>
      <c r="AL16" s="121"/>
      <c r="AM16" s="121"/>
      <c r="AN16" s="122">
        <f t="shared" si="2"/>
        <v>34</v>
      </c>
      <c r="AO16" s="118">
        <v>140000</v>
      </c>
      <c r="AP16" s="123">
        <f t="shared" si="3"/>
        <v>4760000</v>
      </c>
    </row>
    <row r="17" spans="1:42" ht="24.9" customHeight="1" x14ac:dyDescent="0.4">
      <c r="A17" s="124">
        <v>12</v>
      </c>
      <c r="B17" s="116" t="s">
        <v>571</v>
      </c>
      <c r="C17" s="117" t="s">
        <v>572</v>
      </c>
      <c r="D17" s="125" t="s">
        <v>322</v>
      </c>
      <c r="E17" s="117" t="s">
        <v>573</v>
      </c>
      <c r="F17" s="126" t="s">
        <v>318</v>
      </c>
      <c r="G17" s="119" t="s">
        <v>571</v>
      </c>
      <c r="H17" s="120" t="s">
        <v>574</v>
      </c>
      <c r="I17" s="121"/>
      <c r="J17" s="121">
        <v>1.5</v>
      </c>
      <c r="K17" s="121">
        <v>1.5</v>
      </c>
      <c r="L17" s="121">
        <v>1.5</v>
      </c>
      <c r="M17" s="121">
        <v>1.5</v>
      </c>
      <c r="N17" s="121">
        <v>1.5</v>
      </c>
      <c r="O17" s="121">
        <v>1</v>
      </c>
      <c r="P17" s="121"/>
      <c r="Q17" s="121">
        <v>1.5</v>
      </c>
      <c r="R17" s="121">
        <v>1.5</v>
      </c>
      <c r="S17" s="121">
        <v>1.5</v>
      </c>
      <c r="T17" s="121">
        <v>1.5</v>
      </c>
      <c r="U17" s="121">
        <v>1.5</v>
      </c>
      <c r="V17" s="121"/>
      <c r="W17" s="121"/>
      <c r="X17" s="121"/>
      <c r="Y17" s="121"/>
      <c r="Z17" s="121"/>
      <c r="AA17" s="121">
        <v>1</v>
      </c>
      <c r="AB17" s="121">
        <v>1.5</v>
      </c>
      <c r="AC17" s="121"/>
      <c r="AD17" s="121"/>
      <c r="AE17" s="121">
        <v>1.5</v>
      </c>
      <c r="AF17" s="121">
        <v>1.5</v>
      </c>
      <c r="AG17" s="121">
        <v>1.5</v>
      </c>
      <c r="AH17" s="121">
        <v>1.5</v>
      </c>
      <c r="AI17" s="121">
        <v>1.5</v>
      </c>
      <c r="AJ17" s="121"/>
      <c r="AK17" s="121"/>
      <c r="AL17" s="121"/>
      <c r="AM17" s="121"/>
      <c r="AN17" s="122">
        <f t="shared" si="2"/>
        <v>26</v>
      </c>
      <c r="AO17" s="118">
        <v>150000</v>
      </c>
      <c r="AP17" s="123">
        <f t="shared" si="3"/>
        <v>3900000</v>
      </c>
    </row>
    <row r="18" spans="1:42" ht="24.9" customHeight="1" x14ac:dyDescent="0.4">
      <c r="A18" s="115">
        <v>13</v>
      </c>
      <c r="B18" s="116" t="s">
        <v>335</v>
      </c>
      <c r="C18" s="117" t="s">
        <v>336</v>
      </c>
      <c r="D18" s="127" t="s">
        <v>322</v>
      </c>
      <c r="E18" s="117" t="s">
        <v>337</v>
      </c>
      <c r="F18" s="126" t="s">
        <v>312</v>
      </c>
      <c r="G18" s="119" t="s">
        <v>335</v>
      </c>
      <c r="H18" s="120" t="s">
        <v>338</v>
      </c>
      <c r="I18" s="121"/>
      <c r="J18" s="121">
        <v>2</v>
      </c>
      <c r="K18" s="121">
        <v>2</v>
      </c>
      <c r="L18" s="121">
        <v>2</v>
      </c>
      <c r="M18" s="121">
        <v>2</v>
      </c>
      <c r="N18" s="121">
        <v>2</v>
      </c>
      <c r="O18" s="121"/>
      <c r="P18" s="121"/>
      <c r="Q18" s="121">
        <v>2</v>
      </c>
      <c r="R18" s="121">
        <v>2</v>
      </c>
      <c r="S18" s="121">
        <v>2</v>
      </c>
      <c r="T18" s="121">
        <v>2</v>
      </c>
      <c r="U18" s="121">
        <v>2</v>
      </c>
      <c r="V18" s="121"/>
      <c r="W18" s="121"/>
      <c r="X18" s="121"/>
      <c r="Y18" s="121"/>
      <c r="Z18" s="121"/>
      <c r="AA18" s="121">
        <v>2</v>
      </c>
      <c r="AB18" s="121">
        <v>2</v>
      </c>
      <c r="AC18" s="121"/>
      <c r="AD18" s="121"/>
      <c r="AE18" s="121">
        <v>2</v>
      </c>
      <c r="AF18" s="121">
        <v>2</v>
      </c>
      <c r="AG18" s="121">
        <v>2</v>
      </c>
      <c r="AH18" s="121">
        <v>2</v>
      </c>
      <c r="AI18" s="121">
        <v>2</v>
      </c>
      <c r="AJ18" s="121"/>
      <c r="AK18" s="121"/>
      <c r="AL18" s="121"/>
      <c r="AM18" s="121"/>
      <c r="AN18" s="122">
        <f t="shared" si="2"/>
        <v>34</v>
      </c>
      <c r="AO18" s="118">
        <v>160000</v>
      </c>
      <c r="AP18" s="123">
        <f t="shared" si="3"/>
        <v>5440000</v>
      </c>
    </row>
    <row r="19" spans="1:42" ht="24.9" customHeight="1" x14ac:dyDescent="0.4">
      <c r="A19" s="124">
        <v>14</v>
      </c>
      <c r="B19" s="116" t="s">
        <v>515</v>
      </c>
      <c r="C19" s="117" t="s">
        <v>516</v>
      </c>
      <c r="D19" s="125" t="s">
        <v>345</v>
      </c>
      <c r="E19" s="117" t="s">
        <v>517</v>
      </c>
      <c r="F19" s="126" t="s">
        <v>318</v>
      </c>
      <c r="G19" s="119" t="s">
        <v>515</v>
      </c>
      <c r="H19" s="120">
        <v>91041316732</v>
      </c>
      <c r="I19" s="121"/>
      <c r="J19" s="121">
        <v>1.5</v>
      </c>
      <c r="K19" s="121">
        <v>1</v>
      </c>
      <c r="L19" s="121">
        <v>1.5</v>
      </c>
      <c r="M19" s="121">
        <v>1.5</v>
      </c>
      <c r="N19" s="121"/>
      <c r="O19" s="121"/>
      <c r="P19" s="121"/>
      <c r="Q19" s="121">
        <v>1.5</v>
      </c>
      <c r="R19" s="121">
        <v>0.5</v>
      </c>
      <c r="S19" s="121">
        <v>1.5</v>
      </c>
      <c r="T19" s="121">
        <v>1.5</v>
      </c>
      <c r="U19" s="121">
        <v>1.5</v>
      </c>
      <c r="V19" s="121"/>
      <c r="W19" s="121"/>
      <c r="X19" s="121"/>
      <c r="Y19" s="121"/>
      <c r="Z19" s="121"/>
      <c r="AA19" s="121">
        <v>1</v>
      </c>
      <c r="AB19" s="121">
        <v>1.5</v>
      </c>
      <c r="AC19" s="121"/>
      <c r="AD19" s="121"/>
      <c r="AE19" s="121">
        <v>1.5</v>
      </c>
      <c r="AF19" s="121">
        <v>1.5</v>
      </c>
      <c r="AG19" s="121"/>
      <c r="AH19" s="121">
        <v>1.5</v>
      </c>
      <c r="AI19" s="121">
        <v>1.5</v>
      </c>
      <c r="AJ19" s="121"/>
      <c r="AK19" s="121"/>
      <c r="AL19" s="121"/>
      <c r="AM19" s="121"/>
      <c r="AN19" s="122">
        <f t="shared" si="2"/>
        <v>20.5</v>
      </c>
      <c r="AO19" s="118">
        <v>210000</v>
      </c>
      <c r="AP19" s="123">
        <f t="shared" si="3"/>
        <v>4305000</v>
      </c>
    </row>
    <row r="20" spans="1:42" ht="24.9" customHeight="1" x14ac:dyDescent="0.4">
      <c r="A20" s="115">
        <v>15</v>
      </c>
      <c r="B20" s="116" t="s">
        <v>339</v>
      </c>
      <c r="C20" s="117" t="s">
        <v>340</v>
      </c>
      <c r="D20" s="127" t="s">
        <v>316</v>
      </c>
      <c r="E20" s="117" t="s">
        <v>341</v>
      </c>
      <c r="F20" s="126" t="s">
        <v>329</v>
      </c>
      <c r="G20" s="119" t="s">
        <v>339</v>
      </c>
      <c r="H20" s="120" t="s">
        <v>342</v>
      </c>
      <c r="I20" s="121"/>
      <c r="J20" s="121">
        <v>2</v>
      </c>
      <c r="K20" s="121">
        <v>2</v>
      </c>
      <c r="L20" s="121">
        <v>2</v>
      </c>
      <c r="M20" s="121">
        <v>2</v>
      </c>
      <c r="N20" s="121">
        <v>2</v>
      </c>
      <c r="O20" s="121"/>
      <c r="P20" s="121"/>
      <c r="Q20" s="121">
        <v>2</v>
      </c>
      <c r="R20" s="121">
        <v>2</v>
      </c>
      <c r="S20" s="121">
        <v>2</v>
      </c>
      <c r="T20" s="121"/>
      <c r="U20" s="121">
        <v>2</v>
      </c>
      <c r="V20" s="121"/>
      <c r="W20" s="121"/>
      <c r="X20" s="121"/>
      <c r="Y20" s="121"/>
      <c r="Z20" s="121"/>
      <c r="AA20" s="121">
        <v>2</v>
      </c>
      <c r="AB20" s="121">
        <v>2</v>
      </c>
      <c r="AC20" s="121"/>
      <c r="AD20" s="121"/>
      <c r="AE20" s="121">
        <v>2</v>
      </c>
      <c r="AF20" s="121">
        <v>2</v>
      </c>
      <c r="AG20" s="121">
        <v>2</v>
      </c>
      <c r="AH20" s="121">
        <v>2</v>
      </c>
      <c r="AI20" s="121">
        <v>2</v>
      </c>
      <c r="AJ20" s="121"/>
      <c r="AK20" s="121"/>
      <c r="AL20" s="121"/>
      <c r="AM20" s="121"/>
      <c r="AN20" s="122">
        <f t="shared" si="2"/>
        <v>32</v>
      </c>
      <c r="AO20" s="118">
        <v>240000</v>
      </c>
      <c r="AP20" s="123">
        <f t="shared" si="3"/>
        <v>7680000</v>
      </c>
    </row>
    <row r="21" spans="1:42" ht="24.9" customHeight="1" x14ac:dyDescent="0.4">
      <c r="A21" s="124">
        <v>16</v>
      </c>
      <c r="B21" s="116" t="s">
        <v>583</v>
      </c>
      <c r="C21" s="117" t="s">
        <v>584</v>
      </c>
      <c r="D21" s="127" t="s">
        <v>360</v>
      </c>
      <c r="E21" s="117" t="s">
        <v>585</v>
      </c>
      <c r="F21" s="126" t="s">
        <v>425</v>
      </c>
      <c r="G21" s="119" t="s">
        <v>583</v>
      </c>
      <c r="H21" s="120" t="s">
        <v>586</v>
      </c>
      <c r="I21" s="121"/>
      <c r="J21" s="121">
        <v>1.5</v>
      </c>
      <c r="K21" s="121">
        <v>1.5</v>
      </c>
      <c r="L21" s="121">
        <v>1.5</v>
      </c>
      <c r="M21" s="121">
        <v>0.5</v>
      </c>
      <c r="N21" s="121"/>
      <c r="O21" s="121"/>
      <c r="P21" s="121"/>
      <c r="Q21" s="121">
        <v>1.5</v>
      </c>
      <c r="R21" s="121">
        <v>1.5</v>
      </c>
      <c r="S21" s="121">
        <v>1.5</v>
      </c>
      <c r="T21" s="121">
        <v>1</v>
      </c>
      <c r="U21" s="121">
        <v>1.5</v>
      </c>
      <c r="V21" s="121">
        <v>0.625</v>
      </c>
      <c r="W21" s="121"/>
      <c r="X21" s="121"/>
      <c r="Y21" s="121"/>
      <c r="Z21" s="121"/>
      <c r="AA21" s="121">
        <v>1</v>
      </c>
      <c r="AB21" s="121">
        <v>1.5</v>
      </c>
      <c r="AC21" s="121"/>
      <c r="AD21" s="121"/>
      <c r="AE21" s="121">
        <v>1.5</v>
      </c>
      <c r="AF21" s="121">
        <v>1.5</v>
      </c>
      <c r="AG21" s="121">
        <v>1.5</v>
      </c>
      <c r="AH21" s="121">
        <v>1.5</v>
      </c>
      <c r="AI21" s="121">
        <v>1.5</v>
      </c>
      <c r="AJ21" s="121">
        <v>1</v>
      </c>
      <c r="AK21" s="121"/>
      <c r="AL21" s="121"/>
      <c r="AM21" s="121"/>
      <c r="AN21" s="122">
        <f t="shared" si="2"/>
        <v>23.625</v>
      </c>
      <c r="AO21" s="118">
        <v>210000</v>
      </c>
      <c r="AP21" s="123">
        <f t="shared" si="3"/>
        <v>4961250</v>
      </c>
    </row>
    <row r="22" spans="1:42" ht="24.9" customHeight="1" x14ac:dyDescent="0.4">
      <c r="A22" s="115">
        <v>17</v>
      </c>
      <c r="B22" s="116" t="s">
        <v>343</v>
      </c>
      <c r="C22" s="117" t="s">
        <v>344</v>
      </c>
      <c r="D22" s="127" t="s">
        <v>345</v>
      </c>
      <c r="E22" s="117" t="s">
        <v>346</v>
      </c>
      <c r="F22" s="126" t="s">
        <v>347</v>
      </c>
      <c r="G22" s="119" t="s">
        <v>343</v>
      </c>
      <c r="H22" s="120" t="s">
        <v>348</v>
      </c>
      <c r="I22" s="121"/>
      <c r="J22" s="121">
        <v>1.5</v>
      </c>
      <c r="K22" s="121"/>
      <c r="L22" s="121">
        <v>1.5</v>
      </c>
      <c r="M22" s="121">
        <v>1.5</v>
      </c>
      <c r="N22" s="121">
        <v>1.5</v>
      </c>
      <c r="O22" s="121"/>
      <c r="P22" s="121"/>
      <c r="Q22" s="121">
        <v>2</v>
      </c>
      <c r="R22" s="121">
        <v>2</v>
      </c>
      <c r="S22" s="121">
        <v>2</v>
      </c>
      <c r="T22" s="121">
        <v>2</v>
      </c>
      <c r="U22" s="121">
        <v>2</v>
      </c>
      <c r="V22" s="121"/>
      <c r="W22" s="121"/>
      <c r="X22" s="121"/>
      <c r="Y22" s="121"/>
      <c r="Z22" s="121"/>
      <c r="AA22" s="121">
        <v>2</v>
      </c>
      <c r="AB22" s="121">
        <v>2</v>
      </c>
      <c r="AC22" s="121"/>
      <c r="AD22" s="121"/>
      <c r="AE22" s="121">
        <v>2</v>
      </c>
      <c r="AF22" s="121">
        <v>2</v>
      </c>
      <c r="AG22" s="121">
        <v>2</v>
      </c>
      <c r="AH22" s="121">
        <v>2</v>
      </c>
      <c r="AI22" s="121">
        <v>2</v>
      </c>
      <c r="AJ22" s="121"/>
      <c r="AK22" s="121"/>
      <c r="AL22" s="121"/>
      <c r="AM22" s="121"/>
      <c r="AN22" s="122">
        <f t="shared" si="2"/>
        <v>30</v>
      </c>
      <c r="AO22" s="118">
        <v>180000</v>
      </c>
      <c r="AP22" s="123">
        <f t="shared" si="3"/>
        <v>5400000</v>
      </c>
    </row>
    <row r="23" spans="1:42" ht="24.9" customHeight="1" x14ac:dyDescent="0.4">
      <c r="A23" s="124">
        <v>18</v>
      </c>
      <c r="B23" s="116" t="s">
        <v>491</v>
      </c>
      <c r="C23" s="117" t="s">
        <v>492</v>
      </c>
      <c r="D23" s="125" t="s">
        <v>322</v>
      </c>
      <c r="E23" s="117" t="s">
        <v>493</v>
      </c>
      <c r="F23" s="126" t="s">
        <v>329</v>
      </c>
      <c r="G23" s="119" t="s">
        <v>491</v>
      </c>
      <c r="H23" s="120" t="s">
        <v>494</v>
      </c>
      <c r="I23" s="121"/>
      <c r="J23" s="121">
        <v>1.5</v>
      </c>
      <c r="K23" s="121">
        <v>0.5</v>
      </c>
      <c r="L23" s="121"/>
      <c r="M23" s="121">
        <v>1.5</v>
      </c>
      <c r="N23" s="121">
        <v>1.5</v>
      </c>
      <c r="O23" s="121">
        <v>1</v>
      </c>
      <c r="P23" s="121"/>
      <c r="Q23" s="121"/>
      <c r="R23" s="121">
        <v>1.5</v>
      </c>
      <c r="S23" s="121">
        <v>1.5</v>
      </c>
      <c r="T23" s="121">
        <v>1.5</v>
      </c>
      <c r="U23" s="121">
        <v>1.5</v>
      </c>
      <c r="V23" s="121"/>
      <c r="W23" s="121"/>
      <c r="X23" s="121"/>
      <c r="Y23" s="121"/>
      <c r="Z23" s="121"/>
      <c r="AA23" s="121"/>
      <c r="AB23" s="121">
        <v>1.5</v>
      </c>
      <c r="AC23" s="121"/>
      <c r="AD23" s="121"/>
      <c r="AE23" s="121">
        <v>1.5</v>
      </c>
      <c r="AF23" s="121">
        <v>1.5</v>
      </c>
      <c r="AG23" s="121">
        <v>1.5</v>
      </c>
      <c r="AH23" s="121">
        <v>1.5</v>
      </c>
      <c r="AI23" s="121">
        <v>1.5</v>
      </c>
      <c r="AJ23" s="121"/>
      <c r="AK23" s="121"/>
      <c r="AL23" s="121"/>
      <c r="AM23" s="121"/>
      <c r="AN23" s="122">
        <f t="shared" si="2"/>
        <v>21</v>
      </c>
      <c r="AO23" s="118">
        <v>160000</v>
      </c>
      <c r="AP23" s="123">
        <f t="shared" si="3"/>
        <v>3360000</v>
      </c>
    </row>
    <row r="24" spans="1:42" ht="24.9" customHeight="1" x14ac:dyDescent="0.4">
      <c r="A24" s="115">
        <v>19</v>
      </c>
      <c r="B24" s="116" t="s">
        <v>732</v>
      </c>
      <c r="C24" s="117" t="s">
        <v>733</v>
      </c>
      <c r="D24" s="125" t="s">
        <v>322</v>
      </c>
      <c r="E24" s="117" t="s">
        <v>734</v>
      </c>
      <c r="F24" s="126" t="s">
        <v>368</v>
      </c>
      <c r="G24" s="119" t="s">
        <v>732</v>
      </c>
      <c r="H24" s="120" t="s">
        <v>735</v>
      </c>
      <c r="I24" s="121"/>
      <c r="J24" s="121"/>
      <c r="K24" s="121"/>
      <c r="L24" s="121"/>
      <c r="M24" s="121"/>
      <c r="N24" s="121"/>
      <c r="O24" s="121"/>
      <c r="P24" s="121"/>
      <c r="Q24" s="121">
        <v>0.75</v>
      </c>
      <c r="R24" s="121">
        <v>0.375</v>
      </c>
      <c r="S24" s="121">
        <v>0.625</v>
      </c>
      <c r="T24" s="121">
        <v>1.5</v>
      </c>
      <c r="U24" s="121">
        <v>1.5</v>
      </c>
      <c r="V24" s="121"/>
      <c r="W24" s="121"/>
      <c r="X24" s="121"/>
      <c r="Y24" s="121"/>
      <c r="Z24" s="121"/>
      <c r="AA24" s="121">
        <v>1</v>
      </c>
      <c r="AB24" s="121">
        <v>1.5</v>
      </c>
      <c r="AC24" s="121"/>
      <c r="AD24" s="121"/>
      <c r="AE24" s="121">
        <v>1.5</v>
      </c>
      <c r="AF24" s="121">
        <v>1.5</v>
      </c>
      <c r="AG24" s="121">
        <v>1.5</v>
      </c>
      <c r="AH24" s="121">
        <v>1.5</v>
      </c>
      <c r="AI24" s="121">
        <v>1.5</v>
      </c>
      <c r="AJ24" s="121">
        <v>1</v>
      </c>
      <c r="AK24" s="121"/>
      <c r="AL24" s="121"/>
      <c r="AM24" s="121"/>
      <c r="AN24" s="122">
        <f t="shared" si="2"/>
        <v>15.75</v>
      </c>
      <c r="AO24" s="118">
        <v>150000</v>
      </c>
      <c r="AP24" s="123">
        <f t="shared" si="3"/>
        <v>2362500</v>
      </c>
    </row>
    <row r="25" spans="1:42" ht="24.9" customHeight="1" x14ac:dyDescent="0.4">
      <c r="A25" s="124">
        <v>20</v>
      </c>
      <c r="B25" s="116" t="s">
        <v>349</v>
      </c>
      <c r="C25" s="117" t="s">
        <v>350</v>
      </c>
      <c r="D25" s="127" t="s">
        <v>316</v>
      </c>
      <c r="E25" s="117" t="s">
        <v>351</v>
      </c>
      <c r="F25" s="126" t="s">
        <v>329</v>
      </c>
      <c r="G25" s="119" t="s">
        <v>349</v>
      </c>
      <c r="H25" s="120" t="s">
        <v>352</v>
      </c>
      <c r="I25" s="121"/>
      <c r="J25" s="121">
        <v>2</v>
      </c>
      <c r="K25" s="121">
        <v>2</v>
      </c>
      <c r="L25" s="121">
        <v>2</v>
      </c>
      <c r="M25" s="121">
        <v>2</v>
      </c>
      <c r="N25" s="121">
        <v>2</v>
      </c>
      <c r="O25" s="121"/>
      <c r="P25" s="121"/>
      <c r="Q25" s="121">
        <v>2</v>
      </c>
      <c r="R25" s="121">
        <v>2</v>
      </c>
      <c r="S25" s="121">
        <v>2</v>
      </c>
      <c r="T25" s="121">
        <v>2</v>
      </c>
      <c r="U25" s="121">
        <v>2</v>
      </c>
      <c r="V25" s="121"/>
      <c r="W25" s="121"/>
      <c r="X25" s="121"/>
      <c r="Y25" s="121"/>
      <c r="Z25" s="121"/>
      <c r="AA25" s="121">
        <v>2</v>
      </c>
      <c r="AB25" s="121">
        <v>2</v>
      </c>
      <c r="AC25" s="121"/>
      <c r="AD25" s="121"/>
      <c r="AE25" s="121">
        <v>2</v>
      </c>
      <c r="AF25" s="121">
        <v>2</v>
      </c>
      <c r="AG25" s="121">
        <v>2</v>
      </c>
      <c r="AH25" s="121">
        <v>2</v>
      </c>
      <c r="AI25" s="121">
        <v>2</v>
      </c>
      <c r="AJ25" s="121"/>
      <c r="AK25" s="121"/>
      <c r="AL25" s="121"/>
      <c r="AM25" s="121"/>
      <c r="AN25" s="122">
        <f t="shared" si="2"/>
        <v>34</v>
      </c>
      <c r="AO25" s="118">
        <v>240000</v>
      </c>
      <c r="AP25" s="123">
        <f t="shared" si="3"/>
        <v>8160000</v>
      </c>
    </row>
    <row r="26" spans="1:42" ht="24.9" customHeight="1" x14ac:dyDescent="0.4">
      <c r="A26" s="115">
        <v>21</v>
      </c>
      <c r="B26" s="116" t="s">
        <v>353</v>
      </c>
      <c r="C26" s="117" t="s">
        <v>354</v>
      </c>
      <c r="D26" s="125" t="s">
        <v>345</v>
      </c>
      <c r="E26" s="117" t="s">
        <v>355</v>
      </c>
      <c r="F26" s="126" t="s">
        <v>356</v>
      </c>
      <c r="G26" s="119" t="s">
        <v>353</v>
      </c>
      <c r="H26" s="120" t="s">
        <v>357</v>
      </c>
      <c r="I26" s="121"/>
      <c r="J26" s="121">
        <v>2</v>
      </c>
      <c r="K26" s="121">
        <v>2</v>
      </c>
      <c r="L26" s="121">
        <v>2</v>
      </c>
      <c r="M26" s="121">
        <v>2</v>
      </c>
      <c r="N26" s="121">
        <v>2</v>
      </c>
      <c r="O26" s="121"/>
      <c r="P26" s="121"/>
      <c r="Q26" s="121">
        <v>2</v>
      </c>
      <c r="R26" s="121">
        <v>2</v>
      </c>
      <c r="S26" s="121">
        <v>2</v>
      </c>
      <c r="T26" s="121">
        <v>2</v>
      </c>
      <c r="U26" s="121">
        <v>2</v>
      </c>
      <c r="V26" s="121"/>
      <c r="W26" s="121"/>
      <c r="X26" s="121"/>
      <c r="Y26" s="121"/>
      <c r="Z26" s="121"/>
      <c r="AA26" s="121">
        <v>2</v>
      </c>
      <c r="AB26" s="121">
        <v>2</v>
      </c>
      <c r="AC26" s="121"/>
      <c r="AD26" s="121"/>
      <c r="AE26" s="121">
        <v>2</v>
      </c>
      <c r="AF26" s="121">
        <v>2</v>
      </c>
      <c r="AG26" s="121">
        <v>2</v>
      </c>
      <c r="AH26" s="121">
        <v>2</v>
      </c>
      <c r="AI26" s="121">
        <v>2</v>
      </c>
      <c r="AJ26" s="121"/>
      <c r="AK26" s="121"/>
      <c r="AL26" s="121"/>
      <c r="AM26" s="121"/>
      <c r="AN26" s="122">
        <f t="shared" si="2"/>
        <v>34</v>
      </c>
      <c r="AO26" s="118">
        <v>220000</v>
      </c>
      <c r="AP26" s="123">
        <f t="shared" si="3"/>
        <v>7480000</v>
      </c>
    </row>
    <row r="27" spans="1:42" ht="24.9" customHeight="1" x14ac:dyDescent="0.4">
      <c r="A27" s="124">
        <v>22</v>
      </c>
      <c r="B27" s="116" t="s">
        <v>641</v>
      </c>
      <c r="C27" s="117" t="s">
        <v>642</v>
      </c>
      <c r="D27" s="127" t="s">
        <v>322</v>
      </c>
      <c r="E27" s="117" t="s">
        <v>643</v>
      </c>
      <c r="F27" s="126" t="s">
        <v>318</v>
      </c>
      <c r="G27" s="119" t="s">
        <v>641</v>
      </c>
      <c r="H27" s="120" t="s">
        <v>644</v>
      </c>
      <c r="I27" s="121"/>
      <c r="J27" s="121">
        <v>2</v>
      </c>
      <c r="K27" s="121">
        <v>2</v>
      </c>
      <c r="L27" s="121">
        <v>2</v>
      </c>
      <c r="M27" s="121">
        <v>2</v>
      </c>
      <c r="N27" s="121">
        <v>2</v>
      </c>
      <c r="O27" s="121"/>
      <c r="P27" s="121"/>
      <c r="Q27" s="121">
        <v>2</v>
      </c>
      <c r="R27" s="121">
        <v>2</v>
      </c>
      <c r="S27" s="121">
        <v>2</v>
      </c>
      <c r="T27" s="121">
        <v>2</v>
      </c>
      <c r="U27" s="121">
        <v>2</v>
      </c>
      <c r="V27" s="121"/>
      <c r="W27" s="121"/>
      <c r="X27" s="121"/>
      <c r="Y27" s="121"/>
      <c r="Z27" s="121"/>
      <c r="AA27" s="121">
        <v>2</v>
      </c>
      <c r="AB27" s="121">
        <v>2</v>
      </c>
      <c r="AC27" s="121"/>
      <c r="AD27" s="121"/>
      <c r="AE27" s="121">
        <v>2</v>
      </c>
      <c r="AF27" s="121">
        <v>2</v>
      </c>
      <c r="AG27" s="121">
        <v>2</v>
      </c>
      <c r="AH27" s="121">
        <v>2</v>
      </c>
      <c r="AI27" s="121">
        <v>2</v>
      </c>
      <c r="AJ27" s="121"/>
      <c r="AK27" s="121"/>
      <c r="AL27" s="121"/>
      <c r="AM27" s="121"/>
      <c r="AN27" s="122">
        <f t="shared" si="2"/>
        <v>34</v>
      </c>
      <c r="AO27" s="118">
        <v>160000</v>
      </c>
      <c r="AP27" s="123">
        <f t="shared" si="3"/>
        <v>5440000</v>
      </c>
    </row>
    <row r="28" spans="1:42" ht="24.9" customHeight="1" x14ac:dyDescent="0.4">
      <c r="A28" s="115">
        <v>23</v>
      </c>
      <c r="B28" s="116" t="s">
        <v>736</v>
      </c>
      <c r="C28" s="117" t="s">
        <v>737</v>
      </c>
      <c r="D28" s="127" t="s">
        <v>322</v>
      </c>
      <c r="E28" s="117" t="s">
        <v>738</v>
      </c>
      <c r="F28" s="126" t="s">
        <v>324</v>
      </c>
      <c r="G28" s="119" t="s">
        <v>736</v>
      </c>
      <c r="H28" s="120" t="s">
        <v>739</v>
      </c>
      <c r="I28" s="121"/>
      <c r="J28" s="121"/>
      <c r="K28" s="121"/>
      <c r="L28" s="121"/>
      <c r="M28" s="121"/>
      <c r="N28" s="121"/>
      <c r="O28" s="121"/>
      <c r="P28" s="121"/>
      <c r="Q28" s="121">
        <v>0.75</v>
      </c>
      <c r="R28" s="121"/>
      <c r="S28" s="121">
        <v>1</v>
      </c>
      <c r="T28" s="121">
        <v>1.5</v>
      </c>
      <c r="U28" s="121">
        <v>1.5</v>
      </c>
      <c r="V28" s="121"/>
      <c r="W28" s="121"/>
      <c r="X28" s="121"/>
      <c r="Y28" s="121"/>
      <c r="Z28" s="121"/>
      <c r="AA28" s="121">
        <v>1</v>
      </c>
      <c r="AB28" s="121">
        <v>1.5</v>
      </c>
      <c r="AC28" s="121"/>
      <c r="AD28" s="121"/>
      <c r="AE28" s="121">
        <v>1.5</v>
      </c>
      <c r="AF28" s="121">
        <v>1.5</v>
      </c>
      <c r="AG28" s="121">
        <v>1.5</v>
      </c>
      <c r="AH28" s="121">
        <v>0.5</v>
      </c>
      <c r="AI28" s="121">
        <v>1.5</v>
      </c>
      <c r="AJ28" s="121">
        <v>1</v>
      </c>
      <c r="AK28" s="121"/>
      <c r="AL28" s="121"/>
      <c r="AM28" s="121"/>
      <c r="AN28" s="122">
        <f t="shared" si="2"/>
        <v>14.75</v>
      </c>
      <c r="AO28" s="118">
        <v>150000</v>
      </c>
      <c r="AP28" s="123">
        <f t="shared" si="3"/>
        <v>2212500</v>
      </c>
    </row>
    <row r="29" spans="1:42" ht="24.9" customHeight="1" x14ac:dyDescent="0.4">
      <c r="A29" s="124">
        <v>24</v>
      </c>
      <c r="B29" s="116" t="s">
        <v>740</v>
      </c>
      <c r="C29" s="117" t="s">
        <v>741</v>
      </c>
      <c r="D29" s="127" t="s">
        <v>322</v>
      </c>
      <c r="E29" s="117" t="s">
        <v>742</v>
      </c>
      <c r="F29" s="126" t="s">
        <v>396</v>
      </c>
      <c r="G29" s="119" t="s">
        <v>740</v>
      </c>
      <c r="H29" s="120" t="s">
        <v>743</v>
      </c>
      <c r="I29" s="121"/>
      <c r="J29" s="121">
        <v>0.625</v>
      </c>
      <c r="K29" s="121"/>
      <c r="L29" s="121">
        <v>1</v>
      </c>
      <c r="M29" s="121">
        <v>1.5</v>
      </c>
      <c r="N29" s="121">
        <v>1.5</v>
      </c>
      <c r="O29" s="121">
        <v>1</v>
      </c>
      <c r="P29" s="121"/>
      <c r="Q29" s="121">
        <v>1.5</v>
      </c>
      <c r="R29" s="121">
        <v>1.5</v>
      </c>
      <c r="S29" s="121">
        <v>0.125</v>
      </c>
      <c r="T29" s="121">
        <v>1.5</v>
      </c>
      <c r="U29" s="121">
        <v>1.5</v>
      </c>
      <c r="V29" s="121">
        <v>1</v>
      </c>
      <c r="W29" s="121"/>
      <c r="X29" s="121"/>
      <c r="Y29" s="121"/>
      <c r="Z29" s="121"/>
      <c r="AA29" s="121">
        <v>1</v>
      </c>
      <c r="AB29" s="121">
        <v>1.5</v>
      </c>
      <c r="AC29" s="121"/>
      <c r="AD29" s="121"/>
      <c r="AE29" s="121">
        <v>1.5</v>
      </c>
      <c r="AF29" s="121">
        <v>1.5</v>
      </c>
      <c r="AG29" s="121">
        <v>1.5</v>
      </c>
      <c r="AH29" s="121">
        <v>1.5</v>
      </c>
      <c r="AI29" s="121"/>
      <c r="AJ29" s="121"/>
      <c r="AK29" s="121"/>
      <c r="AL29" s="121"/>
      <c r="AM29" s="121"/>
      <c r="AN29" s="122">
        <f t="shared" ref="AN29:AN103" si="4">SUM(I29:AM29)</f>
        <v>21.25</v>
      </c>
      <c r="AO29" s="118">
        <v>160000</v>
      </c>
      <c r="AP29" s="123">
        <f t="shared" ref="AP29:AP103" si="5">AN29*AO29</f>
        <v>3400000</v>
      </c>
    </row>
    <row r="30" spans="1:42" ht="24.9" customHeight="1" x14ac:dyDescent="0.4">
      <c r="A30" s="115">
        <v>25</v>
      </c>
      <c r="B30" s="116" t="s">
        <v>633</v>
      </c>
      <c r="C30" s="117" t="s">
        <v>634</v>
      </c>
      <c r="D30" s="125" t="s">
        <v>322</v>
      </c>
      <c r="E30" s="117" t="s">
        <v>635</v>
      </c>
      <c r="F30" s="126" t="s">
        <v>329</v>
      </c>
      <c r="G30" s="119" t="s">
        <v>633</v>
      </c>
      <c r="H30" s="120" t="s">
        <v>636</v>
      </c>
      <c r="I30" s="121"/>
      <c r="J30" s="121">
        <v>1.5</v>
      </c>
      <c r="K30" s="121">
        <v>1</v>
      </c>
      <c r="L30" s="121"/>
      <c r="M30" s="121">
        <v>1.5</v>
      </c>
      <c r="N30" s="121">
        <v>1.5</v>
      </c>
      <c r="O30" s="121">
        <v>0.5</v>
      </c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2">
        <f t="shared" si="4"/>
        <v>6</v>
      </c>
      <c r="AO30" s="118">
        <v>150000</v>
      </c>
      <c r="AP30" s="123">
        <f t="shared" si="5"/>
        <v>900000</v>
      </c>
    </row>
    <row r="31" spans="1:42" ht="24.9" customHeight="1" x14ac:dyDescent="0.4">
      <c r="A31" s="124">
        <v>26</v>
      </c>
      <c r="B31" s="116" t="s">
        <v>358</v>
      </c>
      <c r="C31" s="117" t="s">
        <v>359</v>
      </c>
      <c r="D31" s="125" t="s">
        <v>360</v>
      </c>
      <c r="E31" s="117" t="s">
        <v>361</v>
      </c>
      <c r="F31" s="126" t="s">
        <v>329</v>
      </c>
      <c r="G31" s="119" t="s">
        <v>358</v>
      </c>
      <c r="H31" s="120" t="s">
        <v>362</v>
      </c>
      <c r="I31" s="121"/>
      <c r="J31" s="121">
        <v>1.5</v>
      </c>
      <c r="K31" s="121">
        <v>1.375</v>
      </c>
      <c r="L31" s="121">
        <v>1.5</v>
      </c>
      <c r="M31" s="121">
        <v>1</v>
      </c>
      <c r="N31" s="121"/>
      <c r="O31" s="121"/>
      <c r="P31" s="121"/>
      <c r="Q31" s="121">
        <v>1.375</v>
      </c>
      <c r="R31" s="121"/>
      <c r="S31" s="121">
        <v>1</v>
      </c>
      <c r="T31" s="121">
        <v>1.25</v>
      </c>
      <c r="U31" s="121">
        <v>1.25</v>
      </c>
      <c r="V31" s="121"/>
      <c r="W31" s="121"/>
      <c r="X31" s="121"/>
      <c r="Y31" s="121"/>
      <c r="Z31" s="121"/>
      <c r="AA31" s="121">
        <v>0.875</v>
      </c>
      <c r="AB31" s="121"/>
      <c r="AC31" s="121"/>
      <c r="AD31" s="121"/>
      <c r="AE31" s="121">
        <v>1.375</v>
      </c>
      <c r="AF31" s="121"/>
      <c r="AG31" s="121"/>
      <c r="AH31" s="121">
        <v>1.5</v>
      </c>
      <c r="AI31" s="121"/>
      <c r="AJ31" s="121">
        <v>0.5</v>
      </c>
      <c r="AK31" s="121"/>
      <c r="AL31" s="121"/>
      <c r="AM31" s="121"/>
      <c r="AN31" s="122">
        <f t="shared" si="4"/>
        <v>14.5</v>
      </c>
      <c r="AO31" s="118">
        <v>270000</v>
      </c>
      <c r="AP31" s="123">
        <f t="shared" si="5"/>
        <v>3915000</v>
      </c>
    </row>
    <row r="32" spans="1:42" ht="24.9" customHeight="1" x14ac:dyDescent="0.4">
      <c r="A32" s="115">
        <v>27</v>
      </c>
      <c r="B32" s="116" t="s">
        <v>744</v>
      </c>
      <c r="C32" s="117" t="s">
        <v>745</v>
      </c>
      <c r="D32" s="127" t="s">
        <v>316</v>
      </c>
      <c r="E32" s="117" t="s">
        <v>746</v>
      </c>
      <c r="F32" s="126" t="s">
        <v>329</v>
      </c>
      <c r="G32" s="119" t="s">
        <v>744</v>
      </c>
      <c r="H32" s="120" t="s">
        <v>747</v>
      </c>
      <c r="I32" s="121"/>
      <c r="J32" s="121"/>
      <c r="K32" s="121"/>
      <c r="L32" s="121"/>
      <c r="M32" s="121"/>
      <c r="N32" s="121"/>
      <c r="O32" s="121"/>
      <c r="P32" s="121"/>
      <c r="Q32" s="121">
        <v>1</v>
      </c>
      <c r="R32" s="121">
        <v>0.5</v>
      </c>
      <c r="S32" s="121">
        <v>1</v>
      </c>
      <c r="T32" s="121">
        <v>1.5</v>
      </c>
      <c r="U32" s="121">
        <v>1.5</v>
      </c>
      <c r="V32" s="121"/>
      <c r="W32" s="121"/>
      <c r="X32" s="121"/>
      <c r="Y32" s="121"/>
      <c r="Z32" s="121"/>
      <c r="AA32" s="121">
        <v>1</v>
      </c>
      <c r="AB32" s="121">
        <v>1.5</v>
      </c>
      <c r="AC32" s="121"/>
      <c r="AD32" s="121"/>
      <c r="AE32" s="121">
        <v>1.5</v>
      </c>
      <c r="AF32" s="121">
        <v>1.5</v>
      </c>
      <c r="AG32" s="121">
        <v>1.5</v>
      </c>
      <c r="AH32" s="121"/>
      <c r="AI32" s="121">
        <v>1.5</v>
      </c>
      <c r="AJ32" s="121">
        <v>1</v>
      </c>
      <c r="AK32" s="121"/>
      <c r="AL32" s="121"/>
      <c r="AM32" s="121"/>
      <c r="AN32" s="122">
        <f t="shared" si="4"/>
        <v>15</v>
      </c>
      <c r="AO32" s="118">
        <v>240000</v>
      </c>
      <c r="AP32" s="123">
        <f t="shared" si="5"/>
        <v>3600000</v>
      </c>
    </row>
    <row r="33" spans="1:42" ht="24.9" customHeight="1" x14ac:dyDescent="0.4">
      <c r="A33" s="124">
        <v>28</v>
      </c>
      <c r="B33" s="116" t="s">
        <v>363</v>
      </c>
      <c r="C33" s="117" t="s">
        <v>364</v>
      </c>
      <c r="D33" s="125" t="s">
        <v>365</v>
      </c>
      <c r="E33" s="117" t="s">
        <v>366</v>
      </c>
      <c r="F33" s="126" t="s">
        <v>324</v>
      </c>
      <c r="G33" s="119" t="s">
        <v>363</v>
      </c>
      <c r="H33" s="120" t="s">
        <v>367</v>
      </c>
      <c r="I33" s="121"/>
      <c r="J33" s="121">
        <v>1.5</v>
      </c>
      <c r="K33" s="121">
        <v>1.375</v>
      </c>
      <c r="L33" s="121">
        <v>1.5</v>
      </c>
      <c r="M33" s="121">
        <v>1.375</v>
      </c>
      <c r="N33" s="121">
        <v>1.25</v>
      </c>
      <c r="O33" s="121">
        <v>1</v>
      </c>
      <c r="P33" s="121"/>
      <c r="Q33" s="121"/>
      <c r="R33" s="121">
        <v>1.5</v>
      </c>
      <c r="S33" s="121">
        <v>1.5</v>
      </c>
      <c r="T33" s="121">
        <v>1.375</v>
      </c>
      <c r="U33" s="121">
        <v>1.375</v>
      </c>
      <c r="V33" s="121"/>
      <c r="W33" s="121"/>
      <c r="X33" s="121"/>
      <c r="Y33" s="121"/>
      <c r="Z33" s="121"/>
      <c r="AA33" s="121">
        <v>1</v>
      </c>
      <c r="AB33" s="121">
        <v>1.5</v>
      </c>
      <c r="AC33" s="121"/>
      <c r="AD33" s="121"/>
      <c r="AE33" s="121">
        <v>1.5</v>
      </c>
      <c r="AF33" s="121">
        <v>1.25</v>
      </c>
      <c r="AG33" s="121">
        <v>1.5</v>
      </c>
      <c r="AH33" s="121">
        <v>1</v>
      </c>
      <c r="AI33" s="121">
        <v>1.375</v>
      </c>
      <c r="AJ33" s="121">
        <v>1</v>
      </c>
      <c r="AK33" s="121"/>
      <c r="AL33" s="121"/>
      <c r="AM33" s="121"/>
      <c r="AN33" s="122">
        <f t="shared" si="4"/>
        <v>23.875</v>
      </c>
      <c r="AO33" s="118">
        <v>200000</v>
      </c>
      <c r="AP33" s="123">
        <f t="shared" si="5"/>
        <v>4775000</v>
      </c>
    </row>
    <row r="34" spans="1:42" ht="24.9" customHeight="1" x14ac:dyDescent="0.4">
      <c r="A34" s="115">
        <v>29</v>
      </c>
      <c r="B34" s="116" t="s">
        <v>620</v>
      </c>
      <c r="C34" s="117" t="s">
        <v>621</v>
      </c>
      <c r="D34" s="127" t="s">
        <v>345</v>
      </c>
      <c r="E34" s="117" t="s">
        <v>622</v>
      </c>
      <c r="F34" s="126" t="s">
        <v>425</v>
      </c>
      <c r="G34" s="119" t="s">
        <v>620</v>
      </c>
      <c r="H34" s="120" t="s">
        <v>623</v>
      </c>
      <c r="I34" s="121"/>
      <c r="J34" s="121">
        <v>1.5</v>
      </c>
      <c r="K34" s="121">
        <v>1</v>
      </c>
      <c r="L34" s="121">
        <v>1.5</v>
      </c>
      <c r="M34" s="121">
        <v>1.5</v>
      </c>
      <c r="N34" s="121">
        <v>1.5</v>
      </c>
      <c r="O34" s="121">
        <v>1</v>
      </c>
      <c r="P34" s="121"/>
      <c r="Q34" s="121">
        <v>1.5</v>
      </c>
      <c r="R34" s="121">
        <v>1.5</v>
      </c>
      <c r="S34" s="121">
        <v>1.5</v>
      </c>
      <c r="T34" s="121">
        <v>1.5</v>
      </c>
      <c r="U34" s="121">
        <v>1.5</v>
      </c>
      <c r="V34" s="121"/>
      <c r="W34" s="121"/>
      <c r="X34" s="121"/>
      <c r="Y34" s="121"/>
      <c r="Z34" s="121"/>
      <c r="AA34" s="121">
        <v>1</v>
      </c>
      <c r="AB34" s="121">
        <v>1.5</v>
      </c>
      <c r="AC34" s="121"/>
      <c r="AD34" s="121"/>
      <c r="AE34" s="121">
        <v>1.5</v>
      </c>
      <c r="AF34" s="121">
        <v>1.5</v>
      </c>
      <c r="AG34" s="121">
        <v>1.5</v>
      </c>
      <c r="AH34" s="121">
        <v>1.5</v>
      </c>
      <c r="AI34" s="121">
        <v>1.5</v>
      </c>
      <c r="AJ34" s="121">
        <v>1</v>
      </c>
      <c r="AK34" s="121"/>
      <c r="AL34" s="121"/>
      <c r="AM34" s="121"/>
      <c r="AN34" s="122">
        <f t="shared" si="4"/>
        <v>26.5</v>
      </c>
      <c r="AO34" s="118">
        <v>210000</v>
      </c>
      <c r="AP34" s="123">
        <f t="shared" si="5"/>
        <v>5565000</v>
      </c>
    </row>
    <row r="35" spans="1:42" ht="24.9" customHeight="1" x14ac:dyDescent="0.4">
      <c r="A35" s="124">
        <v>30</v>
      </c>
      <c r="B35" s="116" t="s">
        <v>526</v>
      </c>
      <c r="C35" s="117" t="s">
        <v>527</v>
      </c>
      <c r="D35" s="127" t="s">
        <v>322</v>
      </c>
      <c r="E35" s="117" t="s">
        <v>528</v>
      </c>
      <c r="F35" s="126" t="s">
        <v>347</v>
      </c>
      <c r="G35" s="119" t="s">
        <v>526</v>
      </c>
      <c r="H35" s="120" t="s">
        <v>529</v>
      </c>
      <c r="I35" s="121"/>
      <c r="J35" s="121">
        <v>1.5</v>
      </c>
      <c r="K35" s="121">
        <v>1</v>
      </c>
      <c r="L35" s="121">
        <v>1.5</v>
      </c>
      <c r="M35" s="121">
        <v>1.5</v>
      </c>
      <c r="N35" s="121">
        <v>0.5</v>
      </c>
      <c r="O35" s="121"/>
      <c r="P35" s="121"/>
      <c r="Q35" s="121">
        <v>1.5</v>
      </c>
      <c r="R35" s="121">
        <v>1.5</v>
      </c>
      <c r="S35" s="121">
        <v>1.5</v>
      </c>
      <c r="T35" s="121">
        <v>1.5</v>
      </c>
      <c r="U35" s="121">
        <v>1.5</v>
      </c>
      <c r="V35" s="121"/>
      <c r="W35" s="121"/>
      <c r="X35" s="121"/>
      <c r="Y35" s="121"/>
      <c r="Z35" s="121"/>
      <c r="AA35" s="121">
        <v>1</v>
      </c>
      <c r="AB35" s="121">
        <v>1.5</v>
      </c>
      <c r="AC35" s="121"/>
      <c r="AD35" s="121"/>
      <c r="AE35" s="121">
        <v>1.5</v>
      </c>
      <c r="AF35" s="121">
        <v>1.5</v>
      </c>
      <c r="AG35" s="121">
        <v>1.5</v>
      </c>
      <c r="AH35" s="121">
        <v>1.5</v>
      </c>
      <c r="AI35" s="121">
        <v>1.5</v>
      </c>
      <c r="AJ35" s="121"/>
      <c r="AK35" s="121"/>
      <c r="AL35" s="121"/>
      <c r="AM35" s="121"/>
      <c r="AN35" s="122">
        <f t="shared" si="4"/>
        <v>23.5</v>
      </c>
      <c r="AO35" s="118">
        <v>150000</v>
      </c>
      <c r="AP35" s="123">
        <f t="shared" si="5"/>
        <v>3525000</v>
      </c>
    </row>
    <row r="36" spans="1:42" ht="24.9" customHeight="1" x14ac:dyDescent="0.4">
      <c r="A36" s="115">
        <v>31</v>
      </c>
      <c r="B36" s="116" t="s">
        <v>748</v>
      </c>
      <c r="C36" s="117" t="s">
        <v>749</v>
      </c>
      <c r="D36" s="127" t="s">
        <v>322</v>
      </c>
      <c r="E36" s="117" t="s">
        <v>750</v>
      </c>
      <c r="F36" s="126" t="s">
        <v>368</v>
      </c>
      <c r="G36" s="119" t="s">
        <v>748</v>
      </c>
      <c r="H36" s="120" t="s">
        <v>751</v>
      </c>
      <c r="I36" s="121"/>
      <c r="J36" s="121"/>
      <c r="K36" s="121"/>
      <c r="L36" s="121"/>
      <c r="M36" s="121"/>
      <c r="N36" s="121"/>
      <c r="O36" s="121"/>
      <c r="P36" s="121"/>
      <c r="Q36" s="121">
        <v>0.75</v>
      </c>
      <c r="R36" s="121"/>
      <c r="S36" s="121">
        <v>1</v>
      </c>
      <c r="T36" s="121">
        <v>1.5</v>
      </c>
      <c r="U36" s="121">
        <v>1.5</v>
      </c>
      <c r="V36" s="121"/>
      <c r="W36" s="121"/>
      <c r="X36" s="121"/>
      <c r="Y36" s="121"/>
      <c r="Z36" s="121"/>
      <c r="AA36" s="121">
        <v>1</v>
      </c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2">
        <f t="shared" si="4"/>
        <v>5.75</v>
      </c>
      <c r="AO36" s="118">
        <v>150000</v>
      </c>
      <c r="AP36" s="123">
        <f t="shared" si="5"/>
        <v>862500</v>
      </c>
    </row>
    <row r="37" spans="1:42" ht="24.9" customHeight="1" x14ac:dyDescent="0.4">
      <c r="A37" s="124">
        <v>32</v>
      </c>
      <c r="B37" s="116" t="s">
        <v>369</v>
      </c>
      <c r="C37" s="117" t="s">
        <v>370</v>
      </c>
      <c r="D37" s="125" t="s">
        <v>322</v>
      </c>
      <c r="E37" s="117" t="s">
        <v>371</v>
      </c>
      <c r="F37" s="126" t="s">
        <v>312</v>
      </c>
      <c r="G37" s="119" t="s">
        <v>369</v>
      </c>
      <c r="H37" s="120" t="s">
        <v>372</v>
      </c>
      <c r="I37" s="121"/>
      <c r="J37" s="121">
        <v>1.5</v>
      </c>
      <c r="K37" s="121">
        <v>1.5</v>
      </c>
      <c r="L37" s="121">
        <v>1.5</v>
      </c>
      <c r="M37" s="121">
        <v>1.5</v>
      </c>
      <c r="N37" s="121">
        <v>0.5</v>
      </c>
      <c r="O37" s="121"/>
      <c r="P37" s="121"/>
      <c r="Q37" s="121">
        <v>1.5</v>
      </c>
      <c r="R37" s="121">
        <v>1.5</v>
      </c>
      <c r="S37" s="121">
        <v>1.5</v>
      </c>
      <c r="T37" s="121">
        <v>1.5</v>
      </c>
      <c r="U37" s="121">
        <v>1.5</v>
      </c>
      <c r="V37" s="121"/>
      <c r="W37" s="121"/>
      <c r="X37" s="121"/>
      <c r="Y37" s="121"/>
      <c r="Z37" s="121"/>
      <c r="AA37" s="121">
        <v>1</v>
      </c>
      <c r="AB37" s="121">
        <v>1.5</v>
      </c>
      <c r="AC37" s="121"/>
      <c r="AD37" s="121"/>
      <c r="AE37" s="121">
        <v>1.5</v>
      </c>
      <c r="AF37" s="121">
        <v>1.5</v>
      </c>
      <c r="AG37" s="121">
        <v>1.5</v>
      </c>
      <c r="AH37" s="121">
        <v>1.5</v>
      </c>
      <c r="AI37" s="121">
        <v>1.5</v>
      </c>
      <c r="AJ37" s="121"/>
      <c r="AK37" s="121"/>
      <c r="AL37" s="121"/>
      <c r="AM37" s="121"/>
      <c r="AN37" s="122">
        <f t="shared" si="4"/>
        <v>24</v>
      </c>
      <c r="AO37" s="118">
        <v>150000</v>
      </c>
      <c r="AP37" s="123">
        <f t="shared" si="5"/>
        <v>3600000</v>
      </c>
    </row>
    <row r="38" spans="1:42" ht="24.9" customHeight="1" x14ac:dyDescent="0.4">
      <c r="A38" s="115">
        <v>33</v>
      </c>
      <c r="B38" s="116" t="s">
        <v>752</v>
      </c>
      <c r="C38" s="117" t="s">
        <v>753</v>
      </c>
      <c r="D38" s="125" t="s">
        <v>322</v>
      </c>
      <c r="E38" s="117" t="s">
        <v>754</v>
      </c>
      <c r="F38" s="126" t="s">
        <v>318</v>
      </c>
      <c r="G38" s="119" t="s">
        <v>752</v>
      </c>
      <c r="H38" s="120" t="s">
        <v>755</v>
      </c>
      <c r="I38" s="121"/>
      <c r="J38" s="121">
        <v>0.625</v>
      </c>
      <c r="K38" s="121"/>
      <c r="L38" s="121">
        <v>1</v>
      </c>
      <c r="M38" s="121">
        <v>1.5</v>
      </c>
      <c r="N38" s="121">
        <v>1.5</v>
      </c>
      <c r="O38" s="121"/>
      <c r="P38" s="121"/>
      <c r="Q38" s="121">
        <v>1.5</v>
      </c>
      <c r="R38" s="121">
        <v>1.5</v>
      </c>
      <c r="S38" s="121">
        <v>1.5</v>
      </c>
      <c r="T38" s="121">
        <v>1.5</v>
      </c>
      <c r="U38" s="121">
        <v>1.5</v>
      </c>
      <c r="V38" s="121">
        <v>0.5</v>
      </c>
      <c r="W38" s="121"/>
      <c r="X38" s="121"/>
      <c r="Y38" s="121"/>
      <c r="Z38" s="121"/>
      <c r="AA38" s="121">
        <v>1</v>
      </c>
      <c r="AB38" s="121">
        <v>1.5</v>
      </c>
      <c r="AC38" s="121"/>
      <c r="AD38" s="121"/>
      <c r="AE38" s="121">
        <v>1.5</v>
      </c>
      <c r="AF38" s="121">
        <v>1.5</v>
      </c>
      <c r="AG38" s="121">
        <v>1.5</v>
      </c>
      <c r="AH38" s="121">
        <v>1.5</v>
      </c>
      <c r="AI38" s="121">
        <v>1.5</v>
      </c>
      <c r="AJ38" s="121">
        <v>1</v>
      </c>
      <c r="AK38" s="121"/>
      <c r="AL38" s="121"/>
      <c r="AM38" s="121"/>
      <c r="AN38" s="122">
        <f t="shared" si="4"/>
        <v>23.625</v>
      </c>
      <c r="AO38" s="118">
        <v>170000</v>
      </c>
      <c r="AP38" s="123">
        <f t="shared" si="5"/>
        <v>4016250</v>
      </c>
    </row>
    <row r="39" spans="1:42" ht="24.9" customHeight="1" x14ac:dyDescent="0.4">
      <c r="A39" s="124">
        <v>34</v>
      </c>
      <c r="B39" s="116" t="s">
        <v>373</v>
      </c>
      <c r="C39" s="117" t="s">
        <v>374</v>
      </c>
      <c r="D39" s="127" t="s">
        <v>322</v>
      </c>
      <c r="E39" s="117" t="s">
        <v>375</v>
      </c>
      <c r="F39" s="126" t="s">
        <v>376</v>
      </c>
      <c r="G39" s="119" t="s">
        <v>373</v>
      </c>
      <c r="H39" s="120" t="s">
        <v>377</v>
      </c>
      <c r="I39" s="121"/>
      <c r="J39" s="121"/>
      <c r="K39" s="121">
        <v>2</v>
      </c>
      <c r="L39" s="121">
        <v>2</v>
      </c>
      <c r="M39" s="121">
        <v>2</v>
      </c>
      <c r="N39" s="121">
        <v>2</v>
      </c>
      <c r="O39" s="121"/>
      <c r="P39" s="121"/>
      <c r="Q39" s="121">
        <v>2</v>
      </c>
      <c r="R39" s="121">
        <v>2</v>
      </c>
      <c r="S39" s="121">
        <v>2</v>
      </c>
      <c r="T39" s="121">
        <v>2</v>
      </c>
      <c r="U39" s="121">
        <v>2</v>
      </c>
      <c r="V39" s="121"/>
      <c r="W39" s="121"/>
      <c r="X39" s="121"/>
      <c r="Y39" s="121"/>
      <c r="Z39" s="121"/>
      <c r="AA39" s="121">
        <v>2</v>
      </c>
      <c r="AB39" s="121">
        <v>2</v>
      </c>
      <c r="AC39" s="121"/>
      <c r="AD39" s="121"/>
      <c r="AE39" s="121">
        <v>2</v>
      </c>
      <c r="AF39" s="121">
        <v>2</v>
      </c>
      <c r="AG39" s="121">
        <v>2</v>
      </c>
      <c r="AH39" s="121">
        <v>2</v>
      </c>
      <c r="AI39" s="121">
        <v>2</v>
      </c>
      <c r="AJ39" s="121"/>
      <c r="AK39" s="121"/>
      <c r="AL39" s="121"/>
      <c r="AM39" s="121"/>
      <c r="AN39" s="122">
        <f t="shared" si="4"/>
        <v>32</v>
      </c>
      <c r="AO39" s="118">
        <v>160000</v>
      </c>
      <c r="AP39" s="123">
        <f t="shared" si="5"/>
        <v>5120000</v>
      </c>
    </row>
    <row r="40" spans="1:42" ht="24.9" customHeight="1" x14ac:dyDescent="0.4">
      <c r="A40" s="115">
        <v>35</v>
      </c>
      <c r="B40" s="116" t="s">
        <v>591</v>
      </c>
      <c r="C40" s="117" t="s">
        <v>592</v>
      </c>
      <c r="D40" s="125" t="s">
        <v>322</v>
      </c>
      <c r="E40" s="117" t="s">
        <v>593</v>
      </c>
      <c r="F40" s="126" t="s">
        <v>312</v>
      </c>
      <c r="G40" s="119" t="s">
        <v>591</v>
      </c>
      <c r="H40" s="120" t="s">
        <v>594</v>
      </c>
      <c r="I40" s="121"/>
      <c r="J40" s="121">
        <v>1.5</v>
      </c>
      <c r="K40" s="121">
        <v>1</v>
      </c>
      <c r="L40" s="121">
        <v>1.5</v>
      </c>
      <c r="M40" s="121">
        <v>1.5</v>
      </c>
      <c r="N40" s="121">
        <v>1.5</v>
      </c>
      <c r="O40" s="121"/>
      <c r="P40" s="121"/>
      <c r="Q40" s="121">
        <v>1.5</v>
      </c>
      <c r="R40" s="121">
        <v>1.5</v>
      </c>
      <c r="S40" s="121">
        <v>1.5</v>
      </c>
      <c r="T40" s="121">
        <v>1.5</v>
      </c>
      <c r="U40" s="121">
        <v>1.5</v>
      </c>
      <c r="V40" s="121"/>
      <c r="W40" s="121"/>
      <c r="X40" s="121"/>
      <c r="Y40" s="121"/>
      <c r="Z40" s="121"/>
      <c r="AA40" s="121">
        <v>1</v>
      </c>
      <c r="AB40" s="121">
        <v>1.5</v>
      </c>
      <c r="AC40" s="121"/>
      <c r="AD40" s="121"/>
      <c r="AE40" s="121">
        <v>1.5</v>
      </c>
      <c r="AF40" s="121">
        <v>1.5</v>
      </c>
      <c r="AG40" s="121">
        <v>1.5</v>
      </c>
      <c r="AH40" s="121">
        <v>1.5</v>
      </c>
      <c r="AI40" s="121">
        <v>1.5</v>
      </c>
      <c r="AJ40" s="121"/>
      <c r="AK40" s="121"/>
      <c r="AL40" s="121"/>
      <c r="AM40" s="121"/>
      <c r="AN40" s="122">
        <f t="shared" si="4"/>
        <v>24.5</v>
      </c>
      <c r="AO40" s="118">
        <v>150000</v>
      </c>
      <c r="AP40" s="123">
        <f t="shared" si="5"/>
        <v>3675000</v>
      </c>
    </row>
    <row r="41" spans="1:42" ht="24.9" customHeight="1" x14ac:dyDescent="0.4">
      <c r="A41" s="124">
        <v>36</v>
      </c>
      <c r="B41" s="116" t="s">
        <v>530</v>
      </c>
      <c r="C41" s="117" t="s">
        <v>531</v>
      </c>
      <c r="D41" s="127" t="s">
        <v>322</v>
      </c>
      <c r="E41" s="117" t="s">
        <v>532</v>
      </c>
      <c r="F41" s="126" t="s">
        <v>318</v>
      </c>
      <c r="G41" s="119" t="s">
        <v>530</v>
      </c>
      <c r="H41" s="120" t="s">
        <v>533</v>
      </c>
      <c r="I41" s="121"/>
      <c r="J41" s="121">
        <v>2</v>
      </c>
      <c r="K41" s="121">
        <v>2</v>
      </c>
      <c r="L41" s="121">
        <v>2</v>
      </c>
      <c r="M41" s="121">
        <v>2</v>
      </c>
      <c r="N41" s="121">
        <v>2</v>
      </c>
      <c r="O41" s="121"/>
      <c r="P41" s="121"/>
      <c r="Q41" s="121">
        <v>2</v>
      </c>
      <c r="R41" s="121">
        <v>2</v>
      </c>
      <c r="S41" s="121">
        <v>2</v>
      </c>
      <c r="T41" s="121">
        <v>2</v>
      </c>
      <c r="U41" s="121">
        <v>2</v>
      </c>
      <c r="V41" s="121"/>
      <c r="W41" s="121"/>
      <c r="X41" s="121"/>
      <c r="Y41" s="121"/>
      <c r="Z41" s="121"/>
      <c r="AA41" s="121">
        <v>2</v>
      </c>
      <c r="AB41" s="121">
        <v>2</v>
      </c>
      <c r="AC41" s="121"/>
      <c r="AD41" s="121"/>
      <c r="AE41" s="121">
        <v>2</v>
      </c>
      <c r="AF41" s="121">
        <v>2</v>
      </c>
      <c r="AG41" s="121">
        <v>2</v>
      </c>
      <c r="AH41" s="121">
        <v>2</v>
      </c>
      <c r="AI41" s="121">
        <v>2</v>
      </c>
      <c r="AJ41" s="121"/>
      <c r="AK41" s="121"/>
      <c r="AL41" s="121"/>
      <c r="AM41" s="121"/>
      <c r="AN41" s="122">
        <f t="shared" si="4"/>
        <v>34</v>
      </c>
      <c r="AO41" s="118">
        <v>150000</v>
      </c>
      <c r="AP41" s="123">
        <f t="shared" si="5"/>
        <v>5100000</v>
      </c>
    </row>
    <row r="42" spans="1:42" ht="24.9" customHeight="1" x14ac:dyDescent="0.4">
      <c r="A42" s="115">
        <v>37</v>
      </c>
      <c r="B42" s="116" t="s">
        <v>685</v>
      </c>
      <c r="C42" s="117" t="s">
        <v>686</v>
      </c>
      <c r="D42" s="127" t="s">
        <v>322</v>
      </c>
      <c r="E42" s="117" t="s">
        <v>687</v>
      </c>
      <c r="F42" s="126" t="s">
        <v>318</v>
      </c>
      <c r="G42" s="119" t="s">
        <v>685</v>
      </c>
      <c r="H42" s="120" t="s">
        <v>688</v>
      </c>
      <c r="I42" s="121"/>
      <c r="J42" s="121">
        <v>1.5</v>
      </c>
      <c r="K42" s="121">
        <v>1.5</v>
      </c>
      <c r="L42" s="121">
        <v>1.5</v>
      </c>
      <c r="M42" s="121">
        <v>1.5</v>
      </c>
      <c r="N42" s="121">
        <v>1.5</v>
      </c>
      <c r="O42" s="121">
        <v>1</v>
      </c>
      <c r="P42" s="121"/>
      <c r="Q42" s="121">
        <v>1.5</v>
      </c>
      <c r="R42" s="121">
        <v>1.5</v>
      </c>
      <c r="S42" s="121">
        <v>1.5</v>
      </c>
      <c r="T42" s="121">
        <v>1.5</v>
      </c>
      <c r="U42" s="121">
        <v>1.5</v>
      </c>
      <c r="V42" s="121">
        <v>1</v>
      </c>
      <c r="W42" s="121"/>
      <c r="X42" s="121"/>
      <c r="Y42" s="121"/>
      <c r="Z42" s="121"/>
      <c r="AA42" s="121">
        <v>1</v>
      </c>
      <c r="AB42" s="121">
        <v>1.5</v>
      </c>
      <c r="AC42" s="121"/>
      <c r="AD42" s="121"/>
      <c r="AE42" s="121">
        <v>1.5</v>
      </c>
      <c r="AF42" s="121">
        <v>1.5</v>
      </c>
      <c r="AG42" s="121">
        <v>1.5</v>
      </c>
      <c r="AH42" s="121">
        <v>1.5</v>
      </c>
      <c r="AI42" s="121">
        <v>1.5</v>
      </c>
      <c r="AJ42" s="121">
        <v>1</v>
      </c>
      <c r="AK42" s="121"/>
      <c r="AL42" s="121"/>
      <c r="AM42" s="121"/>
      <c r="AN42" s="122">
        <f t="shared" si="4"/>
        <v>28</v>
      </c>
      <c r="AO42" s="118">
        <v>160000</v>
      </c>
      <c r="AP42" s="123">
        <f t="shared" si="5"/>
        <v>4480000</v>
      </c>
    </row>
    <row r="43" spans="1:42" ht="24.9" customHeight="1" x14ac:dyDescent="0.4">
      <c r="A43" s="124">
        <v>38</v>
      </c>
      <c r="B43" s="116" t="s">
        <v>378</v>
      </c>
      <c r="C43" s="117" t="s">
        <v>379</v>
      </c>
      <c r="D43" s="127" t="s">
        <v>322</v>
      </c>
      <c r="E43" s="117" t="s">
        <v>380</v>
      </c>
      <c r="F43" s="126" t="s">
        <v>356</v>
      </c>
      <c r="G43" s="119" t="s">
        <v>378</v>
      </c>
      <c r="H43" s="120">
        <v>110009971120</v>
      </c>
      <c r="I43" s="121"/>
      <c r="J43" s="121">
        <v>1.5</v>
      </c>
      <c r="K43" s="121">
        <v>1.5</v>
      </c>
      <c r="L43" s="121">
        <v>1.5</v>
      </c>
      <c r="M43" s="121">
        <v>1.5</v>
      </c>
      <c r="N43" s="121">
        <v>1.5</v>
      </c>
      <c r="O43" s="121">
        <v>1</v>
      </c>
      <c r="P43" s="121"/>
      <c r="Q43" s="121">
        <v>1.5</v>
      </c>
      <c r="R43" s="121">
        <v>1.5</v>
      </c>
      <c r="S43" s="121">
        <v>1.5</v>
      </c>
      <c r="T43" s="121">
        <v>1.5</v>
      </c>
      <c r="U43" s="121">
        <v>1.5</v>
      </c>
      <c r="V43" s="121">
        <v>1</v>
      </c>
      <c r="W43" s="121"/>
      <c r="X43" s="121"/>
      <c r="Y43" s="121"/>
      <c r="Z43" s="121"/>
      <c r="AA43" s="121">
        <v>1</v>
      </c>
      <c r="AB43" s="121">
        <v>1.5</v>
      </c>
      <c r="AC43" s="121"/>
      <c r="AD43" s="121"/>
      <c r="AE43" s="121">
        <v>1.5</v>
      </c>
      <c r="AF43" s="121">
        <v>1.5</v>
      </c>
      <c r="AG43" s="121">
        <v>1.5</v>
      </c>
      <c r="AH43" s="121">
        <v>1.5</v>
      </c>
      <c r="AI43" s="121">
        <v>1.5</v>
      </c>
      <c r="AJ43" s="121">
        <v>1</v>
      </c>
      <c r="AK43" s="121"/>
      <c r="AL43" s="121"/>
      <c r="AM43" s="121"/>
      <c r="AN43" s="122">
        <f t="shared" si="4"/>
        <v>28</v>
      </c>
      <c r="AO43" s="118">
        <v>150000</v>
      </c>
      <c r="AP43" s="123">
        <f t="shared" si="5"/>
        <v>4200000</v>
      </c>
    </row>
    <row r="44" spans="1:42" ht="24.9" customHeight="1" x14ac:dyDescent="0.4">
      <c r="A44" s="115">
        <v>39</v>
      </c>
      <c r="B44" s="116" t="s">
        <v>381</v>
      </c>
      <c r="C44" s="117" t="s">
        <v>382</v>
      </c>
      <c r="D44" s="125" t="s">
        <v>345</v>
      </c>
      <c r="E44" s="117" t="s">
        <v>383</v>
      </c>
      <c r="F44" s="126" t="s">
        <v>318</v>
      </c>
      <c r="G44" s="119" t="s">
        <v>381</v>
      </c>
      <c r="H44" s="120" t="s">
        <v>384</v>
      </c>
      <c r="I44" s="121"/>
      <c r="J44" s="121">
        <v>2</v>
      </c>
      <c r="K44" s="121">
        <v>2</v>
      </c>
      <c r="L44" s="121">
        <v>2</v>
      </c>
      <c r="M44" s="121">
        <v>2</v>
      </c>
      <c r="N44" s="121">
        <v>2</v>
      </c>
      <c r="O44" s="121"/>
      <c r="P44" s="121"/>
      <c r="Q44" s="121">
        <v>2</v>
      </c>
      <c r="R44" s="121">
        <v>2</v>
      </c>
      <c r="S44" s="121">
        <v>2</v>
      </c>
      <c r="T44" s="121">
        <v>2</v>
      </c>
      <c r="U44" s="121">
        <v>2</v>
      </c>
      <c r="V44" s="121"/>
      <c r="W44" s="121"/>
      <c r="X44" s="121"/>
      <c r="Y44" s="121"/>
      <c r="Z44" s="121"/>
      <c r="AA44" s="121">
        <v>2</v>
      </c>
      <c r="AB44" s="121">
        <v>2</v>
      </c>
      <c r="AC44" s="121"/>
      <c r="AD44" s="121"/>
      <c r="AE44" s="121"/>
      <c r="AF44" s="121">
        <v>2</v>
      </c>
      <c r="AG44" s="121">
        <v>2</v>
      </c>
      <c r="AH44" s="121">
        <v>2</v>
      </c>
      <c r="AI44" s="121">
        <v>2</v>
      </c>
      <c r="AJ44" s="121"/>
      <c r="AK44" s="121"/>
      <c r="AL44" s="121"/>
      <c r="AM44" s="121"/>
      <c r="AN44" s="122">
        <f t="shared" si="4"/>
        <v>32</v>
      </c>
      <c r="AO44" s="118">
        <v>220000</v>
      </c>
      <c r="AP44" s="123">
        <f t="shared" si="5"/>
        <v>7040000</v>
      </c>
    </row>
    <row r="45" spans="1:42" ht="24.9" customHeight="1" x14ac:dyDescent="0.4">
      <c r="A45" s="124">
        <v>40</v>
      </c>
      <c r="B45" s="116" t="s">
        <v>385</v>
      </c>
      <c r="C45" s="117" t="s">
        <v>386</v>
      </c>
      <c r="D45" s="125" t="s">
        <v>345</v>
      </c>
      <c r="E45" s="117" t="s">
        <v>387</v>
      </c>
      <c r="F45" s="126" t="s">
        <v>312</v>
      </c>
      <c r="G45" s="119" t="s">
        <v>385</v>
      </c>
      <c r="H45" s="120" t="s">
        <v>388</v>
      </c>
      <c r="I45" s="121"/>
      <c r="J45" s="121">
        <v>2</v>
      </c>
      <c r="K45" s="121">
        <v>2</v>
      </c>
      <c r="L45" s="121">
        <v>2</v>
      </c>
      <c r="M45" s="121">
        <v>2</v>
      </c>
      <c r="N45" s="121">
        <v>2</v>
      </c>
      <c r="O45" s="121"/>
      <c r="P45" s="121"/>
      <c r="Q45" s="121">
        <v>2</v>
      </c>
      <c r="R45" s="121">
        <v>2</v>
      </c>
      <c r="S45" s="121">
        <v>2</v>
      </c>
      <c r="T45" s="121">
        <v>2</v>
      </c>
      <c r="U45" s="121">
        <v>2</v>
      </c>
      <c r="V45" s="121"/>
      <c r="W45" s="121"/>
      <c r="X45" s="121"/>
      <c r="Y45" s="121"/>
      <c r="Z45" s="121"/>
      <c r="AA45" s="121">
        <v>2</v>
      </c>
      <c r="AB45" s="121">
        <v>2</v>
      </c>
      <c r="AC45" s="121"/>
      <c r="AD45" s="121"/>
      <c r="AE45" s="121">
        <v>2</v>
      </c>
      <c r="AF45" s="121">
        <v>2</v>
      </c>
      <c r="AG45" s="121">
        <v>2</v>
      </c>
      <c r="AH45" s="121">
        <v>2</v>
      </c>
      <c r="AI45" s="121">
        <v>2</v>
      </c>
      <c r="AJ45" s="121"/>
      <c r="AK45" s="121"/>
      <c r="AL45" s="121"/>
      <c r="AM45" s="121"/>
      <c r="AN45" s="122">
        <f t="shared" si="4"/>
        <v>34</v>
      </c>
      <c r="AO45" s="118">
        <v>220000</v>
      </c>
      <c r="AP45" s="123">
        <f t="shared" si="5"/>
        <v>7480000</v>
      </c>
    </row>
    <row r="46" spans="1:42" ht="24.9" customHeight="1" x14ac:dyDescent="0.4">
      <c r="A46" s="115">
        <v>41</v>
      </c>
      <c r="B46" s="116" t="s">
        <v>609</v>
      </c>
      <c r="C46" s="117" t="s">
        <v>607</v>
      </c>
      <c r="D46" s="127" t="s">
        <v>345</v>
      </c>
      <c r="E46" s="117" t="s">
        <v>608</v>
      </c>
      <c r="F46" s="126" t="s">
        <v>324</v>
      </c>
      <c r="G46" s="119" t="s">
        <v>609</v>
      </c>
      <c r="H46" s="120" t="s">
        <v>610</v>
      </c>
      <c r="I46" s="121"/>
      <c r="J46" s="121">
        <v>1.5</v>
      </c>
      <c r="K46" s="121">
        <v>1.5</v>
      </c>
      <c r="L46" s="121">
        <v>1.5</v>
      </c>
      <c r="M46" s="121">
        <v>1.5</v>
      </c>
      <c r="N46" s="121">
        <v>1.5</v>
      </c>
      <c r="O46" s="121"/>
      <c r="P46" s="121"/>
      <c r="Q46" s="121">
        <v>1.5</v>
      </c>
      <c r="R46" s="121">
        <v>1.5</v>
      </c>
      <c r="S46" s="121">
        <v>1.5</v>
      </c>
      <c r="T46" s="121">
        <v>1.5</v>
      </c>
      <c r="U46" s="121">
        <v>1.5</v>
      </c>
      <c r="V46" s="121">
        <v>1</v>
      </c>
      <c r="W46" s="121"/>
      <c r="X46" s="121"/>
      <c r="Y46" s="121"/>
      <c r="Z46" s="121"/>
      <c r="AA46" s="121">
        <v>1</v>
      </c>
      <c r="AB46" s="121">
        <v>1.5</v>
      </c>
      <c r="AC46" s="121"/>
      <c r="AD46" s="121"/>
      <c r="AE46" s="121">
        <v>1.5</v>
      </c>
      <c r="AF46" s="121">
        <v>1.5</v>
      </c>
      <c r="AG46" s="121">
        <v>1.5</v>
      </c>
      <c r="AH46" s="121">
        <v>1.5</v>
      </c>
      <c r="AI46" s="121">
        <v>1.5</v>
      </c>
      <c r="AJ46" s="121"/>
      <c r="AK46" s="121"/>
      <c r="AL46" s="121"/>
      <c r="AM46" s="121"/>
      <c r="AN46" s="122">
        <f t="shared" si="4"/>
        <v>26</v>
      </c>
      <c r="AO46" s="118">
        <v>180000</v>
      </c>
      <c r="AP46" s="123">
        <f t="shared" si="5"/>
        <v>4680000</v>
      </c>
    </row>
    <row r="47" spans="1:42" ht="24.9" customHeight="1" x14ac:dyDescent="0.4">
      <c r="A47" s="124">
        <v>42</v>
      </c>
      <c r="B47" s="116" t="s">
        <v>575</v>
      </c>
      <c r="C47" s="117" t="s">
        <v>576</v>
      </c>
      <c r="D47" s="125" t="s">
        <v>316</v>
      </c>
      <c r="E47" s="117" t="s">
        <v>577</v>
      </c>
      <c r="F47" s="126" t="s">
        <v>347</v>
      </c>
      <c r="G47" s="119" t="s">
        <v>575</v>
      </c>
      <c r="H47" s="120" t="s">
        <v>578</v>
      </c>
      <c r="I47" s="121"/>
      <c r="J47" s="121">
        <v>1.5</v>
      </c>
      <c r="K47" s="121">
        <v>1</v>
      </c>
      <c r="L47" s="121">
        <v>1.5</v>
      </c>
      <c r="M47" s="121">
        <v>1.5</v>
      </c>
      <c r="N47" s="121">
        <v>1.5</v>
      </c>
      <c r="O47" s="121">
        <v>1</v>
      </c>
      <c r="P47" s="121"/>
      <c r="Q47" s="121">
        <v>1.5</v>
      </c>
      <c r="R47" s="121">
        <v>1.5</v>
      </c>
      <c r="S47" s="121">
        <v>1.5</v>
      </c>
      <c r="T47" s="121">
        <v>1.5</v>
      </c>
      <c r="U47" s="121">
        <v>1.5</v>
      </c>
      <c r="V47" s="121">
        <v>1</v>
      </c>
      <c r="W47" s="121"/>
      <c r="X47" s="121"/>
      <c r="Y47" s="121"/>
      <c r="Z47" s="121"/>
      <c r="AA47" s="121">
        <v>1</v>
      </c>
      <c r="AB47" s="121">
        <v>1.5</v>
      </c>
      <c r="AC47" s="121"/>
      <c r="AD47" s="121"/>
      <c r="AE47" s="121">
        <v>1.5</v>
      </c>
      <c r="AF47" s="121">
        <v>1.5</v>
      </c>
      <c r="AG47" s="121">
        <v>1.5</v>
      </c>
      <c r="AH47" s="121">
        <v>1.5</v>
      </c>
      <c r="AI47" s="121">
        <v>1.5</v>
      </c>
      <c r="AJ47" s="121">
        <v>1</v>
      </c>
      <c r="AK47" s="121"/>
      <c r="AL47" s="121"/>
      <c r="AM47" s="121"/>
      <c r="AN47" s="122">
        <f t="shared" si="4"/>
        <v>27.5</v>
      </c>
      <c r="AO47" s="118">
        <v>240000</v>
      </c>
      <c r="AP47" s="123">
        <f t="shared" si="5"/>
        <v>6600000</v>
      </c>
    </row>
    <row r="48" spans="1:42" ht="24.9" customHeight="1" x14ac:dyDescent="0.4">
      <c r="A48" s="115">
        <v>43</v>
      </c>
      <c r="B48" s="116" t="s">
        <v>653</v>
      </c>
      <c r="C48" s="117" t="s">
        <v>654</v>
      </c>
      <c r="D48" s="127" t="s">
        <v>322</v>
      </c>
      <c r="E48" s="117" t="s">
        <v>655</v>
      </c>
      <c r="F48" s="126" t="s">
        <v>312</v>
      </c>
      <c r="G48" s="119" t="s">
        <v>653</v>
      </c>
      <c r="H48" s="120" t="s">
        <v>656</v>
      </c>
      <c r="I48" s="121"/>
      <c r="J48" s="121">
        <v>1.5</v>
      </c>
      <c r="K48" s="121">
        <v>1.5</v>
      </c>
      <c r="L48" s="121">
        <v>1.5</v>
      </c>
      <c r="M48" s="121">
        <v>1.5</v>
      </c>
      <c r="N48" s="121">
        <v>1.5</v>
      </c>
      <c r="O48" s="121"/>
      <c r="P48" s="121"/>
      <c r="Q48" s="121">
        <v>1.5</v>
      </c>
      <c r="R48" s="121">
        <v>1.5</v>
      </c>
      <c r="S48" s="121">
        <v>1.5</v>
      </c>
      <c r="T48" s="121">
        <v>1.5</v>
      </c>
      <c r="U48" s="121">
        <v>1.5</v>
      </c>
      <c r="V48" s="121"/>
      <c r="W48" s="121"/>
      <c r="X48" s="121"/>
      <c r="Y48" s="121"/>
      <c r="Z48" s="121"/>
      <c r="AA48" s="121">
        <v>0.75</v>
      </c>
      <c r="AB48" s="121">
        <v>1.5</v>
      </c>
      <c r="AC48" s="121"/>
      <c r="AD48" s="121"/>
      <c r="AE48" s="121">
        <v>1.5</v>
      </c>
      <c r="AF48" s="121">
        <v>1.5</v>
      </c>
      <c r="AG48" s="121"/>
      <c r="AH48" s="121">
        <v>1.5</v>
      </c>
      <c r="AI48" s="121">
        <v>1.5</v>
      </c>
      <c r="AJ48" s="121">
        <v>1</v>
      </c>
      <c r="AK48" s="121"/>
      <c r="AL48" s="121"/>
      <c r="AM48" s="121"/>
      <c r="AN48" s="122">
        <f t="shared" si="4"/>
        <v>24.25</v>
      </c>
      <c r="AO48" s="118">
        <v>150000</v>
      </c>
      <c r="AP48" s="123">
        <f t="shared" si="5"/>
        <v>3637500</v>
      </c>
    </row>
    <row r="49" spans="1:42" ht="24.9" customHeight="1" x14ac:dyDescent="0.4">
      <c r="A49" s="124">
        <v>44</v>
      </c>
      <c r="B49" s="116" t="s">
        <v>389</v>
      </c>
      <c r="C49" s="117" t="s">
        <v>390</v>
      </c>
      <c r="D49" s="127" t="s">
        <v>316</v>
      </c>
      <c r="E49" s="117" t="s">
        <v>391</v>
      </c>
      <c r="F49" s="126" t="s">
        <v>368</v>
      </c>
      <c r="G49" s="119" t="s">
        <v>389</v>
      </c>
      <c r="H49" s="120" t="s">
        <v>392</v>
      </c>
      <c r="I49" s="121"/>
      <c r="J49" s="121">
        <v>1.5</v>
      </c>
      <c r="K49" s="121">
        <v>1.5</v>
      </c>
      <c r="L49" s="121">
        <v>1.5</v>
      </c>
      <c r="M49" s="121">
        <v>1.5</v>
      </c>
      <c r="N49" s="121">
        <v>1.5</v>
      </c>
      <c r="O49" s="121">
        <v>1</v>
      </c>
      <c r="P49" s="121"/>
      <c r="Q49" s="121">
        <v>1.5</v>
      </c>
      <c r="R49" s="121">
        <v>1.5</v>
      </c>
      <c r="S49" s="121">
        <v>1.5</v>
      </c>
      <c r="T49" s="121">
        <v>1.5</v>
      </c>
      <c r="U49" s="121">
        <v>1.5</v>
      </c>
      <c r="V49" s="121">
        <v>1</v>
      </c>
      <c r="W49" s="121"/>
      <c r="X49" s="121"/>
      <c r="Y49" s="121"/>
      <c r="Z49" s="121"/>
      <c r="AA49" s="121">
        <v>1</v>
      </c>
      <c r="AB49" s="121">
        <v>1</v>
      </c>
      <c r="AC49" s="121"/>
      <c r="AD49" s="121"/>
      <c r="AE49" s="121">
        <v>1.5</v>
      </c>
      <c r="AF49" s="121">
        <v>1.5</v>
      </c>
      <c r="AG49" s="121">
        <v>1.5</v>
      </c>
      <c r="AH49" s="121">
        <v>1.5</v>
      </c>
      <c r="AI49" s="121">
        <v>1.5</v>
      </c>
      <c r="AJ49" s="121"/>
      <c r="AK49" s="121"/>
      <c r="AL49" s="121"/>
      <c r="AM49" s="121"/>
      <c r="AN49" s="122">
        <f t="shared" si="4"/>
        <v>26.5</v>
      </c>
      <c r="AO49" s="118">
        <v>240000</v>
      </c>
      <c r="AP49" s="123">
        <f t="shared" si="5"/>
        <v>6360000</v>
      </c>
    </row>
    <row r="50" spans="1:42" ht="24.9" customHeight="1" x14ac:dyDescent="0.4">
      <c r="A50" s="115">
        <v>45</v>
      </c>
      <c r="B50" s="116" t="s">
        <v>393</v>
      </c>
      <c r="C50" s="117" t="s">
        <v>394</v>
      </c>
      <c r="D50" s="127" t="s">
        <v>345</v>
      </c>
      <c r="E50" s="117" t="s">
        <v>395</v>
      </c>
      <c r="F50" s="126" t="s">
        <v>396</v>
      </c>
      <c r="G50" s="119" t="s">
        <v>393</v>
      </c>
      <c r="H50" s="120" t="s">
        <v>397</v>
      </c>
      <c r="I50" s="121"/>
      <c r="J50" s="121">
        <v>2</v>
      </c>
      <c r="K50" s="121">
        <v>2</v>
      </c>
      <c r="L50" s="121">
        <v>2</v>
      </c>
      <c r="M50" s="121">
        <v>2</v>
      </c>
      <c r="N50" s="121">
        <v>2</v>
      </c>
      <c r="O50" s="121"/>
      <c r="P50" s="121"/>
      <c r="Q50" s="121">
        <v>2</v>
      </c>
      <c r="R50" s="121">
        <v>2</v>
      </c>
      <c r="S50" s="121">
        <v>2</v>
      </c>
      <c r="T50" s="121">
        <v>2</v>
      </c>
      <c r="U50" s="121">
        <v>2</v>
      </c>
      <c r="V50" s="121"/>
      <c r="W50" s="121"/>
      <c r="X50" s="121"/>
      <c r="Y50" s="121"/>
      <c r="Z50" s="121"/>
      <c r="AA50" s="121">
        <v>2</v>
      </c>
      <c r="AB50" s="121">
        <v>2</v>
      </c>
      <c r="AC50" s="121"/>
      <c r="AD50" s="121"/>
      <c r="AE50" s="121">
        <v>2</v>
      </c>
      <c r="AF50" s="121">
        <v>2</v>
      </c>
      <c r="AG50" s="121">
        <v>2</v>
      </c>
      <c r="AH50" s="121">
        <v>2</v>
      </c>
      <c r="AI50" s="121">
        <v>2</v>
      </c>
      <c r="AJ50" s="121"/>
      <c r="AK50" s="121"/>
      <c r="AL50" s="121"/>
      <c r="AM50" s="121"/>
      <c r="AN50" s="122">
        <f t="shared" si="4"/>
        <v>34</v>
      </c>
      <c r="AO50" s="118">
        <v>210000</v>
      </c>
      <c r="AP50" s="123">
        <f t="shared" si="5"/>
        <v>7140000</v>
      </c>
    </row>
    <row r="51" spans="1:42" ht="24.9" customHeight="1" x14ac:dyDescent="0.4">
      <c r="A51" s="124">
        <v>46</v>
      </c>
      <c r="B51" s="116" t="s">
        <v>398</v>
      </c>
      <c r="C51" s="117" t="s">
        <v>399</v>
      </c>
      <c r="D51" s="125" t="s">
        <v>345</v>
      </c>
      <c r="E51" s="117" t="s">
        <v>400</v>
      </c>
      <c r="F51" s="126" t="s">
        <v>347</v>
      </c>
      <c r="G51" s="119" t="s">
        <v>398</v>
      </c>
      <c r="H51" s="120" t="s">
        <v>401</v>
      </c>
      <c r="I51" s="121"/>
      <c r="J51" s="121">
        <v>2</v>
      </c>
      <c r="K51" s="121">
        <v>2</v>
      </c>
      <c r="L51" s="121">
        <v>2</v>
      </c>
      <c r="M51" s="121">
        <v>2</v>
      </c>
      <c r="N51" s="121">
        <v>2</v>
      </c>
      <c r="O51" s="121"/>
      <c r="P51" s="121"/>
      <c r="Q51" s="121">
        <v>2</v>
      </c>
      <c r="R51" s="121">
        <v>2</v>
      </c>
      <c r="S51" s="121">
        <v>2</v>
      </c>
      <c r="T51" s="121">
        <v>2</v>
      </c>
      <c r="U51" s="121">
        <v>2</v>
      </c>
      <c r="V51" s="121"/>
      <c r="W51" s="121"/>
      <c r="X51" s="121"/>
      <c r="Y51" s="121"/>
      <c r="Z51" s="121"/>
      <c r="AA51" s="121">
        <v>2</v>
      </c>
      <c r="AB51" s="121">
        <v>2</v>
      </c>
      <c r="AC51" s="121"/>
      <c r="AD51" s="121"/>
      <c r="AE51" s="121">
        <v>2</v>
      </c>
      <c r="AF51" s="121">
        <v>2</v>
      </c>
      <c r="AG51" s="121">
        <v>2</v>
      </c>
      <c r="AH51" s="121">
        <v>2</v>
      </c>
      <c r="AI51" s="121">
        <v>2</v>
      </c>
      <c r="AJ51" s="121"/>
      <c r="AK51" s="121"/>
      <c r="AL51" s="121"/>
      <c r="AM51" s="121"/>
      <c r="AN51" s="122">
        <f t="shared" si="4"/>
        <v>34</v>
      </c>
      <c r="AO51" s="118">
        <v>220000</v>
      </c>
      <c r="AP51" s="123">
        <f t="shared" si="5"/>
        <v>7480000</v>
      </c>
    </row>
    <row r="52" spans="1:42" ht="24.9" customHeight="1" x14ac:dyDescent="0.4">
      <c r="A52" s="115">
        <v>47</v>
      </c>
      <c r="B52" s="116" t="s">
        <v>657</v>
      </c>
      <c r="C52" s="117" t="s">
        <v>658</v>
      </c>
      <c r="D52" s="125" t="s">
        <v>322</v>
      </c>
      <c r="E52" s="117" t="s">
        <v>659</v>
      </c>
      <c r="F52" s="126" t="s">
        <v>660</v>
      </c>
      <c r="G52" s="119" t="s">
        <v>657</v>
      </c>
      <c r="H52" s="120" t="s">
        <v>809</v>
      </c>
      <c r="I52" s="121"/>
      <c r="J52" s="121">
        <v>1.5</v>
      </c>
      <c r="K52" s="121">
        <v>1.5</v>
      </c>
      <c r="L52" s="121">
        <v>1.5</v>
      </c>
      <c r="M52" s="121">
        <v>1.5</v>
      </c>
      <c r="N52" s="121">
        <v>1.5</v>
      </c>
      <c r="O52" s="121"/>
      <c r="P52" s="121"/>
      <c r="Q52" s="121">
        <v>1.5</v>
      </c>
      <c r="R52" s="121">
        <v>1.5</v>
      </c>
      <c r="S52" s="121">
        <v>1.5</v>
      </c>
      <c r="T52" s="121">
        <v>1.5</v>
      </c>
      <c r="U52" s="121">
        <v>1.5</v>
      </c>
      <c r="V52" s="121">
        <v>1</v>
      </c>
      <c r="W52" s="121"/>
      <c r="X52" s="121"/>
      <c r="Y52" s="121"/>
      <c r="Z52" s="121"/>
      <c r="AA52" s="121">
        <v>1</v>
      </c>
      <c r="AB52" s="121">
        <v>1.5</v>
      </c>
      <c r="AC52" s="121"/>
      <c r="AD52" s="121"/>
      <c r="AE52" s="121">
        <v>1.5</v>
      </c>
      <c r="AF52" s="121">
        <v>1.5</v>
      </c>
      <c r="AG52" s="121">
        <v>1.5</v>
      </c>
      <c r="AH52" s="121">
        <v>1.5</v>
      </c>
      <c r="AI52" s="121">
        <v>1.5</v>
      </c>
      <c r="AJ52" s="121">
        <v>1</v>
      </c>
      <c r="AK52" s="121"/>
      <c r="AL52" s="121"/>
      <c r="AM52" s="121"/>
      <c r="AN52" s="122">
        <f t="shared" si="4"/>
        <v>27</v>
      </c>
      <c r="AO52" s="118">
        <v>150000</v>
      </c>
      <c r="AP52" s="123">
        <f t="shared" si="5"/>
        <v>4050000</v>
      </c>
    </row>
    <row r="53" spans="1:42" ht="24.9" customHeight="1" x14ac:dyDescent="0.4">
      <c r="A53" s="124">
        <v>48</v>
      </c>
      <c r="B53" s="116" t="s">
        <v>714</v>
      </c>
      <c r="C53" s="117" t="s">
        <v>715</v>
      </c>
      <c r="D53" s="127" t="s">
        <v>310</v>
      </c>
      <c r="E53" s="117" t="s">
        <v>716</v>
      </c>
      <c r="F53" s="126" t="s">
        <v>347</v>
      </c>
      <c r="G53" s="119" t="s">
        <v>714</v>
      </c>
      <c r="H53" s="120" t="s">
        <v>717</v>
      </c>
      <c r="I53" s="121"/>
      <c r="J53" s="121">
        <v>1.5</v>
      </c>
      <c r="K53" s="121">
        <v>1.5</v>
      </c>
      <c r="L53" s="121">
        <v>1.5</v>
      </c>
      <c r="M53" s="121">
        <v>1.5</v>
      </c>
      <c r="N53" s="121">
        <v>1.5</v>
      </c>
      <c r="O53" s="121">
        <v>1</v>
      </c>
      <c r="P53" s="121"/>
      <c r="Q53" s="121">
        <v>1.5</v>
      </c>
      <c r="R53" s="121">
        <v>1.5</v>
      </c>
      <c r="S53" s="121">
        <v>1.5</v>
      </c>
      <c r="T53" s="121">
        <v>1.5</v>
      </c>
      <c r="U53" s="121">
        <v>1.5</v>
      </c>
      <c r="V53" s="121"/>
      <c r="W53" s="121"/>
      <c r="X53" s="121"/>
      <c r="Y53" s="121"/>
      <c r="Z53" s="121"/>
      <c r="AA53" s="121">
        <v>1</v>
      </c>
      <c r="AB53" s="121">
        <v>1.5</v>
      </c>
      <c r="AC53" s="121"/>
      <c r="AD53" s="121"/>
      <c r="AE53" s="121">
        <v>1.5</v>
      </c>
      <c r="AF53" s="121">
        <v>1.5</v>
      </c>
      <c r="AG53" s="121">
        <v>1.5</v>
      </c>
      <c r="AH53" s="121">
        <v>1.5</v>
      </c>
      <c r="AI53" s="121">
        <v>1.5</v>
      </c>
      <c r="AJ53" s="121">
        <v>1</v>
      </c>
      <c r="AK53" s="121"/>
      <c r="AL53" s="121"/>
      <c r="AM53" s="121"/>
      <c r="AN53" s="122">
        <f t="shared" si="4"/>
        <v>27</v>
      </c>
      <c r="AO53" s="118">
        <v>190000</v>
      </c>
      <c r="AP53" s="123">
        <f t="shared" si="5"/>
        <v>5130000</v>
      </c>
    </row>
    <row r="54" spans="1:42" ht="24.9" customHeight="1" x14ac:dyDescent="0.4">
      <c r="A54" s="115">
        <v>49</v>
      </c>
      <c r="B54" s="116" t="s">
        <v>668</v>
      </c>
      <c r="C54" s="117" t="s">
        <v>669</v>
      </c>
      <c r="D54" s="125" t="s">
        <v>670</v>
      </c>
      <c r="E54" s="117" t="s">
        <v>671</v>
      </c>
      <c r="F54" s="126" t="s">
        <v>356</v>
      </c>
      <c r="G54" s="119" t="s">
        <v>668</v>
      </c>
      <c r="H54" s="120" t="s">
        <v>672</v>
      </c>
      <c r="I54" s="121"/>
      <c r="J54" s="121">
        <v>1.5</v>
      </c>
      <c r="K54" s="121">
        <v>1.5</v>
      </c>
      <c r="L54" s="121">
        <v>1.5</v>
      </c>
      <c r="M54" s="121">
        <v>1.5</v>
      </c>
      <c r="N54" s="121">
        <v>1.5</v>
      </c>
      <c r="O54" s="121">
        <v>1</v>
      </c>
      <c r="P54" s="121"/>
      <c r="Q54" s="121">
        <v>1.5</v>
      </c>
      <c r="R54" s="121">
        <v>1.5</v>
      </c>
      <c r="S54" s="121">
        <v>1.5</v>
      </c>
      <c r="T54" s="121">
        <v>1.5</v>
      </c>
      <c r="U54" s="121">
        <v>1.5</v>
      </c>
      <c r="V54" s="121">
        <v>1</v>
      </c>
      <c r="W54" s="121"/>
      <c r="X54" s="121"/>
      <c r="Y54" s="121"/>
      <c r="Z54" s="121"/>
      <c r="AA54" s="121">
        <v>1</v>
      </c>
      <c r="AB54" s="121">
        <v>1.5</v>
      </c>
      <c r="AC54" s="121"/>
      <c r="AD54" s="121"/>
      <c r="AE54" s="121">
        <v>1.5</v>
      </c>
      <c r="AF54" s="121">
        <v>1.5</v>
      </c>
      <c r="AG54" s="121">
        <v>1.5</v>
      </c>
      <c r="AH54" s="121">
        <v>0.5</v>
      </c>
      <c r="AI54" s="121">
        <v>1.5</v>
      </c>
      <c r="AJ54" s="121">
        <v>1</v>
      </c>
      <c r="AK54" s="121"/>
      <c r="AL54" s="121"/>
      <c r="AM54" s="121"/>
      <c r="AN54" s="122">
        <f t="shared" si="4"/>
        <v>27</v>
      </c>
      <c r="AO54" s="118">
        <v>220000</v>
      </c>
      <c r="AP54" s="123">
        <f t="shared" si="5"/>
        <v>5940000</v>
      </c>
    </row>
    <row r="55" spans="1:42" ht="24.9" customHeight="1" x14ac:dyDescent="0.4">
      <c r="A55" s="124">
        <v>50</v>
      </c>
      <c r="B55" s="116" t="s">
        <v>402</v>
      </c>
      <c r="C55" s="117" t="s">
        <v>403</v>
      </c>
      <c r="D55" s="125" t="s">
        <v>404</v>
      </c>
      <c r="E55" s="117" t="s">
        <v>405</v>
      </c>
      <c r="F55" s="126" t="s">
        <v>356</v>
      </c>
      <c r="G55" s="119" t="s">
        <v>402</v>
      </c>
      <c r="H55" s="120" t="s">
        <v>406</v>
      </c>
      <c r="I55" s="121"/>
      <c r="J55" s="121">
        <v>1.5</v>
      </c>
      <c r="K55" s="121">
        <v>1.5</v>
      </c>
      <c r="L55" s="121">
        <v>1.5</v>
      </c>
      <c r="M55" s="121">
        <v>1.375</v>
      </c>
      <c r="N55" s="121">
        <v>1.5</v>
      </c>
      <c r="O55" s="121"/>
      <c r="P55" s="121"/>
      <c r="Q55" s="121">
        <v>1.5</v>
      </c>
      <c r="R55" s="121">
        <v>1.5</v>
      </c>
      <c r="S55" s="121">
        <v>1.5</v>
      </c>
      <c r="T55" s="121">
        <v>1.5</v>
      </c>
      <c r="U55" s="121">
        <v>1.5</v>
      </c>
      <c r="V55" s="121">
        <v>1</v>
      </c>
      <c r="W55" s="121"/>
      <c r="X55" s="121"/>
      <c r="Y55" s="121"/>
      <c r="Z55" s="121"/>
      <c r="AA55" s="121">
        <v>1</v>
      </c>
      <c r="AB55" s="121">
        <v>1.5</v>
      </c>
      <c r="AC55" s="121"/>
      <c r="AD55" s="121"/>
      <c r="AE55" s="121">
        <v>1.5</v>
      </c>
      <c r="AF55" s="121">
        <v>1.5</v>
      </c>
      <c r="AG55" s="121">
        <v>1.5</v>
      </c>
      <c r="AH55" s="121">
        <v>1.5</v>
      </c>
      <c r="AI55" s="121">
        <v>1.5</v>
      </c>
      <c r="AJ55" s="121">
        <v>1</v>
      </c>
      <c r="AK55" s="121"/>
      <c r="AL55" s="121"/>
      <c r="AM55" s="121"/>
      <c r="AN55" s="122">
        <f t="shared" si="4"/>
        <v>26.875</v>
      </c>
      <c r="AO55" s="118">
        <v>190000</v>
      </c>
      <c r="AP55" s="123">
        <f t="shared" si="5"/>
        <v>5106250</v>
      </c>
    </row>
    <row r="56" spans="1:42" ht="24.9" customHeight="1" x14ac:dyDescent="0.4">
      <c r="A56" s="115">
        <v>51</v>
      </c>
      <c r="B56" s="116" t="s">
        <v>595</v>
      </c>
      <c r="C56" s="117" t="s">
        <v>596</v>
      </c>
      <c r="D56" s="127" t="s">
        <v>322</v>
      </c>
      <c r="E56" s="117" t="s">
        <v>597</v>
      </c>
      <c r="F56" s="126" t="s">
        <v>545</v>
      </c>
      <c r="G56" s="119" t="s">
        <v>595</v>
      </c>
      <c r="H56" s="120" t="s">
        <v>598</v>
      </c>
      <c r="I56" s="121"/>
      <c r="J56" s="121">
        <v>2</v>
      </c>
      <c r="K56" s="121">
        <v>2</v>
      </c>
      <c r="L56" s="121">
        <v>2</v>
      </c>
      <c r="M56" s="121">
        <v>2</v>
      </c>
      <c r="N56" s="121">
        <v>2</v>
      </c>
      <c r="O56" s="121"/>
      <c r="P56" s="121"/>
      <c r="Q56" s="121">
        <v>2</v>
      </c>
      <c r="R56" s="121">
        <v>2</v>
      </c>
      <c r="S56" s="121">
        <v>2</v>
      </c>
      <c r="T56" s="121">
        <v>2</v>
      </c>
      <c r="U56" s="121">
        <v>2</v>
      </c>
      <c r="V56" s="121"/>
      <c r="W56" s="121"/>
      <c r="X56" s="121"/>
      <c r="Y56" s="121"/>
      <c r="Z56" s="121"/>
      <c r="AA56" s="121">
        <v>2</v>
      </c>
      <c r="AB56" s="121">
        <v>2</v>
      </c>
      <c r="AC56" s="121"/>
      <c r="AD56" s="121"/>
      <c r="AE56" s="121">
        <v>2</v>
      </c>
      <c r="AF56" s="121">
        <v>2</v>
      </c>
      <c r="AG56" s="121">
        <v>2</v>
      </c>
      <c r="AH56" s="121">
        <v>2</v>
      </c>
      <c r="AI56" s="121">
        <v>2</v>
      </c>
      <c r="AJ56" s="121"/>
      <c r="AK56" s="121"/>
      <c r="AL56" s="121"/>
      <c r="AM56" s="121"/>
      <c r="AN56" s="122">
        <f t="shared" si="4"/>
        <v>34</v>
      </c>
      <c r="AO56" s="118">
        <v>150000</v>
      </c>
      <c r="AP56" s="123">
        <f t="shared" si="5"/>
        <v>5100000</v>
      </c>
    </row>
    <row r="57" spans="1:42" ht="24.9" customHeight="1" x14ac:dyDescent="0.4">
      <c r="A57" s="124">
        <v>52</v>
      </c>
      <c r="B57" s="116" t="s">
        <v>407</v>
      </c>
      <c r="C57" s="117" t="s">
        <v>408</v>
      </c>
      <c r="D57" s="127" t="s">
        <v>322</v>
      </c>
      <c r="E57" s="117" t="s">
        <v>409</v>
      </c>
      <c r="F57" s="126" t="s">
        <v>312</v>
      </c>
      <c r="G57" s="119" t="s">
        <v>407</v>
      </c>
      <c r="H57" s="120" t="s">
        <v>410</v>
      </c>
      <c r="I57" s="121"/>
      <c r="J57" s="121">
        <v>2</v>
      </c>
      <c r="K57" s="121">
        <v>2</v>
      </c>
      <c r="L57" s="121">
        <v>2</v>
      </c>
      <c r="M57" s="121">
        <v>2</v>
      </c>
      <c r="N57" s="121">
        <v>2</v>
      </c>
      <c r="O57" s="121"/>
      <c r="P57" s="121"/>
      <c r="Q57" s="121">
        <v>2</v>
      </c>
      <c r="R57" s="121">
        <v>2</v>
      </c>
      <c r="S57" s="121">
        <v>2</v>
      </c>
      <c r="T57" s="121">
        <v>2</v>
      </c>
      <c r="U57" s="121">
        <v>2</v>
      </c>
      <c r="V57" s="121"/>
      <c r="W57" s="121"/>
      <c r="X57" s="121"/>
      <c r="Y57" s="121"/>
      <c r="Z57" s="121"/>
      <c r="AA57" s="121">
        <v>2</v>
      </c>
      <c r="AB57" s="121">
        <v>2</v>
      </c>
      <c r="AC57" s="121"/>
      <c r="AD57" s="121"/>
      <c r="AE57" s="121">
        <v>2</v>
      </c>
      <c r="AF57" s="121">
        <v>2</v>
      </c>
      <c r="AG57" s="121">
        <v>2</v>
      </c>
      <c r="AH57" s="121">
        <v>2</v>
      </c>
      <c r="AI57" s="121">
        <v>2</v>
      </c>
      <c r="AJ57" s="121"/>
      <c r="AK57" s="121"/>
      <c r="AL57" s="121"/>
      <c r="AM57" s="121"/>
      <c r="AN57" s="122">
        <f t="shared" si="4"/>
        <v>34</v>
      </c>
      <c r="AO57" s="118">
        <v>160000</v>
      </c>
      <c r="AP57" s="123">
        <f t="shared" si="5"/>
        <v>5440000</v>
      </c>
    </row>
    <row r="58" spans="1:42" ht="24.9" customHeight="1" x14ac:dyDescent="0.4">
      <c r="A58" s="115">
        <v>53</v>
      </c>
      <c r="B58" s="116" t="s">
        <v>756</v>
      </c>
      <c r="C58" s="117" t="s">
        <v>757</v>
      </c>
      <c r="D58" s="127" t="s">
        <v>322</v>
      </c>
      <c r="E58" s="117" t="s">
        <v>758</v>
      </c>
      <c r="F58" s="126" t="s">
        <v>396</v>
      </c>
      <c r="G58" s="119" t="s">
        <v>756</v>
      </c>
      <c r="H58" s="120" t="s">
        <v>759</v>
      </c>
      <c r="I58" s="121"/>
      <c r="J58" s="121"/>
      <c r="K58" s="121"/>
      <c r="L58" s="121"/>
      <c r="M58" s="121"/>
      <c r="N58" s="121"/>
      <c r="O58" s="121"/>
      <c r="P58" s="121"/>
      <c r="Q58" s="121">
        <v>0.75</v>
      </c>
      <c r="R58" s="121">
        <v>0.375</v>
      </c>
      <c r="S58" s="121">
        <v>0.625</v>
      </c>
      <c r="T58" s="121">
        <v>1.5</v>
      </c>
      <c r="U58" s="121">
        <v>1.5</v>
      </c>
      <c r="V58" s="121"/>
      <c r="W58" s="121"/>
      <c r="X58" s="121"/>
      <c r="Y58" s="121"/>
      <c r="Z58" s="121"/>
      <c r="AA58" s="121">
        <v>1</v>
      </c>
      <c r="AB58" s="121"/>
      <c r="AC58" s="121"/>
      <c r="AD58" s="121"/>
      <c r="AE58" s="121">
        <v>1.5</v>
      </c>
      <c r="AF58" s="121">
        <v>1.5</v>
      </c>
      <c r="AG58" s="121">
        <v>1.5</v>
      </c>
      <c r="AH58" s="121">
        <v>1.5</v>
      </c>
      <c r="AI58" s="121">
        <v>1.5</v>
      </c>
      <c r="AJ58" s="121">
        <v>1</v>
      </c>
      <c r="AK58" s="121"/>
      <c r="AL58" s="121"/>
      <c r="AM58" s="121"/>
      <c r="AN58" s="122">
        <f t="shared" si="4"/>
        <v>14.25</v>
      </c>
      <c r="AO58" s="118">
        <v>150000</v>
      </c>
      <c r="AP58" s="123">
        <f t="shared" si="5"/>
        <v>2137500</v>
      </c>
    </row>
    <row r="59" spans="1:42" ht="24.9" customHeight="1" x14ac:dyDescent="0.4">
      <c r="A59" s="124">
        <v>54</v>
      </c>
      <c r="B59" s="116" t="s">
        <v>760</v>
      </c>
      <c r="C59" s="117" t="s">
        <v>761</v>
      </c>
      <c r="D59" s="125" t="s">
        <v>345</v>
      </c>
      <c r="E59" s="117" t="s">
        <v>762</v>
      </c>
      <c r="F59" s="126" t="s">
        <v>692</v>
      </c>
      <c r="G59" s="119" t="s">
        <v>760</v>
      </c>
      <c r="H59" s="120" t="s">
        <v>763</v>
      </c>
      <c r="I59" s="121"/>
      <c r="J59" s="121">
        <v>0.875</v>
      </c>
      <c r="K59" s="121"/>
      <c r="L59" s="121">
        <v>1</v>
      </c>
      <c r="M59" s="121">
        <v>1.5</v>
      </c>
      <c r="N59" s="121">
        <v>1.5</v>
      </c>
      <c r="O59" s="121">
        <v>1</v>
      </c>
      <c r="P59" s="121"/>
      <c r="Q59" s="121">
        <v>1.5</v>
      </c>
      <c r="R59" s="121">
        <v>1.5</v>
      </c>
      <c r="S59" s="121">
        <v>1.5</v>
      </c>
      <c r="T59" s="121">
        <v>1.5</v>
      </c>
      <c r="U59" s="121">
        <v>1.5</v>
      </c>
      <c r="V59" s="121"/>
      <c r="W59" s="121"/>
      <c r="X59" s="121"/>
      <c r="Y59" s="121"/>
      <c r="Z59" s="121"/>
      <c r="AA59" s="121">
        <v>1</v>
      </c>
      <c r="AB59" s="121">
        <v>1.5</v>
      </c>
      <c r="AC59" s="121"/>
      <c r="AD59" s="121"/>
      <c r="AE59" s="121">
        <v>1.5</v>
      </c>
      <c r="AF59" s="121">
        <v>1.5</v>
      </c>
      <c r="AG59" s="121">
        <v>1.5</v>
      </c>
      <c r="AH59" s="121">
        <v>1.5</v>
      </c>
      <c r="AI59" s="121">
        <v>1.5</v>
      </c>
      <c r="AJ59" s="121"/>
      <c r="AK59" s="121"/>
      <c r="AL59" s="121"/>
      <c r="AM59" s="121"/>
      <c r="AN59" s="122">
        <f t="shared" si="4"/>
        <v>23.375</v>
      </c>
      <c r="AO59" s="118">
        <v>200000</v>
      </c>
      <c r="AP59" s="123">
        <f t="shared" si="5"/>
        <v>4675000</v>
      </c>
    </row>
    <row r="60" spans="1:42" ht="24.9" customHeight="1" x14ac:dyDescent="0.4">
      <c r="A60" s="115">
        <v>55</v>
      </c>
      <c r="B60" s="116" t="s">
        <v>411</v>
      </c>
      <c r="C60" s="117" t="s">
        <v>412</v>
      </c>
      <c r="D60" s="125" t="s">
        <v>322</v>
      </c>
      <c r="E60" s="117" t="s">
        <v>413</v>
      </c>
      <c r="F60" s="126" t="s">
        <v>396</v>
      </c>
      <c r="G60" s="119" t="s">
        <v>411</v>
      </c>
      <c r="H60" s="120" t="s">
        <v>414</v>
      </c>
      <c r="I60" s="121"/>
      <c r="J60" s="121">
        <v>1.5</v>
      </c>
      <c r="K60" s="121">
        <v>1.5</v>
      </c>
      <c r="L60" s="121">
        <v>1.5</v>
      </c>
      <c r="M60" s="121">
        <v>1.5</v>
      </c>
      <c r="N60" s="121">
        <v>1.5</v>
      </c>
      <c r="O60" s="121"/>
      <c r="P60" s="121"/>
      <c r="Q60" s="121">
        <v>1.5</v>
      </c>
      <c r="R60" s="121">
        <v>1.5</v>
      </c>
      <c r="S60" s="121">
        <v>1.5</v>
      </c>
      <c r="T60" s="121">
        <v>1.5</v>
      </c>
      <c r="U60" s="121">
        <v>1.5</v>
      </c>
      <c r="V60" s="121">
        <v>1</v>
      </c>
      <c r="W60" s="121"/>
      <c r="X60" s="121"/>
      <c r="Y60" s="121"/>
      <c r="Z60" s="121"/>
      <c r="AA60" s="121">
        <v>1</v>
      </c>
      <c r="AB60" s="121">
        <v>1.5</v>
      </c>
      <c r="AC60" s="121"/>
      <c r="AD60" s="121"/>
      <c r="AE60" s="121"/>
      <c r="AF60" s="121">
        <v>1.5</v>
      </c>
      <c r="AG60" s="121">
        <v>1.5</v>
      </c>
      <c r="AH60" s="121">
        <v>1.5</v>
      </c>
      <c r="AI60" s="121">
        <v>1.5</v>
      </c>
      <c r="AJ60" s="121"/>
      <c r="AK60" s="121"/>
      <c r="AL60" s="121"/>
      <c r="AM60" s="121"/>
      <c r="AN60" s="122">
        <f t="shared" si="4"/>
        <v>24.5</v>
      </c>
      <c r="AO60" s="118">
        <v>200000</v>
      </c>
      <c r="AP60" s="123">
        <f t="shared" si="5"/>
        <v>4900000</v>
      </c>
    </row>
    <row r="61" spans="1:42" ht="24.9" customHeight="1" x14ac:dyDescent="0.4">
      <c r="A61" s="124">
        <v>56</v>
      </c>
      <c r="B61" s="116" t="s">
        <v>718</v>
      </c>
      <c r="C61" s="117" t="s">
        <v>719</v>
      </c>
      <c r="D61" s="127" t="s">
        <v>322</v>
      </c>
      <c r="E61" s="117" t="s">
        <v>720</v>
      </c>
      <c r="F61" s="126" t="s">
        <v>312</v>
      </c>
      <c r="G61" s="119" t="s">
        <v>718</v>
      </c>
      <c r="H61" s="120" t="s">
        <v>721</v>
      </c>
      <c r="I61" s="121"/>
      <c r="J61" s="121">
        <v>1.5</v>
      </c>
      <c r="K61" s="121">
        <v>1</v>
      </c>
      <c r="L61" s="121">
        <v>1.5</v>
      </c>
      <c r="M61" s="121">
        <v>1.5</v>
      </c>
      <c r="N61" s="121">
        <v>1.5</v>
      </c>
      <c r="O61" s="121"/>
      <c r="P61" s="121"/>
      <c r="Q61" s="121">
        <v>1.5</v>
      </c>
      <c r="R61" s="121">
        <v>1.5</v>
      </c>
      <c r="S61" s="121">
        <v>1.5</v>
      </c>
      <c r="T61" s="121">
        <v>1.5</v>
      </c>
      <c r="U61" s="121">
        <v>1.5</v>
      </c>
      <c r="V61" s="121">
        <v>1</v>
      </c>
      <c r="W61" s="121"/>
      <c r="X61" s="121"/>
      <c r="Y61" s="121"/>
      <c r="Z61" s="121"/>
      <c r="AA61" s="121">
        <v>1</v>
      </c>
      <c r="AB61" s="121">
        <v>1.5</v>
      </c>
      <c r="AC61" s="121"/>
      <c r="AD61" s="121"/>
      <c r="AE61" s="121">
        <v>1.5</v>
      </c>
      <c r="AF61" s="121">
        <v>1.5</v>
      </c>
      <c r="AG61" s="121">
        <v>1.5</v>
      </c>
      <c r="AH61" s="121">
        <v>1.5</v>
      </c>
      <c r="AI61" s="121">
        <v>1.5</v>
      </c>
      <c r="AJ61" s="121">
        <v>1</v>
      </c>
      <c r="AK61" s="121"/>
      <c r="AL61" s="121"/>
      <c r="AM61" s="121"/>
      <c r="AN61" s="122">
        <f t="shared" si="4"/>
        <v>26.5</v>
      </c>
      <c r="AO61" s="118">
        <v>150000</v>
      </c>
      <c r="AP61" s="123">
        <f t="shared" si="5"/>
        <v>3975000</v>
      </c>
    </row>
    <row r="62" spans="1:42" ht="24.9" customHeight="1" x14ac:dyDescent="0.4">
      <c r="A62" s="115">
        <v>57</v>
      </c>
      <c r="B62" s="116" t="s">
        <v>415</v>
      </c>
      <c r="C62" s="117" t="s">
        <v>416</v>
      </c>
      <c r="D62" s="125" t="s">
        <v>322</v>
      </c>
      <c r="E62" s="117" t="s">
        <v>417</v>
      </c>
      <c r="F62" s="126" t="s">
        <v>312</v>
      </c>
      <c r="G62" s="119" t="s">
        <v>415</v>
      </c>
      <c r="H62" s="120" t="s">
        <v>810</v>
      </c>
      <c r="I62" s="121"/>
      <c r="J62" s="121">
        <v>2</v>
      </c>
      <c r="K62" s="121">
        <v>2</v>
      </c>
      <c r="L62" s="121">
        <v>2</v>
      </c>
      <c r="M62" s="121">
        <v>2</v>
      </c>
      <c r="N62" s="121">
        <v>2</v>
      </c>
      <c r="O62" s="121"/>
      <c r="P62" s="121"/>
      <c r="Q62" s="121">
        <v>2</v>
      </c>
      <c r="R62" s="121">
        <v>2</v>
      </c>
      <c r="S62" s="121">
        <v>2</v>
      </c>
      <c r="T62" s="121">
        <v>2</v>
      </c>
      <c r="U62" s="121">
        <v>2</v>
      </c>
      <c r="V62" s="121"/>
      <c r="W62" s="121"/>
      <c r="X62" s="121"/>
      <c r="Y62" s="121"/>
      <c r="Z62" s="121"/>
      <c r="AA62" s="121">
        <v>2</v>
      </c>
      <c r="AB62" s="121">
        <v>2</v>
      </c>
      <c r="AC62" s="121"/>
      <c r="AD62" s="121"/>
      <c r="AE62" s="121">
        <v>2</v>
      </c>
      <c r="AF62" s="121">
        <v>2</v>
      </c>
      <c r="AG62" s="121">
        <v>2</v>
      </c>
      <c r="AH62" s="121">
        <v>2</v>
      </c>
      <c r="AI62" s="121">
        <v>2</v>
      </c>
      <c r="AJ62" s="121"/>
      <c r="AK62" s="121"/>
      <c r="AL62" s="121"/>
      <c r="AM62" s="121"/>
      <c r="AN62" s="122">
        <f t="shared" si="4"/>
        <v>34</v>
      </c>
      <c r="AO62" s="118">
        <v>150000</v>
      </c>
      <c r="AP62" s="123">
        <f t="shared" si="5"/>
        <v>5100000</v>
      </c>
    </row>
    <row r="63" spans="1:42" ht="24.9" customHeight="1" x14ac:dyDescent="0.4">
      <c r="A63" s="124">
        <v>58</v>
      </c>
      <c r="B63" s="116" t="s">
        <v>611</v>
      </c>
      <c r="C63" s="117" t="s">
        <v>612</v>
      </c>
      <c r="D63" s="127" t="s">
        <v>322</v>
      </c>
      <c r="E63" s="117" t="s">
        <v>613</v>
      </c>
      <c r="F63" s="126" t="s">
        <v>347</v>
      </c>
      <c r="G63" s="119" t="s">
        <v>611</v>
      </c>
      <c r="H63" s="120" t="s">
        <v>614</v>
      </c>
      <c r="I63" s="121"/>
      <c r="J63" s="121"/>
      <c r="K63" s="121">
        <v>1</v>
      </c>
      <c r="L63" s="121">
        <v>1.5</v>
      </c>
      <c r="M63" s="121">
        <v>1.5</v>
      </c>
      <c r="N63" s="121">
        <v>1.5</v>
      </c>
      <c r="O63" s="121"/>
      <c r="P63" s="121"/>
      <c r="Q63" s="121">
        <v>1.5</v>
      </c>
      <c r="R63" s="121">
        <v>1.5</v>
      </c>
      <c r="S63" s="121">
        <v>1.5</v>
      </c>
      <c r="T63" s="121">
        <v>1.5</v>
      </c>
      <c r="U63" s="121">
        <v>1.5</v>
      </c>
      <c r="V63" s="121"/>
      <c r="W63" s="121"/>
      <c r="X63" s="121"/>
      <c r="Y63" s="121"/>
      <c r="Z63" s="121"/>
      <c r="AA63" s="121">
        <v>1</v>
      </c>
      <c r="AB63" s="121"/>
      <c r="AC63" s="121"/>
      <c r="AD63" s="121"/>
      <c r="AE63" s="121">
        <v>1.5</v>
      </c>
      <c r="AF63" s="121">
        <v>1.5</v>
      </c>
      <c r="AG63" s="121">
        <v>1.5</v>
      </c>
      <c r="AH63" s="121">
        <v>1.5</v>
      </c>
      <c r="AI63" s="121">
        <v>1.5</v>
      </c>
      <c r="AJ63" s="121">
        <v>1</v>
      </c>
      <c r="AK63" s="121"/>
      <c r="AL63" s="121"/>
      <c r="AM63" s="121"/>
      <c r="AN63" s="122">
        <f t="shared" si="4"/>
        <v>22.5</v>
      </c>
      <c r="AO63" s="118">
        <v>150000</v>
      </c>
      <c r="AP63" s="123">
        <f t="shared" si="5"/>
        <v>3375000</v>
      </c>
    </row>
    <row r="64" spans="1:42" ht="24.9" customHeight="1" x14ac:dyDescent="0.4">
      <c r="A64" s="115">
        <v>59</v>
      </c>
      <c r="B64" s="116" t="s">
        <v>706</v>
      </c>
      <c r="C64" s="117" t="s">
        <v>707</v>
      </c>
      <c r="D64" s="127" t="s">
        <v>322</v>
      </c>
      <c r="E64" s="117" t="s">
        <v>708</v>
      </c>
      <c r="F64" s="126" t="s">
        <v>329</v>
      </c>
      <c r="G64" s="119" t="s">
        <v>706</v>
      </c>
      <c r="H64" s="120" t="s">
        <v>709</v>
      </c>
      <c r="I64" s="121"/>
      <c r="J64" s="121">
        <v>1.5</v>
      </c>
      <c r="K64" s="121">
        <v>1</v>
      </c>
      <c r="L64" s="121">
        <v>1.5</v>
      </c>
      <c r="M64" s="121">
        <v>1.5</v>
      </c>
      <c r="N64" s="121">
        <v>1.5</v>
      </c>
      <c r="O64" s="121"/>
      <c r="P64" s="121"/>
      <c r="Q64" s="121">
        <v>1.5</v>
      </c>
      <c r="R64" s="121">
        <v>1.5</v>
      </c>
      <c r="S64" s="121">
        <v>1.5</v>
      </c>
      <c r="T64" s="121">
        <v>1.5</v>
      </c>
      <c r="U64" s="121">
        <v>1.5</v>
      </c>
      <c r="V64" s="121">
        <v>1</v>
      </c>
      <c r="W64" s="121"/>
      <c r="X64" s="121"/>
      <c r="Y64" s="121"/>
      <c r="Z64" s="121"/>
      <c r="AA64" s="121">
        <v>1</v>
      </c>
      <c r="AB64" s="121">
        <v>1.5</v>
      </c>
      <c r="AC64" s="121"/>
      <c r="AD64" s="121"/>
      <c r="AE64" s="121">
        <v>1.5</v>
      </c>
      <c r="AF64" s="121">
        <v>1.5</v>
      </c>
      <c r="AG64" s="121">
        <v>1.5</v>
      </c>
      <c r="AH64" s="121">
        <v>1.5</v>
      </c>
      <c r="AI64" s="121">
        <v>1.5</v>
      </c>
      <c r="AJ64" s="121">
        <v>1</v>
      </c>
      <c r="AK64" s="121"/>
      <c r="AL64" s="121"/>
      <c r="AM64" s="121"/>
      <c r="AN64" s="122">
        <f t="shared" si="4"/>
        <v>26.5</v>
      </c>
      <c r="AO64" s="118">
        <v>190000</v>
      </c>
      <c r="AP64" s="123">
        <f t="shared" si="5"/>
        <v>5035000</v>
      </c>
    </row>
    <row r="65" spans="1:42" ht="24.9" customHeight="1" x14ac:dyDescent="0.4">
      <c r="A65" s="124">
        <v>60</v>
      </c>
      <c r="B65" s="116" t="s">
        <v>418</v>
      </c>
      <c r="C65" s="117" t="s">
        <v>419</v>
      </c>
      <c r="D65" s="127" t="s">
        <v>322</v>
      </c>
      <c r="E65" s="117" t="s">
        <v>420</v>
      </c>
      <c r="F65" s="126" t="s">
        <v>368</v>
      </c>
      <c r="G65" s="119" t="s">
        <v>418</v>
      </c>
      <c r="H65" s="120" t="s">
        <v>421</v>
      </c>
      <c r="I65" s="121"/>
      <c r="J65" s="121">
        <v>2</v>
      </c>
      <c r="K65" s="121">
        <v>2</v>
      </c>
      <c r="L65" s="121">
        <v>2</v>
      </c>
      <c r="M65" s="121">
        <v>2</v>
      </c>
      <c r="N65" s="121">
        <v>2</v>
      </c>
      <c r="O65" s="121"/>
      <c r="P65" s="121"/>
      <c r="Q65" s="121">
        <v>2</v>
      </c>
      <c r="R65" s="121">
        <v>2</v>
      </c>
      <c r="S65" s="121">
        <v>2</v>
      </c>
      <c r="T65" s="121">
        <v>2</v>
      </c>
      <c r="U65" s="121">
        <v>2</v>
      </c>
      <c r="V65" s="121"/>
      <c r="W65" s="121"/>
      <c r="X65" s="121"/>
      <c r="Y65" s="121"/>
      <c r="Z65" s="121"/>
      <c r="AA65" s="121">
        <v>2</v>
      </c>
      <c r="AB65" s="121">
        <v>2</v>
      </c>
      <c r="AC65" s="121"/>
      <c r="AD65" s="121"/>
      <c r="AE65" s="121">
        <v>2</v>
      </c>
      <c r="AF65" s="121">
        <v>2</v>
      </c>
      <c r="AG65" s="121">
        <v>2</v>
      </c>
      <c r="AH65" s="121">
        <v>2</v>
      </c>
      <c r="AI65" s="121">
        <v>2</v>
      </c>
      <c r="AJ65" s="121"/>
      <c r="AK65" s="121"/>
      <c r="AL65" s="121"/>
      <c r="AM65" s="121"/>
      <c r="AN65" s="122">
        <f t="shared" si="4"/>
        <v>34</v>
      </c>
      <c r="AO65" s="118">
        <v>150000</v>
      </c>
      <c r="AP65" s="123">
        <f t="shared" si="5"/>
        <v>5100000</v>
      </c>
    </row>
    <row r="66" spans="1:42" ht="24.9" customHeight="1" x14ac:dyDescent="0.4">
      <c r="A66" s="115">
        <v>61</v>
      </c>
      <c r="B66" s="116" t="s">
        <v>649</v>
      </c>
      <c r="C66" s="117" t="s">
        <v>650</v>
      </c>
      <c r="D66" s="125" t="s">
        <v>322</v>
      </c>
      <c r="E66" s="117" t="s">
        <v>651</v>
      </c>
      <c r="F66" s="126" t="s">
        <v>425</v>
      </c>
      <c r="G66" s="119" t="s">
        <v>649</v>
      </c>
      <c r="H66" s="120" t="s">
        <v>652</v>
      </c>
      <c r="I66" s="121"/>
      <c r="J66" s="121"/>
      <c r="K66" s="121">
        <v>1.5</v>
      </c>
      <c r="L66" s="121">
        <v>1.5</v>
      </c>
      <c r="M66" s="121">
        <v>1.5</v>
      </c>
      <c r="N66" s="121">
        <v>1.5</v>
      </c>
      <c r="O66" s="121">
        <v>1</v>
      </c>
      <c r="P66" s="121"/>
      <c r="Q66" s="121">
        <v>1.5</v>
      </c>
      <c r="R66" s="121"/>
      <c r="S66" s="121">
        <v>1.5</v>
      </c>
      <c r="T66" s="121"/>
      <c r="U66" s="121"/>
      <c r="V66" s="121"/>
      <c r="W66" s="121"/>
      <c r="X66" s="121"/>
      <c r="Y66" s="121"/>
      <c r="Z66" s="121"/>
      <c r="AA66" s="121">
        <v>1</v>
      </c>
      <c r="AB66" s="121">
        <v>1.5</v>
      </c>
      <c r="AC66" s="121"/>
      <c r="AD66" s="121"/>
      <c r="AE66" s="121">
        <v>1.5</v>
      </c>
      <c r="AF66" s="121">
        <v>1.5</v>
      </c>
      <c r="AG66" s="121">
        <v>1.5</v>
      </c>
      <c r="AH66" s="121">
        <v>1.5</v>
      </c>
      <c r="AI66" s="121">
        <v>1.25</v>
      </c>
      <c r="AJ66" s="121"/>
      <c r="AK66" s="121"/>
      <c r="AL66" s="121"/>
      <c r="AM66" s="121"/>
      <c r="AN66" s="122">
        <f t="shared" si="4"/>
        <v>19.75</v>
      </c>
      <c r="AO66" s="118">
        <v>150000</v>
      </c>
      <c r="AP66" s="123">
        <f t="shared" si="5"/>
        <v>2962500</v>
      </c>
    </row>
    <row r="67" spans="1:42" ht="24.9" customHeight="1" x14ac:dyDescent="0.4">
      <c r="A67" s="124">
        <v>62</v>
      </c>
      <c r="B67" s="116" t="s">
        <v>538</v>
      </c>
      <c r="C67" s="117" t="s">
        <v>539</v>
      </c>
      <c r="D67" s="125" t="s">
        <v>322</v>
      </c>
      <c r="E67" s="117" t="s">
        <v>540</v>
      </c>
      <c r="F67" s="126" t="s">
        <v>368</v>
      </c>
      <c r="G67" s="119" t="s">
        <v>538</v>
      </c>
      <c r="H67" s="120" t="s">
        <v>541</v>
      </c>
      <c r="I67" s="121"/>
      <c r="J67" s="121">
        <v>1.5</v>
      </c>
      <c r="K67" s="121">
        <v>1</v>
      </c>
      <c r="L67" s="121">
        <v>1.5</v>
      </c>
      <c r="M67" s="121">
        <v>1.5</v>
      </c>
      <c r="N67" s="121">
        <v>1.5</v>
      </c>
      <c r="O67" s="121"/>
      <c r="P67" s="121"/>
      <c r="Q67" s="121">
        <v>1.25</v>
      </c>
      <c r="R67" s="121">
        <v>1.5</v>
      </c>
      <c r="S67" s="121">
        <v>1.5</v>
      </c>
      <c r="T67" s="121">
        <v>1.5</v>
      </c>
      <c r="U67" s="121"/>
      <c r="V67" s="121"/>
      <c r="W67" s="121"/>
      <c r="X67" s="121"/>
      <c r="Y67" s="121"/>
      <c r="Z67" s="121"/>
      <c r="AA67" s="121">
        <v>1</v>
      </c>
      <c r="AB67" s="121">
        <v>1.5</v>
      </c>
      <c r="AC67" s="121"/>
      <c r="AD67" s="121"/>
      <c r="AE67" s="121">
        <v>1.5</v>
      </c>
      <c r="AF67" s="121">
        <v>1.5</v>
      </c>
      <c r="AG67" s="121">
        <v>1.5</v>
      </c>
      <c r="AH67" s="121">
        <v>1.5</v>
      </c>
      <c r="AI67" s="121">
        <v>1.5</v>
      </c>
      <c r="AJ67" s="121"/>
      <c r="AK67" s="121"/>
      <c r="AL67" s="121"/>
      <c r="AM67" s="121"/>
      <c r="AN67" s="122">
        <f t="shared" si="4"/>
        <v>22.75</v>
      </c>
      <c r="AO67" s="118">
        <v>160000</v>
      </c>
      <c r="AP67" s="123">
        <f t="shared" si="5"/>
        <v>3640000</v>
      </c>
    </row>
    <row r="68" spans="1:42" ht="24.9" customHeight="1" x14ac:dyDescent="0.4">
      <c r="A68" s="115">
        <v>63</v>
      </c>
      <c r="B68" s="116" t="s">
        <v>534</v>
      </c>
      <c r="C68" s="117" t="s">
        <v>535</v>
      </c>
      <c r="D68" s="127" t="s">
        <v>322</v>
      </c>
      <c r="E68" s="117" t="s">
        <v>536</v>
      </c>
      <c r="F68" s="126" t="s">
        <v>425</v>
      </c>
      <c r="G68" s="119" t="s">
        <v>534</v>
      </c>
      <c r="H68" s="120" t="s">
        <v>537</v>
      </c>
      <c r="I68" s="121"/>
      <c r="J68" s="121">
        <v>1.5</v>
      </c>
      <c r="K68" s="121">
        <v>1.5</v>
      </c>
      <c r="L68" s="121"/>
      <c r="M68" s="121">
        <v>1.5</v>
      </c>
      <c r="N68" s="121">
        <v>1.5</v>
      </c>
      <c r="O68" s="121"/>
      <c r="P68" s="121"/>
      <c r="Q68" s="121">
        <v>1.25</v>
      </c>
      <c r="R68" s="121">
        <v>1.5</v>
      </c>
      <c r="S68" s="121">
        <v>1.5</v>
      </c>
      <c r="T68" s="121">
        <v>1.5</v>
      </c>
      <c r="U68" s="121"/>
      <c r="V68" s="121"/>
      <c r="W68" s="121"/>
      <c r="X68" s="121"/>
      <c r="Y68" s="121"/>
      <c r="Z68" s="121"/>
      <c r="AA68" s="121">
        <v>1</v>
      </c>
      <c r="AB68" s="121">
        <v>1.5</v>
      </c>
      <c r="AC68" s="121"/>
      <c r="AD68" s="121"/>
      <c r="AE68" s="121">
        <v>1.5</v>
      </c>
      <c r="AF68" s="121">
        <v>1.5</v>
      </c>
      <c r="AG68" s="121">
        <v>1.5</v>
      </c>
      <c r="AH68" s="121">
        <v>1.5</v>
      </c>
      <c r="AI68" s="121">
        <v>1.5</v>
      </c>
      <c r="AJ68" s="121"/>
      <c r="AK68" s="121"/>
      <c r="AL68" s="121"/>
      <c r="AM68" s="121"/>
      <c r="AN68" s="122">
        <f t="shared" si="4"/>
        <v>21.75</v>
      </c>
      <c r="AO68" s="118">
        <v>170000</v>
      </c>
      <c r="AP68" s="123">
        <f t="shared" si="5"/>
        <v>3697500</v>
      </c>
    </row>
    <row r="69" spans="1:42" ht="24.9" customHeight="1" x14ac:dyDescent="0.4">
      <c r="A69" s="124">
        <v>64</v>
      </c>
      <c r="B69" s="116" t="s">
        <v>422</v>
      </c>
      <c r="C69" s="117" t="s">
        <v>423</v>
      </c>
      <c r="D69" s="125" t="s">
        <v>322</v>
      </c>
      <c r="E69" s="117" t="s">
        <v>424</v>
      </c>
      <c r="F69" s="126" t="s">
        <v>425</v>
      </c>
      <c r="G69" s="119" t="s">
        <v>422</v>
      </c>
      <c r="H69" s="120" t="s">
        <v>426</v>
      </c>
      <c r="I69" s="121"/>
      <c r="J69" s="121">
        <v>2</v>
      </c>
      <c r="K69" s="121">
        <v>2</v>
      </c>
      <c r="L69" s="121">
        <v>2</v>
      </c>
      <c r="M69" s="121">
        <v>2</v>
      </c>
      <c r="N69" s="121"/>
      <c r="O69" s="121"/>
      <c r="P69" s="121"/>
      <c r="Q69" s="121">
        <v>2</v>
      </c>
      <c r="R69" s="121">
        <v>1</v>
      </c>
      <c r="S69" s="121"/>
      <c r="T69" s="121">
        <v>2</v>
      </c>
      <c r="U69" s="121">
        <v>2</v>
      </c>
      <c r="V69" s="121"/>
      <c r="W69" s="121"/>
      <c r="X69" s="121"/>
      <c r="Y69" s="121"/>
      <c r="Z69" s="121"/>
      <c r="AA69" s="121">
        <v>2</v>
      </c>
      <c r="AB69" s="121">
        <v>2</v>
      </c>
      <c r="AC69" s="121"/>
      <c r="AD69" s="121"/>
      <c r="AE69" s="121">
        <v>2</v>
      </c>
      <c r="AF69" s="121">
        <v>2</v>
      </c>
      <c r="AG69" s="121">
        <v>1.75</v>
      </c>
      <c r="AH69" s="121">
        <v>2</v>
      </c>
      <c r="AI69" s="121">
        <v>2</v>
      </c>
      <c r="AJ69" s="121"/>
      <c r="AK69" s="121"/>
      <c r="AL69" s="121"/>
      <c r="AM69" s="121"/>
      <c r="AN69" s="122">
        <f t="shared" si="4"/>
        <v>28.75</v>
      </c>
      <c r="AO69" s="118">
        <v>150000</v>
      </c>
      <c r="AP69" s="123">
        <f t="shared" si="5"/>
        <v>4312500</v>
      </c>
    </row>
    <row r="70" spans="1:42" ht="24.9" customHeight="1" x14ac:dyDescent="0.4">
      <c r="A70" s="115">
        <v>65</v>
      </c>
      <c r="B70" s="116" t="s">
        <v>499</v>
      </c>
      <c r="C70" s="117" t="s">
        <v>500</v>
      </c>
      <c r="D70" s="127" t="s">
        <v>322</v>
      </c>
      <c r="E70" s="117" t="s">
        <v>501</v>
      </c>
      <c r="F70" s="126" t="s">
        <v>318</v>
      </c>
      <c r="G70" s="119" t="s">
        <v>499</v>
      </c>
      <c r="H70" s="120" t="s">
        <v>502</v>
      </c>
      <c r="I70" s="121"/>
      <c r="J70" s="121">
        <v>1.5</v>
      </c>
      <c r="K70" s="121">
        <v>1.5</v>
      </c>
      <c r="L70" s="121">
        <v>1.5</v>
      </c>
      <c r="M70" s="121">
        <v>1.5</v>
      </c>
      <c r="N70" s="121">
        <v>1.5</v>
      </c>
      <c r="O70" s="121">
        <v>1</v>
      </c>
      <c r="P70" s="121"/>
      <c r="Q70" s="121">
        <v>1.5</v>
      </c>
      <c r="R70" s="121">
        <v>1.5</v>
      </c>
      <c r="S70" s="121">
        <v>1.5</v>
      </c>
      <c r="T70" s="121">
        <v>1.5</v>
      </c>
      <c r="U70" s="121">
        <v>1.5</v>
      </c>
      <c r="V70" s="121">
        <v>1</v>
      </c>
      <c r="W70" s="121"/>
      <c r="X70" s="121"/>
      <c r="Y70" s="121"/>
      <c r="Z70" s="121"/>
      <c r="AA70" s="121">
        <v>1</v>
      </c>
      <c r="AB70" s="121">
        <v>1.5</v>
      </c>
      <c r="AC70" s="121"/>
      <c r="AD70" s="121"/>
      <c r="AE70" s="121">
        <v>1.5</v>
      </c>
      <c r="AF70" s="121">
        <v>1.5</v>
      </c>
      <c r="AG70" s="121">
        <v>1.5</v>
      </c>
      <c r="AH70" s="121">
        <v>1.5</v>
      </c>
      <c r="AI70" s="121">
        <v>1.5</v>
      </c>
      <c r="AJ70" s="121">
        <v>1</v>
      </c>
      <c r="AK70" s="121"/>
      <c r="AL70" s="121"/>
      <c r="AM70" s="121"/>
      <c r="AN70" s="122">
        <f t="shared" si="4"/>
        <v>28</v>
      </c>
      <c r="AO70" s="118">
        <v>160000</v>
      </c>
      <c r="AP70" s="123">
        <f t="shared" si="5"/>
        <v>4480000</v>
      </c>
    </row>
    <row r="71" spans="1:42" ht="24.9" customHeight="1" x14ac:dyDescent="0.4">
      <c r="A71" s="124">
        <v>66</v>
      </c>
      <c r="B71" s="116" t="s">
        <v>599</v>
      </c>
      <c r="C71" s="117" t="s">
        <v>600</v>
      </c>
      <c r="D71" s="127" t="s">
        <v>322</v>
      </c>
      <c r="E71" s="117" t="s">
        <v>601</v>
      </c>
      <c r="F71" s="126" t="s">
        <v>368</v>
      </c>
      <c r="G71" s="119" t="s">
        <v>599</v>
      </c>
      <c r="H71" s="120" t="s">
        <v>602</v>
      </c>
      <c r="I71" s="121"/>
      <c r="J71" s="121">
        <v>2</v>
      </c>
      <c r="K71" s="121">
        <v>2</v>
      </c>
      <c r="L71" s="121">
        <v>2</v>
      </c>
      <c r="M71" s="121">
        <v>2</v>
      </c>
      <c r="N71" s="121">
        <v>2</v>
      </c>
      <c r="O71" s="121"/>
      <c r="P71" s="121"/>
      <c r="Q71" s="121">
        <v>1.75</v>
      </c>
      <c r="R71" s="121">
        <v>2</v>
      </c>
      <c r="S71" s="121">
        <v>2</v>
      </c>
      <c r="T71" s="121"/>
      <c r="U71" s="121">
        <v>2</v>
      </c>
      <c r="V71" s="121"/>
      <c r="W71" s="121"/>
      <c r="X71" s="121"/>
      <c r="Y71" s="121"/>
      <c r="Z71" s="121"/>
      <c r="AA71" s="121">
        <v>2</v>
      </c>
      <c r="AB71" s="121">
        <v>2</v>
      </c>
      <c r="AC71" s="121"/>
      <c r="AD71" s="121"/>
      <c r="AE71" s="121">
        <v>2</v>
      </c>
      <c r="AF71" s="121">
        <v>2</v>
      </c>
      <c r="AG71" s="121">
        <v>2</v>
      </c>
      <c r="AH71" s="121">
        <v>2</v>
      </c>
      <c r="AI71" s="121">
        <v>2</v>
      </c>
      <c r="AJ71" s="121"/>
      <c r="AK71" s="121"/>
      <c r="AL71" s="121"/>
      <c r="AM71" s="121"/>
      <c r="AN71" s="122">
        <f t="shared" si="4"/>
        <v>31.75</v>
      </c>
      <c r="AO71" s="118">
        <v>150000</v>
      </c>
      <c r="AP71" s="123">
        <f t="shared" si="5"/>
        <v>4762500</v>
      </c>
    </row>
    <row r="72" spans="1:42" ht="24.9" customHeight="1" x14ac:dyDescent="0.4">
      <c r="A72" s="115">
        <v>67</v>
      </c>
      <c r="B72" s="116" t="s">
        <v>637</v>
      </c>
      <c r="C72" s="117" t="s">
        <v>638</v>
      </c>
      <c r="D72" s="127" t="s">
        <v>322</v>
      </c>
      <c r="E72" s="117" t="s">
        <v>639</v>
      </c>
      <c r="F72" s="126" t="s">
        <v>347</v>
      </c>
      <c r="G72" s="119" t="s">
        <v>637</v>
      </c>
      <c r="H72" s="120" t="s">
        <v>640</v>
      </c>
      <c r="I72" s="121"/>
      <c r="J72" s="121"/>
      <c r="K72" s="121">
        <v>1</v>
      </c>
      <c r="L72" s="121">
        <v>1.5</v>
      </c>
      <c r="M72" s="121">
        <v>1.5</v>
      </c>
      <c r="N72" s="121">
        <v>1.5</v>
      </c>
      <c r="O72" s="121"/>
      <c r="P72" s="121"/>
      <c r="Q72" s="121">
        <v>1.5</v>
      </c>
      <c r="R72" s="121">
        <v>1.5</v>
      </c>
      <c r="S72" s="121">
        <v>1.5</v>
      </c>
      <c r="T72" s="121">
        <v>1.5</v>
      </c>
      <c r="U72" s="121">
        <v>1.5</v>
      </c>
      <c r="V72" s="121"/>
      <c r="W72" s="121"/>
      <c r="X72" s="121"/>
      <c r="Y72" s="121"/>
      <c r="Z72" s="121"/>
      <c r="AA72" s="121">
        <v>1</v>
      </c>
      <c r="AB72" s="121">
        <v>1.5</v>
      </c>
      <c r="AC72" s="121"/>
      <c r="AD72" s="121"/>
      <c r="AE72" s="121">
        <v>1.5</v>
      </c>
      <c r="AF72" s="121">
        <v>1.5</v>
      </c>
      <c r="AG72" s="121">
        <v>1.5</v>
      </c>
      <c r="AH72" s="121">
        <v>1.5</v>
      </c>
      <c r="AI72" s="121">
        <v>1.5</v>
      </c>
      <c r="AJ72" s="121">
        <v>1</v>
      </c>
      <c r="AK72" s="121"/>
      <c r="AL72" s="121"/>
      <c r="AM72" s="121"/>
      <c r="AN72" s="122">
        <f t="shared" si="4"/>
        <v>24</v>
      </c>
      <c r="AO72" s="118">
        <v>150000</v>
      </c>
      <c r="AP72" s="123">
        <f t="shared" si="5"/>
        <v>3600000</v>
      </c>
    </row>
    <row r="73" spans="1:42" ht="24.9" customHeight="1" x14ac:dyDescent="0.4">
      <c r="A73" s="124">
        <v>68</v>
      </c>
      <c r="B73" s="116" t="s">
        <v>518</v>
      </c>
      <c r="C73" s="117" t="s">
        <v>519</v>
      </c>
      <c r="D73" s="125" t="s">
        <v>322</v>
      </c>
      <c r="E73" s="117" t="s">
        <v>520</v>
      </c>
      <c r="F73" s="126" t="s">
        <v>329</v>
      </c>
      <c r="G73" s="119" t="s">
        <v>518</v>
      </c>
      <c r="H73" s="120" t="s">
        <v>521</v>
      </c>
      <c r="I73" s="121"/>
      <c r="J73" s="121">
        <v>1.5</v>
      </c>
      <c r="K73" s="121">
        <v>1</v>
      </c>
      <c r="L73" s="121">
        <v>1.5</v>
      </c>
      <c r="M73" s="121">
        <v>1.5</v>
      </c>
      <c r="N73" s="121">
        <v>1.5</v>
      </c>
      <c r="O73" s="121"/>
      <c r="P73" s="121"/>
      <c r="Q73" s="121">
        <v>1.5</v>
      </c>
      <c r="R73" s="121">
        <v>1.5</v>
      </c>
      <c r="S73" s="121">
        <v>1.5</v>
      </c>
      <c r="T73" s="121">
        <v>1.5</v>
      </c>
      <c r="U73" s="121">
        <v>1.5</v>
      </c>
      <c r="V73" s="121"/>
      <c r="W73" s="121"/>
      <c r="X73" s="121"/>
      <c r="Y73" s="121"/>
      <c r="Z73" s="121"/>
      <c r="AA73" s="121">
        <v>1</v>
      </c>
      <c r="AB73" s="121">
        <v>1.5</v>
      </c>
      <c r="AC73" s="121"/>
      <c r="AD73" s="121"/>
      <c r="AE73" s="121">
        <v>1.5</v>
      </c>
      <c r="AF73" s="121">
        <v>1.5</v>
      </c>
      <c r="AG73" s="121">
        <v>1.5</v>
      </c>
      <c r="AH73" s="121">
        <v>1.5</v>
      </c>
      <c r="AI73" s="121">
        <v>1.5</v>
      </c>
      <c r="AJ73" s="121">
        <v>1</v>
      </c>
      <c r="AK73" s="121"/>
      <c r="AL73" s="121"/>
      <c r="AM73" s="121"/>
      <c r="AN73" s="122">
        <f t="shared" si="4"/>
        <v>25.5</v>
      </c>
      <c r="AO73" s="118">
        <v>150000</v>
      </c>
      <c r="AP73" s="123">
        <f t="shared" si="5"/>
        <v>3825000</v>
      </c>
    </row>
    <row r="74" spans="1:42" ht="24.9" customHeight="1" x14ac:dyDescent="0.4">
      <c r="A74" s="115">
        <v>69</v>
      </c>
      <c r="B74" s="116" t="s">
        <v>764</v>
      </c>
      <c r="C74" s="117" t="s">
        <v>765</v>
      </c>
      <c r="D74" s="125" t="s">
        <v>310</v>
      </c>
      <c r="E74" s="117" t="s">
        <v>766</v>
      </c>
      <c r="F74" s="126" t="s">
        <v>618</v>
      </c>
      <c r="G74" s="119" t="s">
        <v>764</v>
      </c>
      <c r="H74" s="120" t="s">
        <v>767</v>
      </c>
      <c r="I74" s="121"/>
      <c r="J74" s="121">
        <v>0.625</v>
      </c>
      <c r="K74" s="121"/>
      <c r="L74" s="121">
        <v>0.5</v>
      </c>
      <c r="M74" s="121">
        <v>1.5</v>
      </c>
      <c r="N74" s="121">
        <v>1.5</v>
      </c>
      <c r="O74" s="121">
        <v>1</v>
      </c>
      <c r="P74" s="121"/>
      <c r="Q74" s="121">
        <v>1.5</v>
      </c>
      <c r="R74" s="121">
        <v>1.5</v>
      </c>
      <c r="S74" s="121">
        <v>1.5</v>
      </c>
      <c r="T74" s="121">
        <v>1</v>
      </c>
      <c r="U74" s="121">
        <v>1.5</v>
      </c>
      <c r="V74" s="121">
        <v>1</v>
      </c>
      <c r="W74" s="121"/>
      <c r="X74" s="121"/>
      <c r="Y74" s="121"/>
      <c r="Z74" s="121"/>
      <c r="AA74" s="121">
        <v>1</v>
      </c>
      <c r="AB74" s="121">
        <v>1.5</v>
      </c>
      <c r="AC74" s="121"/>
      <c r="AD74" s="121"/>
      <c r="AE74" s="121">
        <v>1.5</v>
      </c>
      <c r="AF74" s="121">
        <v>1.5</v>
      </c>
      <c r="AG74" s="121">
        <v>1.5</v>
      </c>
      <c r="AH74" s="121">
        <v>1.5</v>
      </c>
      <c r="AI74" s="121">
        <v>1.5</v>
      </c>
      <c r="AJ74" s="121">
        <v>0.5</v>
      </c>
      <c r="AK74" s="121"/>
      <c r="AL74" s="121"/>
      <c r="AM74" s="121"/>
      <c r="AN74" s="122">
        <f t="shared" si="4"/>
        <v>23.625</v>
      </c>
      <c r="AO74" s="118">
        <v>230000</v>
      </c>
      <c r="AP74" s="123">
        <f t="shared" si="5"/>
        <v>5433750</v>
      </c>
    </row>
    <row r="75" spans="1:42" ht="24.9" customHeight="1" x14ac:dyDescent="0.4">
      <c r="A75" s="124">
        <v>70</v>
      </c>
      <c r="B75" s="116" t="s">
        <v>768</v>
      </c>
      <c r="C75" s="117" t="s">
        <v>769</v>
      </c>
      <c r="D75" s="127" t="s">
        <v>322</v>
      </c>
      <c r="E75" s="117" t="s">
        <v>770</v>
      </c>
      <c r="F75" s="126" t="s">
        <v>356</v>
      </c>
      <c r="G75" s="119" t="s">
        <v>768</v>
      </c>
      <c r="H75" s="120" t="s">
        <v>771</v>
      </c>
      <c r="I75" s="121"/>
      <c r="J75" s="121"/>
      <c r="K75" s="121"/>
      <c r="L75" s="121"/>
      <c r="M75" s="121"/>
      <c r="N75" s="121"/>
      <c r="O75" s="121"/>
      <c r="P75" s="121"/>
      <c r="Q75" s="121">
        <v>0.75</v>
      </c>
      <c r="R75" s="121"/>
      <c r="S75" s="121">
        <v>1</v>
      </c>
      <c r="T75" s="121">
        <v>1.5</v>
      </c>
      <c r="U75" s="121">
        <v>1.5</v>
      </c>
      <c r="V75" s="121"/>
      <c r="W75" s="121"/>
      <c r="X75" s="121"/>
      <c r="Y75" s="121"/>
      <c r="Z75" s="121"/>
      <c r="AA75" s="121">
        <v>1</v>
      </c>
      <c r="AB75" s="121">
        <v>1.5</v>
      </c>
      <c r="AC75" s="121"/>
      <c r="AD75" s="121"/>
      <c r="AE75" s="121">
        <v>1.5</v>
      </c>
      <c r="AF75" s="121">
        <v>1.5</v>
      </c>
      <c r="AG75" s="121">
        <v>1.5</v>
      </c>
      <c r="AH75" s="121">
        <v>1.5</v>
      </c>
      <c r="AI75" s="121">
        <v>1.5</v>
      </c>
      <c r="AJ75" s="121">
        <v>1</v>
      </c>
      <c r="AK75" s="121"/>
      <c r="AL75" s="121"/>
      <c r="AM75" s="121"/>
      <c r="AN75" s="122">
        <f t="shared" si="4"/>
        <v>15.75</v>
      </c>
      <c r="AO75" s="118">
        <v>150000</v>
      </c>
      <c r="AP75" s="123">
        <f t="shared" si="5"/>
        <v>2362500</v>
      </c>
    </row>
    <row r="76" spans="1:42" ht="24.9" customHeight="1" x14ac:dyDescent="0.4">
      <c r="A76" s="115">
        <v>71</v>
      </c>
      <c r="B76" s="116" t="s">
        <v>772</v>
      </c>
      <c r="C76" s="117" t="s">
        <v>773</v>
      </c>
      <c r="D76" s="125" t="s">
        <v>322</v>
      </c>
      <c r="E76" s="117" t="s">
        <v>774</v>
      </c>
      <c r="F76" s="126" t="s">
        <v>347</v>
      </c>
      <c r="G76" s="119" t="s">
        <v>772</v>
      </c>
      <c r="H76" s="120" t="s">
        <v>775</v>
      </c>
      <c r="I76" s="121"/>
      <c r="J76" s="121"/>
      <c r="K76" s="121"/>
      <c r="L76" s="121"/>
      <c r="M76" s="121"/>
      <c r="N76" s="121"/>
      <c r="O76" s="121"/>
      <c r="P76" s="121"/>
      <c r="Q76" s="121">
        <v>0.75</v>
      </c>
      <c r="R76" s="121"/>
      <c r="S76" s="121">
        <v>1</v>
      </c>
      <c r="T76" s="121">
        <v>1.5</v>
      </c>
      <c r="U76" s="121"/>
      <c r="V76" s="121"/>
      <c r="W76" s="121"/>
      <c r="X76" s="121"/>
      <c r="Y76" s="121"/>
      <c r="Z76" s="121"/>
      <c r="AA76" s="121">
        <v>1</v>
      </c>
      <c r="AB76" s="121">
        <v>1.5</v>
      </c>
      <c r="AC76" s="121"/>
      <c r="AD76" s="121"/>
      <c r="AE76" s="121">
        <v>0.125</v>
      </c>
      <c r="AF76" s="121"/>
      <c r="AG76" s="121">
        <v>0.5</v>
      </c>
      <c r="AH76" s="121"/>
      <c r="AI76" s="121"/>
      <c r="AJ76" s="121"/>
      <c r="AK76" s="121"/>
      <c r="AL76" s="121"/>
      <c r="AM76" s="121"/>
      <c r="AN76" s="122">
        <f t="shared" si="4"/>
        <v>6.375</v>
      </c>
      <c r="AO76" s="118">
        <v>180000</v>
      </c>
      <c r="AP76" s="123">
        <f t="shared" si="5"/>
        <v>1147500</v>
      </c>
    </row>
    <row r="77" spans="1:42" ht="24.9" customHeight="1" x14ac:dyDescent="0.4">
      <c r="A77" s="124">
        <v>72</v>
      </c>
      <c r="B77" s="116" t="s">
        <v>567</v>
      </c>
      <c r="C77" s="117" t="s">
        <v>568</v>
      </c>
      <c r="D77" s="127" t="s">
        <v>322</v>
      </c>
      <c r="E77" s="117" t="s">
        <v>569</v>
      </c>
      <c r="F77" s="126" t="s">
        <v>318</v>
      </c>
      <c r="G77" s="119" t="s">
        <v>567</v>
      </c>
      <c r="H77" s="120" t="s">
        <v>570</v>
      </c>
      <c r="I77" s="121"/>
      <c r="J77" s="121">
        <v>1.5</v>
      </c>
      <c r="K77" s="121">
        <v>1.5</v>
      </c>
      <c r="L77" s="121">
        <v>1.5</v>
      </c>
      <c r="M77" s="121">
        <v>1.5</v>
      </c>
      <c r="N77" s="121">
        <v>1.5</v>
      </c>
      <c r="O77" s="121"/>
      <c r="P77" s="121"/>
      <c r="Q77" s="121">
        <v>1.5</v>
      </c>
      <c r="R77" s="121"/>
      <c r="S77" s="121">
        <v>1.5</v>
      </c>
      <c r="T77" s="121">
        <v>1.5</v>
      </c>
      <c r="U77" s="121">
        <v>1.5</v>
      </c>
      <c r="V77" s="121">
        <v>1</v>
      </c>
      <c r="W77" s="121"/>
      <c r="X77" s="121"/>
      <c r="Y77" s="121"/>
      <c r="Z77" s="121"/>
      <c r="AA77" s="121">
        <v>1</v>
      </c>
      <c r="AB77" s="121">
        <v>1.5</v>
      </c>
      <c r="AC77" s="121"/>
      <c r="AD77" s="121"/>
      <c r="AE77" s="121">
        <v>1.5</v>
      </c>
      <c r="AF77" s="121">
        <v>1.5</v>
      </c>
      <c r="AG77" s="121">
        <v>1.5</v>
      </c>
      <c r="AH77" s="121">
        <v>1.5</v>
      </c>
      <c r="AI77" s="121">
        <v>1.5</v>
      </c>
      <c r="AJ77" s="121">
        <v>1</v>
      </c>
      <c r="AK77" s="121"/>
      <c r="AL77" s="121"/>
      <c r="AM77" s="121"/>
      <c r="AN77" s="122">
        <f t="shared" si="4"/>
        <v>25.5</v>
      </c>
      <c r="AO77" s="118">
        <v>160000</v>
      </c>
      <c r="AP77" s="123">
        <f t="shared" si="5"/>
        <v>4080000</v>
      </c>
    </row>
    <row r="78" spans="1:42" ht="24.9" customHeight="1" x14ac:dyDescent="0.4">
      <c r="A78" s="115">
        <v>73</v>
      </c>
      <c r="B78" s="116" t="s">
        <v>427</v>
      </c>
      <c r="C78" s="117" t="s">
        <v>722</v>
      </c>
      <c r="D78" s="127" t="s">
        <v>322</v>
      </c>
      <c r="E78" s="117" t="s">
        <v>428</v>
      </c>
      <c r="F78" s="126" t="s">
        <v>312</v>
      </c>
      <c r="G78" s="119" t="s">
        <v>427</v>
      </c>
      <c r="H78" s="120" t="s">
        <v>429</v>
      </c>
      <c r="I78" s="121"/>
      <c r="J78" s="121">
        <v>2</v>
      </c>
      <c r="K78" s="121">
        <v>2</v>
      </c>
      <c r="L78" s="121">
        <v>2</v>
      </c>
      <c r="M78" s="121">
        <v>2</v>
      </c>
      <c r="N78" s="121">
        <v>2</v>
      </c>
      <c r="O78" s="121"/>
      <c r="P78" s="121"/>
      <c r="Q78" s="121">
        <v>2</v>
      </c>
      <c r="R78" s="121">
        <v>2</v>
      </c>
      <c r="S78" s="121">
        <v>2</v>
      </c>
      <c r="T78" s="121">
        <v>2</v>
      </c>
      <c r="U78" s="121">
        <v>2</v>
      </c>
      <c r="V78" s="121"/>
      <c r="W78" s="121"/>
      <c r="X78" s="121"/>
      <c r="Y78" s="121"/>
      <c r="Z78" s="121"/>
      <c r="AA78" s="121">
        <v>2</v>
      </c>
      <c r="AB78" s="121">
        <v>2</v>
      </c>
      <c r="AC78" s="121"/>
      <c r="AD78" s="121"/>
      <c r="AE78" s="121">
        <v>2</v>
      </c>
      <c r="AF78" s="121">
        <v>2</v>
      </c>
      <c r="AG78" s="121">
        <v>2</v>
      </c>
      <c r="AH78" s="121">
        <v>2</v>
      </c>
      <c r="AI78" s="121">
        <v>2</v>
      </c>
      <c r="AJ78" s="121"/>
      <c r="AK78" s="121"/>
      <c r="AL78" s="121"/>
      <c r="AM78" s="121"/>
      <c r="AN78" s="122">
        <f t="shared" si="4"/>
        <v>34</v>
      </c>
      <c r="AO78" s="118">
        <v>160000</v>
      </c>
      <c r="AP78" s="123">
        <f t="shared" si="5"/>
        <v>5440000</v>
      </c>
    </row>
    <row r="79" spans="1:42" ht="24.9" customHeight="1" x14ac:dyDescent="0.4">
      <c r="A79" s="124">
        <v>74</v>
      </c>
      <c r="B79" s="116" t="s">
        <v>587</v>
      </c>
      <c r="C79" s="117" t="s">
        <v>588</v>
      </c>
      <c r="D79" s="127" t="s">
        <v>322</v>
      </c>
      <c r="E79" s="117" t="s">
        <v>589</v>
      </c>
      <c r="F79" s="126" t="s">
        <v>347</v>
      </c>
      <c r="G79" s="119" t="s">
        <v>587</v>
      </c>
      <c r="H79" s="120" t="s">
        <v>590</v>
      </c>
      <c r="I79" s="121"/>
      <c r="J79" s="121">
        <v>1.5</v>
      </c>
      <c r="K79" s="121">
        <v>1</v>
      </c>
      <c r="L79" s="121">
        <v>1.5</v>
      </c>
      <c r="M79" s="121">
        <v>1.5</v>
      </c>
      <c r="N79" s="121">
        <v>1.5</v>
      </c>
      <c r="O79" s="121">
        <v>1</v>
      </c>
      <c r="P79" s="121"/>
      <c r="Q79" s="121">
        <v>1.5</v>
      </c>
      <c r="R79" s="121">
        <v>1.5</v>
      </c>
      <c r="S79" s="121">
        <v>1.5</v>
      </c>
      <c r="T79" s="121">
        <v>1.5</v>
      </c>
      <c r="U79" s="121">
        <v>1.5</v>
      </c>
      <c r="V79" s="121"/>
      <c r="W79" s="121"/>
      <c r="X79" s="121"/>
      <c r="Y79" s="121"/>
      <c r="Z79" s="121"/>
      <c r="AA79" s="121">
        <v>1</v>
      </c>
      <c r="AB79" s="121">
        <v>1.5</v>
      </c>
      <c r="AC79" s="121"/>
      <c r="AD79" s="121"/>
      <c r="AE79" s="121">
        <v>1.5</v>
      </c>
      <c r="AF79" s="121">
        <v>1.5</v>
      </c>
      <c r="AG79" s="121">
        <v>1.5</v>
      </c>
      <c r="AH79" s="121"/>
      <c r="AI79" s="121"/>
      <c r="AJ79" s="121"/>
      <c r="AK79" s="121"/>
      <c r="AL79" s="121"/>
      <c r="AM79" s="121"/>
      <c r="AN79" s="122">
        <f t="shared" si="4"/>
        <v>22.5</v>
      </c>
      <c r="AO79" s="118">
        <v>170000</v>
      </c>
      <c r="AP79" s="123">
        <f t="shared" si="5"/>
        <v>3825000</v>
      </c>
    </row>
    <row r="80" spans="1:42" ht="24.9" customHeight="1" x14ac:dyDescent="0.4">
      <c r="A80" s="115">
        <v>75</v>
      </c>
      <c r="B80" s="116" t="s">
        <v>551</v>
      </c>
      <c r="C80" s="117" t="s">
        <v>552</v>
      </c>
      <c r="D80" s="125" t="s">
        <v>345</v>
      </c>
      <c r="E80" s="117" t="s">
        <v>553</v>
      </c>
      <c r="F80" s="126" t="s">
        <v>312</v>
      </c>
      <c r="G80" s="119" t="s">
        <v>551</v>
      </c>
      <c r="H80" s="120" t="s">
        <v>554</v>
      </c>
      <c r="I80" s="121"/>
      <c r="J80" s="121">
        <v>1.5</v>
      </c>
      <c r="K80" s="121">
        <v>1.5</v>
      </c>
      <c r="L80" s="121">
        <v>1.5</v>
      </c>
      <c r="M80" s="121">
        <v>1.5</v>
      </c>
      <c r="N80" s="121">
        <v>1.5</v>
      </c>
      <c r="O80" s="121">
        <v>1</v>
      </c>
      <c r="P80" s="121"/>
      <c r="Q80" s="121">
        <v>1.5</v>
      </c>
      <c r="R80" s="121">
        <v>1.5</v>
      </c>
      <c r="S80" s="121">
        <v>1.5</v>
      </c>
      <c r="T80" s="121">
        <v>1.5</v>
      </c>
      <c r="U80" s="121">
        <v>1.5</v>
      </c>
      <c r="V80" s="121"/>
      <c r="W80" s="121"/>
      <c r="X80" s="121"/>
      <c r="Y80" s="121"/>
      <c r="Z80" s="121"/>
      <c r="AA80" s="121">
        <v>1</v>
      </c>
      <c r="AB80" s="121">
        <v>1.5</v>
      </c>
      <c r="AC80" s="121"/>
      <c r="AD80" s="121"/>
      <c r="AE80" s="121">
        <v>1.5</v>
      </c>
      <c r="AF80" s="121">
        <v>1.5</v>
      </c>
      <c r="AG80" s="121">
        <v>1.5</v>
      </c>
      <c r="AH80" s="121">
        <v>1.5</v>
      </c>
      <c r="AI80" s="121">
        <v>1.5</v>
      </c>
      <c r="AJ80" s="121">
        <v>1</v>
      </c>
      <c r="AK80" s="121"/>
      <c r="AL80" s="121"/>
      <c r="AM80" s="121"/>
      <c r="AN80" s="122">
        <f t="shared" si="4"/>
        <v>27</v>
      </c>
      <c r="AO80" s="118">
        <v>230000</v>
      </c>
      <c r="AP80" s="123">
        <f t="shared" si="5"/>
        <v>6210000</v>
      </c>
    </row>
    <row r="81" spans="1:42" ht="24.9" customHeight="1" x14ac:dyDescent="0.4">
      <c r="A81" s="124">
        <v>76</v>
      </c>
      <c r="B81" s="116" t="s">
        <v>776</v>
      </c>
      <c r="C81" s="117" t="s">
        <v>777</v>
      </c>
      <c r="D81" s="125" t="s">
        <v>345</v>
      </c>
      <c r="E81" s="117" t="s">
        <v>778</v>
      </c>
      <c r="F81" s="126" t="s">
        <v>329</v>
      </c>
      <c r="G81" s="119" t="s">
        <v>776</v>
      </c>
      <c r="H81" s="120" t="s">
        <v>779</v>
      </c>
      <c r="I81" s="121"/>
      <c r="J81" s="121"/>
      <c r="K81" s="121"/>
      <c r="L81" s="121"/>
      <c r="M81" s="121"/>
      <c r="N81" s="121"/>
      <c r="O81" s="121"/>
      <c r="P81" s="121"/>
      <c r="Q81" s="121">
        <v>1</v>
      </c>
      <c r="R81" s="121">
        <v>1</v>
      </c>
      <c r="S81" s="121">
        <v>1</v>
      </c>
      <c r="T81" s="121">
        <v>1.5</v>
      </c>
      <c r="U81" s="121">
        <v>1.5</v>
      </c>
      <c r="V81" s="121"/>
      <c r="W81" s="121"/>
      <c r="X81" s="121"/>
      <c r="Y81" s="121"/>
      <c r="Z81" s="121"/>
      <c r="AA81" s="121">
        <v>1</v>
      </c>
      <c r="AB81" s="121">
        <v>1.5</v>
      </c>
      <c r="AC81" s="121"/>
      <c r="AD81" s="121"/>
      <c r="AE81" s="121">
        <v>1.5</v>
      </c>
      <c r="AF81" s="121">
        <v>1.5</v>
      </c>
      <c r="AG81" s="121">
        <v>1.5</v>
      </c>
      <c r="AH81" s="121">
        <v>1.5</v>
      </c>
      <c r="AI81" s="121">
        <v>1.5</v>
      </c>
      <c r="AJ81" s="121">
        <v>1</v>
      </c>
      <c r="AK81" s="121"/>
      <c r="AL81" s="121"/>
      <c r="AM81" s="121"/>
      <c r="AN81" s="122">
        <f t="shared" si="4"/>
        <v>17</v>
      </c>
      <c r="AO81" s="118">
        <v>200000</v>
      </c>
      <c r="AP81" s="123">
        <f t="shared" si="5"/>
        <v>3400000</v>
      </c>
    </row>
    <row r="82" spans="1:42" ht="24.9" customHeight="1" x14ac:dyDescent="0.4">
      <c r="A82" s="115">
        <v>77</v>
      </c>
      <c r="B82" s="116" t="s">
        <v>430</v>
      </c>
      <c r="C82" s="117" t="s">
        <v>431</v>
      </c>
      <c r="D82" s="127" t="s">
        <v>345</v>
      </c>
      <c r="E82" s="117" t="s">
        <v>432</v>
      </c>
      <c r="F82" s="126" t="s">
        <v>312</v>
      </c>
      <c r="G82" s="119" t="s">
        <v>430</v>
      </c>
      <c r="H82" s="120" t="s">
        <v>433</v>
      </c>
      <c r="I82" s="121"/>
      <c r="J82" s="121">
        <v>2</v>
      </c>
      <c r="K82" s="121">
        <v>2</v>
      </c>
      <c r="L82" s="121">
        <v>2</v>
      </c>
      <c r="M82" s="121">
        <v>2</v>
      </c>
      <c r="N82" s="121">
        <v>2</v>
      </c>
      <c r="O82" s="121"/>
      <c r="P82" s="121"/>
      <c r="Q82" s="121">
        <v>2</v>
      </c>
      <c r="R82" s="121">
        <v>2</v>
      </c>
      <c r="S82" s="121">
        <v>2</v>
      </c>
      <c r="T82" s="121">
        <v>2</v>
      </c>
      <c r="U82" s="121">
        <v>2</v>
      </c>
      <c r="V82" s="121"/>
      <c r="W82" s="121"/>
      <c r="X82" s="121"/>
      <c r="Y82" s="121"/>
      <c r="Z82" s="121"/>
      <c r="AA82" s="121">
        <v>2</v>
      </c>
      <c r="AB82" s="121">
        <v>2</v>
      </c>
      <c r="AC82" s="121"/>
      <c r="AD82" s="121"/>
      <c r="AE82" s="121">
        <v>2</v>
      </c>
      <c r="AF82" s="121">
        <v>2</v>
      </c>
      <c r="AG82" s="121">
        <v>2</v>
      </c>
      <c r="AH82" s="121">
        <v>2</v>
      </c>
      <c r="AI82" s="121">
        <v>2</v>
      </c>
      <c r="AJ82" s="121"/>
      <c r="AK82" s="121"/>
      <c r="AL82" s="121"/>
      <c r="AM82" s="121"/>
      <c r="AN82" s="122">
        <f t="shared" si="4"/>
        <v>34</v>
      </c>
      <c r="AO82" s="118">
        <v>230000</v>
      </c>
      <c r="AP82" s="123">
        <f t="shared" si="5"/>
        <v>7820000</v>
      </c>
    </row>
    <row r="83" spans="1:42" ht="24.9" customHeight="1" x14ac:dyDescent="0.4">
      <c r="A83" s="124">
        <v>78</v>
      </c>
      <c r="B83" s="116" t="s">
        <v>579</v>
      </c>
      <c r="C83" s="117" t="s">
        <v>580</v>
      </c>
      <c r="D83" s="125" t="s">
        <v>316</v>
      </c>
      <c r="E83" s="117" t="s">
        <v>581</v>
      </c>
      <c r="F83" s="126" t="s">
        <v>324</v>
      </c>
      <c r="G83" s="119" t="s">
        <v>579</v>
      </c>
      <c r="H83" s="120" t="s">
        <v>582</v>
      </c>
      <c r="I83" s="121"/>
      <c r="J83" s="121">
        <v>1.5</v>
      </c>
      <c r="K83" s="121">
        <v>1</v>
      </c>
      <c r="L83" s="121">
        <v>1.5</v>
      </c>
      <c r="M83" s="121">
        <v>1.5</v>
      </c>
      <c r="N83" s="121">
        <v>1.5</v>
      </c>
      <c r="O83" s="121">
        <v>0.875</v>
      </c>
      <c r="P83" s="121"/>
      <c r="Q83" s="121">
        <v>1.5</v>
      </c>
      <c r="R83" s="121">
        <v>1.5</v>
      </c>
      <c r="S83" s="121">
        <v>1.5</v>
      </c>
      <c r="T83" s="121">
        <v>1.5</v>
      </c>
      <c r="U83" s="121">
        <v>1.5</v>
      </c>
      <c r="V83" s="121"/>
      <c r="W83" s="121"/>
      <c r="X83" s="121"/>
      <c r="Y83" s="121"/>
      <c r="Z83" s="121"/>
      <c r="AA83" s="121">
        <v>1</v>
      </c>
      <c r="AB83" s="121">
        <v>1.5</v>
      </c>
      <c r="AC83" s="121"/>
      <c r="AD83" s="121"/>
      <c r="AE83" s="121">
        <v>1.5</v>
      </c>
      <c r="AF83" s="121">
        <v>1.5</v>
      </c>
      <c r="AG83" s="121">
        <v>1.5</v>
      </c>
      <c r="AH83" s="121">
        <v>1.5</v>
      </c>
      <c r="AI83" s="121">
        <v>1.5</v>
      </c>
      <c r="AJ83" s="121"/>
      <c r="AK83" s="121"/>
      <c r="AL83" s="121"/>
      <c r="AM83" s="121"/>
      <c r="AN83" s="122">
        <f t="shared" si="4"/>
        <v>25.375</v>
      </c>
      <c r="AO83" s="118">
        <v>240000</v>
      </c>
      <c r="AP83" s="123">
        <f t="shared" si="5"/>
        <v>6090000</v>
      </c>
    </row>
    <row r="84" spans="1:42" ht="24.9" customHeight="1" x14ac:dyDescent="0.4">
      <c r="A84" s="115">
        <v>79</v>
      </c>
      <c r="B84" s="116" t="s">
        <v>702</v>
      </c>
      <c r="C84" s="117" t="s">
        <v>703</v>
      </c>
      <c r="D84" s="127" t="s">
        <v>322</v>
      </c>
      <c r="E84" s="117" t="s">
        <v>704</v>
      </c>
      <c r="F84" s="126" t="s">
        <v>368</v>
      </c>
      <c r="G84" s="119" t="s">
        <v>702</v>
      </c>
      <c r="H84" s="120" t="s">
        <v>705</v>
      </c>
      <c r="I84" s="121"/>
      <c r="J84" s="121">
        <v>1.375</v>
      </c>
      <c r="K84" s="121">
        <v>1.5</v>
      </c>
      <c r="L84" s="121">
        <v>1.5</v>
      </c>
      <c r="M84" s="121"/>
      <c r="N84" s="121">
        <v>1.5</v>
      </c>
      <c r="O84" s="121"/>
      <c r="P84" s="121"/>
      <c r="Q84" s="121">
        <v>1.5</v>
      </c>
      <c r="R84" s="121">
        <v>1.5</v>
      </c>
      <c r="S84" s="121">
        <v>1.5</v>
      </c>
      <c r="T84" s="121">
        <v>1.5</v>
      </c>
      <c r="U84" s="121"/>
      <c r="V84" s="121"/>
      <c r="W84" s="121"/>
      <c r="X84" s="121"/>
      <c r="Y84" s="121"/>
      <c r="Z84" s="121"/>
      <c r="AA84" s="121">
        <v>1</v>
      </c>
      <c r="AB84" s="121"/>
      <c r="AC84" s="121"/>
      <c r="AD84" s="121"/>
      <c r="AE84" s="121">
        <v>1.5</v>
      </c>
      <c r="AF84" s="121">
        <v>1.5</v>
      </c>
      <c r="AG84" s="121">
        <v>1.5</v>
      </c>
      <c r="AH84" s="121">
        <v>1.5</v>
      </c>
      <c r="AI84" s="121">
        <v>1.5</v>
      </c>
      <c r="AJ84" s="121"/>
      <c r="AK84" s="121"/>
      <c r="AL84" s="121"/>
      <c r="AM84" s="121"/>
      <c r="AN84" s="122">
        <f t="shared" si="4"/>
        <v>20.375</v>
      </c>
      <c r="AO84" s="118">
        <v>150000</v>
      </c>
      <c r="AP84" s="123">
        <f t="shared" si="5"/>
        <v>3056250</v>
      </c>
    </row>
    <row r="85" spans="1:42" ht="24.9" customHeight="1" x14ac:dyDescent="0.4">
      <c r="A85" s="124">
        <v>80</v>
      </c>
      <c r="B85" s="116" t="s">
        <v>434</v>
      </c>
      <c r="C85" s="117" t="s">
        <v>435</v>
      </c>
      <c r="D85" s="127" t="s">
        <v>322</v>
      </c>
      <c r="E85" s="117" t="s">
        <v>436</v>
      </c>
      <c r="F85" s="126" t="s">
        <v>324</v>
      </c>
      <c r="G85" s="119" t="s">
        <v>434</v>
      </c>
      <c r="H85" s="120" t="s">
        <v>437</v>
      </c>
      <c r="I85" s="121"/>
      <c r="J85" s="121">
        <v>1.5</v>
      </c>
      <c r="K85" s="121">
        <v>1</v>
      </c>
      <c r="L85" s="121">
        <v>1.5</v>
      </c>
      <c r="M85" s="121">
        <v>1.5</v>
      </c>
      <c r="N85" s="121">
        <v>1.5</v>
      </c>
      <c r="O85" s="121">
        <v>1</v>
      </c>
      <c r="P85" s="121"/>
      <c r="Q85" s="121">
        <v>1.5</v>
      </c>
      <c r="R85" s="121">
        <v>1</v>
      </c>
      <c r="S85" s="121"/>
      <c r="T85" s="121">
        <v>1.5</v>
      </c>
      <c r="U85" s="121">
        <v>1.5</v>
      </c>
      <c r="V85" s="121">
        <v>1</v>
      </c>
      <c r="W85" s="121"/>
      <c r="X85" s="121"/>
      <c r="Y85" s="121"/>
      <c r="Z85" s="121"/>
      <c r="AA85" s="121">
        <v>1</v>
      </c>
      <c r="AB85" s="121">
        <v>1.5</v>
      </c>
      <c r="AC85" s="121"/>
      <c r="AD85" s="121"/>
      <c r="AE85" s="121">
        <v>1.5</v>
      </c>
      <c r="AF85" s="121"/>
      <c r="AG85" s="121">
        <v>1.5</v>
      </c>
      <c r="AH85" s="121">
        <v>1.5</v>
      </c>
      <c r="AI85" s="121">
        <v>1.5</v>
      </c>
      <c r="AJ85" s="121"/>
      <c r="AK85" s="121"/>
      <c r="AL85" s="121"/>
      <c r="AM85" s="121"/>
      <c r="AN85" s="122">
        <f t="shared" si="4"/>
        <v>23</v>
      </c>
      <c r="AO85" s="118">
        <v>180000</v>
      </c>
      <c r="AP85" s="123">
        <f t="shared" si="5"/>
        <v>4140000</v>
      </c>
    </row>
    <row r="86" spans="1:42" ht="24.9" customHeight="1" x14ac:dyDescent="0.4">
      <c r="A86" s="115">
        <v>81</v>
      </c>
      <c r="B86" s="116" t="s">
        <v>438</v>
      </c>
      <c r="C86" s="117" t="s">
        <v>439</v>
      </c>
      <c r="D86" s="127" t="s">
        <v>316</v>
      </c>
      <c r="E86" s="117" t="s">
        <v>440</v>
      </c>
      <c r="F86" s="126" t="s">
        <v>318</v>
      </c>
      <c r="G86" s="119" t="s">
        <v>438</v>
      </c>
      <c r="H86" s="120" t="s">
        <v>441</v>
      </c>
      <c r="I86" s="121"/>
      <c r="J86" s="121">
        <v>2</v>
      </c>
      <c r="K86" s="121">
        <v>2</v>
      </c>
      <c r="L86" s="121">
        <v>2</v>
      </c>
      <c r="M86" s="121">
        <v>2</v>
      </c>
      <c r="N86" s="121">
        <v>2</v>
      </c>
      <c r="O86" s="121"/>
      <c r="P86" s="121"/>
      <c r="Q86" s="121">
        <v>2</v>
      </c>
      <c r="R86" s="121">
        <v>2</v>
      </c>
      <c r="S86" s="121">
        <v>2</v>
      </c>
      <c r="T86" s="121">
        <v>2</v>
      </c>
      <c r="U86" s="121">
        <v>2</v>
      </c>
      <c r="V86" s="121"/>
      <c r="W86" s="121"/>
      <c r="X86" s="121"/>
      <c r="Y86" s="121"/>
      <c r="Z86" s="121"/>
      <c r="AA86" s="121">
        <v>2</v>
      </c>
      <c r="AB86" s="121">
        <v>2</v>
      </c>
      <c r="AC86" s="121"/>
      <c r="AD86" s="121"/>
      <c r="AE86" s="121">
        <v>2</v>
      </c>
      <c r="AF86" s="121">
        <v>2</v>
      </c>
      <c r="AG86" s="121">
        <v>2</v>
      </c>
      <c r="AH86" s="121">
        <v>2</v>
      </c>
      <c r="AI86" s="121">
        <v>2</v>
      </c>
      <c r="AJ86" s="121"/>
      <c r="AK86" s="121"/>
      <c r="AL86" s="121"/>
      <c r="AM86" s="121"/>
      <c r="AN86" s="122">
        <f t="shared" si="4"/>
        <v>34</v>
      </c>
      <c r="AO86" s="118">
        <v>240000</v>
      </c>
      <c r="AP86" s="123">
        <f t="shared" si="5"/>
        <v>8160000</v>
      </c>
    </row>
    <row r="87" spans="1:42" ht="24.9" customHeight="1" x14ac:dyDescent="0.4">
      <c r="A87" s="124">
        <v>82</v>
      </c>
      <c r="B87" s="116" t="s">
        <v>442</v>
      </c>
      <c r="C87" s="117" t="s">
        <v>443</v>
      </c>
      <c r="D87" s="125" t="s">
        <v>322</v>
      </c>
      <c r="E87" s="117" t="s">
        <v>444</v>
      </c>
      <c r="F87" s="126" t="s">
        <v>318</v>
      </c>
      <c r="G87" s="119" t="s">
        <v>442</v>
      </c>
      <c r="H87" s="120" t="s">
        <v>445</v>
      </c>
      <c r="I87" s="121"/>
      <c r="J87" s="121">
        <v>2</v>
      </c>
      <c r="K87" s="121">
        <v>2</v>
      </c>
      <c r="L87" s="121">
        <v>2</v>
      </c>
      <c r="M87" s="121"/>
      <c r="N87" s="121">
        <v>2</v>
      </c>
      <c r="O87" s="121"/>
      <c r="P87" s="121"/>
      <c r="Q87" s="121">
        <v>2</v>
      </c>
      <c r="R87" s="121">
        <v>2</v>
      </c>
      <c r="S87" s="121">
        <v>2</v>
      </c>
      <c r="T87" s="121">
        <v>2</v>
      </c>
      <c r="U87" s="121">
        <v>2</v>
      </c>
      <c r="V87" s="121"/>
      <c r="W87" s="121"/>
      <c r="X87" s="121"/>
      <c r="Y87" s="121"/>
      <c r="Z87" s="121"/>
      <c r="AA87" s="121">
        <v>2</v>
      </c>
      <c r="AB87" s="121"/>
      <c r="AC87" s="121"/>
      <c r="AD87" s="121"/>
      <c r="AE87" s="121">
        <v>2</v>
      </c>
      <c r="AF87" s="121">
        <v>2</v>
      </c>
      <c r="AG87" s="121">
        <v>2</v>
      </c>
      <c r="AH87" s="121">
        <v>2</v>
      </c>
      <c r="AI87" s="121">
        <v>2</v>
      </c>
      <c r="AJ87" s="121"/>
      <c r="AK87" s="121"/>
      <c r="AL87" s="121"/>
      <c r="AM87" s="121"/>
      <c r="AN87" s="122">
        <f t="shared" si="4"/>
        <v>30</v>
      </c>
      <c r="AO87" s="118">
        <v>150000</v>
      </c>
      <c r="AP87" s="123">
        <f t="shared" si="5"/>
        <v>4500000</v>
      </c>
    </row>
    <row r="88" spans="1:42" ht="24.9" customHeight="1" x14ac:dyDescent="0.4">
      <c r="A88" s="115">
        <v>83</v>
      </c>
      <c r="B88" s="116" t="s">
        <v>446</v>
      </c>
      <c r="C88" s="117" t="s">
        <v>447</v>
      </c>
      <c r="D88" s="125" t="s">
        <v>322</v>
      </c>
      <c r="E88" s="117" t="s">
        <v>448</v>
      </c>
      <c r="F88" s="126" t="s">
        <v>347</v>
      </c>
      <c r="G88" s="119" t="s">
        <v>446</v>
      </c>
      <c r="H88" s="120" t="s">
        <v>449</v>
      </c>
      <c r="I88" s="121"/>
      <c r="J88" s="121">
        <v>1.5</v>
      </c>
      <c r="K88" s="121">
        <v>1.5</v>
      </c>
      <c r="L88" s="121">
        <v>1.5</v>
      </c>
      <c r="M88" s="121">
        <v>1.5</v>
      </c>
      <c r="N88" s="121">
        <v>1.5</v>
      </c>
      <c r="O88" s="121">
        <v>1</v>
      </c>
      <c r="P88" s="121"/>
      <c r="Q88" s="121">
        <v>1.5</v>
      </c>
      <c r="R88" s="121">
        <v>1.5</v>
      </c>
      <c r="S88" s="121">
        <v>1.5</v>
      </c>
      <c r="T88" s="121">
        <v>1.5</v>
      </c>
      <c r="U88" s="121">
        <v>1.5</v>
      </c>
      <c r="V88" s="121">
        <v>1</v>
      </c>
      <c r="W88" s="121"/>
      <c r="X88" s="121"/>
      <c r="Y88" s="121"/>
      <c r="Z88" s="121"/>
      <c r="AA88" s="121">
        <v>1</v>
      </c>
      <c r="AB88" s="121">
        <v>1.5</v>
      </c>
      <c r="AC88" s="121"/>
      <c r="AD88" s="121"/>
      <c r="AE88" s="121">
        <v>1.5</v>
      </c>
      <c r="AF88" s="121">
        <v>1.5</v>
      </c>
      <c r="AG88" s="121">
        <v>1.5</v>
      </c>
      <c r="AH88" s="121">
        <v>1.5</v>
      </c>
      <c r="AI88" s="121">
        <v>1.5</v>
      </c>
      <c r="AJ88" s="121"/>
      <c r="AK88" s="121"/>
      <c r="AL88" s="121"/>
      <c r="AM88" s="121"/>
      <c r="AN88" s="122">
        <f t="shared" si="4"/>
        <v>27</v>
      </c>
      <c r="AO88" s="118">
        <v>150000</v>
      </c>
      <c r="AP88" s="123">
        <f t="shared" si="5"/>
        <v>4050000</v>
      </c>
    </row>
    <row r="89" spans="1:42" ht="24.9" customHeight="1" x14ac:dyDescent="0.4">
      <c r="A89" s="124">
        <v>84</v>
      </c>
      <c r="B89" s="116" t="s">
        <v>681</v>
      </c>
      <c r="C89" s="117" t="s">
        <v>682</v>
      </c>
      <c r="D89" s="127" t="s">
        <v>322</v>
      </c>
      <c r="E89" s="117" t="s">
        <v>683</v>
      </c>
      <c r="F89" s="126" t="s">
        <v>312</v>
      </c>
      <c r="G89" s="119" t="s">
        <v>681</v>
      </c>
      <c r="H89" s="120" t="s">
        <v>684</v>
      </c>
      <c r="I89" s="121"/>
      <c r="J89" s="121">
        <v>1.5</v>
      </c>
      <c r="K89" s="121">
        <v>1.5</v>
      </c>
      <c r="L89" s="121">
        <v>1.5</v>
      </c>
      <c r="M89" s="121">
        <v>1.5</v>
      </c>
      <c r="N89" s="121">
        <v>1.5</v>
      </c>
      <c r="O89" s="121">
        <v>1</v>
      </c>
      <c r="P89" s="121"/>
      <c r="Q89" s="121">
        <v>1.5</v>
      </c>
      <c r="R89" s="121">
        <v>1.5</v>
      </c>
      <c r="S89" s="121"/>
      <c r="T89" s="121">
        <v>1.5</v>
      </c>
      <c r="U89" s="121">
        <v>1.5</v>
      </c>
      <c r="V89" s="121">
        <v>1</v>
      </c>
      <c r="W89" s="121"/>
      <c r="X89" s="121"/>
      <c r="Y89" s="121"/>
      <c r="Z89" s="121"/>
      <c r="AA89" s="121">
        <v>1</v>
      </c>
      <c r="AB89" s="121">
        <v>1.5</v>
      </c>
      <c r="AC89" s="121"/>
      <c r="AD89" s="121"/>
      <c r="AE89" s="121"/>
      <c r="AF89" s="121">
        <v>1.5</v>
      </c>
      <c r="AG89" s="121">
        <v>1.5</v>
      </c>
      <c r="AH89" s="121">
        <v>1.5</v>
      </c>
      <c r="AI89" s="121">
        <v>1.5</v>
      </c>
      <c r="AJ89" s="121"/>
      <c r="AK89" s="121"/>
      <c r="AL89" s="121"/>
      <c r="AM89" s="121"/>
      <c r="AN89" s="122">
        <f t="shared" si="4"/>
        <v>24</v>
      </c>
      <c r="AO89" s="118">
        <v>150000</v>
      </c>
      <c r="AP89" s="123">
        <f t="shared" si="5"/>
        <v>3600000</v>
      </c>
    </row>
    <row r="90" spans="1:42" ht="24.9" customHeight="1" x14ac:dyDescent="0.4">
      <c r="A90" s="115">
        <v>85</v>
      </c>
      <c r="B90" s="116" t="s">
        <v>710</v>
      </c>
      <c r="C90" s="117" t="s">
        <v>711</v>
      </c>
      <c r="D90" s="125" t="s">
        <v>322</v>
      </c>
      <c r="E90" s="117" t="s">
        <v>712</v>
      </c>
      <c r="F90" s="126" t="s">
        <v>347</v>
      </c>
      <c r="G90" s="119" t="s">
        <v>710</v>
      </c>
      <c r="H90" s="120" t="s">
        <v>713</v>
      </c>
      <c r="I90" s="121"/>
      <c r="J90" s="121">
        <v>1.375</v>
      </c>
      <c r="K90" s="121">
        <v>1.5</v>
      </c>
      <c r="L90" s="121">
        <v>1.5</v>
      </c>
      <c r="M90" s="121">
        <v>1.5</v>
      </c>
      <c r="N90" s="121">
        <v>1.5</v>
      </c>
      <c r="O90" s="121">
        <v>1</v>
      </c>
      <c r="P90" s="121"/>
      <c r="Q90" s="121">
        <v>1.5</v>
      </c>
      <c r="R90" s="121">
        <v>1.5</v>
      </c>
      <c r="S90" s="121">
        <v>1.5</v>
      </c>
      <c r="T90" s="121">
        <v>0.125</v>
      </c>
      <c r="U90" s="121">
        <v>1.5</v>
      </c>
      <c r="V90" s="121"/>
      <c r="W90" s="121"/>
      <c r="X90" s="121"/>
      <c r="Y90" s="121"/>
      <c r="Z90" s="121"/>
      <c r="AA90" s="121">
        <v>1</v>
      </c>
      <c r="AB90" s="121">
        <v>1.5</v>
      </c>
      <c r="AC90" s="121"/>
      <c r="AD90" s="121"/>
      <c r="AE90" s="121">
        <v>1.5</v>
      </c>
      <c r="AF90" s="121">
        <v>1.5</v>
      </c>
      <c r="AG90" s="121">
        <v>1.5</v>
      </c>
      <c r="AH90" s="121">
        <v>1.5</v>
      </c>
      <c r="AI90" s="121">
        <v>1.5</v>
      </c>
      <c r="AJ90" s="121"/>
      <c r="AK90" s="121"/>
      <c r="AL90" s="121"/>
      <c r="AM90" s="121"/>
      <c r="AN90" s="122">
        <f t="shared" si="4"/>
        <v>24.5</v>
      </c>
      <c r="AO90" s="118">
        <v>150000</v>
      </c>
      <c r="AP90" s="123">
        <f t="shared" si="5"/>
        <v>3675000</v>
      </c>
    </row>
    <row r="91" spans="1:42" ht="24.9" customHeight="1" x14ac:dyDescent="0.4">
      <c r="A91" s="124">
        <v>86</v>
      </c>
      <c r="B91" s="116" t="s">
        <v>780</v>
      </c>
      <c r="C91" s="117" t="s">
        <v>781</v>
      </c>
      <c r="D91" s="127" t="s">
        <v>345</v>
      </c>
      <c r="E91" s="117" t="s">
        <v>782</v>
      </c>
      <c r="F91" s="126" t="s">
        <v>396</v>
      </c>
      <c r="G91" s="119" t="s">
        <v>780</v>
      </c>
      <c r="H91" s="120" t="s">
        <v>783</v>
      </c>
      <c r="I91" s="121"/>
      <c r="J91" s="121"/>
      <c r="K91" s="121"/>
      <c r="L91" s="121"/>
      <c r="M91" s="121"/>
      <c r="N91" s="121"/>
      <c r="O91" s="121"/>
      <c r="P91" s="121"/>
      <c r="Q91" s="121">
        <v>1</v>
      </c>
      <c r="R91" s="121"/>
      <c r="S91" s="121">
        <v>1</v>
      </c>
      <c r="T91" s="121">
        <v>1.5</v>
      </c>
      <c r="U91" s="121">
        <v>1.5</v>
      </c>
      <c r="V91" s="121"/>
      <c r="W91" s="121"/>
      <c r="X91" s="121"/>
      <c r="Y91" s="121"/>
      <c r="Z91" s="121"/>
      <c r="AA91" s="121">
        <v>1</v>
      </c>
      <c r="AB91" s="121">
        <v>1.5</v>
      </c>
      <c r="AC91" s="121"/>
      <c r="AD91" s="121"/>
      <c r="AE91" s="121">
        <v>1.5</v>
      </c>
      <c r="AF91" s="121">
        <v>1.5</v>
      </c>
      <c r="AG91" s="121">
        <v>1.5</v>
      </c>
      <c r="AH91" s="121">
        <v>1.5</v>
      </c>
      <c r="AI91" s="121">
        <v>1.5</v>
      </c>
      <c r="AJ91" s="121">
        <v>1</v>
      </c>
      <c r="AK91" s="121"/>
      <c r="AL91" s="121"/>
      <c r="AM91" s="121"/>
      <c r="AN91" s="122">
        <f t="shared" si="4"/>
        <v>16</v>
      </c>
      <c r="AO91" s="118">
        <v>220000</v>
      </c>
      <c r="AP91" s="123">
        <f t="shared" si="5"/>
        <v>3520000</v>
      </c>
    </row>
    <row r="92" spans="1:42" ht="24.9" customHeight="1" x14ac:dyDescent="0.4">
      <c r="A92" s="115">
        <v>87</v>
      </c>
      <c r="B92" s="116" t="s">
        <v>645</v>
      </c>
      <c r="C92" s="117" t="s">
        <v>646</v>
      </c>
      <c r="D92" s="127" t="s">
        <v>322</v>
      </c>
      <c r="E92" s="117" t="s">
        <v>647</v>
      </c>
      <c r="F92" s="126" t="s">
        <v>324</v>
      </c>
      <c r="G92" s="119" t="s">
        <v>645</v>
      </c>
      <c r="H92" s="120" t="s">
        <v>648</v>
      </c>
      <c r="I92" s="121"/>
      <c r="J92" s="121">
        <v>2</v>
      </c>
      <c r="K92" s="121">
        <v>2</v>
      </c>
      <c r="L92" s="121">
        <v>2</v>
      </c>
      <c r="M92" s="121">
        <v>2</v>
      </c>
      <c r="N92" s="121">
        <v>2</v>
      </c>
      <c r="O92" s="121"/>
      <c r="P92" s="121"/>
      <c r="Q92" s="121">
        <v>2</v>
      </c>
      <c r="R92" s="121">
        <v>2</v>
      </c>
      <c r="S92" s="121">
        <v>2</v>
      </c>
      <c r="T92" s="121">
        <v>2</v>
      </c>
      <c r="U92" s="121">
        <v>2</v>
      </c>
      <c r="V92" s="121"/>
      <c r="W92" s="121"/>
      <c r="X92" s="121"/>
      <c r="Y92" s="121"/>
      <c r="Z92" s="121"/>
      <c r="AA92" s="121">
        <v>2</v>
      </c>
      <c r="AB92" s="121">
        <v>2</v>
      </c>
      <c r="AC92" s="121"/>
      <c r="AD92" s="121"/>
      <c r="AE92" s="121">
        <v>2</v>
      </c>
      <c r="AF92" s="121">
        <v>2</v>
      </c>
      <c r="AG92" s="121">
        <v>2</v>
      </c>
      <c r="AH92" s="121">
        <v>2</v>
      </c>
      <c r="AI92" s="121">
        <v>2</v>
      </c>
      <c r="AJ92" s="121"/>
      <c r="AK92" s="121"/>
      <c r="AL92" s="121"/>
      <c r="AM92" s="121"/>
      <c r="AN92" s="122">
        <f t="shared" si="4"/>
        <v>34</v>
      </c>
      <c r="AO92" s="118">
        <v>160000</v>
      </c>
      <c r="AP92" s="123">
        <f t="shared" si="5"/>
        <v>5440000</v>
      </c>
    </row>
    <row r="93" spans="1:42" ht="24.9" customHeight="1" x14ac:dyDescent="0.4">
      <c r="A93" s="124">
        <v>88</v>
      </c>
      <c r="B93" s="116" t="s">
        <v>784</v>
      </c>
      <c r="C93" s="117" t="s">
        <v>785</v>
      </c>
      <c r="D93" s="127" t="s">
        <v>322</v>
      </c>
      <c r="E93" s="117" t="s">
        <v>786</v>
      </c>
      <c r="F93" s="126" t="s">
        <v>318</v>
      </c>
      <c r="G93" s="119" t="s">
        <v>784</v>
      </c>
      <c r="H93" s="120" t="s">
        <v>787</v>
      </c>
      <c r="I93" s="121"/>
      <c r="J93" s="121"/>
      <c r="K93" s="121"/>
      <c r="L93" s="121"/>
      <c r="M93" s="121"/>
      <c r="N93" s="121"/>
      <c r="O93" s="121"/>
      <c r="P93" s="121"/>
      <c r="Q93" s="121">
        <v>0.75</v>
      </c>
      <c r="R93" s="121"/>
      <c r="S93" s="121">
        <v>1</v>
      </c>
      <c r="T93" s="121">
        <v>1.5</v>
      </c>
      <c r="U93" s="121">
        <v>1.5</v>
      </c>
      <c r="V93" s="121"/>
      <c r="W93" s="121"/>
      <c r="X93" s="121"/>
      <c r="Y93" s="121"/>
      <c r="Z93" s="121"/>
      <c r="AA93" s="121"/>
      <c r="AB93" s="121">
        <v>1.5</v>
      </c>
      <c r="AC93" s="121"/>
      <c r="AD93" s="121"/>
      <c r="AE93" s="121">
        <v>1.5</v>
      </c>
      <c r="AF93" s="121">
        <v>1.5</v>
      </c>
      <c r="AG93" s="121">
        <v>1.5</v>
      </c>
      <c r="AH93" s="121">
        <v>1.5</v>
      </c>
      <c r="AI93" s="121">
        <v>1.5</v>
      </c>
      <c r="AJ93" s="121">
        <v>1</v>
      </c>
      <c r="AK93" s="121"/>
      <c r="AL93" s="121"/>
      <c r="AM93" s="121"/>
      <c r="AN93" s="122">
        <f t="shared" si="4"/>
        <v>14.75</v>
      </c>
      <c r="AO93" s="118">
        <v>160000</v>
      </c>
      <c r="AP93" s="123">
        <f t="shared" si="5"/>
        <v>2360000</v>
      </c>
    </row>
    <row r="94" spans="1:42" ht="24.9" customHeight="1" x14ac:dyDescent="0.4">
      <c r="A94" s="115">
        <v>89</v>
      </c>
      <c r="B94" s="116" t="s">
        <v>615</v>
      </c>
      <c r="C94" s="117" t="s">
        <v>616</v>
      </c>
      <c r="D94" s="125" t="s">
        <v>345</v>
      </c>
      <c r="E94" s="117" t="s">
        <v>617</v>
      </c>
      <c r="F94" s="126" t="s">
        <v>618</v>
      </c>
      <c r="G94" s="119" t="s">
        <v>615</v>
      </c>
      <c r="H94" s="120" t="s">
        <v>619</v>
      </c>
      <c r="I94" s="121"/>
      <c r="J94" s="121">
        <v>1.5</v>
      </c>
      <c r="K94" s="121">
        <v>1.5</v>
      </c>
      <c r="L94" s="121">
        <v>1.5</v>
      </c>
      <c r="M94" s="121">
        <v>1.5</v>
      </c>
      <c r="N94" s="121"/>
      <c r="O94" s="121">
        <v>0.5</v>
      </c>
      <c r="P94" s="121"/>
      <c r="Q94" s="121"/>
      <c r="R94" s="121">
        <v>1.5</v>
      </c>
      <c r="S94" s="121">
        <v>0.5</v>
      </c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2">
        <f t="shared" si="4"/>
        <v>8.5</v>
      </c>
      <c r="AO94" s="118">
        <v>210000</v>
      </c>
      <c r="AP94" s="123">
        <f t="shared" si="5"/>
        <v>1785000</v>
      </c>
    </row>
    <row r="95" spans="1:42" ht="24.9" customHeight="1" x14ac:dyDescent="0.4">
      <c r="A95" s="124">
        <v>90</v>
      </c>
      <c r="B95" s="116" t="s">
        <v>450</v>
      </c>
      <c r="C95" s="117" t="s">
        <v>451</v>
      </c>
      <c r="D95" s="125" t="s">
        <v>322</v>
      </c>
      <c r="E95" s="117" t="s">
        <v>452</v>
      </c>
      <c r="F95" s="126" t="s">
        <v>312</v>
      </c>
      <c r="G95" s="119" t="s">
        <v>450</v>
      </c>
      <c r="H95" s="120" t="s">
        <v>453</v>
      </c>
      <c r="I95" s="121"/>
      <c r="J95" s="121">
        <v>2</v>
      </c>
      <c r="K95" s="121">
        <v>2</v>
      </c>
      <c r="L95" s="121">
        <v>2</v>
      </c>
      <c r="M95" s="121">
        <v>2</v>
      </c>
      <c r="N95" s="121">
        <v>2</v>
      </c>
      <c r="O95" s="121"/>
      <c r="P95" s="121"/>
      <c r="Q95" s="121">
        <v>2</v>
      </c>
      <c r="R95" s="121">
        <v>2</v>
      </c>
      <c r="S95" s="121">
        <v>2</v>
      </c>
      <c r="T95" s="121">
        <v>2</v>
      </c>
      <c r="U95" s="121">
        <v>2</v>
      </c>
      <c r="V95" s="121"/>
      <c r="W95" s="121"/>
      <c r="X95" s="121"/>
      <c r="Y95" s="121"/>
      <c r="Z95" s="121"/>
      <c r="AA95" s="121">
        <v>2</v>
      </c>
      <c r="AB95" s="121">
        <v>2</v>
      </c>
      <c r="AC95" s="121"/>
      <c r="AD95" s="121"/>
      <c r="AE95" s="121">
        <v>2</v>
      </c>
      <c r="AF95" s="121">
        <v>2</v>
      </c>
      <c r="AG95" s="121">
        <v>2</v>
      </c>
      <c r="AH95" s="121">
        <v>2</v>
      </c>
      <c r="AI95" s="121">
        <v>2</v>
      </c>
      <c r="AJ95" s="121"/>
      <c r="AK95" s="121"/>
      <c r="AL95" s="121"/>
      <c r="AM95" s="121"/>
      <c r="AN95" s="122">
        <f t="shared" si="4"/>
        <v>34</v>
      </c>
      <c r="AO95" s="118">
        <v>160000</v>
      </c>
      <c r="AP95" s="123">
        <f t="shared" si="5"/>
        <v>5440000</v>
      </c>
    </row>
    <row r="96" spans="1:42" ht="24.9" customHeight="1" x14ac:dyDescent="0.4">
      <c r="A96" s="115">
        <v>91</v>
      </c>
      <c r="B96" s="116" t="s">
        <v>454</v>
      </c>
      <c r="C96" s="117" t="s">
        <v>455</v>
      </c>
      <c r="D96" s="127" t="s">
        <v>316</v>
      </c>
      <c r="E96" s="117" t="s">
        <v>456</v>
      </c>
      <c r="F96" s="126" t="s">
        <v>324</v>
      </c>
      <c r="G96" s="119" t="s">
        <v>454</v>
      </c>
      <c r="H96" s="120" t="s">
        <v>457</v>
      </c>
      <c r="I96" s="121"/>
      <c r="J96" s="121">
        <v>1.5</v>
      </c>
      <c r="K96" s="121">
        <v>1.5</v>
      </c>
      <c r="L96" s="121">
        <v>1.5</v>
      </c>
      <c r="M96" s="121">
        <v>1.5</v>
      </c>
      <c r="N96" s="121">
        <v>1.5</v>
      </c>
      <c r="O96" s="121">
        <v>1</v>
      </c>
      <c r="P96" s="121"/>
      <c r="Q96" s="121">
        <v>1.5</v>
      </c>
      <c r="R96" s="121">
        <v>1.5</v>
      </c>
      <c r="S96" s="121">
        <v>1.5</v>
      </c>
      <c r="T96" s="121"/>
      <c r="U96" s="121">
        <v>1.5</v>
      </c>
      <c r="V96" s="121">
        <v>0.75</v>
      </c>
      <c r="W96" s="121"/>
      <c r="X96" s="121"/>
      <c r="Y96" s="121"/>
      <c r="Z96" s="121"/>
      <c r="AA96" s="121">
        <v>1</v>
      </c>
      <c r="AB96" s="121">
        <v>1.5</v>
      </c>
      <c r="AC96" s="121"/>
      <c r="AD96" s="121"/>
      <c r="AE96" s="121">
        <v>1.5</v>
      </c>
      <c r="AF96" s="121">
        <v>1.5</v>
      </c>
      <c r="AG96" s="121">
        <v>1.5</v>
      </c>
      <c r="AH96" s="121">
        <v>1.5</v>
      </c>
      <c r="AI96" s="121">
        <v>1.5</v>
      </c>
      <c r="AJ96" s="121">
        <v>1</v>
      </c>
      <c r="AK96" s="121"/>
      <c r="AL96" s="121"/>
      <c r="AM96" s="121"/>
      <c r="AN96" s="122">
        <f t="shared" si="4"/>
        <v>26.25</v>
      </c>
      <c r="AO96" s="118">
        <v>240000</v>
      </c>
      <c r="AP96" s="123">
        <f t="shared" si="5"/>
        <v>6300000</v>
      </c>
    </row>
    <row r="97" spans="1:42" ht="24.9" customHeight="1" x14ac:dyDescent="0.4">
      <c r="A97" s="124">
        <v>92</v>
      </c>
      <c r="B97" s="116" t="s">
        <v>788</v>
      </c>
      <c r="C97" s="117" t="s">
        <v>789</v>
      </c>
      <c r="D97" s="125" t="s">
        <v>310</v>
      </c>
      <c r="E97" s="117" t="s">
        <v>790</v>
      </c>
      <c r="F97" s="126" t="s">
        <v>329</v>
      </c>
      <c r="G97" s="119" t="s">
        <v>788</v>
      </c>
      <c r="H97" s="120" t="s">
        <v>791</v>
      </c>
      <c r="I97" s="121"/>
      <c r="J97" s="121"/>
      <c r="K97" s="121"/>
      <c r="L97" s="121"/>
      <c r="M97" s="121"/>
      <c r="N97" s="121"/>
      <c r="O97" s="121"/>
      <c r="P97" s="121"/>
      <c r="Q97" s="121">
        <v>0.75</v>
      </c>
      <c r="R97" s="121"/>
      <c r="S97" s="121">
        <v>0.5</v>
      </c>
      <c r="T97" s="121">
        <v>1.5</v>
      </c>
      <c r="U97" s="121">
        <v>1.5</v>
      </c>
      <c r="V97" s="121"/>
      <c r="W97" s="121"/>
      <c r="X97" s="121"/>
      <c r="Y97" s="121"/>
      <c r="Z97" s="121"/>
      <c r="AA97" s="121">
        <v>1</v>
      </c>
      <c r="AB97" s="121">
        <v>1.5</v>
      </c>
      <c r="AC97" s="121"/>
      <c r="AD97" s="121"/>
      <c r="AE97" s="121">
        <v>1.5</v>
      </c>
      <c r="AF97" s="121">
        <v>1.5</v>
      </c>
      <c r="AG97" s="121">
        <v>1.5</v>
      </c>
      <c r="AH97" s="121">
        <v>1.5</v>
      </c>
      <c r="AI97" s="121">
        <v>1.5</v>
      </c>
      <c r="AJ97" s="121">
        <v>1</v>
      </c>
      <c r="AK97" s="121"/>
      <c r="AL97" s="121"/>
      <c r="AM97" s="121"/>
      <c r="AN97" s="122">
        <f t="shared" si="4"/>
        <v>15.25</v>
      </c>
      <c r="AO97" s="118">
        <v>210000</v>
      </c>
      <c r="AP97" s="123">
        <f t="shared" si="5"/>
        <v>3202500</v>
      </c>
    </row>
    <row r="98" spans="1:42" ht="24.9" customHeight="1" x14ac:dyDescent="0.4">
      <c r="A98" s="115">
        <v>93</v>
      </c>
      <c r="B98" s="116" t="s">
        <v>511</v>
      </c>
      <c r="C98" s="117" t="s">
        <v>512</v>
      </c>
      <c r="D98" s="127" t="s">
        <v>345</v>
      </c>
      <c r="E98" s="117" t="s">
        <v>513</v>
      </c>
      <c r="F98" s="126" t="s">
        <v>318</v>
      </c>
      <c r="G98" s="119" t="s">
        <v>511</v>
      </c>
      <c r="H98" s="120" t="s">
        <v>514</v>
      </c>
      <c r="I98" s="121"/>
      <c r="J98" s="121">
        <v>1.5</v>
      </c>
      <c r="K98" s="121">
        <v>1</v>
      </c>
      <c r="L98" s="121"/>
      <c r="M98" s="121"/>
      <c r="N98" s="121"/>
      <c r="O98" s="121"/>
      <c r="P98" s="121"/>
      <c r="Q98" s="121">
        <v>1.5</v>
      </c>
      <c r="R98" s="121">
        <v>1.5</v>
      </c>
      <c r="S98" s="121">
        <v>1.5</v>
      </c>
      <c r="T98" s="121">
        <v>1.5</v>
      </c>
      <c r="U98" s="121">
        <v>1.5</v>
      </c>
      <c r="V98" s="121">
        <v>1</v>
      </c>
      <c r="W98" s="121"/>
      <c r="X98" s="121"/>
      <c r="Y98" s="121"/>
      <c r="Z98" s="121"/>
      <c r="AA98" s="121">
        <v>1</v>
      </c>
      <c r="AB98" s="121">
        <v>1.5</v>
      </c>
      <c r="AC98" s="121"/>
      <c r="AD98" s="121"/>
      <c r="AE98" s="121">
        <v>1.5</v>
      </c>
      <c r="AF98" s="121">
        <v>1.5</v>
      </c>
      <c r="AG98" s="121">
        <v>1.5</v>
      </c>
      <c r="AH98" s="121">
        <v>0.5</v>
      </c>
      <c r="AI98" s="121">
        <v>1.5</v>
      </c>
      <c r="AJ98" s="121"/>
      <c r="AK98" s="121"/>
      <c r="AL98" s="121"/>
      <c r="AM98" s="121"/>
      <c r="AN98" s="122">
        <f t="shared" si="4"/>
        <v>20</v>
      </c>
      <c r="AO98" s="118">
        <v>210000</v>
      </c>
      <c r="AP98" s="123">
        <f t="shared" si="5"/>
        <v>4200000</v>
      </c>
    </row>
    <row r="99" spans="1:42" ht="24.9" customHeight="1" x14ac:dyDescent="0.4">
      <c r="A99" s="124">
        <v>94</v>
      </c>
      <c r="B99" s="116" t="s">
        <v>628</v>
      </c>
      <c r="C99" s="117" t="s">
        <v>629</v>
      </c>
      <c r="D99" s="127" t="s">
        <v>322</v>
      </c>
      <c r="E99" s="117" t="s">
        <v>630</v>
      </c>
      <c r="F99" s="126" t="s">
        <v>631</v>
      </c>
      <c r="G99" s="119" t="s">
        <v>628</v>
      </c>
      <c r="H99" s="120" t="s">
        <v>632</v>
      </c>
      <c r="I99" s="121"/>
      <c r="J99" s="121">
        <v>1.5</v>
      </c>
      <c r="K99" s="121">
        <v>1.5</v>
      </c>
      <c r="L99" s="121">
        <v>1.5</v>
      </c>
      <c r="M99" s="121">
        <v>0.5</v>
      </c>
      <c r="N99" s="121">
        <v>1.5</v>
      </c>
      <c r="O99" s="121"/>
      <c r="P99" s="121"/>
      <c r="Q99" s="121"/>
      <c r="R99" s="121">
        <v>1.5</v>
      </c>
      <c r="S99" s="121">
        <v>1.5</v>
      </c>
      <c r="T99" s="121">
        <v>1.5</v>
      </c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2">
        <f t="shared" si="4"/>
        <v>11</v>
      </c>
      <c r="AO99" s="118">
        <v>150000</v>
      </c>
      <c r="AP99" s="123">
        <f t="shared" si="5"/>
        <v>1650000</v>
      </c>
    </row>
    <row r="100" spans="1:42" ht="24.9" customHeight="1" x14ac:dyDescent="0.4">
      <c r="A100" s="115">
        <v>95</v>
      </c>
      <c r="B100" s="116" t="s">
        <v>792</v>
      </c>
      <c r="C100" s="117" t="s">
        <v>793</v>
      </c>
      <c r="D100" s="127" t="s">
        <v>322</v>
      </c>
      <c r="E100" s="117" t="s">
        <v>794</v>
      </c>
      <c r="F100" s="126" t="s">
        <v>318</v>
      </c>
      <c r="G100" s="119" t="s">
        <v>792</v>
      </c>
      <c r="H100" s="120" t="s">
        <v>795</v>
      </c>
      <c r="I100" s="121"/>
      <c r="J100" s="121"/>
      <c r="K100" s="121"/>
      <c r="L100" s="121"/>
      <c r="M100" s="121"/>
      <c r="N100" s="121"/>
      <c r="O100" s="121"/>
      <c r="P100" s="121"/>
      <c r="Q100" s="121">
        <v>0.75</v>
      </c>
      <c r="R100" s="121"/>
      <c r="S100" s="121">
        <v>1</v>
      </c>
      <c r="T100" s="121">
        <v>1.5</v>
      </c>
      <c r="U100" s="121">
        <v>1.5</v>
      </c>
      <c r="V100" s="121"/>
      <c r="W100" s="121"/>
      <c r="X100" s="121"/>
      <c r="Y100" s="121"/>
      <c r="Z100" s="121"/>
      <c r="AA100" s="121">
        <v>1</v>
      </c>
      <c r="AB100" s="121"/>
      <c r="AC100" s="121"/>
      <c r="AD100" s="121"/>
      <c r="AE100" s="121">
        <v>1.5</v>
      </c>
      <c r="AF100" s="121">
        <v>1.5</v>
      </c>
      <c r="AG100" s="121">
        <v>1.5</v>
      </c>
      <c r="AH100" s="121">
        <v>1.5</v>
      </c>
      <c r="AI100" s="121">
        <v>1.5</v>
      </c>
      <c r="AJ100" s="121">
        <v>1</v>
      </c>
      <c r="AK100" s="121"/>
      <c r="AL100" s="121"/>
      <c r="AM100" s="121"/>
      <c r="AN100" s="122">
        <f t="shared" si="4"/>
        <v>14.25</v>
      </c>
      <c r="AO100" s="118">
        <v>180000</v>
      </c>
      <c r="AP100" s="123">
        <f t="shared" si="5"/>
        <v>2565000</v>
      </c>
    </row>
    <row r="101" spans="1:42" ht="24.9" customHeight="1" x14ac:dyDescent="0.4">
      <c r="A101" s="124">
        <v>96</v>
      </c>
      <c r="B101" s="116" t="s">
        <v>522</v>
      </c>
      <c r="C101" s="117" t="s">
        <v>523</v>
      </c>
      <c r="D101" s="125" t="s">
        <v>322</v>
      </c>
      <c r="E101" s="117" t="s">
        <v>524</v>
      </c>
      <c r="F101" s="126" t="s">
        <v>329</v>
      </c>
      <c r="G101" s="119" t="s">
        <v>522</v>
      </c>
      <c r="H101" s="120" t="s">
        <v>525</v>
      </c>
      <c r="I101" s="121"/>
      <c r="J101" s="121">
        <v>1.5</v>
      </c>
      <c r="K101" s="121">
        <v>1</v>
      </c>
      <c r="L101" s="121">
        <v>1.5</v>
      </c>
      <c r="M101" s="121">
        <v>1.5</v>
      </c>
      <c r="N101" s="121">
        <v>1.5</v>
      </c>
      <c r="O101" s="121">
        <v>1</v>
      </c>
      <c r="P101" s="121"/>
      <c r="Q101" s="121">
        <v>1.5</v>
      </c>
      <c r="R101" s="121">
        <v>1.5</v>
      </c>
      <c r="S101" s="121">
        <v>1.5</v>
      </c>
      <c r="T101" s="121">
        <v>1</v>
      </c>
      <c r="U101" s="121">
        <v>1.5</v>
      </c>
      <c r="V101" s="121">
        <v>1</v>
      </c>
      <c r="W101" s="121"/>
      <c r="X101" s="121"/>
      <c r="Y101" s="121"/>
      <c r="Z101" s="121"/>
      <c r="AA101" s="121">
        <v>1</v>
      </c>
      <c r="AB101" s="121">
        <v>1.5</v>
      </c>
      <c r="AC101" s="121"/>
      <c r="AD101" s="121"/>
      <c r="AE101" s="121">
        <v>1.5</v>
      </c>
      <c r="AF101" s="121">
        <v>1.5</v>
      </c>
      <c r="AG101" s="121">
        <v>1.5</v>
      </c>
      <c r="AH101" s="121">
        <v>1.5</v>
      </c>
      <c r="AI101" s="121">
        <v>1.5</v>
      </c>
      <c r="AJ101" s="121"/>
      <c r="AK101" s="121"/>
      <c r="AL101" s="121"/>
      <c r="AM101" s="121"/>
      <c r="AN101" s="122">
        <f t="shared" si="4"/>
        <v>26</v>
      </c>
      <c r="AO101" s="118">
        <v>210000</v>
      </c>
      <c r="AP101" s="123">
        <f t="shared" si="5"/>
        <v>5460000</v>
      </c>
    </row>
    <row r="102" spans="1:42" ht="24.9" customHeight="1" x14ac:dyDescent="0.4">
      <c r="A102" s="115">
        <v>97</v>
      </c>
      <c r="B102" s="116" t="s">
        <v>459</v>
      </c>
      <c r="C102" s="117" t="s">
        <v>460</v>
      </c>
      <c r="D102" s="125" t="s">
        <v>322</v>
      </c>
      <c r="E102" s="117" t="s">
        <v>461</v>
      </c>
      <c r="F102" s="126" t="s">
        <v>396</v>
      </c>
      <c r="G102" s="119" t="s">
        <v>459</v>
      </c>
      <c r="H102" s="120" t="s">
        <v>462</v>
      </c>
      <c r="I102" s="121"/>
      <c r="J102" s="121">
        <v>1.5</v>
      </c>
      <c r="K102" s="121">
        <v>1</v>
      </c>
      <c r="L102" s="121">
        <v>1.5</v>
      </c>
      <c r="M102" s="121">
        <v>1.5</v>
      </c>
      <c r="N102" s="121">
        <v>1.5</v>
      </c>
      <c r="O102" s="121"/>
      <c r="P102" s="121"/>
      <c r="Q102" s="121">
        <v>2</v>
      </c>
      <c r="R102" s="121">
        <v>2</v>
      </c>
      <c r="S102" s="121">
        <v>2</v>
      </c>
      <c r="T102" s="121">
        <v>2</v>
      </c>
      <c r="U102" s="121">
        <v>2</v>
      </c>
      <c r="V102" s="121"/>
      <c r="W102" s="121"/>
      <c r="X102" s="121"/>
      <c r="Y102" s="121"/>
      <c r="Z102" s="121"/>
      <c r="AA102" s="121">
        <v>2</v>
      </c>
      <c r="AB102" s="121">
        <v>2</v>
      </c>
      <c r="AC102" s="121"/>
      <c r="AD102" s="121"/>
      <c r="AE102" s="121">
        <v>2</v>
      </c>
      <c r="AF102" s="121">
        <v>2</v>
      </c>
      <c r="AG102" s="121">
        <v>2</v>
      </c>
      <c r="AH102" s="121">
        <v>2</v>
      </c>
      <c r="AI102" s="121">
        <v>2</v>
      </c>
      <c r="AJ102" s="121"/>
      <c r="AK102" s="121"/>
      <c r="AL102" s="121"/>
      <c r="AM102" s="121"/>
      <c r="AN102" s="122">
        <f t="shared" si="4"/>
        <v>31</v>
      </c>
      <c r="AO102" s="118">
        <v>160000</v>
      </c>
      <c r="AP102" s="123">
        <f t="shared" si="5"/>
        <v>4960000</v>
      </c>
    </row>
    <row r="103" spans="1:42" ht="24.9" customHeight="1" x14ac:dyDescent="0.4">
      <c r="A103" s="124">
        <v>98</v>
      </c>
      <c r="B103" s="116" t="s">
        <v>796</v>
      </c>
      <c r="C103" s="117" t="s">
        <v>797</v>
      </c>
      <c r="D103" s="127" t="s">
        <v>316</v>
      </c>
      <c r="E103" s="117" t="s">
        <v>798</v>
      </c>
      <c r="F103" s="126" t="s">
        <v>329</v>
      </c>
      <c r="G103" s="119" t="s">
        <v>796</v>
      </c>
      <c r="H103" s="120" t="s">
        <v>799</v>
      </c>
      <c r="I103" s="121"/>
      <c r="J103" s="121"/>
      <c r="K103" s="121"/>
      <c r="L103" s="121"/>
      <c r="M103" s="121"/>
      <c r="N103" s="121"/>
      <c r="O103" s="121"/>
      <c r="P103" s="121"/>
      <c r="Q103" s="121">
        <v>1</v>
      </c>
      <c r="R103" s="121"/>
      <c r="S103" s="121">
        <v>1</v>
      </c>
      <c r="T103" s="121">
        <v>1.5</v>
      </c>
      <c r="U103" s="121">
        <v>1.5</v>
      </c>
      <c r="V103" s="121"/>
      <c r="W103" s="121"/>
      <c r="X103" s="121"/>
      <c r="Y103" s="121"/>
      <c r="Z103" s="121"/>
      <c r="AA103" s="121">
        <v>1</v>
      </c>
      <c r="AB103" s="121"/>
      <c r="AC103" s="121"/>
      <c r="AD103" s="121"/>
      <c r="AE103" s="121">
        <v>1.5</v>
      </c>
      <c r="AF103" s="121">
        <v>1.5</v>
      </c>
      <c r="AG103" s="121">
        <v>1.5</v>
      </c>
      <c r="AH103" s="121">
        <v>1.5</v>
      </c>
      <c r="AI103" s="121">
        <v>1.5</v>
      </c>
      <c r="AJ103" s="121"/>
      <c r="AK103" s="121"/>
      <c r="AL103" s="121"/>
      <c r="AM103" s="121"/>
      <c r="AN103" s="122">
        <f t="shared" si="4"/>
        <v>13.5</v>
      </c>
      <c r="AO103" s="118">
        <v>240000</v>
      </c>
      <c r="AP103" s="123">
        <f t="shared" si="5"/>
        <v>3240000</v>
      </c>
    </row>
    <row r="104" spans="1:42" ht="24.9" customHeight="1" x14ac:dyDescent="0.4">
      <c r="A104" s="115">
        <v>99</v>
      </c>
      <c r="B104" s="116" t="s">
        <v>559</v>
      </c>
      <c r="C104" s="117" t="s">
        <v>560</v>
      </c>
      <c r="D104" s="127" t="s">
        <v>316</v>
      </c>
      <c r="E104" s="117" t="s">
        <v>561</v>
      </c>
      <c r="F104" s="126" t="s">
        <v>318</v>
      </c>
      <c r="G104" s="119" t="s">
        <v>559</v>
      </c>
      <c r="H104" s="120" t="s">
        <v>562</v>
      </c>
      <c r="I104" s="121"/>
      <c r="J104" s="121">
        <v>1.5</v>
      </c>
      <c r="K104" s="121">
        <v>1</v>
      </c>
      <c r="L104" s="121">
        <v>1.5</v>
      </c>
      <c r="M104" s="121">
        <v>1.5</v>
      </c>
      <c r="N104" s="121">
        <v>1.5</v>
      </c>
      <c r="O104" s="121"/>
      <c r="P104" s="121"/>
      <c r="Q104" s="121">
        <v>1.5</v>
      </c>
      <c r="R104" s="121">
        <v>1.5</v>
      </c>
      <c r="S104" s="121">
        <v>1.5</v>
      </c>
      <c r="T104" s="121">
        <v>1.5</v>
      </c>
      <c r="U104" s="121">
        <v>1</v>
      </c>
      <c r="V104" s="121"/>
      <c r="W104" s="121"/>
      <c r="X104" s="121"/>
      <c r="Y104" s="121"/>
      <c r="Z104" s="121"/>
      <c r="AA104" s="121"/>
      <c r="AB104" s="121">
        <v>0.5</v>
      </c>
      <c r="AC104" s="121"/>
      <c r="AD104" s="121"/>
      <c r="AE104" s="121">
        <v>1.5</v>
      </c>
      <c r="AF104" s="121">
        <v>1.5</v>
      </c>
      <c r="AG104" s="121">
        <v>1.5</v>
      </c>
      <c r="AH104" s="121">
        <v>1.5</v>
      </c>
      <c r="AI104" s="121">
        <v>1.5</v>
      </c>
      <c r="AJ104" s="121">
        <v>1</v>
      </c>
      <c r="AK104" s="121"/>
      <c r="AL104" s="121"/>
      <c r="AM104" s="121"/>
      <c r="AN104" s="122">
        <f t="shared" si="2"/>
        <v>23</v>
      </c>
      <c r="AO104" s="118">
        <v>240000</v>
      </c>
      <c r="AP104" s="123">
        <f t="shared" si="3"/>
        <v>5520000</v>
      </c>
    </row>
    <row r="105" spans="1:42" ht="24.9" customHeight="1" x14ac:dyDescent="0.4">
      <c r="A105" s="124">
        <v>100</v>
      </c>
      <c r="B105" s="116" t="s">
        <v>463</v>
      </c>
      <c r="C105" s="117" t="s">
        <v>464</v>
      </c>
      <c r="D105" s="125" t="s">
        <v>322</v>
      </c>
      <c r="E105" s="117" t="s">
        <v>465</v>
      </c>
      <c r="F105" s="126" t="s">
        <v>329</v>
      </c>
      <c r="G105" s="119" t="s">
        <v>463</v>
      </c>
      <c r="H105" s="120">
        <v>36013033492</v>
      </c>
      <c r="I105" s="121"/>
      <c r="J105" s="121">
        <v>1.5</v>
      </c>
      <c r="K105" s="121">
        <v>1</v>
      </c>
      <c r="L105" s="121">
        <v>1.5</v>
      </c>
      <c r="M105" s="121">
        <v>1.5</v>
      </c>
      <c r="N105" s="121">
        <v>1.5</v>
      </c>
      <c r="O105" s="121">
        <v>1</v>
      </c>
      <c r="P105" s="121"/>
      <c r="Q105" s="121"/>
      <c r="R105" s="121"/>
      <c r="S105" s="121"/>
      <c r="T105" s="121">
        <v>1.5</v>
      </c>
      <c r="U105" s="121">
        <v>1.5</v>
      </c>
      <c r="V105" s="121">
        <v>1</v>
      </c>
      <c r="W105" s="121"/>
      <c r="X105" s="121"/>
      <c r="Y105" s="121"/>
      <c r="Z105" s="121"/>
      <c r="AA105" s="121">
        <v>1</v>
      </c>
      <c r="AB105" s="121">
        <v>1.5</v>
      </c>
      <c r="AC105" s="121"/>
      <c r="AD105" s="121"/>
      <c r="AE105" s="121">
        <v>1.5</v>
      </c>
      <c r="AF105" s="121">
        <v>1.5</v>
      </c>
      <c r="AG105" s="121">
        <v>1.5</v>
      </c>
      <c r="AH105" s="121">
        <v>1.5</v>
      </c>
      <c r="AI105" s="121"/>
      <c r="AJ105" s="121">
        <v>1</v>
      </c>
      <c r="AK105" s="121"/>
      <c r="AL105" s="121"/>
      <c r="AM105" s="121"/>
      <c r="AN105" s="122">
        <f t="shared" si="2"/>
        <v>21.5</v>
      </c>
      <c r="AO105" s="118">
        <v>160000</v>
      </c>
      <c r="AP105" s="123">
        <f t="shared" si="3"/>
        <v>3440000</v>
      </c>
    </row>
    <row r="106" spans="1:42" ht="24.9" customHeight="1" x14ac:dyDescent="0.4">
      <c r="A106" s="115">
        <v>101</v>
      </c>
      <c r="B106" s="116" t="s">
        <v>665</v>
      </c>
      <c r="C106" s="117" t="s">
        <v>666</v>
      </c>
      <c r="D106" s="125" t="s">
        <v>322</v>
      </c>
      <c r="E106" s="117" t="s">
        <v>667</v>
      </c>
      <c r="F106" s="126" t="s">
        <v>545</v>
      </c>
      <c r="G106" s="119" t="s">
        <v>665</v>
      </c>
      <c r="H106" s="120" t="s">
        <v>723</v>
      </c>
      <c r="I106" s="121"/>
      <c r="J106" s="121">
        <v>1.5</v>
      </c>
      <c r="K106" s="121">
        <v>1.5</v>
      </c>
      <c r="L106" s="121">
        <v>1.5</v>
      </c>
      <c r="M106" s="121">
        <v>1.5</v>
      </c>
      <c r="N106" s="121">
        <v>1.5</v>
      </c>
      <c r="O106" s="121"/>
      <c r="P106" s="121"/>
      <c r="Q106" s="121">
        <v>1.5</v>
      </c>
      <c r="R106" s="121">
        <v>1.5</v>
      </c>
      <c r="S106" s="121">
        <v>1.5</v>
      </c>
      <c r="T106" s="121">
        <v>1.5</v>
      </c>
      <c r="U106" s="121">
        <v>1.5</v>
      </c>
      <c r="V106" s="121"/>
      <c r="W106" s="121"/>
      <c r="X106" s="121"/>
      <c r="Y106" s="121"/>
      <c r="Z106" s="121"/>
      <c r="AA106" s="121">
        <v>1</v>
      </c>
      <c r="AB106" s="121">
        <v>1.5</v>
      </c>
      <c r="AC106" s="121"/>
      <c r="AD106" s="121"/>
      <c r="AE106" s="121">
        <v>1.5</v>
      </c>
      <c r="AF106" s="121">
        <v>1.5</v>
      </c>
      <c r="AG106" s="121">
        <v>1.5</v>
      </c>
      <c r="AH106" s="121">
        <v>1.5</v>
      </c>
      <c r="AI106" s="121">
        <v>1.5</v>
      </c>
      <c r="AJ106" s="121"/>
      <c r="AK106" s="121"/>
      <c r="AL106" s="121"/>
      <c r="AM106" s="121"/>
      <c r="AN106" s="122">
        <f t="shared" si="2"/>
        <v>25</v>
      </c>
      <c r="AO106" s="118">
        <v>150000</v>
      </c>
      <c r="AP106" s="123">
        <f t="shared" si="3"/>
        <v>3750000</v>
      </c>
    </row>
    <row r="107" spans="1:42" ht="24.9" customHeight="1" x14ac:dyDescent="0.4">
      <c r="A107" s="124">
        <v>102</v>
      </c>
      <c r="B107" s="116" t="s">
        <v>563</v>
      </c>
      <c r="C107" s="117" t="s">
        <v>564</v>
      </c>
      <c r="D107" s="127" t="s">
        <v>322</v>
      </c>
      <c r="E107" s="117" t="s">
        <v>565</v>
      </c>
      <c r="F107" s="126" t="s">
        <v>312</v>
      </c>
      <c r="G107" s="119" t="s">
        <v>563</v>
      </c>
      <c r="H107" s="120" t="s">
        <v>566</v>
      </c>
      <c r="I107" s="121"/>
      <c r="J107" s="121">
        <v>1.5</v>
      </c>
      <c r="K107" s="121">
        <v>1.5</v>
      </c>
      <c r="L107" s="121">
        <v>1.5</v>
      </c>
      <c r="M107" s="121">
        <v>1.5</v>
      </c>
      <c r="N107" s="121">
        <v>1.5</v>
      </c>
      <c r="O107" s="121">
        <v>1</v>
      </c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>
        <v>1</v>
      </c>
      <c r="AB107" s="121">
        <v>1.5</v>
      </c>
      <c r="AC107" s="121"/>
      <c r="AD107" s="121"/>
      <c r="AE107" s="121">
        <v>1.5</v>
      </c>
      <c r="AF107" s="121">
        <v>1.5</v>
      </c>
      <c r="AG107" s="121">
        <v>1.5</v>
      </c>
      <c r="AH107" s="121">
        <v>1.5</v>
      </c>
      <c r="AI107" s="121">
        <v>1.5</v>
      </c>
      <c r="AJ107" s="121">
        <v>1</v>
      </c>
      <c r="AK107" s="121"/>
      <c r="AL107" s="121"/>
      <c r="AM107" s="121"/>
      <c r="AN107" s="122">
        <f t="shared" si="2"/>
        <v>19.5</v>
      </c>
      <c r="AO107" s="118">
        <v>160000</v>
      </c>
      <c r="AP107" s="123">
        <f t="shared" si="3"/>
        <v>3120000</v>
      </c>
    </row>
    <row r="108" spans="1:42" ht="24.9" customHeight="1" x14ac:dyDescent="0.4">
      <c r="A108" s="115">
        <v>103</v>
      </c>
      <c r="B108" s="116" t="s">
        <v>466</v>
      </c>
      <c r="C108" s="117" t="s">
        <v>467</v>
      </c>
      <c r="D108" s="125" t="s">
        <v>345</v>
      </c>
      <c r="E108" s="117" t="s">
        <v>468</v>
      </c>
      <c r="F108" s="126" t="s">
        <v>347</v>
      </c>
      <c r="G108" s="119" t="s">
        <v>466</v>
      </c>
      <c r="H108" s="120" t="s">
        <v>469</v>
      </c>
      <c r="I108" s="121"/>
      <c r="J108" s="121">
        <v>2</v>
      </c>
      <c r="K108" s="121">
        <v>2</v>
      </c>
      <c r="L108" s="121">
        <v>2</v>
      </c>
      <c r="M108" s="121">
        <v>2</v>
      </c>
      <c r="N108" s="121">
        <v>2</v>
      </c>
      <c r="O108" s="121"/>
      <c r="P108" s="121"/>
      <c r="Q108" s="121">
        <v>2</v>
      </c>
      <c r="R108" s="121">
        <v>2</v>
      </c>
      <c r="S108" s="121">
        <v>2</v>
      </c>
      <c r="T108" s="121">
        <v>2</v>
      </c>
      <c r="U108" s="121">
        <v>2</v>
      </c>
      <c r="V108" s="121"/>
      <c r="W108" s="121"/>
      <c r="X108" s="121"/>
      <c r="Y108" s="121"/>
      <c r="Z108" s="121"/>
      <c r="AA108" s="121">
        <v>2</v>
      </c>
      <c r="AB108" s="121">
        <v>2</v>
      </c>
      <c r="AC108" s="121"/>
      <c r="AD108" s="121"/>
      <c r="AE108" s="121">
        <v>2</v>
      </c>
      <c r="AF108" s="121">
        <v>2</v>
      </c>
      <c r="AG108" s="121">
        <v>2</v>
      </c>
      <c r="AH108" s="121">
        <v>2</v>
      </c>
      <c r="AI108" s="121">
        <v>2</v>
      </c>
      <c r="AJ108" s="121"/>
      <c r="AK108" s="121"/>
      <c r="AL108" s="121"/>
      <c r="AM108" s="121"/>
      <c r="AN108" s="122">
        <f t="shared" si="2"/>
        <v>34</v>
      </c>
      <c r="AO108" s="118">
        <v>220000</v>
      </c>
      <c r="AP108" s="123">
        <f t="shared" si="3"/>
        <v>7480000</v>
      </c>
    </row>
    <row r="109" spans="1:42" ht="24.9" customHeight="1" x14ac:dyDescent="0.4">
      <c r="A109" s="124">
        <v>104</v>
      </c>
      <c r="B109" s="116" t="s">
        <v>694</v>
      </c>
      <c r="C109" s="117" t="s">
        <v>695</v>
      </c>
      <c r="D109" s="127" t="s">
        <v>322</v>
      </c>
      <c r="E109" s="117" t="s">
        <v>696</v>
      </c>
      <c r="F109" s="126" t="s">
        <v>545</v>
      </c>
      <c r="G109" s="119" t="s">
        <v>694</v>
      </c>
      <c r="H109" s="120" t="s">
        <v>697</v>
      </c>
      <c r="I109" s="121"/>
      <c r="J109" s="121">
        <v>1.375</v>
      </c>
      <c r="K109" s="121">
        <v>1.5</v>
      </c>
      <c r="L109" s="121">
        <v>1.5</v>
      </c>
      <c r="M109" s="121">
        <v>1.5</v>
      </c>
      <c r="N109" s="121">
        <v>1.5</v>
      </c>
      <c r="O109" s="121">
        <v>1</v>
      </c>
      <c r="P109" s="121"/>
      <c r="Q109" s="121">
        <v>1.5</v>
      </c>
      <c r="R109" s="121">
        <v>1.5</v>
      </c>
      <c r="S109" s="121">
        <v>1.5</v>
      </c>
      <c r="T109" s="121">
        <v>1.5</v>
      </c>
      <c r="U109" s="121">
        <v>1.5</v>
      </c>
      <c r="V109" s="121">
        <v>1</v>
      </c>
      <c r="W109" s="121"/>
      <c r="X109" s="121"/>
      <c r="Y109" s="121"/>
      <c r="Z109" s="121"/>
      <c r="AA109" s="121">
        <v>1</v>
      </c>
      <c r="AB109" s="121">
        <v>1.5</v>
      </c>
      <c r="AC109" s="121"/>
      <c r="AD109" s="121"/>
      <c r="AE109" s="121">
        <v>1.5</v>
      </c>
      <c r="AF109" s="121">
        <v>1.5</v>
      </c>
      <c r="AG109" s="121">
        <v>1.5</v>
      </c>
      <c r="AH109" s="121">
        <v>1.5</v>
      </c>
      <c r="AI109" s="121">
        <v>1.5</v>
      </c>
      <c r="AJ109" s="121">
        <v>1</v>
      </c>
      <c r="AK109" s="121"/>
      <c r="AL109" s="121"/>
      <c r="AM109" s="121"/>
      <c r="AN109" s="122">
        <f t="shared" si="2"/>
        <v>27.875</v>
      </c>
      <c r="AO109" s="118">
        <v>150000</v>
      </c>
      <c r="AP109" s="123">
        <f t="shared" si="3"/>
        <v>4181250</v>
      </c>
    </row>
    <row r="110" spans="1:42" ht="24.9" customHeight="1" x14ac:dyDescent="0.4">
      <c r="A110" s="115">
        <v>105</v>
      </c>
      <c r="B110" s="116" t="s">
        <v>698</v>
      </c>
      <c r="C110" s="117" t="s">
        <v>699</v>
      </c>
      <c r="D110" s="127" t="s">
        <v>322</v>
      </c>
      <c r="E110" s="117" t="s">
        <v>700</v>
      </c>
      <c r="F110" s="126" t="s">
        <v>368</v>
      </c>
      <c r="G110" s="119" t="s">
        <v>698</v>
      </c>
      <c r="H110" s="120" t="s">
        <v>701</v>
      </c>
      <c r="I110" s="121"/>
      <c r="J110" s="121">
        <v>1.375</v>
      </c>
      <c r="K110" s="121">
        <v>1.5</v>
      </c>
      <c r="L110" s="121">
        <v>1.5</v>
      </c>
      <c r="M110" s="121">
        <v>1.5</v>
      </c>
      <c r="N110" s="121">
        <v>1.5</v>
      </c>
      <c r="O110" s="121">
        <v>1</v>
      </c>
      <c r="P110" s="121"/>
      <c r="Q110" s="121">
        <v>1.5</v>
      </c>
      <c r="R110" s="121">
        <v>1.5</v>
      </c>
      <c r="S110" s="121">
        <v>1.5</v>
      </c>
      <c r="T110" s="121">
        <v>1.5</v>
      </c>
      <c r="U110" s="121">
        <v>1.5</v>
      </c>
      <c r="V110" s="121">
        <v>1</v>
      </c>
      <c r="W110" s="121"/>
      <c r="X110" s="121"/>
      <c r="Y110" s="121"/>
      <c r="Z110" s="121"/>
      <c r="AA110" s="121">
        <v>1</v>
      </c>
      <c r="AB110" s="121">
        <v>1.5</v>
      </c>
      <c r="AC110" s="121"/>
      <c r="AD110" s="121"/>
      <c r="AE110" s="121">
        <v>1.5</v>
      </c>
      <c r="AF110" s="121">
        <v>1.5</v>
      </c>
      <c r="AG110" s="121">
        <v>1.5</v>
      </c>
      <c r="AH110" s="121">
        <v>1.5</v>
      </c>
      <c r="AI110" s="121">
        <v>1.5</v>
      </c>
      <c r="AJ110" s="121">
        <v>0.5</v>
      </c>
      <c r="AK110" s="121"/>
      <c r="AL110" s="121"/>
      <c r="AM110" s="121"/>
      <c r="AN110" s="122">
        <f t="shared" si="2"/>
        <v>27.375</v>
      </c>
      <c r="AO110" s="118">
        <v>150000</v>
      </c>
      <c r="AP110" s="123">
        <f t="shared" si="3"/>
        <v>4106250</v>
      </c>
    </row>
    <row r="111" spans="1:42" ht="24.9" customHeight="1" x14ac:dyDescent="0.4">
      <c r="A111" s="124">
        <v>106</v>
      </c>
      <c r="B111" s="116" t="s">
        <v>605</v>
      </c>
      <c r="C111" s="117" t="s">
        <v>603</v>
      </c>
      <c r="D111" s="127" t="s">
        <v>345</v>
      </c>
      <c r="E111" s="117" t="s">
        <v>604</v>
      </c>
      <c r="F111" s="126" t="s">
        <v>318</v>
      </c>
      <c r="G111" s="119" t="s">
        <v>605</v>
      </c>
      <c r="H111" s="120" t="s">
        <v>606</v>
      </c>
      <c r="I111" s="121"/>
      <c r="J111" s="121">
        <v>1.5</v>
      </c>
      <c r="K111" s="121">
        <v>1</v>
      </c>
      <c r="L111" s="121">
        <v>1.5</v>
      </c>
      <c r="M111" s="121">
        <v>1.5</v>
      </c>
      <c r="N111" s="121">
        <v>1</v>
      </c>
      <c r="O111" s="121"/>
      <c r="P111" s="121"/>
      <c r="Q111" s="121">
        <v>1.5</v>
      </c>
      <c r="R111" s="121">
        <v>1.5</v>
      </c>
      <c r="S111" s="121">
        <v>1.5</v>
      </c>
      <c r="T111" s="121">
        <v>1.5</v>
      </c>
      <c r="U111" s="121"/>
      <c r="V111" s="121"/>
      <c r="W111" s="121"/>
      <c r="X111" s="121"/>
      <c r="Y111" s="121"/>
      <c r="Z111" s="121"/>
      <c r="AA111" s="121">
        <v>1</v>
      </c>
      <c r="AB111" s="121">
        <v>1.5</v>
      </c>
      <c r="AC111" s="121"/>
      <c r="AD111" s="121"/>
      <c r="AE111" s="121">
        <v>1.5</v>
      </c>
      <c r="AF111" s="121">
        <v>1.5</v>
      </c>
      <c r="AG111" s="121">
        <v>1.5</v>
      </c>
      <c r="AH111" s="121">
        <v>1.5</v>
      </c>
      <c r="AI111" s="121">
        <v>1.5</v>
      </c>
      <c r="AJ111" s="121"/>
      <c r="AK111" s="121"/>
      <c r="AL111" s="121"/>
      <c r="AM111" s="121"/>
      <c r="AN111" s="122">
        <f t="shared" si="2"/>
        <v>22.5</v>
      </c>
      <c r="AO111" s="118">
        <v>210000</v>
      </c>
      <c r="AP111" s="123">
        <f t="shared" si="3"/>
        <v>4725000</v>
      </c>
    </row>
    <row r="112" spans="1:42" ht="24.9" customHeight="1" x14ac:dyDescent="0.4">
      <c r="A112" s="115">
        <v>107</v>
      </c>
      <c r="B112" s="116" t="s">
        <v>542</v>
      </c>
      <c r="C112" s="117" t="s">
        <v>543</v>
      </c>
      <c r="D112" s="125" t="s">
        <v>322</v>
      </c>
      <c r="E112" s="117" t="s">
        <v>544</v>
      </c>
      <c r="F112" s="126" t="s">
        <v>545</v>
      </c>
      <c r="G112" s="119" t="s">
        <v>542</v>
      </c>
      <c r="H112" s="120" t="s">
        <v>546</v>
      </c>
      <c r="I112" s="121"/>
      <c r="J112" s="121">
        <v>1.5</v>
      </c>
      <c r="K112" s="121">
        <v>1.5</v>
      </c>
      <c r="L112" s="121">
        <v>1.5</v>
      </c>
      <c r="M112" s="121">
        <v>1.5</v>
      </c>
      <c r="N112" s="121">
        <v>1.5</v>
      </c>
      <c r="O112" s="121">
        <v>1</v>
      </c>
      <c r="P112" s="121"/>
      <c r="Q112" s="121">
        <v>1.5</v>
      </c>
      <c r="R112" s="121">
        <v>1.5</v>
      </c>
      <c r="S112" s="121">
        <v>1.5</v>
      </c>
      <c r="T112" s="121">
        <v>1.5</v>
      </c>
      <c r="U112" s="121">
        <v>1.5</v>
      </c>
      <c r="V112" s="121">
        <v>1</v>
      </c>
      <c r="W112" s="121"/>
      <c r="X112" s="121"/>
      <c r="Y112" s="121"/>
      <c r="Z112" s="121"/>
      <c r="AA112" s="121">
        <v>1</v>
      </c>
      <c r="AB112" s="121">
        <v>1.5</v>
      </c>
      <c r="AC112" s="121"/>
      <c r="AD112" s="121"/>
      <c r="AE112" s="121">
        <v>1.5</v>
      </c>
      <c r="AF112" s="121">
        <v>1.5</v>
      </c>
      <c r="AG112" s="121">
        <v>1.5</v>
      </c>
      <c r="AH112" s="121">
        <v>1.5</v>
      </c>
      <c r="AI112" s="121">
        <v>1.5</v>
      </c>
      <c r="AJ112" s="121">
        <v>1</v>
      </c>
      <c r="AK112" s="121"/>
      <c r="AL112" s="121"/>
      <c r="AM112" s="121"/>
      <c r="AN112" s="122">
        <f t="shared" si="2"/>
        <v>28</v>
      </c>
      <c r="AO112" s="118">
        <v>150000</v>
      </c>
      <c r="AP112" s="123">
        <f t="shared" si="3"/>
        <v>4200000</v>
      </c>
    </row>
    <row r="113" spans="1:42" ht="24.9" customHeight="1" x14ac:dyDescent="0.4">
      <c r="A113" s="124">
        <v>108</v>
      </c>
      <c r="B113" s="116" t="s">
        <v>673</v>
      </c>
      <c r="C113" s="117" t="s">
        <v>674</v>
      </c>
      <c r="D113" s="125" t="s">
        <v>345</v>
      </c>
      <c r="E113" s="117" t="s">
        <v>675</v>
      </c>
      <c r="F113" s="126" t="s">
        <v>458</v>
      </c>
      <c r="G113" s="119" t="s">
        <v>673</v>
      </c>
      <c r="H113" s="120" t="s">
        <v>676</v>
      </c>
      <c r="I113" s="121"/>
      <c r="J113" s="121">
        <v>1.5</v>
      </c>
      <c r="K113" s="121">
        <v>1.5</v>
      </c>
      <c r="L113" s="121">
        <v>1.5</v>
      </c>
      <c r="M113" s="121">
        <v>1.5</v>
      </c>
      <c r="N113" s="121">
        <v>1.5</v>
      </c>
      <c r="O113" s="121">
        <v>1</v>
      </c>
      <c r="P113" s="121"/>
      <c r="Q113" s="121">
        <v>1.5</v>
      </c>
      <c r="R113" s="121">
        <v>1.5</v>
      </c>
      <c r="S113" s="121">
        <v>1.5</v>
      </c>
      <c r="T113" s="121">
        <v>1.5</v>
      </c>
      <c r="U113" s="121">
        <v>1.5</v>
      </c>
      <c r="V113" s="121">
        <v>1</v>
      </c>
      <c r="W113" s="121"/>
      <c r="X113" s="121"/>
      <c r="Y113" s="121"/>
      <c r="Z113" s="121"/>
      <c r="AA113" s="121">
        <v>1</v>
      </c>
      <c r="AB113" s="121">
        <v>1.5</v>
      </c>
      <c r="AC113" s="121"/>
      <c r="AD113" s="121"/>
      <c r="AE113" s="121">
        <v>1.5</v>
      </c>
      <c r="AF113" s="121">
        <v>1.5</v>
      </c>
      <c r="AG113" s="121">
        <v>1.5</v>
      </c>
      <c r="AH113" s="121">
        <v>1.5</v>
      </c>
      <c r="AI113" s="121">
        <v>1.5</v>
      </c>
      <c r="AJ113" s="121">
        <v>1</v>
      </c>
      <c r="AK113" s="121"/>
      <c r="AL113" s="121"/>
      <c r="AM113" s="121"/>
      <c r="AN113" s="122">
        <f t="shared" si="2"/>
        <v>28</v>
      </c>
      <c r="AO113" s="118">
        <v>230000</v>
      </c>
      <c r="AP113" s="123">
        <f t="shared" si="3"/>
        <v>6440000</v>
      </c>
    </row>
    <row r="114" spans="1:42" ht="24.9" customHeight="1" x14ac:dyDescent="0.4">
      <c r="A114" s="115">
        <v>109</v>
      </c>
      <c r="B114" s="116" t="s">
        <v>507</v>
      </c>
      <c r="C114" s="117" t="s">
        <v>508</v>
      </c>
      <c r="D114" s="127" t="s">
        <v>345</v>
      </c>
      <c r="E114" s="117" t="s">
        <v>509</v>
      </c>
      <c r="F114" s="126" t="s">
        <v>329</v>
      </c>
      <c r="G114" s="119" t="s">
        <v>507</v>
      </c>
      <c r="H114" s="120" t="s">
        <v>510</v>
      </c>
      <c r="I114" s="121"/>
      <c r="J114" s="121">
        <v>1.5</v>
      </c>
      <c r="K114" s="121">
        <v>1.5</v>
      </c>
      <c r="L114" s="121">
        <v>1.5</v>
      </c>
      <c r="M114" s="121">
        <v>1.5</v>
      </c>
      <c r="N114" s="121">
        <v>1.5</v>
      </c>
      <c r="O114" s="121">
        <v>1</v>
      </c>
      <c r="P114" s="121"/>
      <c r="Q114" s="121">
        <v>1.5</v>
      </c>
      <c r="R114" s="121">
        <v>1.5</v>
      </c>
      <c r="S114" s="121">
        <v>1.5</v>
      </c>
      <c r="T114" s="121">
        <v>1.5</v>
      </c>
      <c r="U114" s="121">
        <v>1.5</v>
      </c>
      <c r="V114" s="121">
        <v>1</v>
      </c>
      <c r="W114" s="121"/>
      <c r="X114" s="121"/>
      <c r="Y114" s="121"/>
      <c r="Z114" s="121"/>
      <c r="AA114" s="121">
        <v>1</v>
      </c>
      <c r="AB114" s="121">
        <v>1.5</v>
      </c>
      <c r="AC114" s="121"/>
      <c r="AD114" s="121"/>
      <c r="AE114" s="121"/>
      <c r="AF114" s="121">
        <v>1.5</v>
      </c>
      <c r="AG114" s="121">
        <v>1.5</v>
      </c>
      <c r="AH114" s="121">
        <v>1.5</v>
      </c>
      <c r="AI114" s="121">
        <v>1.5</v>
      </c>
      <c r="AJ114" s="121">
        <v>0.5</v>
      </c>
      <c r="AK114" s="121"/>
      <c r="AL114" s="121"/>
      <c r="AM114" s="121"/>
      <c r="AN114" s="122">
        <f t="shared" si="2"/>
        <v>26</v>
      </c>
      <c r="AO114" s="118">
        <v>220000</v>
      </c>
      <c r="AP114" s="123">
        <f t="shared" si="3"/>
        <v>5720000</v>
      </c>
    </row>
    <row r="115" spans="1:42" ht="24.9" customHeight="1" x14ac:dyDescent="0.4">
      <c r="A115" s="124">
        <v>110</v>
      </c>
      <c r="B115" s="116" t="s">
        <v>677</v>
      </c>
      <c r="C115" s="117" t="s">
        <v>678</v>
      </c>
      <c r="D115" s="125" t="s">
        <v>322</v>
      </c>
      <c r="E115" s="117" t="s">
        <v>679</v>
      </c>
      <c r="F115" s="126" t="s">
        <v>329</v>
      </c>
      <c r="G115" s="119" t="s">
        <v>677</v>
      </c>
      <c r="H115" s="120" t="s">
        <v>680</v>
      </c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>
        <v>0.5</v>
      </c>
      <c r="T115" s="121">
        <v>1.5</v>
      </c>
      <c r="U115" s="121">
        <v>1.5</v>
      </c>
      <c r="V115" s="121"/>
      <c r="W115" s="121"/>
      <c r="X115" s="121"/>
      <c r="Y115" s="121"/>
      <c r="Z115" s="121"/>
      <c r="AA115" s="121">
        <v>1</v>
      </c>
      <c r="AB115" s="121">
        <v>1.5</v>
      </c>
      <c r="AC115" s="121"/>
      <c r="AD115" s="121"/>
      <c r="AE115" s="121">
        <v>1.5</v>
      </c>
      <c r="AF115" s="121">
        <v>1.5</v>
      </c>
      <c r="AG115" s="121">
        <v>1.5</v>
      </c>
      <c r="AH115" s="121">
        <v>1.5</v>
      </c>
      <c r="AI115" s="121">
        <v>1.5</v>
      </c>
      <c r="AJ115" s="121">
        <v>1</v>
      </c>
      <c r="AK115" s="121"/>
      <c r="AL115" s="121"/>
      <c r="AM115" s="121"/>
      <c r="AN115" s="122">
        <f t="shared" si="2"/>
        <v>14.5</v>
      </c>
      <c r="AO115" s="118">
        <v>150000</v>
      </c>
      <c r="AP115" s="123">
        <f t="shared" si="3"/>
        <v>2175000</v>
      </c>
    </row>
    <row r="116" spans="1:42" ht="24.9" customHeight="1" x14ac:dyDescent="0.4">
      <c r="A116" s="115">
        <v>111</v>
      </c>
      <c r="B116" s="116" t="s">
        <v>800</v>
      </c>
      <c r="C116" s="117" t="s">
        <v>801</v>
      </c>
      <c r="D116" s="127" t="s">
        <v>322</v>
      </c>
      <c r="E116" s="117" t="s">
        <v>802</v>
      </c>
      <c r="F116" s="126" t="s">
        <v>368</v>
      </c>
      <c r="G116" s="119" t="s">
        <v>800</v>
      </c>
      <c r="H116" s="120" t="s">
        <v>803</v>
      </c>
      <c r="I116" s="121"/>
      <c r="J116" s="121"/>
      <c r="K116" s="121"/>
      <c r="L116" s="121"/>
      <c r="M116" s="121"/>
      <c r="N116" s="121"/>
      <c r="O116" s="121"/>
      <c r="P116" s="121"/>
      <c r="Q116" s="121">
        <v>0.75</v>
      </c>
      <c r="R116" s="121"/>
      <c r="S116" s="121">
        <v>1</v>
      </c>
      <c r="T116" s="121">
        <v>1.5</v>
      </c>
      <c r="U116" s="121">
        <v>1.5</v>
      </c>
      <c r="V116" s="121"/>
      <c r="W116" s="121"/>
      <c r="X116" s="121"/>
      <c r="Y116" s="121"/>
      <c r="Z116" s="121"/>
      <c r="AA116" s="121">
        <v>1</v>
      </c>
      <c r="AB116" s="121">
        <v>1.5</v>
      </c>
      <c r="AC116" s="121"/>
      <c r="AD116" s="121"/>
      <c r="AE116" s="121">
        <v>1.5</v>
      </c>
      <c r="AF116" s="121">
        <v>1.5</v>
      </c>
      <c r="AG116" s="121">
        <v>1.5</v>
      </c>
      <c r="AH116" s="121">
        <v>1.5</v>
      </c>
      <c r="AI116" s="121">
        <v>1.5</v>
      </c>
      <c r="AJ116" s="121">
        <v>1</v>
      </c>
      <c r="AK116" s="121"/>
      <c r="AL116" s="121"/>
      <c r="AM116" s="121"/>
      <c r="AN116" s="122">
        <f t="shared" si="2"/>
        <v>15.75</v>
      </c>
      <c r="AO116" s="118">
        <v>160000</v>
      </c>
      <c r="AP116" s="123">
        <f t="shared" si="3"/>
        <v>2520000</v>
      </c>
    </row>
    <row r="117" spans="1:42" ht="24.9" customHeight="1" x14ac:dyDescent="0.4">
      <c r="A117" s="124">
        <v>112</v>
      </c>
      <c r="B117" s="116" t="s">
        <v>661</v>
      </c>
      <c r="C117" s="117" t="s">
        <v>662</v>
      </c>
      <c r="D117" s="127" t="s">
        <v>345</v>
      </c>
      <c r="E117" s="117" t="s">
        <v>663</v>
      </c>
      <c r="F117" s="126" t="s">
        <v>329</v>
      </c>
      <c r="G117" s="119" t="s">
        <v>661</v>
      </c>
      <c r="H117" s="120" t="s">
        <v>664</v>
      </c>
      <c r="I117" s="121"/>
      <c r="J117" s="121">
        <v>1.5</v>
      </c>
      <c r="K117" s="121">
        <v>1</v>
      </c>
      <c r="L117" s="121">
        <v>1.5</v>
      </c>
      <c r="M117" s="121">
        <v>1.5</v>
      </c>
      <c r="N117" s="121">
        <v>1.5</v>
      </c>
      <c r="O117" s="121">
        <v>1</v>
      </c>
      <c r="P117" s="121"/>
      <c r="Q117" s="121">
        <v>1.5</v>
      </c>
      <c r="R117" s="121">
        <v>1.5</v>
      </c>
      <c r="S117" s="121">
        <v>1.5</v>
      </c>
      <c r="T117" s="121">
        <v>0.5</v>
      </c>
      <c r="U117" s="121">
        <v>1.5</v>
      </c>
      <c r="V117" s="121">
        <v>1</v>
      </c>
      <c r="W117" s="121"/>
      <c r="X117" s="121"/>
      <c r="Y117" s="121"/>
      <c r="Z117" s="121"/>
      <c r="AA117" s="121">
        <v>1</v>
      </c>
      <c r="AB117" s="121">
        <v>1.5</v>
      </c>
      <c r="AC117" s="121"/>
      <c r="AD117" s="121"/>
      <c r="AE117" s="121">
        <v>1.5</v>
      </c>
      <c r="AF117" s="121">
        <v>1.5</v>
      </c>
      <c r="AG117" s="121">
        <v>1.5</v>
      </c>
      <c r="AH117" s="121">
        <v>1.5</v>
      </c>
      <c r="AI117" s="121">
        <v>1.5</v>
      </c>
      <c r="AJ117" s="121">
        <v>1</v>
      </c>
      <c r="AK117" s="121"/>
      <c r="AL117" s="121"/>
      <c r="AM117" s="121"/>
      <c r="AN117" s="122">
        <f t="shared" si="2"/>
        <v>26.5</v>
      </c>
      <c r="AO117" s="118">
        <v>230000</v>
      </c>
      <c r="AP117" s="123">
        <f t="shared" si="3"/>
        <v>6095000</v>
      </c>
    </row>
    <row r="118" spans="1:42" ht="24.9" customHeight="1" x14ac:dyDescent="0.4">
      <c r="A118" s="115">
        <v>113</v>
      </c>
      <c r="B118" s="116" t="s">
        <v>555</v>
      </c>
      <c r="C118" s="117" t="s">
        <v>556</v>
      </c>
      <c r="D118" s="127" t="s">
        <v>322</v>
      </c>
      <c r="E118" s="117" t="s">
        <v>557</v>
      </c>
      <c r="F118" s="126" t="s">
        <v>396</v>
      </c>
      <c r="G118" s="119" t="s">
        <v>555</v>
      </c>
      <c r="H118" s="120" t="s">
        <v>558</v>
      </c>
      <c r="I118" s="121"/>
      <c r="J118" s="121">
        <v>1.5</v>
      </c>
      <c r="K118" s="121">
        <v>1.5</v>
      </c>
      <c r="L118" s="121">
        <v>1.5</v>
      </c>
      <c r="M118" s="121">
        <v>1.5</v>
      </c>
      <c r="N118" s="121">
        <v>1.5</v>
      </c>
      <c r="O118" s="121"/>
      <c r="P118" s="121"/>
      <c r="Q118" s="121">
        <v>1.5</v>
      </c>
      <c r="R118" s="121">
        <v>1.5</v>
      </c>
      <c r="S118" s="121">
        <v>1.5</v>
      </c>
      <c r="T118" s="121">
        <v>1.5</v>
      </c>
      <c r="U118" s="121">
        <v>1.5</v>
      </c>
      <c r="V118" s="121"/>
      <c r="W118" s="121"/>
      <c r="X118" s="121"/>
      <c r="Y118" s="121"/>
      <c r="Z118" s="121"/>
      <c r="AA118" s="121">
        <v>1</v>
      </c>
      <c r="AB118" s="121">
        <v>1.5</v>
      </c>
      <c r="AC118" s="121"/>
      <c r="AD118" s="121"/>
      <c r="AE118" s="121">
        <v>1.5</v>
      </c>
      <c r="AF118" s="121">
        <v>1.5</v>
      </c>
      <c r="AG118" s="121">
        <v>1.5</v>
      </c>
      <c r="AH118" s="121">
        <v>1.5</v>
      </c>
      <c r="AI118" s="121">
        <v>1.5</v>
      </c>
      <c r="AJ118" s="121">
        <v>1</v>
      </c>
      <c r="AK118" s="121"/>
      <c r="AL118" s="121"/>
      <c r="AM118" s="121"/>
      <c r="AN118" s="122">
        <f t="shared" si="2"/>
        <v>26</v>
      </c>
      <c r="AO118" s="118">
        <v>160000</v>
      </c>
      <c r="AP118" s="123">
        <f t="shared" si="3"/>
        <v>4160000</v>
      </c>
    </row>
    <row r="119" spans="1:42" ht="24.9" customHeight="1" x14ac:dyDescent="0.4">
      <c r="A119" s="124">
        <v>114</v>
      </c>
      <c r="B119" s="116" t="s">
        <v>804</v>
      </c>
      <c r="C119" s="117" t="s">
        <v>805</v>
      </c>
      <c r="D119" s="125" t="s">
        <v>322</v>
      </c>
      <c r="E119" s="117" t="s">
        <v>806</v>
      </c>
      <c r="F119" s="126" t="s">
        <v>312</v>
      </c>
      <c r="G119" s="119" t="s">
        <v>804</v>
      </c>
      <c r="H119" s="120" t="s">
        <v>807</v>
      </c>
      <c r="I119" s="121"/>
      <c r="J119" s="121">
        <v>0.625</v>
      </c>
      <c r="K119" s="121"/>
      <c r="L119" s="121">
        <v>1</v>
      </c>
      <c r="M119" s="121">
        <v>1.5</v>
      </c>
      <c r="N119" s="121">
        <v>1.5</v>
      </c>
      <c r="O119" s="121">
        <v>1</v>
      </c>
      <c r="P119" s="121"/>
      <c r="Q119" s="121">
        <v>1.5</v>
      </c>
      <c r="R119" s="121">
        <v>1.5</v>
      </c>
      <c r="S119" s="121">
        <v>1.5</v>
      </c>
      <c r="T119" s="121">
        <v>1.5</v>
      </c>
      <c r="U119" s="121">
        <v>1.5</v>
      </c>
      <c r="V119" s="121">
        <v>0.875</v>
      </c>
      <c r="W119" s="121"/>
      <c r="X119" s="121"/>
      <c r="Y119" s="121"/>
      <c r="Z119" s="121"/>
      <c r="AA119" s="121">
        <v>1</v>
      </c>
      <c r="AB119" s="121">
        <v>1.5</v>
      </c>
      <c r="AC119" s="121"/>
      <c r="AD119" s="121"/>
      <c r="AE119" s="121">
        <v>1.5</v>
      </c>
      <c r="AF119" s="121">
        <v>1.5</v>
      </c>
      <c r="AG119" s="121">
        <v>1.5</v>
      </c>
      <c r="AH119" s="121">
        <v>1.5</v>
      </c>
      <c r="AI119" s="121">
        <v>1</v>
      </c>
      <c r="AJ119" s="121">
        <v>1</v>
      </c>
      <c r="AK119" s="121"/>
      <c r="AL119" s="121"/>
      <c r="AM119" s="121"/>
      <c r="AN119" s="122">
        <f t="shared" si="2"/>
        <v>24.5</v>
      </c>
      <c r="AO119" s="118">
        <v>160000</v>
      </c>
      <c r="AP119" s="123">
        <f t="shared" si="3"/>
        <v>3920000</v>
      </c>
    </row>
    <row r="120" spans="1:42" ht="24.9" customHeight="1" x14ac:dyDescent="0.4">
      <c r="A120" s="115">
        <v>115</v>
      </c>
      <c r="B120" s="116" t="s">
        <v>470</v>
      </c>
      <c r="C120" s="117" t="s">
        <v>471</v>
      </c>
      <c r="D120" s="125" t="s">
        <v>322</v>
      </c>
      <c r="E120" s="117" t="s">
        <v>472</v>
      </c>
      <c r="F120" s="126" t="s">
        <v>396</v>
      </c>
      <c r="G120" s="119" t="s">
        <v>470</v>
      </c>
      <c r="H120" s="120" t="s">
        <v>473</v>
      </c>
      <c r="I120" s="121"/>
      <c r="J120" s="121">
        <v>1.5</v>
      </c>
      <c r="K120" s="121">
        <v>1.5</v>
      </c>
      <c r="L120" s="121">
        <v>1.5</v>
      </c>
      <c r="M120" s="121">
        <v>1.5</v>
      </c>
      <c r="N120" s="121">
        <v>1.5</v>
      </c>
      <c r="O120" s="121">
        <v>1</v>
      </c>
      <c r="P120" s="121"/>
      <c r="Q120" s="121">
        <v>1.5</v>
      </c>
      <c r="R120" s="121">
        <v>1.5</v>
      </c>
      <c r="S120" s="121">
        <v>1.5</v>
      </c>
      <c r="T120" s="121">
        <v>1.5</v>
      </c>
      <c r="U120" s="121">
        <v>1.5</v>
      </c>
      <c r="V120" s="121">
        <v>1</v>
      </c>
      <c r="W120" s="121"/>
      <c r="X120" s="121"/>
      <c r="Y120" s="121"/>
      <c r="Z120" s="121"/>
      <c r="AA120" s="121">
        <v>1</v>
      </c>
      <c r="AB120" s="121">
        <v>1.5</v>
      </c>
      <c r="AC120" s="121"/>
      <c r="AD120" s="121"/>
      <c r="AE120" s="121">
        <v>1.5</v>
      </c>
      <c r="AF120" s="121">
        <v>1.5</v>
      </c>
      <c r="AG120" s="121">
        <v>1.5</v>
      </c>
      <c r="AH120" s="121">
        <v>1.5</v>
      </c>
      <c r="AI120" s="121">
        <v>1.5</v>
      </c>
      <c r="AJ120" s="121">
        <v>1</v>
      </c>
      <c r="AK120" s="121"/>
      <c r="AL120" s="121"/>
      <c r="AM120" s="121"/>
      <c r="AN120" s="122">
        <f t="shared" si="2"/>
        <v>28</v>
      </c>
      <c r="AO120" s="118">
        <v>170000</v>
      </c>
      <c r="AP120" s="123">
        <f t="shared" si="3"/>
        <v>4760000</v>
      </c>
    </row>
    <row r="121" spans="1:42" ht="24.9" customHeight="1" x14ac:dyDescent="0.4">
      <c r="A121" s="124">
        <v>116</v>
      </c>
      <c r="B121" s="116" t="s">
        <v>474</v>
      </c>
      <c r="C121" s="117" t="s">
        <v>475</v>
      </c>
      <c r="D121" s="127" t="s">
        <v>316</v>
      </c>
      <c r="E121" s="117" t="s">
        <v>476</v>
      </c>
      <c r="F121" s="126" t="s">
        <v>368</v>
      </c>
      <c r="G121" s="119" t="s">
        <v>474</v>
      </c>
      <c r="H121" s="120" t="s">
        <v>477</v>
      </c>
      <c r="I121" s="121"/>
      <c r="J121" s="121">
        <v>2</v>
      </c>
      <c r="K121" s="121">
        <v>2</v>
      </c>
      <c r="L121" s="121">
        <v>2</v>
      </c>
      <c r="M121" s="121">
        <v>2</v>
      </c>
      <c r="N121" s="121">
        <v>2</v>
      </c>
      <c r="O121" s="121"/>
      <c r="P121" s="121"/>
      <c r="Q121" s="121">
        <v>2</v>
      </c>
      <c r="R121" s="121">
        <v>2</v>
      </c>
      <c r="S121" s="121">
        <v>2</v>
      </c>
      <c r="T121" s="121">
        <v>2</v>
      </c>
      <c r="U121" s="121">
        <v>2</v>
      </c>
      <c r="V121" s="121"/>
      <c r="W121" s="121"/>
      <c r="X121" s="121"/>
      <c r="Y121" s="121"/>
      <c r="Z121" s="121"/>
      <c r="AA121" s="121">
        <v>2</v>
      </c>
      <c r="AB121" s="121">
        <v>2</v>
      </c>
      <c r="AC121" s="121"/>
      <c r="AD121" s="121"/>
      <c r="AE121" s="121">
        <v>2</v>
      </c>
      <c r="AF121" s="121">
        <v>2</v>
      </c>
      <c r="AG121" s="121">
        <v>2</v>
      </c>
      <c r="AH121" s="121">
        <v>2</v>
      </c>
      <c r="AI121" s="121">
        <v>2</v>
      </c>
      <c r="AJ121" s="121"/>
      <c r="AK121" s="121"/>
      <c r="AL121" s="121"/>
      <c r="AM121" s="121"/>
      <c r="AN121" s="122">
        <f t="shared" si="2"/>
        <v>34</v>
      </c>
      <c r="AO121" s="118">
        <v>240000</v>
      </c>
      <c r="AP121" s="123">
        <f t="shared" si="3"/>
        <v>8160000</v>
      </c>
    </row>
    <row r="122" spans="1:42" ht="24.9" customHeight="1" x14ac:dyDescent="0.4">
      <c r="A122" s="115">
        <v>117</v>
      </c>
      <c r="B122" s="116" t="s">
        <v>478</v>
      </c>
      <c r="C122" s="117" t="s">
        <v>479</v>
      </c>
      <c r="D122" s="125" t="s">
        <v>322</v>
      </c>
      <c r="E122" s="117" t="s">
        <v>480</v>
      </c>
      <c r="F122" s="126" t="s">
        <v>458</v>
      </c>
      <c r="G122" s="119" t="s">
        <v>478</v>
      </c>
      <c r="H122" s="120" t="s">
        <v>481</v>
      </c>
      <c r="I122" s="121"/>
      <c r="J122" s="121">
        <v>2</v>
      </c>
      <c r="K122" s="121">
        <v>2</v>
      </c>
      <c r="L122" s="121">
        <v>2</v>
      </c>
      <c r="M122" s="121">
        <v>2</v>
      </c>
      <c r="N122" s="121">
        <v>2</v>
      </c>
      <c r="O122" s="121"/>
      <c r="P122" s="121"/>
      <c r="Q122" s="121">
        <v>2</v>
      </c>
      <c r="R122" s="121">
        <v>2</v>
      </c>
      <c r="S122" s="121">
        <v>2</v>
      </c>
      <c r="T122" s="121">
        <v>2</v>
      </c>
      <c r="U122" s="121">
        <v>2</v>
      </c>
      <c r="V122" s="121"/>
      <c r="W122" s="121"/>
      <c r="X122" s="121"/>
      <c r="Y122" s="121"/>
      <c r="Z122" s="121"/>
      <c r="AA122" s="121">
        <v>2</v>
      </c>
      <c r="AB122" s="121">
        <v>2</v>
      </c>
      <c r="AC122" s="121"/>
      <c r="AD122" s="121"/>
      <c r="AE122" s="121">
        <v>2</v>
      </c>
      <c r="AF122" s="121">
        <v>2</v>
      </c>
      <c r="AG122" s="121">
        <v>2</v>
      </c>
      <c r="AH122" s="121">
        <v>2</v>
      </c>
      <c r="AI122" s="121">
        <v>2</v>
      </c>
      <c r="AJ122" s="121"/>
      <c r="AK122" s="121"/>
      <c r="AL122" s="121"/>
      <c r="AM122" s="121"/>
      <c r="AN122" s="122">
        <f t="shared" si="2"/>
        <v>34</v>
      </c>
      <c r="AO122" s="118">
        <v>200000</v>
      </c>
      <c r="AP122" s="123">
        <f t="shared" si="3"/>
        <v>6800000</v>
      </c>
    </row>
    <row r="123" spans="1:42" ht="24.9" customHeight="1" x14ac:dyDescent="0.4">
      <c r="A123" s="124">
        <v>118</v>
      </c>
      <c r="B123" s="116" t="s">
        <v>487</v>
      </c>
      <c r="C123" s="117" t="s">
        <v>488</v>
      </c>
      <c r="D123" s="127" t="s">
        <v>322</v>
      </c>
      <c r="E123" s="117" t="s">
        <v>489</v>
      </c>
      <c r="F123" s="126" t="s">
        <v>318</v>
      </c>
      <c r="G123" s="119" t="s">
        <v>487</v>
      </c>
      <c r="H123" s="120" t="s">
        <v>490</v>
      </c>
      <c r="I123" s="121"/>
      <c r="J123" s="121">
        <v>1.5</v>
      </c>
      <c r="K123" s="121">
        <v>1.5</v>
      </c>
      <c r="L123" s="121">
        <v>1.5</v>
      </c>
      <c r="M123" s="121">
        <v>1.5</v>
      </c>
      <c r="N123" s="121">
        <v>1.5</v>
      </c>
      <c r="O123" s="121">
        <v>1</v>
      </c>
      <c r="P123" s="121"/>
      <c r="Q123" s="121">
        <v>1.5</v>
      </c>
      <c r="R123" s="121">
        <v>1.5</v>
      </c>
      <c r="S123" s="121">
        <v>1.5</v>
      </c>
      <c r="T123" s="121">
        <v>1.5</v>
      </c>
      <c r="U123" s="121">
        <v>1.5</v>
      </c>
      <c r="V123" s="121">
        <v>1</v>
      </c>
      <c r="W123" s="121"/>
      <c r="X123" s="121"/>
      <c r="Y123" s="121"/>
      <c r="Z123" s="121"/>
      <c r="AA123" s="121">
        <v>1</v>
      </c>
      <c r="AB123" s="121">
        <v>1.5</v>
      </c>
      <c r="AC123" s="121"/>
      <c r="AD123" s="121"/>
      <c r="AE123" s="121">
        <v>1.5</v>
      </c>
      <c r="AF123" s="121">
        <v>1.5</v>
      </c>
      <c r="AG123" s="121">
        <v>1.5</v>
      </c>
      <c r="AH123" s="121">
        <v>1.5</v>
      </c>
      <c r="AI123" s="121">
        <v>1.5</v>
      </c>
      <c r="AJ123" s="121">
        <v>1</v>
      </c>
      <c r="AK123" s="121"/>
      <c r="AL123" s="121"/>
      <c r="AM123" s="121"/>
      <c r="AN123" s="122">
        <f t="shared" si="2"/>
        <v>28</v>
      </c>
      <c r="AO123" s="118">
        <v>170000</v>
      </c>
      <c r="AP123" s="123">
        <f t="shared" si="3"/>
        <v>4760000</v>
      </c>
    </row>
    <row r="124" spans="1:42" ht="24.9" customHeight="1" thickBot="1" x14ac:dyDescent="0.45">
      <c r="A124" s="115">
        <v>119</v>
      </c>
      <c r="B124" s="116" t="s">
        <v>482</v>
      </c>
      <c r="C124" s="117" t="s">
        <v>483</v>
      </c>
      <c r="D124" s="127" t="s">
        <v>322</v>
      </c>
      <c r="E124" s="117" t="s">
        <v>484</v>
      </c>
      <c r="F124" s="126" t="s">
        <v>312</v>
      </c>
      <c r="G124" s="119" t="s">
        <v>482</v>
      </c>
      <c r="H124" s="120" t="s">
        <v>485</v>
      </c>
      <c r="I124" s="121"/>
      <c r="J124" s="121">
        <v>1.5</v>
      </c>
      <c r="K124" s="121">
        <v>1.5</v>
      </c>
      <c r="L124" s="121">
        <v>1.5</v>
      </c>
      <c r="M124" s="121">
        <v>1.5</v>
      </c>
      <c r="N124" s="121">
        <v>1.5</v>
      </c>
      <c r="O124" s="121">
        <v>1</v>
      </c>
      <c r="P124" s="121"/>
      <c r="Q124" s="121">
        <v>1.5</v>
      </c>
      <c r="R124" s="121">
        <v>1.5</v>
      </c>
      <c r="S124" s="121">
        <v>1.5</v>
      </c>
      <c r="T124" s="121">
        <v>1.5</v>
      </c>
      <c r="U124" s="121">
        <v>1.5</v>
      </c>
      <c r="V124" s="121">
        <v>1</v>
      </c>
      <c r="W124" s="121"/>
      <c r="X124" s="121"/>
      <c r="Y124" s="121"/>
      <c r="Z124" s="121"/>
      <c r="AA124" s="121">
        <v>1</v>
      </c>
      <c r="AB124" s="121">
        <v>1.5</v>
      </c>
      <c r="AC124" s="121"/>
      <c r="AD124" s="121"/>
      <c r="AE124" s="121">
        <v>1.5</v>
      </c>
      <c r="AF124" s="121">
        <v>1.5</v>
      </c>
      <c r="AG124" s="121">
        <v>1.5</v>
      </c>
      <c r="AH124" s="121">
        <v>1.5</v>
      </c>
      <c r="AI124" s="121">
        <v>1.5</v>
      </c>
      <c r="AJ124" s="121">
        <v>1</v>
      </c>
      <c r="AK124" s="121"/>
      <c r="AL124" s="121"/>
      <c r="AM124" s="121"/>
      <c r="AN124" s="122">
        <f t="shared" si="2"/>
        <v>28</v>
      </c>
      <c r="AO124" s="118">
        <v>180000</v>
      </c>
      <c r="AP124" s="123">
        <f t="shared" si="3"/>
        <v>5040000</v>
      </c>
    </row>
    <row r="125" spans="1:42" ht="30" customHeight="1" thickBot="1" x14ac:dyDescent="0.45">
      <c r="A125" s="303" t="s">
        <v>220</v>
      </c>
      <c r="B125" s="304"/>
      <c r="C125" s="304"/>
      <c r="D125" s="304"/>
      <c r="E125" s="304"/>
      <c r="F125" s="304"/>
      <c r="G125" s="304"/>
      <c r="H125" s="305"/>
      <c r="I125" s="128">
        <f t="shared" ref="I125:AN125" si="6">SUM(I6:I124)</f>
        <v>0</v>
      </c>
      <c r="J125" s="129">
        <f t="shared" si="6"/>
        <v>156.375</v>
      </c>
      <c r="K125" s="129">
        <f t="shared" si="6"/>
        <v>145.75</v>
      </c>
      <c r="L125" s="129">
        <f t="shared" si="6"/>
        <v>160</v>
      </c>
      <c r="M125" s="129">
        <f t="shared" si="6"/>
        <v>161.25</v>
      </c>
      <c r="N125" s="129">
        <f t="shared" si="6"/>
        <v>156.75</v>
      </c>
      <c r="O125" s="129">
        <f t="shared" si="6"/>
        <v>41.375</v>
      </c>
      <c r="P125" s="129">
        <f t="shared" si="6"/>
        <v>0</v>
      </c>
      <c r="Q125" s="129">
        <f t="shared" si="6"/>
        <v>170.875</v>
      </c>
      <c r="R125" s="129">
        <f t="shared" si="6"/>
        <v>159.625</v>
      </c>
      <c r="S125" s="129">
        <f t="shared" si="6"/>
        <v>170.875</v>
      </c>
      <c r="T125" s="129">
        <f t="shared" si="6"/>
        <v>176.75</v>
      </c>
      <c r="U125" s="129">
        <f t="shared" si="6"/>
        <v>176.625</v>
      </c>
      <c r="V125" s="129">
        <f t="shared" si="6"/>
        <v>37.75</v>
      </c>
      <c r="W125" s="129">
        <f t="shared" si="6"/>
        <v>0</v>
      </c>
      <c r="X125" s="129">
        <f t="shared" si="6"/>
        <v>0</v>
      </c>
      <c r="Y125" s="129">
        <f t="shared" si="6"/>
        <v>0</v>
      </c>
      <c r="Z125" s="129">
        <f t="shared" si="6"/>
        <v>0</v>
      </c>
      <c r="AA125" s="129">
        <f t="shared" si="6"/>
        <v>142.625</v>
      </c>
      <c r="AB125" s="129">
        <f t="shared" si="6"/>
        <v>172.5</v>
      </c>
      <c r="AC125" s="129">
        <f t="shared" si="6"/>
        <v>0</v>
      </c>
      <c r="AD125" s="129">
        <f t="shared" si="6"/>
        <v>0</v>
      </c>
      <c r="AE125" s="129">
        <f t="shared" si="6"/>
        <v>178.5</v>
      </c>
      <c r="AF125" s="129">
        <f t="shared" si="6"/>
        <v>181.75</v>
      </c>
      <c r="AG125" s="129">
        <f t="shared" si="6"/>
        <v>179.25</v>
      </c>
      <c r="AH125" s="129">
        <f t="shared" si="6"/>
        <v>178.375</v>
      </c>
      <c r="AI125" s="129">
        <f t="shared" si="6"/>
        <v>178.125</v>
      </c>
      <c r="AJ125" s="129">
        <f t="shared" si="6"/>
        <v>50</v>
      </c>
      <c r="AK125" s="129">
        <f t="shared" si="6"/>
        <v>0</v>
      </c>
      <c r="AL125" s="129">
        <f t="shared" si="6"/>
        <v>0</v>
      </c>
      <c r="AM125" s="130">
        <f t="shared" si="6"/>
        <v>0</v>
      </c>
      <c r="AN125" s="131">
        <f t="shared" si="6"/>
        <v>2975.125</v>
      </c>
      <c r="AO125" s="132">
        <f>AP125/AN125</f>
        <v>183883.03012478468</v>
      </c>
      <c r="AP125" s="133">
        <f>SUM(AP6:AP124)</f>
        <v>547075000</v>
      </c>
    </row>
    <row r="126" spans="1:42" ht="24.9" customHeight="1" x14ac:dyDescent="0.4">
      <c r="A126" s="115">
        <v>1</v>
      </c>
      <c r="B126" s="116"/>
      <c r="C126" s="117"/>
      <c r="D126" s="117"/>
      <c r="E126" s="117"/>
      <c r="F126" s="118"/>
      <c r="G126" s="119"/>
      <c r="H126" s="120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2">
        <f>SUM(I126:AM126)</f>
        <v>0</v>
      </c>
      <c r="AO126" s="118"/>
      <c r="AP126" s="123">
        <f>AN126*AO126</f>
        <v>0</v>
      </c>
    </row>
    <row r="127" spans="1:42" ht="24.9" customHeight="1" x14ac:dyDescent="0.4">
      <c r="A127" s="124">
        <v>2</v>
      </c>
      <c r="B127" s="116"/>
      <c r="C127" s="117"/>
      <c r="D127" s="125"/>
      <c r="E127" s="117"/>
      <c r="F127" s="126"/>
      <c r="G127" s="119"/>
      <c r="H127" s="120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2">
        <f t="shared" ref="AN127:AN130" si="7">SUM(I127:AM127)</f>
        <v>0</v>
      </c>
      <c r="AO127" s="118"/>
      <c r="AP127" s="123">
        <f t="shared" ref="AP127:AP130" si="8">AN127*AO127</f>
        <v>0</v>
      </c>
    </row>
    <row r="128" spans="1:42" ht="24.9" customHeight="1" x14ac:dyDescent="0.4">
      <c r="A128" s="124">
        <v>3</v>
      </c>
      <c r="B128" s="116"/>
      <c r="C128" s="117"/>
      <c r="D128" s="127"/>
      <c r="E128" s="117"/>
      <c r="F128" s="126"/>
      <c r="G128" s="119"/>
      <c r="H128" s="120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2">
        <f t="shared" si="7"/>
        <v>0</v>
      </c>
      <c r="AO128" s="118"/>
      <c r="AP128" s="123">
        <f t="shared" si="8"/>
        <v>0</v>
      </c>
    </row>
    <row r="129" spans="1:42" ht="24.9" customHeight="1" x14ac:dyDescent="0.4">
      <c r="A129" s="124">
        <v>4</v>
      </c>
      <c r="B129" s="116"/>
      <c r="C129" s="117"/>
      <c r="D129" s="125"/>
      <c r="E129" s="117"/>
      <c r="F129" s="126"/>
      <c r="G129" s="119"/>
      <c r="H129" s="120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2">
        <f t="shared" si="7"/>
        <v>0</v>
      </c>
      <c r="AO129" s="118"/>
      <c r="AP129" s="123">
        <f t="shared" si="8"/>
        <v>0</v>
      </c>
    </row>
    <row r="130" spans="1:42" ht="24.9" customHeight="1" thickBot="1" x14ac:dyDescent="0.45">
      <c r="A130" s="124">
        <v>5</v>
      </c>
      <c r="B130" s="116"/>
      <c r="C130" s="117"/>
      <c r="D130" s="125"/>
      <c r="E130" s="117"/>
      <c r="F130" s="126"/>
      <c r="G130" s="119"/>
      <c r="H130" s="120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2">
        <f t="shared" si="7"/>
        <v>0</v>
      </c>
      <c r="AO130" s="118"/>
      <c r="AP130" s="123">
        <f t="shared" si="8"/>
        <v>0</v>
      </c>
    </row>
    <row r="131" spans="1:42" ht="30" customHeight="1" thickBot="1" x14ac:dyDescent="0.45">
      <c r="A131" s="303" t="s">
        <v>235</v>
      </c>
      <c r="B131" s="304"/>
      <c r="C131" s="304"/>
      <c r="D131" s="304"/>
      <c r="E131" s="304"/>
      <c r="F131" s="304"/>
      <c r="G131" s="304"/>
      <c r="H131" s="305"/>
      <c r="I131" s="128">
        <f t="shared" ref="I131:AN131" si="9">SUM(I126:I130)</f>
        <v>0</v>
      </c>
      <c r="J131" s="129">
        <f t="shared" si="9"/>
        <v>0</v>
      </c>
      <c r="K131" s="129">
        <f t="shared" si="9"/>
        <v>0</v>
      </c>
      <c r="L131" s="129">
        <f t="shared" si="9"/>
        <v>0</v>
      </c>
      <c r="M131" s="129">
        <f t="shared" si="9"/>
        <v>0</v>
      </c>
      <c r="N131" s="129">
        <f t="shared" si="9"/>
        <v>0</v>
      </c>
      <c r="O131" s="129">
        <f t="shared" si="9"/>
        <v>0</v>
      </c>
      <c r="P131" s="129">
        <f t="shared" si="9"/>
        <v>0</v>
      </c>
      <c r="Q131" s="129">
        <f t="shared" si="9"/>
        <v>0</v>
      </c>
      <c r="R131" s="129">
        <f t="shared" si="9"/>
        <v>0</v>
      </c>
      <c r="S131" s="129">
        <f t="shared" si="9"/>
        <v>0</v>
      </c>
      <c r="T131" s="129">
        <f t="shared" si="9"/>
        <v>0</v>
      </c>
      <c r="U131" s="129">
        <f t="shared" si="9"/>
        <v>0</v>
      </c>
      <c r="V131" s="129">
        <f t="shared" si="9"/>
        <v>0</v>
      </c>
      <c r="W131" s="129">
        <f t="shared" si="9"/>
        <v>0</v>
      </c>
      <c r="X131" s="129">
        <f t="shared" si="9"/>
        <v>0</v>
      </c>
      <c r="Y131" s="129">
        <f t="shared" si="9"/>
        <v>0</v>
      </c>
      <c r="Z131" s="129">
        <f t="shared" si="9"/>
        <v>0</v>
      </c>
      <c r="AA131" s="129">
        <f t="shared" si="9"/>
        <v>0</v>
      </c>
      <c r="AB131" s="129">
        <f t="shared" si="9"/>
        <v>0</v>
      </c>
      <c r="AC131" s="129">
        <f t="shared" si="9"/>
        <v>0</v>
      </c>
      <c r="AD131" s="129">
        <f t="shared" si="9"/>
        <v>0</v>
      </c>
      <c r="AE131" s="129">
        <f t="shared" si="9"/>
        <v>0</v>
      </c>
      <c r="AF131" s="129">
        <f t="shared" si="9"/>
        <v>0</v>
      </c>
      <c r="AG131" s="129">
        <f t="shared" si="9"/>
        <v>0</v>
      </c>
      <c r="AH131" s="129">
        <f t="shared" si="9"/>
        <v>0</v>
      </c>
      <c r="AI131" s="129">
        <f t="shared" si="9"/>
        <v>0</v>
      </c>
      <c r="AJ131" s="129">
        <f t="shared" si="9"/>
        <v>0</v>
      </c>
      <c r="AK131" s="129">
        <f t="shared" si="9"/>
        <v>0</v>
      </c>
      <c r="AL131" s="129">
        <f t="shared" si="9"/>
        <v>0</v>
      </c>
      <c r="AM131" s="130">
        <f t="shared" si="9"/>
        <v>0</v>
      </c>
      <c r="AN131" s="131">
        <f t="shared" si="9"/>
        <v>0</v>
      </c>
      <c r="AO131" s="132"/>
      <c r="AP131" s="133">
        <f>SUM(AP126:AP130)</f>
        <v>0</v>
      </c>
    </row>
    <row r="132" spans="1:42" ht="35.1" customHeight="1" thickBot="1" x14ac:dyDescent="0.45">
      <c r="A132" s="306" t="s">
        <v>236</v>
      </c>
      <c r="B132" s="307"/>
      <c r="C132" s="307"/>
      <c r="D132" s="307"/>
      <c r="E132" s="307"/>
      <c r="F132" s="307"/>
      <c r="G132" s="307"/>
      <c r="H132" s="308"/>
      <c r="I132" s="134">
        <f t="shared" ref="I132:AN132" si="10">I125+I131</f>
        <v>0</v>
      </c>
      <c r="J132" s="135">
        <f t="shared" si="10"/>
        <v>156.375</v>
      </c>
      <c r="K132" s="135">
        <f t="shared" si="10"/>
        <v>145.75</v>
      </c>
      <c r="L132" s="135">
        <f t="shared" si="10"/>
        <v>160</v>
      </c>
      <c r="M132" s="135">
        <f t="shared" si="10"/>
        <v>161.25</v>
      </c>
      <c r="N132" s="135">
        <f t="shared" si="10"/>
        <v>156.75</v>
      </c>
      <c r="O132" s="135">
        <f t="shared" si="10"/>
        <v>41.375</v>
      </c>
      <c r="P132" s="135">
        <f t="shared" si="10"/>
        <v>0</v>
      </c>
      <c r="Q132" s="135">
        <f t="shared" si="10"/>
        <v>170.875</v>
      </c>
      <c r="R132" s="135">
        <f t="shared" si="10"/>
        <v>159.625</v>
      </c>
      <c r="S132" s="135">
        <f t="shared" si="10"/>
        <v>170.875</v>
      </c>
      <c r="T132" s="135">
        <f t="shared" si="10"/>
        <v>176.75</v>
      </c>
      <c r="U132" s="135">
        <f t="shared" si="10"/>
        <v>176.625</v>
      </c>
      <c r="V132" s="135">
        <f t="shared" si="10"/>
        <v>37.75</v>
      </c>
      <c r="W132" s="135">
        <f t="shared" si="10"/>
        <v>0</v>
      </c>
      <c r="X132" s="135">
        <f t="shared" si="10"/>
        <v>0</v>
      </c>
      <c r="Y132" s="135">
        <f t="shared" si="10"/>
        <v>0</v>
      </c>
      <c r="Z132" s="135">
        <f t="shared" si="10"/>
        <v>0</v>
      </c>
      <c r="AA132" s="135">
        <f t="shared" si="10"/>
        <v>142.625</v>
      </c>
      <c r="AB132" s="135">
        <f t="shared" si="10"/>
        <v>172.5</v>
      </c>
      <c r="AC132" s="135">
        <f t="shared" si="10"/>
        <v>0</v>
      </c>
      <c r="AD132" s="135">
        <f t="shared" si="10"/>
        <v>0</v>
      </c>
      <c r="AE132" s="135">
        <f t="shared" si="10"/>
        <v>178.5</v>
      </c>
      <c r="AF132" s="135">
        <f t="shared" si="10"/>
        <v>181.75</v>
      </c>
      <c r="AG132" s="135">
        <f t="shared" si="10"/>
        <v>179.25</v>
      </c>
      <c r="AH132" s="135">
        <f t="shared" si="10"/>
        <v>178.375</v>
      </c>
      <c r="AI132" s="135">
        <f t="shared" si="10"/>
        <v>178.125</v>
      </c>
      <c r="AJ132" s="135">
        <f t="shared" si="10"/>
        <v>50</v>
      </c>
      <c r="AK132" s="135">
        <f t="shared" si="10"/>
        <v>0</v>
      </c>
      <c r="AL132" s="135">
        <f t="shared" si="10"/>
        <v>0</v>
      </c>
      <c r="AM132" s="135">
        <f t="shared" si="10"/>
        <v>0</v>
      </c>
      <c r="AN132" s="136">
        <f t="shared" si="10"/>
        <v>2975.125</v>
      </c>
      <c r="AO132" s="137">
        <f>AP132/AN132</f>
        <v>183883.03012478468</v>
      </c>
      <c r="AP132" s="138">
        <f>AP125+AP131</f>
        <v>547075000</v>
      </c>
    </row>
    <row r="133" spans="1:42" x14ac:dyDescent="0.4">
      <c r="G133" s="100"/>
      <c r="H133" s="100"/>
      <c r="AG133" s="139"/>
      <c r="AI133" s="140"/>
      <c r="AO133" s="100"/>
    </row>
    <row r="134" spans="1:42" x14ac:dyDescent="0.4">
      <c r="G134" s="100"/>
      <c r="H134" s="100"/>
      <c r="AG134" s="139"/>
      <c r="AI134" s="140"/>
      <c r="AO134" s="100"/>
    </row>
    <row r="135" spans="1:42" x14ac:dyDescent="0.4">
      <c r="G135" s="100"/>
      <c r="H135" s="100"/>
      <c r="AG135" s="139"/>
      <c r="AI135" s="140"/>
      <c r="AO135" s="100"/>
    </row>
    <row r="136" spans="1:42" x14ac:dyDescent="0.4">
      <c r="G136" s="100"/>
      <c r="H136" s="100"/>
      <c r="AG136" s="139"/>
      <c r="AI136" s="140"/>
      <c r="AO136" s="100"/>
    </row>
    <row r="137" spans="1:42" x14ac:dyDescent="0.4">
      <c r="G137" s="100"/>
      <c r="H137" s="100"/>
      <c r="AI137" s="139"/>
      <c r="AM137" s="140"/>
      <c r="AO137" s="100"/>
    </row>
    <row r="138" spans="1:42" x14ac:dyDescent="0.4">
      <c r="G138" s="100"/>
      <c r="H138" s="100"/>
      <c r="AI138" s="139"/>
      <c r="AJ138" s="139"/>
      <c r="AM138" s="140"/>
      <c r="AO138" s="100"/>
    </row>
    <row r="139" spans="1:42" x14ac:dyDescent="0.4">
      <c r="G139" s="100"/>
      <c r="H139" s="100"/>
      <c r="AJ139" s="139"/>
      <c r="AK139" s="139"/>
      <c r="AL139" s="139"/>
      <c r="AO139" s="100"/>
    </row>
    <row r="140" spans="1:42" x14ac:dyDescent="0.4">
      <c r="G140" s="100"/>
      <c r="H140" s="100"/>
      <c r="AJ140" s="139"/>
      <c r="AK140" s="139"/>
      <c r="AL140" s="139"/>
      <c r="AO140" s="100"/>
    </row>
    <row r="141" spans="1:42" x14ac:dyDescent="0.4">
      <c r="G141" s="100"/>
      <c r="H141" s="100"/>
      <c r="AJ141" s="139"/>
      <c r="AK141" s="139"/>
      <c r="AL141" s="139"/>
      <c r="AO141" s="100"/>
    </row>
    <row r="142" spans="1:42" x14ac:dyDescent="0.4">
      <c r="G142" s="100"/>
      <c r="H142" s="100"/>
      <c r="AK142" s="139"/>
      <c r="AL142" s="139"/>
      <c r="AO142" s="100"/>
    </row>
    <row r="143" spans="1:42" x14ac:dyDescent="0.4">
      <c r="C143" s="101"/>
      <c r="D143" s="101"/>
      <c r="E143" s="101"/>
      <c r="G143" s="100"/>
      <c r="H143" s="100"/>
      <c r="AN143" s="140"/>
      <c r="AO143" s="100"/>
    </row>
    <row r="144" spans="1:42" x14ac:dyDescent="0.4">
      <c r="C144" s="101"/>
      <c r="D144" s="101"/>
      <c r="E144" s="101"/>
      <c r="G144" s="100"/>
      <c r="H144" s="100"/>
      <c r="AN144" s="140"/>
      <c r="AO144" s="100"/>
    </row>
    <row r="145" spans="3:41" x14ac:dyDescent="0.4">
      <c r="C145" s="101"/>
      <c r="D145" s="101"/>
      <c r="E145" s="101"/>
      <c r="G145" s="100"/>
      <c r="H145" s="100"/>
      <c r="AN145" s="140"/>
      <c r="AO145" s="100"/>
    </row>
    <row r="146" spans="3:41" x14ac:dyDescent="0.4">
      <c r="C146" s="101"/>
      <c r="D146" s="101"/>
      <c r="E146" s="101"/>
      <c r="G146" s="100"/>
      <c r="H146" s="100"/>
      <c r="AN146" s="140"/>
      <c r="AO146" s="100"/>
    </row>
    <row r="147" spans="3:41" x14ac:dyDescent="0.4">
      <c r="C147" s="101"/>
      <c r="D147" s="101"/>
      <c r="E147" s="101"/>
      <c r="G147" s="100"/>
      <c r="H147" s="100"/>
      <c r="AN147" s="140"/>
      <c r="AO147" s="100"/>
    </row>
    <row r="148" spans="3:41" x14ac:dyDescent="0.4">
      <c r="E148" s="101"/>
      <c r="F148" s="101"/>
      <c r="G148" s="100"/>
      <c r="H148" s="100"/>
      <c r="AO148" s="140"/>
    </row>
    <row r="149" spans="3:41" x14ac:dyDescent="0.4">
      <c r="E149" s="101"/>
      <c r="F149" s="101"/>
      <c r="G149" s="100"/>
      <c r="H149" s="100"/>
      <c r="AO149" s="140"/>
    </row>
    <row r="150" spans="3:41" x14ac:dyDescent="0.4">
      <c r="E150" s="101"/>
      <c r="F150" s="101"/>
      <c r="G150" s="100"/>
      <c r="H150" s="100"/>
      <c r="AO150" s="140"/>
    </row>
    <row r="151" spans="3:41" x14ac:dyDescent="0.4">
      <c r="E151" s="101"/>
      <c r="F151" s="101"/>
      <c r="G151" s="100"/>
      <c r="H151" s="100"/>
      <c r="AO151" s="140"/>
    </row>
    <row r="152" spans="3:41" x14ac:dyDescent="0.4">
      <c r="E152" s="101"/>
      <c r="F152" s="101"/>
      <c r="G152" s="100"/>
      <c r="H152" s="100"/>
      <c r="AO152" s="140"/>
    </row>
    <row r="153" spans="3:41" x14ac:dyDescent="0.4">
      <c r="E153" s="101"/>
      <c r="F153" s="101"/>
      <c r="G153" s="100"/>
      <c r="H153" s="100"/>
      <c r="AO153" s="140"/>
    </row>
    <row r="154" spans="3:41" x14ac:dyDescent="0.4">
      <c r="E154" s="101"/>
      <c r="F154" s="101"/>
      <c r="G154" s="100"/>
      <c r="H154" s="100"/>
      <c r="AO154" s="140"/>
    </row>
    <row r="155" spans="3:41" x14ac:dyDescent="0.4">
      <c r="E155" s="101"/>
      <c r="F155" s="101"/>
      <c r="G155" s="100"/>
      <c r="H155" s="100"/>
      <c r="AO155" s="140"/>
    </row>
    <row r="156" spans="3:41" x14ac:dyDescent="0.4">
      <c r="E156" s="101"/>
      <c r="F156" s="101"/>
      <c r="G156" s="100"/>
      <c r="H156" s="100"/>
      <c r="AO156" s="140"/>
    </row>
    <row r="157" spans="3:41" x14ac:dyDescent="0.4">
      <c r="E157" s="101"/>
      <c r="F157" s="101"/>
      <c r="G157" s="100"/>
      <c r="H157" s="100"/>
      <c r="AO157" s="140"/>
    </row>
    <row r="158" spans="3:41" x14ac:dyDescent="0.4">
      <c r="E158" s="101"/>
      <c r="F158" s="101"/>
      <c r="G158" s="100"/>
      <c r="H158" s="100"/>
      <c r="AO158" s="140"/>
    </row>
    <row r="159" spans="3:41" x14ac:dyDescent="0.4">
      <c r="E159" s="101"/>
      <c r="F159" s="101"/>
      <c r="G159" s="100"/>
      <c r="H159" s="100"/>
      <c r="AO159" s="140"/>
    </row>
    <row r="160" spans="3:41" x14ac:dyDescent="0.4">
      <c r="E160" s="101"/>
      <c r="F160" s="101"/>
      <c r="G160" s="100"/>
      <c r="H160" s="100"/>
      <c r="AO160" s="140"/>
    </row>
    <row r="161" spans="5:42" x14ac:dyDescent="0.4">
      <c r="E161" s="101"/>
      <c r="F161" s="101"/>
      <c r="G161" s="100"/>
      <c r="H161" s="100"/>
      <c r="AO161" s="140"/>
    </row>
    <row r="162" spans="5:42" x14ac:dyDescent="0.4">
      <c r="E162" s="101"/>
      <c r="F162" s="101"/>
      <c r="G162" s="100"/>
      <c r="H162" s="100"/>
      <c r="AO162" s="140"/>
    </row>
    <row r="163" spans="5:42" x14ac:dyDescent="0.4">
      <c r="E163" s="101"/>
      <c r="F163" s="101"/>
      <c r="G163" s="100"/>
      <c r="H163" s="100"/>
      <c r="AO163" s="140"/>
    </row>
    <row r="164" spans="5:42" x14ac:dyDescent="0.4">
      <c r="E164" s="101"/>
      <c r="F164" s="101"/>
      <c r="G164" s="100"/>
      <c r="H164" s="100"/>
      <c r="AO164" s="140"/>
    </row>
    <row r="165" spans="5:42" x14ac:dyDescent="0.4">
      <c r="E165" s="101"/>
      <c r="F165" s="101"/>
      <c r="G165" s="100"/>
      <c r="H165" s="100"/>
      <c r="AO165" s="140"/>
    </row>
    <row r="166" spans="5:42" x14ac:dyDescent="0.4">
      <c r="E166" s="101"/>
      <c r="F166" s="101"/>
      <c r="G166" s="100"/>
      <c r="H166" s="100"/>
      <c r="AO166" s="140"/>
    </row>
    <row r="167" spans="5:42" x14ac:dyDescent="0.4">
      <c r="E167" s="101"/>
      <c r="F167" s="101"/>
      <c r="G167" s="100"/>
      <c r="H167" s="100"/>
      <c r="AO167" s="140"/>
    </row>
    <row r="168" spans="5:42" x14ac:dyDescent="0.4">
      <c r="E168" s="101"/>
      <c r="F168" s="101"/>
      <c r="G168" s="100"/>
      <c r="H168" s="100"/>
      <c r="AO168" s="140"/>
    </row>
    <row r="169" spans="5:42" x14ac:dyDescent="0.4">
      <c r="E169" s="101"/>
      <c r="F169" s="101"/>
      <c r="G169" s="100"/>
      <c r="H169" s="100"/>
      <c r="AO169" s="140"/>
    </row>
    <row r="170" spans="5:42" x14ac:dyDescent="0.4">
      <c r="E170" s="101"/>
      <c r="F170" s="101"/>
      <c r="G170" s="100"/>
      <c r="H170" s="100"/>
      <c r="AO170" s="140"/>
    </row>
    <row r="171" spans="5:42" x14ac:dyDescent="0.4">
      <c r="E171" s="101"/>
      <c r="F171" s="101"/>
      <c r="G171" s="100"/>
      <c r="H171" s="100"/>
      <c r="AO171" s="140"/>
    </row>
    <row r="172" spans="5:42" x14ac:dyDescent="0.4">
      <c r="F172" s="101"/>
      <c r="H172" s="100"/>
      <c r="AN172" s="139"/>
      <c r="AO172" s="100"/>
      <c r="AP172" s="142"/>
    </row>
    <row r="173" spans="5:42" x14ac:dyDescent="0.4">
      <c r="F173" s="101"/>
      <c r="H173" s="100"/>
      <c r="AN173" s="139"/>
      <c r="AO173" s="100"/>
      <c r="AP173" s="142"/>
    </row>
    <row r="174" spans="5:42" x14ac:dyDescent="0.4">
      <c r="F174" s="101"/>
      <c r="H174" s="100"/>
      <c r="AN174" s="139"/>
      <c r="AO174" s="100"/>
      <c r="AP174" s="142"/>
    </row>
    <row r="175" spans="5:42" x14ac:dyDescent="0.4">
      <c r="F175" s="101"/>
      <c r="H175" s="100"/>
      <c r="AN175" s="139"/>
      <c r="AO175" s="100"/>
      <c r="AP175" s="142"/>
    </row>
    <row r="176" spans="5:42" x14ac:dyDescent="0.4">
      <c r="F176" s="101"/>
      <c r="H176" s="100"/>
      <c r="AN176" s="139"/>
      <c r="AO176" s="100"/>
      <c r="AP176" s="142"/>
    </row>
    <row r="177" spans="6:42" x14ac:dyDescent="0.4">
      <c r="F177" s="101"/>
      <c r="H177" s="100"/>
      <c r="AN177" s="139"/>
      <c r="AO177" s="100"/>
      <c r="AP177" s="142"/>
    </row>
    <row r="178" spans="6:42" x14ac:dyDescent="0.4">
      <c r="F178" s="101"/>
      <c r="H178" s="100"/>
      <c r="AN178" s="139"/>
      <c r="AO178" s="100"/>
      <c r="AP178" s="142"/>
    </row>
    <row r="179" spans="6:42" x14ac:dyDescent="0.4">
      <c r="F179" s="101"/>
      <c r="H179" s="100"/>
      <c r="AN179" s="139"/>
      <c r="AO179" s="100"/>
      <c r="AP179" s="142"/>
    </row>
    <row r="180" spans="6:42" x14ac:dyDescent="0.4">
      <c r="F180" s="101"/>
      <c r="H180" s="100"/>
      <c r="AN180" s="139"/>
      <c r="AO180" s="100"/>
      <c r="AP180" s="142"/>
    </row>
    <row r="181" spans="6:42" x14ac:dyDescent="0.4">
      <c r="F181" s="101"/>
      <c r="H181" s="100"/>
      <c r="AN181" s="139"/>
      <c r="AO181" s="100"/>
      <c r="AP181" s="142"/>
    </row>
    <row r="182" spans="6:42" x14ac:dyDescent="0.4">
      <c r="F182" s="101"/>
      <c r="H182" s="100"/>
      <c r="AN182" s="139"/>
      <c r="AO182" s="100"/>
      <c r="AP182" s="142"/>
    </row>
    <row r="183" spans="6:42" x14ac:dyDescent="0.4">
      <c r="F183" s="101"/>
      <c r="H183" s="100"/>
      <c r="AN183" s="139"/>
      <c r="AO183" s="100"/>
      <c r="AP183" s="142"/>
    </row>
    <row r="184" spans="6:42" x14ac:dyDescent="0.4">
      <c r="F184" s="101"/>
      <c r="H184" s="100"/>
      <c r="AN184" s="139"/>
      <c r="AO184" s="100"/>
      <c r="AP184" s="142"/>
    </row>
    <row r="185" spans="6:42" x14ac:dyDescent="0.4">
      <c r="F185" s="101"/>
      <c r="H185" s="100"/>
      <c r="AN185" s="139"/>
      <c r="AO185" s="100"/>
      <c r="AP185" s="142"/>
    </row>
    <row r="186" spans="6:42" x14ac:dyDescent="0.4">
      <c r="F186" s="101"/>
      <c r="H186" s="100"/>
      <c r="AN186" s="139"/>
      <c r="AO186" s="100"/>
      <c r="AP186" s="142"/>
    </row>
    <row r="187" spans="6:42" x14ac:dyDescent="0.4">
      <c r="F187" s="101"/>
      <c r="H187" s="100"/>
      <c r="AN187" s="139"/>
      <c r="AO187" s="100"/>
      <c r="AP187" s="142"/>
    </row>
    <row r="188" spans="6:42" x14ac:dyDescent="0.4">
      <c r="F188" s="101"/>
      <c r="H188" s="100"/>
      <c r="AN188" s="139"/>
      <c r="AO188" s="100"/>
      <c r="AP188" s="142"/>
    </row>
    <row r="189" spans="6:42" x14ac:dyDescent="0.4">
      <c r="F189" s="101"/>
      <c r="H189" s="100"/>
      <c r="AN189" s="139"/>
      <c r="AO189" s="100"/>
      <c r="AP189" s="142"/>
    </row>
    <row r="190" spans="6:42" x14ac:dyDescent="0.4">
      <c r="F190" s="101"/>
      <c r="H190" s="100"/>
      <c r="AN190" s="139"/>
      <c r="AO190" s="100"/>
      <c r="AP190" s="142"/>
    </row>
    <row r="191" spans="6:42" x14ac:dyDescent="0.4">
      <c r="F191" s="101"/>
      <c r="H191" s="100"/>
      <c r="AN191" s="139"/>
      <c r="AO191" s="100"/>
      <c r="AP191" s="142"/>
    </row>
    <row r="192" spans="6:42" x14ac:dyDescent="0.4">
      <c r="F192" s="101"/>
      <c r="H192" s="100"/>
      <c r="AN192" s="139"/>
      <c r="AO192" s="100"/>
      <c r="AP192" s="142"/>
    </row>
    <row r="193" spans="6:42" x14ac:dyDescent="0.4">
      <c r="F193" s="101"/>
      <c r="H193" s="100"/>
      <c r="AN193" s="139"/>
      <c r="AO193" s="100"/>
      <c r="AP193" s="142"/>
    </row>
    <row r="194" spans="6:42" x14ac:dyDescent="0.4">
      <c r="F194" s="101"/>
      <c r="H194" s="100"/>
      <c r="AN194" s="139"/>
      <c r="AO194" s="100"/>
      <c r="AP194" s="142"/>
    </row>
    <row r="195" spans="6:42" x14ac:dyDescent="0.4">
      <c r="F195" s="101"/>
      <c r="H195" s="100"/>
      <c r="AN195" s="139"/>
      <c r="AO195" s="100"/>
      <c r="AP195" s="142"/>
    </row>
    <row r="196" spans="6:42" x14ac:dyDescent="0.4">
      <c r="F196" s="101"/>
      <c r="H196" s="100"/>
      <c r="AN196" s="139"/>
      <c r="AO196" s="100"/>
      <c r="AP196" s="142"/>
    </row>
    <row r="197" spans="6:42" x14ac:dyDescent="0.4">
      <c r="F197" s="101"/>
      <c r="H197" s="100"/>
      <c r="AN197" s="139"/>
      <c r="AO197" s="100"/>
      <c r="AP197" s="142"/>
    </row>
    <row r="198" spans="6:42" x14ac:dyDescent="0.4">
      <c r="F198" s="101"/>
      <c r="H198" s="100"/>
      <c r="AN198" s="139"/>
      <c r="AO198" s="100"/>
      <c r="AP198" s="142"/>
    </row>
    <row r="199" spans="6:42" x14ac:dyDescent="0.4">
      <c r="F199" s="101"/>
      <c r="H199" s="100"/>
      <c r="AN199" s="139"/>
      <c r="AO199" s="100"/>
      <c r="AP199" s="142"/>
    </row>
    <row r="200" spans="6:42" x14ac:dyDescent="0.4">
      <c r="F200" s="101"/>
      <c r="H200" s="100"/>
      <c r="AN200" s="139"/>
      <c r="AO200" s="100"/>
      <c r="AP200" s="142"/>
    </row>
    <row r="201" spans="6:42" x14ac:dyDescent="0.4">
      <c r="F201" s="101"/>
      <c r="H201" s="100"/>
      <c r="AN201" s="139"/>
      <c r="AO201" s="100"/>
      <c r="AP201" s="142"/>
    </row>
    <row r="202" spans="6:42" x14ac:dyDescent="0.4">
      <c r="F202" s="101"/>
      <c r="H202" s="100"/>
      <c r="AN202" s="139"/>
      <c r="AO202" s="100"/>
      <c r="AP202" s="142"/>
    </row>
    <row r="203" spans="6:42" x14ac:dyDescent="0.4">
      <c r="F203" s="101"/>
      <c r="H203" s="100"/>
      <c r="AN203" s="139"/>
      <c r="AO203" s="100"/>
      <c r="AP203" s="142"/>
    </row>
    <row r="204" spans="6:42" x14ac:dyDescent="0.4">
      <c r="F204" s="101"/>
      <c r="H204" s="100"/>
      <c r="AN204" s="139"/>
      <c r="AO204" s="100"/>
      <c r="AP204" s="142"/>
    </row>
    <row r="205" spans="6:42" x14ac:dyDescent="0.4">
      <c r="F205" s="101"/>
      <c r="H205" s="100"/>
      <c r="AN205" s="139"/>
      <c r="AO205" s="100"/>
      <c r="AP205" s="142"/>
    </row>
    <row r="206" spans="6:42" x14ac:dyDescent="0.4">
      <c r="F206" s="101"/>
      <c r="H206" s="100"/>
      <c r="AN206" s="139"/>
      <c r="AO206" s="100"/>
      <c r="AP206" s="142"/>
    </row>
    <row r="207" spans="6:42" x14ac:dyDescent="0.4">
      <c r="F207" s="101"/>
      <c r="H207" s="100"/>
      <c r="AN207" s="139"/>
      <c r="AO207" s="100"/>
      <c r="AP207" s="142"/>
    </row>
    <row r="208" spans="6:42" x14ac:dyDescent="0.4">
      <c r="F208" s="101"/>
      <c r="H208" s="100"/>
      <c r="AN208" s="139"/>
      <c r="AO208" s="100"/>
      <c r="AP208" s="142"/>
    </row>
    <row r="209" spans="6:42" x14ac:dyDescent="0.4">
      <c r="F209" s="101"/>
      <c r="H209" s="100"/>
      <c r="AN209" s="139"/>
      <c r="AO209" s="100"/>
      <c r="AP209" s="142"/>
    </row>
    <row r="210" spans="6:42" x14ac:dyDescent="0.4">
      <c r="F210" s="101"/>
      <c r="H210" s="100"/>
      <c r="AN210" s="139"/>
      <c r="AO210" s="100"/>
      <c r="AP210" s="142"/>
    </row>
    <row r="211" spans="6:42" x14ac:dyDescent="0.4">
      <c r="F211" s="101"/>
      <c r="H211" s="100"/>
      <c r="AN211" s="139"/>
      <c r="AO211" s="100"/>
      <c r="AP211" s="142"/>
    </row>
    <row r="212" spans="6:42" x14ac:dyDescent="0.4">
      <c r="F212" s="101"/>
      <c r="H212" s="100"/>
      <c r="AN212" s="139"/>
      <c r="AO212" s="100"/>
      <c r="AP212" s="142"/>
    </row>
    <row r="213" spans="6:42" x14ac:dyDescent="0.4">
      <c r="F213" s="101"/>
      <c r="H213" s="100"/>
      <c r="AN213" s="139"/>
      <c r="AO213" s="100"/>
      <c r="AP213" s="142"/>
    </row>
  </sheetData>
  <mergeCells count="10">
    <mergeCell ref="A125:H125"/>
    <mergeCell ref="A131:H131"/>
    <mergeCell ref="A132:H132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:B124">
    <cfRule type="duplicateValues" dxfId="56" priority="170"/>
  </conditionalFormatting>
  <conditionalFormatting sqref="B126:B130">
    <cfRule type="duplicateValues" dxfId="55" priority="105"/>
  </conditionalFormatting>
  <conditionalFormatting sqref="B133:B1048576 B1:B5">
    <cfRule type="duplicateValues" dxfId="54" priority="33"/>
  </conditionalFormatting>
  <conditionalFormatting sqref="B6:C124">
    <cfRule type="duplicateValues" dxfId="53" priority="172"/>
  </conditionalFormatting>
  <conditionalFormatting sqref="B126:C130">
    <cfRule type="duplicateValues" dxfId="52" priority="107"/>
  </conditionalFormatting>
  <conditionalFormatting sqref="B133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124 E6:E124">
    <cfRule type="duplicateValues" dxfId="47" priority="174"/>
  </conditionalFormatting>
  <conditionalFormatting sqref="C6:C124">
    <cfRule type="duplicateValues" dxfId="46" priority="178"/>
    <cfRule type="duplicateValues" dxfId="45" priority="177"/>
    <cfRule type="duplicateValues" dxfId="44" priority="176"/>
  </conditionalFormatting>
  <conditionalFormatting sqref="C126:C130 E126:E130">
    <cfRule type="duplicateValues" dxfId="43" priority="109"/>
  </conditionalFormatting>
  <conditionalFormatting sqref="C126:C130">
    <cfRule type="duplicateValues" dxfId="42" priority="112"/>
    <cfRule type="duplicateValues" dxfId="41" priority="111"/>
    <cfRule type="duplicateValues" dxfId="40" priority="113"/>
  </conditionalFormatting>
  <conditionalFormatting sqref="C133:C1048576 C1:C5">
    <cfRule type="duplicateValues" dxfId="39" priority="34"/>
  </conditionalFormatting>
  <conditionalFormatting sqref="C133:C1048576 C4">
    <cfRule type="duplicateValues" dxfId="38" priority="49"/>
  </conditionalFormatting>
  <conditionalFormatting sqref="C133:C1048576 C4:C5">
    <cfRule type="duplicateValues" dxfId="37" priority="39"/>
    <cfRule type="duplicateValues" dxfId="36" priority="47"/>
    <cfRule type="duplicateValues" dxfId="35" priority="42"/>
  </conditionalFormatting>
  <conditionalFormatting sqref="C133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124">
    <cfRule type="duplicateValues" dxfId="31" priority="185"/>
    <cfRule type="duplicateValues" dxfId="30" priority="186"/>
    <cfRule type="duplicateValues" dxfId="29" priority="187"/>
  </conditionalFormatting>
  <conditionalFormatting sqref="E126:E130">
    <cfRule type="duplicateValues" dxfId="28" priority="119"/>
    <cfRule type="duplicateValues" dxfId="27" priority="120"/>
    <cfRule type="duplicateValues" dxfId="26" priority="121"/>
  </conditionalFormatting>
  <conditionalFormatting sqref="E133:E1048576 C4:C5 E4:E5 C133:C1048576">
    <cfRule type="duplicateValues" dxfId="25" priority="44"/>
  </conditionalFormatting>
  <conditionalFormatting sqref="E133:E1048576 E1:E5">
    <cfRule type="duplicateValues" dxfId="24" priority="36"/>
  </conditionalFormatting>
  <conditionalFormatting sqref="E133:E1048576 E4:E5">
    <cfRule type="duplicateValues" dxfId="23" priority="38"/>
    <cfRule type="duplicateValues" dxfId="22" priority="46"/>
    <cfRule type="duplicateValues" dxfId="21" priority="41"/>
  </conditionalFormatting>
  <conditionalFormatting sqref="G6:H124">
    <cfRule type="duplicateValues" dxfId="20" priority="195"/>
  </conditionalFormatting>
  <conditionalFormatting sqref="G126:H130">
    <cfRule type="duplicateValues" dxfId="19" priority="129"/>
  </conditionalFormatting>
  <conditionalFormatting sqref="G133:H1048576 G1:H5">
    <cfRule type="duplicateValues" dxfId="18" priority="35"/>
  </conditionalFormatting>
  <conditionalFormatting sqref="H5">
    <cfRule type="duplicateValues" dxfId="17" priority="56"/>
    <cfRule type="duplicateValues" dxfId="16" priority="55"/>
  </conditionalFormatting>
  <conditionalFormatting sqref="H6:H124">
    <cfRule type="duplicateValues" dxfId="15" priority="197"/>
    <cfRule type="duplicateValues" dxfId="14" priority="198"/>
    <cfRule type="duplicateValues" dxfId="13" priority="199"/>
    <cfRule type="duplicateValues" dxfId="12" priority="200"/>
    <cfRule type="duplicateValues" dxfId="11" priority="201"/>
    <cfRule type="duplicateValues" dxfId="10" priority="202"/>
  </conditionalFormatting>
  <conditionalFormatting sqref="H126:H130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133:H1048576 H4">
    <cfRule type="duplicateValues" dxfId="3" priority="48"/>
  </conditionalFormatting>
  <conditionalFormatting sqref="H133:H1048576 H4:H5">
    <cfRule type="duplicateValues" dxfId="2" priority="37"/>
    <cfRule type="duplicateValues" dxfId="1" priority="40"/>
    <cfRule type="duplicateValues" dxfId="0" priority="45"/>
  </conditionalFormatting>
  <pageMargins left="0.7" right="0.7" top="0.75" bottom="0.75" header="0.3" footer="0.3"/>
  <pageSetup paperSize="9" scale="33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D28" sqref="D28"/>
    </sheetView>
  </sheetViews>
  <sheetFormatPr defaultRowHeight="15.6" x14ac:dyDescent="0.35"/>
  <cols>
    <col min="1" max="1" width="9.3984375" style="163" customWidth="1"/>
    <col min="2" max="2" width="21.59765625" style="164" bestFit="1" customWidth="1"/>
    <col min="3" max="3" width="13.3984375" style="163" customWidth="1"/>
    <col min="4" max="4" width="41.19921875" style="164" bestFit="1" customWidth="1"/>
    <col min="5" max="5" width="41.09765625" style="164" bestFit="1" customWidth="1"/>
    <col min="6" max="6" width="20.09765625" style="164" bestFit="1" customWidth="1"/>
    <col min="7" max="7" width="8" style="165" customWidth="1"/>
    <col min="8" max="8" width="14.19921875" style="166" customWidth="1"/>
    <col min="9" max="9" width="15.09765625" style="166" bestFit="1" customWidth="1"/>
    <col min="10" max="10" width="23.3984375" style="164" customWidth="1"/>
    <col min="11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2" ht="33.75" customHeight="1" x14ac:dyDescent="0.25">
      <c r="A1" s="318" t="s">
        <v>293</v>
      </c>
      <c r="B1" s="319"/>
      <c r="C1" s="319"/>
      <c r="D1" s="319"/>
      <c r="E1" s="319"/>
      <c r="F1" s="319"/>
      <c r="G1" s="319"/>
      <c r="H1" s="319"/>
      <c r="I1" s="319"/>
      <c r="J1" s="320"/>
    </row>
    <row r="2" spans="1:12" s="154" customFormat="1" ht="19.5" customHeight="1" x14ac:dyDescent="0.4">
      <c r="A2" s="321" t="s">
        <v>294</v>
      </c>
      <c r="B2" s="322" t="s">
        <v>287</v>
      </c>
      <c r="C2" s="321" t="s">
        <v>251</v>
      </c>
      <c r="D2" s="321" t="s">
        <v>252</v>
      </c>
      <c r="E2" s="324" t="s">
        <v>295</v>
      </c>
      <c r="F2" s="321" t="s">
        <v>280</v>
      </c>
      <c r="G2" s="325" t="s">
        <v>296</v>
      </c>
      <c r="H2" s="326" t="s">
        <v>289</v>
      </c>
      <c r="I2" s="153" t="s">
        <v>290</v>
      </c>
      <c r="J2" s="321" t="s">
        <v>291</v>
      </c>
    </row>
    <row r="3" spans="1:12" s="154" customFormat="1" ht="19.5" customHeight="1" x14ac:dyDescent="0.4">
      <c r="A3" s="321"/>
      <c r="B3" s="323"/>
      <c r="C3" s="321"/>
      <c r="D3" s="321"/>
      <c r="E3" s="324"/>
      <c r="F3" s="321"/>
      <c r="G3" s="325"/>
      <c r="H3" s="326"/>
      <c r="I3" s="149">
        <f>ROUND(SUM(I4:I82),)</f>
        <v>664400</v>
      </c>
      <c r="J3" s="321"/>
    </row>
    <row r="4" spans="1:12" s="160" customFormat="1" ht="15" customHeight="1" x14ac:dyDescent="0.4">
      <c r="A4" s="156">
        <v>1</v>
      </c>
      <c r="B4" s="157">
        <v>46056</v>
      </c>
      <c r="C4" s="156" t="s">
        <v>946</v>
      </c>
      <c r="D4" s="156" t="s">
        <v>840</v>
      </c>
      <c r="E4" s="156" t="s">
        <v>841</v>
      </c>
      <c r="F4" s="156" t="s">
        <v>821</v>
      </c>
      <c r="G4" s="158">
        <v>2</v>
      </c>
      <c r="H4" s="159">
        <v>89500</v>
      </c>
      <c r="I4" s="159">
        <v>179000</v>
      </c>
      <c r="J4" s="156"/>
      <c r="L4" s="161" t="s">
        <v>248</v>
      </c>
    </row>
    <row r="5" spans="1:12" s="160" customFormat="1" ht="15" customHeight="1" x14ac:dyDescent="0.4">
      <c r="A5" s="156">
        <v>2</v>
      </c>
      <c r="B5" s="157">
        <v>46063</v>
      </c>
      <c r="C5" s="156" t="s">
        <v>946</v>
      </c>
      <c r="D5" s="156" t="s">
        <v>860</v>
      </c>
      <c r="E5" s="156" t="s">
        <v>861</v>
      </c>
      <c r="F5" s="156" t="s">
        <v>821</v>
      </c>
      <c r="G5" s="158">
        <v>2</v>
      </c>
      <c r="H5" s="159">
        <v>54600</v>
      </c>
      <c r="I5" s="159">
        <v>109200</v>
      </c>
      <c r="J5" s="156"/>
      <c r="L5" s="161" t="s">
        <v>297</v>
      </c>
    </row>
    <row r="6" spans="1:12" s="160" customFormat="1" ht="15" customHeight="1" x14ac:dyDescent="0.4">
      <c r="A6" s="156">
        <v>3</v>
      </c>
      <c r="B6" s="157">
        <v>46063</v>
      </c>
      <c r="C6" s="156" t="s">
        <v>946</v>
      </c>
      <c r="D6" s="156" t="s">
        <v>860</v>
      </c>
      <c r="E6" s="156" t="s">
        <v>862</v>
      </c>
      <c r="F6" s="156" t="s">
        <v>821</v>
      </c>
      <c r="G6" s="158">
        <v>2</v>
      </c>
      <c r="H6" s="159">
        <v>31000</v>
      </c>
      <c r="I6" s="159">
        <v>62000</v>
      </c>
      <c r="J6" s="156"/>
      <c r="L6" s="161" t="s">
        <v>287</v>
      </c>
    </row>
    <row r="7" spans="1:12" s="160" customFormat="1" ht="15" customHeight="1" x14ac:dyDescent="0.4">
      <c r="A7" s="156">
        <v>4</v>
      </c>
      <c r="B7" s="157">
        <v>46064</v>
      </c>
      <c r="C7" s="156" t="s">
        <v>946</v>
      </c>
      <c r="D7" s="156" t="s">
        <v>867</v>
      </c>
      <c r="E7" s="156" t="s">
        <v>868</v>
      </c>
      <c r="F7" s="156" t="s">
        <v>821</v>
      </c>
      <c r="G7" s="158">
        <v>10</v>
      </c>
      <c r="H7" s="159">
        <v>600</v>
      </c>
      <c r="I7" s="159">
        <v>6000</v>
      </c>
      <c r="J7" s="156"/>
      <c r="L7" s="161" t="s">
        <v>251</v>
      </c>
    </row>
    <row r="8" spans="1:12" s="160" customFormat="1" ht="15" customHeight="1" x14ac:dyDescent="0.4">
      <c r="A8" s="156">
        <v>5</v>
      </c>
      <c r="B8" s="157">
        <v>46064</v>
      </c>
      <c r="C8" s="156" t="s">
        <v>946</v>
      </c>
      <c r="D8" s="156" t="s">
        <v>840</v>
      </c>
      <c r="E8" s="156" t="s">
        <v>869</v>
      </c>
      <c r="F8" s="156" t="s">
        <v>821</v>
      </c>
      <c r="G8" s="158">
        <v>2</v>
      </c>
      <c r="H8" s="159">
        <v>71500</v>
      </c>
      <c r="I8" s="159">
        <v>143000</v>
      </c>
      <c r="J8" s="156"/>
      <c r="L8" s="161" t="s">
        <v>252</v>
      </c>
    </row>
    <row r="9" spans="1:12" s="160" customFormat="1" ht="15" customHeight="1" x14ac:dyDescent="0.4">
      <c r="A9" s="156">
        <v>6</v>
      </c>
      <c r="B9" s="157">
        <v>46064</v>
      </c>
      <c r="C9" s="156" t="s">
        <v>946</v>
      </c>
      <c r="D9" s="156" t="s">
        <v>840</v>
      </c>
      <c r="E9" s="156" t="s">
        <v>870</v>
      </c>
      <c r="F9" s="156" t="s">
        <v>821</v>
      </c>
      <c r="G9" s="158">
        <v>2</v>
      </c>
      <c r="H9" s="159">
        <v>71000</v>
      </c>
      <c r="I9" s="159">
        <v>142000</v>
      </c>
      <c r="J9" s="156"/>
      <c r="L9" s="161" t="s">
        <v>295</v>
      </c>
    </row>
    <row r="10" spans="1:12" s="160" customFormat="1" ht="15" customHeight="1" x14ac:dyDescent="0.4">
      <c r="A10" s="156">
        <v>7</v>
      </c>
      <c r="B10" s="157">
        <v>46064</v>
      </c>
      <c r="C10" s="156" t="s">
        <v>946</v>
      </c>
      <c r="D10" s="156" t="s">
        <v>840</v>
      </c>
      <c r="E10" s="156" t="s">
        <v>871</v>
      </c>
      <c r="F10" s="156" t="s">
        <v>821</v>
      </c>
      <c r="G10" s="158">
        <v>1</v>
      </c>
      <c r="H10" s="159">
        <v>23200</v>
      </c>
      <c r="I10" s="159">
        <v>23200</v>
      </c>
      <c r="J10" s="156"/>
      <c r="L10" s="161" t="s">
        <v>298</v>
      </c>
    </row>
    <row r="11" spans="1:12" ht="13.5" customHeight="1" x14ac:dyDescent="0.35">
      <c r="L11" s="160" t="s">
        <v>299</v>
      </c>
    </row>
    <row r="12" spans="1:12" ht="13.5" customHeight="1" x14ac:dyDescent="0.35">
      <c r="L12" s="160" t="s">
        <v>289</v>
      </c>
    </row>
    <row r="13" spans="1:12" x14ac:dyDescent="0.35">
      <c r="L13" s="160"/>
    </row>
    <row r="14" spans="1:12" ht="17.399999999999999" x14ac:dyDescent="0.35">
      <c r="L14" s="162" t="s">
        <v>300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ageMargins left="0.7" right="0.7" top="0.75" bottom="0.75" header="0.3" footer="0.3"/>
  <pageSetup paperSize="9" scale="5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108"/>
  <sheetViews>
    <sheetView view="pageBreakPreview" zoomScaleNormal="115" zoomScaleSheetLayoutView="100" workbookViewId="0">
      <selection activeCell="D28" sqref="D28"/>
    </sheetView>
  </sheetViews>
  <sheetFormatPr defaultRowHeight="15.6" x14ac:dyDescent="0.35"/>
  <cols>
    <col min="1" max="1" width="9.3984375" style="163" customWidth="1"/>
    <col min="2" max="2" width="21.59765625" style="164" bestFit="1" customWidth="1"/>
    <col min="3" max="3" width="13.3984375" style="163" customWidth="1"/>
    <col min="4" max="4" width="41.19921875" style="164" bestFit="1" customWidth="1"/>
    <col min="5" max="5" width="41.09765625" style="164" bestFit="1" customWidth="1"/>
    <col min="6" max="6" width="20.09765625" style="164" bestFit="1" customWidth="1"/>
    <col min="7" max="7" width="8" style="165" customWidth="1"/>
    <col min="8" max="8" width="14.19921875" style="166" customWidth="1"/>
    <col min="9" max="9" width="15.09765625" style="166" bestFit="1" customWidth="1"/>
    <col min="10" max="10" width="23.3984375" style="164" customWidth="1"/>
    <col min="11" max="11" width="9" style="17" customWidth="1"/>
    <col min="12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4" ht="33.75" customHeight="1" x14ac:dyDescent="0.25">
      <c r="A1" s="318" t="s">
        <v>301</v>
      </c>
      <c r="B1" s="319"/>
      <c r="C1" s="319"/>
      <c r="D1" s="319"/>
      <c r="E1" s="319"/>
      <c r="F1" s="319"/>
      <c r="G1" s="319"/>
      <c r="H1" s="319"/>
      <c r="I1" s="319"/>
      <c r="J1" s="320"/>
    </row>
    <row r="2" spans="1:14" s="154" customFormat="1" ht="19.5" customHeight="1" x14ac:dyDescent="0.4">
      <c r="A2" s="321" t="s">
        <v>294</v>
      </c>
      <c r="B2" s="322" t="s">
        <v>287</v>
      </c>
      <c r="C2" s="321" t="s">
        <v>251</v>
      </c>
      <c r="D2" s="321" t="s">
        <v>252</v>
      </c>
      <c r="E2" s="324" t="s">
        <v>295</v>
      </c>
      <c r="F2" s="321" t="s">
        <v>280</v>
      </c>
      <c r="G2" s="325" t="s">
        <v>296</v>
      </c>
      <c r="H2" s="326" t="s">
        <v>289</v>
      </c>
      <c r="I2" s="153" t="s">
        <v>290</v>
      </c>
      <c r="J2" s="321" t="s">
        <v>291</v>
      </c>
    </row>
    <row r="3" spans="1:14" s="154" customFormat="1" ht="19.5" customHeight="1" x14ac:dyDescent="0.4">
      <c r="A3" s="321"/>
      <c r="B3" s="323"/>
      <c r="C3" s="321"/>
      <c r="D3" s="321"/>
      <c r="E3" s="324"/>
      <c r="F3" s="321"/>
      <c r="G3" s="325"/>
      <c r="H3" s="326"/>
      <c r="I3" s="149">
        <f>ROUND(SUM(I4:I108),)</f>
        <v>4413373</v>
      </c>
      <c r="J3" s="321"/>
      <c r="L3" s="155" t="s">
        <v>248</v>
      </c>
    </row>
    <row r="4" spans="1:14" s="160" customFormat="1" ht="15" customHeight="1" x14ac:dyDescent="0.4">
      <c r="A4" s="156">
        <v>1</v>
      </c>
      <c r="B4" s="157">
        <v>46059</v>
      </c>
      <c r="C4" s="156" t="s">
        <v>946</v>
      </c>
      <c r="D4" s="156" t="s">
        <v>811</v>
      </c>
      <c r="E4" s="156" t="s">
        <v>812</v>
      </c>
      <c r="F4" s="156" t="s">
        <v>813</v>
      </c>
      <c r="G4" s="158">
        <v>2</v>
      </c>
      <c r="H4" s="159">
        <v>40909.090909090904</v>
      </c>
      <c r="I4" s="159">
        <v>81818.181818181809</v>
      </c>
      <c r="J4" s="156"/>
      <c r="L4" s="161" t="s">
        <v>297</v>
      </c>
    </row>
    <row r="5" spans="1:14" s="160" customFormat="1" ht="15" customHeight="1" x14ac:dyDescent="0.4">
      <c r="A5" s="156">
        <v>2</v>
      </c>
      <c r="B5" s="157">
        <v>46059</v>
      </c>
      <c r="C5" s="156" t="s">
        <v>946</v>
      </c>
      <c r="D5" s="156" t="s">
        <v>814</v>
      </c>
      <c r="E5" s="156" t="s">
        <v>815</v>
      </c>
      <c r="F5" s="156" t="s">
        <v>813</v>
      </c>
      <c r="G5" s="158">
        <v>5</v>
      </c>
      <c r="H5" s="159">
        <v>6709.090909090909</v>
      </c>
      <c r="I5" s="159">
        <v>33545.454545454544</v>
      </c>
      <c r="J5" s="156"/>
      <c r="L5" s="161" t="s">
        <v>287</v>
      </c>
    </row>
    <row r="6" spans="1:14" s="160" customFormat="1" ht="15" customHeight="1" x14ac:dyDescent="0.4">
      <c r="A6" s="156">
        <v>3</v>
      </c>
      <c r="B6" s="157">
        <v>46063</v>
      </c>
      <c r="C6" s="156" t="s">
        <v>946</v>
      </c>
      <c r="D6" s="156" t="s">
        <v>816</v>
      </c>
      <c r="E6" s="156"/>
      <c r="F6" s="156" t="s">
        <v>813</v>
      </c>
      <c r="G6" s="158">
        <v>1</v>
      </c>
      <c r="H6" s="159">
        <v>15363.636363636362</v>
      </c>
      <c r="I6" s="159">
        <v>15363.636363636362</v>
      </c>
      <c r="J6" s="156"/>
      <c r="L6" s="161" t="s">
        <v>251</v>
      </c>
    </row>
    <row r="7" spans="1:14" s="160" customFormat="1" ht="15" customHeight="1" x14ac:dyDescent="0.4">
      <c r="A7" s="156">
        <v>4</v>
      </c>
      <c r="B7" s="157">
        <v>46077</v>
      </c>
      <c r="C7" s="156" t="s">
        <v>947</v>
      </c>
      <c r="D7" s="156" t="s">
        <v>817</v>
      </c>
      <c r="E7" s="156">
        <v>270</v>
      </c>
      <c r="F7" s="156" t="s">
        <v>813</v>
      </c>
      <c r="G7" s="158">
        <v>1</v>
      </c>
      <c r="H7" s="159">
        <v>43090.909090909088</v>
      </c>
      <c r="I7" s="159">
        <v>43090.909090909088</v>
      </c>
      <c r="J7" s="156"/>
      <c r="L7" s="161" t="s">
        <v>252</v>
      </c>
    </row>
    <row r="8" spans="1:14" s="160" customFormat="1" ht="15" customHeight="1" x14ac:dyDescent="0.4">
      <c r="A8" s="156">
        <v>5</v>
      </c>
      <c r="B8" s="157">
        <v>46073</v>
      </c>
      <c r="C8" s="156" t="s">
        <v>947</v>
      </c>
      <c r="D8" s="156" t="s">
        <v>944</v>
      </c>
      <c r="E8" s="156" t="s">
        <v>818</v>
      </c>
      <c r="F8" s="156" t="s">
        <v>945</v>
      </c>
      <c r="G8" s="158">
        <v>2</v>
      </c>
      <c r="H8" s="159">
        <v>58809.090909090904</v>
      </c>
      <c r="I8" s="159">
        <v>117618.18181818181</v>
      </c>
      <c r="J8" s="156"/>
      <c r="L8" s="161" t="s">
        <v>295</v>
      </c>
    </row>
    <row r="9" spans="1:14" s="160" customFormat="1" ht="15" customHeight="1" x14ac:dyDescent="0.4">
      <c r="A9" s="156">
        <v>6</v>
      </c>
      <c r="B9" s="157">
        <v>46055</v>
      </c>
      <c r="C9" s="156" t="s">
        <v>946</v>
      </c>
      <c r="D9" s="156" t="s">
        <v>819</v>
      </c>
      <c r="E9" s="156" t="s">
        <v>820</v>
      </c>
      <c r="F9" s="156" t="s">
        <v>821</v>
      </c>
      <c r="G9" s="158">
        <v>5</v>
      </c>
      <c r="H9" s="159">
        <v>3400</v>
      </c>
      <c r="I9" s="159">
        <v>17000</v>
      </c>
      <c r="J9" s="156"/>
      <c r="L9" s="161" t="s">
        <v>298</v>
      </c>
    </row>
    <row r="10" spans="1:14" s="160" customFormat="1" ht="15" customHeight="1" x14ac:dyDescent="0.4">
      <c r="A10" s="156">
        <v>7</v>
      </c>
      <c r="B10" s="157">
        <v>46055</v>
      </c>
      <c r="C10" s="156" t="s">
        <v>946</v>
      </c>
      <c r="D10" s="156" t="s">
        <v>822</v>
      </c>
      <c r="E10" s="156" t="s">
        <v>823</v>
      </c>
      <c r="F10" s="156" t="s">
        <v>821</v>
      </c>
      <c r="G10" s="158">
        <v>10</v>
      </c>
      <c r="H10" s="159">
        <v>4500</v>
      </c>
      <c r="I10" s="159">
        <v>45000</v>
      </c>
      <c r="J10" s="156"/>
      <c r="L10" s="161" t="s">
        <v>299</v>
      </c>
    </row>
    <row r="11" spans="1:14" s="160" customFormat="1" ht="15" customHeight="1" x14ac:dyDescent="0.4">
      <c r="A11" s="156">
        <v>8</v>
      </c>
      <c r="B11" s="157">
        <v>46055</v>
      </c>
      <c r="C11" s="156" t="s">
        <v>946</v>
      </c>
      <c r="D11" s="156" t="s">
        <v>824</v>
      </c>
      <c r="E11" s="156" t="s">
        <v>825</v>
      </c>
      <c r="F11" s="156" t="s">
        <v>821</v>
      </c>
      <c r="G11" s="158">
        <v>10</v>
      </c>
      <c r="H11" s="159">
        <v>2100</v>
      </c>
      <c r="I11" s="159">
        <v>21000</v>
      </c>
      <c r="J11" s="156"/>
      <c r="L11" s="161" t="s">
        <v>289</v>
      </c>
    </row>
    <row r="12" spans="1:14" s="160" customFormat="1" ht="15" customHeight="1" x14ac:dyDescent="0.4">
      <c r="A12" s="156">
        <v>9</v>
      </c>
      <c r="B12" s="157">
        <v>46055</v>
      </c>
      <c r="C12" s="156" t="s">
        <v>946</v>
      </c>
      <c r="D12" s="156" t="s">
        <v>826</v>
      </c>
      <c r="E12" s="156" t="s">
        <v>827</v>
      </c>
      <c r="F12" s="156" t="s">
        <v>821</v>
      </c>
      <c r="G12" s="158">
        <v>5</v>
      </c>
      <c r="H12" s="159">
        <v>5700</v>
      </c>
      <c r="I12" s="159">
        <v>28500</v>
      </c>
      <c r="J12" s="156"/>
      <c r="L12" s="161"/>
    </row>
    <row r="13" spans="1:14" s="160" customFormat="1" ht="15" customHeight="1" x14ac:dyDescent="0.4">
      <c r="A13" s="156">
        <v>10</v>
      </c>
      <c r="B13" s="157">
        <v>46055</v>
      </c>
      <c r="C13" s="156" t="s">
        <v>946</v>
      </c>
      <c r="D13" s="156" t="s">
        <v>828</v>
      </c>
      <c r="E13" s="156" t="s">
        <v>829</v>
      </c>
      <c r="F13" s="156" t="s">
        <v>821</v>
      </c>
      <c r="G13" s="158">
        <v>20</v>
      </c>
      <c r="H13" s="159">
        <v>3500</v>
      </c>
      <c r="I13" s="159">
        <v>70000</v>
      </c>
      <c r="J13" s="156"/>
      <c r="N13" s="161" t="s">
        <v>300</v>
      </c>
    </row>
    <row r="14" spans="1:14" s="160" customFormat="1" ht="15" customHeight="1" x14ac:dyDescent="0.4">
      <c r="A14" s="156">
        <v>11</v>
      </c>
      <c r="B14" s="157">
        <v>46055</v>
      </c>
      <c r="C14" s="156" t="s">
        <v>946</v>
      </c>
      <c r="D14" s="156" t="s">
        <v>830</v>
      </c>
      <c r="E14" s="156" t="s">
        <v>831</v>
      </c>
      <c r="F14" s="156" t="s">
        <v>821</v>
      </c>
      <c r="G14" s="158">
        <v>1</v>
      </c>
      <c r="H14" s="159">
        <v>12000</v>
      </c>
      <c r="I14" s="159">
        <v>12000</v>
      </c>
      <c r="J14" s="156"/>
      <c r="L14" s="161"/>
    </row>
    <row r="15" spans="1:14" s="160" customFormat="1" ht="15" customHeight="1" x14ac:dyDescent="0.4">
      <c r="A15" s="156">
        <v>12</v>
      </c>
      <c r="B15" s="157">
        <v>46055</v>
      </c>
      <c r="C15" s="156" t="s">
        <v>946</v>
      </c>
      <c r="D15" s="156" t="s">
        <v>832</v>
      </c>
      <c r="E15" s="156" t="s">
        <v>833</v>
      </c>
      <c r="F15" s="156" t="s">
        <v>821</v>
      </c>
      <c r="G15" s="158">
        <v>5</v>
      </c>
      <c r="H15" s="159">
        <v>700</v>
      </c>
      <c r="I15" s="159">
        <v>3500</v>
      </c>
      <c r="J15" s="156"/>
      <c r="L15" s="161"/>
    </row>
    <row r="16" spans="1:14" s="160" customFormat="1" ht="15" customHeight="1" x14ac:dyDescent="0.4">
      <c r="A16" s="156">
        <v>13</v>
      </c>
      <c r="B16" s="157">
        <v>46055</v>
      </c>
      <c r="C16" s="156" t="s">
        <v>946</v>
      </c>
      <c r="D16" s="156" t="s">
        <v>834</v>
      </c>
      <c r="E16" s="156" t="s">
        <v>835</v>
      </c>
      <c r="F16" s="156" t="s">
        <v>821</v>
      </c>
      <c r="G16" s="158">
        <v>5</v>
      </c>
      <c r="H16" s="159">
        <v>32000</v>
      </c>
      <c r="I16" s="159">
        <v>160000</v>
      </c>
      <c r="J16" s="156"/>
      <c r="L16" s="161"/>
    </row>
    <row r="17" spans="1:12" s="160" customFormat="1" ht="15" customHeight="1" x14ac:dyDescent="0.4">
      <c r="A17" s="156">
        <v>14</v>
      </c>
      <c r="B17" s="157">
        <v>46056</v>
      </c>
      <c r="C17" s="156" t="s">
        <v>946</v>
      </c>
      <c r="D17" s="156" t="s">
        <v>836</v>
      </c>
      <c r="E17" s="156" t="s">
        <v>837</v>
      </c>
      <c r="F17" s="156" t="s">
        <v>821</v>
      </c>
      <c r="G17" s="158">
        <v>15</v>
      </c>
      <c r="H17" s="159">
        <v>16800</v>
      </c>
      <c r="I17" s="159">
        <v>252000</v>
      </c>
      <c r="J17" s="156"/>
      <c r="L17" s="161"/>
    </row>
    <row r="18" spans="1:12" s="160" customFormat="1" ht="15" customHeight="1" x14ac:dyDescent="0.4">
      <c r="A18" s="156">
        <v>15</v>
      </c>
      <c r="B18" s="157">
        <v>46056</v>
      </c>
      <c r="C18" s="156" t="s">
        <v>946</v>
      </c>
      <c r="D18" s="156" t="s">
        <v>838</v>
      </c>
      <c r="E18" s="156" t="s">
        <v>839</v>
      </c>
      <c r="F18" s="156" t="s">
        <v>821</v>
      </c>
      <c r="G18" s="158">
        <v>100</v>
      </c>
      <c r="H18" s="159">
        <v>100</v>
      </c>
      <c r="I18" s="159">
        <v>10000</v>
      </c>
      <c r="J18" s="156"/>
      <c r="L18" s="161"/>
    </row>
    <row r="19" spans="1:12" s="160" customFormat="1" ht="15" customHeight="1" x14ac:dyDescent="0.4">
      <c r="A19" s="156">
        <v>16</v>
      </c>
      <c r="B19" s="157">
        <v>46057</v>
      </c>
      <c r="C19" s="156" t="s">
        <v>946</v>
      </c>
      <c r="D19" s="156" t="s">
        <v>842</v>
      </c>
      <c r="E19" s="156" t="s">
        <v>843</v>
      </c>
      <c r="F19" s="156" t="s">
        <v>821</v>
      </c>
      <c r="G19" s="158">
        <v>3</v>
      </c>
      <c r="H19" s="159">
        <v>12000</v>
      </c>
      <c r="I19" s="159">
        <v>36000</v>
      </c>
      <c r="J19" s="156"/>
      <c r="L19" s="161"/>
    </row>
    <row r="20" spans="1:12" s="160" customFormat="1" ht="15" customHeight="1" x14ac:dyDescent="0.4">
      <c r="A20" s="156">
        <v>17</v>
      </c>
      <c r="B20" s="157">
        <v>46057</v>
      </c>
      <c r="C20" s="156" t="s">
        <v>946</v>
      </c>
      <c r="D20" s="156" t="s">
        <v>844</v>
      </c>
      <c r="E20" s="156" t="s">
        <v>845</v>
      </c>
      <c r="F20" s="156" t="s">
        <v>821</v>
      </c>
      <c r="G20" s="158">
        <v>5</v>
      </c>
      <c r="H20" s="159">
        <v>24000</v>
      </c>
      <c r="I20" s="159">
        <v>120000</v>
      </c>
      <c r="J20" s="156"/>
      <c r="L20" s="161"/>
    </row>
    <row r="21" spans="1:12" s="160" customFormat="1" ht="15" customHeight="1" x14ac:dyDescent="0.4">
      <c r="A21" s="156">
        <v>18</v>
      </c>
      <c r="B21" s="157">
        <v>46058</v>
      </c>
      <c r="C21" s="156" t="s">
        <v>946</v>
      </c>
      <c r="D21" s="156" t="s">
        <v>846</v>
      </c>
      <c r="E21" s="156" t="s">
        <v>847</v>
      </c>
      <c r="F21" s="156" t="s">
        <v>821</v>
      </c>
      <c r="G21" s="158">
        <v>3</v>
      </c>
      <c r="H21" s="159">
        <v>40000</v>
      </c>
      <c r="I21" s="159">
        <v>120000</v>
      </c>
      <c r="J21" s="156"/>
      <c r="L21" s="161"/>
    </row>
    <row r="22" spans="1:12" s="160" customFormat="1" ht="15" customHeight="1" x14ac:dyDescent="0.4">
      <c r="A22" s="156">
        <v>19</v>
      </c>
      <c r="B22" s="157">
        <v>46058</v>
      </c>
      <c r="C22" s="156" t="s">
        <v>946</v>
      </c>
      <c r="D22" s="156" t="s">
        <v>834</v>
      </c>
      <c r="E22" s="156" t="s">
        <v>835</v>
      </c>
      <c r="F22" s="156" t="s">
        <v>821</v>
      </c>
      <c r="G22" s="158">
        <v>10</v>
      </c>
      <c r="H22" s="159">
        <v>32000</v>
      </c>
      <c r="I22" s="159">
        <v>320000</v>
      </c>
      <c r="J22" s="156"/>
      <c r="L22" s="161"/>
    </row>
    <row r="23" spans="1:12" s="160" customFormat="1" ht="15" customHeight="1" x14ac:dyDescent="0.4">
      <c r="A23" s="156">
        <v>20</v>
      </c>
      <c r="B23" s="157">
        <v>46058</v>
      </c>
      <c r="C23" s="156" t="s">
        <v>946</v>
      </c>
      <c r="D23" s="156" t="s">
        <v>848</v>
      </c>
      <c r="E23" s="156" t="s">
        <v>849</v>
      </c>
      <c r="F23" s="156" t="s">
        <v>821</v>
      </c>
      <c r="G23" s="158">
        <v>5</v>
      </c>
      <c r="H23" s="159">
        <v>2700</v>
      </c>
      <c r="I23" s="159">
        <v>13500</v>
      </c>
      <c r="J23" s="156"/>
      <c r="L23" s="161"/>
    </row>
    <row r="24" spans="1:12" s="160" customFormat="1" ht="15" customHeight="1" x14ac:dyDescent="0.4">
      <c r="A24" s="156">
        <v>21</v>
      </c>
      <c r="B24" s="157">
        <v>46058</v>
      </c>
      <c r="C24" s="156" t="s">
        <v>946</v>
      </c>
      <c r="D24" s="156" t="s">
        <v>850</v>
      </c>
      <c r="E24" s="156" t="s">
        <v>851</v>
      </c>
      <c r="F24" s="156" t="s">
        <v>821</v>
      </c>
      <c r="G24" s="158">
        <v>2</v>
      </c>
      <c r="H24" s="159">
        <v>1200</v>
      </c>
      <c r="I24" s="159">
        <v>2400</v>
      </c>
      <c r="J24" s="156"/>
      <c r="L24" s="161"/>
    </row>
    <row r="25" spans="1:12" s="160" customFormat="1" ht="15" customHeight="1" x14ac:dyDescent="0.4">
      <c r="A25" s="156">
        <v>22</v>
      </c>
      <c r="B25" s="157">
        <v>46059</v>
      </c>
      <c r="C25" s="156" t="s">
        <v>946</v>
      </c>
      <c r="D25" s="156" t="s">
        <v>852</v>
      </c>
      <c r="E25" s="156" t="s">
        <v>853</v>
      </c>
      <c r="F25" s="156" t="s">
        <v>821</v>
      </c>
      <c r="G25" s="158">
        <v>10</v>
      </c>
      <c r="H25" s="159">
        <v>3500</v>
      </c>
      <c r="I25" s="159">
        <v>35000</v>
      </c>
      <c r="J25" s="156"/>
      <c r="L25" s="161"/>
    </row>
    <row r="26" spans="1:12" s="160" customFormat="1" ht="15" customHeight="1" x14ac:dyDescent="0.4">
      <c r="A26" s="156">
        <v>23</v>
      </c>
      <c r="B26" s="157">
        <v>46059</v>
      </c>
      <c r="C26" s="156" t="s">
        <v>946</v>
      </c>
      <c r="D26" s="156" t="s">
        <v>854</v>
      </c>
      <c r="E26" s="156" t="s">
        <v>855</v>
      </c>
      <c r="F26" s="156" t="s">
        <v>821</v>
      </c>
      <c r="G26" s="158">
        <v>10</v>
      </c>
      <c r="H26" s="159">
        <v>7800</v>
      </c>
      <c r="I26" s="159">
        <v>78000</v>
      </c>
      <c r="J26" s="156"/>
      <c r="L26" s="161"/>
    </row>
    <row r="27" spans="1:12" s="160" customFormat="1" ht="15" customHeight="1" x14ac:dyDescent="0.4">
      <c r="A27" s="156">
        <v>24</v>
      </c>
      <c r="B27" s="157">
        <v>46059</v>
      </c>
      <c r="C27" s="156" t="s">
        <v>946</v>
      </c>
      <c r="D27" s="156" t="s">
        <v>856</v>
      </c>
      <c r="E27" s="156" t="s">
        <v>857</v>
      </c>
      <c r="F27" s="156" t="s">
        <v>821</v>
      </c>
      <c r="G27" s="158">
        <v>30</v>
      </c>
      <c r="H27" s="159">
        <v>390</v>
      </c>
      <c r="I27" s="159">
        <v>11700</v>
      </c>
      <c r="J27" s="156"/>
      <c r="L27" s="161"/>
    </row>
    <row r="28" spans="1:12" s="160" customFormat="1" ht="15" customHeight="1" x14ac:dyDescent="0.4">
      <c r="A28" s="156">
        <v>25</v>
      </c>
      <c r="B28" s="157">
        <v>46059</v>
      </c>
      <c r="C28" s="156" t="s">
        <v>946</v>
      </c>
      <c r="D28" s="156" t="s">
        <v>858</v>
      </c>
      <c r="E28" s="156" t="s">
        <v>859</v>
      </c>
      <c r="F28" s="156" t="s">
        <v>821</v>
      </c>
      <c r="G28" s="158">
        <v>30</v>
      </c>
      <c r="H28" s="159">
        <v>400</v>
      </c>
      <c r="I28" s="159">
        <v>12000</v>
      </c>
      <c r="J28" s="156"/>
      <c r="L28" s="161"/>
    </row>
    <row r="29" spans="1:12" s="160" customFormat="1" ht="15" customHeight="1" x14ac:dyDescent="0.4">
      <c r="A29" s="156">
        <v>26</v>
      </c>
      <c r="B29" s="157">
        <v>46063</v>
      </c>
      <c r="C29" s="156" t="s">
        <v>946</v>
      </c>
      <c r="D29" s="156" t="s">
        <v>834</v>
      </c>
      <c r="E29" s="156" t="s">
        <v>835</v>
      </c>
      <c r="F29" s="156" t="s">
        <v>821</v>
      </c>
      <c r="G29" s="158">
        <v>10</v>
      </c>
      <c r="H29" s="159">
        <v>32000</v>
      </c>
      <c r="I29" s="159">
        <v>320000</v>
      </c>
      <c r="J29" s="156"/>
      <c r="L29" s="161"/>
    </row>
    <row r="30" spans="1:12" s="160" customFormat="1" ht="15" customHeight="1" x14ac:dyDescent="0.4">
      <c r="A30" s="156">
        <v>27</v>
      </c>
      <c r="B30" s="157">
        <v>46063</v>
      </c>
      <c r="C30" s="156" t="s">
        <v>946</v>
      </c>
      <c r="D30" s="156" t="s">
        <v>863</v>
      </c>
      <c r="E30" s="156" t="s">
        <v>864</v>
      </c>
      <c r="F30" s="156" t="s">
        <v>821</v>
      </c>
      <c r="G30" s="158">
        <v>20</v>
      </c>
      <c r="H30" s="159">
        <v>2600</v>
      </c>
      <c r="I30" s="159">
        <v>52000</v>
      </c>
      <c r="J30" s="156"/>
      <c r="L30" s="161"/>
    </row>
    <row r="31" spans="1:12" s="160" customFormat="1" ht="15" customHeight="1" x14ac:dyDescent="0.4">
      <c r="A31" s="156">
        <v>28</v>
      </c>
      <c r="B31" s="157">
        <v>46063</v>
      </c>
      <c r="C31" s="156" t="s">
        <v>946</v>
      </c>
      <c r="D31" s="156" t="s">
        <v>865</v>
      </c>
      <c r="E31" s="156" t="s">
        <v>866</v>
      </c>
      <c r="F31" s="156" t="s">
        <v>821</v>
      </c>
      <c r="G31" s="158">
        <v>30</v>
      </c>
      <c r="H31" s="159">
        <v>600</v>
      </c>
      <c r="I31" s="159">
        <v>18000</v>
      </c>
      <c r="J31" s="156"/>
      <c r="L31" s="161"/>
    </row>
    <row r="32" spans="1:12" s="160" customFormat="1" ht="15" customHeight="1" x14ac:dyDescent="0.4">
      <c r="A32" s="156">
        <v>29</v>
      </c>
      <c r="B32" s="157">
        <v>46064</v>
      </c>
      <c r="C32" s="156" t="s">
        <v>946</v>
      </c>
      <c r="D32" s="156" t="s">
        <v>872</v>
      </c>
      <c r="E32" s="156" t="s">
        <v>873</v>
      </c>
      <c r="F32" s="156" t="s">
        <v>821</v>
      </c>
      <c r="G32" s="158">
        <v>1</v>
      </c>
      <c r="H32" s="159">
        <v>6500</v>
      </c>
      <c r="I32" s="159">
        <v>6500</v>
      </c>
      <c r="J32" s="156"/>
      <c r="L32" s="161"/>
    </row>
    <row r="33" spans="1:12" s="160" customFormat="1" ht="15" customHeight="1" x14ac:dyDescent="0.4">
      <c r="A33" s="156">
        <v>30</v>
      </c>
      <c r="B33" s="157">
        <v>46064</v>
      </c>
      <c r="C33" s="156" t="s">
        <v>946</v>
      </c>
      <c r="D33" s="156" t="s">
        <v>858</v>
      </c>
      <c r="E33" s="156" t="s">
        <v>859</v>
      </c>
      <c r="F33" s="156" t="s">
        <v>821</v>
      </c>
      <c r="G33" s="158">
        <v>30</v>
      </c>
      <c r="H33" s="159">
        <v>400</v>
      </c>
      <c r="I33" s="159">
        <v>12000</v>
      </c>
      <c r="J33" s="156"/>
      <c r="L33" s="161"/>
    </row>
    <row r="34" spans="1:12" s="160" customFormat="1" ht="15" customHeight="1" x14ac:dyDescent="0.4">
      <c r="A34" s="156">
        <v>31</v>
      </c>
      <c r="B34" s="157">
        <v>46064</v>
      </c>
      <c r="C34" s="156" t="s">
        <v>946</v>
      </c>
      <c r="D34" s="156" t="s">
        <v>874</v>
      </c>
      <c r="E34" s="156" t="s">
        <v>875</v>
      </c>
      <c r="F34" s="156" t="s">
        <v>821</v>
      </c>
      <c r="G34" s="158">
        <v>20</v>
      </c>
      <c r="H34" s="159">
        <v>2500</v>
      </c>
      <c r="I34" s="159">
        <v>50000</v>
      </c>
      <c r="J34" s="156"/>
      <c r="L34" s="161"/>
    </row>
    <row r="35" spans="1:12" s="160" customFormat="1" ht="15" customHeight="1" x14ac:dyDescent="0.4">
      <c r="A35" s="156">
        <v>32</v>
      </c>
      <c r="B35" s="157">
        <v>46064</v>
      </c>
      <c r="C35" s="156" t="s">
        <v>946</v>
      </c>
      <c r="D35" s="156" t="s">
        <v>876</v>
      </c>
      <c r="E35" s="156" t="s">
        <v>877</v>
      </c>
      <c r="F35" s="156" t="s">
        <v>821</v>
      </c>
      <c r="G35" s="158">
        <v>2</v>
      </c>
      <c r="H35" s="159">
        <v>500</v>
      </c>
      <c r="I35" s="159">
        <v>1000</v>
      </c>
      <c r="J35" s="156"/>
      <c r="L35" s="161"/>
    </row>
    <row r="36" spans="1:12" s="160" customFormat="1" ht="15" customHeight="1" x14ac:dyDescent="0.4">
      <c r="A36" s="156">
        <v>33</v>
      </c>
      <c r="B36" s="157">
        <v>46064</v>
      </c>
      <c r="C36" s="156" t="s">
        <v>946</v>
      </c>
      <c r="D36" s="156" t="s">
        <v>878</v>
      </c>
      <c r="E36" s="156" t="s">
        <v>879</v>
      </c>
      <c r="F36" s="156" t="s">
        <v>821</v>
      </c>
      <c r="G36" s="158">
        <v>1</v>
      </c>
      <c r="H36" s="159">
        <v>6100</v>
      </c>
      <c r="I36" s="159">
        <v>6100</v>
      </c>
      <c r="J36" s="156"/>
      <c r="L36" s="161"/>
    </row>
    <row r="37" spans="1:12" s="160" customFormat="1" ht="15" customHeight="1" x14ac:dyDescent="0.4">
      <c r="A37" s="156">
        <v>34</v>
      </c>
      <c r="B37" s="157">
        <v>46065</v>
      </c>
      <c r="C37" s="156" t="s">
        <v>946</v>
      </c>
      <c r="D37" s="156" t="s">
        <v>856</v>
      </c>
      <c r="E37" s="156" t="s">
        <v>880</v>
      </c>
      <c r="F37" s="156" t="s">
        <v>821</v>
      </c>
      <c r="G37" s="158">
        <v>200</v>
      </c>
      <c r="H37" s="159">
        <v>230</v>
      </c>
      <c r="I37" s="159">
        <v>46000</v>
      </c>
      <c r="J37" s="156"/>
      <c r="L37" s="161"/>
    </row>
    <row r="38" spans="1:12" s="160" customFormat="1" ht="15" customHeight="1" x14ac:dyDescent="0.4">
      <c r="A38" s="156">
        <v>35</v>
      </c>
      <c r="B38" s="157">
        <v>46065</v>
      </c>
      <c r="C38" s="156" t="s">
        <v>946</v>
      </c>
      <c r="D38" s="156" t="s">
        <v>822</v>
      </c>
      <c r="E38" s="156" t="s">
        <v>823</v>
      </c>
      <c r="F38" s="156" t="s">
        <v>821</v>
      </c>
      <c r="G38" s="158">
        <v>10</v>
      </c>
      <c r="H38" s="159">
        <v>4500</v>
      </c>
      <c r="I38" s="159">
        <v>45000</v>
      </c>
      <c r="J38" s="156"/>
      <c r="L38" s="161"/>
    </row>
    <row r="39" spans="1:12" s="160" customFormat="1" ht="15" customHeight="1" x14ac:dyDescent="0.4">
      <c r="A39" s="156">
        <v>36</v>
      </c>
      <c r="B39" s="157">
        <v>46065</v>
      </c>
      <c r="C39" s="156" t="s">
        <v>946</v>
      </c>
      <c r="D39" s="156" t="s">
        <v>881</v>
      </c>
      <c r="E39" s="156" t="s">
        <v>882</v>
      </c>
      <c r="F39" s="156" t="s">
        <v>821</v>
      </c>
      <c r="G39" s="158">
        <v>5</v>
      </c>
      <c r="H39" s="159">
        <v>3300</v>
      </c>
      <c r="I39" s="159">
        <v>16500</v>
      </c>
      <c r="J39" s="156"/>
      <c r="L39" s="161"/>
    </row>
    <row r="40" spans="1:12" s="160" customFormat="1" ht="15" customHeight="1" x14ac:dyDescent="0.4">
      <c r="A40" s="156">
        <v>37</v>
      </c>
      <c r="B40" s="157">
        <v>46066</v>
      </c>
      <c r="C40" s="156" t="s">
        <v>946</v>
      </c>
      <c r="D40" s="156" t="s">
        <v>883</v>
      </c>
      <c r="E40" s="156" t="s">
        <v>884</v>
      </c>
      <c r="F40" s="156" t="s">
        <v>821</v>
      </c>
      <c r="G40" s="158">
        <v>4</v>
      </c>
      <c r="H40" s="159">
        <v>6000</v>
      </c>
      <c r="I40" s="159">
        <v>24000</v>
      </c>
      <c r="J40" s="156"/>
      <c r="L40" s="161"/>
    </row>
    <row r="41" spans="1:12" s="160" customFormat="1" ht="15" customHeight="1" x14ac:dyDescent="0.4">
      <c r="A41" s="156">
        <v>38</v>
      </c>
      <c r="B41" s="157">
        <v>46066</v>
      </c>
      <c r="C41" s="156" t="s">
        <v>946</v>
      </c>
      <c r="D41" s="156" t="s">
        <v>885</v>
      </c>
      <c r="E41" s="156" t="s">
        <v>886</v>
      </c>
      <c r="F41" s="156" t="s">
        <v>821</v>
      </c>
      <c r="G41" s="158">
        <v>4</v>
      </c>
      <c r="H41" s="159">
        <v>6000</v>
      </c>
      <c r="I41" s="159">
        <v>24000</v>
      </c>
      <c r="J41" s="156"/>
      <c r="L41" s="161"/>
    </row>
    <row r="42" spans="1:12" s="160" customFormat="1" ht="15" customHeight="1" x14ac:dyDescent="0.4">
      <c r="A42" s="156">
        <v>39</v>
      </c>
      <c r="B42" s="157">
        <v>46066</v>
      </c>
      <c r="C42" s="156" t="s">
        <v>946</v>
      </c>
      <c r="D42" s="156" t="s">
        <v>887</v>
      </c>
      <c r="E42" s="156" t="s">
        <v>888</v>
      </c>
      <c r="F42" s="156" t="s">
        <v>821</v>
      </c>
      <c r="G42" s="158">
        <v>30</v>
      </c>
      <c r="H42" s="159">
        <v>4000</v>
      </c>
      <c r="I42" s="159">
        <v>120000</v>
      </c>
      <c r="J42" s="156"/>
      <c r="L42" s="161"/>
    </row>
    <row r="43" spans="1:12" s="160" customFormat="1" ht="15" customHeight="1" x14ac:dyDescent="0.4">
      <c r="A43" s="156">
        <v>40</v>
      </c>
      <c r="B43" s="157">
        <v>46066</v>
      </c>
      <c r="C43" s="156" t="s">
        <v>946</v>
      </c>
      <c r="D43" s="156" t="s">
        <v>889</v>
      </c>
      <c r="E43" s="156" t="s">
        <v>890</v>
      </c>
      <c r="F43" s="156" t="s">
        <v>821</v>
      </c>
      <c r="G43" s="158">
        <v>5</v>
      </c>
      <c r="H43" s="159">
        <v>2600</v>
      </c>
      <c r="I43" s="159">
        <v>13000</v>
      </c>
      <c r="J43" s="156"/>
      <c r="L43" s="161"/>
    </row>
    <row r="44" spans="1:12" s="160" customFormat="1" ht="15" customHeight="1" x14ac:dyDescent="0.4">
      <c r="A44" s="156">
        <v>41</v>
      </c>
      <c r="B44" s="157">
        <v>46066</v>
      </c>
      <c r="C44" s="156" t="s">
        <v>946</v>
      </c>
      <c r="D44" s="156" t="s">
        <v>891</v>
      </c>
      <c r="E44" s="156" t="s">
        <v>892</v>
      </c>
      <c r="F44" s="156" t="s">
        <v>821</v>
      </c>
      <c r="G44" s="158">
        <v>20</v>
      </c>
      <c r="H44" s="159">
        <v>2600</v>
      </c>
      <c r="I44" s="159">
        <v>52000</v>
      </c>
      <c r="J44" s="156"/>
      <c r="L44" s="161"/>
    </row>
    <row r="45" spans="1:12" s="160" customFormat="1" ht="15" customHeight="1" x14ac:dyDescent="0.4">
      <c r="A45" s="156">
        <v>42</v>
      </c>
      <c r="B45" s="157">
        <v>46073</v>
      </c>
      <c r="C45" s="156" t="s">
        <v>946</v>
      </c>
      <c r="D45" s="156" t="s">
        <v>893</v>
      </c>
      <c r="E45" s="156" t="s">
        <v>894</v>
      </c>
      <c r="F45" s="156" t="s">
        <v>821</v>
      </c>
      <c r="G45" s="158">
        <v>10</v>
      </c>
      <c r="H45" s="159">
        <v>5700</v>
      </c>
      <c r="I45" s="159">
        <v>57000</v>
      </c>
      <c r="J45" s="156"/>
      <c r="L45" s="161"/>
    </row>
    <row r="46" spans="1:12" s="160" customFormat="1" ht="15" customHeight="1" x14ac:dyDescent="0.4">
      <c r="A46" s="156">
        <v>43</v>
      </c>
      <c r="B46" s="157">
        <v>46073</v>
      </c>
      <c r="C46" s="156" t="s">
        <v>946</v>
      </c>
      <c r="D46" s="156" t="s">
        <v>848</v>
      </c>
      <c r="E46" s="156" t="s">
        <v>849</v>
      </c>
      <c r="F46" s="156" t="s">
        <v>821</v>
      </c>
      <c r="G46" s="158">
        <v>10</v>
      </c>
      <c r="H46" s="159">
        <v>2700</v>
      </c>
      <c r="I46" s="159">
        <v>27000</v>
      </c>
      <c r="J46" s="156"/>
      <c r="L46" s="161"/>
    </row>
    <row r="47" spans="1:12" s="160" customFormat="1" ht="15" customHeight="1" x14ac:dyDescent="0.4">
      <c r="A47" s="156">
        <v>44</v>
      </c>
      <c r="B47" s="157">
        <v>46073</v>
      </c>
      <c r="C47" s="156" t="s">
        <v>946</v>
      </c>
      <c r="D47" s="156" t="s">
        <v>895</v>
      </c>
      <c r="E47" s="156" t="s">
        <v>896</v>
      </c>
      <c r="F47" s="156" t="s">
        <v>821</v>
      </c>
      <c r="G47" s="158">
        <v>5</v>
      </c>
      <c r="H47" s="159">
        <v>24400</v>
      </c>
      <c r="I47" s="159">
        <v>122000</v>
      </c>
      <c r="J47" s="156"/>
      <c r="L47" s="161"/>
    </row>
    <row r="48" spans="1:12" s="160" customFormat="1" ht="15" customHeight="1" x14ac:dyDescent="0.4">
      <c r="A48" s="156">
        <v>45</v>
      </c>
      <c r="B48" s="157">
        <v>46076</v>
      </c>
      <c r="C48" s="156" t="s">
        <v>946</v>
      </c>
      <c r="D48" s="156" t="s">
        <v>897</v>
      </c>
      <c r="E48" s="156" t="s">
        <v>898</v>
      </c>
      <c r="F48" s="156" t="s">
        <v>821</v>
      </c>
      <c r="G48" s="158">
        <v>10</v>
      </c>
      <c r="H48" s="159">
        <v>19000</v>
      </c>
      <c r="I48" s="159">
        <v>190000</v>
      </c>
      <c r="J48" s="156"/>
      <c r="L48" s="161"/>
    </row>
    <row r="49" spans="1:12" s="160" customFormat="1" ht="15" customHeight="1" x14ac:dyDescent="0.4">
      <c r="A49" s="156">
        <v>46</v>
      </c>
      <c r="B49" s="157">
        <v>46076</v>
      </c>
      <c r="C49" s="156" t="s">
        <v>946</v>
      </c>
      <c r="D49" s="156" t="s">
        <v>897</v>
      </c>
      <c r="E49" s="156" t="s">
        <v>899</v>
      </c>
      <c r="F49" s="156" t="s">
        <v>821</v>
      </c>
      <c r="G49" s="158">
        <v>10</v>
      </c>
      <c r="H49" s="159">
        <v>14500</v>
      </c>
      <c r="I49" s="159">
        <v>145000</v>
      </c>
      <c r="J49" s="156"/>
      <c r="L49" s="161"/>
    </row>
    <row r="50" spans="1:12" s="160" customFormat="1" ht="15" customHeight="1" x14ac:dyDescent="0.4">
      <c r="A50" s="156">
        <v>47</v>
      </c>
      <c r="B50" s="157">
        <v>46076</v>
      </c>
      <c r="C50" s="156" t="s">
        <v>946</v>
      </c>
      <c r="D50" s="156" t="s">
        <v>900</v>
      </c>
      <c r="E50" s="156" t="s">
        <v>901</v>
      </c>
      <c r="F50" s="156" t="s">
        <v>821</v>
      </c>
      <c r="G50" s="158">
        <v>5</v>
      </c>
      <c r="H50" s="159">
        <v>1400</v>
      </c>
      <c r="I50" s="159">
        <v>7000</v>
      </c>
      <c r="J50" s="156"/>
      <c r="L50" s="161"/>
    </row>
    <row r="51" spans="1:12" s="160" customFormat="1" ht="15" customHeight="1" x14ac:dyDescent="0.4">
      <c r="A51" s="156">
        <v>48</v>
      </c>
      <c r="B51" s="157">
        <v>46076</v>
      </c>
      <c r="C51" s="156" t="s">
        <v>946</v>
      </c>
      <c r="D51" s="156" t="s">
        <v>902</v>
      </c>
      <c r="E51" s="156" t="s">
        <v>903</v>
      </c>
      <c r="F51" s="156" t="s">
        <v>821</v>
      </c>
      <c r="G51" s="158">
        <v>25</v>
      </c>
      <c r="H51" s="159">
        <v>4000</v>
      </c>
      <c r="I51" s="159">
        <v>100000</v>
      </c>
      <c r="J51" s="156"/>
      <c r="L51" s="161"/>
    </row>
    <row r="52" spans="1:12" s="160" customFormat="1" ht="15" customHeight="1" x14ac:dyDescent="0.4">
      <c r="A52" s="156">
        <v>49</v>
      </c>
      <c r="B52" s="157">
        <v>46077</v>
      </c>
      <c r="C52" s="156" t="s">
        <v>946</v>
      </c>
      <c r="D52" s="156" t="s">
        <v>856</v>
      </c>
      <c r="E52" s="156" t="s">
        <v>904</v>
      </c>
      <c r="F52" s="156" t="s">
        <v>821</v>
      </c>
      <c r="G52" s="158">
        <v>100</v>
      </c>
      <c r="H52" s="159">
        <v>300</v>
      </c>
      <c r="I52" s="159">
        <v>30000</v>
      </c>
      <c r="J52" s="156"/>
      <c r="L52" s="161"/>
    </row>
    <row r="53" spans="1:12" s="160" customFormat="1" ht="15" customHeight="1" x14ac:dyDescent="0.4">
      <c r="A53" s="156">
        <v>50</v>
      </c>
      <c r="B53" s="157">
        <v>46077</v>
      </c>
      <c r="C53" s="156" t="s">
        <v>946</v>
      </c>
      <c r="D53" s="156" t="s">
        <v>856</v>
      </c>
      <c r="E53" s="156" t="s">
        <v>857</v>
      </c>
      <c r="F53" s="156" t="s">
        <v>821</v>
      </c>
      <c r="G53" s="158">
        <v>50</v>
      </c>
      <c r="H53" s="159">
        <v>390</v>
      </c>
      <c r="I53" s="159">
        <v>19500</v>
      </c>
      <c r="J53" s="156"/>
      <c r="L53" s="161"/>
    </row>
    <row r="54" spans="1:12" s="160" customFormat="1" ht="15" customHeight="1" x14ac:dyDescent="0.4">
      <c r="A54" s="156">
        <v>51</v>
      </c>
      <c r="B54" s="157">
        <v>46077</v>
      </c>
      <c r="C54" s="156" t="s">
        <v>946</v>
      </c>
      <c r="D54" s="156" t="s">
        <v>905</v>
      </c>
      <c r="E54" s="156" t="s">
        <v>906</v>
      </c>
      <c r="F54" s="156" t="s">
        <v>821</v>
      </c>
      <c r="G54" s="158">
        <v>48</v>
      </c>
      <c r="H54" s="159">
        <v>900</v>
      </c>
      <c r="I54" s="159">
        <v>43200</v>
      </c>
      <c r="J54" s="156"/>
      <c r="L54" s="161"/>
    </row>
    <row r="55" spans="1:12" s="160" customFormat="1" ht="15" customHeight="1" x14ac:dyDescent="0.4">
      <c r="A55" s="156">
        <v>52</v>
      </c>
      <c r="B55" s="157">
        <v>46077</v>
      </c>
      <c r="C55" s="156" t="s">
        <v>946</v>
      </c>
      <c r="D55" s="156" t="s">
        <v>907</v>
      </c>
      <c r="E55" s="156" t="s">
        <v>908</v>
      </c>
      <c r="F55" s="156" t="s">
        <v>821</v>
      </c>
      <c r="G55" s="158">
        <v>2</v>
      </c>
      <c r="H55" s="159">
        <v>4500</v>
      </c>
      <c r="I55" s="159">
        <v>9000</v>
      </c>
      <c r="J55" s="156"/>
      <c r="L55" s="161"/>
    </row>
    <row r="56" spans="1:12" s="160" customFormat="1" ht="15" customHeight="1" x14ac:dyDescent="0.4">
      <c r="A56" s="156">
        <v>53</v>
      </c>
      <c r="B56" s="157">
        <v>46077</v>
      </c>
      <c r="C56" s="156" t="s">
        <v>946</v>
      </c>
      <c r="D56" s="156" t="s">
        <v>909</v>
      </c>
      <c r="E56" s="156" t="s">
        <v>910</v>
      </c>
      <c r="F56" s="156" t="s">
        <v>821</v>
      </c>
      <c r="G56" s="158">
        <v>3</v>
      </c>
      <c r="H56" s="159">
        <v>3500</v>
      </c>
      <c r="I56" s="159">
        <v>10500</v>
      </c>
      <c r="J56" s="156"/>
      <c r="L56" s="161"/>
    </row>
    <row r="57" spans="1:12" s="160" customFormat="1" ht="15" customHeight="1" x14ac:dyDescent="0.4">
      <c r="A57" s="156">
        <v>54</v>
      </c>
      <c r="B57" s="157">
        <v>46077</v>
      </c>
      <c r="C57" s="156" t="s">
        <v>946</v>
      </c>
      <c r="D57" s="156" t="s">
        <v>858</v>
      </c>
      <c r="E57" s="156" t="s">
        <v>859</v>
      </c>
      <c r="F57" s="156" t="s">
        <v>821</v>
      </c>
      <c r="G57" s="158">
        <v>30</v>
      </c>
      <c r="H57" s="159">
        <v>400</v>
      </c>
      <c r="I57" s="159">
        <v>12000</v>
      </c>
      <c r="J57" s="156"/>
      <c r="L57" s="161"/>
    </row>
    <row r="58" spans="1:12" s="160" customFormat="1" ht="15" customHeight="1" x14ac:dyDescent="0.4">
      <c r="A58" s="156">
        <v>55</v>
      </c>
      <c r="B58" s="157">
        <v>46077</v>
      </c>
      <c r="C58" s="156" t="s">
        <v>946</v>
      </c>
      <c r="D58" s="156" t="s">
        <v>911</v>
      </c>
      <c r="E58" s="156" t="s">
        <v>912</v>
      </c>
      <c r="F58" s="156" t="s">
        <v>821</v>
      </c>
      <c r="G58" s="158">
        <v>10</v>
      </c>
      <c r="H58" s="159">
        <v>800</v>
      </c>
      <c r="I58" s="159">
        <v>8000</v>
      </c>
      <c r="J58" s="156"/>
      <c r="L58" s="161"/>
    </row>
    <row r="59" spans="1:12" s="160" customFormat="1" ht="15" customHeight="1" x14ac:dyDescent="0.4">
      <c r="A59" s="156">
        <v>56</v>
      </c>
      <c r="B59" s="157">
        <v>46078</v>
      </c>
      <c r="C59" s="156" t="s">
        <v>946</v>
      </c>
      <c r="D59" s="156" t="s">
        <v>838</v>
      </c>
      <c r="E59" s="156" t="s">
        <v>839</v>
      </c>
      <c r="F59" s="156" t="s">
        <v>821</v>
      </c>
      <c r="G59" s="158">
        <v>100</v>
      </c>
      <c r="H59" s="159">
        <v>100</v>
      </c>
      <c r="I59" s="159">
        <v>10000</v>
      </c>
      <c r="J59" s="156"/>
      <c r="L59" s="161"/>
    </row>
    <row r="60" spans="1:12" s="160" customFormat="1" ht="15" customHeight="1" x14ac:dyDescent="0.4">
      <c r="A60" s="156">
        <v>57</v>
      </c>
      <c r="B60" s="157">
        <v>46078</v>
      </c>
      <c r="C60" s="156" t="s">
        <v>946</v>
      </c>
      <c r="D60" s="156" t="s">
        <v>913</v>
      </c>
      <c r="E60" s="156" t="s">
        <v>914</v>
      </c>
      <c r="F60" s="156" t="s">
        <v>821</v>
      </c>
      <c r="G60" s="158">
        <v>3</v>
      </c>
      <c r="H60" s="159">
        <v>10000</v>
      </c>
      <c r="I60" s="159">
        <v>30000</v>
      </c>
      <c r="J60" s="156"/>
      <c r="L60" s="161"/>
    </row>
    <row r="61" spans="1:12" s="160" customFormat="1" ht="15" customHeight="1" x14ac:dyDescent="0.4">
      <c r="A61" s="156">
        <v>58</v>
      </c>
      <c r="B61" s="157">
        <v>46078</v>
      </c>
      <c r="C61" s="156" t="s">
        <v>946</v>
      </c>
      <c r="D61" s="156" t="s">
        <v>913</v>
      </c>
      <c r="E61" s="156" t="s">
        <v>915</v>
      </c>
      <c r="F61" s="156" t="s">
        <v>821</v>
      </c>
      <c r="G61" s="158">
        <v>2</v>
      </c>
      <c r="H61" s="159">
        <v>45000</v>
      </c>
      <c r="I61" s="159">
        <v>90000</v>
      </c>
      <c r="J61" s="156"/>
      <c r="L61" s="161"/>
    </row>
    <row r="62" spans="1:12" s="160" customFormat="1" ht="15" customHeight="1" x14ac:dyDescent="0.4">
      <c r="A62" s="156">
        <v>59</v>
      </c>
      <c r="B62" s="157">
        <v>46079</v>
      </c>
      <c r="C62" s="156" t="s">
        <v>946</v>
      </c>
      <c r="D62" s="156" t="s">
        <v>916</v>
      </c>
      <c r="E62" s="156" t="s">
        <v>917</v>
      </c>
      <c r="F62" s="156" t="s">
        <v>821</v>
      </c>
      <c r="G62" s="158">
        <v>1</v>
      </c>
      <c r="H62" s="159">
        <v>60000</v>
      </c>
      <c r="I62" s="159">
        <v>60000</v>
      </c>
      <c r="J62" s="156"/>
      <c r="L62" s="161"/>
    </row>
    <row r="63" spans="1:12" s="160" customFormat="1" ht="15" customHeight="1" x14ac:dyDescent="0.4">
      <c r="A63" s="156">
        <v>60</v>
      </c>
      <c r="B63" s="157">
        <v>46080</v>
      </c>
      <c r="C63" s="156" t="s">
        <v>946</v>
      </c>
      <c r="D63" s="156" t="s">
        <v>918</v>
      </c>
      <c r="E63" s="156" t="s">
        <v>919</v>
      </c>
      <c r="F63" s="156" t="s">
        <v>821</v>
      </c>
      <c r="G63" s="158">
        <v>1</v>
      </c>
      <c r="H63" s="159">
        <v>30000</v>
      </c>
      <c r="I63" s="159">
        <v>30000</v>
      </c>
      <c r="J63" s="156"/>
      <c r="L63" s="161"/>
    </row>
    <row r="64" spans="1:12" s="160" customFormat="1" ht="15" customHeight="1" x14ac:dyDescent="0.4">
      <c r="A64" s="156">
        <v>61</v>
      </c>
      <c r="B64" s="157">
        <v>46080</v>
      </c>
      <c r="C64" s="156" t="s">
        <v>946</v>
      </c>
      <c r="D64" s="156" t="s">
        <v>918</v>
      </c>
      <c r="E64" s="156" t="s">
        <v>920</v>
      </c>
      <c r="F64" s="156" t="s">
        <v>821</v>
      </c>
      <c r="G64" s="158">
        <v>1</v>
      </c>
      <c r="H64" s="159">
        <v>64900</v>
      </c>
      <c r="I64" s="159">
        <v>64900</v>
      </c>
      <c r="J64" s="156"/>
      <c r="L64" s="161"/>
    </row>
    <row r="65" spans="1:12" s="160" customFormat="1" ht="15" customHeight="1" x14ac:dyDescent="0.4">
      <c r="A65" s="156">
        <v>62</v>
      </c>
      <c r="B65" s="157">
        <v>46080</v>
      </c>
      <c r="C65" s="156" t="s">
        <v>946</v>
      </c>
      <c r="D65" s="156" t="s">
        <v>918</v>
      </c>
      <c r="E65" s="156" t="s">
        <v>921</v>
      </c>
      <c r="F65" s="156" t="s">
        <v>821</v>
      </c>
      <c r="G65" s="158">
        <v>1</v>
      </c>
      <c r="H65" s="159">
        <v>6700</v>
      </c>
      <c r="I65" s="159">
        <v>6700</v>
      </c>
      <c r="J65" s="156"/>
      <c r="L65" s="161"/>
    </row>
    <row r="66" spans="1:12" s="160" customFormat="1" ht="15" customHeight="1" x14ac:dyDescent="0.4">
      <c r="A66" s="156">
        <v>63</v>
      </c>
      <c r="B66" s="157">
        <v>46080</v>
      </c>
      <c r="C66" s="156" t="s">
        <v>946</v>
      </c>
      <c r="D66" s="156" t="s">
        <v>922</v>
      </c>
      <c r="E66" s="156" t="s">
        <v>923</v>
      </c>
      <c r="F66" s="156" t="s">
        <v>821</v>
      </c>
      <c r="G66" s="158">
        <v>1</v>
      </c>
      <c r="H66" s="159">
        <v>64900</v>
      </c>
      <c r="I66" s="159">
        <v>64900</v>
      </c>
      <c r="J66" s="156"/>
      <c r="L66" s="161"/>
    </row>
    <row r="67" spans="1:12" s="160" customFormat="1" ht="15" customHeight="1" x14ac:dyDescent="0.4">
      <c r="A67" s="156">
        <v>64</v>
      </c>
      <c r="B67" s="157">
        <v>46080</v>
      </c>
      <c r="C67" s="156" t="s">
        <v>946</v>
      </c>
      <c r="D67" s="156" t="s">
        <v>922</v>
      </c>
      <c r="E67" s="156" t="s">
        <v>924</v>
      </c>
      <c r="F67" s="156" t="s">
        <v>821</v>
      </c>
      <c r="G67" s="158">
        <v>1</v>
      </c>
      <c r="H67" s="159">
        <v>64900</v>
      </c>
      <c r="I67" s="159">
        <v>64900</v>
      </c>
      <c r="J67" s="156"/>
      <c r="L67" s="161"/>
    </row>
    <row r="68" spans="1:12" s="160" customFormat="1" ht="15" customHeight="1" x14ac:dyDescent="0.4">
      <c r="A68" s="156">
        <v>65</v>
      </c>
      <c r="B68" s="157">
        <v>46080</v>
      </c>
      <c r="C68" s="156" t="s">
        <v>946</v>
      </c>
      <c r="D68" s="156" t="s">
        <v>922</v>
      </c>
      <c r="E68" s="156" t="s">
        <v>925</v>
      </c>
      <c r="F68" s="156" t="s">
        <v>821</v>
      </c>
      <c r="G68" s="158">
        <v>1</v>
      </c>
      <c r="H68" s="159">
        <v>0</v>
      </c>
      <c r="I68" s="159">
        <v>0</v>
      </c>
      <c r="J68" s="156"/>
      <c r="L68" s="161"/>
    </row>
    <row r="69" spans="1:12" s="160" customFormat="1" ht="15" customHeight="1" x14ac:dyDescent="0.4">
      <c r="A69" s="156">
        <v>66</v>
      </c>
      <c r="B69" s="157">
        <v>46080</v>
      </c>
      <c r="C69" s="156" t="s">
        <v>946</v>
      </c>
      <c r="D69" s="156" t="s">
        <v>926</v>
      </c>
      <c r="E69" s="156" t="s">
        <v>927</v>
      </c>
      <c r="F69" s="156" t="s">
        <v>821</v>
      </c>
      <c r="G69" s="158">
        <v>1</v>
      </c>
      <c r="H69" s="159">
        <v>81900</v>
      </c>
      <c r="I69" s="159">
        <v>81900</v>
      </c>
      <c r="J69" s="156"/>
      <c r="L69" s="161"/>
    </row>
    <row r="70" spans="1:12" s="160" customFormat="1" ht="15" customHeight="1" x14ac:dyDescent="0.4">
      <c r="A70" s="156">
        <v>67</v>
      </c>
      <c r="B70" s="157">
        <v>46080</v>
      </c>
      <c r="C70" s="156" t="s">
        <v>946</v>
      </c>
      <c r="D70" s="156" t="s">
        <v>926</v>
      </c>
      <c r="E70" s="156" t="s">
        <v>928</v>
      </c>
      <c r="F70" s="156" t="s">
        <v>821</v>
      </c>
      <c r="G70" s="158">
        <v>1</v>
      </c>
      <c r="H70" s="159">
        <v>13000</v>
      </c>
      <c r="I70" s="159">
        <v>13000</v>
      </c>
      <c r="J70" s="156"/>
      <c r="L70" s="161"/>
    </row>
    <row r="71" spans="1:12" s="160" customFormat="1" ht="15" customHeight="1" x14ac:dyDescent="0.4">
      <c r="A71" s="156">
        <v>68</v>
      </c>
      <c r="B71" s="157">
        <v>46080</v>
      </c>
      <c r="C71" s="156" t="s">
        <v>946</v>
      </c>
      <c r="D71" s="156" t="s">
        <v>929</v>
      </c>
      <c r="E71" s="156" t="s">
        <v>930</v>
      </c>
      <c r="F71" s="156" t="s">
        <v>821</v>
      </c>
      <c r="G71" s="158">
        <v>1</v>
      </c>
      <c r="H71" s="159">
        <v>59000</v>
      </c>
      <c r="I71" s="159">
        <v>59000</v>
      </c>
      <c r="J71" s="156"/>
      <c r="L71" s="161"/>
    </row>
    <row r="72" spans="1:12" s="160" customFormat="1" ht="15" customHeight="1" x14ac:dyDescent="0.4">
      <c r="A72" s="156">
        <v>69</v>
      </c>
      <c r="B72" s="157">
        <v>46080</v>
      </c>
      <c r="C72" s="156" t="s">
        <v>946</v>
      </c>
      <c r="D72" s="156" t="s">
        <v>922</v>
      </c>
      <c r="E72" s="156" t="s">
        <v>931</v>
      </c>
      <c r="F72" s="156" t="s">
        <v>821</v>
      </c>
      <c r="G72" s="158">
        <v>1</v>
      </c>
      <c r="H72" s="159">
        <v>24400</v>
      </c>
      <c r="I72" s="159">
        <v>24400</v>
      </c>
      <c r="J72" s="156"/>
      <c r="L72" s="161"/>
    </row>
    <row r="73" spans="1:12" s="160" customFormat="1" ht="15" customHeight="1" x14ac:dyDescent="0.4">
      <c r="A73" s="156">
        <v>70</v>
      </c>
      <c r="B73" s="157">
        <v>46080</v>
      </c>
      <c r="C73" s="156" t="s">
        <v>946</v>
      </c>
      <c r="D73" s="156" t="s">
        <v>932</v>
      </c>
      <c r="E73" s="156" t="s">
        <v>933</v>
      </c>
      <c r="F73" s="156" t="s">
        <v>821</v>
      </c>
      <c r="G73" s="158">
        <v>1</v>
      </c>
      <c r="H73" s="159">
        <v>287500</v>
      </c>
      <c r="I73" s="159">
        <v>287500</v>
      </c>
      <c r="J73" s="156"/>
      <c r="L73" s="161"/>
    </row>
    <row r="74" spans="1:12" s="160" customFormat="1" ht="15" customHeight="1" x14ac:dyDescent="0.4">
      <c r="A74" s="156">
        <v>71</v>
      </c>
      <c r="B74" s="157">
        <v>46080</v>
      </c>
      <c r="C74" s="156" t="s">
        <v>946</v>
      </c>
      <c r="D74" s="156" t="s">
        <v>842</v>
      </c>
      <c r="E74" s="156" t="s">
        <v>843</v>
      </c>
      <c r="F74" s="156" t="s">
        <v>821</v>
      </c>
      <c r="G74" s="158">
        <v>3</v>
      </c>
      <c r="H74" s="159">
        <v>12000</v>
      </c>
      <c r="I74" s="159">
        <v>36000</v>
      </c>
      <c r="J74" s="156"/>
      <c r="L74" s="161"/>
    </row>
    <row r="75" spans="1:12" s="160" customFormat="1" ht="15" customHeight="1" x14ac:dyDescent="0.4">
      <c r="A75" s="156">
        <v>72</v>
      </c>
      <c r="B75" s="157">
        <v>46080</v>
      </c>
      <c r="C75" s="156" t="s">
        <v>946</v>
      </c>
      <c r="D75" s="156" t="s">
        <v>852</v>
      </c>
      <c r="E75" s="156" t="s">
        <v>934</v>
      </c>
      <c r="F75" s="156" t="s">
        <v>821</v>
      </c>
      <c r="G75" s="158">
        <v>10</v>
      </c>
      <c r="H75" s="159">
        <v>3500</v>
      </c>
      <c r="I75" s="159">
        <v>35000</v>
      </c>
      <c r="J75" s="156"/>
      <c r="L75" s="161"/>
    </row>
    <row r="76" spans="1:12" s="160" customFormat="1" ht="15" customHeight="1" x14ac:dyDescent="0.4">
      <c r="A76" s="156">
        <v>73</v>
      </c>
      <c r="B76" s="157">
        <v>46080</v>
      </c>
      <c r="C76" s="156" t="s">
        <v>946</v>
      </c>
      <c r="D76" s="156" t="s">
        <v>935</v>
      </c>
      <c r="E76" s="156" t="s">
        <v>936</v>
      </c>
      <c r="F76" s="156" t="s">
        <v>821</v>
      </c>
      <c r="G76" s="158">
        <v>3</v>
      </c>
      <c r="H76" s="159">
        <v>1000</v>
      </c>
      <c r="I76" s="159">
        <v>3000</v>
      </c>
      <c r="J76" s="156"/>
      <c r="L76" s="161"/>
    </row>
    <row r="77" spans="1:12" s="160" customFormat="1" ht="15" customHeight="1" x14ac:dyDescent="0.4">
      <c r="A77" s="156">
        <v>74</v>
      </c>
      <c r="B77" s="157">
        <v>46080</v>
      </c>
      <c r="C77" s="156" t="s">
        <v>947</v>
      </c>
      <c r="D77" s="156" t="s">
        <v>937</v>
      </c>
      <c r="E77" s="156"/>
      <c r="F77" s="156" t="s">
        <v>938</v>
      </c>
      <c r="G77" s="158">
        <v>1</v>
      </c>
      <c r="H77" s="159">
        <v>50909.090909090904</v>
      </c>
      <c r="I77" s="159">
        <v>50909.090909090904</v>
      </c>
      <c r="J77" s="156"/>
      <c r="L77" s="161"/>
    </row>
    <row r="78" spans="1:12" s="160" customFormat="1" ht="15" customHeight="1" x14ac:dyDescent="0.4">
      <c r="A78" s="156">
        <v>75</v>
      </c>
      <c r="B78" s="157">
        <v>46057</v>
      </c>
      <c r="C78" s="156" t="s">
        <v>946</v>
      </c>
      <c r="D78" s="156" t="s">
        <v>939</v>
      </c>
      <c r="E78" s="156"/>
      <c r="F78" s="156" t="s">
        <v>940</v>
      </c>
      <c r="G78" s="158">
        <v>1</v>
      </c>
      <c r="H78" s="159">
        <v>65199.999999999993</v>
      </c>
      <c r="I78" s="159">
        <v>65199.999999999993</v>
      </c>
      <c r="J78" s="156"/>
      <c r="L78" s="161"/>
    </row>
    <row r="79" spans="1:12" s="160" customFormat="1" ht="15" customHeight="1" x14ac:dyDescent="0.4">
      <c r="A79" s="156">
        <v>76</v>
      </c>
      <c r="B79" s="157">
        <v>46059</v>
      </c>
      <c r="C79" s="156" t="s">
        <v>947</v>
      </c>
      <c r="D79" s="156" t="s">
        <v>941</v>
      </c>
      <c r="E79" s="156"/>
      <c r="F79" s="156" t="s">
        <v>942</v>
      </c>
      <c r="G79" s="158">
        <v>2</v>
      </c>
      <c r="H79" s="159">
        <v>23636.363636363636</v>
      </c>
      <c r="I79" s="159">
        <v>47272.727272727272</v>
      </c>
      <c r="J79" s="156"/>
      <c r="L79" s="161"/>
    </row>
    <row r="80" spans="1:12" s="160" customFormat="1" ht="15" customHeight="1" x14ac:dyDescent="0.4">
      <c r="A80" s="156">
        <v>77</v>
      </c>
      <c r="B80" s="157">
        <v>46064</v>
      </c>
      <c r="C80" s="156" t="s">
        <v>946</v>
      </c>
      <c r="D80" s="156" t="s">
        <v>943</v>
      </c>
      <c r="E80" s="156"/>
      <c r="F80" s="156" t="s">
        <v>942</v>
      </c>
      <c r="G80" s="158">
        <v>6</v>
      </c>
      <c r="H80" s="159">
        <v>7242.4242424242411</v>
      </c>
      <c r="I80" s="159">
        <v>43454.545454545449</v>
      </c>
      <c r="J80" s="156"/>
      <c r="L80" s="161"/>
    </row>
    <row r="81" spans="1:12" s="160" customFormat="1" ht="15" customHeight="1" x14ac:dyDescent="0.35">
      <c r="A81" s="163"/>
      <c r="B81" s="164"/>
      <c r="C81" s="163"/>
      <c r="D81" s="164"/>
      <c r="E81" s="164"/>
      <c r="F81" s="164"/>
      <c r="G81" s="165"/>
      <c r="H81" s="166"/>
      <c r="I81" s="166"/>
      <c r="J81" s="164"/>
      <c r="L81" s="161"/>
    </row>
    <row r="82" spans="1:12" s="160" customFormat="1" ht="15" customHeight="1" x14ac:dyDescent="0.35">
      <c r="A82" s="163"/>
      <c r="B82" s="164"/>
      <c r="C82" s="163"/>
      <c r="D82" s="164"/>
      <c r="E82" s="164"/>
      <c r="F82" s="164"/>
      <c r="G82" s="165"/>
      <c r="H82" s="166"/>
      <c r="I82" s="166"/>
      <c r="J82" s="164"/>
      <c r="L82" s="161"/>
    </row>
    <row r="83" spans="1:12" s="160" customFormat="1" ht="15" customHeight="1" x14ac:dyDescent="0.35">
      <c r="A83" s="163"/>
      <c r="B83" s="164"/>
      <c r="C83" s="163"/>
      <c r="D83" s="164"/>
      <c r="E83" s="164"/>
      <c r="F83" s="164"/>
      <c r="G83" s="165"/>
      <c r="H83" s="166"/>
      <c r="I83" s="166"/>
      <c r="J83" s="164"/>
      <c r="L83" s="161"/>
    </row>
    <row r="84" spans="1:12" s="160" customFormat="1" ht="15" customHeight="1" x14ac:dyDescent="0.35">
      <c r="A84" s="163"/>
      <c r="B84" s="164"/>
      <c r="C84" s="163"/>
      <c r="D84" s="164"/>
      <c r="E84" s="164"/>
      <c r="F84" s="164"/>
      <c r="G84" s="165"/>
      <c r="H84" s="166"/>
      <c r="I84" s="166"/>
      <c r="J84" s="164"/>
      <c r="L84" s="161"/>
    </row>
    <row r="85" spans="1:12" s="160" customFormat="1" ht="15" customHeight="1" x14ac:dyDescent="0.35">
      <c r="A85" s="163"/>
      <c r="B85" s="164"/>
      <c r="C85" s="163"/>
      <c r="D85" s="164"/>
      <c r="E85" s="164"/>
      <c r="F85" s="164"/>
      <c r="G85" s="165"/>
      <c r="H85" s="166"/>
      <c r="I85" s="166"/>
      <c r="J85" s="164"/>
      <c r="L85" s="161"/>
    </row>
    <row r="86" spans="1:12" s="160" customFormat="1" ht="15" customHeight="1" x14ac:dyDescent="0.35">
      <c r="A86" s="163"/>
      <c r="B86" s="164"/>
      <c r="C86" s="163"/>
      <c r="D86" s="164"/>
      <c r="E86" s="164"/>
      <c r="F86" s="164"/>
      <c r="G86" s="165"/>
      <c r="H86" s="166"/>
      <c r="I86" s="166"/>
      <c r="J86" s="164"/>
      <c r="L86" s="161"/>
    </row>
    <row r="87" spans="1:12" s="160" customFormat="1" ht="15" customHeight="1" x14ac:dyDescent="0.35">
      <c r="A87" s="163"/>
      <c r="B87" s="164"/>
      <c r="C87" s="163"/>
      <c r="D87" s="164"/>
      <c r="E87" s="164"/>
      <c r="F87" s="164"/>
      <c r="G87" s="165"/>
      <c r="H87" s="166"/>
      <c r="I87" s="166"/>
      <c r="J87" s="164"/>
      <c r="L87" s="161"/>
    </row>
    <row r="88" spans="1:12" s="160" customFormat="1" ht="15" customHeight="1" x14ac:dyDescent="0.35">
      <c r="A88" s="163"/>
      <c r="B88" s="164"/>
      <c r="C88" s="163"/>
      <c r="D88" s="164"/>
      <c r="E88" s="164"/>
      <c r="F88" s="164"/>
      <c r="G88" s="165"/>
      <c r="H88" s="166"/>
      <c r="I88" s="166"/>
      <c r="J88" s="164"/>
      <c r="L88" s="161"/>
    </row>
    <row r="89" spans="1:12" s="160" customFormat="1" ht="15" customHeight="1" x14ac:dyDescent="0.35">
      <c r="A89" s="163"/>
      <c r="B89" s="164"/>
      <c r="C89" s="163"/>
      <c r="D89" s="164"/>
      <c r="E89" s="164"/>
      <c r="F89" s="164"/>
      <c r="G89" s="165"/>
      <c r="H89" s="166"/>
      <c r="I89" s="166"/>
      <c r="J89" s="164"/>
      <c r="L89" s="161"/>
    </row>
    <row r="90" spans="1:12" s="160" customFormat="1" ht="15" customHeight="1" x14ac:dyDescent="0.35">
      <c r="A90" s="163"/>
      <c r="B90" s="164"/>
      <c r="C90" s="163"/>
      <c r="D90" s="164"/>
      <c r="E90" s="164"/>
      <c r="F90" s="164"/>
      <c r="G90" s="165"/>
      <c r="H90" s="166"/>
      <c r="I90" s="166"/>
      <c r="J90" s="164"/>
      <c r="L90" s="161"/>
    </row>
    <row r="91" spans="1:12" s="160" customFormat="1" ht="15" customHeight="1" x14ac:dyDescent="0.35">
      <c r="A91" s="163"/>
      <c r="B91" s="164"/>
      <c r="C91" s="163"/>
      <c r="D91" s="164"/>
      <c r="E91" s="164"/>
      <c r="F91" s="164"/>
      <c r="G91" s="165"/>
      <c r="H91" s="166"/>
      <c r="I91" s="166"/>
      <c r="J91" s="164"/>
      <c r="L91" s="161"/>
    </row>
    <row r="92" spans="1:12" s="160" customFormat="1" ht="15" customHeight="1" x14ac:dyDescent="0.35">
      <c r="A92" s="163"/>
      <c r="B92" s="164"/>
      <c r="C92" s="163"/>
      <c r="D92" s="164"/>
      <c r="E92" s="164"/>
      <c r="F92" s="164"/>
      <c r="G92" s="165"/>
      <c r="H92" s="166"/>
      <c r="I92" s="166"/>
      <c r="J92" s="164"/>
      <c r="L92" s="161"/>
    </row>
    <row r="93" spans="1:12" s="160" customFormat="1" ht="15" customHeight="1" x14ac:dyDescent="0.35">
      <c r="A93" s="163"/>
      <c r="B93" s="164"/>
      <c r="C93" s="163"/>
      <c r="D93" s="164"/>
      <c r="E93" s="164"/>
      <c r="F93" s="164"/>
      <c r="G93" s="165"/>
      <c r="H93" s="166"/>
      <c r="I93" s="166"/>
      <c r="J93" s="164"/>
      <c r="L93" s="161"/>
    </row>
    <row r="94" spans="1:12" s="160" customFormat="1" ht="15" customHeight="1" x14ac:dyDescent="0.35">
      <c r="A94" s="163"/>
      <c r="B94" s="164"/>
      <c r="C94" s="163"/>
      <c r="D94" s="164"/>
      <c r="E94" s="164"/>
      <c r="F94" s="164"/>
      <c r="G94" s="165"/>
      <c r="H94" s="166"/>
      <c r="I94" s="166"/>
      <c r="J94" s="164"/>
      <c r="L94" s="161"/>
    </row>
    <row r="95" spans="1:12" s="160" customFormat="1" ht="15" customHeight="1" x14ac:dyDescent="0.35">
      <c r="A95" s="163"/>
      <c r="B95" s="164"/>
      <c r="C95" s="163"/>
      <c r="D95" s="164"/>
      <c r="E95" s="164"/>
      <c r="F95" s="164"/>
      <c r="G95" s="165"/>
      <c r="H95" s="166"/>
      <c r="I95" s="166"/>
      <c r="J95" s="164"/>
      <c r="L95" s="161"/>
    </row>
    <row r="96" spans="1:12" s="160" customFormat="1" ht="15" customHeight="1" x14ac:dyDescent="0.35">
      <c r="A96" s="163"/>
      <c r="B96" s="164"/>
      <c r="C96" s="163"/>
      <c r="D96" s="164"/>
      <c r="E96" s="164"/>
      <c r="F96" s="164"/>
      <c r="G96" s="165"/>
      <c r="H96" s="166"/>
      <c r="I96" s="166"/>
      <c r="J96" s="164"/>
      <c r="L96" s="161"/>
    </row>
    <row r="97" spans="1:12" s="160" customFormat="1" ht="15" customHeight="1" x14ac:dyDescent="0.35">
      <c r="A97" s="163"/>
      <c r="B97" s="164"/>
      <c r="C97" s="163"/>
      <c r="D97" s="164"/>
      <c r="E97" s="164"/>
      <c r="F97" s="164"/>
      <c r="G97" s="165"/>
      <c r="H97" s="166"/>
      <c r="I97" s="166"/>
      <c r="J97" s="164"/>
      <c r="L97" s="161"/>
    </row>
    <row r="98" spans="1:12" s="160" customFormat="1" ht="15" customHeight="1" x14ac:dyDescent="0.35">
      <c r="A98" s="163"/>
      <c r="B98" s="164"/>
      <c r="C98" s="163"/>
      <c r="D98" s="164"/>
      <c r="E98" s="164"/>
      <c r="F98" s="164"/>
      <c r="G98" s="165"/>
      <c r="H98" s="166"/>
      <c r="I98" s="166"/>
      <c r="J98" s="164"/>
      <c r="L98" s="161"/>
    </row>
    <row r="99" spans="1:12" s="160" customFormat="1" ht="15" customHeight="1" x14ac:dyDescent="0.35">
      <c r="A99" s="163"/>
      <c r="B99" s="164"/>
      <c r="C99" s="163"/>
      <c r="D99" s="164"/>
      <c r="E99" s="164"/>
      <c r="F99" s="164"/>
      <c r="G99" s="165"/>
      <c r="H99" s="166"/>
      <c r="I99" s="166"/>
      <c r="J99" s="164"/>
      <c r="L99" s="161"/>
    </row>
    <row r="100" spans="1:12" s="160" customFormat="1" ht="15" customHeight="1" x14ac:dyDescent="0.35">
      <c r="A100" s="163"/>
      <c r="B100" s="164"/>
      <c r="C100" s="163"/>
      <c r="D100" s="164"/>
      <c r="E100" s="164"/>
      <c r="F100" s="164"/>
      <c r="G100" s="165"/>
      <c r="H100" s="166"/>
      <c r="I100" s="166"/>
      <c r="J100" s="164"/>
      <c r="L100" s="161"/>
    </row>
    <row r="101" spans="1:12" s="160" customFormat="1" ht="15" customHeight="1" x14ac:dyDescent="0.35">
      <c r="A101" s="163"/>
      <c r="B101" s="164"/>
      <c r="C101" s="163"/>
      <c r="D101" s="164"/>
      <c r="E101" s="164"/>
      <c r="F101" s="164"/>
      <c r="G101" s="165"/>
      <c r="H101" s="166"/>
      <c r="I101" s="166"/>
      <c r="J101" s="164"/>
      <c r="L101" s="161"/>
    </row>
    <row r="102" spans="1:12" s="160" customFormat="1" ht="15" customHeight="1" x14ac:dyDescent="0.35">
      <c r="A102" s="163"/>
      <c r="B102" s="164"/>
      <c r="C102" s="163"/>
      <c r="D102" s="164"/>
      <c r="E102" s="164"/>
      <c r="F102" s="164"/>
      <c r="G102" s="165"/>
      <c r="H102" s="166"/>
      <c r="I102" s="166"/>
      <c r="J102" s="164"/>
      <c r="L102" s="161"/>
    </row>
    <row r="103" spans="1:12" s="160" customFormat="1" ht="15" customHeight="1" x14ac:dyDescent="0.35">
      <c r="A103" s="163"/>
      <c r="B103" s="164"/>
      <c r="C103" s="163"/>
      <c r="D103" s="164"/>
      <c r="E103" s="164"/>
      <c r="F103" s="164"/>
      <c r="G103" s="165"/>
      <c r="H103" s="166"/>
      <c r="I103" s="166"/>
      <c r="J103" s="164"/>
      <c r="L103" s="161"/>
    </row>
    <row r="104" spans="1:12" s="160" customFormat="1" ht="15" customHeight="1" x14ac:dyDescent="0.35">
      <c r="A104" s="163"/>
      <c r="B104" s="164"/>
      <c r="C104" s="163"/>
      <c r="D104" s="164"/>
      <c r="E104" s="164"/>
      <c r="F104" s="164"/>
      <c r="G104" s="165"/>
      <c r="H104" s="166"/>
      <c r="I104" s="166"/>
      <c r="J104" s="164"/>
      <c r="L104" s="161"/>
    </row>
    <row r="105" spans="1:12" s="160" customFormat="1" ht="15" customHeight="1" x14ac:dyDescent="0.35">
      <c r="A105" s="163"/>
      <c r="B105" s="164"/>
      <c r="C105" s="163"/>
      <c r="D105" s="164"/>
      <c r="E105" s="164"/>
      <c r="F105" s="164"/>
      <c r="G105" s="165"/>
      <c r="H105" s="166"/>
      <c r="I105" s="166"/>
      <c r="J105" s="164"/>
      <c r="L105" s="161"/>
    </row>
    <row r="106" spans="1:12" s="160" customFormat="1" ht="15" customHeight="1" x14ac:dyDescent="0.35">
      <c r="A106" s="163"/>
      <c r="B106" s="164"/>
      <c r="C106" s="163"/>
      <c r="D106" s="164"/>
      <c r="E106" s="164"/>
      <c r="F106" s="164"/>
      <c r="G106" s="165"/>
      <c r="H106" s="166"/>
      <c r="I106" s="166"/>
      <c r="J106" s="164"/>
      <c r="L106" s="161"/>
    </row>
    <row r="107" spans="1:12" s="160" customFormat="1" ht="15" customHeight="1" x14ac:dyDescent="0.35">
      <c r="A107" s="163"/>
      <c r="B107" s="164"/>
      <c r="C107" s="163"/>
      <c r="D107" s="164"/>
      <c r="E107" s="164"/>
      <c r="F107" s="164"/>
      <c r="G107" s="165"/>
      <c r="H107" s="166"/>
      <c r="I107" s="166"/>
      <c r="J107" s="164"/>
      <c r="L107" s="161"/>
    </row>
    <row r="108" spans="1:12" s="160" customFormat="1" ht="15" customHeight="1" x14ac:dyDescent="0.35">
      <c r="A108" s="163"/>
      <c r="B108" s="164"/>
      <c r="C108" s="163"/>
      <c r="D108" s="164"/>
      <c r="E108" s="164"/>
      <c r="F108" s="164"/>
      <c r="G108" s="165"/>
      <c r="H108" s="166"/>
      <c r="I108" s="166"/>
      <c r="J108" s="164"/>
      <c r="L108" s="161"/>
    </row>
  </sheetData>
  <autoFilter ref="A2:J30" xr:uid="{2E421254-DD27-4148-AC38-C00782AEA3D1}">
    <sortState ref="A5:J30">
      <sortCondition ref="F2:F21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ageMargins left="0.7" right="0.7" top="0.75" bottom="0.75" header="0.3" footer="0.3"/>
  <pageSetup paperSize="9" scale="5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6"/>
  <sheetViews>
    <sheetView view="pageBreakPreview" zoomScaleNormal="100" zoomScaleSheetLayoutView="100" workbookViewId="0">
      <selection activeCell="H4" sqref="H4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27" t="s">
        <v>237</v>
      </c>
      <c r="B1" s="328"/>
      <c r="C1" s="328"/>
      <c r="D1" s="328"/>
      <c r="E1" s="328"/>
      <c r="F1" s="328"/>
      <c r="G1" s="328"/>
      <c r="H1" s="328"/>
      <c r="I1" s="328"/>
      <c r="J1" s="329"/>
    </row>
    <row r="2" spans="1:12" ht="20.100000000000001" customHeight="1" x14ac:dyDescent="0.4">
      <c r="A2" s="330" t="s">
        <v>238</v>
      </c>
      <c r="B2" s="330" t="s">
        <v>239</v>
      </c>
      <c r="C2" s="330" t="s">
        <v>240</v>
      </c>
      <c r="D2" s="330" t="s">
        <v>241</v>
      </c>
      <c r="E2" s="330" t="s">
        <v>242</v>
      </c>
      <c r="F2" s="330" t="s">
        <v>243</v>
      </c>
      <c r="G2" s="330" t="s">
        <v>244</v>
      </c>
      <c r="H2" s="330" t="s">
        <v>245</v>
      </c>
      <c r="I2" s="143" t="s">
        <v>246</v>
      </c>
      <c r="J2" s="330" t="s">
        <v>247</v>
      </c>
    </row>
    <row r="3" spans="1:12" ht="20.100000000000001" customHeight="1" x14ac:dyDescent="0.4">
      <c r="A3" s="330"/>
      <c r="B3" s="330"/>
      <c r="C3" s="330"/>
      <c r="D3" s="330"/>
      <c r="E3" s="330"/>
      <c r="F3" s="330"/>
      <c r="G3" s="330"/>
      <c r="H3" s="330"/>
      <c r="I3" s="144">
        <f>SUM(I4:I26)</f>
        <v>21782142.857142858</v>
      </c>
      <c r="J3" s="330"/>
      <c r="L3" s="145" t="s">
        <v>248</v>
      </c>
    </row>
    <row r="4" spans="1:12" ht="20.100000000000001" customHeight="1" x14ac:dyDescent="0.4">
      <c r="A4" s="156">
        <f t="shared" ref="A4:A26" si="0">ROW()-3</f>
        <v>1</v>
      </c>
      <c r="B4" s="182">
        <v>46081</v>
      </c>
      <c r="C4" s="46" t="s">
        <v>948</v>
      </c>
      <c r="D4" s="46" t="s">
        <v>949</v>
      </c>
      <c r="E4" s="46" t="s">
        <v>950</v>
      </c>
      <c r="F4" s="46" t="s">
        <v>951</v>
      </c>
      <c r="G4" s="46">
        <v>1</v>
      </c>
      <c r="H4" s="46"/>
      <c r="I4" s="184">
        <f>800000</f>
        <v>800000</v>
      </c>
      <c r="J4" s="46" t="s">
        <v>249</v>
      </c>
      <c r="L4" s="146" t="s">
        <v>250</v>
      </c>
    </row>
    <row r="5" spans="1:12" ht="20.100000000000001" customHeight="1" x14ac:dyDescent="0.4">
      <c r="A5" s="156">
        <f t="shared" si="0"/>
        <v>2</v>
      </c>
      <c r="B5" s="182">
        <v>46081</v>
      </c>
      <c r="C5" s="46" t="s">
        <v>948</v>
      </c>
      <c r="D5" s="46" t="s">
        <v>949</v>
      </c>
      <c r="E5" s="46" t="s">
        <v>952</v>
      </c>
      <c r="F5" s="46" t="s">
        <v>953</v>
      </c>
      <c r="G5" s="46">
        <v>1</v>
      </c>
      <c r="H5" s="46"/>
      <c r="I5" s="184">
        <f>800000</f>
        <v>800000</v>
      </c>
      <c r="J5" s="46" t="s">
        <v>249</v>
      </c>
      <c r="L5" s="146" t="s">
        <v>251</v>
      </c>
    </row>
    <row r="6" spans="1:12" ht="20.100000000000001" customHeight="1" x14ac:dyDescent="0.4">
      <c r="A6" s="156">
        <f t="shared" si="0"/>
        <v>3</v>
      </c>
      <c r="B6" s="182">
        <v>46081</v>
      </c>
      <c r="C6" s="46" t="s">
        <v>948</v>
      </c>
      <c r="D6" s="46" t="s">
        <v>949</v>
      </c>
      <c r="E6" s="46" t="s">
        <v>954</v>
      </c>
      <c r="F6" s="46" t="s">
        <v>955</v>
      </c>
      <c r="G6" s="46">
        <v>1</v>
      </c>
      <c r="H6" s="46"/>
      <c r="I6" s="184">
        <f>850000</f>
        <v>850000</v>
      </c>
      <c r="J6" s="46" t="s">
        <v>249</v>
      </c>
      <c r="L6" s="146" t="s">
        <v>252</v>
      </c>
    </row>
    <row r="7" spans="1:12" ht="20.100000000000001" customHeight="1" x14ac:dyDescent="0.4">
      <c r="A7" s="156">
        <f t="shared" si="0"/>
        <v>4</v>
      </c>
      <c r="B7" s="182">
        <v>46081</v>
      </c>
      <c r="C7" s="46" t="s">
        <v>948</v>
      </c>
      <c r="D7" s="46" t="s">
        <v>949</v>
      </c>
      <c r="E7" s="46" t="s">
        <v>956</v>
      </c>
      <c r="F7" s="46" t="s">
        <v>957</v>
      </c>
      <c r="G7" s="46">
        <v>1</v>
      </c>
      <c r="H7" s="46"/>
      <c r="I7" s="184">
        <f>850000</f>
        <v>850000</v>
      </c>
      <c r="J7" s="46" t="s">
        <v>249</v>
      </c>
      <c r="L7" s="146" t="s">
        <v>253</v>
      </c>
    </row>
    <row r="8" spans="1:12" ht="20.100000000000001" customHeight="1" x14ac:dyDescent="0.4">
      <c r="A8" s="156">
        <f t="shared" si="0"/>
        <v>5</v>
      </c>
      <c r="B8" s="182">
        <v>46081</v>
      </c>
      <c r="C8" s="46" t="s">
        <v>948</v>
      </c>
      <c r="D8" s="46" t="s">
        <v>949</v>
      </c>
      <c r="E8" s="46" t="s">
        <v>958</v>
      </c>
      <c r="F8" s="46" t="s">
        <v>959</v>
      </c>
      <c r="G8" s="46">
        <v>1</v>
      </c>
      <c r="H8" s="46"/>
      <c r="I8" s="184">
        <f>950000</f>
        <v>950000</v>
      </c>
      <c r="J8" s="46" t="s">
        <v>249</v>
      </c>
      <c r="L8" s="147" t="s">
        <v>254</v>
      </c>
    </row>
    <row r="9" spans="1:12" ht="20.100000000000001" customHeight="1" x14ac:dyDescent="0.4">
      <c r="A9" s="156">
        <f t="shared" si="0"/>
        <v>6</v>
      </c>
      <c r="B9" s="182">
        <v>46081</v>
      </c>
      <c r="C9" s="46" t="s">
        <v>948</v>
      </c>
      <c r="D9" s="46" t="s">
        <v>949</v>
      </c>
      <c r="E9" s="46" t="s">
        <v>960</v>
      </c>
      <c r="F9" s="46" t="s">
        <v>957</v>
      </c>
      <c r="G9" s="46">
        <v>1</v>
      </c>
      <c r="H9" s="46"/>
      <c r="I9" s="184">
        <f>1000000</f>
        <v>1000000</v>
      </c>
      <c r="J9" s="46" t="s">
        <v>249</v>
      </c>
      <c r="L9" s="147" t="s">
        <v>255</v>
      </c>
    </row>
    <row r="10" spans="1:12" ht="20.100000000000001" customHeight="1" x14ac:dyDescent="0.4">
      <c r="A10" s="156">
        <f t="shared" si="0"/>
        <v>7</v>
      </c>
      <c r="B10" s="182">
        <v>46081</v>
      </c>
      <c r="C10" s="46" t="s">
        <v>948</v>
      </c>
      <c r="D10" s="46" t="s">
        <v>949</v>
      </c>
      <c r="E10" s="46" t="s">
        <v>960</v>
      </c>
      <c r="F10" s="46" t="s">
        <v>959</v>
      </c>
      <c r="G10" s="46">
        <v>1</v>
      </c>
      <c r="H10" s="46"/>
      <c r="I10" s="184">
        <f>1000000</f>
        <v>1000000</v>
      </c>
      <c r="J10" s="46" t="s">
        <v>249</v>
      </c>
      <c r="L10" s="147" t="s">
        <v>256</v>
      </c>
    </row>
    <row r="11" spans="1:12" ht="20.100000000000001" customHeight="1" x14ac:dyDescent="0.4">
      <c r="A11" s="156">
        <f t="shared" si="0"/>
        <v>8</v>
      </c>
      <c r="B11" s="182">
        <v>46081</v>
      </c>
      <c r="C11" s="46" t="s">
        <v>948</v>
      </c>
      <c r="D11" s="46" t="s">
        <v>949</v>
      </c>
      <c r="E11" s="46" t="s">
        <v>961</v>
      </c>
      <c r="F11" s="46" t="s">
        <v>962</v>
      </c>
      <c r="G11" s="46">
        <v>1</v>
      </c>
      <c r="H11" s="46"/>
      <c r="I11" s="184">
        <f>1000000</f>
        <v>1000000</v>
      </c>
      <c r="J11" s="46" t="s">
        <v>249</v>
      </c>
      <c r="L11" s="147"/>
    </row>
    <row r="12" spans="1:12" ht="20.100000000000001" customHeight="1" x14ac:dyDescent="0.4">
      <c r="A12" s="156">
        <f t="shared" si="0"/>
        <v>9</v>
      </c>
      <c r="B12" s="182">
        <v>46081</v>
      </c>
      <c r="C12" s="46" t="s">
        <v>948</v>
      </c>
      <c r="D12" s="46" t="s">
        <v>949</v>
      </c>
      <c r="E12" s="46" t="s">
        <v>963</v>
      </c>
      <c r="F12" s="46" t="s">
        <v>964</v>
      </c>
      <c r="G12" s="46">
        <v>1</v>
      </c>
      <c r="H12" s="46"/>
      <c r="I12" s="184">
        <f>850000</f>
        <v>850000</v>
      </c>
      <c r="J12" s="46" t="s">
        <v>249</v>
      </c>
      <c r="L12" s="145" t="s">
        <v>257</v>
      </c>
    </row>
    <row r="13" spans="1:12" ht="20.100000000000001" customHeight="1" x14ac:dyDescent="0.4">
      <c r="A13" s="156">
        <f t="shared" si="0"/>
        <v>10</v>
      </c>
      <c r="B13" s="182">
        <v>46081</v>
      </c>
      <c r="C13" s="46" t="s">
        <v>948</v>
      </c>
      <c r="D13" s="46" t="s">
        <v>949</v>
      </c>
      <c r="E13" s="46" t="s">
        <v>965</v>
      </c>
      <c r="F13" s="46" t="s">
        <v>955</v>
      </c>
      <c r="G13" s="46">
        <v>1</v>
      </c>
      <c r="H13" s="46"/>
      <c r="I13" s="184">
        <f>850000</f>
        <v>850000</v>
      </c>
      <c r="J13" s="46" t="s">
        <v>249</v>
      </c>
    </row>
    <row r="14" spans="1:12" ht="20.100000000000001" customHeight="1" x14ac:dyDescent="0.4">
      <c r="A14" s="156">
        <f t="shared" si="0"/>
        <v>11</v>
      </c>
      <c r="B14" s="182">
        <v>46081</v>
      </c>
      <c r="C14" s="46" t="s">
        <v>948</v>
      </c>
      <c r="D14" s="46" t="s">
        <v>949</v>
      </c>
      <c r="E14" s="46" t="s">
        <v>966</v>
      </c>
      <c r="F14" s="46" t="s">
        <v>955</v>
      </c>
      <c r="G14" s="46">
        <v>1</v>
      </c>
      <c r="H14" s="46"/>
      <c r="I14" s="190">
        <f>850000</f>
        <v>850000</v>
      </c>
      <c r="J14" s="46" t="s">
        <v>249</v>
      </c>
      <c r="L14" s="147"/>
    </row>
    <row r="15" spans="1:12" ht="20.100000000000001" customHeight="1" x14ac:dyDescent="0.4">
      <c r="A15" s="156">
        <f t="shared" si="0"/>
        <v>12</v>
      </c>
      <c r="B15" s="182">
        <v>46081</v>
      </c>
      <c r="C15" s="46" t="s">
        <v>948</v>
      </c>
      <c r="D15" s="46" t="s">
        <v>949</v>
      </c>
      <c r="E15" s="46" t="s">
        <v>967</v>
      </c>
      <c r="F15" s="46" t="s">
        <v>968</v>
      </c>
      <c r="G15" s="46">
        <v>1</v>
      </c>
      <c r="H15" s="46"/>
      <c r="I15" s="185">
        <f>1000000</f>
        <v>1000000</v>
      </c>
      <c r="J15" s="46" t="s">
        <v>249</v>
      </c>
      <c r="L15" s="147"/>
    </row>
    <row r="16" spans="1:12" ht="20.100000000000001" customHeight="1" x14ac:dyDescent="0.4">
      <c r="A16" s="156">
        <f t="shared" si="0"/>
        <v>13</v>
      </c>
      <c r="B16" s="182">
        <v>46081</v>
      </c>
      <c r="C16" s="46" t="s">
        <v>948</v>
      </c>
      <c r="D16" s="46" t="s">
        <v>949</v>
      </c>
      <c r="E16" s="46" t="s">
        <v>967</v>
      </c>
      <c r="F16" s="46" t="s">
        <v>969</v>
      </c>
      <c r="G16" s="46">
        <v>1</v>
      </c>
      <c r="H16" s="46"/>
      <c r="I16" s="185">
        <f>1000000</f>
        <v>1000000</v>
      </c>
      <c r="J16" s="46" t="s">
        <v>249</v>
      </c>
      <c r="L16" s="147"/>
    </row>
    <row r="17" spans="1:12" ht="20.100000000000001" customHeight="1" x14ac:dyDescent="0.4">
      <c r="A17" s="156">
        <f t="shared" si="0"/>
        <v>14</v>
      </c>
      <c r="B17" s="182">
        <v>46081</v>
      </c>
      <c r="C17" s="46" t="s">
        <v>948</v>
      </c>
      <c r="D17" s="46" t="s">
        <v>949</v>
      </c>
      <c r="E17" s="46" t="s">
        <v>967</v>
      </c>
      <c r="F17" s="46" t="s">
        <v>970</v>
      </c>
      <c r="G17" s="46">
        <v>1</v>
      </c>
      <c r="H17" s="46"/>
      <c r="I17" s="185">
        <f>1000000</f>
        <v>1000000</v>
      </c>
      <c r="J17" s="46" t="s">
        <v>249</v>
      </c>
      <c r="L17" s="147"/>
    </row>
    <row r="18" spans="1:12" ht="20.100000000000001" customHeight="1" x14ac:dyDescent="0.4">
      <c r="A18" s="156">
        <f t="shared" si="0"/>
        <v>15</v>
      </c>
      <c r="B18" s="182">
        <v>46081</v>
      </c>
      <c r="C18" s="46" t="s">
        <v>948</v>
      </c>
      <c r="D18" s="46" t="s">
        <v>949</v>
      </c>
      <c r="E18" s="46" t="s">
        <v>971</v>
      </c>
      <c r="F18" s="46" t="s">
        <v>969</v>
      </c>
      <c r="G18" s="46">
        <v>1</v>
      </c>
      <c r="H18" s="46"/>
      <c r="I18" s="185">
        <f>950000</f>
        <v>950000</v>
      </c>
      <c r="J18" s="46" t="s">
        <v>249</v>
      </c>
      <c r="L18" s="147"/>
    </row>
    <row r="19" spans="1:12" ht="20.100000000000001" customHeight="1" x14ac:dyDescent="0.4">
      <c r="A19" s="156">
        <f t="shared" si="0"/>
        <v>16</v>
      </c>
      <c r="B19" s="182">
        <v>46081</v>
      </c>
      <c r="C19" s="46" t="s">
        <v>948</v>
      </c>
      <c r="D19" s="46" t="s">
        <v>949</v>
      </c>
      <c r="E19" s="46" t="s">
        <v>972</v>
      </c>
      <c r="F19" s="46" t="s">
        <v>973</v>
      </c>
      <c r="G19" s="46">
        <v>1</v>
      </c>
      <c r="H19" s="46"/>
      <c r="I19" s="185">
        <f>950000</f>
        <v>950000</v>
      </c>
      <c r="J19" s="46" t="s">
        <v>249</v>
      </c>
      <c r="L19" s="147"/>
    </row>
    <row r="20" spans="1:12" ht="20.100000000000001" customHeight="1" x14ac:dyDescent="0.4">
      <c r="A20" s="156">
        <f t="shared" si="0"/>
        <v>17</v>
      </c>
      <c r="B20" s="182">
        <v>46081</v>
      </c>
      <c r="C20" s="46" t="s">
        <v>948</v>
      </c>
      <c r="D20" s="46" t="s">
        <v>949</v>
      </c>
      <c r="E20" s="46" t="s">
        <v>974</v>
      </c>
      <c r="F20" s="46" t="s">
        <v>970</v>
      </c>
      <c r="G20" s="46">
        <v>1</v>
      </c>
      <c r="H20" s="46"/>
      <c r="I20" s="185">
        <f>1000000</f>
        <v>1000000</v>
      </c>
      <c r="J20" s="46" t="s">
        <v>249</v>
      </c>
      <c r="L20" s="147"/>
    </row>
    <row r="21" spans="1:12" ht="20.100000000000001" customHeight="1" x14ac:dyDescent="0.4">
      <c r="A21" s="156">
        <f t="shared" si="0"/>
        <v>18</v>
      </c>
      <c r="B21" s="182">
        <v>46081</v>
      </c>
      <c r="C21" s="46" t="s">
        <v>948</v>
      </c>
      <c r="D21" s="46" t="s">
        <v>949</v>
      </c>
      <c r="E21" s="46" t="s">
        <v>975</v>
      </c>
      <c r="F21" s="46" t="s">
        <v>969</v>
      </c>
      <c r="G21" s="46">
        <v>1</v>
      </c>
      <c r="H21" s="46"/>
      <c r="I21" s="185">
        <f>1000000</f>
        <v>1000000</v>
      </c>
      <c r="J21" s="46" t="s">
        <v>249</v>
      </c>
      <c r="L21" s="147"/>
    </row>
    <row r="22" spans="1:12" ht="20.100000000000001" customHeight="1" x14ac:dyDescent="0.4">
      <c r="A22" s="156">
        <f t="shared" si="0"/>
        <v>19</v>
      </c>
      <c r="B22" s="182">
        <v>46081</v>
      </c>
      <c r="C22" s="46" t="s">
        <v>948</v>
      </c>
      <c r="D22" s="46" t="s">
        <v>949</v>
      </c>
      <c r="E22" s="46" t="s">
        <v>976</v>
      </c>
      <c r="F22" s="46" t="s">
        <v>968</v>
      </c>
      <c r="G22" s="46">
        <v>1</v>
      </c>
      <c r="H22" s="46"/>
      <c r="I22" s="185">
        <f>1100000</f>
        <v>1100000</v>
      </c>
      <c r="J22" s="46" t="s">
        <v>249</v>
      </c>
      <c r="L22" s="147"/>
    </row>
    <row r="23" spans="1:12" ht="20.100000000000001" customHeight="1" x14ac:dyDescent="0.4">
      <c r="A23" s="156">
        <f t="shared" si="0"/>
        <v>20</v>
      </c>
      <c r="B23" s="182">
        <v>46081</v>
      </c>
      <c r="C23" s="46" t="s">
        <v>948</v>
      </c>
      <c r="D23" s="46" t="s">
        <v>949</v>
      </c>
      <c r="E23" s="46" t="s">
        <v>977</v>
      </c>
      <c r="F23" s="46" t="s">
        <v>968</v>
      </c>
      <c r="G23" s="46">
        <v>1</v>
      </c>
      <c r="H23" s="46"/>
      <c r="I23" s="185">
        <f>1100000</f>
        <v>1100000</v>
      </c>
      <c r="J23" s="46" t="s">
        <v>249</v>
      </c>
      <c r="L23" s="147"/>
    </row>
    <row r="24" spans="1:12" ht="20.100000000000001" customHeight="1" x14ac:dyDescent="0.4">
      <c r="A24" s="156">
        <f t="shared" si="0"/>
        <v>21</v>
      </c>
      <c r="B24" s="182">
        <v>46081</v>
      </c>
      <c r="C24" s="46" t="s">
        <v>948</v>
      </c>
      <c r="D24" s="46" t="s">
        <v>949</v>
      </c>
      <c r="E24" s="46" t="s">
        <v>978</v>
      </c>
      <c r="F24" s="46" t="s">
        <v>970</v>
      </c>
      <c r="G24" s="46">
        <v>1</v>
      </c>
      <c r="H24" s="46"/>
      <c r="I24" s="185">
        <f>1100000</f>
        <v>1100000</v>
      </c>
      <c r="J24" s="46" t="s">
        <v>249</v>
      </c>
      <c r="L24" s="147"/>
    </row>
    <row r="25" spans="1:12" ht="20.100000000000001" customHeight="1" x14ac:dyDescent="0.4">
      <c r="A25" s="156">
        <f t="shared" si="0"/>
        <v>22</v>
      </c>
      <c r="B25" s="182">
        <v>46081</v>
      </c>
      <c r="C25" s="46" t="s">
        <v>948</v>
      </c>
      <c r="D25" s="46" t="s">
        <v>949</v>
      </c>
      <c r="E25" s="46" t="s">
        <v>979</v>
      </c>
      <c r="F25" s="46" t="s">
        <v>980</v>
      </c>
      <c r="G25" s="46">
        <v>1</v>
      </c>
      <c r="H25" s="46"/>
      <c r="I25" s="185">
        <f>550000</f>
        <v>550000</v>
      </c>
      <c r="J25" s="46" t="s">
        <v>249</v>
      </c>
      <c r="L25" s="147"/>
    </row>
    <row r="26" spans="1:12" ht="20.100000000000001" customHeight="1" x14ac:dyDescent="0.4">
      <c r="A26" s="156">
        <f t="shared" si="0"/>
        <v>23</v>
      </c>
      <c r="B26" s="182">
        <v>46081</v>
      </c>
      <c r="C26" s="46" t="s">
        <v>948</v>
      </c>
      <c r="D26" s="46" t="s">
        <v>949</v>
      </c>
      <c r="E26" s="46" t="s">
        <v>981</v>
      </c>
      <c r="F26" s="46" t="s">
        <v>968</v>
      </c>
      <c r="G26" s="46">
        <v>1</v>
      </c>
      <c r="H26" s="46"/>
      <c r="I26" s="185">
        <f>1500000/28*23</f>
        <v>1232142.8571428573</v>
      </c>
      <c r="J26" s="46" t="s">
        <v>249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AND(COUNTIF($E$6:$E$6, E4)+COUNTIF(#REF!, E4)+COUNTIF(#REF!, E4)&gt;1,NOT(ISBLANK(E4)))</formula>
    </cfRule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6"/>
  <sheetViews>
    <sheetView view="pageBreakPreview" topLeftCell="A39" zoomScaleNormal="100" zoomScaleSheetLayoutView="100" workbookViewId="0">
      <selection activeCell="G67" sqref="G67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327" t="s">
        <v>258</v>
      </c>
      <c r="B1" s="328"/>
      <c r="C1" s="328"/>
      <c r="D1" s="328"/>
      <c r="E1" s="328"/>
      <c r="F1" s="328"/>
      <c r="G1" s="328"/>
      <c r="H1" s="328"/>
      <c r="I1" s="328"/>
      <c r="J1" s="329"/>
    </row>
    <row r="2" spans="1:10" ht="20.100000000000001" customHeight="1" x14ac:dyDescent="0.4">
      <c r="A2" s="330" t="s">
        <v>259</v>
      </c>
      <c r="B2" s="330" t="s">
        <v>239</v>
      </c>
      <c r="C2" s="330" t="s">
        <v>260</v>
      </c>
      <c r="D2" s="330" t="s">
        <v>241</v>
      </c>
      <c r="E2" s="330" t="s">
        <v>261</v>
      </c>
      <c r="F2" s="330" t="s">
        <v>243</v>
      </c>
      <c r="G2" s="330" t="s">
        <v>262</v>
      </c>
      <c r="H2" s="330" t="s">
        <v>263</v>
      </c>
      <c r="I2" s="143" t="s">
        <v>264</v>
      </c>
      <c r="J2" s="330" t="s">
        <v>265</v>
      </c>
    </row>
    <row r="3" spans="1:10" ht="20.100000000000001" customHeight="1" x14ac:dyDescent="0.4">
      <c r="A3" s="330"/>
      <c r="B3" s="330"/>
      <c r="C3" s="330"/>
      <c r="D3" s="330"/>
      <c r="E3" s="330"/>
      <c r="F3" s="330"/>
      <c r="G3" s="330"/>
      <c r="H3" s="330"/>
      <c r="I3" s="144">
        <f>SUM(I4:I66)</f>
        <v>5762730</v>
      </c>
      <c r="J3" s="330"/>
    </row>
    <row r="4" spans="1:10" ht="20.100000000000001" customHeight="1" x14ac:dyDescent="0.35">
      <c r="A4" s="167">
        <f t="shared" ref="A4:A63" si="0">ROW()-3</f>
        <v>1</v>
      </c>
      <c r="B4" s="168">
        <v>46081</v>
      </c>
      <c r="C4" s="169" t="s">
        <v>982</v>
      </c>
      <c r="D4" s="170" t="s">
        <v>983</v>
      </c>
      <c r="E4" s="46" t="s">
        <v>950</v>
      </c>
      <c r="F4" s="46" t="s">
        <v>951</v>
      </c>
      <c r="G4" s="171">
        <v>1</v>
      </c>
      <c r="H4" s="172"/>
      <c r="I4" s="173">
        <v>33420</v>
      </c>
      <c r="J4" s="174"/>
    </row>
    <row r="5" spans="1:10" ht="20.100000000000001" customHeight="1" x14ac:dyDescent="0.4">
      <c r="A5" s="167">
        <f t="shared" si="0"/>
        <v>2</v>
      </c>
      <c r="B5" s="168">
        <v>46081</v>
      </c>
      <c r="C5" s="169" t="s">
        <v>982</v>
      </c>
      <c r="D5" s="170" t="s">
        <v>983</v>
      </c>
      <c r="E5" s="46" t="s">
        <v>952</v>
      </c>
      <c r="F5" s="46" t="s">
        <v>953</v>
      </c>
      <c r="G5" s="171">
        <v>1</v>
      </c>
      <c r="H5" s="174"/>
      <c r="I5" s="173">
        <v>23300</v>
      </c>
      <c r="J5" s="174"/>
    </row>
    <row r="6" spans="1:10" ht="20.100000000000001" customHeight="1" x14ac:dyDescent="0.35">
      <c r="A6" s="167">
        <f t="shared" si="0"/>
        <v>3</v>
      </c>
      <c r="B6" s="168">
        <v>46081</v>
      </c>
      <c r="C6" s="169" t="s">
        <v>982</v>
      </c>
      <c r="D6" s="170" t="s">
        <v>983</v>
      </c>
      <c r="E6" s="186" t="s">
        <v>984</v>
      </c>
      <c r="F6" s="46" t="s">
        <v>985</v>
      </c>
      <c r="G6" s="171">
        <v>1</v>
      </c>
      <c r="H6" s="172"/>
      <c r="I6" s="173">
        <v>24660</v>
      </c>
      <c r="J6" s="174"/>
    </row>
    <row r="7" spans="1:10" ht="20.100000000000001" customHeight="1" x14ac:dyDescent="0.4">
      <c r="A7" s="167">
        <f t="shared" si="0"/>
        <v>4</v>
      </c>
      <c r="B7" s="168">
        <v>46081</v>
      </c>
      <c r="C7" s="169" t="s">
        <v>982</v>
      </c>
      <c r="D7" s="170" t="s">
        <v>983</v>
      </c>
      <c r="E7" s="46" t="s">
        <v>986</v>
      </c>
      <c r="F7" s="46" t="s">
        <v>987</v>
      </c>
      <c r="G7" s="171">
        <v>1</v>
      </c>
      <c r="H7" s="174"/>
      <c r="I7" s="173">
        <v>24050</v>
      </c>
      <c r="J7" s="174"/>
    </row>
    <row r="8" spans="1:10" ht="20.100000000000001" customHeight="1" x14ac:dyDescent="0.35">
      <c r="A8" s="167">
        <f t="shared" si="0"/>
        <v>5</v>
      </c>
      <c r="B8" s="168">
        <v>46081</v>
      </c>
      <c r="C8" s="169" t="s">
        <v>982</v>
      </c>
      <c r="D8" s="170" t="s">
        <v>983</v>
      </c>
      <c r="E8" s="46" t="s">
        <v>988</v>
      </c>
      <c r="F8" s="46" t="s">
        <v>951</v>
      </c>
      <c r="G8" s="171">
        <v>1</v>
      </c>
      <c r="H8" s="172"/>
      <c r="I8" s="173">
        <v>33420</v>
      </c>
      <c r="J8" s="174"/>
    </row>
    <row r="9" spans="1:10" ht="20.100000000000001" customHeight="1" x14ac:dyDescent="0.4">
      <c r="A9" s="167">
        <f t="shared" si="0"/>
        <v>6</v>
      </c>
      <c r="B9" s="168">
        <v>46081</v>
      </c>
      <c r="C9" s="169" t="s">
        <v>982</v>
      </c>
      <c r="D9" s="170" t="s">
        <v>983</v>
      </c>
      <c r="E9" s="186" t="s">
        <v>989</v>
      </c>
      <c r="F9" s="46" t="s">
        <v>987</v>
      </c>
      <c r="G9" s="171">
        <v>1</v>
      </c>
      <c r="H9" s="181"/>
      <c r="I9" s="185">
        <v>27750</v>
      </c>
      <c r="J9" s="181"/>
    </row>
    <row r="10" spans="1:10" ht="20.100000000000001" customHeight="1" x14ac:dyDescent="0.4">
      <c r="A10" s="167">
        <f t="shared" si="0"/>
        <v>7</v>
      </c>
      <c r="B10" s="168">
        <v>46081</v>
      </c>
      <c r="C10" s="169" t="s">
        <v>982</v>
      </c>
      <c r="D10" s="170" t="s">
        <v>983</v>
      </c>
      <c r="E10" s="46" t="s">
        <v>989</v>
      </c>
      <c r="F10" s="46" t="s">
        <v>951</v>
      </c>
      <c r="G10" s="171">
        <v>1</v>
      </c>
      <c r="H10" s="181"/>
      <c r="I10" s="185">
        <v>24880</v>
      </c>
      <c r="J10" s="181"/>
    </row>
    <row r="11" spans="1:10" ht="20.100000000000001" customHeight="1" x14ac:dyDescent="0.4">
      <c r="A11" s="167">
        <f t="shared" si="0"/>
        <v>8</v>
      </c>
      <c r="B11" s="168">
        <v>46081</v>
      </c>
      <c r="C11" s="169" t="s">
        <v>982</v>
      </c>
      <c r="D11" s="170" t="s">
        <v>983</v>
      </c>
      <c r="E11" s="46" t="s">
        <v>990</v>
      </c>
      <c r="F11" s="46" t="s">
        <v>953</v>
      </c>
      <c r="G11" s="171">
        <v>1</v>
      </c>
      <c r="H11" s="181"/>
      <c r="I11" s="185">
        <v>35090</v>
      </c>
      <c r="J11" s="181"/>
    </row>
    <row r="12" spans="1:10" ht="20.100000000000001" customHeight="1" x14ac:dyDescent="0.4">
      <c r="A12" s="167">
        <f t="shared" si="0"/>
        <v>9</v>
      </c>
      <c r="B12" s="168">
        <v>46081</v>
      </c>
      <c r="C12" s="169" t="s">
        <v>982</v>
      </c>
      <c r="D12" s="170" t="s">
        <v>983</v>
      </c>
      <c r="E12" s="186" t="s">
        <v>991</v>
      </c>
      <c r="F12" s="46" t="s">
        <v>992</v>
      </c>
      <c r="G12" s="171">
        <v>1</v>
      </c>
      <c r="H12" s="181"/>
      <c r="I12" s="185">
        <v>26470</v>
      </c>
      <c r="J12" s="181"/>
    </row>
    <row r="13" spans="1:10" ht="20.100000000000001" customHeight="1" x14ac:dyDescent="0.4">
      <c r="A13" s="167">
        <f t="shared" si="0"/>
        <v>10</v>
      </c>
      <c r="B13" s="168">
        <v>46081</v>
      </c>
      <c r="C13" s="169" t="s">
        <v>982</v>
      </c>
      <c r="D13" s="170" t="s">
        <v>983</v>
      </c>
      <c r="E13" s="186" t="s">
        <v>993</v>
      </c>
      <c r="F13" s="46" t="s">
        <v>985</v>
      </c>
      <c r="G13" s="171">
        <v>1</v>
      </c>
      <c r="H13" s="181"/>
      <c r="I13" s="185">
        <v>18470</v>
      </c>
      <c r="J13" s="181"/>
    </row>
    <row r="14" spans="1:10" ht="20.100000000000001" customHeight="1" x14ac:dyDescent="0.4">
      <c r="A14" s="167">
        <f t="shared" si="0"/>
        <v>11</v>
      </c>
      <c r="B14" s="168">
        <v>46081</v>
      </c>
      <c r="C14" s="169" t="s">
        <v>982</v>
      </c>
      <c r="D14" s="170" t="s">
        <v>983</v>
      </c>
      <c r="E14" s="46" t="s">
        <v>994</v>
      </c>
      <c r="F14" s="46" t="s">
        <v>985</v>
      </c>
      <c r="G14" s="171">
        <v>1</v>
      </c>
      <c r="H14" s="174"/>
      <c r="I14" s="173">
        <v>75810</v>
      </c>
      <c r="J14" s="174"/>
    </row>
    <row r="15" spans="1:10" ht="20.100000000000001" customHeight="1" x14ac:dyDescent="0.35">
      <c r="A15" s="167">
        <f t="shared" si="0"/>
        <v>12</v>
      </c>
      <c r="B15" s="168">
        <v>46081</v>
      </c>
      <c r="C15" s="169" t="s">
        <v>982</v>
      </c>
      <c r="D15" s="170" t="s">
        <v>983</v>
      </c>
      <c r="E15" s="46" t="s">
        <v>967</v>
      </c>
      <c r="F15" s="46" t="s">
        <v>951</v>
      </c>
      <c r="G15" s="171">
        <v>1</v>
      </c>
      <c r="H15" s="172"/>
      <c r="I15" s="173">
        <v>44560</v>
      </c>
      <c r="J15" s="174"/>
    </row>
    <row r="16" spans="1:10" ht="20.100000000000001" customHeight="1" x14ac:dyDescent="0.4">
      <c r="A16" s="167">
        <f t="shared" si="0"/>
        <v>13</v>
      </c>
      <c r="B16" s="168">
        <v>46081</v>
      </c>
      <c r="C16" s="169" t="s">
        <v>982</v>
      </c>
      <c r="D16" s="170" t="s">
        <v>983</v>
      </c>
      <c r="E16" s="46" t="s">
        <v>967</v>
      </c>
      <c r="F16" s="46" t="s">
        <v>987</v>
      </c>
      <c r="G16" s="171">
        <v>1</v>
      </c>
      <c r="H16" s="181"/>
      <c r="I16" s="185">
        <v>47280</v>
      </c>
      <c r="J16" s="174"/>
    </row>
    <row r="17" spans="1:10" ht="20.100000000000001" customHeight="1" x14ac:dyDescent="0.4">
      <c r="A17" s="167">
        <f t="shared" si="0"/>
        <v>14</v>
      </c>
      <c r="B17" s="168">
        <v>46081</v>
      </c>
      <c r="C17" s="169" t="s">
        <v>982</v>
      </c>
      <c r="D17" s="170" t="s">
        <v>983</v>
      </c>
      <c r="E17" s="46" t="s">
        <v>967</v>
      </c>
      <c r="F17" s="46" t="s">
        <v>985</v>
      </c>
      <c r="G17" s="171">
        <v>1</v>
      </c>
      <c r="H17" s="181"/>
      <c r="I17" s="185">
        <v>31120</v>
      </c>
      <c r="J17" s="174"/>
    </row>
    <row r="18" spans="1:10" ht="20.100000000000001" customHeight="1" x14ac:dyDescent="0.4">
      <c r="A18" s="167">
        <f t="shared" si="0"/>
        <v>15</v>
      </c>
      <c r="B18" s="168">
        <v>46081</v>
      </c>
      <c r="C18" s="169" t="s">
        <v>982</v>
      </c>
      <c r="D18" s="170" t="s">
        <v>983</v>
      </c>
      <c r="E18" s="46" t="s">
        <v>971</v>
      </c>
      <c r="F18" s="46" t="s">
        <v>987</v>
      </c>
      <c r="G18" s="171">
        <v>1</v>
      </c>
      <c r="H18" s="181"/>
      <c r="I18" s="185">
        <v>35200</v>
      </c>
      <c r="J18" s="174"/>
    </row>
    <row r="19" spans="1:10" ht="20.100000000000001" customHeight="1" x14ac:dyDescent="0.4">
      <c r="A19" s="167">
        <f t="shared" si="0"/>
        <v>16</v>
      </c>
      <c r="B19" s="168">
        <v>46081</v>
      </c>
      <c r="C19" s="169" t="s">
        <v>982</v>
      </c>
      <c r="D19" s="170" t="s">
        <v>983</v>
      </c>
      <c r="E19" s="46" t="s">
        <v>972</v>
      </c>
      <c r="F19" s="46" t="s">
        <v>953</v>
      </c>
      <c r="G19" s="171">
        <v>1</v>
      </c>
      <c r="H19" s="181"/>
      <c r="I19" s="185">
        <v>61350</v>
      </c>
      <c r="J19" s="174"/>
    </row>
    <row r="20" spans="1:10" ht="20.100000000000001" customHeight="1" x14ac:dyDescent="0.4">
      <c r="A20" s="167">
        <f t="shared" si="0"/>
        <v>17</v>
      </c>
      <c r="B20" s="168">
        <v>46081</v>
      </c>
      <c r="C20" s="169" t="s">
        <v>982</v>
      </c>
      <c r="D20" s="170" t="s">
        <v>983</v>
      </c>
      <c r="E20" s="46" t="s">
        <v>974</v>
      </c>
      <c r="F20" s="46" t="s">
        <v>985</v>
      </c>
      <c r="G20" s="171">
        <v>1</v>
      </c>
      <c r="H20" s="181"/>
      <c r="I20" s="185">
        <v>38830</v>
      </c>
      <c r="J20" s="174"/>
    </row>
    <row r="21" spans="1:10" ht="20.100000000000001" customHeight="1" x14ac:dyDescent="0.4">
      <c r="A21" s="167">
        <f t="shared" si="0"/>
        <v>18</v>
      </c>
      <c r="B21" s="168">
        <v>46081</v>
      </c>
      <c r="C21" s="169" t="s">
        <v>982</v>
      </c>
      <c r="D21" s="170" t="s">
        <v>983</v>
      </c>
      <c r="E21" s="46" t="s">
        <v>975</v>
      </c>
      <c r="F21" s="46" t="s">
        <v>987</v>
      </c>
      <c r="G21" s="171">
        <v>1</v>
      </c>
      <c r="H21" s="181"/>
      <c r="I21" s="185">
        <v>36860</v>
      </c>
      <c r="J21" s="174"/>
    </row>
    <row r="22" spans="1:10" ht="20.100000000000001" customHeight="1" x14ac:dyDescent="0.4">
      <c r="A22" s="167">
        <f t="shared" si="0"/>
        <v>19</v>
      </c>
      <c r="B22" s="168">
        <v>46081</v>
      </c>
      <c r="C22" s="169" t="s">
        <v>982</v>
      </c>
      <c r="D22" s="170" t="s">
        <v>983</v>
      </c>
      <c r="E22" s="46" t="s">
        <v>976</v>
      </c>
      <c r="F22" s="46" t="s">
        <v>951</v>
      </c>
      <c r="G22" s="171">
        <v>1</v>
      </c>
      <c r="H22" s="181"/>
      <c r="I22" s="185">
        <v>33570</v>
      </c>
      <c r="J22" s="174"/>
    </row>
    <row r="23" spans="1:10" ht="20.100000000000001" customHeight="1" x14ac:dyDescent="0.4">
      <c r="A23" s="167">
        <f t="shared" si="0"/>
        <v>20</v>
      </c>
      <c r="B23" s="168">
        <v>46081</v>
      </c>
      <c r="C23" s="169" t="s">
        <v>982</v>
      </c>
      <c r="D23" s="170" t="s">
        <v>983</v>
      </c>
      <c r="E23" s="46" t="s">
        <v>977</v>
      </c>
      <c r="F23" s="46" t="s">
        <v>951</v>
      </c>
      <c r="G23" s="171">
        <v>1</v>
      </c>
      <c r="H23" s="181"/>
      <c r="I23" s="185">
        <v>32180</v>
      </c>
      <c r="J23" s="174"/>
    </row>
    <row r="24" spans="1:10" ht="20.100000000000001" customHeight="1" x14ac:dyDescent="0.4">
      <c r="A24" s="167">
        <f t="shared" si="0"/>
        <v>21</v>
      </c>
      <c r="B24" s="168">
        <v>46081</v>
      </c>
      <c r="C24" s="169" t="s">
        <v>982</v>
      </c>
      <c r="D24" s="170" t="s">
        <v>983</v>
      </c>
      <c r="E24" s="46" t="s">
        <v>978</v>
      </c>
      <c r="F24" s="46" t="s">
        <v>985</v>
      </c>
      <c r="G24" s="171">
        <v>1</v>
      </c>
      <c r="H24" s="181"/>
      <c r="I24" s="185">
        <v>23870</v>
      </c>
      <c r="J24" s="174"/>
    </row>
    <row r="25" spans="1:10" ht="20.100000000000001" customHeight="1" x14ac:dyDescent="0.4">
      <c r="A25" s="167">
        <f t="shared" si="0"/>
        <v>22</v>
      </c>
      <c r="B25" s="168">
        <v>46081</v>
      </c>
      <c r="C25" s="169" t="s">
        <v>982</v>
      </c>
      <c r="D25" s="170" t="s">
        <v>995</v>
      </c>
      <c r="E25" s="46" t="s">
        <v>950</v>
      </c>
      <c r="F25" s="46" t="s">
        <v>951</v>
      </c>
      <c r="G25" s="171">
        <v>1</v>
      </c>
      <c r="H25" s="181"/>
      <c r="I25" s="185">
        <v>175700</v>
      </c>
      <c r="J25" s="174"/>
    </row>
    <row r="26" spans="1:10" ht="20.100000000000001" customHeight="1" x14ac:dyDescent="0.4">
      <c r="A26" s="167">
        <f t="shared" si="0"/>
        <v>23</v>
      </c>
      <c r="B26" s="168">
        <v>46081</v>
      </c>
      <c r="C26" s="169" t="s">
        <v>982</v>
      </c>
      <c r="D26" s="170" t="s">
        <v>995</v>
      </c>
      <c r="E26" s="46" t="s">
        <v>952</v>
      </c>
      <c r="F26" s="46" t="s">
        <v>953</v>
      </c>
      <c r="G26" s="171">
        <v>1</v>
      </c>
      <c r="H26" s="181"/>
      <c r="I26" s="185">
        <v>175710</v>
      </c>
      <c r="J26" s="174"/>
    </row>
    <row r="27" spans="1:10" ht="20.100000000000001" customHeight="1" x14ac:dyDescent="0.4">
      <c r="A27" s="167">
        <f t="shared" si="0"/>
        <v>24</v>
      </c>
      <c r="B27" s="168">
        <v>46081</v>
      </c>
      <c r="C27" s="169" t="s">
        <v>982</v>
      </c>
      <c r="D27" s="170" t="s">
        <v>995</v>
      </c>
      <c r="E27" s="186" t="s">
        <v>984</v>
      </c>
      <c r="F27" s="46" t="s">
        <v>985</v>
      </c>
      <c r="G27" s="171">
        <v>1</v>
      </c>
      <c r="H27" s="181"/>
      <c r="I27" s="185">
        <v>314510</v>
      </c>
      <c r="J27" s="174"/>
    </row>
    <row r="28" spans="1:10" ht="20.100000000000001" customHeight="1" x14ac:dyDescent="0.4">
      <c r="A28" s="167">
        <f t="shared" si="0"/>
        <v>25</v>
      </c>
      <c r="B28" s="168">
        <v>46081</v>
      </c>
      <c r="C28" s="169" t="s">
        <v>982</v>
      </c>
      <c r="D28" s="170" t="s">
        <v>995</v>
      </c>
      <c r="E28" s="46" t="s">
        <v>986</v>
      </c>
      <c r="F28" s="46" t="s">
        <v>987</v>
      </c>
      <c r="G28" s="171">
        <v>1</v>
      </c>
      <c r="H28" s="181"/>
      <c r="I28" s="185">
        <v>230520</v>
      </c>
      <c r="J28" s="174"/>
    </row>
    <row r="29" spans="1:10" ht="20.100000000000001" customHeight="1" x14ac:dyDescent="0.4">
      <c r="A29" s="167">
        <f t="shared" si="0"/>
        <v>26</v>
      </c>
      <c r="B29" s="168">
        <v>46081</v>
      </c>
      <c r="C29" s="169" t="s">
        <v>982</v>
      </c>
      <c r="D29" s="170" t="s">
        <v>995</v>
      </c>
      <c r="E29" s="46" t="s">
        <v>988</v>
      </c>
      <c r="F29" s="46" t="s">
        <v>951</v>
      </c>
      <c r="G29" s="171">
        <v>1</v>
      </c>
      <c r="H29" s="181"/>
      <c r="I29" s="185">
        <v>271660</v>
      </c>
      <c r="J29" s="174"/>
    </row>
    <row r="30" spans="1:10" ht="20.100000000000001" customHeight="1" x14ac:dyDescent="0.4">
      <c r="A30" s="167">
        <f t="shared" si="0"/>
        <v>27</v>
      </c>
      <c r="B30" s="168">
        <v>46081</v>
      </c>
      <c r="C30" s="169" t="s">
        <v>982</v>
      </c>
      <c r="D30" s="170" t="s">
        <v>995</v>
      </c>
      <c r="E30" s="186" t="s">
        <v>989</v>
      </c>
      <c r="F30" s="46" t="s">
        <v>987</v>
      </c>
      <c r="G30" s="171">
        <v>1</v>
      </c>
      <c r="H30" s="181"/>
      <c r="I30" s="185">
        <v>281130</v>
      </c>
      <c r="J30" s="174"/>
    </row>
    <row r="31" spans="1:10" ht="20.100000000000001" customHeight="1" x14ac:dyDescent="0.4">
      <c r="A31" s="167">
        <f t="shared" si="0"/>
        <v>28</v>
      </c>
      <c r="B31" s="168">
        <v>46081</v>
      </c>
      <c r="C31" s="169" t="s">
        <v>982</v>
      </c>
      <c r="D31" s="170" t="s">
        <v>995</v>
      </c>
      <c r="E31" s="46" t="s">
        <v>989</v>
      </c>
      <c r="F31" s="46" t="s">
        <v>951</v>
      </c>
      <c r="G31" s="171">
        <v>1</v>
      </c>
      <c r="H31" s="181"/>
      <c r="I31" s="185">
        <v>491990</v>
      </c>
      <c r="J31" s="174"/>
    </row>
    <row r="32" spans="1:10" ht="20.100000000000001" customHeight="1" x14ac:dyDescent="0.4">
      <c r="A32" s="167">
        <f t="shared" si="0"/>
        <v>29</v>
      </c>
      <c r="B32" s="168">
        <v>46081</v>
      </c>
      <c r="C32" s="169" t="s">
        <v>982</v>
      </c>
      <c r="D32" s="170" t="s">
        <v>995</v>
      </c>
      <c r="E32" s="46" t="s">
        <v>990</v>
      </c>
      <c r="F32" s="46" t="s">
        <v>953</v>
      </c>
      <c r="G32" s="171">
        <v>1</v>
      </c>
      <c r="H32" s="181"/>
      <c r="I32" s="185">
        <v>204160</v>
      </c>
      <c r="J32" s="174"/>
    </row>
    <row r="33" spans="1:10" ht="20.100000000000001" customHeight="1" x14ac:dyDescent="0.4">
      <c r="A33" s="167">
        <f t="shared" si="0"/>
        <v>30</v>
      </c>
      <c r="B33" s="168">
        <v>46081</v>
      </c>
      <c r="C33" s="169" t="s">
        <v>982</v>
      </c>
      <c r="D33" s="170" t="s">
        <v>995</v>
      </c>
      <c r="E33" s="186" t="s">
        <v>991</v>
      </c>
      <c r="F33" s="46" t="s">
        <v>992</v>
      </c>
      <c r="G33" s="171">
        <v>1</v>
      </c>
      <c r="H33" s="181"/>
      <c r="I33" s="185">
        <v>267430</v>
      </c>
      <c r="J33" s="174"/>
    </row>
    <row r="34" spans="1:10" ht="20.100000000000001" customHeight="1" x14ac:dyDescent="0.4">
      <c r="A34" s="167">
        <f t="shared" si="0"/>
        <v>31</v>
      </c>
      <c r="B34" s="168">
        <v>46081</v>
      </c>
      <c r="C34" s="169" t="s">
        <v>982</v>
      </c>
      <c r="D34" s="170" t="s">
        <v>995</v>
      </c>
      <c r="E34" s="186" t="s">
        <v>993</v>
      </c>
      <c r="F34" s="46" t="s">
        <v>985</v>
      </c>
      <c r="G34" s="171">
        <v>1</v>
      </c>
      <c r="H34" s="181"/>
      <c r="I34" s="185">
        <v>138810</v>
      </c>
      <c r="J34" s="174"/>
    </row>
    <row r="35" spans="1:10" ht="20.100000000000001" customHeight="1" x14ac:dyDescent="0.4">
      <c r="A35" s="167">
        <f t="shared" si="0"/>
        <v>32</v>
      </c>
      <c r="B35" s="168">
        <v>46081</v>
      </c>
      <c r="C35" s="169" t="s">
        <v>982</v>
      </c>
      <c r="D35" s="170" t="s">
        <v>995</v>
      </c>
      <c r="E35" s="46" t="s">
        <v>994</v>
      </c>
      <c r="F35" s="46" t="s">
        <v>985</v>
      </c>
      <c r="G35" s="171">
        <v>1</v>
      </c>
      <c r="H35" s="181"/>
      <c r="I35" s="185">
        <v>127200</v>
      </c>
      <c r="J35" s="174"/>
    </row>
    <row r="36" spans="1:10" ht="20.100000000000001" customHeight="1" x14ac:dyDescent="0.4">
      <c r="A36" s="167">
        <f t="shared" si="0"/>
        <v>33</v>
      </c>
      <c r="B36" s="168">
        <v>46081</v>
      </c>
      <c r="C36" s="169" t="s">
        <v>982</v>
      </c>
      <c r="D36" s="170" t="s">
        <v>995</v>
      </c>
      <c r="E36" s="46" t="s">
        <v>967</v>
      </c>
      <c r="F36" s="46" t="s">
        <v>951</v>
      </c>
      <c r="G36" s="171">
        <v>1</v>
      </c>
      <c r="H36" s="181"/>
      <c r="I36" s="185">
        <v>195730</v>
      </c>
      <c r="J36" s="174"/>
    </row>
    <row r="37" spans="1:10" ht="20.100000000000001" customHeight="1" x14ac:dyDescent="0.4">
      <c r="A37" s="167">
        <f t="shared" si="0"/>
        <v>34</v>
      </c>
      <c r="B37" s="168">
        <v>46081</v>
      </c>
      <c r="C37" s="169" t="s">
        <v>982</v>
      </c>
      <c r="D37" s="170" t="s">
        <v>995</v>
      </c>
      <c r="E37" s="46" t="s">
        <v>967</v>
      </c>
      <c r="F37" s="46" t="s">
        <v>987</v>
      </c>
      <c r="G37" s="171">
        <v>1</v>
      </c>
      <c r="H37" s="181"/>
      <c r="I37" s="185">
        <v>197840</v>
      </c>
      <c r="J37" s="174"/>
    </row>
    <row r="38" spans="1:10" ht="20.100000000000001" customHeight="1" x14ac:dyDescent="0.4">
      <c r="A38" s="167">
        <f t="shared" si="0"/>
        <v>35</v>
      </c>
      <c r="B38" s="168">
        <v>46081</v>
      </c>
      <c r="C38" s="169" t="s">
        <v>982</v>
      </c>
      <c r="D38" s="170" t="s">
        <v>995</v>
      </c>
      <c r="E38" s="46" t="s">
        <v>967</v>
      </c>
      <c r="F38" s="46" t="s">
        <v>985</v>
      </c>
      <c r="G38" s="171">
        <v>1</v>
      </c>
      <c r="H38" s="181"/>
      <c r="I38" s="185">
        <v>189410</v>
      </c>
      <c r="J38" s="174"/>
    </row>
    <row r="39" spans="1:10" ht="20.100000000000001" customHeight="1" x14ac:dyDescent="0.4">
      <c r="A39" s="167">
        <f t="shared" si="0"/>
        <v>36</v>
      </c>
      <c r="B39" s="168">
        <v>46081</v>
      </c>
      <c r="C39" s="169" t="s">
        <v>982</v>
      </c>
      <c r="D39" s="170" t="s">
        <v>995</v>
      </c>
      <c r="E39" s="46" t="s">
        <v>971</v>
      </c>
      <c r="F39" s="46" t="s">
        <v>987</v>
      </c>
      <c r="G39" s="171">
        <v>1</v>
      </c>
      <c r="H39" s="181"/>
      <c r="I39" s="185">
        <v>228040</v>
      </c>
      <c r="J39" s="174"/>
    </row>
    <row r="40" spans="1:10" ht="20.100000000000001" customHeight="1" x14ac:dyDescent="0.4">
      <c r="A40" s="167">
        <f t="shared" si="0"/>
        <v>37</v>
      </c>
      <c r="B40" s="168">
        <v>46081</v>
      </c>
      <c r="C40" s="169" t="s">
        <v>982</v>
      </c>
      <c r="D40" s="170" t="s">
        <v>995</v>
      </c>
      <c r="E40" s="46" t="s">
        <v>972</v>
      </c>
      <c r="F40" s="46" t="s">
        <v>953</v>
      </c>
      <c r="G40" s="171">
        <v>1</v>
      </c>
      <c r="H40" s="181"/>
      <c r="I40" s="185">
        <v>155650</v>
      </c>
      <c r="J40" s="174"/>
    </row>
    <row r="41" spans="1:10" ht="20.100000000000001" customHeight="1" x14ac:dyDescent="0.4">
      <c r="A41" s="167">
        <f t="shared" si="0"/>
        <v>38</v>
      </c>
      <c r="B41" s="168">
        <v>46081</v>
      </c>
      <c r="C41" s="169" t="s">
        <v>982</v>
      </c>
      <c r="D41" s="170" t="s">
        <v>995</v>
      </c>
      <c r="E41" s="46" t="s">
        <v>974</v>
      </c>
      <c r="F41" s="46" t="s">
        <v>985</v>
      </c>
      <c r="G41" s="171">
        <v>1</v>
      </c>
      <c r="H41" s="181"/>
      <c r="I41" s="185">
        <v>218940</v>
      </c>
      <c r="J41" s="174"/>
    </row>
    <row r="42" spans="1:10" ht="20.100000000000001" customHeight="1" x14ac:dyDescent="0.4">
      <c r="A42" s="167">
        <f t="shared" si="0"/>
        <v>39</v>
      </c>
      <c r="B42" s="168">
        <v>46081</v>
      </c>
      <c r="C42" s="169" t="s">
        <v>982</v>
      </c>
      <c r="D42" s="170" t="s">
        <v>995</v>
      </c>
      <c r="E42" s="46" t="s">
        <v>975</v>
      </c>
      <c r="F42" s="46" t="s">
        <v>987</v>
      </c>
      <c r="G42" s="171">
        <v>1</v>
      </c>
      <c r="H42" s="181"/>
      <c r="I42" s="185">
        <v>233690</v>
      </c>
      <c r="J42" s="174"/>
    </row>
    <row r="43" spans="1:10" ht="20.100000000000001" customHeight="1" x14ac:dyDescent="0.4">
      <c r="A43" s="167">
        <f t="shared" si="0"/>
        <v>40</v>
      </c>
      <c r="B43" s="168">
        <v>46081</v>
      </c>
      <c r="C43" s="169" t="s">
        <v>982</v>
      </c>
      <c r="D43" s="170" t="s">
        <v>995</v>
      </c>
      <c r="E43" s="46" t="s">
        <v>976</v>
      </c>
      <c r="F43" s="46" t="s">
        <v>951</v>
      </c>
      <c r="G43" s="171">
        <v>1</v>
      </c>
      <c r="H43" s="181"/>
      <c r="I43" s="185">
        <v>213840</v>
      </c>
      <c r="J43" s="174"/>
    </row>
    <row r="44" spans="1:10" ht="20.100000000000001" customHeight="1" x14ac:dyDescent="0.4">
      <c r="A44" s="167">
        <f t="shared" si="0"/>
        <v>41</v>
      </c>
      <c r="B44" s="168">
        <v>46081</v>
      </c>
      <c r="C44" s="169" t="s">
        <v>982</v>
      </c>
      <c r="D44" s="170" t="s">
        <v>995</v>
      </c>
      <c r="E44" s="46" t="s">
        <v>977</v>
      </c>
      <c r="F44" s="46" t="s">
        <v>951</v>
      </c>
      <c r="G44" s="171">
        <v>1</v>
      </c>
      <c r="H44" s="181"/>
      <c r="I44" s="185">
        <v>251750</v>
      </c>
      <c r="J44" s="174"/>
    </row>
    <row r="45" spans="1:10" ht="20.100000000000001" customHeight="1" x14ac:dyDescent="0.4">
      <c r="A45" s="167">
        <f t="shared" si="0"/>
        <v>42</v>
      </c>
      <c r="B45" s="168">
        <v>46081</v>
      </c>
      <c r="C45" s="169" t="s">
        <v>982</v>
      </c>
      <c r="D45" s="170" t="s">
        <v>995</v>
      </c>
      <c r="E45" s="46" t="s">
        <v>978</v>
      </c>
      <c r="F45" s="46" t="s">
        <v>985</v>
      </c>
      <c r="G45" s="171">
        <v>1</v>
      </c>
      <c r="H45" s="181"/>
      <c r="I45" s="185">
        <v>153700</v>
      </c>
      <c r="J45" s="174"/>
    </row>
    <row r="46" spans="1:10" ht="20.100000000000001" customHeight="1" x14ac:dyDescent="0.4">
      <c r="A46" s="167">
        <f t="shared" si="0"/>
        <v>43</v>
      </c>
      <c r="B46" s="168">
        <v>46081</v>
      </c>
      <c r="C46" s="169" t="s">
        <v>982</v>
      </c>
      <c r="D46" s="170" t="s">
        <v>996</v>
      </c>
      <c r="E46" s="46" t="s">
        <v>950</v>
      </c>
      <c r="F46" s="46" t="s">
        <v>951</v>
      </c>
      <c r="G46" s="171">
        <v>1</v>
      </c>
      <c r="H46" s="181"/>
      <c r="I46" s="185">
        <v>21890</v>
      </c>
      <c r="J46" s="174"/>
    </row>
    <row r="47" spans="1:10" ht="20.100000000000001" customHeight="1" x14ac:dyDescent="0.4">
      <c r="A47" s="167">
        <f t="shared" si="0"/>
        <v>44</v>
      </c>
      <c r="B47" s="168">
        <v>46081</v>
      </c>
      <c r="C47" s="169" t="s">
        <v>982</v>
      </c>
      <c r="D47" s="170" t="s">
        <v>996</v>
      </c>
      <c r="E47" s="46" t="s">
        <v>952</v>
      </c>
      <c r="F47" s="46" t="s">
        <v>953</v>
      </c>
      <c r="G47" s="171">
        <v>1</v>
      </c>
      <c r="H47" s="181"/>
      <c r="I47" s="185">
        <v>33970</v>
      </c>
      <c r="J47" s="174"/>
    </row>
    <row r="48" spans="1:10" ht="20.100000000000001" customHeight="1" x14ac:dyDescent="0.4">
      <c r="A48" s="167">
        <f t="shared" si="0"/>
        <v>45</v>
      </c>
      <c r="B48" s="168">
        <v>46081</v>
      </c>
      <c r="C48" s="169" t="s">
        <v>982</v>
      </c>
      <c r="D48" s="170" t="s">
        <v>996</v>
      </c>
      <c r="E48" s="46" t="s">
        <v>997</v>
      </c>
      <c r="F48" s="46" t="s">
        <v>985</v>
      </c>
      <c r="G48" s="171">
        <v>1</v>
      </c>
      <c r="H48" s="181"/>
      <c r="I48" s="185">
        <v>23620</v>
      </c>
      <c r="J48" s="174"/>
    </row>
    <row r="49" spans="1:10" ht="20.100000000000001" customHeight="1" x14ac:dyDescent="0.4">
      <c r="A49" s="167">
        <f t="shared" si="0"/>
        <v>46</v>
      </c>
      <c r="B49" s="168">
        <v>46081</v>
      </c>
      <c r="C49" s="169" t="s">
        <v>982</v>
      </c>
      <c r="D49" s="170" t="s">
        <v>996</v>
      </c>
      <c r="E49" s="46" t="s">
        <v>998</v>
      </c>
      <c r="F49" s="46" t="s">
        <v>987</v>
      </c>
      <c r="G49" s="171">
        <v>1</v>
      </c>
      <c r="H49" s="181"/>
      <c r="I49" s="185">
        <v>42590</v>
      </c>
      <c r="J49" s="174"/>
    </row>
    <row r="50" spans="1:10" ht="20.100000000000001" customHeight="1" x14ac:dyDescent="0.4">
      <c r="A50" s="167">
        <f t="shared" si="0"/>
        <v>47</v>
      </c>
      <c r="B50" s="168">
        <v>46081</v>
      </c>
      <c r="C50" s="169" t="s">
        <v>982</v>
      </c>
      <c r="D50" s="170" t="s">
        <v>996</v>
      </c>
      <c r="E50" s="46" t="s">
        <v>999</v>
      </c>
      <c r="F50" s="46" t="s">
        <v>951</v>
      </c>
      <c r="G50" s="171">
        <v>1</v>
      </c>
      <c r="H50" s="181"/>
      <c r="I50" s="185">
        <v>42590</v>
      </c>
      <c r="J50" s="174"/>
    </row>
    <row r="51" spans="1:10" ht="20.100000000000001" customHeight="1" x14ac:dyDescent="0.4">
      <c r="A51" s="167">
        <f t="shared" si="0"/>
        <v>48</v>
      </c>
      <c r="B51" s="168">
        <v>46081</v>
      </c>
      <c r="C51" s="169" t="s">
        <v>982</v>
      </c>
      <c r="D51" s="170" t="s">
        <v>996</v>
      </c>
      <c r="E51" s="46" t="s">
        <v>1000</v>
      </c>
      <c r="F51" s="46" t="s">
        <v>987</v>
      </c>
      <c r="G51" s="171">
        <v>1</v>
      </c>
      <c r="H51" s="181"/>
      <c r="I51" s="185">
        <v>42590</v>
      </c>
      <c r="J51" s="174"/>
    </row>
    <row r="52" spans="1:10" ht="20.100000000000001" customHeight="1" x14ac:dyDescent="0.4">
      <c r="A52" s="167">
        <f t="shared" si="0"/>
        <v>49</v>
      </c>
      <c r="B52" s="168">
        <v>46081</v>
      </c>
      <c r="C52" s="169" t="s">
        <v>982</v>
      </c>
      <c r="D52" s="170" t="s">
        <v>996</v>
      </c>
      <c r="E52" s="46" t="s">
        <v>1000</v>
      </c>
      <c r="F52" s="46" t="s">
        <v>951</v>
      </c>
      <c r="G52" s="171">
        <v>1</v>
      </c>
      <c r="H52" s="181"/>
      <c r="I52" s="185">
        <v>47770</v>
      </c>
      <c r="J52" s="174"/>
    </row>
    <row r="53" spans="1:10" ht="20.100000000000001" customHeight="1" x14ac:dyDescent="0.4">
      <c r="A53" s="167">
        <f t="shared" si="0"/>
        <v>50</v>
      </c>
      <c r="B53" s="168">
        <v>46081</v>
      </c>
      <c r="C53" s="169" t="s">
        <v>982</v>
      </c>
      <c r="D53" s="170" t="s">
        <v>996</v>
      </c>
      <c r="E53" s="46" t="s">
        <v>1001</v>
      </c>
      <c r="F53" s="46" t="s">
        <v>953</v>
      </c>
      <c r="G53" s="171">
        <v>1</v>
      </c>
      <c r="H53" s="181"/>
      <c r="I53" s="185">
        <v>11540</v>
      </c>
      <c r="J53" s="174"/>
    </row>
    <row r="54" spans="1:10" ht="20.100000000000001" customHeight="1" x14ac:dyDescent="0.4">
      <c r="A54" s="167">
        <f t="shared" si="0"/>
        <v>51</v>
      </c>
      <c r="B54" s="168">
        <v>46081</v>
      </c>
      <c r="C54" s="169" t="s">
        <v>982</v>
      </c>
      <c r="D54" s="170" t="s">
        <v>996</v>
      </c>
      <c r="E54" s="46" t="s">
        <v>1002</v>
      </c>
      <c r="F54" s="46" t="s">
        <v>992</v>
      </c>
      <c r="G54" s="171">
        <v>1</v>
      </c>
      <c r="H54" s="181"/>
      <c r="I54" s="185">
        <v>14990</v>
      </c>
      <c r="J54" s="174"/>
    </row>
    <row r="55" spans="1:10" ht="20.100000000000001" customHeight="1" x14ac:dyDescent="0.4">
      <c r="A55" s="167">
        <f t="shared" si="0"/>
        <v>52</v>
      </c>
      <c r="B55" s="168">
        <v>46081</v>
      </c>
      <c r="C55" s="169" t="s">
        <v>982</v>
      </c>
      <c r="D55" s="170" t="s">
        <v>996</v>
      </c>
      <c r="E55" s="46" t="s">
        <v>1003</v>
      </c>
      <c r="F55" s="46" t="s">
        <v>985</v>
      </c>
      <c r="G55" s="171">
        <v>1</v>
      </c>
      <c r="H55" s="181"/>
      <c r="I55" s="185">
        <v>6360</v>
      </c>
      <c r="J55" s="174"/>
    </row>
    <row r="56" spans="1:10" ht="20.100000000000001" customHeight="1" x14ac:dyDescent="0.4">
      <c r="A56" s="167">
        <f t="shared" si="0"/>
        <v>53</v>
      </c>
      <c r="B56" s="168">
        <v>46081</v>
      </c>
      <c r="C56" s="169" t="s">
        <v>982</v>
      </c>
      <c r="D56" s="170" t="s">
        <v>996</v>
      </c>
      <c r="E56" s="46" t="s">
        <v>1004</v>
      </c>
      <c r="F56" s="46" t="s">
        <v>985</v>
      </c>
      <c r="G56" s="171">
        <v>1</v>
      </c>
      <c r="H56" s="181"/>
      <c r="I56" s="185">
        <v>1200</v>
      </c>
      <c r="J56" s="174"/>
    </row>
    <row r="57" spans="1:10" ht="20.100000000000001" customHeight="1" x14ac:dyDescent="0.4">
      <c r="A57" s="167">
        <f t="shared" si="0"/>
        <v>54</v>
      </c>
      <c r="B57" s="168">
        <v>46081</v>
      </c>
      <c r="C57" s="169" t="s">
        <v>982</v>
      </c>
      <c r="D57" s="170" t="s">
        <v>996</v>
      </c>
      <c r="E57" s="46" t="s">
        <v>1005</v>
      </c>
      <c r="F57" s="46" t="s">
        <v>951</v>
      </c>
      <c r="G57" s="171">
        <v>1</v>
      </c>
      <c r="H57" s="181"/>
      <c r="I57" s="185">
        <v>1200</v>
      </c>
      <c r="J57" s="174"/>
    </row>
    <row r="58" spans="1:10" ht="20.100000000000001" customHeight="1" x14ac:dyDescent="0.4">
      <c r="A58" s="167">
        <f t="shared" si="0"/>
        <v>55</v>
      </c>
      <c r="B58" s="168">
        <v>46081</v>
      </c>
      <c r="C58" s="169" t="s">
        <v>982</v>
      </c>
      <c r="D58" s="170" t="s">
        <v>996</v>
      </c>
      <c r="E58" s="46" t="s">
        <v>1005</v>
      </c>
      <c r="F58" s="46" t="s">
        <v>987</v>
      </c>
      <c r="G58" s="171">
        <v>1</v>
      </c>
      <c r="H58" s="181"/>
      <c r="I58" s="185">
        <v>1200</v>
      </c>
      <c r="J58" s="174"/>
    </row>
    <row r="59" spans="1:10" ht="20.100000000000001" customHeight="1" x14ac:dyDescent="0.4">
      <c r="A59" s="167">
        <f t="shared" si="0"/>
        <v>56</v>
      </c>
      <c r="B59" s="168">
        <v>46081</v>
      </c>
      <c r="C59" s="169" t="s">
        <v>982</v>
      </c>
      <c r="D59" s="170" t="s">
        <v>996</v>
      </c>
      <c r="E59" s="46" t="s">
        <v>1005</v>
      </c>
      <c r="F59" s="46" t="s">
        <v>985</v>
      </c>
      <c r="G59" s="171">
        <v>1</v>
      </c>
      <c r="H59" s="181"/>
      <c r="I59" s="185">
        <v>1200</v>
      </c>
      <c r="J59" s="174"/>
    </row>
    <row r="60" spans="1:10" ht="20.100000000000001" customHeight="1" x14ac:dyDescent="0.4">
      <c r="A60" s="167">
        <f t="shared" si="0"/>
        <v>57</v>
      </c>
      <c r="B60" s="168">
        <v>46081</v>
      </c>
      <c r="C60" s="169" t="s">
        <v>982</v>
      </c>
      <c r="D60" s="170" t="s">
        <v>996</v>
      </c>
      <c r="E60" s="46" t="s">
        <v>1006</v>
      </c>
      <c r="F60" s="46" t="s">
        <v>987</v>
      </c>
      <c r="G60" s="171">
        <v>1</v>
      </c>
      <c r="H60" s="181"/>
      <c r="I60" s="185">
        <v>1200</v>
      </c>
      <c r="J60" s="174"/>
    </row>
    <row r="61" spans="1:10" ht="20.100000000000001" customHeight="1" x14ac:dyDescent="0.4">
      <c r="A61" s="167">
        <f t="shared" si="0"/>
        <v>58</v>
      </c>
      <c r="B61" s="168">
        <v>46081</v>
      </c>
      <c r="C61" s="169" t="s">
        <v>982</v>
      </c>
      <c r="D61" s="170" t="s">
        <v>996</v>
      </c>
      <c r="E61" s="46" t="s">
        <v>1007</v>
      </c>
      <c r="F61" s="46" t="s">
        <v>953</v>
      </c>
      <c r="G61" s="171">
        <v>1</v>
      </c>
      <c r="H61" s="181"/>
      <c r="I61" s="185">
        <v>2930</v>
      </c>
      <c r="J61" s="174"/>
    </row>
    <row r="62" spans="1:10" ht="20.100000000000001" customHeight="1" x14ac:dyDescent="0.4">
      <c r="A62" s="167">
        <f t="shared" si="0"/>
        <v>59</v>
      </c>
      <c r="B62" s="168">
        <v>46081</v>
      </c>
      <c r="C62" s="169" t="s">
        <v>982</v>
      </c>
      <c r="D62" s="170" t="s">
        <v>996</v>
      </c>
      <c r="E62" s="46" t="s">
        <v>1008</v>
      </c>
      <c r="F62" s="46" t="s">
        <v>985</v>
      </c>
      <c r="G62" s="171">
        <v>1</v>
      </c>
      <c r="H62" s="181"/>
      <c r="I62" s="185">
        <v>1200</v>
      </c>
      <c r="J62" s="174"/>
    </row>
    <row r="63" spans="1:10" ht="20.100000000000001" customHeight="1" x14ac:dyDescent="0.4">
      <c r="A63" s="167">
        <f t="shared" si="0"/>
        <v>60</v>
      </c>
      <c r="B63" s="168">
        <v>46081</v>
      </c>
      <c r="C63" s="169" t="s">
        <v>982</v>
      </c>
      <c r="D63" s="170" t="s">
        <v>996</v>
      </c>
      <c r="E63" s="46" t="s">
        <v>1009</v>
      </c>
      <c r="F63" s="46" t="s">
        <v>987</v>
      </c>
      <c r="G63" s="171">
        <v>1</v>
      </c>
      <c r="H63" s="181"/>
      <c r="I63" s="185">
        <v>11540</v>
      </c>
      <c r="J63" s="174"/>
    </row>
    <row r="64" spans="1:10" ht="20.100000000000001" customHeight="1" x14ac:dyDescent="0.4">
      <c r="A64" s="167">
        <f>ROW()-3</f>
        <v>61</v>
      </c>
      <c r="B64" s="168">
        <v>46081</v>
      </c>
      <c r="C64" s="169" t="s">
        <v>982</v>
      </c>
      <c r="D64" s="170" t="s">
        <v>996</v>
      </c>
      <c r="E64" s="46" t="s">
        <v>1010</v>
      </c>
      <c r="F64" s="46" t="s">
        <v>951</v>
      </c>
      <c r="G64" s="171">
        <v>1</v>
      </c>
      <c r="H64" s="181"/>
      <c r="I64" s="185">
        <v>1200</v>
      </c>
      <c r="J64" s="174"/>
    </row>
    <row r="65" spans="1:10" ht="20.100000000000001" customHeight="1" x14ac:dyDescent="0.4">
      <c r="A65" s="167">
        <f>ROW()-3</f>
        <v>62</v>
      </c>
      <c r="B65" s="168">
        <v>46081</v>
      </c>
      <c r="C65" s="169" t="s">
        <v>982</v>
      </c>
      <c r="D65" s="170" t="s">
        <v>996</v>
      </c>
      <c r="E65" s="46" t="s">
        <v>1011</v>
      </c>
      <c r="F65" s="46" t="s">
        <v>951</v>
      </c>
      <c r="G65" s="171">
        <v>1</v>
      </c>
      <c r="H65" s="181"/>
      <c r="I65" s="185">
        <v>1200</v>
      </c>
      <c r="J65" s="174"/>
    </row>
    <row r="66" spans="1:10" ht="20.100000000000001" customHeight="1" x14ac:dyDescent="0.4">
      <c r="A66" s="167">
        <f>ROW()-3</f>
        <v>63</v>
      </c>
      <c r="B66" s="168">
        <v>46081</v>
      </c>
      <c r="C66" s="169" t="s">
        <v>982</v>
      </c>
      <c r="D66" s="170" t="s">
        <v>996</v>
      </c>
      <c r="E66" s="46" t="s">
        <v>1012</v>
      </c>
      <c r="F66" s="46" t="s">
        <v>985</v>
      </c>
      <c r="G66" s="171">
        <v>1</v>
      </c>
      <c r="H66" s="181"/>
      <c r="I66" s="185">
        <v>1200</v>
      </c>
      <c r="J66" s="174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 E6">
    <cfRule type="expression" priority="16" stopIfTrue="1">
      <formula>AND(COUNTIF($E$6:$E$6, E4)+COUNTIF(#REF!, E4)+COUNTIF(#REF!, E4)&gt;1,NOT(ISBLANK(E4)))</formula>
    </cfRule>
  </conditionalFormatting>
  <conditionalFormatting sqref="E5">
    <cfRule type="duplicateValues" priority="17"/>
  </conditionalFormatting>
  <conditionalFormatting sqref="E7">
    <cfRule type="duplicateValues" priority="18"/>
  </conditionalFormatting>
  <conditionalFormatting sqref="E8">
    <cfRule type="duplicateValues" priority="15"/>
  </conditionalFormatting>
  <conditionalFormatting sqref="E14">
    <cfRule type="duplicateValues" priority="14"/>
  </conditionalFormatting>
  <conditionalFormatting sqref="E15">
    <cfRule type="duplicateValues" priority="13"/>
  </conditionalFormatting>
  <conditionalFormatting sqref="E25 E27">
    <cfRule type="expression" priority="10" stopIfTrue="1">
      <formula>AND(COUNTIF($E$6:$E$6, E25)+COUNTIF(#REF!, E25)+COUNTIF(#REF!, E25)&gt;1,NOT(ISBLANK(E25)))</formula>
    </cfRule>
  </conditionalFormatting>
  <conditionalFormatting sqref="E26">
    <cfRule type="duplicateValues" priority="11"/>
  </conditionalFormatting>
  <conditionalFormatting sqref="E28">
    <cfRule type="duplicateValues" priority="12"/>
  </conditionalFormatting>
  <conditionalFormatting sqref="E29">
    <cfRule type="duplicateValues" priority="9"/>
  </conditionalFormatting>
  <conditionalFormatting sqref="E35">
    <cfRule type="duplicateValues" priority="8"/>
  </conditionalFormatting>
  <conditionalFormatting sqref="E36">
    <cfRule type="duplicateValues" priority="7"/>
  </conditionalFormatting>
  <conditionalFormatting sqref="E46:E66">
    <cfRule type="expression" priority="4" stopIfTrue="1">
      <formula>AND(COUNTIF($E$6:$E$6, E46)+COUNTIF(#REF!, E46)+COUNTIF(#REF!, E46)&gt;1,NOT(ISBLANK(E46)))</formula>
    </cfRule>
  </conditionalFormatting>
  <pageMargins left="0.7" right="0.7" top="0.75" bottom="0.75" header="0.3" footer="0.3"/>
  <pageSetup paperSize="9" scale="7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I8" sqref="I8:I10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27" t="s">
        <v>266</v>
      </c>
      <c r="B1" s="328"/>
      <c r="C1" s="328"/>
      <c r="D1" s="328"/>
      <c r="E1" s="328"/>
      <c r="F1" s="328"/>
      <c r="G1" s="328"/>
      <c r="H1" s="328"/>
      <c r="I1" s="328"/>
      <c r="J1" s="329"/>
    </row>
    <row r="2" spans="1:12" ht="24.9" customHeight="1" x14ac:dyDescent="0.4">
      <c r="A2" s="330" t="s">
        <v>267</v>
      </c>
      <c r="B2" s="330" t="s">
        <v>268</v>
      </c>
      <c r="C2" s="330" t="s">
        <v>110</v>
      </c>
      <c r="D2" s="330" t="s">
        <v>269</v>
      </c>
      <c r="E2" s="330" t="s">
        <v>270</v>
      </c>
      <c r="F2" s="330" t="s">
        <v>271</v>
      </c>
      <c r="G2" s="330" t="s">
        <v>272</v>
      </c>
      <c r="H2" s="330" t="s">
        <v>273</v>
      </c>
      <c r="I2" s="143" t="s">
        <v>274</v>
      </c>
      <c r="J2" s="330" t="s">
        <v>247</v>
      </c>
    </row>
    <row r="3" spans="1:12" ht="24.9" customHeight="1" x14ac:dyDescent="0.4">
      <c r="A3" s="330"/>
      <c r="B3" s="330"/>
      <c r="C3" s="330"/>
      <c r="D3" s="330"/>
      <c r="E3" s="330"/>
      <c r="F3" s="330"/>
      <c r="G3" s="330"/>
      <c r="H3" s="330"/>
      <c r="I3" s="144">
        <f>SUM(I4:I10)</f>
        <v>42512273</v>
      </c>
      <c r="J3" s="330"/>
      <c r="L3" s="145" t="s">
        <v>275</v>
      </c>
    </row>
    <row r="4" spans="1:12" ht="20.100000000000001" customHeight="1" x14ac:dyDescent="0.4">
      <c r="A4" s="156">
        <f>ROW()-3</f>
        <v>1</v>
      </c>
      <c r="B4" s="182">
        <v>46081</v>
      </c>
      <c r="C4" s="46" t="s">
        <v>1013</v>
      </c>
      <c r="D4" s="46" t="s">
        <v>1014</v>
      </c>
      <c r="E4" s="46" t="s">
        <v>1015</v>
      </c>
      <c r="F4" s="46">
        <v>1</v>
      </c>
      <c r="G4" s="46">
        <v>1</v>
      </c>
      <c r="H4" s="184">
        <v>2506546</v>
      </c>
      <c r="I4" s="184">
        <f>F4*H4</f>
        <v>2506546</v>
      </c>
      <c r="J4" s="46" t="s">
        <v>249</v>
      </c>
      <c r="L4" s="146" t="s">
        <v>276</v>
      </c>
    </row>
    <row r="5" spans="1:12" ht="20.100000000000001" customHeight="1" x14ac:dyDescent="0.4">
      <c r="A5" s="156">
        <f>ROW()-3</f>
        <v>2</v>
      </c>
      <c r="B5" s="182">
        <v>46081</v>
      </c>
      <c r="C5" s="46" t="s">
        <v>1013</v>
      </c>
      <c r="D5" s="46" t="s">
        <v>1014</v>
      </c>
      <c r="E5" s="46" t="s">
        <v>1016</v>
      </c>
      <c r="F5" s="46">
        <v>67</v>
      </c>
      <c r="G5" s="46">
        <v>67</v>
      </c>
      <c r="H5" s="184">
        <v>7000</v>
      </c>
      <c r="I5" s="184">
        <f t="shared" ref="I5:I11" si="0">F5*H5</f>
        <v>469000</v>
      </c>
      <c r="J5" s="46" t="s">
        <v>249</v>
      </c>
      <c r="L5" s="146" t="s">
        <v>277</v>
      </c>
    </row>
    <row r="6" spans="1:12" ht="20.100000000000001" customHeight="1" x14ac:dyDescent="0.4">
      <c r="A6" s="156">
        <f t="shared" ref="A6:A12" si="1">ROW()-3</f>
        <v>3</v>
      </c>
      <c r="B6" s="182">
        <v>46081</v>
      </c>
      <c r="C6" s="46" t="s">
        <v>1013</v>
      </c>
      <c r="D6" s="46" t="s">
        <v>1014</v>
      </c>
      <c r="E6" s="46" t="s">
        <v>1017</v>
      </c>
      <c r="F6" s="46">
        <v>1</v>
      </c>
      <c r="G6" s="46">
        <v>1</v>
      </c>
      <c r="H6" s="184">
        <v>2170909</v>
      </c>
      <c r="I6" s="184">
        <f t="shared" si="0"/>
        <v>2170909</v>
      </c>
      <c r="J6" s="46" t="s">
        <v>249</v>
      </c>
      <c r="L6" s="146" t="s">
        <v>278</v>
      </c>
    </row>
    <row r="7" spans="1:12" ht="20.100000000000001" customHeight="1" x14ac:dyDescent="0.4">
      <c r="A7" s="156">
        <f t="shared" si="1"/>
        <v>4</v>
      </c>
      <c r="B7" s="182">
        <v>46081</v>
      </c>
      <c r="C7" s="46" t="s">
        <v>1013</v>
      </c>
      <c r="D7" s="46" t="s">
        <v>1014</v>
      </c>
      <c r="E7" s="46" t="s">
        <v>1018</v>
      </c>
      <c r="F7" s="46">
        <v>5144</v>
      </c>
      <c r="G7" s="46">
        <v>5144</v>
      </c>
      <c r="H7" s="184">
        <v>7000</v>
      </c>
      <c r="I7" s="184">
        <f t="shared" si="0"/>
        <v>36008000</v>
      </c>
      <c r="J7" s="46" t="s">
        <v>249</v>
      </c>
      <c r="L7" s="146" t="s">
        <v>279</v>
      </c>
    </row>
    <row r="8" spans="1:12" ht="20.100000000000001" customHeight="1" x14ac:dyDescent="0.4">
      <c r="A8" s="156">
        <f t="shared" si="1"/>
        <v>5</v>
      </c>
      <c r="B8" s="182">
        <v>46081</v>
      </c>
      <c r="C8" s="46" t="s">
        <v>1013</v>
      </c>
      <c r="D8" s="46" t="s">
        <v>1014</v>
      </c>
      <c r="E8" s="46" t="s">
        <v>1019</v>
      </c>
      <c r="F8" s="46">
        <v>69</v>
      </c>
      <c r="G8" s="46">
        <v>69</v>
      </c>
      <c r="H8" s="184">
        <v>7000</v>
      </c>
      <c r="I8" s="184">
        <f t="shared" si="0"/>
        <v>483000</v>
      </c>
      <c r="J8" s="46" t="s">
        <v>249</v>
      </c>
      <c r="L8" s="147" t="s">
        <v>280</v>
      </c>
    </row>
    <row r="9" spans="1:12" ht="20.100000000000001" customHeight="1" x14ac:dyDescent="0.4">
      <c r="A9" s="156">
        <f t="shared" si="1"/>
        <v>6</v>
      </c>
      <c r="B9" s="182">
        <v>46081</v>
      </c>
      <c r="C9" s="46" t="s">
        <v>1013</v>
      </c>
      <c r="D9" s="46" t="s">
        <v>1014</v>
      </c>
      <c r="E9" s="46" t="s">
        <v>1020</v>
      </c>
      <c r="F9" s="46">
        <v>1</v>
      </c>
      <c r="G9" s="46">
        <v>1</v>
      </c>
      <c r="H9" s="184">
        <v>571545</v>
      </c>
      <c r="I9" s="184">
        <f t="shared" si="0"/>
        <v>571545</v>
      </c>
      <c r="J9" s="46" t="s">
        <v>249</v>
      </c>
      <c r="L9" s="147" t="s">
        <v>281</v>
      </c>
    </row>
    <row r="10" spans="1:12" ht="20.100000000000001" customHeight="1" x14ac:dyDescent="0.4">
      <c r="A10" s="156">
        <f t="shared" si="1"/>
        <v>7</v>
      </c>
      <c r="B10" s="182">
        <v>46081</v>
      </c>
      <c r="C10" s="46" t="s">
        <v>1013</v>
      </c>
      <c r="D10" s="46" t="s">
        <v>1014</v>
      </c>
      <c r="E10" s="46" t="s">
        <v>1021</v>
      </c>
      <c r="F10" s="46">
        <v>1</v>
      </c>
      <c r="G10" s="46">
        <v>1</v>
      </c>
      <c r="H10" s="184">
        <v>303273</v>
      </c>
      <c r="I10" s="184">
        <f t="shared" si="0"/>
        <v>303273</v>
      </c>
      <c r="J10" s="46" t="s">
        <v>249</v>
      </c>
      <c r="L10" s="147" t="s">
        <v>282</v>
      </c>
    </row>
    <row r="11" spans="1:12" ht="20.100000000000001" customHeight="1" x14ac:dyDescent="0.4">
      <c r="A11" s="156">
        <f t="shared" si="1"/>
        <v>8</v>
      </c>
      <c r="B11" s="182">
        <v>46081</v>
      </c>
      <c r="C11" s="46" t="s">
        <v>1022</v>
      </c>
      <c r="D11" s="46"/>
      <c r="E11" s="46" t="s">
        <v>1024</v>
      </c>
      <c r="F11" s="46">
        <v>1</v>
      </c>
      <c r="G11" s="46">
        <v>1</v>
      </c>
      <c r="H11" s="184">
        <v>1428999</v>
      </c>
      <c r="I11" s="184">
        <f t="shared" si="0"/>
        <v>1428999</v>
      </c>
      <c r="J11" s="46"/>
      <c r="L11" s="147" t="s">
        <v>283</v>
      </c>
    </row>
    <row r="12" spans="1:12" ht="20.100000000000001" customHeight="1" x14ac:dyDescent="0.4">
      <c r="A12" s="156">
        <f t="shared" si="1"/>
        <v>9</v>
      </c>
      <c r="B12" s="182">
        <v>46057</v>
      </c>
      <c r="C12" s="46" t="s">
        <v>1022</v>
      </c>
      <c r="D12" s="46" t="s">
        <v>1023</v>
      </c>
      <c r="E12" s="46" t="s">
        <v>1025</v>
      </c>
      <c r="F12" s="46">
        <v>115</v>
      </c>
      <c r="G12" s="46">
        <v>115</v>
      </c>
      <c r="H12" s="184">
        <v>19661.66007905138</v>
      </c>
      <c r="I12" s="184">
        <v>2261090.9090909087</v>
      </c>
      <c r="J12" s="46"/>
      <c r="L12" s="147"/>
    </row>
    <row r="13" spans="1:12" x14ac:dyDescent="0.4">
      <c r="D13" s="183"/>
      <c r="L13" s="55" t="s">
        <v>284</v>
      </c>
    </row>
    <row r="14" spans="1:12" x14ac:dyDescent="0.4">
      <c r="D14" s="183"/>
    </row>
    <row r="15" spans="1:12" x14ac:dyDescent="0.4">
      <c r="D15" s="183"/>
    </row>
    <row r="16" spans="1:12" x14ac:dyDescent="0.4">
      <c r="D16" s="183"/>
    </row>
    <row r="17" spans="4:4" x14ac:dyDescent="0.4">
      <c r="D17" s="183"/>
    </row>
    <row r="18" spans="4:4" x14ac:dyDescent="0.4">
      <c r="D18" s="183"/>
    </row>
    <row r="19" spans="4:4" x14ac:dyDescent="0.4">
      <c r="D19" s="183"/>
    </row>
    <row r="20" spans="4:4" x14ac:dyDescent="0.4">
      <c r="D20" s="183"/>
    </row>
    <row r="21" spans="4:4" x14ac:dyDescent="0.4">
      <c r="D21" s="183"/>
    </row>
    <row r="22" spans="4:4" x14ac:dyDescent="0.4">
      <c r="D22" s="183"/>
    </row>
    <row r="23" spans="4:4" x14ac:dyDescent="0.4">
      <c r="D23" s="183"/>
    </row>
    <row r="24" spans="4:4" x14ac:dyDescent="0.4">
      <c r="D24" s="183"/>
    </row>
    <row r="25" spans="4:4" x14ac:dyDescent="0.4">
      <c r="D25" s="183"/>
    </row>
    <row r="26" spans="4:4" x14ac:dyDescent="0.4">
      <c r="D26" s="183"/>
    </row>
    <row r="27" spans="4:4" x14ac:dyDescent="0.4">
      <c r="D27" s="183"/>
    </row>
    <row r="28" spans="4:4" x14ac:dyDescent="0.4">
      <c r="D28" s="183"/>
    </row>
    <row r="29" spans="4:4" x14ac:dyDescent="0.4">
      <c r="D29" s="183"/>
    </row>
    <row r="30" spans="4:4" x14ac:dyDescent="0.4">
      <c r="D30" s="183"/>
    </row>
    <row r="31" spans="4:4" x14ac:dyDescent="0.4">
      <c r="D31" s="183"/>
    </row>
    <row r="32" spans="4:4" x14ac:dyDescent="0.4">
      <c r="D32" s="183"/>
    </row>
    <row r="33" spans="4:4" x14ac:dyDescent="0.4">
      <c r="D33" s="183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7"/>
  <sheetViews>
    <sheetView view="pageBreakPreview" zoomScale="85" zoomScaleNormal="100" zoomScaleSheetLayoutView="85" workbookViewId="0">
      <selection activeCell="D28" sqref="D28"/>
    </sheetView>
  </sheetViews>
  <sheetFormatPr defaultRowHeight="17.399999999999999" x14ac:dyDescent="0.4"/>
  <cols>
    <col min="2" max="2" width="11.09765625" bestFit="1" customWidth="1"/>
    <col min="3" max="3" width="10.59765625" bestFit="1" customWidth="1"/>
    <col min="4" max="4" width="17.59765625" customWidth="1"/>
    <col min="5" max="5" width="19.89843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 x14ac:dyDescent="0.4">
      <c r="A1" s="331" t="s">
        <v>285</v>
      </c>
      <c r="B1" s="331"/>
      <c r="C1" s="331"/>
      <c r="D1" s="331"/>
      <c r="E1" s="331"/>
      <c r="F1" s="331"/>
      <c r="G1" s="331"/>
      <c r="H1" s="331"/>
      <c r="I1" s="331"/>
      <c r="J1" s="55"/>
      <c r="K1" s="55"/>
      <c r="L1" s="55"/>
    </row>
    <row r="2" spans="1:20" ht="24.9" customHeight="1" x14ac:dyDescent="0.4">
      <c r="A2" s="330" t="s">
        <v>286</v>
      </c>
      <c r="B2" s="332" t="s">
        <v>287</v>
      </c>
      <c r="C2" s="332" t="s">
        <v>288</v>
      </c>
      <c r="D2" s="333" t="s">
        <v>279</v>
      </c>
      <c r="E2" s="332" t="s">
        <v>280</v>
      </c>
      <c r="F2" s="332" t="s">
        <v>255</v>
      </c>
      <c r="G2" s="334" t="s">
        <v>289</v>
      </c>
      <c r="H2" s="148" t="s">
        <v>290</v>
      </c>
      <c r="I2" s="332" t="s">
        <v>291</v>
      </c>
      <c r="J2" s="55"/>
      <c r="K2" s="55"/>
      <c r="L2" s="55"/>
    </row>
    <row r="3" spans="1:20" ht="24.9" customHeight="1" x14ac:dyDescent="0.4">
      <c r="A3" s="330"/>
      <c r="B3" s="332"/>
      <c r="C3" s="332"/>
      <c r="D3" s="333"/>
      <c r="E3" s="332"/>
      <c r="F3" s="332"/>
      <c r="G3" s="334"/>
      <c r="H3" s="149">
        <f>SUM(H4:H24)</f>
        <v>1026800</v>
      </c>
      <c r="I3" s="332"/>
      <c r="J3" s="55"/>
      <c r="K3" s="179" t="s">
        <v>248</v>
      </c>
      <c r="L3" s="147"/>
      <c r="M3" s="147"/>
      <c r="N3" s="147"/>
      <c r="O3" s="147"/>
      <c r="P3" s="147"/>
      <c r="Q3" s="147"/>
      <c r="R3" s="147"/>
      <c r="S3" s="147"/>
      <c r="T3" s="147"/>
    </row>
    <row r="4" spans="1:20" ht="15" customHeight="1" x14ac:dyDescent="0.4">
      <c r="A4" s="156">
        <f t="shared" ref="A4:A24" si="0">ROW()-3</f>
        <v>1</v>
      </c>
      <c r="B4" s="168">
        <v>46055</v>
      </c>
      <c r="C4" s="174" t="s">
        <v>1026</v>
      </c>
      <c r="D4" s="174" t="s">
        <v>1027</v>
      </c>
      <c r="E4" s="175" t="s">
        <v>1028</v>
      </c>
      <c r="F4" s="174">
        <v>1</v>
      </c>
      <c r="G4" s="176">
        <v>63636.363636363632</v>
      </c>
      <c r="H4" s="176">
        <f>F4*G4</f>
        <v>63636.363636363632</v>
      </c>
      <c r="I4" s="184"/>
      <c r="J4" s="55"/>
      <c r="K4" s="146" t="s">
        <v>297</v>
      </c>
      <c r="L4" s="147"/>
      <c r="M4" s="147"/>
      <c r="N4" s="147"/>
      <c r="O4" s="147"/>
      <c r="P4" s="147"/>
      <c r="Q4" s="147"/>
      <c r="R4" s="147"/>
      <c r="S4" s="147"/>
      <c r="T4" s="147"/>
    </row>
    <row r="5" spans="1:20" ht="15" customHeight="1" x14ac:dyDescent="0.4">
      <c r="A5" s="156">
        <f t="shared" si="0"/>
        <v>2</v>
      </c>
      <c r="B5" s="168">
        <v>46056</v>
      </c>
      <c r="C5" s="174" t="s">
        <v>1026</v>
      </c>
      <c r="D5" s="174" t="s">
        <v>1027</v>
      </c>
      <c r="E5" s="175" t="s">
        <v>1029</v>
      </c>
      <c r="F5" s="174">
        <v>1</v>
      </c>
      <c r="G5" s="176">
        <v>9090.9090909090901</v>
      </c>
      <c r="H5" s="176">
        <f t="shared" ref="H5:H13" si="1">F5*G5</f>
        <v>9090.9090909090901</v>
      </c>
      <c r="I5" s="184" t="s">
        <v>1030</v>
      </c>
      <c r="J5" s="55"/>
      <c r="K5" s="146" t="s">
        <v>287</v>
      </c>
      <c r="L5" s="147"/>
      <c r="M5" s="147"/>
      <c r="N5" s="147"/>
      <c r="O5" s="147"/>
      <c r="P5" s="147"/>
      <c r="Q5" s="147"/>
      <c r="R5" s="147"/>
      <c r="S5" s="147"/>
      <c r="T5" s="147"/>
    </row>
    <row r="6" spans="1:20" ht="15" customHeight="1" x14ac:dyDescent="0.4">
      <c r="A6" s="156">
        <f t="shared" si="0"/>
        <v>3</v>
      </c>
      <c r="B6" s="168">
        <v>46057</v>
      </c>
      <c r="C6" s="174" t="s">
        <v>1026</v>
      </c>
      <c r="D6" s="174" t="s">
        <v>1027</v>
      </c>
      <c r="E6" s="175" t="s">
        <v>1029</v>
      </c>
      <c r="F6" s="174">
        <v>1</v>
      </c>
      <c r="G6" s="176">
        <v>63636.363636363632</v>
      </c>
      <c r="H6" s="176">
        <f t="shared" si="1"/>
        <v>63636.363636363632</v>
      </c>
      <c r="I6" s="184"/>
      <c r="J6" s="55"/>
      <c r="K6" s="146" t="s">
        <v>251</v>
      </c>
      <c r="L6" s="147"/>
      <c r="M6" s="147"/>
      <c r="N6" s="147"/>
      <c r="O6" s="147"/>
      <c r="P6" s="147"/>
      <c r="Q6" s="147"/>
      <c r="R6" s="147"/>
      <c r="S6" s="147"/>
      <c r="T6" s="147"/>
    </row>
    <row r="7" spans="1:20" ht="15" customHeight="1" x14ac:dyDescent="0.4">
      <c r="A7" s="156">
        <f t="shared" si="0"/>
        <v>4</v>
      </c>
      <c r="B7" s="168">
        <v>46059</v>
      </c>
      <c r="C7" s="174" t="s">
        <v>1026</v>
      </c>
      <c r="D7" s="174" t="s">
        <v>1027</v>
      </c>
      <c r="E7" s="175" t="s">
        <v>1029</v>
      </c>
      <c r="F7" s="174">
        <v>1</v>
      </c>
      <c r="G7" s="176">
        <v>54545.454545454544</v>
      </c>
      <c r="H7" s="176">
        <f t="shared" si="1"/>
        <v>54545.454545454544</v>
      </c>
      <c r="I7" s="184"/>
      <c r="J7" s="55"/>
      <c r="K7" s="146" t="s">
        <v>252</v>
      </c>
      <c r="L7" s="147"/>
      <c r="M7" s="147"/>
      <c r="N7" s="147"/>
      <c r="O7" s="147"/>
      <c r="P7" s="147"/>
      <c r="Q7" s="147"/>
      <c r="R7" s="147"/>
      <c r="S7" s="147"/>
      <c r="T7" s="147"/>
    </row>
    <row r="8" spans="1:20" ht="15" customHeight="1" x14ac:dyDescent="0.4">
      <c r="A8" s="156">
        <f t="shared" si="0"/>
        <v>5</v>
      </c>
      <c r="B8" s="168">
        <v>46063</v>
      </c>
      <c r="C8" s="174" t="s">
        <v>1026</v>
      </c>
      <c r="D8" s="174" t="s">
        <v>1027</v>
      </c>
      <c r="E8" s="175" t="s">
        <v>1028</v>
      </c>
      <c r="F8" s="174">
        <v>1</v>
      </c>
      <c r="G8" s="176">
        <v>63636.363636363632</v>
      </c>
      <c r="H8" s="176">
        <f t="shared" si="1"/>
        <v>63636.363636363632</v>
      </c>
      <c r="I8" s="184"/>
      <c r="J8" s="55"/>
      <c r="K8" s="146" t="s">
        <v>298</v>
      </c>
      <c r="L8" s="147"/>
      <c r="M8" s="147"/>
      <c r="N8" s="147"/>
      <c r="O8" s="147"/>
      <c r="P8" s="147"/>
      <c r="Q8" s="147"/>
      <c r="R8" s="147"/>
      <c r="S8" s="147"/>
      <c r="T8" s="147"/>
    </row>
    <row r="9" spans="1:20" ht="15" customHeight="1" x14ac:dyDescent="0.4">
      <c r="A9" s="156">
        <f t="shared" si="0"/>
        <v>6</v>
      </c>
      <c r="B9" s="168">
        <v>46065</v>
      </c>
      <c r="C9" s="174" t="s">
        <v>1026</v>
      </c>
      <c r="D9" s="174" t="s">
        <v>1027</v>
      </c>
      <c r="E9" s="175" t="s">
        <v>1029</v>
      </c>
      <c r="F9" s="174">
        <v>1</v>
      </c>
      <c r="G9" s="176">
        <v>63636.363636363632</v>
      </c>
      <c r="H9" s="176">
        <f t="shared" si="1"/>
        <v>63636.363636363632</v>
      </c>
      <c r="I9" s="184"/>
      <c r="J9" s="55"/>
      <c r="K9" s="147" t="s">
        <v>255</v>
      </c>
      <c r="L9" s="147"/>
      <c r="M9" s="147"/>
      <c r="N9" s="147"/>
      <c r="O9" s="147"/>
      <c r="P9" s="147"/>
      <c r="Q9" s="147"/>
      <c r="R9" s="147"/>
      <c r="S9" s="147"/>
      <c r="T9" s="147"/>
    </row>
    <row r="10" spans="1:20" ht="15" customHeight="1" x14ac:dyDescent="0.4">
      <c r="A10" s="156">
        <f t="shared" si="0"/>
        <v>7</v>
      </c>
      <c r="B10" s="168">
        <v>46072</v>
      </c>
      <c r="C10" s="174" t="s">
        <v>1026</v>
      </c>
      <c r="D10" s="174" t="s">
        <v>1027</v>
      </c>
      <c r="E10" s="175" t="s">
        <v>1029</v>
      </c>
      <c r="F10" s="174">
        <v>1</v>
      </c>
      <c r="G10" s="176">
        <v>63636.363636363632</v>
      </c>
      <c r="H10" s="176">
        <f t="shared" si="1"/>
        <v>63636.363636363632</v>
      </c>
      <c r="I10" s="184"/>
      <c r="J10" s="55"/>
      <c r="K10" s="147" t="s">
        <v>289</v>
      </c>
      <c r="L10" s="180"/>
      <c r="M10" s="147"/>
      <c r="N10" s="147"/>
      <c r="O10" s="147"/>
      <c r="P10" s="147"/>
      <c r="Q10" s="147"/>
      <c r="R10" s="147"/>
      <c r="S10" s="147"/>
      <c r="T10" s="147"/>
    </row>
    <row r="11" spans="1:20" ht="15" customHeight="1" x14ac:dyDescent="0.4">
      <c r="A11" s="156">
        <f t="shared" si="0"/>
        <v>8</v>
      </c>
      <c r="B11" s="168">
        <v>46072</v>
      </c>
      <c r="C11" s="174" t="s">
        <v>1026</v>
      </c>
      <c r="D11" s="174" t="s">
        <v>1027</v>
      </c>
      <c r="E11" s="175" t="s">
        <v>1029</v>
      </c>
      <c r="F11" s="174">
        <v>1</v>
      </c>
      <c r="G11" s="176">
        <v>9090.9090909090901</v>
      </c>
      <c r="H11" s="176">
        <f t="shared" si="1"/>
        <v>9090.9090909090901</v>
      </c>
      <c r="I11" s="184" t="s">
        <v>1030</v>
      </c>
      <c r="J11" s="55"/>
      <c r="K11" s="147"/>
      <c r="L11" s="180"/>
      <c r="M11" s="147"/>
      <c r="N11" s="147"/>
      <c r="O11" s="147"/>
      <c r="P11" s="147"/>
      <c r="Q11" s="147"/>
      <c r="R11" s="147"/>
      <c r="S11" s="147"/>
      <c r="T11" s="147"/>
    </row>
    <row r="12" spans="1:20" ht="15" customHeight="1" x14ac:dyDescent="0.4">
      <c r="A12" s="156">
        <f t="shared" si="0"/>
        <v>9</v>
      </c>
      <c r="B12" s="168">
        <v>46077</v>
      </c>
      <c r="C12" s="174" t="s">
        <v>1026</v>
      </c>
      <c r="D12" s="174" t="s">
        <v>1027</v>
      </c>
      <c r="E12" s="175" t="s">
        <v>1031</v>
      </c>
      <c r="F12" s="174">
        <v>1</v>
      </c>
      <c r="G12" s="176">
        <v>63636.363636363632</v>
      </c>
      <c r="H12" s="176">
        <f t="shared" si="1"/>
        <v>63636.363636363632</v>
      </c>
      <c r="I12" s="184"/>
      <c r="J12" s="55"/>
      <c r="K12" s="179" t="s">
        <v>486</v>
      </c>
      <c r="L12" s="180"/>
      <c r="M12" s="180"/>
      <c r="N12" s="180"/>
      <c r="O12" s="180"/>
      <c r="P12" s="180"/>
      <c r="Q12" s="180"/>
      <c r="R12" s="180"/>
      <c r="S12" s="180"/>
      <c r="T12" s="180"/>
    </row>
    <row r="13" spans="1:20" ht="15" customHeight="1" x14ac:dyDescent="0.4">
      <c r="A13" s="156">
        <f t="shared" si="0"/>
        <v>10</v>
      </c>
      <c r="B13" s="168">
        <v>46079</v>
      </c>
      <c r="C13" s="174" t="s">
        <v>1026</v>
      </c>
      <c r="D13" s="174" t="s">
        <v>1027</v>
      </c>
      <c r="E13" s="175" t="s">
        <v>1032</v>
      </c>
      <c r="F13" s="174">
        <v>1</v>
      </c>
      <c r="G13" s="176">
        <v>63636.363636363632</v>
      </c>
      <c r="H13" s="176">
        <f t="shared" si="1"/>
        <v>63636.363636363632</v>
      </c>
      <c r="I13" s="184"/>
      <c r="J13" s="55"/>
      <c r="K13" s="55"/>
      <c r="L13" s="55"/>
    </row>
    <row r="14" spans="1:20" ht="15" customHeight="1" x14ac:dyDescent="0.4">
      <c r="A14" s="156">
        <f t="shared" si="0"/>
        <v>11</v>
      </c>
      <c r="B14" s="168">
        <v>46056</v>
      </c>
      <c r="C14" s="174" t="s">
        <v>1042</v>
      </c>
      <c r="D14" s="174" t="s">
        <v>1033</v>
      </c>
      <c r="E14" s="175" t="s">
        <v>1034</v>
      </c>
      <c r="F14" s="174">
        <v>1</v>
      </c>
      <c r="G14" s="176">
        <v>116363.63636363635</v>
      </c>
      <c r="H14" s="176">
        <v>116363.63636363635</v>
      </c>
      <c r="I14" s="184"/>
      <c r="J14" s="55"/>
      <c r="L14" s="55"/>
    </row>
    <row r="15" spans="1:20" ht="15" customHeight="1" x14ac:dyDescent="0.4">
      <c r="A15" s="156">
        <f t="shared" si="0"/>
        <v>12</v>
      </c>
      <c r="B15" s="168">
        <v>46055</v>
      </c>
      <c r="C15" s="174" t="s">
        <v>1042</v>
      </c>
      <c r="D15" s="174" t="s">
        <v>1035</v>
      </c>
      <c r="E15" s="175" t="s">
        <v>942</v>
      </c>
      <c r="F15" s="174">
        <v>6</v>
      </c>
      <c r="G15" s="176">
        <v>8572.7272727272721</v>
      </c>
      <c r="H15" s="176">
        <v>51436.363636363632</v>
      </c>
      <c r="I15" s="184"/>
      <c r="J15" s="55"/>
      <c r="L15" s="55"/>
    </row>
    <row r="16" spans="1:20" ht="15" customHeight="1" x14ac:dyDescent="0.4">
      <c r="A16" s="156">
        <f t="shared" si="0"/>
        <v>13</v>
      </c>
      <c r="B16" s="168">
        <v>46059</v>
      </c>
      <c r="C16" s="174" t="s">
        <v>1042</v>
      </c>
      <c r="D16" s="174" t="s">
        <v>1036</v>
      </c>
      <c r="E16" s="175" t="s">
        <v>942</v>
      </c>
      <c r="F16" s="174">
        <v>36</v>
      </c>
      <c r="G16" s="176">
        <v>713.63636363636351</v>
      </c>
      <c r="H16" s="176">
        <v>25690.909090909088</v>
      </c>
      <c r="I16" s="184"/>
      <c r="J16" s="55"/>
      <c r="L16" s="55"/>
    </row>
    <row r="17" spans="1:12" ht="15" customHeight="1" x14ac:dyDescent="0.4">
      <c r="A17" s="156">
        <f t="shared" si="0"/>
        <v>14</v>
      </c>
      <c r="B17" s="168">
        <v>46066</v>
      </c>
      <c r="C17" s="174" t="s">
        <v>1042</v>
      </c>
      <c r="D17" s="174" t="s">
        <v>1035</v>
      </c>
      <c r="E17" s="175" t="s">
        <v>942</v>
      </c>
      <c r="F17" s="174">
        <v>3</v>
      </c>
      <c r="G17" s="176">
        <v>7590.909090909091</v>
      </c>
      <c r="H17" s="176">
        <v>22772.727272727272</v>
      </c>
      <c r="I17" s="184"/>
      <c r="J17" s="55"/>
      <c r="L17" s="55"/>
    </row>
    <row r="18" spans="1:12" ht="15" customHeight="1" x14ac:dyDescent="0.4">
      <c r="A18" s="156">
        <f t="shared" si="0"/>
        <v>15</v>
      </c>
      <c r="B18" s="168">
        <v>46076</v>
      </c>
      <c r="C18" s="174" t="s">
        <v>1042</v>
      </c>
      <c r="D18" s="174" t="s">
        <v>1037</v>
      </c>
      <c r="E18" s="175" t="s">
        <v>942</v>
      </c>
      <c r="F18" s="174">
        <v>5</v>
      </c>
      <c r="G18" s="176">
        <v>1418.181818181818</v>
      </c>
      <c r="H18" s="176">
        <v>7090.9090909090901</v>
      </c>
      <c r="I18" s="184"/>
      <c r="J18" s="55"/>
      <c r="L18" s="55"/>
    </row>
    <row r="19" spans="1:12" ht="15" customHeight="1" x14ac:dyDescent="0.4">
      <c r="A19" s="156">
        <f t="shared" si="0"/>
        <v>16</v>
      </c>
      <c r="B19" s="168">
        <v>46076</v>
      </c>
      <c r="C19" s="174" t="s">
        <v>1042</v>
      </c>
      <c r="D19" s="174" t="s">
        <v>1038</v>
      </c>
      <c r="E19" s="175" t="s">
        <v>942</v>
      </c>
      <c r="F19" s="174">
        <v>10</v>
      </c>
      <c r="G19" s="176">
        <v>17800</v>
      </c>
      <c r="H19" s="176">
        <v>178000</v>
      </c>
      <c r="I19" s="184"/>
      <c r="J19" s="55"/>
      <c r="L19" s="55"/>
    </row>
    <row r="20" spans="1:12" ht="15" customHeight="1" x14ac:dyDescent="0.4">
      <c r="A20" s="156">
        <f t="shared" si="0"/>
        <v>17</v>
      </c>
      <c r="B20" s="168">
        <v>46077</v>
      </c>
      <c r="C20" s="174" t="s">
        <v>1042</v>
      </c>
      <c r="D20" s="174" t="s">
        <v>1039</v>
      </c>
      <c r="E20" s="175" t="s">
        <v>942</v>
      </c>
      <c r="F20" s="174">
        <v>1</v>
      </c>
      <c r="G20" s="176">
        <v>8099.9999999999991</v>
      </c>
      <c r="H20" s="176">
        <v>8099.9999999999991</v>
      </c>
      <c r="I20" s="184"/>
      <c r="J20" s="55"/>
      <c r="K20" s="177"/>
      <c r="L20" s="178"/>
    </row>
    <row r="21" spans="1:12" ht="15" customHeight="1" x14ac:dyDescent="0.4">
      <c r="A21" s="156">
        <f t="shared" si="0"/>
        <v>18</v>
      </c>
      <c r="B21" s="168">
        <v>46079</v>
      </c>
      <c r="C21" s="174" t="s">
        <v>1042</v>
      </c>
      <c r="D21" s="174" t="s">
        <v>1040</v>
      </c>
      <c r="E21" s="175" t="s">
        <v>942</v>
      </c>
      <c r="F21" s="174">
        <v>5</v>
      </c>
      <c r="G21" s="176">
        <v>6272.7272727272721</v>
      </c>
      <c r="H21" s="176">
        <v>31363.63636363636</v>
      </c>
      <c r="I21" s="184"/>
      <c r="K21" s="177"/>
      <c r="L21" s="178"/>
    </row>
    <row r="22" spans="1:12" ht="15" customHeight="1" x14ac:dyDescent="0.4">
      <c r="A22" s="156">
        <f t="shared" si="0"/>
        <v>19</v>
      </c>
      <c r="B22" s="168">
        <v>46080</v>
      </c>
      <c r="C22" s="174" t="s">
        <v>1042</v>
      </c>
      <c r="D22" s="174" t="s">
        <v>1036</v>
      </c>
      <c r="E22" s="175" t="s">
        <v>942</v>
      </c>
      <c r="F22" s="174">
        <v>12</v>
      </c>
      <c r="G22" s="176">
        <v>713.63636363636351</v>
      </c>
      <c r="H22" s="176">
        <v>8563.6363636363621</v>
      </c>
      <c r="I22" s="184"/>
      <c r="K22" s="177"/>
      <c r="L22" s="178"/>
    </row>
    <row r="23" spans="1:12" ht="15" customHeight="1" x14ac:dyDescent="0.4">
      <c r="A23" s="156">
        <f t="shared" si="0"/>
        <v>20</v>
      </c>
      <c r="B23" s="168">
        <v>46080</v>
      </c>
      <c r="C23" s="174" t="s">
        <v>1042</v>
      </c>
      <c r="D23" s="174" t="s">
        <v>1036</v>
      </c>
      <c r="E23" s="175" t="s">
        <v>942</v>
      </c>
      <c r="F23" s="174">
        <v>12</v>
      </c>
      <c r="G23" s="176">
        <v>713.63636363636351</v>
      </c>
      <c r="H23" s="176">
        <v>8563.6363636363621</v>
      </c>
      <c r="I23" s="184"/>
      <c r="K23" s="177"/>
      <c r="L23" s="178"/>
    </row>
    <row r="24" spans="1:12" ht="15" customHeight="1" x14ac:dyDescent="0.4">
      <c r="A24" s="156">
        <f t="shared" si="0"/>
        <v>21</v>
      </c>
      <c r="B24" s="168">
        <v>46080</v>
      </c>
      <c r="C24" s="174" t="s">
        <v>1042</v>
      </c>
      <c r="D24" s="174" t="s">
        <v>1041</v>
      </c>
      <c r="E24" s="175" t="s">
        <v>942</v>
      </c>
      <c r="F24" s="174">
        <v>3</v>
      </c>
      <c r="G24" s="176">
        <v>16890.909090909092</v>
      </c>
      <c r="H24" s="176">
        <v>50672.727272727272</v>
      </c>
      <c r="I24" s="184"/>
      <c r="K24" s="177"/>
      <c r="L24" s="178"/>
    </row>
    <row r="25" spans="1:12" ht="15" customHeight="1" x14ac:dyDescent="0.4">
      <c r="K25" s="177"/>
      <c r="L25" s="178"/>
    </row>
    <row r="26" spans="1:12" ht="15" customHeight="1" x14ac:dyDescent="0.4">
      <c r="K26" s="177"/>
      <c r="L26" s="178"/>
    </row>
    <row r="27" spans="1:12" ht="15" customHeight="1" x14ac:dyDescent="0.4">
      <c r="K27" s="177"/>
      <c r="L27" s="178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35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336"/>
      <c r="C3" s="38" t="s">
        <v>38</v>
      </c>
      <c r="D3" s="38"/>
      <c r="E3" s="38" t="s">
        <v>40</v>
      </c>
    </row>
    <row r="4" spans="2:18" ht="30" customHeight="1" x14ac:dyDescent="0.4">
      <c r="B4" s="336"/>
      <c r="C4" s="38" t="s">
        <v>39</v>
      </c>
      <c r="D4" s="38"/>
      <c r="E4" s="38" t="s">
        <v>40</v>
      </c>
    </row>
    <row r="6" spans="2:18" ht="48.9" customHeight="1" x14ac:dyDescent="0.4">
      <c r="G6" s="335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335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337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338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39" t="s">
        <v>55</v>
      </c>
      <c r="C3" s="340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9</vt:i4>
      </vt:variant>
    </vt:vector>
  </HeadingPairs>
  <TitlesOfParts>
    <vt:vector size="24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(02월)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2026-03-09T05:33:06Z</cp:lastPrinted>
  <dcterms:created xsi:type="dcterms:W3CDTF">2025-09-12T00:04:15Z</dcterms:created>
  <dcterms:modified xsi:type="dcterms:W3CDTF">2026-03-09T07:23:21Z</dcterms:modified>
</cp:coreProperties>
</file>