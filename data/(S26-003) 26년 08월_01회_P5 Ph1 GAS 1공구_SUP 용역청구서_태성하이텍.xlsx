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3. P5\04. 대내업무\01. 외주기성\05. 26년 08월 외주기성\P5 Ph1 26년 08월_1회차 용역청구서_태성하이텍\"/>
    </mc:Choice>
  </mc:AlternateContent>
  <xr:revisionPtr revIDLastSave="0" documentId="13_ncr:1_{82D623FA-19AB-4A31-A2DD-9A46C4B03E6B}" xr6:coauthVersionLast="36" xr6:coauthVersionMax="47" xr10:uidLastSave="{00000000-0000-0000-0000-000000000000}"/>
  <bookViews>
    <workbookView xWindow="28680" yWindow="-120" windowWidth="29040" windowHeight="15720" tabRatio="726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근로내역 (08월)" sheetId="8" r:id="rId6"/>
    <sheet name="물량 내역서" sheetId="7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배관기자재!$A$2:$J$12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기타비용!$A$1:$I$23</definedName>
    <definedName name="_xlnm.Print_Area" localSheetId="8">배관기자재!$A$1:$J$47</definedName>
    <definedName name="_xlnm.Print_Area" localSheetId="10">숙소관리비!$A$1:$J$6</definedName>
    <definedName name="_xlnm.Print_Area" localSheetId="9">숙소임차료!$A$1:$J$6</definedName>
    <definedName name="_xlnm.Print_Area" localSheetId="11">식대비용!$A$1:$J$7</definedName>
    <definedName name="_xlnm.Print_Area" localSheetId="1">'용역 청구서(갑지)'!$A$1:$L$26</definedName>
    <definedName name="_xlnm.Print_Area" localSheetId="7">용접기자재!$A$1:$J$21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1" l="1"/>
  <c r="I7" i="11"/>
  <c r="I6" i="9"/>
  <c r="I5" i="9"/>
  <c r="I4" i="9"/>
  <c r="F6" i="6"/>
  <c r="D6" i="6"/>
  <c r="I3" i="14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G10" i="12"/>
  <c r="H10" i="12" s="1"/>
  <c r="G9" i="12"/>
  <c r="H9" i="12" s="1"/>
  <c r="H8" i="12"/>
  <c r="G8" i="12"/>
  <c r="G7" i="12"/>
  <c r="H7" i="12" s="1"/>
  <c r="G6" i="12"/>
  <c r="H6" i="12" s="1"/>
  <c r="G5" i="12"/>
  <c r="H5" i="12" s="1"/>
  <c r="G4" i="12"/>
  <c r="H4" i="12" s="1"/>
  <c r="H3" i="12" s="1"/>
  <c r="I6" i="11"/>
  <c r="I5" i="11"/>
  <c r="I4" i="11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P27" i="8"/>
  <c r="AP26" i="8"/>
  <c r="AP25" i="8"/>
  <c r="AP24" i="8"/>
  <c r="AP23" i="8"/>
  <c r="AR23" i="8" s="1"/>
  <c r="AP22" i="8"/>
  <c r="AR22" i="8" s="1"/>
  <c r="AP21" i="8"/>
  <c r="AR21" i="8" s="1"/>
  <c r="AP20" i="8"/>
  <c r="AR20" i="8" s="1"/>
  <c r="AP19" i="8"/>
  <c r="AR19" i="8" s="1"/>
  <c r="AP18" i="8"/>
  <c r="AR18" i="8" s="1"/>
  <c r="AP17" i="8"/>
  <c r="AR17" i="8" s="1"/>
  <c r="AP16" i="8"/>
  <c r="AR16" i="8" s="1"/>
  <c r="AP15" i="8"/>
  <c r="AP14" i="8"/>
  <c r="AP13" i="8"/>
  <c r="AP12" i="8"/>
  <c r="AP11" i="8"/>
  <c r="AR11" i="8" s="1"/>
  <c r="AP10" i="8"/>
  <c r="AR10" i="8" s="1"/>
  <c r="AP9" i="8"/>
  <c r="AR9" i="8" s="1"/>
  <c r="AP8" i="8"/>
  <c r="AR8" i="8" s="1"/>
  <c r="AP6" i="8"/>
  <c r="AP7" i="8"/>
  <c r="AR13" i="8"/>
  <c r="AR12" i="8"/>
  <c r="AR15" i="8"/>
  <c r="AR14" i="8"/>
  <c r="AR25" i="8"/>
  <c r="AR24" i="8"/>
  <c r="I34" i="8"/>
  <c r="I28" i="8"/>
  <c r="I35" i="8" s="1"/>
  <c r="J34" i="8"/>
  <c r="J28" i="8"/>
  <c r="J35" i="8" s="1"/>
  <c r="A5" i="12" l="1"/>
  <c r="A4" i="12"/>
  <c r="A7" i="11"/>
  <c r="A6" i="11"/>
  <c r="A5" i="11"/>
  <c r="A4" i="11"/>
  <c r="A6" i="10"/>
  <c r="A5" i="10"/>
  <c r="A4" i="10"/>
  <c r="A6" i="9"/>
  <c r="A5" i="9"/>
  <c r="A4" i="9"/>
  <c r="A10" i="14"/>
  <c r="A9" i="14"/>
  <c r="A8" i="14"/>
  <c r="A7" i="14"/>
  <c r="A6" i="14"/>
  <c r="A5" i="14"/>
  <c r="A4" i="14"/>
  <c r="I3" i="10" l="1"/>
  <c r="E15" i="15" l="1"/>
  <c r="F11" i="15"/>
  <c r="F10" i="15"/>
  <c r="F9" i="15"/>
  <c r="F8" i="15"/>
  <c r="F7" i="15"/>
  <c r="F6" i="15"/>
  <c r="F5" i="15"/>
  <c r="F13" i="15" l="1"/>
  <c r="F15" i="15" s="1"/>
  <c r="G8" i="6" l="1"/>
  <c r="G13" i="6" l="1"/>
  <c r="G14" i="6" s="1"/>
  <c r="G18" i="6" s="1"/>
  <c r="I3" i="9" l="1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/>
  <c r="I3" i="13"/>
  <c r="K28" i="8" l="1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R35" i="8" l="1"/>
  <c r="Q35" i="8"/>
  <c r="P35" i="8"/>
  <c r="AB35" i="8"/>
  <c r="AO35" i="8"/>
  <c r="AN35" i="8"/>
  <c r="S35" i="8"/>
  <c r="AF35" i="8"/>
  <c r="V35" i="8"/>
  <c r="AH35" i="8"/>
  <c r="T35" i="8"/>
  <c r="AD35" i="8"/>
  <c r="AC35" i="8"/>
  <c r="AE35" i="8"/>
  <c r="AL35" i="8"/>
  <c r="AG35" i="8"/>
  <c r="Y35" i="8"/>
  <c r="AM35" i="8"/>
  <c r="AA35" i="8"/>
  <c r="O35" i="8"/>
  <c r="Z35" i="8"/>
  <c r="N35" i="8"/>
  <c r="AK35" i="8"/>
  <c r="M35" i="8"/>
  <c r="X35" i="8"/>
  <c r="L35" i="8"/>
  <c r="AI35" i="8"/>
  <c r="W35" i="8"/>
  <c r="K35" i="8"/>
  <c r="U35" i="8"/>
  <c r="AJ35" i="8"/>
  <c r="AR27" i="8" l="1"/>
  <c r="AR26" i="8"/>
  <c r="AR7" i="8"/>
  <c r="AR6" i="8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O3" i="8" l="1"/>
  <c r="AO1" i="8"/>
  <c r="AP33" i="8"/>
  <c r="AR33" i="8" s="1"/>
  <c r="AP32" i="8"/>
  <c r="AR32" i="8" s="1"/>
  <c r="AP31" i="8"/>
  <c r="AR31" i="8" s="1"/>
  <c r="AP30" i="8"/>
  <c r="AR30" i="8" s="1"/>
  <c r="AP29" i="8"/>
  <c r="AR29" i="8" s="1"/>
  <c r="AR34" i="8" l="1"/>
  <c r="AP28" i="8"/>
  <c r="AR28" i="8"/>
  <c r="AP34" i="8"/>
  <c r="K50" i="7"/>
  <c r="K49" i="7"/>
  <c r="K48" i="7"/>
  <c r="K47" i="7"/>
  <c r="K46" i="7"/>
  <c r="K45" i="7"/>
  <c r="K44" i="7"/>
  <c r="K43" i="7"/>
  <c r="K34" i="7"/>
  <c r="K33" i="7"/>
  <c r="K32" i="7"/>
  <c r="K29" i="7"/>
  <c r="J27" i="7"/>
  <c r="J26" i="7"/>
  <c r="J25" i="7"/>
  <c r="K25" i="7" s="1"/>
  <c r="J24" i="7"/>
  <c r="K24" i="7" s="1"/>
  <c r="J23" i="7"/>
  <c r="J22" i="7"/>
  <c r="J21" i="7"/>
  <c r="K21" i="7" s="1"/>
  <c r="J20" i="7"/>
  <c r="J19" i="7"/>
  <c r="J18" i="7"/>
  <c r="K18" i="7" s="1"/>
  <c r="J17" i="7"/>
  <c r="J7" i="7"/>
  <c r="J6" i="7"/>
  <c r="J5" i="7"/>
  <c r="A2" i="7"/>
  <c r="K23" i="7"/>
  <c r="A1" i="6"/>
  <c r="L2" i="6"/>
  <c r="AP35" i="8" l="1"/>
  <c r="D9" i="6" s="1"/>
  <c r="K26" i="7"/>
  <c r="K36" i="7"/>
  <c r="K37" i="7"/>
  <c r="K40" i="7"/>
  <c r="K41" i="7"/>
  <c r="K42" i="7"/>
  <c r="K38" i="7"/>
  <c r="K39" i="7"/>
  <c r="K28" i="7"/>
  <c r="K30" i="7"/>
  <c r="K35" i="7"/>
  <c r="K7" i="7"/>
  <c r="D4" i="6"/>
  <c r="AR35" i="8"/>
  <c r="AQ28" i="8"/>
  <c r="F7" i="6" s="1"/>
  <c r="H7" i="6" s="1"/>
  <c r="I7" i="6" s="1"/>
  <c r="K6" i="7"/>
  <c r="K22" i="7"/>
  <c r="K5" i="7"/>
  <c r="K19" i="7"/>
  <c r="K27" i="7"/>
  <c r="K17" i="7"/>
  <c r="K20" i="7"/>
  <c r="F20" i="6"/>
  <c r="H19" i="6"/>
  <c r="I19" i="6" s="1"/>
  <c r="H17" i="6"/>
  <c r="I17" i="6" s="1"/>
  <c r="H16" i="6"/>
  <c r="I16" i="6" s="1"/>
  <c r="E14" i="2" s="1"/>
  <c r="H15" i="6"/>
  <c r="I15" i="6" s="1"/>
  <c r="F12" i="6"/>
  <c r="H6" i="6"/>
  <c r="I6" i="6" s="1"/>
  <c r="AQ35" i="8" l="1"/>
  <c r="F9" i="6"/>
  <c r="H20" i="6"/>
  <c r="I20" i="6" s="1"/>
  <c r="L20" i="6" s="1"/>
  <c r="E12" i="2" s="1"/>
  <c r="E11" i="2"/>
  <c r="F5" i="6"/>
  <c r="F4" i="6"/>
  <c r="K51" i="7"/>
  <c r="J51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H18" i="6" l="1"/>
  <c r="I18" i="6" s="1"/>
  <c r="E8" i="2"/>
  <c r="D8" i="2" s="1"/>
  <c r="F22" i="6"/>
  <c r="E5" i="2" s="1"/>
  <c r="D5" i="2" s="1"/>
  <c r="E13" i="2" l="1"/>
  <c r="E6" i="2" s="1"/>
  <c r="D6" i="2" s="1"/>
  <c r="I9" i="6"/>
  <c r="D13" i="2" l="1"/>
  <c r="M50" i="7" l="1"/>
  <c r="G50" i="7" s="1"/>
  <c r="L7" i="7"/>
  <c r="F7" i="7" s="1"/>
  <c r="M47" i="7"/>
  <c r="G47" i="7"/>
  <c r="L50" i="7"/>
  <c r="F50" i="7"/>
  <c r="M7" i="7"/>
  <c r="G7" i="7"/>
  <c r="M48" i="7"/>
  <c r="G48" i="7"/>
  <c r="M46" i="7"/>
  <c r="G46" i="7" s="1"/>
  <c r="L45" i="7"/>
  <c r="F45" i="7" s="1"/>
  <c r="L6" i="7"/>
  <c r="F6" i="7"/>
  <c r="L47" i="7"/>
  <c r="F47" i="7"/>
  <c r="M45" i="7"/>
  <c r="G45" i="7" s="1"/>
  <c r="L49" i="7"/>
  <c r="F49" i="7" s="1"/>
  <c r="L46" i="7"/>
  <c r="F46" i="7"/>
  <c r="L48" i="7"/>
  <c r="F48" i="7" s="1"/>
  <c r="M49" i="7"/>
  <c r="G49" i="7" s="1"/>
  <c r="M6" i="7"/>
  <c r="G6" i="7" s="1"/>
  <c r="L5" i="7"/>
  <c r="F5" i="7"/>
  <c r="M5" i="7"/>
  <c r="G5" i="7"/>
  <c r="M14" i="7"/>
  <c r="G14" i="7" s="1"/>
  <c r="L11" i="7"/>
  <c r="F11" i="7"/>
  <c r="M36" i="7"/>
  <c r="G36" i="7" s="1"/>
  <c r="M20" i="7"/>
  <c r="G20" i="7" s="1"/>
  <c r="L25" i="7"/>
  <c r="F25" i="7" s="1"/>
  <c r="M39" i="7"/>
  <c r="G39" i="7" s="1"/>
  <c r="M29" i="7"/>
  <c r="G29" i="7" s="1"/>
  <c r="M44" i="7"/>
  <c r="G44" i="7" s="1"/>
  <c r="L34" i="7"/>
  <c r="F34" i="7" s="1"/>
  <c r="L30" i="7"/>
  <c r="F30" i="7" s="1"/>
  <c r="M17" i="7"/>
  <c r="G17" i="7" s="1"/>
  <c r="M28" i="7"/>
  <c r="G28" i="7"/>
  <c r="L36" i="7"/>
  <c r="F36" i="7" s="1"/>
  <c r="M19" i="7"/>
  <c r="G19" i="7"/>
  <c r="M11" i="7"/>
  <c r="G11" i="7" s="1"/>
  <c r="L39" i="7"/>
  <c r="F39" i="7"/>
  <c r="M27" i="7"/>
  <c r="G27" i="7"/>
  <c r="L38" i="7"/>
  <c r="F38" i="7" s="1"/>
  <c r="L10" i="7"/>
  <c r="F10" i="7"/>
  <c r="M41" i="7"/>
  <c r="G41" i="7" s="1"/>
  <c r="M30" i="7"/>
  <c r="G30" i="7" s="1"/>
  <c r="L26" i="7"/>
  <c r="F26" i="7" s="1"/>
  <c r="L17" i="7"/>
  <c r="F17" i="7"/>
  <c r="L44" i="7"/>
  <c r="F44" i="7" s="1"/>
  <c r="L33" i="7"/>
  <c r="F33" i="7" s="1"/>
  <c r="L15" i="7"/>
  <c r="F15" i="7"/>
  <c r="M16" i="7"/>
  <c r="G16" i="7" s="1"/>
  <c r="M32" i="7"/>
  <c r="G32" i="7" s="1"/>
  <c r="L22" i="7"/>
  <c r="F22" i="7"/>
  <c r="L27" i="7"/>
  <c r="F27" i="7"/>
  <c r="L37" i="7"/>
  <c r="F37" i="7" s="1"/>
  <c r="M13" i="7"/>
  <c r="G13" i="7" s="1"/>
  <c r="M25" i="7"/>
  <c r="G25" i="7" s="1"/>
  <c r="M42" i="7"/>
  <c r="G42" i="7"/>
  <c r="M21" i="7"/>
  <c r="G21" i="7" s="1"/>
  <c r="L20" i="7"/>
  <c r="F20" i="7" s="1"/>
  <c r="L41" i="7"/>
  <c r="F41" i="7"/>
  <c r="M23" i="7"/>
  <c r="G23" i="7"/>
  <c r="L13" i="7"/>
  <c r="F13" i="7" s="1"/>
  <c r="M35" i="7"/>
  <c r="G35" i="7" s="1"/>
  <c r="L43" i="7"/>
  <c r="F43" i="7"/>
  <c r="L40" i="7"/>
  <c r="F40" i="7" s="1"/>
  <c r="H51" i="7"/>
  <c r="L32" i="7"/>
  <c r="F32" i="7" s="1"/>
  <c r="L21" i="7"/>
  <c r="F21" i="7" s="1"/>
  <c r="L9" i="7"/>
  <c r="F9" i="7" s="1"/>
  <c r="L29" i="7"/>
  <c r="F29" i="7"/>
  <c r="L28" i="7"/>
  <c r="F28" i="7" s="1"/>
  <c r="M9" i="7"/>
  <c r="G9" i="7" s="1"/>
  <c r="M43" i="7"/>
  <c r="G43" i="7" s="1"/>
  <c r="M40" i="7"/>
  <c r="G40" i="7" s="1"/>
  <c r="L24" i="7"/>
  <c r="F24" i="7"/>
  <c r="L18" i="7"/>
  <c r="F18" i="7"/>
  <c r="L19" i="7"/>
  <c r="F19" i="7"/>
  <c r="M18" i="7"/>
  <c r="G18" i="7" s="1"/>
  <c r="M15" i="7"/>
  <c r="G15" i="7"/>
  <c r="M38" i="7"/>
  <c r="G38" i="7" s="1"/>
  <c r="L31" i="7"/>
  <c r="F31" i="7" s="1"/>
  <c r="M10" i="7"/>
  <c r="G10" i="7"/>
  <c r="M24" i="7"/>
  <c r="G24" i="7"/>
  <c r="M37" i="7"/>
  <c r="G37" i="7" s="1"/>
  <c r="I51" i="7"/>
  <c r="L14" i="7"/>
  <c r="F14" i="7"/>
  <c r="L35" i="7"/>
  <c r="F35" i="7" s="1"/>
  <c r="L16" i="7"/>
  <c r="F16" i="7" s="1"/>
  <c r="L42" i="7"/>
  <c r="F42" i="7" s="1"/>
  <c r="M33" i="7"/>
  <c r="G33" i="7" s="1"/>
  <c r="M12" i="7"/>
  <c r="G12" i="7"/>
  <c r="L23" i="7"/>
  <c r="F23" i="7"/>
  <c r="M22" i="7"/>
  <c r="G22" i="7" s="1"/>
  <c r="M26" i="7"/>
  <c r="G26" i="7" s="1"/>
  <c r="L12" i="7"/>
  <c r="F12" i="7" s="1"/>
  <c r="M34" i="7"/>
  <c r="G34" i="7" s="1"/>
  <c r="M31" i="7"/>
  <c r="G31" i="7" s="1"/>
  <c r="L8" i="7"/>
  <c r="F8" i="7" s="1"/>
  <c r="M8" i="7"/>
  <c r="G8" i="7"/>
  <c r="L51" i="7" l="1"/>
  <c r="M51" i="7"/>
  <c r="G51" i="7"/>
  <c r="F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<sst xmlns="http://schemas.openxmlformats.org/spreadsheetml/2006/main" count="1010" uniqueCount="567">
  <si>
    <t>용 역 청 구 서</t>
    <phoneticPr fontId="5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</si>
  <si>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</si>
  <si>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</si>
  <si>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</si>
  <si>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</si>
  <si>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</si>
  <si>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</si>
  <si>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</si>
  <si>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</si>
  <si>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</si>
  <si>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</si>
  <si>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</si>
  <si>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</si>
  <si>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</si>
  <si>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</si>
  <si>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</si>
  <si>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</si>
  <si>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</si>
  <si>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</si>
  <si>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</si>
  <si>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</si>
  <si>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</si>
  <si>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</si>
  <si>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</si>
  <si>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</si>
  <si>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</si>
  <si>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</si>
  <si>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</si>
  <si>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</si>
  <si>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</si>
  <si>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</si>
  <si>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</si>
  <si>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</si>
  <si>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</si>
  <si>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</si>
  <si>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</si>
  <si>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</si>
  <si>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</si>
  <si>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</si>
  <si>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</si>
  <si>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</si>
  <si>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</si>
  <si>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</si>
  <si>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</si>
  <si>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</si>
  <si>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</si>
  <si>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</si>
  <si>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</si>
  <si>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</si>
  <si>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</si>
  <si>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</si>
  <si>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</si>
  <si>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</si>
  <si>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</si>
  <si>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</si>
  <si>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</si>
  <si>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</si>
  <si>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</si>
  <si>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</si>
  <si>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</si>
  <si>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</si>
  <si>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</si>
  <si>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</si>
  <si>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</si>
  <si>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</si>
  <si>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</si>
  <si>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</si>
  <si>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</si>
  <si>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</si>
  <si>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</si>
  <si>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</si>
  <si>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</si>
  <si>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</si>
  <si>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</si>
  <si>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</si>
  <si>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</si>
  <si>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</si>
  <si>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</si>
  <si>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</si>
  <si>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</si>
  <si>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</si>
  <si>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</si>
  <si>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</si>
  <si>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</si>
  <si>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</si>
  <si>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</si>
  <si>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</si>
  <si>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</si>
  <si>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</si>
  <si>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</si>
  <si>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</si>
  <si>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</si>
  <si>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</si>
  <si>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</si>
  <si>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</si>
  <si>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</si>
  <si>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</si>
  <si>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</si>
  <si>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</si>
  <si>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</si>
  <si>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</si>
  <si>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</si>
  <si>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</si>
  <si>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</si>
  <si>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</si>
  <si>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</si>
  <si>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</si>
  <si>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</si>
  <si>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</si>
  <si>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</si>
  <si>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</si>
  <si>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</si>
  <si>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</si>
  <si>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</si>
  <si>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</si>
  <si>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</si>
  <si>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</si>
  <si>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</si>
  <si>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</si>
  <si>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</si>
  <si>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</si>
  <si>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</si>
  <si>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</si>
  <si>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</si>
  <si>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</si>
  <si>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</si>
  <si>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</si>
  <si>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</si>
  <si>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</si>
  <si>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</si>
  <si>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</si>
  <si>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</si>
  <si>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</si>
  <si>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</si>
  <si>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</si>
  <si>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</si>
  <si>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</si>
  <si>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</si>
  <si>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</si>
  <si>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</si>
  <si>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</si>
  <si>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</si>
  <si>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</si>
  <si>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</si>
  <si>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</si>
  <si>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</si>
  <si>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</si>
  <si>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</si>
  <si>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</si>
  <si>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</si>
  <si>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</si>
  <si>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</si>
  <si>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</si>
  <si>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</si>
  <si>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</si>
  <si>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</si>
  <si>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</si>
  <si>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</si>
  <si>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</si>
  <si>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</si>
  <si>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</si>
  <si>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</si>
  <si>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</si>
  <si>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</si>
  <si>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</si>
  <si>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</si>
  <si>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</si>
  <si>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</si>
  <si>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</si>
  <si>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</si>
  <si>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</si>
  <si>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</si>
  <si>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</si>
  <si>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</si>
  <si>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</si>
  <si>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</si>
  <si>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</si>
  <si>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</si>
  <si>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</si>
  <si>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</si>
  <si>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</si>
  <si>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</si>
  <si>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</si>
  <si>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</si>
  <si>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</si>
  <si>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</si>
  <si>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</si>
  <si>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</si>
  <si>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</si>
  <si>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</si>
  <si>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</si>
  <si>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</si>
  <si>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</si>
  <si>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</si>
  <si>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</si>
  <si>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</si>
  <si>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</si>
  <si>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</si>
  <si>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</si>
  <si>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</si>
  <si>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</si>
  <si>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</si>
  <si>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</si>
  <si>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</si>
  <si>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</si>
  <si>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</si>
  <si>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</si>
  <si>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</si>
  <si>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</si>
  <si>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</si>
  <si>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</si>
  <si>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</si>
  <si>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</si>
  <si>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</si>
  <si>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</si>
  <si>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</si>
  <si>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</si>
  <si>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</si>
  <si>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</si>
  <si>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</si>
  <si>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</si>
  <si>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</si>
  <si>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</si>
  <si>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</si>
  <si>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</si>
  <si>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</si>
  <si>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</si>
  <si>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</si>
  <si>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</si>
  <si>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</si>
  <si>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</si>
  <si>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</si>
  <si>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</si>
  <si>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</si>
  <si>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</si>
  <si>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</si>
  <si>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</si>
  <si>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</si>
  <si>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</si>
  <si>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</si>
  <si>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</si>
  <si>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</si>
  <si>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</si>
  <si>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</si>
  <si>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</si>
  <si>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</si>
  <si>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</si>
  <si>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</si>
  <si>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</si>
  <si>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</si>
  <si>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</si>
  <si>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</si>
  <si>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</si>
  <si>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</si>
  <si>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</si>
  <si>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</si>
  <si>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</si>
  <si>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</si>
  <si>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</si>
  <si>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</si>
  <si>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</si>
  <si>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</si>
  <si>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</si>
  <si>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</si>
  <si>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</si>
  <si>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</si>
  <si>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</si>
  <si>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</si>
  <si>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</si>
  <si>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</si>
  <si>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</si>
  <si>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</si>
  <si>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</si>
  <si>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</si>
  <si>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</si>
  <si>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</si>
  <si>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</si>
  <si>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</si>
  <si>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</si>
  <si>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</si>
  <si>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</si>
  <si>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</si>
  <si>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</si>
  <si>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</si>
  <si>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</si>
  <si>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</si>
  <si>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</si>
  <si>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</si>
  <si>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</si>
  <si>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</si>
  <si>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</si>
  <si>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</si>
  <si>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</si>
  <si>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</si>
  <si>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</si>
  <si>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</si>
  <si>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</si>
  <si>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</si>
  <si>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</si>
  <si>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</si>
  <si>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</si>
  <si>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</si>
  <si>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</si>
  <si>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</si>
  <si>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</si>
  <si>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</si>
  <si>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</si>
  <si>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</si>
  <si>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</si>
  <si>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</si>
  <si>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</si>
  <si>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</si>
  <si>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</si>
  <si>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</si>
  <si>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</si>
  <si>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</si>
  <si>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</si>
  <si>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</si>
  <si>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</si>
  <si>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</si>
  <si>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기업</t>
  </si>
  <si>
    <t>보통인부</t>
  </si>
  <si>
    <t>국민</t>
  </si>
  <si>
    <t>농협</t>
  </si>
  <si>
    <t>신한</t>
  </si>
  <si>
    <t>배관공</t>
  </si>
  <si>
    <t>2026년 08월</t>
    <phoneticPr fontId="5" type="noConversion"/>
  </si>
  <si>
    <t>2026. 08. 01 ~ 2026. 08. 31</t>
    <phoneticPr fontId="3" type="noConversion"/>
  </si>
  <si>
    <t>작 성 일 :   2026  년  08 월   31 일</t>
    <phoneticPr fontId="9" type="noConversion"/>
  </si>
  <si>
    <t>2026년 (    08   )월 일용 노무비명세서</t>
    <phoneticPr fontId="3" type="noConversion"/>
  </si>
  <si>
    <t>2026년 (08)월 물량 내역서</t>
    <phoneticPr fontId="3" type="noConversion"/>
  </si>
  <si>
    <t>S26-003</t>
    <phoneticPr fontId="5" type="noConversion"/>
  </si>
  <si>
    <t>P5 Ph1 FAB1(SUP) 가설공사</t>
    <phoneticPr fontId="9" type="noConversion"/>
  </si>
  <si>
    <t>P5 Ph1 FAB1(SUP) 가설공사</t>
    <phoneticPr fontId="3" type="noConversion"/>
  </si>
  <si>
    <t>전호석</t>
    <phoneticPr fontId="3" type="noConversion"/>
  </si>
  <si>
    <t>김영광</t>
  </si>
  <si>
    <t>920704-1860718</t>
  </si>
  <si>
    <t>010-7704-1777</t>
  </si>
  <si>
    <t>580-022392-01-010</t>
  </si>
  <si>
    <t>김승진</t>
  </si>
  <si>
    <t>751018-1332839</t>
  </si>
  <si>
    <t>010-4742-4181</t>
  </si>
  <si>
    <t>110-338-273904</t>
  </si>
  <si>
    <t>김부권</t>
  </si>
  <si>
    <t>960206-1683519</t>
  </si>
  <si>
    <t>010-4853-5587</t>
  </si>
  <si>
    <t>대구</t>
  </si>
  <si>
    <t>508-11-131132-1</t>
  </si>
  <si>
    <t>강희재</t>
  </si>
  <si>
    <t>940122-1491011</t>
  </si>
  <si>
    <t>010-9127-3784</t>
  </si>
  <si>
    <t>110-404-502876</t>
  </si>
  <si>
    <t>이광민</t>
  </si>
  <si>
    <t>991122-1069811</t>
  </si>
  <si>
    <t>010-3902-9550</t>
  </si>
  <si>
    <t>카카오</t>
  </si>
  <si>
    <t>3333-04-5860686</t>
  </si>
  <si>
    <t>진종언</t>
  </si>
  <si>
    <t>700609-1800219</t>
  </si>
  <si>
    <t>010-5115-1610</t>
  </si>
  <si>
    <t>352-0318-2179-93</t>
  </si>
  <si>
    <t>민충기</t>
  </si>
  <si>
    <t>890114-1064910</t>
  </si>
  <si>
    <t>010-9418-9998</t>
  </si>
  <si>
    <t>074-066516-01-021</t>
  </si>
  <si>
    <t>송성준</t>
  </si>
  <si>
    <t>960508-1580519</t>
  </si>
  <si>
    <t>010-3928-7599</t>
  </si>
  <si>
    <t>351-0768-8014-63</t>
  </si>
  <si>
    <t>김현수</t>
  </si>
  <si>
    <t>811221-1025329</t>
  </si>
  <si>
    <t>용접공</t>
  </si>
  <si>
    <t>010-2849-5650</t>
  </si>
  <si>
    <t>599701-04-107093</t>
  </si>
  <si>
    <t>김종윤</t>
  </si>
  <si>
    <t>891011-1056318</t>
  </si>
  <si>
    <t>010-4812-9310</t>
  </si>
  <si>
    <t>김선환</t>
  </si>
  <si>
    <t>850509-1952012</t>
  </si>
  <si>
    <t>010-7920-3744</t>
  </si>
  <si>
    <t>하나</t>
  </si>
  <si>
    <t>378-890980-95007</t>
  </si>
  <si>
    <t>김세광</t>
  </si>
  <si>
    <t>810301-1469515</t>
  </si>
  <si>
    <t>010-5690-6691</t>
  </si>
  <si>
    <t>우체국</t>
  </si>
  <si>
    <t>104968-02-139365</t>
  </si>
  <si>
    <t>조현주</t>
  </si>
  <si>
    <t>940517-1533111</t>
  </si>
  <si>
    <t>010-6370-1771</t>
  </si>
  <si>
    <t>110-403-874603</t>
  </si>
  <si>
    <t>최영훈</t>
  </si>
  <si>
    <t>070614-3226811</t>
  </si>
  <si>
    <t>010-8408-1589</t>
  </si>
  <si>
    <t>468601-04-335101</t>
  </si>
  <si>
    <t>조윤기</t>
  </si>
  <si>
    <t>921001-1082412</t>
  </si>
  <si>
    <t>010-8056-3869</t>
  </si>
  <si>
    <t>359301-04-066686</t>
  </si>
  <si>
    <t>이순자</t>
  </si>
  <si>
    <t>710228-2800527</t>
  </si>
  <si>
    <t>010-7511-4996</t>
  </si>
  <si>
    <t>737070-56-016101</t>
  </si>
  <si>
    <t>권태윤</t>
  </si>
  <si>
    <t>750615-1057714</t>
  </si>
  <si>
    <t>010-3345-6886</t>
  </si>
  <si>
    <t>610901-01-352650</t>
  </si>
  <si>
    <t>정대성</t>
  </si>
  <si>
    <t>741210-1789827</t>
  </si>
  <si>
    <t>010-3309-8868</t>
  </si>
  <si>
    <t>248-12-155444</t>
  </si>
  <si>
    <t>최일영</t>
  </si>
  <si>
    <t>700801-1462612</t>
  </si>
  <si>
    <t>010-3411-1284</t>
  </si>
  <si>
    <t>356-0730-2584-83</t>
  </si>
  <si>
    <t>민성기</t>
  </si>
  <si>
    <t>760804-1093216</t>
  </si>
  <si>
    <t>010-2881-1976</t>
  </si>
  <si>
    <t>우리</t>
  </si>
  <si>
    <t>1002-849-848827</t>
  </si>
  <si>
    <t>최진규</t>
  </si>
  <si>
    <t>700819-1041113</t>
  </si>
  <si>
    <t>010-4691-5826</t>
  </si>
  <si>
    <t>326-000411-02-011</t>
  </si>
  <si>
    <t>공무보조</t>
  </si>
  <si>
    <t>안전보조</t>
  </si>
  <si>
    <t>공사보조</t>
  </si>
  <si>
    <t>임승희</t>
  </si>
  <si>
    <t>881107-1235222</t>
  </si>
  <si>
    <t>010-4393-9938</t>
  </si>
  <si>
    <t>110-353-055995</t>
  </si>
  <si>
    <t>302-0494-4366-51</t>
  </si>
  <si>
    <t>페인트 붓</t>
  </si>
  <si>
    <t>남사종합툴링</t>
  </si>
  <si>
    <t>라인테이프</t>
  </si>
  <si>
    <t>48mm*30m</t>
  </si>
  <si>
    <t>네이버파이낸셜㈜</t>
  </si>
  <si>
    <t>청보호테이프</t>
  </si>
  <si>
    <t>250mm*8롤</t>
  </si>
  <si>
    <t>500mm*4롤</t>
  </si>
  <si>
    <t>안전모 고정 클립</t>
  </si>
  <si>
    <t>면보루</t>
  </si>
  <si>
    <t>5kg</t>
  </si>
  <si>
    <t>공구함</t>
  </si>
  <si>
    <t>[5호 [정광]]</t>
  </si>
  <si>
    <t>미래공구</t>
  </si>
  <si>
    <t>장갑</t>
  </si>
  <si>
    <t>[NBR폼코팅,L [성진]]</t>
  </si>
  <si>
    <t>케이블타이</t>
  </si>
  <si>
    <t>[300mm(1봉=500개),백색 [HNS]]</t>
  </si>
  <si>
    <t>[350A,플렉시블,CT-35F,CTX [크레토스]]</t>
  </si>
  <si>
    <t>알곤콜렛바디</t>
  </si>
  <si>
    <t>[3.2Q,350A,변형,CTX [크레토스]]</t>
  </si>
  <si>
    <t>알곤콜렛척</t>
  </si>
  <si>
    <t>알곤세라믹</t>
  </si>
  <si>
    <t>[350A-10mm(#6)YJ-35,변형,CTX [크레토스]]</t>
  </si>
  <si>
    <t>[350A-12.5mm(#8)YJ-35,변형,CTX [크레토스]]</t>
  </si>
  <si>
    <t>[350A-15mm(#10B)YJ-35,변형,CTX [크레토스]]</t>
  </si>
  <si>
    <t>알곤스위치</t>
  </si>
  <si>
    <t>[스위치(뒷선300mm),CTX [크레토스]]</t>
  </si>
  <si>
    <t>흑유리</t>
  </si>
  <si>
    <t>[#10,CTX [크레토스]]</t>
  </si>
  <si>
    <t>[#12,CTX [크레토스]]</t>
  </si>
  <si>
    <t>용접유리</t>
  </si>
  <si>
    <t>[2T,투명,CTX [크레토스]]</t>
  </si>
  <si>
    <t>알곤게이지</t>
  </si>
  <si>
    <t>[KX-3 [코리아나]]</t>
  </si>
  <si>
    <t>칫솔브러쉬</t>
  </si>
  <si>
    <t>[브러쉬,스텐 [스마토]]</t>
  </si>
  <si>
    <t>가위</t>
  </si>
  <si>
    <t>[SB-P300,CTX [세신]]</t>
  </si>
  <si>
    <t>포장용비닐</t>
  </si>
  <si>
    <t>[400*0.045T*440m [국산]]</t>
  </si>
  <si>
    <t>[600*0.045T*440m [국산]]</t>
  </si>
  <si>
    <t>물파스</t>
  </si>
  <si>
    <t>[90ML [현대약품]]</t>
  </si>
  <si>
    <t>열쇠</t>
  </si>
  <si>
    <t>[400A(=400M-A),고정식,CTX [금강산업]]</t>
  </si>
  <si>
    <t>알곤캡</t>
  </si>
  <si>
    <t>[단캡,CTX [크레토스]]</t>
  </si>
  <si>
    <t>[중캡,CTX [크레토스]]</t>
  </si>
  <si>
    <t>[장캡,CTX [크레토스]]</t>
  </si>
  <si>
    <t>밴드쏘날</t>
  </si>
  <si>
    <t>[1640*13*0.65-14T [WESPA]]</t>
  </si>
  <si>
    <t>투명테이프</t>
  </si>
  <si>
    <t>[50mm*40m,오공 [HNS]]</t>
  </si>
  <si>
    <t>마대</t>
  </si>
  <si>
    <t>[수입,정80kg,80L,대,67*98 [SWS]]</t>
  </si>
  <si>
    <t>먼지커버</t>
  </si>
  <si>
    <t>[자라바형 [대보산업]]</t>
  </si>
  <si>
    <t>파이프안전커버</t>
  </si>
  <si>
    <t>[10T*50mm*2m,난연,황/흑,타이거보양재 [SW]]</t>
  </si>
  <si>
    <t>알곤용접봉</t>
  </si>
  <si>
    <t>[TGC308L.2.4mm,5kg [조선선재]]</t>
  </si>
  <si>
    <t>[TGC308L.3.2mm,5kg [조선선재]]</t>
  </si>
  <si>
    <t>절연테이프</t>
  </si>
  <si>
    <t>[19*10m,검정,CTX [금성]]</t>
  </si>
  <si>
    <t xml:space="preserve">가위 </t>
  </si>
  <si>
    <t xml:space="preserve">실리콘오링 </t>
  </si>
  <si>
    <t>[26Q*9R,적색 [수입]]</t>
  </si>
  <si>
    <t xml:space="preserve">번호열쇠 </t>
  </si>
  <si>
    <t>[XD-40,4열 [자커]]</t>
  </si>
  <si>
    <t xml:space="preserve">장갑 </t>
  </si>
  <si>
    <t xml:space="preserve">파이프안전커버 </t>
  </si>
  <si>
    <t xml:space="preserve">고리자석 </t>
  </si>
  <si>
    <t>[50mm [수입]]</t>
  </si>
  <si>
    <t xml:space="preserve">에폭시접착제 </t>
  </si>
  <si>
    <t>[매직스틱,다목적용,114G,CTX [엑시아]]</t>
  </si>
  <si>
    <t xml:space="preserve">육각피스 </t>
  </si>
  <si>
    <t>[#14*25,300개,판넬피스 [수입]]</t>
  </si>
  <si>
    <t xml:space="preserve">마대 </t>
  </si>
  <si>
    <t>[PP,신재 [국산/HNS]]</t>
  </si>
  <si>
    <t xml:space="preserve">케이블타이 </t>
  </si>
  <si>
    <t>[300mm(1봉=500개),백색 [SWS]]</t>
  </si>
  <si>
    <t xml:space="preserve">마그네틱드릴부품 </t>
  </si>
  <si>
    <t>[세이프티벨트,CTX [UDT]]</t>
  </si>
  <si>
    <t xml:space="preserve">빗자루 </t>
  </si>
  <si>
    <t>[갈대비 [수입/HNS]]</t>
  </si>
  <si>
    <t>[갈대비,나무손잡이,롱,1.5M [수입/HNS]]</t>
  </si>
  <si>
    <t>소켓</t>
  </si>
  <si>
    <t>20A-15A</t>
  </si>
  <si>
    <t>우리배관</t>
  </si>
  <si>
    <t>크린룸가방</t>
  </si>
  <si>
    <t>쿠팡㈜</t>
  </si>
  <si>
    <t>손전등</t>
  </si>
  <si>
    <t>팔토시</t>
  </si>
  <si>
    <t>마스크</t>
  </si>
  <si>
    <t>AAA, AA 건전지</t>
  </si>
  <si>
    <t>백팩</t>
  </si>
  <si>
    <t>알곤콜렛바디</t>
    <phoneticPr fontId="5" type="noConversion"/>
  </si>
  <si>
    <t>알곤토치헤드</t>
    <phoneticPr fontId="5" type="noConversion"/>
  </si>
  <si>
    <t>소모성자재</t>
    <phoneticPr fontId="5" type="noConversion"/>
  </si>
  <si>
    <t>비품</t>
    <phoneticPr fontId="5" type="noConversion"/>
  </si>
  <si>
    <t>안전용품</t>
    <phoneticPr fontId="5" type="noConversion"/>
  </si>
  <si>
    <t>KC대납 식대</t>
  </si>
  <si>
    <t>기술인및관리자 (현장 식당)</t>
  </si>
  <si>
    <t>영미손김밥</t>
  </si>
  <si>
    <t>옛날장터</t>
  </si>
  <si>
    <t>은주네한식뷔페</t>
  </si>
  <si>
    <t>식대</t>
  </si>
  <si>
    <t>법인카드</t>
  </si>
  <si>
    <t>85나 0825 포터2</t>
    <phoneticPr fontId="5" type="noConversion"/>
  </si>
  <si>
    <t>티에이치(T.H)모터스</t>
  </si>
  <si>
    <t>남사농업협동조합</t>
  </si>
  <si>
    <t>(주)소모 칠곡주유소</t>
  </si>
  <si>
    <t>볼펜</t>
    <phoneticPr fontId="5" type="noConversion"/>
  </si>
  <si>
    <t>화이트보드 지우개</t>
    <phoneticPr fontId="5" type="noConversion"/>
  </si>
  <si>
    <t>네임펜</t>
    <phoneticPr fontId="5" type="noConversion"/>
  </si>
  <si>
    <t>봉투화일</t>
    <phoneticPr fontId="5" type="noConversion"/>
  </si>
  <si>
    <t>보드마카</t>
    <phoneticPr fontId="5" type="noConversion"/>
  </si>
  <si>
    <t>보드마카 + 지우개</t>
    <phoneticPr fontId="5" type="noConversion"/>
  </si>
  <si>
    <t>파일케이스</t>
    <phoneticPr fontId="5" type="noConversion"/>
  </si>
  <si>
    <t>종이컵</t>
    <phoneticPr fontId="5" type="noConversion"/>
  </si>
  <si>
    <t>페인트마카</t>
    <phoneticPr fontId="5" type="noConversion"/>
  </si>
  <si>
    <t>페인트 마카</t>
    <phoneticPr fontId="5" type="noConversion"/>
  </si>
  <si>
    <t>A4 클립보드</t>
    <phoneticPr fontId="5" type="noConversion"/>
  </si>
  <si>
    <t>85나 0825 차량종합검사</t>
    <phoneticPr fontId="5" type="noConversion"/>
  </si>
  <si>
    <t>법인카드</t>
    <phoneticPr fontId="5" type="noConversion"/>
  </si>
  <si>
    <t>소모품비</t>
    <phoneticPr fontId="5" type="noConversion"/>
  </si>
  <si>
    <t>KC대납 임대료</t>
  </si>
  <si>
    <t xml:space="preserve">숙소임대료(8월분) </t>
    <phoneticPr fontId="5" type="noConversion"/>
  </si>
  <si>
    <t>함박산4길 20</t>
    <phoneticPr fontId="5" type="noConversion"/>
  </si>
  <si>
    <t>202호</t>
    <phoneticPr fontId="5" type="noConversion"/>
  </si>
  <si>
    <t>함박산3길 5</t>
    <phoneticPr fontId="5" type="noConversion"/>
  </si>
  <si>
    <t>201호</t>
    <phoneticPr fontId="5" type="noConversion"/>
  </si>
  <si>
    <t>함박산1길 39</t>
    <phoneticPr fontId="5" type="noConversion"/>
  </si>
  <si>
    <t>KC 대납_7/29~7/31 일할계산 포함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</si>
</sst>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</cellStyleXfs>
  <cellXfs count="348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9" fontId="58" fillId="0" borderId="9" xfId="7" applyFont="1" applyFill="1" applyBorder="1" applyAlignment="1">
      <alignment vertical="center" shrinkToFit="1"/>
    </xf>
    <xf numFmtId="0" fontId="62" fillId="0" borderId="17" xfId="2" applyFont="1" applyBorder="1" applyAlignment="1">
      <alignment horizontal="left" vertical="center"/>
    </xf>
    <xf numFmtId="0" fontId="62" fillId="0" borderId="9" xfId="2" applyFont="1" applyBorder="1" applyAlignment="1">
      <alignment horizontal="center" vertical="center" shrinkToFit="1"/>
    </xf>
    <xf numFmtId="41" fontId="62" fillId="0" borderId="9" xfId="4" applyFont="1" applyBorder="1" applyAlignment="1">
      <alignment horizontal="center" vertical="center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89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31" xfId="2" applyFont="1" applyBorder="1" applyAlignment="1">
      <alignment horizontal="center" vertical="center"/>
    </xf>
    <xf numFmtId="0" fontId="60" fillId="0" borderId="37" xfId="2" applyFont="1" applyBorder="1" applyAlignment="1">
      <alignment horizontal="center" vertical="center" shrinkToFit="1"/>
    </xf>
    <xf numFmtId="0" fontId="60" fillId="0" borderId="31" xfId="2" applyFont="1" applyBorder="1" applyAlignment="1">
      <alignment horizontal="center" vertical="center"/>
    </xf>
    <xf numFmtId="41" fontId="60" fillId="0" borderId="31" xfId="2" applyNumberFormat="1" applyFont="1" applyBorder="1" applyAlignment="1">
      <alignment horizontal="center" vertical="center"/>
    </xf>
    <xf numFmtId="41" fontId="60" fillId="0" borderId="11" xfId="2" applyNumberFormat="1" applyFont="1" applyBorder="1">
      <alignment vertical="center"/>
    </xf>
    <xf numFmtId="41" fontId="60" fillId="0" borderId="11" xfId="2" applyNumberFormat="1" applyFont="1" applyBorder="1" applyAlignment="1">
      <alignment vertical="center" shrinkToFit="1"/>
    </xf>
    <xf numFmtId="0" fontId="60" fillId="0" borderId="11" xfId="2" applyFont="1" applyBorder="1">
      <alignment vertical="center"/>
    </xf>
    <xf numFmtId="0" fontId="59" fillId="0" borderId="10" xfId="2" applyFont="1" applyBorder="1" applyAlignment="1">
      <alignment horizontal="center" vertical="center"/>
    </xf>
    <xf numFmtId="0" fontId="60" fillId="0" borderId="34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/>
    </xf>
    <xf numFmtId="41" fontId="60" fillId="0" borderId="10" xfId="2" applyNumberFormat="1" applyFont="1" applyBorder="1" applyAlignment="1">
      <alignment horizontal="center" vertical="center"/>
    </xf>
    <xf numFmtId="41" fontId="60" fillId="0" borderId="9" xfId="2" applyNumberFormat="1" applyFont="1" applyBorder="1">
      <alignment vertical="center"/>
    </xf>
    <xf numFmtId="41" fontId="60" fillId="0" borderId="9" xfId="2" applyNumberFormat="1" applyFont="1" applyBorder="1" applyAlignment="1">
      <alignment vertical="center" shrinkToFit="1"/>
    </xf>
    <xf numFmtId="0" fontId="60" fillId="0" borderId="9" xfId="2" applyFont="1" applyBorder="1">
      <alignment vertical="center"/>
    </xf>
    <xf numFmtId="0" fontId="59" fillId="0" borderId="9" xfId="2" applyFont="1" applyBorder="1" applyAlignment="1">
      <alignment horizontal="center" vertical="center"/>
    </xf>
    <xf numFmtId="0" fontId="60" fillId="0" borderId="12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/>
    </xf>
    <xf numFmtId="41" fontId="60" fillId="0" borderId="9" xfId="2" applyNumberFormat="1" applyFont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0" fontId="45" fillId="0" borderId="9" xfId="3" applyFont="1" applyBorder="1" applyAlignment="1">
      <alignment horizontal="center"/>
    </xf>
    <xf numFmtId="182" fontId="14" fillId="5" borderId="45" xfId="0" applyNumberFormat="1" applyFont="1" applyFill="1" applyBorder="1" applyAlignment="1">
      <alignment horizontal="center" vertical="center"/>
    </xf>
    <xf numFmtId="182" fontId="14" fillId="5" borderId="46" xfId="0" applyNumberFormat="1" applyFont="1" applyFill="1" applyBorder="1" applyAlignment="1">
      <alignment horizontal="center" vertical="center"/>
    </xf>
    <xf numFmtId="21" fontId="45" fillId="12" borderId="9" xfId="0" applyNumberFormat="1" applyFont="1" applyFill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41" fontId="45" fillId="12" borderId="9" xfId="14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2256274" y="18264387"/>
          <a:ext cx="3110833" cy="1405218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17" cy="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상 규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tabSelected="1" view="pageBreakPreview" zoomScale="85" zoomScaleNormal="100" zoomScaleSheetLayoutView="85" workbookViewId="0">
      <selection activeCell="B17" sqref="B17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45" t="s">
        <v>0</v>
      </c>
      <c r="C4" s="245"/>
      <c r="D4" s="245"/>
      <c r="E4" s="245"/>
      <c r="F4" s="7"/>
    </row>
    <row r="5" spans="1:6" ht="21.95" customHeight="1">
      <c r="A5" s="8"/>
      <c r="B5" s="245"/>
      <c r="C5" s="245"/>
      <c r="D5" s="245"/>
      <c r="E5" s="245"/>
      <c r="F5" s="9"/>
    </row>
    <row r="6" spans="1:6" ht="21.95" customHeight="1">
      <c r="A6" s="10"/>
      <c r="B6" s="245"/>
      <c r="C6" s="245"/>
      <c r="D6" s="245"/>
      <c r="E6" s="245"/>
      <c r="F6" s="11"/>
    </row>
    <row r="7" spans="1:6" ht="36.950000000000003" customHeight="1">
      <c r="A7" s="12"/>
      <c r="B7" s="246" t="s">
        <v>332</v>
      </c>
      <c r="C7" s="246"/>
      <c r="D7" s="246"/>
      <c r="E7" s="246"/>
      <c r="F7" s="11"/>
    </row>
    <row r="8" spans="1:6" ht="29.1" customHeight="1">
      <c r="A8" s="8"/>
      <c r="B8" s="13"/>
      <c r="C8" s="247" t="s">
        <v>331</v>
      </c>
      <c r="D8" s="248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49" t="s">
        <v>326</v>
      </c>
      <c r="D14" s="249"/>
      <c r="E14" s="13"/>
      <c r="F14" s="9"/>
    </row>
    <row r="15" spans="1:6" ht="21.95" customHeight="1">
      <c r="A15" s="8"/>
      <c r="B15" s="13"/>
      <c r="C15" s="250" t="s">
        <v>300</v>
      </c>
      <c r="D15" s="250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44"/>
      <c r="D19" s="244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B27" sqref="B27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51" t="s">
        <v>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2</v>
      </c>
      <c r="C3" s="21" t="s">
        <v>3</v>
      </c>
      <c r="D3" s="22" t="str">
        <f>'용역청구서 표지'!$B$7</f>
        <v>P5 Ph1 FAB1(SUP) 가설공사</v>
      </c>
      <c r="E3" s="23" t="str">
        <f>'용역청구서 표지'!$C$8</f>
        <v>S26-003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6</v>
      </c>
      <c r="C5" s="21" t="s">
        <v>3</v>
      </c>
      <c r="D5" s="25">
        <f>ROUNDUP(E5,0)</f>
        <v>0</v>
      </c>
      <c r="E5" s="22">
        <f>집계장!I22</f>
        <v>0</v>
      </c>
      <c r="F5" s="26" t="s">
        <v>7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8</v>
      </c>
      <c r="C6" s="21" t="s">
        <v>3</v>
      </c>
      <c r="D6" s="25">
        <f t="shared" ref="D6:D14" si="0">ROUNDUP(E6,0)</f>
        <v>8300000</v>
      </c>
      <c r="E6" s="22">
        <f>E7+E13</f>
        <v>8300000</v>
      </c>
      <c r="F6" s="26" t="s">
        <v>9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10</v>
      </c>
      <c r="C7" s="21" t="s">
        <v>11</v>
      </c>
      <c r="D7" s="25">
        <f t="shared" si="0"/>
        <v>0</v>
      </c>
      <c r="E7" s="22">
        <f>집계장!G22</f>
        <v>0</v>
      </c>
      <c r="F7" s="26" t="s">
        <v>12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13</v>
      </c>
      <c r="C8" s="21" t="s">
        <v>3</v>
      </c>
      <c r="D8" s="25">
        <f t="shared" si="0"/>
        <v>8329580</v>
      </c>
      <c r="E8" s="22">
        <f>집계장!F18</f>
        <v>8329579.5483870953</v>
      </c>
      <c r="F8" s="26" t="s">
        <v>14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15</v>
      </c>
      <c r="C9" s="21" t="s">
        <v>16</v>
      </c>
      <c r="D9" s="25">
        <f t="shared" si="0"/>
        <v>0</v>
      </c>
      <c r="E9" s="22">
        <f>집계장!K20</f>
        <v>0</v>
      </c>
      <c r="F9" s="26" t="s">
        <v>9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집계장!G20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집계장!F20</f>
        <v>0</v>
      </c>
      <c r="F11" s="26" t="s">
        <v>14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집계장!L20</f>
        <v>0</v>
      </c>
      <c r="F12" s="26" t="s">
        <v>7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21</v>
      </c>
      <c r="C13" s="21" t="s">
        <v>22</v>
      </c>
      <c r="D13" s="31">
        <f>ROUNDUP(E13,0)</f>
        <v>8300000</v>
      </c>
      <c r="E13" s="32">
        <f>집계장!F22</f>
        <v>8300000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23</v>
      </c>
      <c r="C14" s="21" t="s">
        <v>22</v>
      </c>
      <c r="D14" s="25">
        <f t="shared" si="0"/>
        <v>0</v>
      </c>
      <c r="E14" s="22">
        <f>집계장!I16</f>
        <v>0</v>
      </c>
      <c r="F14" s="26" t="s">
        <v>7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24</v>
      </c>
      <c r="C15" s="21" t="s">
        <v>25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26</v>
      </c>
      <c r="C16" s="21" t="s">
        <v>27</v>
      </c>
      <c r="D16" s="33" t="s">
        <v>327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52" t="s">
        <v>28</v>
      </c>
      <c r="C18" s="252"/>
      <c r="D18" s="252"/>
      <c r="E18" s="252"/>
      <c r="F18" s="252"/>
      <c r="G18" s="252"/>
      <c r="H18" s="252"/>
      <c r="I18" s="252"/>
      <c r="J18" s="253"/>
      <c r="K18" s="21"/>
    </row>
    <row r="19" spans="1:11" ht="21.95" customHeight="1">
      <c r="A19" s="20"/>
      <c r="B19" s="21" t="s">
        <v>29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30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328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31</v>
      </c>
      <c r="G23" s="254" t="s">
        <v>301</v>
      </c>
      <c r="H23" s="254"/>
      <c r="I23" s="254"/>
      <c r="J23" s="254"/>
      <c r="K23" s="254"/>
    </row>
    <row r="24" spans="1:11" ht="21.95" customHeight="1">
      <c r="A24" s="35"/>
      <c r="B24" s="21" t="s">
        <v>32</v>
      </c>
      <c r="C24" s="21"/>
      <c r="D24" s="21"/>
      <c r="E24" s="34"/>
      <c r="F24" s="24" t="s">
        <v>33</v>
      </c>
      <c r="G24" s="254" t="s">
        <v>302</v>
      </c>
      <c r="H24" s="254"/>
      <c r="I24" s="254"/>
      <c r="J24" s="254"/>
      <c r="K24" s="254"/>
    </row>
    <row r="25" spans="1:11" ht="21.95" customHeight="1">
      <c r="A25" s="18"/>
      <c r="B25" s="21"/>
      <c r="C25" s="21"/>
      <c r="D25" s="21"/>
      <c r="E25" s="34"/>
      <c r="F25" s="24" t="s">
        <v>34</v>
      </c>
      <c r="G25" s="254" t="s">
        <v>303</v>
      </c>
      <c r="H25" s="254"/>
      <c r="I25" s="23" t="s">
        <v>304</v>
      </c>
      <c r="J25" s="24"/>
      <c r="K25" s="24"/>
    </row>
    <row r="26" spans="1:11" ht="21.95" customHeight="1">
      <c r="A26" s="18"/>
      <c r="B26" s="18"/>
      <c r="C26" s="18"/>
      <c r="D26" s="36" t="s">
        <v>35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55" t="s">
        <v>80</v>
      </c>
      <c r="B1" s="256"/>
      <c r="C1" s="256"/>
      <c r="D1" s="256"/>
      <c r="E1" s="256"/>
      <c r="F1" s="256"/>
      <c r="G1" s="256"/>
    </row>
    <row r="2" spans="1:7" ht="39.950000000000003" customHeight="1" thickBot="1">
      <c r="A2" s="41" t="s">
        <v>81</v>
      </c>
      <c r="G2" s="42" t="s">
        <v>82</v>
      </c>
    </row>
    <row r="3" spans="1:7" ht="27.95" customHeight="1">
      <c r="A3" s="257" t="s">
        <v>83</v>
      </c>
      <c r="B3" s="259" t="s">
        <v>84</v>
      </c>
      <c r="C3" s="259" t="s">
        <v>85</v>
      </c>
      <c r="D3" s="259" t="s">
        <v>86</v>
      </c>
      <c r="E3" s="259" t="s">
        <v>87</v>
      </c>
      <c r="F3" s="259"/>
      <c r="G3" s="261"/>
    </row>
    <row r="4" spans="1:7" ht="27.95" customHeight="1">
      <c r="A4" s="258"/>
      <c r="B4" s="260"/>
      <c r="C4" s="260"/>
      <c r="D4" s="260"/>
      <c r="E4" s="43" t="s">
        <v>88</v>
      </c>
      <c r="F4" s="43" t="s">
        <v>89</v>
      </c>
      <c r="G4" s="44" t="s">
        <v>90</v>
      </c>
    </row>
    <row r="5" spans="1:7" ht="27.95" customHeight="1">
      <c r="A5" s="45" t="s">
        <v>91</v>
      </c>
      <c r="B5" s="46" t="s">
        <v>92</v>
      </c>
      <c r="C5" s="46" t="s">
        <v>93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91</v>
      </c>
      <c r="B6" s="46" t="s">
        <v>94</v>
      </c>
      <c r="C6" s="46" t="s">
        <v>95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96</v>
      </c>
      <c r="B7" s="46" t="s">
        <v>97</v>
      </c>
      <c r="C7" s="46" t="s">
        <v>95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98</v>
      </c>
      <c r="B8" s="46" t="s">
        <v>99</v>
      </c>
      <c r="C8" s="46" t="s">
        <v>100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96</v>
      </c>
      <c r="B9" s="46" t="s">
        <v>101</v>
      </c>
      <c r="C9" s="46" t="s">
        <v>93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102</v>
      </c>
      <c r="B10" s="46" t="s">
        <v>103</v>
      </c>
      <c r="C10" s="46" t="s">
        <v>93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104</v>
      </c>
      <c r="B11" s="46" t="s">
        <v>105</v>
      </c>
      <c r="C11" s="46" t="s">
        <v>106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107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108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1"/>
  <sheetViews>
    <sheetView view="pageBreakPreview" zoomScale="130" zoomScaleNormal="100" zoomScaleSheetLayoutView="130" workbookViewId="0">
      <selection activeCell="C41" sqref="C41"/>
    </sheetView>
  </sheetViews>
  <sheetFormatPr defaultColWidth="9" defaultRowHeight="16.5"/>
  <cols>
    <col min="1" max="1" width="25.625" style="18" customWidth="1"/>
    <col min="2" max="2" width="20.125" style="18" customWidth="1"/>
    <col min="3" max="3" width="7.375" style="18" customWidth="1"/>
    <col min="4" max="4" width="10.625" style="235" customWidth="1"/>
    <col min="5" max="5" width="9.875" style="18" customWidth="1"/>
    <col min="6" max="6" width="17.625" style="18" customWidth="1"/>
    <col min="7" max="7" width="15.625" style="18" customWidth="1"/>
    <col min="8" max="11" width="9" style="18"/>
    <col min="12" max="12" width="15.625" style="18" bestFit="1" customWidth="1"/>
    <col min="13" max="16384" width="9" style="18"/>
  </cols>
  <sheetData>
    <row r="1" spans="1:12" ht="69" customHeight="1">
      <c r="A1" s="262" t="s">
        <v>306</v>
      </c>
      <c r="B1" s="262"/>
      <c r="C1" s="262"/>
      <c r="D1" s="262"/>
      <c r="E1" s="262"/>
      <c r="F1" s="262"/>
      <c r="G1" s="262"/>
    </row>
    <row r="2" spans="1:12" ht="39.75" customHeight="1" thickBot="1">
      <c r="A2" s="183" t="s">
        <v>333</v>
      </c>
      <c r="B2" s="184"/>
      <c r="C2" s="184"/>
      <c r="D2" s="184"/>
      <c r="E2" s="185"/>
      <c r="F2" s="186"/>
      <c r="G2" s="186" t="s">
        <v>307</v>
      </c>
    </row>
    <row r="3" spans="1:12" ht="27.95" customHeight="1">
      <c r="A3" s="263" t="s">
        <v>308</v>
      </c>
      <c r="B3" s="265" t="s">
        <v>309</v>
      </c>
      <c r="C3" s="265" t="s">
        <v>310</v>
      </c>
      <c r="D3" s="267" t="s">
        <v>311</v>
      </c>
      <c r="E3" s="267" t="s">
        <v>312</v>
      </c>
      <c r="F3" s="267"/>
      <c r="G3" s="269" t="s">
        <v>313</v>
      </c>
    </row>
    <row r="4" spans="1:12" ht="27.95" customHeight="1">
      <c r="A4" s="264"/>
      <c r="B4" s="266"/>
      <c r="C4" s="266"/>
      <c r="D4" s="268"/>
      <c r="E4" s="187" t="s">
        <v>314</v>
      </c>
      <c r="F4" s="187" t="s">
        <v>315</v>
      </c>
      <c r="G4" s="270"/>
    </row>
    <row r="5" spans="1:12" ht="27.95" customHeight="1">
      <c r="A5" s="188" t="s">
        <v>91</v>
      </c>
      <c r="B5" s="189" t="s">
        <v>92</v>
      </c>
      <c r="C5" s="189" t="s">
        <v>93</v>
      </c>
      <c r="D5" s="190">
        <v>1400000</v>
      </c>
      <c r="E5" s="191">
        <v>0</v>
      </c>
      <c r="F5" s="191">
        <f>D5*E5</f>
        <v>0</v>
      </c>
      <c r="G5" s="192"/>
    </row>
    <row r="6" spans="1:12" ht="27.95" customHeight="1">
      <c r="A6" s="188" t="s">
        <v>316</v>
      </c>
      <c r="B6" s="189" t="s">
        <v>94</v>
      </c>
      <c r="C6" s="189" t="s">
        <v>93</v>
      </c>
      <c r="D6" s="190">
        <v>1200000</v>
      </c>
      <c r="E6" s="191">
        <v>0</v>
      </c>
      <c r="F6" s="191">
        <f t="shared" ref="F6:F11" si="0">D6*E6</f>
        <v>0</v>
      </c>
      <c r="G6" s="193" t="s">
        <v>317</v>
      </c>
    </row>
    <row r="7" spans="1:12" ht="27.95" customHeight="1">
      <c r="A7" s="188" t="s">
        <v>96</v>
      </c>
      <c r="B7" s="189" t="s">
        <v>97</v>
      </c>
      <c r="C7" s="189" t="s">
        <v>93</v>
      </c>
      <c r="D7" s="190">
        <v>1000000</v>
      </c>
      <c r="E7" s="191">
        <v>0</v>
      </c>
      <c r="F7" s="191">
        <f t="shared" si="0"/>
        <v>0</v>
      </c>
      <c r="G7" s="194" t="s">
        <v>317</v>
      </c>
      <c r="I7" s="30"/>
    </row>
    <row r="8" spans="1:12" ht="27.95" customHeight="1">
      <c r="A8" s="188" t="s">
        <v>96</v>
      </c>
      <c r="B8" s="189" t="s">
        <v>99</v>
      </c>
      <c r="C8" s="189" t="s">
        <v>93</v>
      </c>
      <c r="D8" s="190">
        <v>900000</v>
      </c>
      <c r="E8" s="191">
        <v>0</v>
      </c>
      <c r="F8" s="191">
        <f t="shared" si="0"/>
        <v>0</v>
      </c>
      <c r="G8" s="194" t="s">
        <v>317</v>
      </c>
      <c r="J8" s="30"/>
    </row>
    <row r="9" spans="1:12" ht="27.95" customHeight="1">
      <c r="A9" s="188" t="s">
        <v>96</v>
      </c>
      <c r="B9" s="189" t="s">
        <v>101</v>
      </c>
      <c r="C9" s="189" t="s">
        <v>93</v>
      </c>
      <c r="D9" s="190">
        <v>800000</v>
      </c>
      <c r="E9" s="191">
        <v>0</v>
      </c>
      <c r="F9" s="191">
        <f t="shared" si="0"/>
        <v>0</v>
      </c>
      <c r="G9" s="195"/>
      <c r="J9" s="30"/>
      <c r="L9" s="30"/>
    </row>
    <row r="10" spans="1:12" ht="27.95" customHeight="1">
      <c r="A10" s="188" t="s">
        <v>96</v>
      </c>
      <c r="B10" s="189" t="s">
        <v>103</v>
      </c>
      <c r="C10" s="189" t="s">
        <v>93</v>
      </c>
      <c r="D10" s="190">
        <v>700000</v>
      </c>
      <c r="E10" s="191">
        <v>0</v>
      </c>
      <c r="F10" s="191">
        <f t="shared" si="0"/>
        <v>0</v>
      </c>
      <c r="G10" s="194"/>
    </row>
    <row r="11" spans="1:12" ht="27.95" customHeight="1">
      <c r="A11" s="188" t="s">
        <v>318</v>
      </c>
      <c r="B11" s="189" t="s">
        <v>105</v>
      </c>
      <c r="C11" s="189" t="s">
        <v>93</v>
      </c>
      <c r="D11" s="190">
        <v>600000</v>
      </c>
      <c r="E11" s="191"/>
      <c r="F11" s="191">
        <f t="shared" si="0"/>
        <v>0</v>
      </c>
      <c r="G11" s="196"/>
    </row>
    <row r="12" spans="1:12" ht="27.95" customHeight="1">
      <c r="A12" s="197"/>
      <c r="B12" s="189"/>
      <c r="C12" s="198"/>
      <c r="D12" s="190"/>
      <c r="E12" s="191"/>
      <c r="F12" s="191"/>
      <c r="G12" s="196"/>
    </row>
    <row r="13" spans="1:12" ht="27.95" customHeight="1">
      <c r="A13" s="199" t="s">
        <v>107</v>
      </c>
      <c r="B13" s="189"/>
      <c r="C13" s="198"/>
      <c r="D13" s="200"/>
      <c r="E13" s="201">
        <v>0</v>
      </c>
      <c r="F13" s="191">
        <f>SUM(F5:F11)*E13</f>
        <v>0</v>
      </c>
      <c r="G13" s="196"/>
    </row>
    <row r="14" spans="1:12" ht="27.95" customHeight="1">
      <c r="A14" s="202"/>
      <c r="B14" s="203"/>
      <c r="C14" s="204"/>
      <c r="D14" s="204"/>
      <c r="E14" s="191"/>
      <c r="F14" s="191"/>
      <c r="G14" s="196"/>
    </row>
    <row r="15" spans="1:12" ht="27.95" customHeight="1" thickBot="1">
      <c r="A15" s="205" t="s">
        <v>319</v>
      </c>
      <c r="B15" s="206"/>
      <c r="C15" s="207"/>
      <c r="D15" s="208"/>
      <c r="E15" s="209">
        <f>SUM(E5:E14)</f>
        <v>0</v>
      </c>
      <c r="F15" s="210">
        <f>SUM(F5:F14)</f>
        <v>0</v>
      </c>
      <c r="G15" s="211"/>
    </row>
    <row r="16" spans="1:12" ht="27.95" hidden="1" customHeight="1">
      <c r="A16" s="212"/>
      <c r="B16" s="213"/>
      <c r="C16" s="214"/>
      <c r="D16" s="215"/>
      <c r="E16" s="216"/>
      <c r="F16" s="217"/>
      <c r="G16" s="218"/>
    </row>
    <row r="17" spans="1:7" ht="27.95" hidden="1" customHeight="1">
      <c r="A17" s="219"/>
      <c r="B17" s="220"/>
      <c r="C17" s="221"/>
      <c r="D17" s="222"/>
      <c r="E17" s="223"/>
      <c r="F17" s="224"/>
      <c r="G17" s="225"/>
    </row>
    <row r="18" spans="1:7" ht="27.95" hidden="1" customHeight="1">
      <c r="A18" s="219"/>
      <c r="B18" s="220"/>
      <c r="C18" s="221"/>
      <c r="D18" s="222"/>
      <c r="E18" s="223"/>
      <c r="F18" s="224"/>
      <c r="G18" s="225"/>
    </row>
    <row r="19" spans="1:7" ht="27.95" hidden="1" customHeight="1">
      <c r="A19" s="219"/>
      <c r="B19" s="220"/>
      <c r="C19" s="221"/>
      <c r="D19" s="222"/>
      <c r="E19" s="223"/>
      <c r="F19" s="224"/>
      <c r="G19" s="225"/>
    </row>
    <row r="20" spans="1:7" ht="27.95" hidden="1" customHeight="1">
      <c r="A20" s="219"/>
      <c r="B20" s="220"/>
      <c r="C20" s="221"/>
      <c r="D20" s="222"/>
      <c r="E20" s="223"/>
      <c r="F20" s="224"/>
      <c r="G20" s="225"/>
    </row>
    <row r="21" spans="1:7" ht="27.95" hidden="1" customHeight="1">
      <c r="A21" s="219"/>
      <c r="B21" s="220"/>
      <c r="C21" s="221"/>
      <c r="D21" s="222"/>
      <c r="E21" s="223"/>
      <c r="F21" s="224"/>
      <c r="G21" s="225"/>
    </row>
    <row r="22" spans="1:7" ht="27.95" hidden="1" customHeight="1">
      <c r="A22" s="226"/>
      <c r="B22" s="227"/>
      <c r="C22" s="228"/>
      <c r="D22" s="229"/>
      <c r="E22" s="223"/>
      <c r="F22" s="224"/>
      <c r="G22" s="225"/>
    </row>
    <row r="23" spans="1:7" ht="13.5">
      <c r="A23" s="230"/>
      <c r="B23" s="231"/>
      <c r="C23" s="232"/>
      <c r="D23" s="232"/>
    </row>
    <row r="24" spans="1:7" ht="13.5">
      <c r="A24" s="232"/>
      <c r="B24" s="232"/>
      <c r="C24" s="232"/>
      <c r="D24" s="232"/>
      <c r="F24" s="233"/>
    </row>
    <row r="25" spans="1:7" s="30" customFormat="1" ht="13.5">
      <c r="A25" s="232"/>
      <c r="B25" s="232"/>
      <c r="C25" s="232"/>
      <c r="D25" s="232"/>
      <c r="E25" s="18"/>
      <c r="F25" s="18"/>
      <c r="G25" s="18"/>
    </row>
    <row r="26" spans="1:7" s="30" customFormat="1" ht="13.5">
      <c r="A26" s="232"/>
      <c r="B26" s="232"/>
      <c r="C26" s="232"/>
      <c r="D26" s="232"/>
      <c r="E26" s="18"/>
      <c r="F26" s="233"/>
      <c r="G26" s="18"/>
    </row>
    <row r="27" spans="1:7" s="30" customFormat="1" ht="13.5">
      <c r="A27" s="232"/>
      <c r="B27" s="232"/>
      <c r="C27" s="232"/>
      <c r="D27" s="232"/>
      <c r="E27" s="18"/>
      <c r="F27" s="18"/>
      <c r="G27" s="18"/>
    </row>
    <row r="28" spans="1:7" s="30" customFormat="1" ht="13.5">
      <c r="A28" s="234"/>
      <c r="B28" s="234"/>
      <c r="C28" s="234"/>
      <c r="D28" s="234"/>
      <c r="E28" s="18"/>
      <c r="F28" s="18"/>
      <c r="G28" s="18"/>
    </row>
    <row r="29" spans="1:7" s="30" customFormat="1" ht="13.5">
      <c r="A29" s="234"/>
      <c r="B29" s="234"/>
      <c r="C29" s="234"/>
      <c r="D29" s="234"/>
      <c r="E29" s="18"/>
      <c r="F29" s="18"/>
      <c r="G29" s="18"/>
    </row>
    <row r="30" spans="1:7" s="30" customFormat="1" ht="13.5">
      <c r="A30" s="234"/>
      <c r="B30" s="234"/>
      <c r="C30" s="234"/>
      <c r="D30" s="234"/>
      <c r="E30" s="18"/>
      <c r="F30" s="18"/>
      <c r="G30" s="18"/>
    </row>
    <row r="31" spans="1:7" s="30" customFormat="1" ht="13.5">
      <c r="A31" s="234"/>
      <c r="B31" s="234"/>
      <c r="C31" s="234"/>
      <c r="D31" s="234"/>
      <c r="E31" s="18"/>
      <c r="F31" s="18"/>
      <c r="G31" s="18"/>
    </row>
    <row r="32" spans="1:7" s="30" customFormat="1" ht="13.5">
      <c r="A32" s="234"/>
      <c r="B32" s="234"/>
      <c r="C32" s="234"/>
      <c r="D32" s="234"/>
      <c r="E32" s="18"/>
      <c r="F32" s="18"/>
      <c r="G32" s="18"/>
    </row>
    <row r="33" spans="1:7" s="30" customFormat="1" ht="13.5">
      <c r="A33" s="234"/>
      <c r="B33" s="234"/>
      <c r="C33" s="234"/>
      <c r="D33" s="234"/>
      <c r="E33" s="18"/>
      <c r="F33" s="18"/>
      <c r="G33" s="18"/>
    </row>
    <row r="34" spans="1:7" s="30" customFormat="1" ht="13.5">
      <c r="A34" s="234"/>
      <c r="B34" s="18"/>
      <c r="C34" s="234"/>
      <c r="D34" s="234"/>
      <c r="E34" s="18"/>
      <c r="F34" s="18"/>
      <c r="G34" s="18"/>
    </row>
    <row r="35" spans="1:7" s="30" customFormat="1" ht="13.5">
      <c r="A35" s="234"/>
      <c r="B35" s="18"/>
      <c r="C35" s="234"/>
      <c r="D35" s="234"/>
      <c r="E35" s="18"/>
      <c r="F35" s="18"/>
      <c r="G35" s="18"/>
    </row>
    <row r="36" spans="1:7" s="30" customFormat="1" ht="13.5">
      <c r="A36" s="234"/>
      <c r="B36" s="18"/>
      <c r="C36" s="234"/>
      <c r="D36" s="234"/>
      <c r="E36" s="18"/>
      <c r="F36" s="18"/>
      <c r="G36" s="18"/>
    </row>
    <row r="37" spans="1:7" s="30" customFormat="1" ht="13.5">
      <c r="A37" s="234"/>
      <c r="B37" s="18"/>
      <c r="C37" s="234"/>
      <c r="D37" s="234"/>
      <c r="E37" s="18"/>
      <c r="F37" s="18"/>
      <c r="G37" s="18"/>
    </row>
    <row r="38" spans="1:7" s="30" customFormat="1" ht="13.5">
      <c r="A38" s="234"/>
      <c r="B38" s="18"/>
      <c r="C38" s="234"/>
      <c r="D38" s="234"/>
      <c r="E38" s="18"/>
      <c r="F38" s="18"/>
      <c r="G38" s="18"/>
    </row>
    <row r="39" spans="1:7" s="30" customFormat="1" ht="13.5">
      <c r="A39" s="18"/>
      <c r="B39" s="18"/>
      <c r="C39" s="234"/>
      <c r="D39" s="234"/>
      <c r="E39" s="18"/>
      <c r="F39" s="18"/>
      <c r="G39" s="18"/>
    </row>
    <row r="40" spans="1:7" s="30" customFormat="1">
      <c r="A40" s="18"/>
      <c r="B40" s="18"/>
      <c r="C40" s="234"/>
      <c r="D40" s="235"/>
      <c r="E40" s="18"/>
      <c r="F40" s="18"/>
      <c r="G40" s="18"/>
    </row>
    <row r="41" spans="1:7" s="30" customFormat="1">
      <c r="A41" s="18"/>
      <c r="B41" s="18"/>
      <c r="C41" s="234"/>
      <c r="D41" s="235"/>
      <c r="E41" s="18"/>
      <c r="F41" s="18"/>
      <c r="G41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7"/>
  <sheetViews>
    <sheetView view="pageBreakPreview" topLeftCell="B7" zoomScaleNormal="100" zoomScaleSheetLayoutView="100" workbookViewId="0">
      <selection activeCell="B27" sqref="B27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  <col min="15" max="15" width="15.875" bestFit="1" customWidth="1"/>
    <col min="16" max="16" width="13" bestFit="1" customWidth="1"/>
    <col min="18" max="18" width="15.875" bestFit="1" customWidth="1"/>
  </cols>
  <sheetData>
    <row r="1" spans="1:15" ht="39.950000000000003" customHeight="1" thickTop="1">
      <c r="A1" s="274" t="str">
        <f>'용역청구서 표지'!$B$7</f>
        <v>P5 Ph1 FAB1(SUP) 가설공사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6"/>
    </row>
    <row r="2" spans="1:15" ht="20.100000000000001" customHeight="1">
      <c r="A2" s="54"/>
      <c r="J2" s="56"/>
      <c r="L2" s="57" t="str">
        <f>'용역청구서 표지'!$C$15</f>
        <v>㈜태성하이텍</v>
      </c>
    </row>
    <row r="3" spans="1:15" ht="30" customHeight="1">
      <c r="A3" s="58" t="s">
        <v>109</v>
      </c>
      <c r="B3" s="59" t="s">
        <v>110</v>
      </c>
      <c r="C3" s="59" t="s">
        <v>111</v>
      </c>
      <c r="D3" s="59" t="s">
        <v>112</v>
      </c>
      <c r="E3" s="59" t="s">
        <v>113</v>
      </c>
      <c r="F3" s="60" t="s">
        <v>114</v>
      </c>
      <c r="G3" s="61" t="s">
        <v>115</v>
      </c>
      <c r="H3" s="59" t="s">
        <v>116</v>
      </c>
      <c r="I3" s="62" t="s">
        <v>117</v>
      </c>
      <c r="J3" s="277" t="s">
        <v>118</v>
      </c>
      <c r="K3" s="277"/>
      <c r="L3" s="278"/>
    </row>
    <row r="4" spans="1:15" ht="30" customHeight="1">
      <c r="A4" s="63" t="s">
        <v>119</v>
      </c>
      <c r="B4" s="64" t="s">
        <v>120</v>
      </c>
      <c r="C4" s="46" t="s">
        <v>121</v>
      </c>
      <c r="D4" s="148">
        <f>SUM('물량 내역서'!$J$5:$J$27)</f>
        <v>54</v>
      </c>
      <c r="E4" s="47">
        <f>F4/D4</f>
        <v>0</v>
      </c>
      <c r="F4" s="65">
        <f>SUM('물량 내역서'!$K$5:$K$27)</f>
        <v>0</v>
      </c>
      <c r="G4" s="66">
        <v>0</v>
      </c>
      <c r="H4" s="47">
        <f t="shared" ref="H4:H20" si="0">F4</f>
        <v>0</v>
      </c>
      <c r="I4" s="67">
        <f>G4+H4</f>
        <v>0</v>
      </c>
      <c r="J4" s="271"/>
      <c r="K4" s="272"/>
      <c r="L4" s="273"/>
    </row>
    <row r="5" spans="1:15" ht="30" customHeight="1">
      <c r="A5" s="68"/>
      <c r="B5" s="64" t="s">
        <v>122</v>
      </c>
      <c r="C5" s="46" t="s">
        <v>123</v>
      </c>
      <c r="D5" s="147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0</v>
      </c>
      <c r="H5" s="47">
        <f t="shared" si="0"/>
        <v>0</v>
      </c>
      <c r="I5" s="67">
        <f t="shared" ref="I5:I7" si="1">G5+H5</f>
        <v>0</v>
      </c>
      <c r="J5" s="271"/>
      <c r="K5" s="272"/>
      <c r="L5" s="273"/>
    </row>
    <row r="6" spans="1:15" ht="30" customHeight="1">
      <c r="A6" s="68"/>
      <c r="B6" s="64" t="s">
        <v>124</v>
      </c>
      <c r="C6" s="46" t="s">
        <v>125</v>
      </c>
      <c r="D6" s="69">
        <f>'근로내역 (08월)'!AP35</f>
        <v>403.6875</v>
      </c>
      <c r="E6" s="47">
        <v>240000</v>
      </c>
      <c r="F6" s="65">
        <f>D6*E6</f>
        <v>96885000</v>
      </c>
      <c r="G6" s="66">
        <v>0</v>
      </c>
      <c r="H6" s="47">
        <f t="shared" si="0"/>
        <v>96885000</v>
      </c>
      <c r="I6" s="67">
        <f t="shared" si="1"/>
        <v>96885000</v>
      </c>
      <c r="J6" s="271"/>
      <c r="K6" s="272"/>
      <c r="L6" s="273"/>
    </row>
    <row r="7" spans="1:15" ht="30" customHeight="1">
      <c r="A7" s="63" t="s">
        <v>126</v>
      </c>
      <c r="B7" s="70"/>
      <c r="C7" s="46" t="s">
        <v>127</v>
      </c>
      <c r="D7" s="46"/>
      <c r="E7" s="47"/>
      <c r="F7" s="65">
        <f t="shared" ref="F7:F12" si="2">D7*E7</f>
        <v>0</v>
      </c>
      <c r="G7" s="66">
        <v>0</v>
      </c>
      <c r="H7" s="47">
        <f t="shared" si="0"/>
        <v>0</v>
      </c>
      <c r="I7" s="67">
        <f t="shared" si="1"/>
        <v>0</v>
      </c>
      <c r="J7" s="271"/>
      <c r="K7" s="272"/>
      <c r="L7" s="273"/>
    </row>
    <row r="8" spans="1:15" ht="30" customHeight="1">
      <c r="A8" s="71" t="s">
        <v>128</v>
      </c>
      <c r="B8" s="279" t="s">
        <v>129</v>
      </c>
      <c r="C8" s="280"/>
      <c r="D8" s="72"/>
      <c r="E8" s="72"/>
      <c r="F8" s="73">
        <f>SUM(F4:F7)</f>
        <v>96885000</v>
      </c>
      <c r="G8" s="74">
        <f>SUM(G4:G7)</f>
        <v>0</v>
      </c>
      <c r="H8" s="75">
        <f t="shared" si="0"/>
        <v>96885000</v>
      </c>
      <c r="I8" s="76">
        <f>G8+H8</f>
        <v>96885000</v>
      </c>
      <c r="J8" s="281"/>
      <c r="K8" s="282"/>
      <c r="L8" s="283"/>
    </row>
    <row r="9" spans="1:15" ht="30" customHeight="1">
      <c r="A9" s="63" t="s">
        <v>130</v>
      </c>
      <c r="B9" s="64" t="s">
        <v>131</v>
      </c>
      <c r="C9" s="46" t="s">
        <v>132</v>
      </c>
      <c r="D9" s="69">
        <f>'근로내역 (08월)'!AP35</f>
        <v>403.6875</v>
      </c>
      <c r="E9" s="77">
        <f>F9/D9</f>
        <v>198547.76281158073</v>
      </c>
      <c r="F9" s="65">
        <f>'근로내역 (08월)'!AR35</f>
        <v>80151250</v>
      </c>
      <c r="G9" s="66">
        <v>0</v>
      </c>
      <c r="H9" s="47">
        <f t="shared" si="0"/>
        <v>80151250</v>
      </c>
      <c r="I9" s="67">
        <f>G9+H9</f>
        <v>80151250</v>
      </c>
      <c r="J9" s="271"/>
      <c r="K9" s="272"/>
      <c r="L9" s="273"/>
    </row>
    <row r="10" spans="1:15" ht="30" customHeight="1">
      <c r="A10" s="63" t="s">
        <v>133</v>
      </c>
      <c r="B10" s="64" t="s">
        <v>134</v>
      </c>
      <c r="C10" s="46" t="s">
        <v>127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4825806.4516129028</v>
      </c>
      <c r="G10" s="66">
        <v>0</v>
      </c>
      <c r="H10" s="47">
        <f t="shared" si="0"/>
        <v>4825806.4516129028</v>
      </c>
      <c r="I10" s="67">
        <f t="shared" ref="I10:I12" si="3">G10+H10</f>
        <v>4825806.4516129028</v>
      </c>
      <c r="J10" s="271"/>
      <c r="K10" s="272"/>
      <c r="L10" s="273"/>
    </row>
    <row r="11" spans="1:15" ht="30" customHeight="1">
      <c r="A11" s="63"/>
      <c r="B11" s="64" t="s">
        <v>135</v>
      </c>
      <c r="C11" s="46" t="s">
        <v>136</v>
      </c>
      <c r="D11" s="46">
        <f>SUM(식대비용!G4:G9)</f>
        <v>0</v>
      </c>
      <c r="E11" s="47" t="e">
        <f>F11/D11</f>
        <v>#DIV/0!</v>
      </c>
      <c r="F11" s="65">
        <f>식대비용!I3</f>
        <v>3578364</v>
      </c>
      <c r="G11" s="66">
        <v>0</v>
      </c>
      <c r="H11" s="47">
        <f t="shared" si="0"/>
        <v>3578364</v>
      </c>
      <c r="I11" s="67">
        <f t="shared" si="3"/>
        <v>3578364</v>
      </c>
      <c r="J11" s="271"/>
      <c r="K11" s="272"/>
      <c r="L11" s="273"/>
    </row>
    <row r="12" spans="1:15" ht="30" customHeight="1">
      <c r="A12" s="63" t="s">
        <v>137</v>
      </c>
      <c r="B12" s="64"/>
      <c r="C12" s="46" t="s">
        <v>127</v>
      </c>
      <c r="D12" s="46"/>
      <c r="E12" s="47">
        <v>0</v>
      </c>
      <c r="F12" s="65">
        <f t="shared" si="2"/>
        <v>0</v>
      </c>
      <c r="G12" s="66">
        <v>0</v>
      </c>
      <c r="H12" s="47">
        <f t="shared" si="0"/>
        <v>0</v>
      </c>
      <c r="I12" s="67">
        <f t="shared" si="3"/>
        <v>0</v>
      </c>
      <c r="J12" s="271"/>
      <c r="K12" s="272"/>
      <c r="L12" s="273"/>
    </row>
    <row r="13" spans="1:15" ht="30" customHeight="1">
      <c r="A13" s="71" t="s">
        <v>138</v>
      </c>
      <c r="B13" s="279" t="s">
        <v>139</v>
      </c>
      <c r="C13" s="280"/>
      <c r="D13" s="72"/>
      <c r="E13" s="72"/>
      <c r="F13" s="73">
        <f t="shared" ref="F13" si="4">SUM(F9:F12)</f>
        <v>88555420.451612905</v>
      </c>
      <c r="G13" s="74">
        <f>SUM(G9:G12)</f>
        <v>0</v>
      </c>
      <c r="H13" s="75">
        <f t="shared" si="0"/>
        <v>88555420.451612905</v>
      </c>
      <c r="I13" s="76">
        <f>G13+H13</f>
        <v>88555420.451612905</v>
      </c>
      <c r="J13" s="281"/>
      <c r="K13" s="282"/>
      <c r="L13" s="283"/>
    </row>
    <row r="14" spans="1:15" ht="30" customHeight="1">
      <c r="A14" s="71" t="s">
        <v>140</v>
      </c>
      <c r="B14" s="279" t="s">
        <v>141</v>
      </c>
      <c r="C14" s="280"/>
      <c r="D14" s="72"/>
      <c r="E14" s="72"/>
      <c r="F14" s="73">
        <f>F8-F13</f>
        <v>8329579.5483870953</v>
      </c>
      <c r="G14" s="74">
        <f>G8-G13</f>
        <v>0</v>
      </c>
      <c r="H14" s="75">
        <f t="shared" si="0"/>
        <v>8329579.5483870953</v>
      </c>
      <c r="I14" s="76">
        <f>G14+H14</f>
        <v>8329579.5483870953</v>
      </c>
      <c r="J14" s="281"/>
      <c r="K14" s="282"/>
      <c r="L14" s="283"/>
    </row>
    <row r="15" spans="1:15" ht="30" customHeight="1">
      <c r="A15" s="63" t="s">
        <v>142</v>
      </c>
      <c r="B15" s="64" t="s">
        <v>143</v>
      </c>
      <c r="C15" s="46" t="s">
        <v>127</v>
      </c>
      <c r="D15" s="46"/>
      <c r="E15" s="46"/>
      <c r="F15" s="65"/>
      <c r="G15" s="66">
        <v>0</v>
      </c>
      <c r="H15" s="47">
        <f t="shared" si="0"/>
        <v>0</v>
      </c>
      <c r="I15" s="67">
        <f>G15+H15</f>
        <v>0</v>
      </c>
      <c r="J15" s="271"/>
      <c r="K15" s="272"/>
      <c r="L15" s="273"/>
      <c r="O15" s="172"/>
    </row>
    <row r="16" spans="1:15" ht="30" customHeight="1">
      <c r="A16" s="63" t="s">
        <v>144</v>
      </c>
      <c r="B16" s="78" t="s">
        <v>145</v>
      </c>
      <c r="C16" s="46" t="s">
        <v>146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71"/>
      <c r="K16" s="272"/>
      <c r="L16" s="273"/>
      <c r="N16" s="236"/>
    </row>
    <row r="17" spans="1:18" ht="30" customHeight="1">
      <c r="A17" s="63" t="s">
        <v>147</v>
      </c>
      <c r="B17" s="64" t="s">
        <v>148</v>
      </c>
      <c r="C17" s="46" t="s">
        <v>149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71"/>
      <c r="K17" s="272"/>
      <c r="L17" s="273"/>
      <c r="O17" s="172"/>
    </row>
    <row r="18" spans="1:18" ht="30" customHeight="1">
      <c r="A18" s="71" t="s">
        <v>150</v>
      </c>
      <c r="B18" s="279" t="s">
        <v>151</v>
      </c>
      <c r="C18" s="280"/>
      <c r="D18" s="72"/>
      <c r="E18" s="72"/>
      <c r="F18" s="73">
        <f>F14-F15-F16-F17</f>
        <v>8329579.5483870953</v>
      </c>
      <c r="G18" s="74">
        <f>G14-G15-G16-G17</f>
        <v>0</v>
      </c>
      <c r="H18" s="75">
        <f t="shared" si="0"/>
        <v>8329579.5483870953</v>
      </c>
      <c r="I18" s="76">
        <f>G18+H18</f>
        <v>8329579.5483870953</v>
      </c>
      <c r="J18" s="281"/>
      <c r="K18" s="282"/>
      <c r="L18" s="283"/>
      <c r="N18" s="172"/>
      <c r="O18" s="172"/>
      <c r="R18" s="172"/>
    </row>
    <row r="19" spans="1:18" ht="30" customHeight="1">
      <c r="A19" s="288" t="s">
        <v>152</v>
      </c>
      <c r="B19" s="64" t="s">
        <v>153</v>
      </c>
      <c r="C19" s="46" t="s">
        <v>146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154</v>
      </c>
      <c r="L19" s="80" t="s">
        <v>155</v>
      </c>
    </row>
    <row r="20" spans="1:18" ht="30" customHeight="1">
      <c r="A20" s="288"/>
      <c r="B20" s="64" t="s">
        <v>156</v>
      </c>
      <c r="C20" s="46" t="s">
        <v>146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157</v>
      </c>
      <c r="K20" s="289">
        <v>0</v>
      </c>
      <c r="L20" s="292">
        <f>K20-I20</f>
        <v>0</v>
      </c>
    </row>
    <row r="21" spans="1:18" ht="30" customHeight="1">
      <c r="A21" s="295" t="s">
        <v>158</v>
      </c>
      <c r="B21" s="296"/>
      <c r="C21" s="297"/>
      <c r="D21" s="81"/>
      <c r="E21" s="81"/>
      <c r="F21" s="82">
        <f>F18-F20</f>
        <v>8329579.5483870953</v>
      </c>
      <c r="G21" s="83"/>
      <c r="H21" s="84"/>
      <c r="I21" s="85"/>
      <c r="J21" s="81"/>
      <c r="K21" s="290"/>
      <c r="L21" s="293"/>
    </row>
    <row r="22" spans="1:18" ht="30" customHeight="1">
      <c r="A22" s="295" t="s">
        <v>159</v>
      </c>
      <c r="B22" s="296"/>
      <c r="C22" s="297"/>
      <c r="D22" s="81"/>
      <c r="E22" s="81"/>
      <c r="F22" s="82">
        <f>ROUNDDOWN(F21,-5)</f>
        <v>8300000</v>
      </c>
      <c r="G22" s="83"/>
      <c r="H22" s="84"/>
      <c r="I22" s="85"/>
      <c r="J22" s="86" t="s">
        <v>160</v>
      </c>
      <c r="K22" s="291"/>
      <c r="L22" s="294"/>
    </row>
    <row r="23" spans="1:18" ht="30" customHeight="1">
      <c r="A23" s="284" t="s">
        <v>161</v>
      </c>
      <c r="B23" s="285"/>
      <c r="C23" s="286"/>
      <c r="D23" s="285" t="s">
        <v>162</v>
      </c>
      <c r="E23" s="285"/>
      <c r="F23" s="285"/>
      <c r="G23" s="285"/>
      <c r="H23" s="285"/>
      <c r="I23" s="285"/>
      <c r="J23" s="285"/>
      <c r="K23" s="285"/>
      <c r="L23" s="287"/>
    </row>
    <row r="24" spans="1:18" ht="21" customHeight="1">
      <c r="A24" s="87" t="s">
        <v>163</v>
      </c>
      <c r="L24" s="88"/>
    </row>
    <row r="25" spans="1:18" ht="21" customHeight="1">
      <c r="A25" s="87" t="s">
        <v>164</v>
      </c>
      <c r="L25" s="88"/>
    </row>
    <row r="26" spans="1:18" ht="21" customHeight="1" thickBot="1">
      <c r="A26" s="89" t="s">
        <v>165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8" ht="17.25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6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R116"/>
  <sheetViews>
    <sheetView view="pageBreakPreview" zoomScale="60" zoomScaleNormal="70" workbookViewId="0">
      <selection activeCell="B27" sqref="B27"/>
    </sheetView>
  </sheetViews>
  <sheetFormatPr defaultRowHeight="16.5"/>
  <cols>
    <col min="1" max="1" width="6.375" style="100" bestFit="1" customWidth="1"/>
    <col min="2" max="2" width="9.25" style="100" customWidth="1"/>
    <col min="3" max="3" width="18.125" style="100" customWidth="1"/>
    <col min="4" max="4" width="11.25" style="100" customWidth="1"/>
    <col min="5" max="5" width="18.125" style="100" customWidth="1"/>
    <col min="6" max="6" width="11.125" style="100" customWidth="1"/>
    <col min="7" max="7" width="9.375" style="101" customWidth="1"/>
    <col min="8" max="8" width="21.625" style="101" customWidth="1"/>
    <col min="9" max="41" width="7.625" style="100" customWidth="1"/>
    <col min="42" max="42" width="11.875" style="100" customWidth="1"/>
    <col min="43" max="43" width="15.875" style="136" bestFit="1" customWidth="1"/>
    <col min="44" max="44" width="18.25" style="138" bestFit="1" customWidth="1"/>
  </cols>
  <sheetData>
    <row r="1" spans="1:44" ht="32.1" customHeight="1">
      <c r="A1" s="310" t="s">
        <v>329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2"/>
      <c r="AJ1" s="301" t="s">
        <v>220</v>
      </c>
      <c r="AK1" s="302"/>
      <c r="AL1" s="302"/>
      <c r="AM1" s="302"/>
      <c r="AN1" s="303"/>
      <c r="AO1" s="298" t="str">
        <f>'용역청구서 표지'!$B$7</f>
        <v>P5 Ph1 FAB1(SUP) 가설공사</v>
      </c>
      <c r="AP1" s="299"/>
      <c r="AQ1" s="299"/>
      <c r="AR1" s="300"/>
    </row>
    <row r="2" spans="1:44" ht="32.1" customHeight="1">
      <c r="A2" s="313"/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5"/>
      <c r="AJ2" s="301" t="s">
        <v>221</v>
      </c>
      <c r="AK2" s="302"/>
      <c r="AL2" s="302"/>
      <c r="AM2" s="302"/>
      <c r="AN2" s="303"/>
      <c r="AO2" s="298" t="s">
        <v>334</v>
      </c>
      <c r="AP2" s="299"/>
      <c r="AQ2" s="299"/>
      <c r="AR2" s="300"/>
    </row>
    <row r="3" spans="1:44" ht="32.1" customHeight="1">
      <c r="A3" s="316"/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8"/>
      <c r="AJ3" s="301" t="s">
        <v>222</v>
      </c>
      <c r="AK3" s="302"/>
      <c r="AL3" s="302"/>
      <c r="AM3" s="302"/>
      <c r="AN3" s="303"/>
      <c r="AO3" s="298" t="str">
        <f>'용역청구서 표지'!$C$8</f>
        <v>S26-003</v>
      </c>
      <c r="AP3" s="299"/>
      <c r="AQ3" s="299"/>
      <c r="AR3" s="300"/>
    </row>
    <row r="4" spans="1:44" ht="24.95" customHeight="1" thickBot="1">
      <c r="AJ4" s="102"/>
      <c r="AK4" s="102"/>
      <c r="AL4" s="102"/>
      <c r="AM4" s="102"/>
      <c r="AN4" s="102"/>
      <c r="AO4" s="102"/>
      <c r="AP4" s="102"/>
      <c r="AQ4" s="103"/>
      <c r="AR4" s="104"/>
    </row>
    <row r="5" spans="1:44" ht="24.95" customHeight="1" thickBot="1">
      <c r="A5" s="105" t="s">
        <v>223</v>
      </c>
      <c r="B5" s="106" t="s">
        <v>224</v>
      </c>
      <c r="C5" s="106" t="s">
        <v>225</v>
      </c>
      <c r="D5" s="106" t="s">
        <v>226</v>
      </c>
      <c r="E5" s="106" t="s">
        <v>227</v>
      </c>
      <c r="F5" s="106" t="s">
        <v>228</v>
      </c>
      <c r="G5" s="107" t="s">
        <v>229</v>
      </c>
      <c r="H5" s="108" t="s">
        <v>230</v>
      </c>
      <c r="I5" s="238">
        <v>30</v>
      </c>
      <c r="J5" s="238">
        <v>31</v>
      </c>
      <c r="K5" s="243">
        <v>1</v>
      </c>
      <c r="L5" s="109">
        <v>2</v>
      </c>
      <c r="M5" s="181">
        <v>3</v>
      </c>
      <c r="N5" s="181">
        <v>4</v>
      </c>
      <c r="O5" s="181">
        <v>5</v>
      </c>
      <c r="P5" s="181">
        <v>6</v>
      </c>
      <c r="Q5" s="181">
        <v>7</v>
      </c>
      <c r="R5" s="243">
        <v>8</v>
      </c>
      <c r="S5" s="109">
        <v>9</v>
      </c>
      <c r="T5" s="181">
        <v>10</v>
      </c>
      <c r="U5" s="181">
        <v>11</v>
      </c>
      <c r="V5" s="181">
        <v>12</v>
      </c>
      <c r="W5" s="181">
        <v>13</v>
      </c>
      <c r="X5" s="181">
        <v>14</v>
      </c>
      <c r="Y5" s="109">
        <v>15</v>
      </c>
      <c r="Z5" s="109">
        <v>16</v>
      </c>
      <c r="AA5" s="109">
        <v>17</v>
      </c>
      <c r="AB5" s="181">
        <v>18</v>
      </c>
      <c r="AC5" s="181">
        <v>19</v>
      </c>
      <c r="AD5" s="181">
        <v>20</v>
      </c>
      <c r="AE5" s="181">
        <v>21</v>
      </c>
      <c r="AF5" s="243">
        <v>22</v>
      </c>
      <c r="AG5" s="109">
        <v>23</v>
      </c>
      <c r="AH5" s="181">
        <v>24</v>
      </c>
      <c r="AI5" s="181">
        <v>25</v>
      </c>
      <c r="AJ5" s="181">
        <v>26</v>
      </c>
      <c r="AK5" s="181">
        <v>27</v>
      </c>
      <c r="AL5" s="181">
        <v>28</v>
      </c>
      <c r="AM5" s="243">
        <v>29</v>
      </c>
      <c r="AN5" s="109">
        <v>30</v>
      </c>
      <c r="AO5" s="239">
        <v>31</v>
      </c>
      <c r="AP5" s="110" t="s">
        <v>231</v>
      </c>
      <c r="AQ5" s="106" t="s">
        <v>232</v>
      </c>
      <c r="AR5" s="111" t="s">
        <v>233</v>
      </c>
    </row>
    <row r="6" spans="1:44" ht="24.95" customHeight="1">
      <c r="A6" s="112">
        <v>1</v>
      </c>
      <c r="B6" s="113" t="s">
        <v>335</v>
      </c>
      <c r="C6" s="114" t="s">
        <v>336</v>
      </c>
      <c r="D6" s="114" t="s">
        <v>424</v>
      </c>
      <c r="E6" s="114" t="s">
        <v>337</v>
      </c>
      <c r="F6" s="115" t="s">
        <v>320</v>
      </c>
      <c r="G6" s="116" t="s">
        <v>335</v>
      </c>
      <c r="H6" s="117" t="s">
        <v>338</v>
      </c>
      <c r="I6" s="118">
        <v>0.75</v>
      </c>
      <c r="J6" s="118">
        <v>0.5</v>
      </c>
      <c r="K6" s="118"/>
      <c r="L6" s="118"/>
      <c r="M6" s="118"/>
      <c r="N6" s="118"/>
      <c r="O6" s="118">
        <v>1.125</v>
      </c>
      <c r="P6" s="118"/>
      <c r="Q6" s="118">
        <v>1</v>
      </c>
      <c r="R6" s="118"/>
      <c r="S6" s="118"/>
      <c r="T6" s="118">
        <v>1.25</v>
      </c>
      <c r="U6" s="118">
        <v>1.25</v>
      </c>
      <c r="V6" s="118">
        <v>1.25</v>
      </c>
      <c r="W6" s="118">
        <v>1.25</v>
      </c>
      <c r="X6" s="118">
        <v>1.25</v>
      </c>
      <c r="Y6" s="118"/>
      <c r="Z6" s="118"/>
      <c r="AA6" s="118"/>
      <c r="AB6" s="118">
        <v>1</v>
      </c>
      <c r="AC6" s="118">
        <v>1</v>
      </c>
      <c r="AD6" s="118">
        <v>1</v>
      </c>
      <c r="AE6" s="118">
        <v>1</v>
      </c>
      <c r="AF6" s="118"/>
      <c r="AG6" s="118"/>
      <c r="AH6" s="118">
        <v>1.5</v>
      </c>
      <c r="AI6" s="118">
        <v>1.5</v>
      </c>
      <c r="AJ6" s="118">
        <v>1.5</v>
      </c>
      <c r="AK6" s="118">
        <v>1.5</v>
      </c>
      <c r="AL6" s="118">
        <v>1</v>
      </c>
      <c r="AM6" s="118"/>
      <c r="AN6" s="118"/>
      <c r="AO6" s="118">
        <v>1.5</v>
      </c>
      <c r="AP6" s="119">
        <f>SUM(I6:AO6)</f>
        <v>22.125</v>
      </c>
      <c r="AQ6" s="115">
        <v>200000</v>
      </c>
      <c r="AR6" s="120">
        <f>AP6*AQ6</f>
        <v>4425000</v>
      </c>
    </row>
    <row r="7" spans="1:44" ht="24.95" customHeight="1">
      <c r="A7" s="121">
        <v>2</v>
      </c>
      <c r="B7" s="113" t="s">
        <v>339</v>
      </c>
      <c r="C7" s="114" t="s">
        <v>340</v>
      </c>
      <c r="D7" s="122" t="s">
        <v>425</v>
      </c>
      <c r="E7" s="114" t="s">
        <v>341</v>
      </c>
      <c r="F7" s="123" t="s">
        <v>324</v>
      </c>
      <c r="G7" s="116" t="s">
        <v>339</v>
      </c>
      <c r="H7" s="117" t="s">
        <v>342</v>
      </c>
      <c r="I7" s="118">
        <v>0.75</v>
      </c>
      <c r="J7" s="118">
        <v>0.5</v>
      </c>
      <c r="K7" s="118"/>
      <c r="L7" s="118"/>
      <c r="M7" s="118"/>
      <c r="N7" s="118"/>
      <c r="O7" s="118">
        <v>1.125</v>
      </c>
      <c r="P7" s="118"/>
      <c r="Q7" s="118">
        <v>1</v>
      </c>
      <c r="R7" s="118"/>
      <c r="S7" s="118"/>
      <c r="T7" s="118">
        <v>1.25</v>
      </c>
      <c r="U7" s="118">
        <v>1.25</v>
      </c>
      <c r="V7" s="118">
        <v>1.25</v>
      </c>
      <c r="W7" s="118">
        <v>1.25</v>
      </c>
      <c r="X7" s="118">
        <v>1.25</v>
      </c>
      <c r="Y7" s="118"/>
      <c r="Z7" s="118"/>
      <c r="AA7" s="118"/>
      <c r="AB7" s="118">
        <v>1</v>
      </c>
      <c r="AC7" s="118">
        <v>1</v>
      </c>
      <c r="AD7" s="118">
        <v>1</v>
      </c>
      <c r="AE7" s="118">
        <v>1</v>
      </c>
      <c r="AF7" s="118"/>
      <c r="AG7" s="118"/>
      <c r="AH7" s="118">
        <v>1.5</v>
      </c>
      <c r="AI7" s="118">
        <v>1</v>
      </c>
      <c r="AJ7" s="118">
        <v>1</v>
      </c>
      <c r="AK7" s="118">
        <v>1</v>
      </c>
      <c r="AL7" s="118">
        <v>1</v>
      </c>
      <c r="AM7" s="118"/>
      <c r="AN7" s="118"/>
      <c r="AO7" s="118">
        <v>1</v>
      </c>
      <c r="AP7" s="119">
        <f>SUM(I7:AO7)</f>
        <v>20.125</v>
      </c>
      <c r="AQ7" s="115">
        <v>270000</v>
      </c>
      <c r="AR7" s="120">
        <f t="shared" ref="AR7:AR27" si="0">AP7*AQ7</f>
        <v>5433750</v>
      </c>
    </row>
    <row r="8" spans="1:44" ht="24.95" customHeight="1">
      <c r="A8" s="121">
        <v>3</v>
      </c>
      <c r="B8" s="113" t="s">
        <v>343</v>
      </c>
      <c r="C8" s="114" t="s">
        <v>344</v>
      </c>
      <c r="D8" s="124" t="s">
        <v>321</v>
      </c>
      <c r="E8" s="114" t="s">
        <v>345</v>
      </c>
      <c r="F8" s="123" t="s">
        <v>346</v>
      </c>
      <c r="G8" s="116" t="s">
        <v>343</v>
      </c>
      <c r="H8" s="117" t="s">
        <v>347</v>
      </c>
      <c r="I8" s="118">
        <v>0.75</v>
      </c>
      <c r="J8" s="118">
        <v>1</v>
      </c>
      <c r="K8" s="118"/>
      <c r="L8" s="118"/>
      <c r="M8" s="118"/>
      <c r="N8" s="118"/>
      <c r="O8" s="118">
        <v>1.125</v>
      </c>
      <c r="P8" s="118"/>
      <c r="Q8" s="118">
        <v>1</v>
      </c>
      <c r="R8" s="118"/>
      <c r="S8" s="118"/>
      <c r="T8" s="118">
        <v>1.25</v>
      </c>
      <c r="U8" s="118">
        <v>1.25</v>
      </c>
      <c r="V8" s="118">
        <v>1.25</v>
      </c>
      <c r="W8" s="118">
        <v>1.25</v>
      </c>
      <c r="X8" s="118">
        <v>1.25</v>
      </c>
      <c r="Y8" s="118"/>
      <c r="Z8" s="118"/>
      <c r="AA8" s="118"/>
      <c r="AB8" s="118">
        <v>1</v>
      </c>
      <c r="AC8" s="118">
        <v>1</v>
      </c>
      <c r="AD8" s="118">
        <v>1</v>
      </c>
      <c r="AE8" s="118">
        <v>1</v>
      </c>
      <c r="AF8" s="118"/>
      <c r="AG8" s="118"/>
      <c r="AH8" s="118">
        <v>1.5</v>
      </c>
      <c r="AI8" s="118">
        <v>1.5</v>
      </c>
      <c r="AJ8" s="118">
        <v>1.5</v>
      </c>
      <c r="AK8" s="118">
        <v>1.5</v>
      </c>
      <c r="AL8" s="118">
        <v>1</v>
      </c>
      <c r="AM8" s="118"/>
      <c r="AN8" s="118"/>
      <c r="AO8" s="118">
        <v>1.5</v>
      </c>
      <c r="AP8" s="119">
        <f t="shared" ref="AP8:AP27" si="1">SUM(I8:AO8)</f>
        <v>22.625</v>
      </c>
      <c r="AQ8" s="115">
        <v>180000</v>
      </c>
      <c r="AR8" s="120">
        <f t="shared" ref="AR8:AR13" si="2">AP8*AQ8</f>
        <v>4072500</v>
      </c>
    </row>
    <row r="9" spans="1:44" ht="24.95" customHeight="1">
      <c r="A9" s="121">
        <v>4</v>
      </c>
      <c r="B9" s="113" t="s">
        <v>348</v>
      </c>
      <c r="C9" s="114" t="s">
        <v>349</v>
      </c>
      <c r="D9" s="122" t="s">
        <v>426</v>
      </c>
      <c r="E9" s="114" t="s">
        <v>350</v>
      </c>
      <c r="F9" s="123" t="s">
        <v>324</v>
      </c>
      <c r="G9" s="116" t="s">
        <v>348</v>
      </c>
      <c r="H9" s="117" t="s">
        <v>351</v>
      </c>
      <c r="I9" s="118">
        <v>0.25</v>
      </c>
      <c r="J9" s="118"/>
      <c r="K9" s="118"/>
      <c r="L9" s="118"/>
      <c r="M9" s="118"/>
      <c r="N9" s="118">
        <v>1</v>
      </c>
      <c r="O9" s="118">
        <v>0.125</v>
      </c>
      <c r="P9" s="118"/>
      <c r="Q9" s="118">
        <v>1</v>
      </c>
      <c r="R9" s="118"/>
      <c r="S9" s="118"/>
      <c r="T9" s="118">
        <v>1.25</v>
      </c>
      <c r="U9" s="118">
        <v>1.25</v>
      </c>
      <c r="V9" s="118">
        <v>1.25</v>
      </c>
      <c r="W9" s="118">
        <v>1.25</v>
      </c>
      <c r="X9" s="118">
        <v>1.25</v>
      </c>
      <c r="Y9" s="118"/>
      <c r="Z9" s="118"/>
      <c r="AA9" s="118"/>
      <c r="AB9" s="118">
        <v>1</v>
      </c>
      <c r="AC9" s="118">
        <v>1</v>
      </c>
      <c r="AD9" s="118">
        <v>1</v>
      </c>
      <c r="AE9" s="118">
        <v>1</v>
      </c>
      <c r="AF9" s="118">
        <v>0.5</v>
      </c>
      <c r="AG9" s="118"/>
      <c r="AH9" s="118">
        <v>1.5</v>
      </c>
      <c r="AI9" s="118">
        <v>1.5</v>
      </c>
      <c r="AJ9" s="118">
        <v>1.5</v>
      </c>
      <c r="AK9" s="118">
        <v>1.5</v>
      </c>
      <c r="AL9" s="118">
        <v>1</v>
      </c>
      <c r="AM9" s="118"/>
      <c r="AN9" s="118"/>
      <c r="AO9" s="118">
        <v>1.5</v>
      </c>
      <c r="AP9" s="119">
        <f t="shared" si="1"/>
        <v>21.625</v>
      </c>
      <c r="AQ9" s="115">
        <v>230000</v>
      </c>
      <c r="AR9" s="120">
        <f t="shared" si="2"/>
        <v>4973750</v>
      </c>
    </row>
    <row r="10" spans="1:44" ht="24.95" customHeight="1">
      <c r="A10" s="121">
        <v>5</v>
      </c>
      <c r="B10" s="113" t="s">
        <v>427</v>
      </c>
      <c r="C10" s="114" t="s">
        <v>428</v>
      </c>
      <c r="D10" s="122" t="s">
        <v>426</v>
      </c>
      <c r="E10" s="114" t="s">
        <v>429</v>
      </c>
      <c r="F10" s="123" t="s">
        <v>324</v>
      </c>
      <c r="G10" s="116" t="s">
        <v>427</v>
      </c>
      <c r="H10" s="117" t="s">
        <v>430</v>
      </c>
      <c r="I10" s="118"/>
      <c r="J10" s="118"/>
      <c r="K10" s="118"/>
      <c r="L10" s="118"/>
      <c r="M10" s="118"/>
      <c r="N10" s="118">
        <v>1</v>
      </c>
      <c r="O10" s="118">
        <v>0.125</v>
      </c>
      <c r="P10" s="118"/>
      <c r="Q10" s="118">
        <v>1</v>
      </c>
      <c r="R10" s="118"/>
      <c r="S10" s="118"/>
      <c r="T10" s="118">
        <v>1.25</v>
      </c>
      <c r="U10" s="118">
        <v>1.25</v>
      </c>
      <c r="V10" s="118">
        <v>1.25</v>
      </c>
      <c r="W10" s="118">
        <v>1.25</v>
      </c>
      <c r="X10" s="118">
        <v>1.25</v>
      </c>
      <c r="Y10" s="118"/>
      <c r="Z10" s="118"/>
      <c r="AA10" s="118"/>
      <c r="AB10" s="118">
        <v>1</v>
      </c>
      <c r="AC10" s="118">
        <v>1</v>
      </c>
      <c r="AD10" s="118">
        <v>1</v>
      </c>
      <c r="AE10" s="118">
        <v>1</v>
      </c>
      <c r="AF10" s="118">
        <v>0.5</v>
      </c>
      <c r="AG10" s="118"/>
      <c r="AH10" s="118">
        <v>1.5</v>
      </c>
      <c r="AI10" s="118">
        <v>1.5</v>
      </c>
      <c r="AJ10" s="118">
        <v>1.5</v>
      </c>
      <c r="AK10" s="118">
        <v>1.5</v>
      </c>
      <c r="AL10" s="118">
        <v>1</v>
      </c>
      <c r="AM10" s="118"/>
      <c r="AN10" s="118"/>
      <c r="AO10" s="118">
        <v>1.5</v>
      </c>
      <c r="AP10" s="119">
        <f t="shared" si="1"/>
        <v>21.375</v>
      </c>
      <c r="AQ10" s="115">
        <v>210000</v>
      </c>
      <c r="AR10" s="120">
        <f t="shared" si="2"/>
        <v>4488750</v>
      </c>
    </row>
    <row r="11" spans="1:44" ht="24.95" customHeight="1">
      <c r="A11" s="121">
        <v>6</v>
      </c>
      <c r="B11" s="113" t="s">
        <v>352</v>
      </c>
      <c r="C11" s="114" t="s">
        <v>353</v>
      </c>
      <c r="D11" s="124" t="s">
        <v>425</v>
      </c>
      <c r="E11" s="114" t="s">
        <v>354</v>
      </c>
      <c r="F11" s="123" t="s">
        <v>355</v>
      </c>
      <c r="G11" s="116" t="s">
        <v>352</v>
      </c>
      <c r="H11" s="117" t="s">
        <v>356</v>
      </c>
      <c r="I11" s="118">
        <v>0.75</v>
      </c>
      <c r="J11" s="118">
        <v>1.125</v>
      </c>
      <c r="K11" s="118"/>
      <c r="L11" s="118"/>
      <c r="M11" s="118"/>
      <c r="N11" s="118"/>
      <c r="O11" s="118">
        <v>1.125</v>
      </c>
      <c r="P11" s="118"/>
      <c r="Q11" s="118">
        <v>1</v>
      </c>
      <c r="R11" s="118"/>
      <c r="S11" s="118"/>
      <c r="T11" s="118">
        <v>1.25</v>
      </c>
      <c r="U11" s="118">
        <v>1.25</v>
      </c>
      <c r="V11" s="118">
        <v>1.25</v>
      </c>
      <c r="W11" s="118">
        <v>1.25</v>
      </c>
      <c r="X11" s="118">
        <v>1.25</v>
      </c>
      <c r="Y11" s="118"/>
      <c r="Z11" s="118"/>
      <c r="AA11" s="118">
        <v>0.1875</v>
      </c>
      <c r="AB11" s="118">
        <v>1</v>
      </c>
      <c r="AC11" s="118">
        <v>1</v>
      </c>
      <c r="AD11" s="118">
        <v>1</v>
      </c>
      <c r="AE11" s="118">
        <v>1</v>
      </c>
      <c r="AF11" s="118"/>
      <c r="AG11" s="118"/>
      <c r="AH11" s="118">
        <v>1.5</v>
      </c>
      <c r="AI11" s="118">
        <v>1.375</v>
      </c>
      <c r="AJ11" s="118">
        <v>1.5</v>
      </c>
      <c r="AK11" s="118">
        <v>1.375</v>
      </c>
      <c r="AL11" s="118">
        <v>1</v>
      </c>
      <c r="AM11" s="118"/>
      <c r="AN11" s="118"/>
      <c r="AO11" s="118">
        <v>1.5</v>
      </c>
      <c r="AP11" s="119">
        <f t="shared" si="1"/>
        <v>22.6875</v>
      </c>
      <c r="AQ11" s="115">
        <v>180000</v>
      </c>
      <c r="AR11" s="120">
        <f t="shared" si="2"/>
        <v>4083750</v>
      </c>
    </row>
    <row r="12" spans="1:44" ht="24.95" customHeight="1">
      <c r="A12" s="121">
        <v>7</v>
      </c>
      <c r="B12" s="113" t="s">
        <v>357</v>
      </c>
      <c r="C12" s="114" t="s">
        <v>358</v>
      </c>
      <c r="D12" s="122" t="s">
        <v>325</v>
      </c>
      <c r="E12" s="114" t="s">
        <v>359</v>
      </c>
      <c r="F12" s="123" t="s">
        <v>323</v>
      </c>
      <c r="G12" s="116" t="s">
        <v>357</v>
      </c>
      <c r="H12" s="117" t="s">
        <v>360</v>
      </c>
      <c r="I12" s="118">
        <v>0.75</v>
      </c>
      <c r="J12" s="118">
        <v>1.125</v>
      </c>
      <c r="K12" s="118"/>
      <c r="L12" s="118"/>
      <c r="M12" s="118">
        <v>1</v>
      </c>
      <c r="N12" s="118"/>
      <c r="O12" s="118">
        <v>1.125</v>
      </c>
      <c r="P12" s="118"/>
      <c r="Q12" s="118">
        <v>1</v>
      </c>
      <c r="R12" s="118"/>
      <c r="S12" s="118"/>
      <c r="T12" s="118">
        <v>1</v>
      </c>
      <c r="U12" s="118">
        <v>1.25</v>
      </c>
      <c r="V12" s="118">
        <v>1.25</v>
      </c>
      <c r="W12" s="118">
        <v>1.25</v>
      </c>
      <c r="X12" s="118">
        <v>1.25</v>
      </c>
      <c r="Y12" s="118"/>
      <c r="Z12" s="118"/>
      <c r="AA12" s="118"/>
      <c r="AB12" s="118">
        <v>1</v>
      </c>
      <c r="AC12" s="118">
        <v>1</v>
      </c>
      <c r="AD12" s="118">
        <v>1</v>
      </c>
      <c r="AE12" s="118">
        <v>1</v>
      </c>
      <c r="AF12" s="118">
        <v>1</v>
      </c>
      <c r="AG12" s="118"/>
      <c r="AH12" s="118">
        <v>1</v>
      </c>
      <c r="AI12" s="118">
        <v>1.5</v>
      </c>
      <c r="AJ12" s="118">
        <v>1.5</v>
      </c>
      <c r="AK12" s="118">
        <v>1.5</v>
      </c>
      <c r="AL12" s="118">
        <v>1</v>
      </c>
      <c r="AM12" s="118"/>
      <c r="AN12" s="118"/>
      <c r="AO12" s="118">
        <v>1.5</v>
      </c>
      <c r="AP12" s="119">
        <f t="shared" si="1"/>
        <v>24</v>
      </c>
      <c r="AQ12" s="115">
        <v>220000</v>
      </c>
      <c r="AR12" s="120">
        <f t="shared" si="2"/>
        <v>5280000</v>
      </c>
    </row>
    <row r="13" spans="1:44" ht="24.95" customHeight="1">
      <c r="A13" s="121">
        <v>8</v>
      </c>
      <c r="B13" s="113" t="s">
        <v>361</v>
      </c>
      <c r="C13" s="114" t="s">
        <v>362</v>
      </c>
      <c r="D13" s="124" t="s">
        <v>325</v>
      </c>
      <c r="E13" s="114" t="s">
        <v>363</v>
      </c>
      <c r="F13" s="123" t="s">
        <v>320</v>
      </c>
      <c r="G13" s="116" t="s">
        <v>361</v>
      </c>
      <c r="H13" s="117" t="s">
        <v>364</v>
      </c>
      <c r="I13" s="118">
        <v>0.75</v>
      </c>
      <c r="J13" s="118">
        <v>1.125</v>
      </c>
      <c r="K13" s="118"/>
      <c r="L13" s="118"/>
      <c r="M13" s="118">
        <v>1</v>
      </c>
      <c r="N13" s="118"/>
      <c r="O13" s="118">
        <v>1.125</v>
      </c>
      <c r="P13" s="118"/>
      <c r="Q13" s="118">
        <v>1</v>
      </c>
      <c r="R13" s="118"/>
      <c r="S13" s="118"/>
      <c r="T13" s="118">
        <v>1.25</v>
      </c>
      <c r="U13" s="118">
        <v>1.25</v>
      </c>
      <c r="V13" s="118">
        <v>0.875</v>
      </c>
      <c r="W13" s="118">
        <v>1.25</v>
      </c>
      <c r="X13" s="118">
        <v>1</v>
      </c>
      <c r="Y13" s="118"/>
      <c r="Z13" s="118"/>
      <c r="AA13" s="118"/>
      <c r="AB13" s="118">
        <v>1</v>
      </c>
      <c r="AC13" s="118">
        <v>1</v>
      </c>
      <c r="AD13" s="118">
        <v>1</v>
      </c>
      <c r="AE13" s="118">
        <v>1</v>
      </c>
      <c r="AF13" s="118">
        <v>1</v>
      </c>
      <c r="AG13" s="118"/>
      <c r="AH13" s="118">
        <v>1.5</v>
      </c>
      <c r="AI13" s="118">
        <v>1.5</v>
      </c>
      <c r="AJ13" s="118">
        <v>1.5</v>
      </c>
      <c r="AK13" s="118">
        <v>1.5</v>
      </c>
      <c r="AL13" s="118">
        <v>1</v>
      </c>
      <c r="AM13" s="118"/>
      <c r="AN13" s="118"/>
      <c r="AO13" s="118">
        <v>1.5</v>
      </c>
      <c r="AP13" s="119">
        <f t="shared" si="1"/>
        <v>24.125</v>
      </c>
      <c r="AQ13" s="115">
        <v>230000</v>
      </c>
      <c r="AR13" s="120">
        <f t="shared" si="2"/>
        <v>5548750</v>
      </c>
    </row>
    <row r="14" spans="1:44" ht="24.95" customHeight="1">
      <c r="A14" s="121">
        <v>3</v>
      </c>
      <c r="B14" s="113" t="s">
        <v>365</v>
      </c>
      <c r="C14" s="114" t="s">
        <v>366</v>
      </c>
      <c r="D14" s="124" t="s">
        <v>325</v>
      </c>
      <c r="E14" s="114" t="s">
        <v>367</v>
      </c>
      <c r="F14" s="123" t="s">
        <v>323</v>
      </c>
      <c r="G14" s="116" t="s">
        <v>365</v>
      </c>
      <c r="H14" s="117" t="s">
        <v>368</v>
      </c>
      <c r="I14" s="118">
        <v>0.75</v>
      </c>
      <c r="J14" s="118">
        <v>1.125</v>
      </c>
      <c r="K14" s="118"/>
      <c r="L14" s="118"/>
      <c r="M14" s="118">
        <v>1</v>
      </c>
      <c r="N14" s="118"/>
      <c r="O14" s="118">
        <v>1.125</v>
      </c>
      <c r="P14" s="118"/>
      <c r="Q14" s="118">
        <v>1</v>
      </c>
      <c r="R14" s="118"/>
      <c r="S14" s="118"/>
      <c r="T14" s="118">
        <v>1</v>
      </c>
      <c r="U14" s="118">
        <v>1.25</v>
      </c>
      <c r="V14" s="118">
        <v>1</v>
      </c>
      <c r="W14" s="118">
        <v>1.25</v>
      </c>
      <c r="X14" s="118">
        <v>1.25</v>
      </c>
      <c r="Y14" s="118"/>
      <c r="Z14" s="118"/>
      <c r="AA14" s="118"/>
      <c r="AB14" s="118">
        <v>1</v>
      </c>
      <c r="AC14" s="118">
        <v>1</v>
      </c>
      <c r="AD14" s="118">
        <v>1</v>
      </c>
      <c r="AE14" s="118">
        <v>0.875</v>
      </c>
      <c r="AF14" s="118">
        <v>1</v>
      </c>
      <c r="AG14" s="118"/>
      <c r="AH14" s="118">
        <v>1.5</v>
      </c>
      <c r="AI14" s="118">
        <v>1.5</v>
      </c>
      <c r="AJ14" s="118">
        <v>1.5</v>
      </c>
      <c r="AK14" s="118">
        <v>1.5</v>
      </c>
      <c r="AL14" s="118">
        <v>1</v>
      </c>
      <c r="AM14" s="118"/>
      <c r="AN14" s="118"/>
      <c r="AO14" s="118">
        <v>1.5</v>
      </c>
      <c r="AP14" s="119">
        <f t="shared" si="1"/>
        <v>24.125</v>
      </c>
      <c r="AQ14" s="115">
        <v>200000</v>
      </c>
      <c r="AR14" s="120">
        <f t="shared" si="0"/>
        <v>4825000</v>
      </c>
    </row>
    <row r="15" spans="1:44" ht="24.95" customHeight="1">
      <c r="A15" s="121">
        <v>4</v>
      </c>
      <c r="B15" s="113" t="s">
        <v>369</v>
      </c>
      <c r="C15" s="114" t="s">
        <v>370</v>
      </c>
      <c r="D15" s="122" t="s">
        <v>371</v>
      </c>
      <c r="E15" s="114" t="s">
        <v>372</v>
      </c>
      <c r="F15" s="123" t="s">
        <v>322</v>
      </c>
      <c r="G15" s="116" t="s">
        <v>369</v>
      </c>
      <c r="H15" s="117" t="s">
        <v>373</v>
      </c>
      <c r="I15" s="118">
        <v>0.75</v>
      </c>
      <c r="J15" s="118">
        <v>1.125</v>
      </c>
      <c r="K15" s="118"/>
      <c r="L15" s="118"/>
      <c r="M15" s="118">
        <v>1</v>
      </c>
      <c r="N15" s="118"/>
      <c r="O15" s="118">
        <v>1.125</v>
      </c>
      <c r="P15" s="118"/>
      <c r="Q15" s="118">
        <v>1</v>
      </c>
      <c r="R15" s="118"/>
      <c r="S15" s="118"/>
      <c r="T15" s="118">
        <v>1.25</v>
      </c>
      <c r="U15" s="118">
        <v>1.25</v>
      </c>
      <c r="V15" s="118">
        <v>1.25</v>
      </c>
      <c r="W15" s="118">
        <v>1.25</v>
      </c>
      <c r="X15" s="118">
        <v>1.25</v>
      </c>
      <c r="Y15" s="118"/>
      <c r="Z15" s="118"/>
      <c r="AA15" s="118"/>
      <c r="AB15" s="118">
        <v>1</v>
      </c>
      <c r="AC15" s="118">
        <v>1</v>
      </c>
      <c r="AD15" s="118">
        <v>1</v>
      </c>
      <c r="AE15" s="118">
        <v>1</v>
      </c>
      <c r="AF15" s="118"/>
      <c r="AG15" s="118"/>
      <c r="AH15" s="118">
        <v>1.5</v>
      </c>
      <c r="AI15" s="118">
        <v>1.5</v>
      </c>
      <c r="AJ15" s="118">
        <v>1.5</v>
      </c>
      <c r="AK15" s="118">
        <v>1.5</v>
      </c>
      <c r="AL15" s="118">
        <v>1</v>
      </c>
      <c r="AM15" s="118"/>
      <c r="AN15" s="118"/>
      <c r="AO15" s="118">
        <v>1.5</v>
      </c>
      <c r="AP15" s="119">
        <f t="shared" si="1"/>
        <v>23.75</v>
      </c>
      <c r="AQ15" s="115">
        <v>240000</v>
      </c>
      <c r="AR15" s="120">
        <f t="shared" si="0"/>
        <v>5700000</v>
      </c>
    </row>
    <row r="16" spans="1:44" ht="24.95" customHeight="1">
      <c r="A16" s="121">
        <v>5</v>
      </c>
      <c r="B16" s="113" t="s">
        <v>374</v>
      </c>
      <c r="C16" s="114" t="s">
        <v>375</v>
      </c>
      <c r="D16" s="122" t="s">
        <v>371</v>
      </c>
      <c r="E16" s="114" t="s">
        <v>376</v>
      </c>
      <c r="F16" s="123" t="s">
        <v>323</v>
      </c>
      <c r="G16" s="116" t="s">
        <v>374</v>
      </c>
      <c r="H16" s="117" t="s">
        <v>431</v>
      </c>
      <c r="I16" s="118">
        <v>0.75</v>
      </c>
      <c r="J16" s="118">
        <v>1.125</v>
      </c>
      <c r="K16" s="118"/>
      <c r="L16" s="118"/>
      <c r="M16" s="118">
        <v>1</v>
      </c>
      <c r="N16" s="118"/>
      <c r="O16" s="118">
        <v>1.125</v>
      </c>
      <c r="P16" s="118"/>
      <c r="Q16" s="118">
        <v>1</v>
      </c>
      <c r="R16" s="118"/>
      <c r="S16" s="118"/>
      <c r="T16" s="118">
        <v>1.25</v>
      </c>
      <c r="U16" s="118">
        <v>1.25</v>
      </c>
      <c r="V16" s="118">
        <v>1.25</v>
      </c>
      <c r="W16" s="118">
        <v>1.25</v>
      </c>
      <c r="X16" s="118">
        <v>1.25</v>
      </c>
      <c r="Y16" s="118"/>
      <c r="Z16" s="118"/>
      <c r="AA16" s="118"/>
      <c r="AB16" s="118">
        <v>1</v>
      </c>
      <c r="AC16" s="118">
        <v>1</v>
      </c>
      <c r="AD16" s="118">
        <v>1</v>
      </c>
      <c r="AE16" s="118"/>
      <c r="AF16" s="118">
        <v>0.5</v>
      </c>
      <c r="AG16" s="118"/>
      <c r="AH16" s="118">
        <v>1.5</v>
      </c>
      <c r="AI16" s="118">
        <v>1.5</v>
      </c>
      <c r="AJ16" s="118">
        <v>1.5</v>
      </c>
      <c r="AK16" s="118">
        <v>1.5</v>
      </c>
      <c r="AL16" s="118">
        <v>0.75</v>
      </c>
      <c r="AM16" s="118"/>
      <c r="AN16" s="118"/>
      <c r="AO16" s="118">
        <v>1.5</v>
      </c>
      <c r="AP16" s="119">
        <f t="shared" si="1"/>
        <v>23</v>
      </c>
      <c r="AQ16" s="115">
        <v>240000</v>
      </c>
      <c r="AR16" s="120">
        <f t="shared" si="0"/>
        <v>5520000</v>
      </c>
    </row>
    <row r="17" spans="1:44" ht="24.95" customHeight="1">
      <c r="A17" s="121">
        <v>6</v>
      </c>
      <c r="B17" s="113" t="s">
        <v>377</v>
      </c>
      <c r="C17" s="114" t="s">
        <v>378</v>
      </c>
      <c r="D17" s="124" t="s">
        <v>321</v>
      </c>
      <c r="E17" s="114" t="s">
        <v>379</v>
      </c>
      <c r="F17" s="123" t="s">
        <v>380</v>
      </c>
      <c r="G17" s="116" t="s">
        <v>377</v>
      </c>
      <c r="H17" s="117" t="s">
        <v>381</v>
      </c>
      <c r="I17" s="118">
        <v>0.75</v>
      </c>
      <c r="J17" s="118">
        <v>1.125</v>
      </c>
      <c r="K17" s="118"/>
      <c r="L17" s="118"/>
      <c r="M17" s="118">
        <v>1</v>
      </c>
      <c r="N17" s="118"/>
      <c r="O17" s="118">
        <v>1.125</v>
      </c>
      <c r="P17" s="118"/>
      <c r="Q17" s="118">
        <v>1</v>
      </c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>
        <f t="shared" si="1"/>
        <v>5</v>
      </c>
      <c r="AQ17" s="115">
        <v>160000</v>
      </c>
      <c r="AR17" s="120">
        <f t="shared" si="0"/>
        <v>800000</v>
      </c>
    </row>
    <row r="18" spans="1:44" ht="24.95" customHeight="1">
      <c r="A18" s="121">
        <v>7</v>
      </c>
      <c r="B18" s="113" t="s">
        <v>382</v>
      </c>
      <c r="C18" s="114" t="s">
        <v>383</v>
      </c>
      <c r="D18" s="122" t="s">
        <v>321</v>
      </c>
      <c r="E18" s="114" t="s">
        <v>384</v>
      </c>
      <c r="F18" s="123" t="s">
        <v>385</v>
      </c>
      <c r="G18" s="116" t="s">
        <v>382</v>
      </c>
      <c r="H18" s="117" t="s">
        <v>386</v>
      </c>
      <c r="I18" s="118">
        <v>0.75</v>
      </c>
      <c r="J18" s="118">
        <v>1.125</v>
      </c>
      <c r="K18" s="118"/>
      <c r="L18" s="118"/>
      <c r="M18" s="118">
        <v>1</v>
      </c>
      <c r="N18" s="118"/>
      <c r="O18" s="118">
        <v>1.125</v>
      </c>
      <c r="P18" s="118"/>
      <c r="Q18" s="118"/>
      <c r="R18" s="118"/>
      <c r="S18" s="118"/>
      <c r="T18" s="118"/>
      <c r="U18" s="118">
        <v>1.25</v>
      </c>
      <c r="V18" s="118">
        <v>1</v>
      </c>
      <c r="W18" s="118">
        <v>1.25</v>
      </c>
      <c r="X18" s="118">
        <v>1.25</v>
      </c>
      <c r="Y18" s="118"/>
      <c r="Z18" s="118"/>
      <c r="AA18" s="118"/>
      <c r="AB18" s="118">
        <v>1</v>
      </c>
      <c r="AC18" s="118">
        <v>1</v>
      </c>
      <c r="AD18" s="118">
        <v>1</v>
      </c>
      <c r="AE18" s="118">
        <v>1</v>
      </c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>
        <f t="shared" si="1"/>
        <v>12.75</v>
      </c>
      <c r="AQ18" s="115">
        <v>160000</v>
      </c>
      <c r="AR18" s="120">
        <f t="shared" si="0"/>
        <v>2040000</v>
      </c>
    </row>
    <row r="19" spans="1:44" ht="24.95" customHeight="1">
      <c r="A19" s="121">
        <v>8</v>
      </c>
      <c r="B19" s="113" t="s">
        <v>387</v>
      </c>
      <c r="C19" s="114" t="s">
        <v>388</v>
      </c>
      <c r="D19" s="124" t="s">
        <v>321</v>
      </c>
      <c r="E19" s="114" t="s">
        <v>389</v>
      </c>
      <c r="F19" s="123" t="s">
        <v>324</v>
      </c>
      <c r="G19" s="116" t="s">
        <v>387</v>
      </c>
      <c r="H19" s="117" t="s">
        <v>390</v>
      </c>
      <c r="I19" s="118">
        <v>0.75</v>
      </c>
      <c r="J19" s="118">
        <v>1.125</v>
      </c>
      <c r="K19" s="118"/>
      <c r="L19" s="118"/>
      <c r="M19" s="118">
        <v>1</v>
      </c>
      <c r="N19" s="118"/>
      <c r="O19" s="118">
        <v>1.125</v>
      </c>
      <c r="P19" s="118"/>
      <c r="Q19" s="118">
        <v>1</v>
      </c>
      <c r="R19" s="118"/>
      <c r="S19" s="118"/>
      <c r="T19" s="118">
        <v>1.25</v>
      </c>
      <c r="U19" s="118">
        <v>1.25</v>
      </c>
      <c r="V19" s="118">
        <v>1.25</v>
      </c>
      <c r="W19" s="118">
        <v>1.25</v>
      </c>
      <c r="X19" s="118">
        <v>1.25</v>
      </c>
      <c r="Y19" s="118"/>
      <c r="Z19" s="118"/>
      <c r="AA19" s="118"/>
      <c r="AB19" s="118">
        <v>1</v>
      </c>
      <c r="AC19" s="118">
        <v>1</v>
      </c>
      <c r="AD19" s="118">
        <v>1</v>
      </c>
      <c r="AE19" s="118">
        <v>1</v>
      </c>
      <c r="AF19" s="118"/>
      <c r="AG19" s="118"/>
      <c r="AH19" s="118">
        <v>1.5</v>
      </c>
      <c r="AI19" s="118">
        <v>1.5</v>
      </c>
      <c r="AJ19" s="118">
        <v>1.5</v>
      </c>
      <c r="AK19" s="118">
        <v>1.375</v>
      </c>
      <c r="AL19" s="118">
        <v>1</v>
      </c>
      <c r="AM19" s="118"/>
      <c r="AN19" s="118"/>
      <c r="AO19" s="118">
        <v>1.5</v>
      </c>
      <c r="AP19" s="119">
        <f t="shared" si="1"/>
        <v>23.625</v>
      </c>
      <c r="AQ19" s="115">
        <v>150000</v>
      </c>
      <c r="AR19" s="120">
        <f t="shared" si="0"/>
        <v>3543750</v>
      </c>
    </row>
    <row r="20" spans="1:44" ht="24.95" customHeight="1">
      <c r="A20" s="121">
        <v>3</v>
      </c>
      <c r="B20" s="113" t="s">
        <v>391</v>
      </c>
      <c r="C20" s="114" t="s">
        <v>392</v>
      </c>
      <c r="D20" s="124" t="s">
        <v>321</v>
      </c>
      <c r="E20" s="114" t="s">
        <v>393</v>
      </c>
      <c r="F20" s="123" t="s">
        <v>322</v>
      </c>
      <c r="G20" s="116" t="s">
        <v>391</v>
      </c>
      <c r="H20" s="117" t="s">
        <v>394</v>
      </c>
      <c r="I20" s="118">
        <v>0.75</v>
      </c>
      <c r="J20" s="118">
        <v>1.125</v>
      </c>
      <c r="K20" s="118"/>
      <c r="L20" s="118"/>
      <c r="M20" s="118"/>
      <c r="N20" s="118"/>
      <c r="O20" s="118">
        <v>1.125</v>
      </c>
      <c r="P20" s="118"/>
      <c r="Q20" s="118">
        <v>1</v>
      </c>
      <c r="R20" s="118"/>
      <c r="S20" s="118"/>
      <c r="T20" s="118">
        <v>1.25</v>
      </c>
      <c r="U20" s="118">
        <v>1.25</v>
      </c>
      <c r="V20" s="118">
        <v>1.25</v>
      </c>
      <c r="W20" s="118">
        <v>1.25</v>
      </c>
      <c r="X20" s="118">
        <v>1.25</v>
      </c>
      <c r="Y20" s="118"/>
      <c r="Z20" s="118"/>
      <c r="AA20" s="118"/>
      <c r="AB20" s="118">
        <v>1</v>
      </c>
      <c r="AC20" s="118">
        <v>1</v>
      </c>
      <c r="AD20" s="118">
        <v>0.875</v>
      </c>
      <c r="AE20" s="118">
        <v>1</v>
      </c>
      <c r="AF20" s="118"/>
      <c r="AG20" s="118"/>
      <c r="AH20" s="118">
        <v>1.5</v>
      </c>
      <c r="AI20" s="118">
        <v>1.5</v>
      </c>
      <c r="AJ20" s="118">
        <v>1.5</v>
      </c>
      <c r="AK20" s="118"/>
      <c r="AL20" s="118">
        <v>1</v>
      </c>
      <c r="AM20" s="118"/>
      <c r="AN20" s="118"/>
      <c r="AO20" s="118">
        <v>1.25</v>
      </c>
      <c r="AP20" s="119">
        <f t="shared" si="1"/>
        <v>20.875</v>
      </c>
      <c r="AQ20" s="115">
        <v>150000</v>
      </c>
      <c r="AR20" s="120">
        <f t="shared" ref="AR20:AR25" si="3">AP20*AQ20</f>
        <v>3131250</v>
      </c>
    </row>
    <row r="21" spans="1:44" ht="24.95" customHeight="1">
      <c r="A21" s="121">
        <v>4</v>
      </c>
      <c r="B21" s="113" t="s">
        <v>395</v>
      </c>
      <c r="C21" s="114" t="s">
        <v>396</v>
      </c>
      <c r="D21" s="122" t="s">
        <v>321</v>
      </c>
      <c r="E21" s="114" t="s">
        <v>397</v>
      </c>
      <c r="F21" s="123" t="s">
        <v>322</v>
      </c>
      <c r="G21" s="116" t="s">
        <v>395</v>
      </c>
      <c r="H21" s="117" t="s">
        <v>398</v>
      </c>
      <c r="I21" s="118">
        <v>0.75</v>
      </c>
      <c r="J21" s="118">
        <v>1.125</v>
      </c>
      <c r="K21" s="118"/>
      <c r="L21" s="118"/>
      <c r="M21" s="118">
        <v>1</v>
      </c>
      <c r="N21" s="118"/>
      <c r="O21" s="118">
        <v>1.125</v>
      </c>
      <c r="P21" s="118"/>
      <c r="Q21" s="118">
        <v>1</v>
      </c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>
        <f t="shared" si="1"/>
        <v>5</v>
      </c>
      <c r="AQ21" s="115">
        <v>160000</v>
      </c>
      <c r="AR21" s="120">
        <f t="shared" si="3"/>
        <v>800000</v>
      </c>
    </row>
    <row r="22" spans="1:44" ht="24.95" customHeight="1">
      <c r="A22" s="121">
        <v>5</v>
      </c>
      <c r="B22" s="113" t="s">
        <v>399</v>
      </c>
      <c r="C22" s="114" t="s">
        <v>400</v>
      </c>
      <c r="D22" s="122" t="s">
        <v>321</v>
      </c>
      <c r="E22" s="114" t="s">
        <v>401</v>
      </c>
      <c r="F22" s="123" t="s">
        <v>323</v>
      </c>
      <c r="G22" s="116" t="s">
        <v>399</v>
      </c>
      <c r="H22" s="117" t="s">
        <v>402</v>
      </c>
      <c r="I22" s="118">
        <v>0.75</v>
      </c>
      <c r="J22" s="118">
        <v>1.125</v>
      </c>
      <c r="K22" s="118"/>
      <c r="L22" s="118"/>
      <c r="M22" s="118">
        <v>1</v>
      </c>
      <c r="N22" s="118"/>
      <c r="O22" s="118">
        <v>1.125</v>
      </c>
      <c r="P22" s="118"/>
      <c r="Q22" s="118">
        <v>1</v>
      </c>
      <c r="R22" s="118"/>
      <c r="S22" s="118"/>
      <c r="T22" s="118">
        <v>1.25</v>
      </c>
      <c r="U22" s="118">
        <v>1.25</v>
      </c>
      <c r="V22" s="118">
        <v>1.25</v>
      </c>
      <c r="W22" s="118">
        <v>1.25</v>
      </c>
      <c r="X22" s="118">
        <v>1.25</v>
      </c>
      <c r="Y22" s="118"/>
      <c r="Z22" s="118"/>
      <c r="AA22" s="118"/>
      <c r="AB22" s="118">
        <v>1</v>
      </c>
      <c r="AC22" s="118">
        <v>1</v>
      </c>
      <c r="AD22" s="118">
        <v>1</v>
      </c>
      <c r="AE22" s="118">
        <v>1</v>
      </c>
      <c r="AF22" s="118"/>
      <c r="AG22" s="118"/>
      <c r="AH22" s="118">
        <v>1</v>
      </c>
      <c r="AI22" s="118">
        <v>1.5</v>
      </c>
      <c r="AJ22" s="118">
        <v>1.5</v>
      </c>
      <c r="AK22" s="118">
        <v>1.5</v>
      </c>
      <c r="AL22" s="118">
        <v>1</v>
      </c>
      <c r="AM22" s="118"/>
      <c r="AN22" s="118"/>
      <c r="AO22" s="118">
        <v>1.5</v>
      </c>
      <c r="AP22" s="119">
        <f t="shared" si="1"/>
        <v>23.25</v>
      </c>
      <c r="AQ22" s="115">
        <v>160000</v>
      </c>
      <c r="AR22" s="120">
        <f t="shared" si="3"/>
        <v>3720000</v>
      </c>
    </row>
    <row r="23" spans="1:44" ht="24.95" customHeight="1">
      <c r="A23" s="121">
        <v>6</v>
      </c>
      <c r="B23" s="113" t="s">
        <v>403</v>
      </c>
      <c r="C23" s="114" t="s">
        <v>404</v>
      </c>
      <c r="D23" s="124" t="s">
        <v>321</v>
      </c>
      <c r="E23" s="114" t="s">
        <v>405</v>
      </c>
      <c r="F23" s="123" t="s">
        <v>322</v>
      </c>
      <c r="G23" s="116" t="s">
        <v>403</v>
      </c>
      <c r="H23" s="117" t="s">
        <v>406</v>
      </c>
      <c r="I23" s="118">
        <v>0.75</v>
      </c>
      <c r="J23" s="118">
        <v>1.125</v>
      </c>
      <c r="K23" s="118"/>
      <c r="L23" s="118"/>
      <c r="M23" s="118"/>
      <c r="N23" s="118"/>
      <c r="O23" s="118">
        <v>1.125</v>
      </c>
      <c r="P23" s="118"/>
      <c r="Q23" s="118">
        <v>1</v>
      </c>
      <c r="R23" s="118"/>
      <c r="S23" s="118"/>
      <c r="T23" s="118">
        <v>1.25</v>
      </c>
      <c r="U23" s="118">
        <v>1.25</v>
      </c>
      <c r="V23" s="118">
        <v>1.25</v>
      </c>
      <c r="W23" s="118">
        <v>1.25</v>
      </c>
      <c r="X23" s="118">
        <v>1.25</v>
      </c>
      <c r="Y23" s="118"/>
      <c r="Z23" s="118"/>
      <c r="AA23" s="118"/>
      <c r="AB23" s="118">
        <v>1</v>
      </c>
      <c r="AC23" s="118">
        <v>1</v>
      </c>
      <c r="AD23" s="118">
        <v>1</v>
      </c>
      <c r="AE23" s="118">
        <v>1</v>
      </c>
      <c r="AF23" s="118"/>
      <c r="AG23" s="118"/>
      <c r="AH23" s="118">
        <v>1.5</v>
      </c>
      <c r="AI23" s="118">
        <v>1.5</v>
      </c>
      <c r="AJ23" s="118">
        <v>1.5</v>
      </c>
      <c r="AK23" s="118">
        <v>1.5</v>
      </c>
      <c r="AL23" s="118">
        <v>1</v>
      </c>
      <c r="AM23" s="118"/>
      <c r="AN23" s="118"/>
      <c r="AO23" s="118">
        <v>1.5</v>
      </c>
      <c r="AP23" s="119">
        <f t="shared" si="1"/>
        <v>22.75</v>
      </c>
      <c r="AQ23" s="115">
        <v>200000</v>
      </c>
      <c r="AR23" s="120">
        <f t="shared" si="3"/>
        <v>4550000</v>
      </c>
    </row>
    <row r="24" spans="1:44" ht="24.95" customHeight="1">
      <c r="A24" s="121">
        <v>7</v>
      </c>
      <c r="B24" s="113" t="s">
        <v>407</v>
      </c>
      <c r="C24" s="114" t="s">
        <v>408</v>
      </c>
      <c r="D24" s="122" t="s">
        <v>321</v>
      </c>
      <c r="E24" s="114" t="s">
        <v>409</v>
      </c>
      <c r="F24" s="123" t="s">
        <v>323</v>
      </c>
      <c r="G24" s="116" t="s">
        <v>407</v>
      </c>
      <c r="H24" s="117" t="s">
        <v>410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>
        <v>1.125</v>
      </c>
      <c r="AC24" s="118">
        <v>1.125</v>
      </c>
      <c r="AD24" s="118">
        <v>0.5</v>
      </c>
      <c r="AE24" s="118"/>
      <c r="AF24" s="118"/>
      <c r="AG24" s="118"/>
      <c r="AH24" s="118">
        <v>1</v>
      </c>
      <c r="AI24" s="118">
        <v>1.5</v>
      </c>
      <c r="AJ24" s="118">
        <v>1</v>
      </c>
      <c r="AK24" s="118">
        <v>1.5</v>
      </c>
      <c r="AL24" s="118">
        <v>0.875</v>
      </c>
      <c r="AM24" s="118"/>
      <c r="AN24" s="118"/>
      <c r="AO24" s="118">
        <v>1.5</v>
      </c>
      <c r="AP24" s="119">
        <f t="shared" si="1"/>
        <v>10.125</v>
      </c>
      <c r="AQ24" s="115">
        <v>160000</v>
      </c>
      <c r="AR24" s="120">
        <f t="shared" si="3"/>
        <v>1620000</v>
      </c>
    </row>
    <row r="25" spans="1:44" ht="24.95" customHeight="1">
      <c r="A25" s="121">
        <v>8</v>
      </c>
      <c r="B25" s="113" t="s">
        <v>411</v>
      </c>
      <c r="C25" s="114" t="s">
        <v>412</v>
      </c>
      <c r="D25" s="124" t="s">
        <v>321</v>
      </c>
      <c r="E25" s="114" t="s">
        <v>413</v>
      </c>
      <c r="F25" s="123" t="s">
        <v>323</v>
      </c>
      <c r="G25" s="116" t="s">
        <v>411</v>
      </c>
      <c r="H25" s="117" t="s">
        <v>414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>
        <v>1.125</v>
      </c>
      <c r="AC25" s="118">
        <v>1.125</v>
      </c>
      <c r="AD25" s="118">
        <v>0.5</v>
      </c>
      <c r="AE25" s="118"/>
      <c r="AF25" s="118"/>
      <c r="AG25" s="118"/>
      <c r="AH25" s="118">
        <v>0.5</v>
      </c>
      <c r="AI25" s="118">
        <v>1</v>
      </c>
      <c r="AJ25" s="118">
        <v>1</v>
      </c>
      <c r="AK25" s="118">
        <v>1.5</v>
      </c>
      <c r="AL25" s="118">
        <v>1</v>
      </c>
      <c r="AM25" s="118"/>
      <c r="AN25" s="118"/>
      <c r="AO25" s="118">
        <v>1.5</v>
      </c>
      <c r="AP25" s="119">
        <f t="shared" si="1"/>
        <v>9.25</v>
      </c>
      <c r="AQ25" s="115">
        <v>160000</v>
      </c>
      <c r="AR25" s="120">
        <f t="shared" si="3"/>
        <v>1480000</v>
      </c>
    </row>
    <row r="26" spans="1:44" ht="24.95" customHeight="1">
      <c r="A26" s="121">
        <v>3</v>
      </c>
      <c r="B26" s="113" t="s">
        <v>415</v>
      </c>
      <c r="C26" s="114" t="s">
        <v>416</v>
      </c>
      <c r="D26" s="124" t="s">
        <v>321</v>
      </c>
      <c r="E26" s="114" t="s">
        <v>417</v>
      </c>
      <c r="F26" s="123" t="s">
        <v>418</v>
      </c>
      <c r="G26" s="116" t="s">
        <v>415</v>
      </c>
      <c r="H26" s="117" t="s">
        <v>419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>
        <v>1.125</v>
      </c>
      <c r="AC26" s="118">
        <v>1.125</v>
      </c>
      <c r="AD26" s="118">
        <v>0.5</v>
      </c>
      <c r="AE26" s="118"/>
      <c r="AF26" s="118"/>
      <c r="AG26" s="118"/>
      <c r="AH26" s="118">
        <v>1</v>
      </c>
      <c r="AI26" s="118">
        <v>1.5</v>
      </c>
      <c r="AJ26" s="118">
        <v>1</v>
      </c>
      <c r="AK26" s="118">
        <v>1.5</v>
      </c>
      <c r="AL26" s="118">
        <v>1</v>
      </c>
      <c r="AM26" s="118"/>
      <c r="AN26" s="118"/>
      <c r="AO26" s="118">
        <v>1.5</v>
      </c>
      <c r="AP26" s="119">
        <f t="shared" si="1"/>
        <v>10.25</v>
      </c>
      <c r="AQ26" s="115">
        <v>160000</v>
      </c>
      <c r="AR26" s="120">
        <f t="shared" si="0"/>
        <v>1640000</v>
      </c>
    </row>
    <row r="27" spans="1:44" ht="24.95" customHeight="1" thickBot="1">
      <c r="A27" s="121">
        <v>4</v>
      </c>
      <c r="B27" s="113" t="s">
        <v>420</v>
      </c>
      <c r="C27" s="114" t="s">
        <v>421</v>
      </c>
      <c r="D27" s="122" t="s">
        <v>325</v>
      </c>
      <c r="E27" s="114" t="s">
        <v>422</v>
      </c>
      <c r="F27" s="123" t="s">
        <v>320</v>
      </c>
      <c r="G27" s="116" t="s">
        <v>420</v>
      </c>
      <c r="H27" s="117" t="s">
        <v>423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>
        <v>1.125</v>
      </c>
      <c r="AC27" s="118">
        <v>1.125</v>
      </c>
      <c r="AD27" s="118">
        <v>0.5</v>
      </c>
      <c r="AE27" s="118"/>
      <c r="AF27" s="118">
        <v>1</v>
      </c>
      <c r="AG27" s="118"/>
      <c r="AH27" s="118">
        <v>1</v>
      </c>
      <c r="AI27" s="118">
        <v>1.5</v>
      </c>
      <c r="AJ27" s="118">
        <v>1</v>
      </c>
      <c r="AK27" s="118">
        <v>1.5</v>
      </c>
      <c r="AL27" s="118">
        <v>1</v>
      </c>
      <c r="AM27" s="118"/>
      <c r="AN27" s="118"/>
      <c r="AO27" s="118">
        <v>1.5</v>
      </c>
      <c r="AP27" s="119">
        <f t="shared" si="1"/>
        <v>11.25</v>
      </c>
      <c r="AQ27" s="115">
        <v>220000</v>
      </c>
      <c r="AR27" s="120">
        <f t="shared" si="0"/>
        <v>2475000</v>
      </c>
    </row>
    <row r="28" spans="1:44" ht="30" customHeight="1" thickBot="1">
      <c r="A28" s="304" t="s">
        <v>219</v>
      </c>
      <c r="B28" s="305"/>
      <c r="C28" s="305"/>
      <c r="D28" s="305"/>
      <c r="E28" s="305"/>
      <c r="F28" s="305"/>
      <c r="G28" s="305"/>
      <c r="H28" s="306"/>
      <c r="I28" s="125">
        <f t="shared" ref="I28:AP28" si="4">SUM(I6:I27)</f>
        <v>12.25</v>
      </c>
      <c r="J28" s="125">
        <f t="shared" si="4"/>
        <v>16.625</v>
      </c>
      <c r="K28" s="125">
        <f t="shared" si="4"/>
        <v>0</v>
      </c>
      <c r="L28" s="126">
        <f t="shared" si="4"/>
        <v>0</v>
      </c>
      <c r="M28" s="126">
        <f t="shared" si="4"/>
        <v>10</v>
      </c>
      <c r="N28" s="126">
        <f t="shared" si="4"/>
        <v>2</v>
      </c>
      <c r="O28" s="126">
        <f t="shared" si="4"/>
        <v>18.25</v>
      </c>
      <c r="P28" s="126">
        <f t="shared" si="4"/>
        <v>0</v>
      </c>
      <c r="Q28" s="126">
        <f t="shared" si="4"/>
        <v>17</v>
      </c>
      <c r="R28" s="126">
        <f t="shared" si="4"/>
        <v>0</v>
      </c>
      <c r="S28" s="126">
        <f t="shared" si="4"/>
        <v>0</v>
      </c>
      <c r="T28" s="126">
        <f t="shared" si="4"/>
        <v>18.25</v>
      </c>
      <c r="U28" s="126">
        <f t="shared" si="4"/>
        <v>20</v>
      </c>
      <c r="V28" s="126">
        <f t="shared" si="4"/>
        <v>19.125</v>
      </c>
      <c r="W28" s="126">
        <f t="shared" si="4"/>
        <v>20</v>
      </c>
      <c r="X28" s="126">
        <f t="shared" si="4"/>
        <v>19.75</v>
      </c>
      <c r="Y28" s="126">
        <f t="shared" si="4"/>
        <v>0</v>
      </c>
      <c r="Z28" s="126">
        <f t="shared" si="4"/>
        <v>0</v>
      </c>
      <c r="AA28" s="126">
        <f t="shared" si="4"/>
        <v>0.1875</v>
      </c>
      <c r="AB28" s="126">
        <f t="shared" si="4"/>
        <v>20.5</v>
      </c>
      <c r="AC28" s="126">
        <f t="shared" si="4"/>
        <v>20.5</v>
      </c>
      <c r="AD28" s="126">
        <f t="shared" si="4"/>
        <v>17.875</v>
      </c>
      <c r="AE28" s="126">
        <f t="shared" si="4"/>
        <v>14.875</v>
      </c>
      <c r="AF28" s="126">
        <f t="shared" si="4"/>
        <v>5.5</v>
      </c>
      <c r="AG28" s="126">
        <f t="shared" si="4"/>
        <v>0</v>
      </c>
      <c r="AH28" s="126">
        <f t="shared" si="4"/>
        <v>25</v>
      </c>
      <c r="AI28" s="126">
        <f t="shared" si="4"/>
        <v>27.375</v>
      </c>
      <c r="AJ28" s="126">
        <f t="shared" si="4"/>
        <v>26</v>
      </c>
      <c r="AK28" s="126">
        <f t="shared" si="4"/>
        <v>26.25</v>
      </c>
      <c r="AL28" s="126">
        <f t="shared" si="4"/>
        <v>18.625</v>
      </c>
      <c r="AM28" s="126">
        <f t="shared" si="4"/>
        <v>0</v>
      </c>
      <c r="AN28" s="126">
        <f t="shared" si="4"/>
        <v>0</v>
      </c>
      <c r="AO28" s="127">
        <f t="shared" si="4"/>
        <v>27.75</v>
      </c>
      <c r="AP28" s="128">
        <f t="shared" si="4"/>
        <v>403.6875</v>
      </c>
      <c r="AQ28" s="129">
        <f>AR28/AP28</f>
        <v>198547.76281158073</v>
      </c>
      <c r="AR28" s="130">
        <f>SUM(AR6:AR27)</f>
        <v>80151250</v>
      </c>
    </row>
    <row r="29" spans="1:44" ht="24.95" customHeight="1">
      <c r="A29" s="112">
        <v>1</v>
      </c>
      <c r="B29" s="113"/>
      <c r="C29" s="114"/>
      <c r="D29" s="114"/>
      <c r="E29" s="114"/>
      <c r="F29" s="115"/>
      <c r="G29" s="116"/>
      <c r="H29" s="117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>
        <f>SUM(K29:AO29)</f>
        <v>0</v>
      </c>
      <c r="AQ29" s="115"/>
      <c r="AR29" s="120">
        <f>AP29*AQ29</f>
        <v>0</v>
      </c>
    </row>
    <row r="30" spans="1:44" ht="24.95" customHeight="1">
      <c r="A30" s="121">
        <v>2</v>
      </c>
      <c r="B30" s="113"/>
      <c r="C30" s="114"/>
      <c r="D30" s="122"/>
      <c r="E30" s="114"/>
      <c r="F30" s="123"/>
      <c r="G30" s="116"/>
      <c r="H30" s="117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>
        <f t="shared" ref="AP30:AP33" si="5">SUM(K30:AO30)</f>
        <v>0</v>
      </c>
      <c r="AQ30" s="115"/>
      <c r="AR30" s="120">
        <f t="shared" ref="AR30:AR33" si="6">AP30*AQ30</f>
        <v>0</v>
      </c>
    </row>
    <row r="31" spans="1:44" ht="24.95" customHeight="1">
      <c r="A31" s="121">
        <v>3</v>
      </c>
      <c r="B31" s="113"/>
      <c r="C31" s="114"/>
      <c r="D31" s="124"/>
      <c r="E31" s="114"/>
      <c r="F31" s="123"/>
      <c r="G31" s="116"/>
      <c r="H31" s="117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>
        <f t="shared" si="5"/>
        <v>0</v>
      </c>
      <c r="AQ31" s="115"/>
      <c r="AR31" s="120">
        <f t="shared" si="6"/>
        <v>0</v>
      </c>
    </row>
    <row r="32" spans="1:44" ht="24.95" customHeight="1">
      <c r="A32" s="121">
        <v>4</v>
      </c>
      <c r="B32" s="113"/>
      <c r="C32" s="114"/>
      <c r="D32" s="122"/>
      <c r="E32" s="114"/>
      <c r="F32" s="123"/>
      <c r="G32" s="116"/>
      <c r="H32" s="117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>
        <f t="shared" si="5"/>
        <v>0</v>
      </c>
      <c r="AQ32" s="115"/>
      <c r="AR32" s="120">
        <f t="shared" si="6"/>
        <v>0</v>
      </c>
    </row>
    <row r="33" spans="1:44" ht="24.95" customHeight="1" thickBot="1">
      <c r="A33" s="121">
        <v>5</v>
      </c>
      <c r="B33" s="113"/>
      <c r="C33" s="114"/>
      <c r="D33" s="122"/>
      <c r="E33" s="114"/>
      <c r="F33" s="123"/>
      <c r="G33" s="116"/>
      <c r="H33" s="117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>
        <f t="shared" si="5"/>
        <v>0</v>
      </c>
      <c r="AQ33" s="115"/>
      <c r="AR33" s="120">
        <f t="shared" si="6"/>
        <v>0</v>
      </c>
    </row>
    <row r="34" spans="1:44" ht="30" customHeight="1" thickBot="1">
      <c r="A34" s="304" t="s">
        <v>234</v>
      </c>
      <c r="B34" s="305"/>
      <c r="C34" s="305"/>
      <c r="D34" s="305"/>
      <c r="E34" s="305"/>
      <c r="F34" s="305"/>
      <c r="G34" s="305"/>
      <c r="H34" s="306"/>
      <c r="I34" s="125">
        <f t="shared" ref="I34:J34" si="7">SUM(I29:I33)</f>
        <v>0</v>
      </c>
      <c r="J34" s="125">
        <f t="shared" si="7"/>
        <v>0</v>
      </c>
      <c r="K34" s="125">
        <f t="shared" ref="K34:AP34" si="8">SUM(K29:K33)</f>
        <v>0</v>
      </c>
      <c r="L34" s="126">
        <f t="shared" si="8"/>
        <v>0</v>
      </c>
      <c r="M34" s="126">
        <f t="shared" si="8"/>
        <v>0</v>
      </c>
      <c r="N34" s="126">
        <f t="shared" si="8"/>
        <v>0</v>
      </c>
      <c r="O34" s="126">
        <f t="shared" si="8"/>
        <v>0</v>
      </c>
      <c r="P34" s="126">
        <f t="shared" si="8"/>
        <v>0</v>
      </c>
      <c r="Q34" s="126">
        <f t="shared" si="8"/>
        <v>0</v>
      </c>
      <c r="R34" s="126">
        <f t="shared" si="8"/>
        <v>0</v>
      </c>
      <c r="S34" s="126">
        <f t="shared" si="8"/>
        <v>0</v>
      </c>
      <c r="T34" s="126">
        <f t="shared" si="8"/>
        <v>0</v>
      </c>
      <c r="U34" s="126">
        <f t="shared" si="8"/>
        <v>0</v>
      </c>
      <c r="V34" s="126">
        <f t="shared" si="8"/>
        <v>0</v>
      </c>
      <c r="W34" s="126">
        <f t="shared" si="8"/>
        <v>0</v>
      </c>
      <c r="X34" s="126">
        <f t="shared" si="8"/>
        <v>0</v>
      </c>
      <c r="Y34" s="126">
        <f t="shared" si="8"/>
        <v>0</v>
      </c>
      <c r="Z34" s="126">
        <f t="shared" si="8"/>
        <v>0</v>
      </c>
      <c r="AA34" s="126">
        <f t="shared" si="8"/>
        <v>0</v>
      </c>
      <c r="AB34" s="126">
        <f t="shared" si="8"/>
        <v>0</v>
      </c>
      <c r="AC34" s="126">
        <f t="shared" si="8"/>
        <v>0</v>
      </c>
      <c r="AD34" s="126">
        <f t="shared" si="8"/>
        <v>0</v>
      </c>
      <c r="AE34" s="126">
        <f t="shared" si="8"/>
        <v>0</v>
      </c>
      <c r="AF34" s="126">
        <f t="shared" si="8"/>
        <v>0</v>
      </c>
      <c r="AG34" s="126">
        <f t="shared" si="8"/>
        <v>0</v>
      </c>
      <c r="AH34" s="126">
        <f t="shared" si="8"/>
        <v>0</v>
      </c>
      <c r="AI34" s="126">
        <f t="shared" si="8"/>
        <v>0</v>
      </c>
      <c r="AJ34" s="126">
        <f t="shared" si="8"/>
        <v>0</v>
      </c>
      <c r="AK34" s="126">
        <f t="shared" si="8"/>
        <v>0</v>
      </c>
      <c r="AL34" s="126">
        <f t="shared" si="8"/>
        <v>0</v>
      </c>
      <c r="AM34" s="126">
        <f t="shared" si="8"/>
        <v>0</v>
      </c>
      <c r="AN34" s="126">
        <f t="shared" si="8"/>
        <v>0</v>
      </c>
      <c r="AO34" s="127">
        <f t="shared" si="8"/>
        <v>0</v>
      </c>
      <c r="AP34" s="128">
        <f t="shared" si="8"/>
        <v>0</v>
      </c>
      <c r="AQ34" s="129"/>
      <c r="AR34" s="130">
        <f>SUM(AR29:AR33)</f>
        <v>0</v>
      </c>
    </row>
    <row r="35" spans="1:44" ht="35.1" customHeight="1" thickBot="1">
      <c r="A35" s="307" t="s">
        <v>235</v>
      </c>
      <c r="B35" s="308"/>
      <c r="C35" s="308"/>
      <c r="D35" s="308"/>
      <c r="E35" s="308"/>
      <c r="F35" s="308"/>
      <c r="G35" s="308"/>
      <c r="H35" s="309"/>
      <c r="I35" s="131">
        <f t="shared" ref="I35:J35" si="9">I28+I34</f>
        <v>12.25</v>
      </c>
      <c r="J35" s="131">
        <f t="shared" si="9"/>
        <v>16.625</v>
      </c>
      <c r="K35" s="131">
        <f t="shared" ref="K35:AP35" si="10">K28+K34</f>
        <v>0</v>
      </c>
      <c r="L35" s="132">
        <f t="shared" si="10"/>
        <v>0</v>
      </c>
      <c r="M35" s="132">
        <f t="shared" si="10"/>
        <v>10</v>
      </c>
      <c r="N35" s="132">
        <f t="shared" si="10"/>
        <v>2</v>
      </c>
      <c r="O35" s="132">
        <f t="shared" si="10"/>
        <v>18.25</v>
      </c>
      <c r="P35" s="132">
        <f t="shared" si="10"/>
        <v>0</v>
      </c>
      <c r="Q35" s="132">
        <f t="shared" si="10"/>
        <v>17</v>
      </c>
      <c r="R35" s="132">
        <f t="shared" si="10"/>
        <v>0</v>
      </c>
      <c r="S35" s="132">
        <f t="shared" si="10"/>
        <v>0</v>
      </c>
      <c r="T35" s="132">
        <f t="shared" si="10"/>
        <v>18.25</v>
      </c>
      <c r="U35" s="132">
        <f t="shared" si="10"/>
        <v>20</v>
      </c>
      <c r="V35" s="132">
        <f t="shared" si="10"/>
        <v>19.125</v>
      </c>
      <c r="W35" s="132">
        <f t="shared" si="10"/>
        <v>20</v>
      </c>
      <c r="X35" s="132">
        <f t="shared" si="10"/>
        <v>19.75</v>
      </c>
      <c r="Y35" s="132">
        <f t="shared" si="10"/>
        <v>0</v>
      </c>
      <c r="Z35" s="132">
        <f t="shared" si="10"/>
        <v>0</v>
      </c>
      <c r="AA35" s="132">
        <f t="shared" si="10"/>
        <v>0.1875</v>
      </c>
      <c r="AB35" s="132">
        <f t="shared" si="10"/>
        <v>20.5</v>
      </c>
      <c r="AC35" s="132">
        <f t="shared" si="10"/>
        <v>20.5</v>
      </c>
      <c r="AD35" s="132">
        <f t="shared" si="10"/>
        <v>17.875</v>
      </c>
      <c r="AE35" s="132">
        <f t="shared" si="10"/>
        <v>14.875</v>
      </c>
      <c r="AF35" s="132">
        <f t="shared" si="10"/>
        <v>5.5</v>
      </c>
      <c r="AG35" s="132">
        <f t="shared" si="10"/>
        <v>0</v>
      </c>
      <c r="AH35" s="132">
        <f t="shared" si="10"/>
        <v>25</v>
      </c>
      <c r="AI35" s="132">
        <f t="shared" si="10"/>
        <v>27.375</v>
      </c>
      <c r="AJ35" s="132">
        <f t="shared" si="10"/>
        <v>26</v>
      </c>
      <c r="AK35" s="132">
        <f t="shared" si="10"/>
        <v>26.25</v>
      </c>
      <c r="AL35" s="132">
        <f t="shared" si="10"/>
        <v>18.625</v>
      </c>
      <c r="AM35" s="132">
        <f t="shared" si="10"/>
        <v>0</v>
      </c>
      <c r="AN35" s="132">
        <f t="shared" si="10"/>
        <v>0</v>
      </c>
      <c r="AO35" s="132">
        <f t="shared" si="10"/>
        <v>27.75</v>
      </c>
      <c r="AP35" s="133">
        <f t="shared" si="10"/>
        <v>403.6875</v>
      </c>
      <c r="AQ35" s="134">
        <f>AR35/AP35</f>
        <v>198547.76281158073</v>
      </c>
      <c r="AR35" s="135">
        <f>AR28+AR34</f>
        <v>80151250</v>
      </c>
    </row>
    <row r="36" spans="1:44">
      <c r="G36" s="100"/>
      <c r="H36" s="100"/>
      <c r="AI36" s="136"/>
      <c r="AK36" s="137"/>
      <c r="AQ36" s="100"/>
    </row>
    <row r="37" spans="1:44">
      <c r="G37" s="100"/>
      <c r="H37" s="100"/>
      <c r="AI37" s="136"/>
      <c r="AK37" s="137"/>
      <c r="AQ37" s="100"/>
    </row>
    <row r="38" spans="1:44">
      <c r="G38" s="100"/>
      <c r="H38" s="100"/>
      <c r="AI38" s="136"/>
      <c r="AK38" s="137"/>
      <c r="AQ38" s="100"/>
    </row>
    <row r="39" spans="1:44">
      <c r="G39" s="100"/>
      <c r="H39" s="100"/>
      <c r="AI39" s="136"/>
      <c r="AK39" s="137"/>
      <c r="AQ39" s="100"/>
    </row>
    <row r="40" spans="1:44">
      <c r="G40" s="100"/>
      <c r="H40" s="100"/>
      <c r="AK40" s="136"/>
      <c r="AO40" s="137"/>
      <c r="AQ40" s="100"/>
    </row>
    <row r="41" spans="1:44">
      <c r="G41" s="100"/>
      <c r="H41" s="100"/>
      <c r="AK41" s="136"/>
      <c r="AL41" s="136"/>
      <c r="AO41" s="137"/>
      <c r="AQ41" s="100"/>
    </row>
    <row r="42" spans="1:44">
      <c r="G42" s="100"/>
      <c r="H42" s="100"/>
      <c r="AL42" s="136"/>
      <c r="AM42" s="136"/>
      <c r="AN42" s="136"/>
      <c r="AQ42" s="100"/>
    </row>
    <row r="43" spans="1:44">
      <c r="G43" s="100"/>
      <c r="H43" s="100"/>
      <c r="AL43" s="136"/>
      <c r="AM43" s="136"/>
      <c r="AN43" s="136"/>
      <c r="AQ43" s="100"/>
    </row>
    <row r="44" spans="1:44">
      <c r="G44" s="100"/>
      <c r="H44" s="100"/>
      <c r="AL44" s="136"/>
      <c r="AM44" s="136"/>
      <c r="AN44" s="136"/>
      <c r="AQ44" s="100"/>
    </row>
    <row r="45" spans="1:44">
      <c r="G45" s="100"/>
      <c r="H45" s="100"/>
      <c r="AM45" s="136"/>
      <c r="AN45" s="136"/>
      <c r="AQ45" s="100"/>
    </row>
    <row r="46" spans="1:44">
      <c r="C46" s="101"/>
      <c r="D46" s="101"/>
      <c r="E46" s="101"/>
      <c r="G46" s="100"/>
      <c r="H46" s="100"/>
      <c r="AP46" s="137"/>
      <c r="AQ46" s="100"/>
    </row>
    <row r="47" spans="1:44">
      <c r="C47" s="101"/>
      <c r="D47" s="101"/>
      <c r="E47" s="101"/>
      <c r="G47" s="100"/>
      <c r="H47" s="100"/>
      <c r="AP47" s="137"/>
      <c r="AQ47" s="100"/>
    </row>
    <row r="48" spans="1:44">
      <c r="C48" s="101"/>
      <c r="D48" s="101"/>
      <c r="E48" s="101"/>
      <c r="G48" s="100"/>
      <c r="H48" s="100"/>
      <c r="AP48" s="137"/>
      <c r="AQ48" s="100"/>
    </row>
    <row r="49" spans="3:43">
      <c r="C49" s="101"/>
      <c r="D49" s="101"/>
      <c r="E49" s="101"/>
      <c r="G49" s="100"/>
      <c r="H49" s="100"/>
      <c r="AP49" s="137"/>
      <c r="AQ49" s="100"/>
    </row>
    <row r="50" spans="3:43">
      <c r="C50" s="101"/>
      <c r="D50" s="101"/>
      <c r="E50" s="101"/>
      <c r="G50" s="100"/>
      <c r="H50" s="100"/>
      <c r="AP50" s="137"/>
      <c r="AQ50" s="100"/>
    </row>
    <row r="51" spans="3:43">
      <c r="E51" s="101"/>
      <c r="F51" s="101"/>
      <c r="G51" s="100"/>
      <c r="H51" s="100"/>
      <c r="AQ51" s="137"/>
    </row>
    <row r="52" spans="3:43">
      <c r="E52" s="101"/>
      <c r="F52" s="101"/>
      <c r="G52" s="100"/>
      <c r="H52" s="100"/>
      <c r="AQ52" s="137"/>
    </row>
    <row r="53" spans="3:43">
      <c r="E53" s="101"/>
      <c r="F53" s="101"/>
      <c r="G53" s="100"/>
      <c r="H53" s="100"/>
      <c r="AQ53" s="137"/>
    </row>
    <row r="54" spans="3:43">
      <c r="E54" s="101"/>
      <c r="F54" s="101"/>
      <c r="G54" s="100"/>
      <c r="H54" s="100"/>
      <c r="AQ54" s="137"/>
    </row>
    <row r="55" spans="3:43">
      <c r="E55" s="101"/>
      <c r="F55" s="101"/>
      <c r="G55" s="100"/>
      <c r="H55" s="100"/>
      <c r="AQ55" s="137"/>
    </row>
    <row r="56" spans="3:43">
      <c r="E56" s="101"/>
      <c r="F56" s="101"/>
      <c r="G56" s="100"/>
      <c r="H56" s="100"/>
      <c r="AQ56" s="137"/>
    </row>
    <row r="57" spans="3:43">
      <c r="E57" s="101"/>
      <c r="F57" s="101"/>
      <c r="G57" s="100"/>
      <c r="H57" s="100"/>
      <c r="AQ57" s="137"/>
    </row>
    <row r="58" spans="3:43">
      <c r="E58" s="101"/>
      <c r="F58" s="101"/>
      <c r="G58" s="100"/>
      <c r="H58" s="100"/>
      <c r="AQ58" s="137"/>
    </row>
    <row r="59" spans="3:43">
      <c r="E59" s="101"/>
      <c r="F59" s="101"/>
      <c r="G59" s="100"/>
      <c r="H59" s="100"/>
      <c r="AQ59" s="137"/>
    </row>
    <row r="60" spans="3:43">
      <c r="E60" s="101"/>
      <c r="F60" s="101"/>
      <c r="G60" s="100"/>
      <c r="H60" s="100"/>
      <c r="AQ60" s="137"/>
    </row>
    <row r="61" spans="3:43">
      <c r="E61" s="101"/>
      <c r="F61" s="101"/>
      <c r="G61" s="100"/>
      <c r="H61" s="100"/>
      <c r="AQ61" s="137"/>
    </row>
    <row r="62" spans="3:43">
      <c r="E62" s="101"/>
      <c r="F62" s="101"/>
      <c r="G62" s="100"/>
      <c r="H62" s="100"/>
      <c r="AQ62" s="137"/>
    </row>
    <row r="63" spans="3:43">
      <c r="E63" s="101"/>
      <c r="F63" s="101"/>
      <c r="G63" s="100"/>
      <c r="H63" s="100"/>
      <c r="AQ63" s="137"/>
    </row>
    <row r="64" spans="3:43">
      <c r="E64" s="101"/>
      <c r="F64" s="101"/>
      <c r="G64" s="100"/>
      <c r="H64" s="100"/>
      <c r="AQ64" s="137"/>
    </row>
    <row r="65" spans="5:44">
      <c r="E65" s="101"/>
      <c r="F65" s="101"/>
      <c r="G65" s="100"/>
      <c r="H65" s="100"/>
      <c r="AQ65" s="137"/>
    </row>
    <row r="66" spans="5:44">
      <c r="E66" s="101"/>
      <c r="F66" s="101"/>
      <c r="G66" s="100"/>
      <c r="H66" s="100"/>
      <c r="AQ66" s="137"/>
    </row>
    <row r="67" spans="5:44">
      <c r="E67" s="101"/>
      <c r="F67" s="101"/>
      <c r="G67" s="100"/>
      <c r="H67" s="100"/>
      <c r="AQ67" s="137"/>
    </row>
    <row r="68" spans="5:44">
      <c r="E68" s="101"/>
      <c r="F68" s="101"/>
      <c r="G68" s="100"/>
      <c r="H68" s="100"/>
      <c r="AQ68" s="137"/>
    </row>
    <row r="69" spans="5:44">
      <c r="E69" s="101"/>
      <c r="F69" s="101"/>
      <c r="G69" s="100"/>
      <c r="H69" s="100"/>
      <c r="AQ69" s="137"/>
    </row>
    <row r="70" spans="5:44">
      <c r="E70" s="101"/>
      <c r="F70" s="101"/>
      <c r="G70" s="100"/>
      <c r="H70" s="100"/>
      <c r="AQ70" s="137"/>
    </row>
    <row r="71" spans="5:44">
      <c r="E71" s="101"/>
      <c r="F71" s="101"/>
      <c r="G71" s="100"/>
      <c r="H71" s="100"/>
      <c r="AQ71" s="137"/>
    </row>
    <row r="72" spans="5:44">
      <c r="E72" s="101"/>
      <c r="F72" s="101"/>
      <c r="G72" s="100"/>
      <c r="H72" s="100"/>
      <c r="AQ72" s="137"/>
    </row>
    <row r="73" spans="5:44">
      <c r="E73" s="101"/>
      <c r="F73" s="101"/>
      <c r="G73" s="100"/>
      <c r="H73" s="100"/>
      <c r="AQ73" s="137"/>
    </row>
    <row r="74" spans="5:44">
      <c r="E74" s="101"/>
      <c r="F74" s="101"/>
      <c r="G74" s="100"/>
      <c r="H74" s="100"/>
      <c r="AQ74" s="137"/>
    </row>
    <row r="75" spans="5:44">
      <c r="F75" s="101"/>
      <c r="H75" s="100"/>
      <c r="AP75" s="136"/>
      <c r="AQ75" s="100"/>
      <c r="AR75" s="139"/>
    </row>
    <row r="76" spans="5:44">
      <c r="F76" s="101"/>
      <c r="H76" s="100"/>
      <c r="AP76" s="136"/>
      <c r="AQ76" s="100"/>
      <c r="AR76" s="139"/>
    </row>
    <row r="77" spans="5:44">
      <c r="F77" s="101"/>
      <c r="H77" s="100"/>
      <c r="AP77" s="136"/>
      <c r="AQ77" s="100"/>
      <c r="AR77" s="139"/>
    </row>
    <row r="78" spans="5:44">
      <c r="F78" s="101"/>
      <c r="H78" s="100"/>
      <c r="AP78" s="136"/>
      <c r="AQ78" s="100"/>
      <c r="AR78" s="139"/>
    </row>
    <row r="79" spans="5:44">
      <c r="F79" s="101"/>
      <c r="H79" s="100"/>
      <c r="AP79" s="136"/>
      <c r="AQ79" s="100"/>
      <c r="AR79" s="139"/>
    </row>
    <row r="80" spans="5:44">
      <c r="F80" s="101"/>
      <c r="H80" s="100"/>
      <c r="AP80" s="136"/>
      <c r="AQ80" s="100"/>
      <c r="AR80" s="139"/>
    </row>
    <row r="81" spans="6:44">
      <c r="F81" s="101"/>
      <c r="H81" s="100"/>
      <c r="AP81" s="136"/>
      <c r="AQ81" s="100"/>
      <c r="AR81" s="139"/>
    </row>
    <row r="82" spans="6:44">
      <c r="F82" s="101"/>
      <c r="H82" s="100"/>
      <c r="AP82" s="136"/>
      <c r="AQ82" s="100"/>
      <c r="AR82" s="139"/>
    </row>
    <row r="83" spans="6:44">
      <c r="F83" s="101"/>
      <c r="H83" s="100"/>
      <c r="AP83" s="136"/>
      <c r="AQ83" s="100"/>
      <c r="AR83" s="139"/>
    </row>
    <row r="84" spans="6:44">
      <c r="F84" s="101"/>
      <c r="H84" s="100"/>
      <c r="AP84" s="136"/>
      <c r="AQ84" s="100"/>
      <c r="AR84" s="139"/>
    </row>
    <row r="85" spans="6:44">
      <c r="F85" s="101"/>
      <c r="H85" s="100"/>
      <c r="AP85" s="136"/>
      <c r="AQ85" s="100"/>
      <c r="AR85" s="139"/>
    </row>
    <row r="86" spans="6:44">
      <c r="F86" s="101"/>
      <c r="H86" s="100"/>
      <c r="AP86" s="136"/>
      <c r="AQ86" s="100"/>
      <c r="AR86" s="139"/>
    </row>
    <row r="87" spans="6:44">
      <c r="F87" s="101"/>
      <c r="H87" s="100"/>
      <c r="AP87" s="136"/>
      <c r="AQ87" s="100"/>
      <c r="AR87" s="139"/>
    </row>
    <row r="88" spans="6:44">
      <c r="F88" s="101"/>
      <c r="H88" s="100"/>
      <c r="AP88" s="136"/>
      <c r="AQ88" s="100"/>
      <c r="AR88" s="139"/>
    </row>
    <row r="89" spans="6:44">
      <c r="F89" s="101"/>
      <c r="H89" s="100"/>
      <c r="AP89" s="136"/>
      <c r="AQ89" s="100"/>
      <c r="AR89" s="139"/>
    </row>
    <row r="90" spans="6:44">
      <c r="F90" s="101"/>
      <c r="H90" s="100"/>
      <c r="AP90" s="136"/>
      <c r="AQ90" s="100"/>
      <c r="AR90" s="139"/>
    </row>
    <row r="91" spans="6:44">
      <c r="F91" s="101"/>
      <c r="H91" s="100"/>
      <c r="AP91" s="136"/>
      <c r="AQ91" s="100"/>
      <c r="AR91" s="139"/>
    </row>
    <row r="92" spans="6:44">
      <c r="F92" s="101"/>
      <c r="H92" s="100"/>
      <c r="AP92" s="136"/>
      <c r="AQ92" s="100"/>
      <c r="AR92" s="139"/>
    </row>
    <row r="93" spans="6:44">
      <c r="F93" s="101"/>
      <c r="H93" s="100"/>
      <c r="AP93" s="136"/>
      <c r="AQ93" s="100"/>
      <c r="AR93" s="139"/>
    </row>
    <row r="94" spans="6:44">
      <c r="F94" s="101"/>
      <c r="H94" s="100"/>
      <c r="AP94" s="136"/>
      <c r="AQ94" s="100"/>
      <c r="AR94" s="139"/>
    </row>
    <row r="95" spans="6:44">
      <c r="F95" s="101"/>
      <c r="H95" s="100"/>
      <c r="AP95" s="136"/>
      <c r="AQ95" s="100"/>
      <c r="AR95" s="139"/>
    </row>
    <row r="96" spans="6:44">
      <c r="F96" s="101"/>
      <c r="H96" s="100"/>
      <c r="AP96" s="136"/>
      <c r="AQ96" s="100"/>
      <c r="AR96" s="139"/>
    </row>
    <row r="97" spans="6:44">
      <c r="F97" s="101"/>
      <c r="H97" s="100"/>
      <c r="AP97" s="136"/>
      <c r="AQ97" s="100"/>
      <c r="AR97" s="139"/>
    </row>
    <row r="98" spans="6:44">
      <c r="F98" s="101"/>
      <c r="H98" s="100"/>
      <c r="AP98" s="136"/>
      <c r="AQ98" s="100"/>
      <c r="AR98" s="139"/>
    </row>
    <row r="99" spans="6:44">
      <c r="F99" s="101"/>
      <c r="H99" s="100"/>
      <c r="AP99" s="136"/>
      <c r="AQ99" s="100"/>
      <c r="AR99" s="139"/>
    </row>
    <row r="100" spans="6:44">
      <c r="F100" s="101"/>
      <c r="H100" s="100"/>
      <c r="AP100" s="136"/>
      <c r="AQ100" s="100"/>
      <c r="AR100" s="139"/>
    </row>
    <row r="101" spans="6:44">
      <c r="F101" s="101"/>
      <c r="H101" s="100"/>
      <c r="AP101" s="136"/>
      <c r="AQ101" s="100"/>
      <c r="AR101" s="139"/>
    </row>
    <row r="102" spans="6:44">
      <c r="F102" s="101"/>
      <c r="H102" s="100"/>
      <c r="AP102" s="136"/>
      <c r="AQ102" s="100"/>
      <c r="AR102" s="139"/>
    </row>
    <row r="103" spans="6:44">
      <c r="F103" s="101"/>
      <c r="H103" s="100"/>
      <c r="AP103" s="136"/>
      <c r="AQ103" s="100"/>
      <c r="AR103" s="139"/>
    </row>
    <row r="104" spans="6:44">
      <c r="F104" s="101"/>
      <c r="H104" s="100"/>
      <c r="AP104" s="136"/>
      <c r="AQ104" s="100"/>
      <c r="AR104" s="139"/>
    </row>
    <row r="105" spans="6:44">
      <c r="F105" s="101"/>
      <c r="H105" s="100"/>
      <c r="AP105" s="136"/>
      <c r="AQ105" s="100"/>
      <c r="AR105" s="139"/>
    </row>
    <row r="106" spans="6:44">
      <c r="F106" s="101"/>
      <c r="H106" s="100"/>
      <c r="AP106" s="136"/>
      <c r="AQ106" s="100"/>
      <c r="AR106" s="139"/>
    </row>
    <row r="107" spans="6:44">
      <c r="F107" s="101"/>
      <c r="H107" s="100"/>
      <c r="AP107" s="136"/>
      <c r="AQ107" s="100"/>
      <c r="AR107" s="139"/>
    </row>
    <row r="108" spans="6:44">
      <c r="F108" s="101"/>
      <c r="H108" s="100"/>
      <c r="AP108" s="136"/>
      <c r="AQ108" s="100"/>
      <c r="AR108" s="139"/>
    </row>
    <row r="109" spans="6:44">
      <c r="F109" s="101"/>
      <c r="H109" s="100"/>
      <c r="AP109" s="136"/>
      <c r="AQ109" s="100"/>
      <c r="AR109" s="139"/>
    </row>
    <row r="110" spans="6:44">
      <c r="F110" s="101"/>
      <c r="H110" s="100"/>
      <c r="AP110" s="136"/>
      <c r="AQ110" s="100"/>
      <c r="AR110" s="139"/>
    </row>
    <row r="111" spans="6:44">
      <c r="F111" s="101"/>
      <c r="H111" s="100"/>
      <c r="AP111" s="136"/>
      <c r="AQ111" s="100"/>
      <c r="AR111" s="139"/>
    </row>
    <row r="112" spans="6:44">
      <c r="F112" s="101"/>
      <c r="H112" s="100"/>
      <c r="AP112" s="136"/>
      <c r="AQ112" s="100"/>
      <c r="AR112" s="139"/>
    </row>
    <row r="113" spans="6:44">
      <c r="F113" s="101"/>
      <c r="H113" s="100"/>
      <c r="AP113" s="136"/>
      <c r="AQ113" s="100"/>
      <c r="AR113" s="139"/>
    </row>
    <row r="114" spans="6:44">
      <c r="F114" s="101"/>
      <c r="H114" s="100"/>
      <c r="AP114" s="136"/>
      <c r="AQ114" s="100"/>
      <c r="AR114" s="139"/>
    </row>
    <row r="115" spans="6:44">
      <c r="F115" s="101"/>
      <c r="H115" s="100"/>
      <c r="AP115" s="136"/>
      <c r="AQ115" s="100"/>
      <c r="AR115" s="139"/>
    </row>
    <row r="116" spans="6:44">
      <c r="F116" s="101"/>
      <c r="H116" s="100"/>
      <c r="AP116" s="136"/>
      <c r="AQ116" s="100"/>
      <c r="AR116" s="139"/>
    </row>
  </sheetData>
  <mergeCells count="10">
    <mergeCell ref="A28:H28"/>
    <mergeCell ref="A34:H34"/>
    <mergeCell ref="A35:H35"/>
    <mergeCell ref="A1:AI3"/>
    <mergeCell ref="AJ1:AN1"/>
    <mergeCell ref="AO1:AR1"/>
    <mergeCell ref="AJ2:AN2"/>
    <mergeCell ref="AO2:AR2"/>
    <mergeCell ref="AJ3:AN3"/>
    <mergeCell ref="AO3:AR3"/>
  </mergeCells>
  <phoneticPr fontId="3" type="noConversion"/>
  <conditionalFormatting sqref="B6:B27">
    <cfRule type="duplicateValues" dxfId="56" priority="401"/>
  </conditionalFormatting>
  <conditionalFormatting sqref="B29:B33">
    <cfRule type="duplicateValues" dxfId="55" priority="105"/>
  </conditionalFormatting>
  <conditionalFormatting sqref="B36:B1048576 B1:B5">
    <cfRule type="duplicateValues" dxfId="54" priority="33"/>
  </conditionalFormatting>
  <conditionalFormatting sqref="B6:C27">
    <cfRule type="duplicateValues" dxfId="53" priority="403"/>
  </conditionalFormatting>
  <conditionalFormatting sqref="B29:C33">
    <cfRule type="duplicateValues" dxfId="52" priority="107"/>
  </conditionalFormatting>
  <conditionalFormatting sqref="B36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27 E6:E27">
    <cfRule type="duplicateValues" dxfId="47" priority="405"/>
  </conditionalFormatting>
  <conditionalFormatting sqref="C6:C27">
    <cfRule type="duplicateValues" dxfId="46" priority="407"/>
    <cfRule type="duplicateValues" dxfId="45" priority="408"/>
    <cfRule type="duplicateValues" dxfId="44" priority="409"/>
  </conditionalFormatting>
  <conditionalFormatting sqref="C29:C33 E29:E33">
    <cfRule type="duplicateValues" dxfId="43" priority="109"/>
  </conditionalFormatting>
  <conditionalFormatting sqref="C29:C33">
    <cfRule type="duplicateValues" dxfId="42" priority="111"/>
    <cfRule type="duplicateValues" dxfId="41" priority="112"/>
    <cfRule type="duplicateValues" dxfId="40" priority="113"/>
  </conditionalFormatting>
  <conditionalFormatting sqref="C36:C1048576 C1:C5">
    <cfRule type="duplicateValues" dxfId="39" priority="34"/>
  </conditionalFormatting>
  <conditionalFormatting sqref="C36:C1048576 C4">
    <cfRule type="duplicateValues" dxfId="38" priority="49"/>
  </conditionalFormatting>
  <conditionalFormatting sqref="C36:C1048576 C4:C5">
    <cfRule type="duplicateValues" dxfId="37" priority="39"/>
    <cfRule type="duplicateValues" dxfId="36" priority="42"/>
    <cfRule type="duplicateValues" dxfId="35" priority="47"/>
  </conditionalFormatting>
  <conditionalFormatting sqref="C36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27">
    <cfRule type="duplicateValues" dxfId="31" priority="416"/>
    <cfRule type="duplicateValues" dxfId="30" priority="417"/>
    <cfRule type="duplicateValues" dxfId="29" priority="418"/>
  </conditionalFormatting>
  <conditionalFormatting sqref="E29:E33">
    <cfRule type="duplicateValues" dxfId="28" priority="119"/>
    <cfRule type="duplicateValues" dxfId="27" priority="120"/>
    <cfRule type="duplicateValues" dxfId="26" priority="121"/>
  </conditionalFormatting>
  <conditionalFormatting sqref="E36:E1048576 C4:C5 E4:E5 C36:C1048576">
    <cfRule type="duplicateValues" dxfId="25" priority="44"/>
  </conditionalFormatting>
  <conditionalFormatting sqref="E36:E1048576 E1:E5">
    <cfRule type="duplicateValues" dxfId="24" priority="36"/>
  </conditionalFormatting>
  <conditionalFormatting sqref="E36:E1048576 E4:E5">
    <cfRule type="duplicateValues" dxfId="23" priority="38"/>
    <cfRule type="duplicateValues" dxfId="22" priority="41"/>
    <cfRule type="duplicateValues" dxfId="21" priority="46"/>
  </conditionalFormatting>
  <conditionalFormatting sqref="G6:H27">
    <cfRule type="duplicateValues" dxfId="20" priority="426"/>
  </conditionalFormatting>
  <conditionalFormatting sqref="G29:H33">
    <cfRule type="duplicateValues" dxfId="19" priority="129"/>
  </conditionalFormatting>
  <conditionalFormatting sqref="G36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27">
    <cfRule type="duplicateValues" dxfId="15" priority="428"/>
    <cfRule type="duplicateValues" dxfId="14" priority="429"/>
    <cfRule type="duplicateValues" dxfId="13" priority="430"/>
    <cfRule type="duplicateValues" dxfId="12" priority="431"/>
    <cfRule type="duplicateValues" dxfId="11" priority="432"/>
    <cfRule type="duplicateValues" dxfId="10" priority="433"/>
  </conditionalFormatting>
  <conditionalFormatting sqref="H29:H33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36:H1048576 H4">
    <cfRule type="duplicateValues" dxfId="3" priority="48"/>
  </conditionalFormatting>
  <conditionalFormatting sqref="H36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2" fitToHeight="0" orientation="landscape" r:id="rId1"/>
  <headerFooter>
    <oddFooter>&amp;C&amp;P/&amp;N</oddFooter>
  </headerFooter>
  <rowBreaks count="1" manualBreakCount="1">
    <brk id="28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5"/>
  <sheetViews>
    <sheetView view="pageBreakPreview" zoomScale="70" zoomScaleNormal="70" zoomScaleSheetLayoutView="70" workbookViewId="0">
      <pane ySplit="4" topLeftCell="A13" activePane="bottomLeft" state="frozen"/>
      <selection activeCell="B27" sqref="B27"/>
      <selection pane="bottomLeft" activeCell="B27" sqref="B27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customWidth="1"/>
    <col min="7" max="7" width="17.625" customWidth="1"/>
    <col min="8" max="8" width="14.125" customWidth="1"/>
    <col min="9" max="9" width="17.625" customWidth="1"/>
    <col min="10" max="10" width="11.625" customWidth="1"/>
    <col min="11" max="11" width="17.625" customWidth="1"/>
    <col min="12" max="12" width="14.25" customWidth="1"/>
    <col min="13" max="13" width="17.625" customWidth="1"/>
    <col min="15" max="15" width="12.375" bestFit="1" customWidth="1"/>
  </cols>
  <sheetData>
    <row r="1" spans="1:16" ht="37.5">
      <c r="A1" s="322" t="s">
        <v>330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</row>
    <row r="2" spans="1:16" ht="17.25">
      <c r="A2" s="92" t="str">
        <f>'용역청구서 표지'!$B$7</f>
        <v>P5 Ph1 FAB1(SUP) 가설공사</v>
      </c>
      <c r="M2" s="42" t="s">
        <v>166</v>
      </c>
    </row>
    <row r="3" spans="1:16" ht="27.95" customHeight="1">
      <c r="A3" s="323" t="s">
        <v>167</v>
      </c>
      <c r="B3" s="323" t="s">
        <v>168</v>
      </c>
      <c r="C3" s="323" t="s">
        <v>169</v>
      </c>
      <c r="D3" s="324" t="s">
        <v>170</v>
      </c>
      <c r="E3" s="323" t="s">
        <v>171</v>
      </c>
      <c r="F3" s="323" t="s">
        <v>172</v>
      </c>
      <c r="G3" s="323"/>
      <c r="H3" s="323" t="s">
        <v>173</v>
      </c>
      <c r="I3" s="323"/>
      <c r="J3" s="323" t="s">
        <v>174</v>
      </c>
      <c r="K3" s="323"/>
      <c r="L3" s="323" t="s">
        <v>175</v>
      </c>
      <c r="M3" s="323"/>
    </row>
    <row r="4" spans="1:16" ht="27.95" customHeight="1">
      <c r="A4" s="323"/>
      <c r="B4" s="323"/>
      <c r="C4" s="323"/>
      <c r="D4" s="324"/>
      <c r="E4" s="323"/>
      <c r="F4" s="93" t="s">
        <v>176</v>
      </c>
      <c r="G4" s="93" t="s">
        <v>177</v>
      </c>
      <c r="H4" s="93" t="s">
        <v>176</v>
      </c>
      <c r="I4" s="93" t="s">
        <v>177</v>
      </c>
      <c r="J4" s="93" t="s">
        <v>176</v>
      </c>
      <c r="K4" s="93" t="s">
        <v>178</v>
      </c>
      <c r="L4" s="93" t="s">
        <v>176</v>
      </c>
      <c r="M4" s="93" t="s">
        <v>178</v>
      </c>
    </row>
    <row r="5" spans="1:16" ht="27.95" customHeight="1">
      <c r="A5" s="94" t="s">
        <v>179</v>
      </c>
      <c r="B5" s="38" t="s">
        <v>180</v>
      </c>
      <c r="C5" s="38" t="s">
        <v>181</v>
      </c>
      <c r="D5" s="95">
        <v>0</v>
      </c>
      <c r="E5" s="96">
        <v>0</v>
      </c>
      <c r="F5" s="99">
        <f>L5</f>
        <v>0</v>
      </c>
      <c r="G5" s="97">
        <f>M5</f>
        <v>0</v>
      </c>
      <c r="H5" s="99">
        <v>0</v>
      </c>
      <c r="I5" s="94">
        <v>0</v>
      </c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6" ht="27.95" customHeight="1">
      <c r="A6" s="94" t="s">
        <v>182</v>
      </c>
      <c r="B6" s="38" t="s">
        <v>183</v>
      </c>
      <c r="C6" s="38" t="s">
        <v>184</v>
      </c>
      <c r="D6" s="95">
        <v>0</v>
      </c>
      <c r="E6" s="96">
        <v>0</v>
      </c>
      <c r="F6" s="99">
        <f t="shared" ref="F6:G50" si="0">L6</f>
        <v>0</v>
      </c>
      <c r="G6" s="97">
        <f t="shared" si="0"/>
        <v>0</v>
      </c>
      <c r="H6" s="99">
        <v>0</v>
      </c>
      <c r="I6" s="94">
        <v>0</v>
      </c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5" customHeight="1">
      <c r="A7" s="94" t="s">
        <v>179</v>
      </c>
      <c r="B7" s="38" t="s">
        <v>185</v>
      </c>
      <c r="C7" s="38" t="s">
        <v>181</v>
      </c>
      <c r="D7" s="95">
        <v>0</v>
      </c>
      <c r="E7" s="96">
        <v>0</v>
      </c>
      <c r="F7" s="99">
        <f t="shared" si="0"/>
        <v>0</v>
      </c>
      <c r="G7" s="97">
        <f t="shared" si="0"/>
        <v>0</v>
      </c>
      <c r="H7" s="99">
        <v>0</v>
      </c>
      <c r="I7" s="94">
        <v>0</v>
      </c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6" ht="27.95" customHeight="1">
      <c r="A8" s="94" t="s">
        <v>179</v>
      </c>
      <c r="B8" s="38" t="s">
        <v>186</v>
      </c>
      <c r="C8" s="38" t="s">
        <v>181</v>
      </c>
      <c r="D8" s="95">
        <v>0</v>
      </c>
      <c r="E8" s="96">
        <v>0</v>
      </c>
      <c r="F8" s="99">
        <f>L8</f>
        <v>0</v>
      </c>
      <c r="G8" s="97">
        <f t="shared" si="0"/>
        <v>0</v>
      </c>
      <c r="H8" s="99">
        <v>0</v>
      </c>
      <c r="I8" s="94">
        <v>0</v>
      </c>
      <c r="J8" s="99">
        <f>$D8*'DIA-INCH'!$C8</f>
        <v>0</v>
      </c>
      <c r="K8" s="97">
        <f t="shared" si="1"/>
        <v>0</v>
      </c>
      <c r="L8" s="99">
        <f t="shared" si="2"/>
        <v>0</v>
      </c>
      <c r="M8" s="97">
        <f t="shared" si="2"/>
        <v>0</v>
      </c>
      <c r="O8" s="172"/>
      <c r="P8" s="180"/>
    </row>
    <row r="9" spans="1:16" ht="27.95" customHeight="1">
      <c r="A9" s="94" t="s">
        <v>179</v>
      </c>
      <c r="B9" s="38" t="s">
        <v>187</v>
      </c>
      <c r="C9" s="38" t="s">
        <v>181</v>
      </c>
      <c r="D9" s="95">
        <v>0</v>
      </c>
      <c r="E9" s="96">
        <v>0</v>
      </c>
      <c r="F9" s="99">
        <f t="shared" si="0"/>
        <v>0</v>
      </c>
      <c r="G9" s="97">
        <f t="shared" si="0"/>
        <v>0</v>
      </c>
      <c r="H9" s="99">
        <v>0</v>
      </c>
      <c r="I9" s="94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  <c r="P9" s="180"/>
    </row>
    <row r="10" spans="1:16" ht="27.95" customHeight="1">
      <c r="A10" s="94" t="s">
        <v>179</v>
      </c>
      <c r="B10" s="38" t="s">
        <v>188</v>
      </c>
      <c r="C10" s="38" t="s">
        <v>184</v>
      </c>
      <c r="D10" s="95">
        <v>0</v>
      </c>
      <c r="E10" s="96">
        <v>0</v>
      </c>
      <c r="F10" s="99">
        <f t="shared" si="0"/>
        <v>0</v>
      </c>
      <c r="G10" s="97">
        <f t="shared" si="0"/>
        <v>0</v>
      </c>
      <c r="H10" s="99">
        <v>0</v>
      </c>
      <c r="I10" s="94">
        <v>0</v>
      </c>
      <c r="J10" s="99">
        <f>$D10*'DIA-INCH'!$C10</f>
        <v>0</v>
      </c>
      <c r="K10" s="97">
        <f t="shared" si="1"/>
        <v>0</v>
      </c>
      <c r="L10" s="99">
        <f t="shared" si="2"/>
        <v>0</v>
      </c>
      <c r="M10" s="97">
        <f t="shared" si="2"/>
        <v>0</v>
      </c>
      <c r="P10" s="180"/>
    </row>
    <row r="11" spans="1:16" ht="27.95" customHeight="1">
      <c r="A11" s="94" t="s">
        <v>179</v>
      </c>
      <c r="B11" s="38" t="s">
        <v>189</v>
      </c>
      <c r="C11" s="38" t="s">
        <v>184</v>
      </c>
      <c r="D11" s="95">
        <v>0</v>
      </c>
      <c r="E11" s="96">
        <v>0</v>
      </c>
      <c r="F11" s="99">
        <f t="shared" si="0"/>
        <v>0</v>
      </c>
      <c r="G11" s="97">
        <f t="shared" si="0"/>
        <v>0</v>
      </c>
      <c r="H11" s="99">
        <v>0</v>
      </c>
      <c r="I11" s="94">
        <v>0</v>
      </c>
      <c r="J11" s="99">
        <f>$D11*'DIA-INCH'!$C11</f>
        <v>0</v>
      </c>
      <c r="K11" s="97">
        <f t="shared" si="1"/>
        <v>0</v>
      </c>
      <c r="L11" s="99">
        <f t="shared" si="2"/>
        <v>0</v>
      </c>
      <c r="M11" s="97">
        <f t="shared" si="2"/>
        <v>0</v>
      </c>
      <c r="P11" s="180"/>
    </row>
    <row r="12" spans="1:16" ht="27.95" customHeight="1">
      <c r="A12" s="94" t="s">
        <v>182</v>
      </c>
      <c r="B12" s="38" t="s">
        <v>190</v>
      </c>
      <c r="C12" s="38" t="s">
        <v>181</v>
      </c>
      <c r="D12" s="95">
        <v>0</v>
      </c>
      <c r="E12" s="96">
        <v>0</v>
      </c>
      <c r="F12" s="99">
        <f t="shared" si="0"/>
        <v>0</v>
      </c>
      <c r="G12" s="97">
        <f t="shared" si="0"/>
        <v>0</v>
      </c>
      <c r="H12" s="99">
        <v>0</v>
      </c>
      <c r="I12" s="94">
        <v>0</v>
      </c>
      <c r="J12" s="99">
        <f>$D12*'DIA-INCH'!$C12</f>
        <v>0</v>
      </c>
      <c r="K12" s="97">
        <f t="shared" si="1"/>
        <v>0</v>
      </c>
      <c r="L12" s="99">
        <f t="shared" si="2"/>
        <v>0</v>
      </c>
      <c r="M12" s="97">
        <f t="shared" si="2"/>
        <v>0</v>
      </c>
      <c r="P12" s="180"/>
    </row>
    <row r="13" spans="1:16" ht="27.95" customHeight="1">
      <c r="A13" s="94" t="s">
        <v>179</v>
      </c>
      <c r="B13" s="38" t="s">
        <v>191</v>
      </c>
      <c r="C13" s="38" t="s">
        <v>181</v>
      </c>
      <c r="D13" s="95">
        <v>6</v>
      </c>
      <c r="E13" s="96">
        <v>0</v>
      </c>
      <c r="F13" s="99">
        <f t="shared" si="0"/>
        <v>18</v>
      </c>
      <c r="G13" s="97">
        <f t="shared" si="0"/>
        <v>0</v>
      </c>
      <c r="H13" s="99">
        <v>0</v>
      </c>
      <c r="I13" s="94">
        <v>0</v>
      </c>
      <c r="J13" s="99">
        <f>$D13*'DIA-INCH'!$C13</f>
        <v>18</v>
      </c>
      <c r="K13" s="97">
        <f t="shared" si="1"/>
        <v>0</v>
      </c>
      <c r="L13" s="99">
        <f t="shared" si="2"/>
        <v>18</v>
      </c>
      <c r="M13" s="97">
        <f t="shared" si="2"/>
        <v>0</v>
      </c>
      <c r="P13" s="180"/>
    </row>
    <row r="14" spans="1:16" ht="27.95" customHeight="1">
      <c r="A14" s="94" t="s">
        <v>192</v>
      </c>
      <c r="B14" s="38" t="s">
        <v>193</v>
      </c>
      <c r="C14" s="38" t="s">
        <v>181</v>
      </c>
      <c r="D14" s="95">
        <v>0</v>
      </c>
      <c r="E14" s="96">
        <v>0</v>
      </c>
      <c r="F14" s="99">
        <f t="shared" si="0"/>
        <v>0</v>
      </c>
      <c r="G14" s="97">
        <f t="shared" si="0"/>
        <v>0</v>
      </c>
      <c r="H14" s="99">
        <v>0</v>
      </c>
      <c r="I14" s="94">
        <v>0</v>
      </c>
      <c r="J14" s="99">
        <f>$D14*'DIA-INCH'!$C14</f>
        <v>0</v>
      </c>
      <c r="K14" s="97">
        <f t="shared" si="1"/>
        <v>0</v>
      </c>
      <c r="L14" s="99">
        <f t="shared" si="2"/>
        <v>0</v>
      </c>
      <c r="M14" s="97">
        <f t="shared" si="2"/>
        <v>0</v>
      </c>
      <c r="P14" s="180"/>
    </row>
    <row r="15" spans="1:16" ht="27.95" customHeight="1">
      <c r="A15" s="94" t="s">
        <v>179</v>
      </c>
      <c r="B15" s="38" t="s">
        <v>194</v>
      </c>
      <c r="C15" s="38" t="s">
        <v>184</v>
      </c>
      <c r="D15" s="95">
        <v>0</v>
      </c>
      <c r="E15" s="96">
        <v>0</v>
      </c>
      <c r="F15" s="99">
        <f t="shared" si="0"/>
        <v>0</v>
      </c>
      <c r="G15" s="97">
        <f t="shared" si="0"/>
        <v>0</v>
      </c>
      <c r="H15" s="99">
        <v>0</v>
      </c>
      <c r="I15" s="94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  <c r="P15" s="180"/>
    </row>
    <row r="16" spans="1:16" ht="27.95" customHeight="1">
      <c r="A16" s="94" t="s">
        <v>182</v>
      </c>
      <c r="B16" s="38" t="s">
        <v>195</v>
      </c>
      <c r="C16" s="38" t="s">
        <v>181</v>
      </c>
      <c r="D16" s="95">
        <v>0</v>
      </c>
      <c r="E16" s="96">
        <v>0</v>
      </c>
      <c r="F16" s="99">
        <f t="shared" si="0"/>
        <v>0</v>
      </c>
      <c r="G16" s="97">
        <f t="shared" si="0"/>
        <v>0</v>
      </c>
      <c r="H16" s="99">
        <v>0</v>
      </c>
      <c r="I16" s="94">
        <v>0</v>
      </c>
      <c r="J16" s="99">
        <f>$D16*'DIA-INCH'!$C16</f>
        <v>0</v>
      </c>
      <c r="K16" s="97">
        <f t="shared" si="1"/>
        <v>0</v>
      </c>
      <c r="L16" s="99">
        <f t="shared" si="2"/>
        <v>0</v>
      </c>
      <c r="M16" s="97">
        <f t="shared" si="2"/>
        <v>0</v>
      </c>
      <c r="P16" s="180"/>
    </row>
    <row r="17" spans="1:16" ht="27.95" customHeight="1">
      <c r="A17" s="94" t="s">
        <v>182</v>
      </c>
      <c r="B17" s="38" t="s">
        <v>196</v>
      </c>
      <c r="C17" s="38" t="s">
        <v>181</v>
      </c>
      <c r="D17" s="95">
        <v>6</v>
      </c>
      <c r="E17" s="96">
        <v>0</v>
      </c>
      <c r="F17" s="99">
        <f t="shared" si="0"/>
        <v>36</v>
      </c>
      <c r="G17" s="97">
        <f t="shared" si="0"/>
        <v>0</v>
      </c>
      <c r="H17" s="99">
        <v>0</v>
      </c>
      <c r="I17" s="94">
        <v>0</v>
      </c>
      <c r="J17" s="99">
        <f>$D17*'DIA-INCH'!$C17</f>
        <v>36</v>
      </c>
      <c r="K17" s="97">
        <f t="shared" si="1"/>
        <v>0</v>
      </c>
      <c r="L17" s="99">
        <f t="shared" si="2"/>
        <v>36</v>
      </c>
      <c r="M17" s="97">
        <f t="shared" si="2"/>
        <v>0</v>
      </c>
      <c r="P17" s="180"/>
    </row>
    <row r="18" spans="1:16" ht="27.95" customHeight="1">
      <c r="A18" s="94" t="s">
        <v>182</v>
      </c>
      <c r="B18" s="38" t="s">
        <v>197</v>
      </c>
      <c r="C18" s="38" t="s">
        <v>181</v>
      </c>
      <c r="D18" s="95">
        <v>0</v>
      </c>
      <c r="E18" s="96">
        <v>0</v>
      </c>
      <c r="F18" s="99">
        <f t="shared" si="0"/>
        <v>0</v>
      </c>
      <c r="G18" s="97">
        <f t="shared" si="0"/>
        <v>0</v>
      </c>
      <c r="H18" s="99">
        <v>0</v>
      </c>
      <c r="I18" s="94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  <c r="P18" s="180"/>
    </row>
    <row r="19" spans="1:16" ht="27.95" customHeight="1">
      <c r="A19" s="94" t="s">
        <v>182</v>
      </c>
      <c r="B19" s="38" t="s">
        <v>198</v>
      </c>
      <c r="C19" s="38" t="s">
        <v>181</v>
      </c>
      <c r="D19" s="95">
        <v>0</v>
      </c>
      <c r="E19" s="96">
        <v>0</v>
      </c>
      <c r="F19" s="99">
        <f t="shared" si="0"/>
        <v>0</v>
      </c>
      <c r="G19" s="97">
        <f t="shared" si="0"/>
        <v>0</v>
      </c>
      <c r="H19" s="99">
        <v>0</v>
      </c>
      <c r="I19" s="94">
        <v>0</v>
      </c>
      <c r="J19" s="99">
        <f>$D19*'DIA-INCH'!$C19</f>
        <v>0</v>
      </c>
      <c r="K19" s="97">
        <f t="shared" si="1"/>
        <v>0</v>
      </c>
      <c r="L19" s="99">
        <f t="shared" si="2"/>
        <v>0</v>
      </c>
      <c r="M19" s="97">
        <f t="shared" si="2"/>
        <v>0</v>
      </c>
      <c r="P19" s="180"/>
    </row>
    <row r="20" spans="1:16" ht="27.95" customHeight="1">
      <c r="A20" s="94" t="s">
        <v>179</v>
      </c>
      <c r="B20" s="38" t="s">
        <v>199</v>
      </c>
      <c r="C20" s="38" t="s">
        <v>184</v>
      </c>
      <c r="D20" s="95">
        <v>0</v>
      </c>
      <c r="E20" s="96">
        <v>0</v>
      </c>
      <c r="F20" s="99">
        <f t="shared" si="0"/>
        <v>0</v>
      </c>
      <c r="G20" s="97">
        <f t="shared" si="0"/>
        <v>0</v>
      </c>
      <c r="H20" s="99">
        <v>0</v>
      </c>
      <c r="I20" s="94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  <c r="P20" s="180"/>
    </row>
    <row r="21" spans="1:16" ht="27.95" customHeight="1">
      <c r="A21" s="94" t="s">
        <v>179</v>
      </c>
      <c r="B21" s="38" t="s">
        <v>200</v>
      </c>
      <c r="C21" s="38" t="s">
        <v>201</v>
      </c>
      <c r="D21" s="95">
        <v>0</v>
      </c>
      <c r="E21" s="96">
        <v>0</v>
      </c>
      <c r="F21" s="99">
        <f t="shared" si="0"/>
        <v>0</v>
      </c>
      <c r="G21" s="97">
        <f t="shared" si="0"/>
        <v>0</v>
      </c>
      <c r="H21" s="99">
        <v>0</v>
      </c>
      <c r="I21" s="94">
        <v>0</v>
      </c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  <c r="P21" s="180"/>
    </row>
    <row r="22" spans="1:16" ht="27.95" customHeight="1">
      <c r="A22" s="94" t="s">
        <v>182</v>
      </c>
      <c r="B22" s="38" t="s">
        <v>202</v>
      </c>
      <c r="C22" s="38" t="s">
        <v>203</v>
      </c>
      <c r="D22" s="95">
        <v>0</v>
      </c>
      <c r="E22" s="96">
        <v>0</v>
      </c>
      <c r="F22" s="99">
        <f t="shared" si="0"/>
        <v>0</v>
      </c>
      <c r="G22" s="97">
        <f t="shared" si="0"/>
        <v>0</v>
      </c>
      <c r="H22" s="99">
        <v>0</v>
      </c>
      <c r="I22" s="94">
        <v>0</v>
      </c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  <c r="P22" s="180"/>
    </row>
    <row r="23" spans="1:16" ht="27.95" customHeight="1">
      <c r="A23" s="94" t="s">
        <v>204</v>
      </c>
      <c r="B23" s="38" t="s">
        <v>205</v>
      </c>
      <c r="C23" s="38" t="s">
        <v>181</v>
      </c>
      <c r="D23" s="95">
        <v>0</v>
      </c>
      <c r="E23" s="96">
        <v>0</v>
      </c>
      <c r="F23" s="99">
        <f t="shared" si="0"/>
        <v>0</v>
      </c>
      <c r="G23" s="97">
        <f t="shared" si="0"/>
        <v>0</v>
      </c>
      <c r="H23" s="99">
        <v>0</v>
      </c>
      <c r="I23" s="94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6" ht="27.95" customHeight="1">
      <c r="A24" s="94" t="s">
        <v>179</v>
      </c>
      <c r="B24" s="38" t="s">
        <v>206</v>
      </c>
      <c r="C24" s="38" t="s">
        <v>184</v>
      </c>
      <c r="D24" s="95">
        <v>0</v>
      </c>
      <c r="E24" s="96">
        <v>0</v>
      </c>
      <c r="F24" s="99">
        <f t="shared" si="0"/>
        <v>0</v>
      </c>
      <c r="G24" s="97">
        <f t="shared" si="0"/>
        <v>0</v>
      </c>
      <c r="H24" s="99">
        <v>0</v>
      </c>
      <c r="I24" s="94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6" ht="27.95" customHeight="1">
      <c r="A25" s="94" t="s">
        <v>192</v>
      </c>
      <c r="B25" s="38" t="s">
        <v>207</v>
      </c>
      <c r="C25" s="38" t="s">
        <v>208</v>
      </c>
      <c r="D25" s="95">
        <v>0</v>
      </c>
      <c r="E25" s="96">
        <v>0</v>
      </c>
      <c r="F25" s="99">
        <f t="shared" si="0"/>
        <v>0</v>
      </c>
      <c r="G25" s="97">
        <f t="shared" si="0"/>
        <v>0</v>
      </c>
      <c r="H25" s="99">
        <v>0</v>
      </c>
      <c r="I25" s="94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6" ht="27.95" customHeight="1">
      <c r="A26" s="94" t="s">
        <v>182</v>
      </c>
      <c r="B26" s="38" t="s">
        <v>209</v>
      </c>
      <c r="C26" s="38" t="s">
        <v>181</v>
      </c>
      <c r="D26" s="95">
        <v>0</v>
      </c>
      <c r="E26" s="96">
        <v>0</v>
      </c>
      <c r="F26" s="99">
        <f t="shared" si="0"/>
        <v>0</v>
      </c>
      <c r="G26" s="97">
        <f t="shared" si="0"/>
        <v>0</v>
      </c>
      <c r="H26" s="99">
        <v>0</v>
      </c>
      <c r="I26" s="94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6" ht="27.95" customHeight="1">
      <c r="A27" s="94" t="s">
        <v>192</v>
      </c>
      <c r="B27" s="38" t="s">
        <v>210</v>
      </c>
      <c r="C27" s="38" t="s">
        <v>181</v>
      </c>
      <c r="D27" s="95">
        <v>0</v>
      </c>
      <c r="E27" s="96">
        <v>0</v>
      </c>
      <c r="F27" s="99">
        <f t="shared" si="0"/>
        <v>0</v>
      </c>
      <c r="G27" s="97">
        <f t="shared" si="0"/>
        <v>0</v>
      </c>
      <c r="H27" s="99">
        <v>0</v>
      </c>
      <c r="I27" s="94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6" ht="27.95" customHeight="1">
      <c r="A28" s="94" t="s">
        <v>211</v>
      </c>
      <c r="B28" s="38" t="s">
        <v>180</v>
      </c>
      <c r="C28" s="38" t="s">
        <v>212</v>
      </c>
      <c r="D28" s="95">
        <v>0</v>
      </c>
      <c r="E28" s="96">
        <v>0</v>
      </c>
      <c r="F28" s="97">
        <f t="shared" si="0"/>
        <v>0</v>
      </c>
      <c r="G28" s="97">
        <f t="shared" si="0"/>
        <v>0</v>
      </c>
      <c r="H28" s="99">
        <v>0</v>
      </c>
      <c r="I28" s="94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6" ht="27.95" customHeight="1">
      <c r="A29" s="94" t="s">
        <v>213</v>
      </c>
      <c r="B29" s="38" t="s">
        <v>183</v>
      </c>
      <c r="C29" s="38" t="s">
        <v>212</v>
      </c>
      <c r="D29" s="95">
        <v>0</v>
      </c>
      <c r="E29" s="96">
        <v>0</v>
      </c>
      <c r="F29" s="97">
        <f t="shared" si="0"/>
        <v>0</v>
      </c>
      <c r="G29" s="97">
        <f t="shared" si="0"/>
        <v>0</v>
      </c>
      <c r="H29" s="99">
        <v>0</v>
      </c>
      <c r="I29" s="94">
        <v>0</v>
      </c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6" ht="27.95" customHeight="1">
      <c r="A30" s="94" t="s">
        <v>214</v>
      </c>
      <c r="B30" s="38" t="s">
        <v>185</v>
      </c>
      <c r="C30" s="38" t="s">
        <v>212</v>
      </c>
      <c r="D30" s="95">
        <v>0</v>
      </c>
      <c r="E30" s="96">
        <v>0</v>
      </c>
      <c r="F30" s="97">
        <f t="shared" si="0"/>
        <v>0</v>
      </c>
      <c r="G30" s="97">
        <f t="shared" si="0"/>
        <v>0</v>
      </c>
      <c r="H30" s="99">
        <v>0</v>
      </c>
      <c r="I30" s="94">
        <v>0</v>
      </c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6" ht="27.95" customHeight="1">
      <c r="A31" s="94" t="s">
        <v>215</v>
      </c>
      <c r="B31" s="38" t="s">
        <v>186</v>
      </c>
      <c r="C31" s="38" t="s">
        <v>216</v>
      </c>
      <c r="D31" s="95">
        <v>0</v>
      </c>
      <c r="E31" s="96">
        <v>0</v>
      </c>
      <c r="F31" s="97">
        <f t="shared" si="0"/>
        <v>0</v>
      </c>
      <c r="G31" s="97">
        <f t="shared" si="0"/>
        <v>0</v>
      </c>
      <c r="H31" s="99">
        <v>0</v>
      </c>
      <c r="I31" s="94">
        <v>0</v>
      </c>
      <c r="J31" s="97">
        <f t="shared" si="3"/>
        <v>0</v>
      </c>
      <c r="K31" s="97">
        <f t="shared" si="4"/>
        <v>0</v>
      </c>
      <c r="L31" s="97">
        <f t="shared" si="2"/>
        <v>0</v>
      </c>
      <c r="M31" s="97">
        <f t="shared" si="2"/>
        <v>0</v>
      </c>
    </row>
    <row r="32" spans="1:16" ht="27.95" customHeight="1">
      <c r="A32" s="94" t="s">
        <v>215</v>
      </c>
      <c r="B32" s="38" t="s">
        <v>187</v>
      </c>
      <c r="C32" s="38" t="s">
        <v>212</v>
      </c>
      <c r="D32" s="95">
        <v>0</v>
      </c>
      <c r="E32" s="96">
        <v>0</v>
      </c>
      <c r="F32" s="97">
        <f t="shared" si="0"/>
        <v>0</v>
      </c>
      <c r="G32" s="97">
        <f t="shared" si="0"/>
        <v>0</v>
      </c>
      <c r="H32" s="99">
        <v>0</v>
      </c>
      <c r="I32" s="94">
        <v>0</v>
      </c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5" customHeight="1">
      <c r="A33" s="94" t="s">
        <v>215</v>
      </c>
      <c r="B33" s="38" t="s">
        <v>188</v>
      </c>
      <c r="C33" s="38" t="s">
        <v>123</v>
      </c>
      <c r="D33" s="95">
        <v>0</v>
      </c>
      <c r="E33" s="96">
        <v>0</v>
      </c>
      <c r="F33" s="97">
        <f t="shared" si="0"/>
        <v>0</v>
      </c>
      <c r="G33" s="97">
        <f t="shared" si="0"/>
        <v>0</v>
      </c>
      <c r="H33" s="99">
        <v>0</v>
      </c>
      <c r="I33" s="94">
        <v>0</v>
      </c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5" customHeight="1">
      <c r="A34" s="94" t="s">
        <v>215</v>
      </c>
      <c r="B34" s="38" t="s">
        <v>189</v>
      </c>
      <c r="C34" s="38" t="s">
        <v>212</v>
      </c>
      <c r="D34" s="95">
        <v>0</v>
      </c>
      <c r="E34" s="96">
        <v>0</v>
      </c>
      <c r="F34" s="97">
        <f t="shared" si="0"/>
        <v>0</v>
      </c>
      <c r="G34" s="97">
        <f t="shared" si="0"/>
        <v>0</v>
      </c>
      <c r="H34" s="99">
        <v>0</v>
      </c>
      <c r="I34" s="94">
        <v>0</v>
      </c>
      <c r="J34" s="97">
        <f t="shared" si="3"/>
        <v>0</v>
      </c>
      <c r="K34" s="97">
        <f t="shared" si="4"/>
        <v>0</v>
      </c>
      <c r="L34" s="97">
        <f t="shared" si="2"/>
        <v>0</v>
      </c>
      <c r="M34" s="97">
        <f t="shared" si="2"/>
        <v>0</v>
      </c>
    </row>
    <row r="35" spans="1:13" ht="27.95" customHeight="1">
      <c r="A35" s="94" t="s">
        <v>211</v>
      </c>
      <c r="B35" s="38" t="s">
        <v>190</v>
      </c>
      <c r="C35" s="38" t="s">
        <v>123</v>
      </c>
      <c r="D35" s="95">
        <v>0</v>
      </c>
      <c r="E35" s="96">
        <v>0</v>
      </c>
      <c r="F35" s="97">
        <f t="shared" si="0"/>
        <v>0</v>
      </c>
      <c r="G35" s="97">
        <f t="shared" si="0"/>
        <v>0</v>
      </c>
      <c r="H35" s="99">
        <v>0</v>
      </c>
      <c r="I35" s="94">
        <v>0</v>
      </c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5" customHeight="1">
      <c r="A36" s="94" t="s">
        <v>211</v>
      </c>
      <c r="B36" s="38" t="s">
        <v>191</v>
      </c>
      <c r="C36" s="38" t="s">
        <v>212</v>
      </c>
      <c r="D36" s="95">
        <v>0</v>
      </c>
      <c r="E36" s="96">
        <v>0</v>
      </c>
      <c r="F36" s="97">
        <f t="shared" si="0"/>
        <v>0</v>
      </c>
      <c r="G36" s="97">
        <f t="shared" si="0"/>
        <v>0</v>
      </c>
      <c r="H36" s="99">
        <v>0</v>
      </c>
      <c r="I36" s="94">
        <v>0</v>
      </c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5" customHeight="1">
      <c r="A37" s="94" t="s">
        <v>213</v>
      </c>
      <c r="B37" s="38" t="s">
        <v>193</v>
      </c>
      <c r="C37" s="38" t="s">
        <v>212</v>
      </c>
      <c r="D37" s="95">
        <v>0</v>
      </c>
      <c r="E37" s="96">
        <v>0</v>
      </c>
      <c r="F37" s="97">
        <f t="shared" si="0"/>
        <v>0</v>
      </c>
      <c r="G37" s="97">
        <f t="shared" si="0"/>
        <v>0</v>
      </c>
      <c r="H37" s="99">
        <v>0</v>
      </c>
      <c r="I37" s="94">
        <v>0</v>
      </c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5" customHeight="1">
      <c r="A38" s="94" t="s">
        <v>211</v>
      </c>
      <c r="B38" s="38" t="s">
        <v>194</v>
      </c>
      <c r="C38" s="38" t="s">
        <v>217</v>
      </c>
      <c r="D38" s="95">
        <v>0</v>
      </c>
      <c r="E38" s="96">
        <v>0</v>
      </c>
      <c r="F38" s="97">
        <f t="shared" si="0"/>
        <v>0</v>
      </c>
      <c r="G38" s="97">
        <f t="shared" si="0"/>
        <v>0</v>
      </c>
      <c r="H38" s="99">
        <v>0</v>
      </c>
      <c r="I38" s="94">
        <v>0</v>
      </c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5" customHeight="1">
      <c r="A39" s="94" t="s">
        <v>211</v>
      </c>
      <c r="B39" s="38" t="s">
        <v>195</v>
      </c>
      <c r="C39" s="38" t="s">
        <v>218</v>
      </c>
      <c r="D39" s="95">
        <v>0</v>
      </c>
      <c r="E39" s="96">
        <v>0</v>
      </c>
      <c r="F39" s="97">
        <f t="shared" si="0"/>
        <v>0</v>
      </c>
      <c r="G39" s="97">
        <f t="shared" si="0"/>
        <v>0</v>
      </c>
      <c r="H39" s="99">
        <v>0</v>
      </c>
      <c r="I39" s="94">
        <v>0</v>
      </c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5" customHeight="1">
      <c r="A40" s="94" t="s">
        <v>211</v>
      </c>
      <c r="B40" s="38" t="s">
        <v>196</v>
      </c>
      <c r="C40" s="38" t="s">
        <v>212</v>
      </c>
      <c r="D40" s="95">
        <v>0</v>
      </c>
      <c r="E40" s="96">
        <v>0</v>
      </c>
      <c r="F40" s="97">
        <f t="shared" si="0"/>
        <v>0</v>
      </c>
      <c r="G40" s="97">
        <f t="shared" si="0"/>
        <v>0</v>
      </c>
      <c r="H40" s="99">
        <v>0</v>
      </c>
      <c r="I40" s="94">
        <v>0</v>
      </c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5" customHeight="1">
      <c r="A41" s="94" t="s">
        <v>211</v>
      </c>
      <c r="B41" s="38" t="s">
        <v>197</v>
      </c>
      <c r="C41" s="38" t="s">
        <v>123</v>
      </c>
      <c r="D41" s="95">
        <v>0</v>
      </c>
      <c r="E41" s="96">
        <v>0</v>
      </c>
      <c r="F41" s="97">
        <f t="shared" si="0"/>
        <v>0</v>
      </c>
      <c r="G41" s="97">
        <f t="shared" si="0"/>
        <v>0</v>
      </c>
      <c r="H41" s="99">
        <v>0</v>
      </c>
      <c r="I41" s="94">
        <v>0</v>
      </c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5" customHeight="1">
      <c r="A42" s="94" t="s">
        <v>211</v>
      </c>
      <c r="B42" s="38" t="s">
        <v>198</v>
      </c>
      <c r="C42" s="38" t="s">
        <v>212</v>
      </c>
      <c r="D42" s="95">
        <v>0</v>
      </c>
      <c r="E42" s="96">
        <v>0</v>
      </c>
      <c r="F42" s="97">
        <f t="shared" si="0"/>
        <v>0</v>
      </c>
      <c r="G42" s="97">
        <f t="shared" si="0"/>
        <v>0</v>
      </c>
      <c r="H42" s="99">
        <v>0</v>
      </c>
      <c r="I42" s="94">
        <v>0</v>
      </c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5" customHeight="1">
      <c r="A43" s="94" t="s">
        <v>211</v>
      </c>
      <c r="B43" s="38" t="s">
        <v>199</v>
      </c>
      <c r="C43" s="38" t="s">
        <v>212</v>
      </c>
      <c r="D43" s="95">
        <v>0</v>
      </c>
      <c r="E43" s="96">
        <v>0</v>
      </c>
      <c r="F43" s="97">
        <f t="shared" si="0"/>
        <v>0</v>
      </c>
      <c r="G43" s="97">
        <f t="shared" si="0"/>
        <v>0</v>
      </c>
      <c r="H43" s="99">
        <v>0</v>
      </c>
      <c r="I43" s="94">
        <v>0</v>
      </c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5" customHeight="1">
      <c r="A44" s="94" t="s">
        <v>211</v>
      </c>
      <c r="B44" s="38" t="s">
        <v>200</v>
      </c>
      <c r="C44" s="38" t="s">
        <v>123</v>
      </c>
      <c r="D44" s="95">
        <v>0</v>
      </c>
      <c r="E44" s="96">
        <v>0</v>
      </c>
      <c r="F44" s="97">
        <f t="shared" si="0"/>
        <v>0</v>
      </c>
      <c r="G44" s="97">
        <f t="shared" si="0"/>
        <v>0</v>
      </c>
      <c r="H44" s="99">
        <v>0</v>
      </c>
      <c r="I44" s="94">
        <v>0</v>
      </c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5" customHeight="1">
      <c r="A45" s="94" t="s">
        <v>213</v>
      </c>
      <c r="B45" s="38" t="s">
        <v>202</v>
      </c>
      <c r="C45" s="38" t="s">
        <v>123</v>
      </c>
      <c r="D45" s="95">
        <v>0</v>
      </c>
      <c r="E45" s="96">
        <v>0</v>
      </c>
      <c r="F45" s="97">
        <f t="shared" si="0"/>
        <v>0</v>
      </c>
      <c r="G45" s="97">
        <f t="shared" si="0"/>
        <v>0</v>
      </c>
      <c r="H45" s="94">
        <v>0</v>
      </c>
      <c r="I45" s="94">
        <v>0</v>
      </c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5" customHeight="1">
      <c r="A46" s="94" t="s">
        <v>211</v>
      </c>
      <c r="B46" s="38" t="s">
        <v>205</v>
      </c>
      <c r="C46" s="38" t="s">
        <v>212</v>
      </c>
      <c r="D46" s="95">
        <v>0</v>
      </c>
      <c r="E46" s="96">
        <v>0</v>
      </c>
      <c r="F46" s="97">
        <f t="shared" si="0"/>
        <v>0</v>
      </c>
      <c r="G46" s="97">
        <f t="shared" si="0"/>
        <v>0</v>
      </c>
      <c r="H46" s="94">
        <v>0</v>
      </c>
      <c r="I46" s="94">
        <v>0</v>
      </c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5" customHeight="1">
      <c r="A47" s="94" t="s">
        <v>211</v>
      </c>
      <c r="B47" s="38" t="s">
        <v>206</v>
      </c>
      <c r="C47" s="38" t="s">
        <v>217</v>
      </c>
      <c r="D47" s="95">
        <v>0</v>
      </c>
      <c r="E47" s="96">
        <v>0</v>
      </c>
      <c r="F47" s="97">
        <f t="shared" si="0"/>
        <v>0</v>
      </c>
      <c r="G47" s="97">
        <f t="shared" si="0"/>
        <v>0</v>
      </c>
      <c r="H47" s="94">
        <v>0</v>
      </c>
      <c r="I47" s="94">
        <v>0</v>
      </c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5" customHeight="1">
      <c r="A48" s="94" t="s">
        <v>214</v>
      </c>
      <c r="B48" s="38" t="s">
        <v>207</v>
      </c>
      <c r="C48" s="38" t="s">
        <v>212</v>
      </c>
      <c r="D48" s="95">
        <v>0</v>
      </c>
      <c r="E48" s="96">
        <v>0</v>
      </c>
      <c r="F48" s="97">
        <f t="shared" si="0"/>
        <v>0</v>
      </c>
      <c r="G48" s="97">
        <f t="shared" si="0"/>
        <v>0</v>
      </c>
      <c r="H48" s="94">
        <v>0</v>
      </c>
      <c r="I48" s="94">
        <v>0</v>
      </c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5" customHeight="1">
      <c r="A49" s="94" t="s">
        <v>211</v>
      </c>
      <c r="B49" s="38" t="s">
        <v>209</v>
      </c>
      <c r="C49" s="38" t="s">
        <v>212</v>
      </c>
      <c r="D49" s="95">
        <v>0</v>
      </c>
      <c r="E49" s="96">
        <v>0</v>
      </c>
      <c r="F49" s="97">
        <f t="shared" si="0"/>
        <v>0</v>
      </c>
      <c r="G49" s="97">
        <f t="shared" si="0"/>
        <v>0</v>
      </c>
      <c r="H49" s="94">
        <v>0</v>
      </c>
      <c r="I49" s="94">
        <v>0</v>
      </c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5" customHeight="1">
      <c r="A50" s="94" t="s">
        <v>214</v>
      </c>
      <c r="B50" s="38" t="s">
        <v>210</v>
      </c>
      <c r="C50" s="38" t="s">
        <v>217</v>
      </c>
      <c r="D50" s="95">
        <v>0</v>
      </c>
      <c r="E50" s="96">
        <v>0</v>
      </c>
      <c r="F50" s="97">
        <f t="shared" si="0"/>
        <v>0</v>
      </c>
      <c r="G50" s="97">
        <f t="shared" si="0"/>
        <v>0</v>
      </c>
      <c r="H50" s="94">
        <v>0</v>
      </c>
      <c r="I50" s="94">
        <v>0</v>
      </c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5" customHeight="1">
      <c r="A51" s="319" t="s">
        <v>219</v>
      </c>
      <c r="B51" s="320"/>
      <c r="C51" s="320"/>
      <c r="D51" s="320"/>
      <c r="E51" s="321"/>
      <c r="F51" s="149">
        <f>SUM(F5:F50)</f>
        <v>54</v>
      </c>
      <c r="G51" s="98">
        <f t="shared" ref="G51:M51" si="5">SUM(G5:G50)</f>
        <v>0</v>
      </c>
      <c r="H51" s="149">
        <f t="shared" si="5"/>
        <v>0</v>
      </c>
      <c r="I51" s="98">
        <f t="shared" si="5"/>
        <v>0</v>
      </c>
      <c r="J51" s="149">
        <f t="shared" si="5"/>
        <v>54</v>
      </c>
      <c r="K51" s="98">
        <f t="shared" si="5"/>
        <v>0</v>
      </c>
      <c r="L51" s="149">
        <f t="shared" si="5"/>
        <v>54</v>
      </c>
      <c r="M51" s="98">
        <f t="shared" si="5"/>
        <v>0</v>
      </c>
    </row>
    <row r="55" spans="1:13">
      <c r="G55" s="172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fitToHeight="0" orientation="landscape" r:id="rId1"/>
  <headerFooter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21"/>
  <sheetViews>
    <sheetView view="pageBreakPreview" zoomScale="85" zoomScaleNormal="115" zoomScaleSheetLayoutView="85" workbookViewId="0">
      <selection activeCell="B27" sqref="B27"/>
    </sheetView>
  </sheetViews>
  <sheetFormatPr defaultRowHeight="15"/>
  <cols>
    <col min="1" max="1" width="9.375" style="160" customWidth="1"/>
    <col min="2" max="2" width="21.625" style="161" bestFit="1" customWidth="1"/>
    <col min="3" max="3" width="13.375" style="160" customWidth="1"/>
    <col min="4" max="4" width="41.25" style="161" bestFit="1" customWidth="1"/>
    <col min="5" max="5" width="41.125" style="161" bestFit="1" customWidth="1"/>
    <col min="6" max="6" width="20.125" style="161" bestFit="1" customWidth="1"/>
    <col min="7" max="7" width="8" style="162" customWidth="1"/>
    <col min="8" max="8" width="14.25" style="163" customWidth="1"/>
    <col min="9" max="9" width="15.125" style="163" bestFit="1" customWidth="1"/>
    <col min="10" max="10" width="23.375" style="161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2" ht="33.75" customHeight="1">
      <c r="A1" s="325" t="s">
        <v>291</v>
      </c>
      <c r="B1" s="326"/>
      <c r="C1" s="326"/>
      <c r="D1" s="326"/>
      <c r="E1" s="326"/>
      <c r="F1" s="326"/>
      <c r="G1" s="326"/>
      <c r="H1" s="326"/>
      <c r="I1" s="326"/>
      <c r="J1" s="327"/>
    </row>
    <row r="2" spans="1:12" s="151" customFormat="1" ht="19.5" customHeight="1">
      <c r="A2" s="328" t="s">
        <v>292</v>
      </c>
      <c r="B2" s="329" t="s">
        <v>286</v>
      </c>
      <c r="C2" s="328" t="s">
        <v>250</v>
      </c>
      <c r="D2" s="328" t="s">
        <v>251</v>
      </c>
      <c r="E2" s="331" t="s">
        <v>293</v>
      </c>
      <c r="F2" s="328" t="s">
        <v>279</v>
      </c>
      <c r="G2" s="332" t="s">
        <v>294</v>
      </c>
      <c r="H2" s="333" t="s">
        <v>288</v>
      </c>
      <c r="I2" s="150" t="s">
        <v>289</v>
      </c>
      <c r="J2" s="328" t="s">
        <v>290</v>
      </c>
    </row>
    <row r="3" spans="1:12" s="151" customFormat="1" ht="19.5" customHeight="1">
      <c r="A3" s="328"/>
      <c r="B3" s="330"/>
      <c r="C3" s="328"/>
      <c r="D3" s="328"/>
      <c r="E3" s="331"/>
      <c r="F3" s="328"/>
      <c r="G3" s="332"/>
      <c r="H3" s="333"/>
      <c r="I3" s="146">
        <f>ROUND(SUM(I4:I82),)</f>
        <v>436400</v>
      </c>
      <c r="J3" s="328"/>
    </row>
    <row r="4" spans="1:12" s="157" customFormat="1" ht="15" customHeight="1">
      <c r="A4" s="153">
        <f t="shared" ref="A4:A21" si="0">ROW()-3</f>
        <v>1</v>
      </c>
      <c r="B4" s="154">
        <v>46245</v>
      </c>
      <c r="C4" s="153" t="s">
        <v>531</v>
      </c>
      <c r="D4" s="153" t="s">
        <v>530</v>
      </c>
      <c r="E4" s="153" t="s">
        <v>450</v>
      </c>
      <c r="F4" s="153" t="s">
        <v>445</v>
      </c>
      <c r="G4" s="153">
        <v>4</v>
      </c>
      <c r="H4" s="156">
        <v>10500</v>
      </c>
      <c r="I4" s="156">
        <v>42000</v>
      </c>
      <c r="J4" s="237"/>
      <c r="L4" s="158" t="s">
        <v>247</v>
      </c>
    </row>
    <row r="5" spans="1:12" s="157" customFormat="1" ht="15" customHeight="1">
      <c r="A5" s="153">
        <f t="shared" si="0"/>
        <v>2</v>
      </c>
      <c r="B5" s="154">
        <v>46245</v>
      </c>
      <c r="C5" s="153" t="s">
        <v>531</v>
      </c>
      <c r="D5" s="153" t="s">
        <v>529</v>
      </c>
      <c r="E5" s="153" t="s">
        <v>452</v>
      </c>
      <c r="F5" s="153" t="s">
        <v>445</v>
      </c>
      <c r="G5" s="153">
        <v>1</v>
      </c>
      <c r="H5" s="156">
        <v>1400</v>
      </c>
      <c r="I5" s="156">
        <v>1400</v>
      </c>
      <c r="J5" s="237"/>
      <c r="L5" s="158" t="s">
        <v>295</v>
      </c>
    </row>
    <row r="6" spans="1:12" s="157" customFormat="1" ht="15" customHeight="1">
      <c r="A6" s="153">
        <f t="shared" si="0"/>
        <v>3</v>
      </c>
      <c r="B6" s="154">
        <v>46245</v>
      </c>
      <c r="C6" s="153" t="s">
        <v>531</v>
      </c>
      <c r="D6" s="153" t="s">
        <v>453</v>
      </c>
      <c r="E6" s="153" t="s">
        <v>452</v>
      </c>
      <c r="F6" s="153" t="s">
        <v>445</v>
      </c>
      <c r="G6" s="153">
        <v>10</v>
      </c>
      <c r="H6" s="156">
        <v>500</v>
      </c>
      <c r="I6" s="156">
        <v>5000</v>
      </c>
      <c r="J6" s="237"/>
      <c r="L6" s="158" t="s">
        <v>286</v>
      </c>
    </row>
    <row r="7" spans="1:12" s="157" customFormat="1" ht="15" customHeight="1">
      <c r="A7" s="153">
        <f t="shared" si="0"/>
        <v>4</v>
      </c>
      <c r="B7" s="154">
        <v>46245</v>
      </c>
      <c r="C7" s="153" t="s">
        <v>531</v>
      </c>
      <c r="D7" s="153" t="s">
        <v>454</v>
      </c>
      <c r="E7" s="153" t="s">
        <v>455</v>
      </c>
      <c r="F7" s="153" t="s">
        <v>445</v>
      </c>
      <c r="G7" s="153">
        <v>5</v>
      </c>
      <c r="H7" s="156">
        <v>600</v>
      </c>
      <c r="I7" s="156">
        <v>3000</v>
      </c>
      <c r="J7" s="237"/>
      <c r="L7" s="158" t="s">
        <v>250</v>
      </c>
    </row>
    <row r="8" spans="1:12" s="157" customFormat="1" ht="15" customHeight="1">
      <c r="A8" s="153">
        <f t="shared" si="0"/>
        <v>5</v>
      </c>
      <c r="B8" s="154">
        <v>46245</v>
      </c>
      <c r="C8" s="153" t="s">
        <v>531</v>
      </c>
      <c r="D8" s="153" t="s">
        <v>454</v>
      </c>
      <c r="E8" s="153" t="s">
        <v>456</v>
      </c>
      <c r="F8" s="153" t="s">
        <v>445</v>
      </c>
      <c r="G8" s="153">
        <v>5</v>
      </c>
      <c r="H8" s="156">
        <v>600</v>
      </c>
      <c r="I8" s="156">
        <v>3000</v>
      </c>
      <c r="J8" s="237"/>
      <c r="L8" s="158" t="s">
        <v>251</v>
      </c>
    </row>
    <row r="9" spans="1:12" s="157" customFormat="1" ht="15" customHeight="1">
      <c r="A9" s="153">
        <f t="shared" si="0"/>
        <v>6</v>
      </c>
      <c r="B9" s="154">
        <v>46245</v>
      </c>
      <c r="C9" s="153" t="s">
        <v>531</v>
      </c>
      <c r="D9" s="153" t="s">
        <v>454</v>
      </c>
      <c r="E9" s="153" t="s">
        <v>457</v>
      </c>
      <c r="F9" s="153" t="s">
        <v>445</v>
      </c>
      <c r="G9" s="153">
        <v>5</v>
      </c>
      <c r="H9" s="156">
        <v>600</v>
      </c>
      <c r="I9" s="156">
        <v>3000</v>
      </c>
      <c r="J9" s="237"/>
      <c r="L9" s="158" t="s">
        <v>293</v>
      </c>
    </row>
    <row r="10" spans="1:12" s="157" customFormat="1" ht="15" customHeight="1">
      <c r="A10" s="153">
        <f t="shared" si="0"/>
        <v>7</v>
      </c>
      <c r="B10" s="154">
        <v>46245</v>
      </c>
      <c r="C10" s="153" t="s">
        <v>531</v>
      </c>
      <c r="D10" s="153" t="s">
        <v>458</v>
      </c>
      <c r="E10" s="153" t="s">
        <v>459</v>
      </c>
      <c r="F10" s="153" t="s">
        <v>445</v>
      </c>
      <c r="G10" s="153">
        <v>4</v>
      </c>
      <c r="H10" s="156">
        <v>2900</v>
      </c>
      <c r="I10" s="156">
        <v>11600</v>
      </c>
      <c r="J10" s="237"/>
      <c r="L10" s="158" t="s">
        <v>296</v>
      </c>
    </row>
    <row r="11" spans="1:12" s="157" customFormat="1" ht="15" customHeight="1">
      <c r="A11" s="153">
        <f t="shared" si="0"/>
        <v>8</v>
      </c>
      <c r="B11" s="154">
        <v>46245</v>
      </c>
      <c r="C11" s="153" t="s">
        <v>531</v>
      </c>
      <c r="D11" s="153" t="s">
        <v>460</v>
      </c>
      <c r="E11" s="153" t="s">
        <v>461</v>
      </c>
      <c r="F11" s="153" t="s">
        <v>445</v>
      </c>
      <c r="G11" s="153">
        <v>5</v>
      </c>
      <c r="H11" s="156">
        <v>500</v>
      </c>
      <c r="I11" s="156">
        <v>2500</v>
      </c>
      <c r="J11" s="237"/>
      <c r="L11" s="158" t="s">
        <v>297</v>
      </c>
    </row>
    <row r="12" spans="1:12" ht="13.5" customHeight="1">
      <c r="A12" s="153">
        <f t="shared" si="0"/>
        <v>9</v>
      </c>
      <c r="B12" s="154">
        <v>46245</v>
      </c>
      <c r="C12" s="153" t="s">
        <v>531</v>
      </c>
      <c r="D12" s="153" t="s">
        <v>460</v>
      </c>
      <c r="E12" s="153" t="s">
        <v>462</v>
      </c>
      <c r="F12" s="153" t="s">
        <v>445</v>
      </c>
      <c r="G12" s="153">
        <v>5</v>
      </c>
      <c r="H12" s="156">
        <v>500</v>
      </c>
      <c r="I12" s="156">
        <v>2500</v>
      </c>
      <c r="J12" s="237"/>
      <c r="L12" s="157" t="s">
        <v>288</v>
      </c>
    </row>
    <row r="13" spans="1:12">
      <c r="A13" s="153">
        <f t="shared" si="0"/>
        <v>10</v>
      </c>
      <c r="B13" s="154">
        <v>46245</v>
      </c>
      <c r="C13" s="153" t="s">
        <v>531</v>
      </c>
      <c r="D13" s="153" t="s">
        <v>463</v>
      </c>
      <c r="E13" s="153" t="s">
        <v>464</v>
      </c>
      <c r="F13" s="153" t="s">
        <v>445</v>
      </c>
      <c r="G13" s="153">
        <v>10</v>
      </c>
      <c r="H13" s="156">
        <v>100</v>
      </c>
      <c r="I13" s="156">
        <v>1000</v>
      </c>
      <c r="J13" s="237"/>
      <c r="L13" s="157"/>
    </row>
    <row r="14" spans="1:12" ht="16.5">
      <c r="A14" s="153">
        <f t="shared" si="0"/>
        <v>11</v>
      </c>
      <c r="B14" s="154">
        <v>46245</v>
      </c>
      <c r="C14" s="153" t="s">
        <v>531</v>
      </c>
      <c r="D14" s="153" t="s">
        <v>465</v>
      </c>
      <c r="E14" s="153" t="s">
        <v>466</v>
      </c>
      <c r="F14" s="153" t="s">
        <v>445</v>
      </c>
      <c r="G14" s="153">
        <v>2</v>
      </c>
      <c r="H14" s="156">
        <v>23200</v>
      </c>
      <c r="I14" s="156">
        <v>46400</v>
      </c>
      <c r="J14" s="237"/>
      <c r="L14" s="159" t="s">
        <v>298</v>
      </c>
    </row>
    <row r="15" spans="1:12">
      <c r="A15" s="153">
        <f t="shared" si="0"/>
        <v>12</v>
      </c>
      <c r="B15" s="154">
        <v>46245</v>
      </c>
      <c r="C15" s="153" t="s">
        <v>531</v>
      </c>
      <c r="D15" s="153" t="s">
        <v>478</v>
      </c>
      <c r="E15" s="153" t="s">
        <v>479</v>
      </c>
      <c r="F15" s="153" t="s">
        <v>445</v>
      </c>
      <c r="G15" s="153">
        <v>3</v>
      </c>
      <c r="H15" s="156">
        <v>600</v>
      </c>
      <c r="I15" s="156">
        <v>1800</v>
      </c>
      <c r="J15" s="237"/>
    </row>
    <row r="16" spans="1:12">
      <c r="A16" s="153">
        <f t="shared" si="0"/>
        <v>13</v>
      </c>
      <c r="B16" s="154">
        <v>46245</v>
      </c>
      <c r="C16" s="153" t="s">
        <v>531</v>
      </c>
      <c r="D16" s="153" t="s">
        <v>478</v>
      </c>
      <c r="E16" s="153" t="s">
        <v>480</v>
      </c>
      <c r="F16" s="153" t="s">
        <v>445</v>
      </c>
      <c r="G16" s="153">
        <v>3</v>
      </c>
      <c r="H16" s="156">
        <v>600</v>
      </c>
      <c r="I16" s="156">
        <v>1800</v>
      </c>
      <c r="J16" s="237"/>
    </row>
    <row r="17" spans="1:10">
      <c r="A17" s="153">
        <f t="shared" si="0"/>
        <v>14</v>
      </c>
      <c r="B17" s="154">
        <v>46245</v>
      </c>
      <c r="C17" s="153" t="s">
        <v>531</v>
      </c>
      <c r="D17" s="153" t="s">
        <v>478</v>
      </c>
      <c r="E17" s="153" t="s">
        <v>481</v>
      </c>
      <c r="F17" s="153" t="s">
        <v>445</v>
      </c>
      <c r="G17" s="153">
        <v>3</v>
      </c>
      <c r="H17" s="156">
        <v>600</v>
      </c>
      <c r="I17" s="156">
        <v>1800</v>
      </c>
      <c r="J17" s="237"/>
    </row>
    <row r="18" spans="1:10">
      <c r="A18" s="153">
        <f t="shared" si="0"/>
        <v>15</v>
      </c>
      <c r="B18" s="154">
        <v>46246</v>
      </c>
      <c r="C18" s="153" t="s">
        <v>531</v>
      </c>
      <c r="D18" s="153" t="s">
        <v>451</v>
      </c>
      <c r="E18" s="153" t="s">
        <v>452</v>
      </c>
      <c r="F18" s="153" t="s">
        <v>445</v>
      </c>
      <c r="G18" s="153">
        <v>9</v>
      </c>
      <c r="H18" s="156">
        <v>1400</v>
      </c>
      <c r="I18" s="156">
        <v>12600</v>
      </c>
      <c r="J18" s="237"/>
    </row>
    <row r="19" spans="1:10">
      <c r="A19" s="153">
        <f t="shared" si="0"/>
        <v>16</v>
      </c>
      <c r="B19" s="154">
        <v>46248</v>
      </c>
      <c r="C19" s="153" t="s">
        <v>531</v>
      </c>
      <c r="D19" s="153" t="s">
        <v>492</v>
      </c>
      <c r="E19" s="153" t="s">
        <v>493</v>
      </c>
      <c r="F19" s="153" t="s">
        <v>445</v>
      </c>
      <c r="G19" s="153">
        <v>2</v>
      </c>
      <c r="H19" s="156">
        <v>73400</v>
      </c>
      <c r="I19" s="156">
        <v>146800</v>
      </c>
      <c r="J19" s="237"/>
    </row>
    <row r="20" spans="1:10">
      <c r="A20" s="153">
        <f t="shared" si="0"/>
        <v>17</v>
      </c>
      <c r="B20" s="154">
        <v>46248</v>
      </c>
      <c r="C20" s="153" t="s">
        <v>531</v>
      </c>
      <c r="D20" s="153" t="s">
        <v>492</v>
      </c>
      <c r="E20" s="153" t="s">
        <v>494</v>
      </c>
      <c r="F20" s="153" t="s">
        <v>445</v>
      </c>
      <c r="G20" s="153">
        <v>2</v>
      </c>
      <c r="H20" s="156">
        <v>72400</v>
      </c>
      <c r="I20" s="156">
        <v>144800</v>
      </c>
      <c r="J20" s="237"/>
    </row>
    <row r="21" spans="1:10">
      <c r="A21" s="153">
        <f t="shared" si="0"/>
        <v>18</v>
      </c>
      <c r="B21" s="154">
        <v>46252</v>
      </c>
      <c r="C21" s="153" t="s">
        <v>531</v>
      </c>
      <c r="D21" s="153" t="s">
        <v>498</v>
      </c>
      <c r="E21" s="153" t="s">
        <v>499</v>
      </c>
      <c r="F21" s="153" t="s">
        <v>445</v>
      </c>
      <c r="G21" s="153">
        <v>3</v>
      </c>
      <c r="H21" s="156">
        <v>1800</v>
      </c>
      <c r="I21" s="156">
        <v>5400</v>
      </c>
      <c r="J21" s="237"/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47"/>
  <sheetViews>
    <sheetView view="pageBreakPreview" topLeftCell="A11" zoomScale="85" zoomScaleNormal="115" zoomScaleSheetLayoutView="85" workbookViewId="0">
      <selection activeCell="B27" sqref="B27"/>
    </sheetView>
  </sheetViews>
  <sheetFormatPr defaultRowHeight="15"/>
  <cols>
    <col min="1" max="1" width="9.375" style="160" customWidth="1"/>
    <col min="2" max="2" width="21.625" style="161" bestFit="1" customWidth="1"/>
    <col min="3" max="3" width="13.375" style="160" customWidth="1"/>
    <col min="4" max="4" width="55" style="161" customWidth="1"/>
    <col min="5" max="5" width="41.125" style="161" bestFit="1" customWidth="1"/>
    <col min="6" max="6" width="20.125" style="161" bestFit="1" customWidth="1"/>
    <col min="7" max="7" width="8" style="162" customWidth="1"/>
    <col min="8" max="8" width="14.25" style="163" customWidth="1"/>
    <col min="9" max="9" width="15.125" style="163" bestFit="1" customWidth="1"/>
    <col min="10" max="10" width="23.375" style="161" customWidth="1"/>
    <col min="11" max="11" width="9" style="17" customWidth="1"/>
    <col min="12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4" ht="33.75" customHeight="1">
      <c r="A1" s="325" t="s">
        <v>299</v>
      </c>
      <c r="B1" s="326"/>
      <c r="C1" s="326"/>
      <c r="D1" s="326"/>
      <c r="E1" s="326"/>
      <c r="F1" s="326"/>
      <c r="G1" s="326"/>
      <c r="H1" s="326"/>
      <c r="I1" s="326"/>
      <c r="J1" s="327"/>
    </row>
    <row r="2" spans="1:14" s="151" customFormat="1" ht="19.5" customHeight="1">
      <c r="A2" s="328" t="s">
        <v>292</v>
      </c>
      <c r="B2" s="329" t="s">
        <v>286</v>
      </c>
      <c r="C2" s="328" t="s">
        <v>250</v>
      </c>
      <c r="D2" s="328" t="s">
        <v>251</v>
      </c>
      <c r="E2" s="331" t="s">
        <v>293</v>
      </c>
      <c r="F2" s="328" t="s">
        <v>279</v>
      </c>
      <c r="G2" s="332" t="s">
        <v>294</v>
      </c>
      <c r="H2" s="333" t="s">
        <v>288</v>
      </c>
      <c r="I2" s="150" t="s">
        <v>289</v>
      </c>
      <c r="J2" s="328" t="s">
        <v>290</v>
      </c>
    </row>
    <row r="3" spans="1:14" s="151" customFormat="1" ht="19.5" customHeight="1">
      <c r="A3" s="328"/>
      <c r="B3" s="330"/>
      <c r="C3" s="328"/>
      <c r="D3" s="328"/>
      <c r="E3" s="331"/>
      <c r="F3" s="328"/>
      <c r="G3" s="332"/>
      <c r="H3" s="333"/>
      <c r="I3" s="146">
        <f>ROUND(SUM(I4:I47),)</f>
        <v>1350373</v>
      </c>
      <c r="J3" s="328"/>
      <c r="L3" s="152" t="s">
        <v>247</v>
      </c>
    </row>
    <row r="4" spans="1:14" s="157" customFormat="1" ht="15" customHeight="1">
      <c r="A4" s="153">
        <f t="shared" ref="A4:A47" si="0">ROW()-3</f>
        <v>1</v>
      </c>
      <c r="B4" s="154">
        <v>46247</v>
      </c>
      <c r="C4" s="237" t="s">
        <v>531</v>
      </c>
      <c r="D4" s="153" t="s">
        <v>432</v>
      </c>
      <c r="E4" s="153"/>
      <c r="F4" s="153" t="s">
        <v>433</v>
      </c>
      <c r="G4" s="155">
        <v>5</v>
      </c>
      <c r="H4" s="156">
        <v>1499.9999999999998</v>
      </c>
      <c r="I4" s="156">
        <v>7499.9999999999991</v>
      </c>
      <c r="J4" s="153"/>
      <c r="L4" s="158" t="s">
        <v>295</v>
      </c>
    </row>
    <row r="5" spans="1:14" s="157" customFormat="1" ht="15" customHeight="1">
      <c r="A5" s="153">
        <f t="shared" si="0"/>
        <v>2</v>
      </c>
      <c r="B5" s="154">
        <v>46245</v>
      </c>
      <c r="C5" s="237" t="s">
        <v>531</v>
      </c>
      <c r="D5" s="153" t="s">
        <v>434</v>
      </c>
      <c r="E5" s="153" t="s">
        <v>435</v>
      </c>
      <c r="F5" s="153" t="s">
        <v>436</v>
      </c>
      <c r="G5" s="155">
        <v>50</v>
      </c>
      <c r="H5" s="156">
        <v>1909.0909090909088</v>
      </c>
      <c r="I5" s="156">
        <v>95454.545454545441</v>
      </c>
      <c r="J5" s="153"/>
      <c r="L5" s="158" t="s">
        <v>286</v>
      </c>
    </row>
    <row r="6" spans="1:14" s="157" customFormat="1" ht="15" customHeight="1">
      <c r="A6" s="153">
        <f t="shared" si="0"/>
        <v>3</v>
      </c>
      <c r="B6" s="154">
        <v>46246</v>
      </c>
      <c r="C6" s="237" t="s">
        <v>531</v>
      </c>
      <c r="D6" s="153" t="s">
        <v>437</v>
      </c>
      <c r="E6" s="153" t="s">
        <v>438</v>
      </c>
      <c r="F6" s="153" t="s">
        <v>436</v>
      </c>
      <c r="G6" s="155">
        <v>8</v>
      </c>
      <c r="H6" s="156">
        <v>6704.545454545454</v>
      </c>
      <c r="I6" s="156">
        <v>53636.363636363632</v>
      </c>
      <c r="J6" s="237"/>
      <c r="L6" s="158" t="s">
        <v>250</v>
      </c>
    </row>
    <row r="7" spans="1:14" s="157" customFormat="1" ht="15" customHeight="1">
      <c r="A7" s="153">
        <f t="shared" si="0"/>
        <v>4</v>
      </c>
      <c r="B7" s="154">
        <v>46246</v>
      </c>
      <c r="C7" s="237" t="s">
        <v>531</v>
      </c>
      <c r="D7" s="153" t="s">
        <v>437</v>
      </c>
      <c r="E7" s="153" t="s">
        <v>439</v>
      </c>
      <c r="F7" s="153" t="s">
        <v>436</v>
      </c>
      <c r="G7" s="155">
        <v>4</v>
      </c>
      <c r="H7" s="156">
        <v>12227.272727272726</v>
      </c>
      <c r="I7" s="156">
        <v>48909.090909090904</v>
      </c>
      <c r="J7" s="153"/>
      <c r="L7" s="158" t="s">
        <v>251</v>
      </c>
    </row>
    <row r="8" spans="1:14" s="157" customFormat="1" ht="15" customHeight="1">
      <c r="A8" s="153">
        <f t="shared" si="0"/>
        <v>5</v>
      </c>
      <c r="B8" s="154">
        <v>46258</v>
      </c>
      <c r="C8" s="237" t="s">
        <v>531</v>
      </c>
      <c r="D8" s="153" t="s">
        <v>440</v>
      </c>
      <c r="E8" s="153"/>
      <c r="F8" s="153" t="s">
        <v>436</v>
      </c>
      <c r="G8" s="155">
        <v>100</v>
      </c>
      <c r="H8" s="156">
        <v>454.5454545454545</v>
      </c>
      <c r="I8" s="156">
        <v>45454.545454545449</v>
      </c>
      <c r="J8" s="153"/>
      <c r="L8" s="158" t="s">
        <v>293</v>
      </c>
    </row>
    <row r="9" spans="1:14" s="157" customFormat="1" ht="15" customHeight="1">
      <c r="A9" s="153">
        <f t="shared" si="0"/>
        <v>6</v>
      </c>
      <c r="B9" s="154">
        <v>46265</v>
      </c>
      <c r="C9" s="237" t="s">
        <v>531</v>
      </c>
      <c r="D9" s="153" t="s">
        <v>441</v>
      </c>
      <c r="E9" s="153" t="s">
        <v>442</v>
      </c>
      <c r="F9" s="153" t="s">
        <v>436</v>
      </c>
      <c r="G9" s="155">
        <v>3</v>
      </c>
      <c r="H9" s="156">
        <v>9090.9090909090901</v>
      </c>
      <c r="I9" s="156">
        <v>27272.727272727272</v>
      </c>
      <c r="J9" s="153"/>
      <c r="L9" s="158" t="s">
        <v>296</v>
      </c>
    </row>
    <row r="10" spans="1:14" s="157" customFormat="1" ht="15" customHeight="1">
      <c r="A10" s="153">
        <f t="shared" si="0"/>
        <v>7</v>
      </c>
      <c r="B10" s="154">
        <v>46237</v>
      </c>
      <c r="C10" s="153" t="s">
        <v>531</v>
      </c>
      <c r="D10" s="153" t="s">
        <v>443</v>
      </c>
      <c r="E10" s="153" t="s">
        <v>444</v>
      </c>
      <c r="F10" s="153" t="s">
        <v>445</v>
      </c>
      <c r="G10" s="155">
        <v>3</v>
      </c>
      <c r="H10" s="156">
        <v>20900</v>
      </c>
      <c r="I10" s="156">
        <v>62700</v>
      </c>
      <c r="J10" s="153"/>
      <c r="L10" s="158" t="s">
        <v>297</v>
      </c>
    </row>
    <row r="11" spans="1:14" s="157" customFormat="1" ht="15" customHeight="1">
      <c r="A11" s="153">
        <f t="shared" si="0"/>
        <v>8</v>
      </c>
      <c r="B11" s="154">
        <v>46244</v>
      </c>
      <c r="C11" s="153" t="s">
        <v>531</v>
      </c>
      <c r="D11" s="153" t="s">
        <v>446</v>
      </c>
      <c r="E11" s="153" t="s">
        <v>447</v>
      </c>
      <c r="F11" s="153" t="s">
        <v>445</v>
      </c>
      <c r="G11" s="155">
        <v>20</v>
      </c>
      <c r="H11" s="156">
        <v>1400</v>
      </c>
      <c r="I11" s="156">
        <v>28000</v>
      </c>
      <c r="J11" s="153"/>
      <c r="L11" s="158" t="s">
        <v>288</v>
      </c>
    </row>
    <row r="12" spans="1:14" s="157" customFormat="1" ht="15" customHeight="1">
      <c r="A12" s="153">
        <f t="shared" si="0"/>
        <v>9</v>
      </c>
      <c r="B12" s="154">
        <v>46244</v>
      </c>
      <c r="C12" s="153" t="s">
        <v>531</v>
      </c>
      <c r="D12" s="153" t="s">
        <v>448</v>
      </c>
      <c r="E12" s="153" t="s">
        <v>449</v>
      </c>
      <c r="F12" s="153" t="s">
        <v>445</v>
      </c>
      <c r="G12" s="153">
        <v>1</v>
      </c>
      <c r="H12" s="156">
        <v>13000</v>
      </c>
      <c r="I12" s="156">
        <v>13000</v>
      </c>
      <c r="J12" s="237"/>
      <c r="L12" s="158"/>
    </row>
    <row r="13" spans="1:14" s="157" customFormat="1" ht="15" customHeight="1">
      <c r="A13" s="153">
        <f t="shared" si="0"/>
        <v>10</v>
      </c>
      <c r="B13" s="154">
        <v>46245</v>
      </c>
      <c r="C13" s="153" t="s">
        <v>531</v>
      </c>
      <c r="D13" s="153" t="s">
        <v>467</v>
      </c>
      <c r="E13" s="153" t="s">
        <v>468</v>
      </c>
      <c r="F13" s="153" t="s">
        <v>445</v>
      </c>
      <c r="G13" s="153">
        <v>10</v>
      </c>
      <c r="H13" s="156">
        <v>900</v>
      </c>
      <c r="I13" s="156">
        <v>9000</v>
      </c>
      <c r="J13" s="237"/>
      <c r="L13" s="158"/>
      <c r="N13" s="157" t="s">
        <v>298</v>
      </c>
    </row>
    <row r="14" spans="1:14" s="157" customFormat="1" ht="15" customHeight="1">
      <c r="A14" s="153">
        <f t="shared" si="0"/>
        <v>11</v>
      </c>
      <c r="B14" s="154">
        <v>46245</v>
      </c>
      <c r="C14" s="153" t="s">
        <v>531</v>
      </c>
      <c r="D14" s="153" t="s">
        <v>469</v>
      </c>
      <c r="E14" s="153" t="s">
        <v>470</v>
      </c>
      <c r="F14" s="153" t="s">
        <v>445</v>
      </c>
      <c r="G14" s="153">
        <v>5</v>
      </c>
      <c r="H14" s="156">
        <v>4500</v>
      </c>
      <c r="I14" s="156">
        <v>22500</v>
      </c>
      <c r="J14" s="237"/>
      <c r="L14" s="158"/>
    </row>
    <row r="15" spans="1:14" s="157" customFormat="1" ht="15" customHeight="1">
      <c r="A15" s="153">
        <f t="shared" si="0"/>
        <v>12</v>
      </c>
      <c r="B15" s="154">
        <v>46245</v>
      </c>
      <c r="C15" s="153" t="s">
        <v>531</v>
      </c>
      <c r="D15" s="153" t="s">
        <v>471</v>
      </c>
      <c r="E15" s="153" t="s">
        <v>472</v>
      </c>
      <c r="F15" s="153" t="s">
        <v>445</v>
      </c>
      <c r="G15" s="153">
        <v>1</v>
      </c>
      <c r="H15" s="156">
        <v>60600</v>
      </c>
      <c r="I15" s="156">
        <v>60600</v>
      </c>
      <c r="J15" s="237"/>
      <c r="L15" s="158"/>
    </row>
    <row r="16" spans="1:14" s="157" customFormat="1" ht="15" customHeight="1">
      <c r="A16" s="153">
        <f t="shared" si="0"/>
        <v>13</v>
      </c>
      <c r="B16" s="154">
        <v>46245</v>
      </c>
      <c r="C16" s="153" t="s">
        <v>531</v>
      </c>
      <c r="D16" s="153" t="s">
        <v>471</v>
      </c>
      <c r="E16" s="153" t="s">
        <v>473</v>
      </c>
      <c r="F16" s="153" t="s">
        <v>445</v>
      </c>
      <c r="G16" s="153">
        <v>1</v>
      </c>
      <c r="H16" s="156">
        <v>90000</v>
      </c>
      <c r="I16" s="156">
        <v>90000</v>
      </c>
      <c r="J16" s="237"/>
      <c r="L16" s="158"/>
    </row>
    <row r="17" spans="1:12" s="157" customFormat="1" ht="15" customHeight="1">
      <c r="A17" s="153">
        <f t="shared" si="0"/>
        <v>14</v>
      </c>
      <c r="B17" s="154">
        <v>46245</v>
      </c>
      <c r="C17" s="153" t="s">
        <v>531</v>
      </c>
      <c r="D17" s="153" t="s">
        <v>474</v>
      </c>
      <c r="E17" s="153" t="s">
        <v>475</v>
      </c>
      <c r="F17" s="153" t="s">
        <v>445</v>
      </c>
      <c r="G17" s="153">
        <v>5</v>
      </c>
      <c r="H17" s="156">
        <v>3500</v>
      </c>
      <c r="I17" s="156">
        <v>17500</v>
      </c>
      <c r="J17" s="237"/>
      <c r="L17" s="158"/>
    </row>
    <row r="18" spans="1:12" s="157" customFormat="1" ht="15" customHeight="1">
      <c r="A18" s="153">
        <f t="shared" si="0"/>
        <v>15</v>
      </c>
      <c r="B18" s="154">
        <v>46245</v>
      </c>
      <c r="C18" s="153" t="s">
        <v>531</v>
      </c>
      <c r="D18" s="153" t="s">
        <v>476</v>
      </c>
      <c r="E18" s="153" t="s">
        <v>477</v>
      </c>
      <c r="F18" s="153" t="s">
        <v>445</v>
      </c>
      <c r="G18" s="153">
        <v>3</v>
      </c>
      <c r="H18" s="156">
        <v>3800</v>
      </c>
      <c r="I18" s="156">
        <v>11400</v>
      </c>
      <c r="J18" s="237"/>
      <c r="L18" s="158"/>
    </row>
    <row r="19" spans="1:12" s="157" customFormat="1" ht="15" customHeight="1">
      <c r="A19" s="153">
        <f t="shared" si="0"/>
        <v>16</v>
      </c>
      <c r="B19" s="154">
        <v>46246</v>
      </c>
      <c r="C19" s="153" t="s">
        <v>531</v>
      </c>
      <c r="D19" s="153" t="s">
        <v>482</v>
      </c>
      <c r="E19" s="153" t="s">
        <v>483</v>
      </c>
      <c r="F19" s="153" t="s">
        <v>445</v>
      </c>
      <c r="G19" s="153">
        <v>10</v>
      </c>
      <c r="H19" s="156">
        <v>12000</v>
      </c>
      <c r="I19" s="156">
        <v>120000</v>
      </c>
      <c r="J19" s="237"/>
      <c r="L19" s="158"/>
    </row>
    <row r="20" spans="1:12" s="157" customFormat="1" ht="15" customHeight="1">
      <c r="A20" s="153">
        <f t="shared" si="0"/>
        <v>17</v>
      </c>
      <c r="B20" s="154">
        <v>46246</v>
      </c>
      <c r="C20" s="153" t="s">
        <v>531</v>
      </c>
      <c r="D20" s="153" t="s">
        <v>484</v>
      </c>
      <c r="E20" s="153" t="s">
        <v>485</v>
      </c>
      <c r="F20" s="153" t="s">
        <v>445</v>
      </c>
      <c r="G20" s="153">
        <v>3</v>
      </c>
      <c r="H20" s="156">
        <v>800</v>
      </c>
      <c r="I20" s="156">
        <v>2400</v>
      </c>
      <c r="J20" s="237"/>
      <c r="L20" s="158"/>
    </row>
    <row r="21" spans="1:12" s="157" customFormat="1" ht="15" customHeight="1">
      <c r="A21" s="153">
        <f t="shared" si="0"/>
        <v>18</v>
      </c>
      <c r="B21" s="154">
        <v>46247</v>
      </c>
      <c r="C21" s="153" t="s">
        <v>531</v>
      </c>
      <c r="D21" s="153" t="s">
        <v>486</v>
      </c>
      <c r="E21" s="153" t="s">
        <v>487</v>
      </c>
      <c r="F21" s="153" t="s">
        <v>445</v>
      </c>
      <c r="G21" s="153">
        <v>100</v>
      </c>
      <c r="H21" s="156">
        <v>300</v>
      </c>
      <c r="I21" s="156">
        <v>30000</v>
      </c>
      <c r="J21" s="237"/>
      <c r="L21" s="158"/>
    </row>
    <row r="22" spans="1:12" s="157" customFormat="1" ht="15" customHeight="1">
      <c r="A22" s="153">
        <f t="shared" si="0"/>
        <v>19</v>
      </c>
      <c r="B22" s="154">
        <v>46248</v>
      </c>
      <c r="C22" s="153" t="s">
        <v>531</v>
      </c>
      <c r="D22" s="153" t="s">
        <v>488</v>
      </c>
      <c r="E22" s="153" t="s">
        <v>489</v>
      </c>
      <c r="F22" s="153" t="s">
        <v>445</v>
      </c>
      <c r="G22" s="153">
        <v>2</v>
      </c>
      <c r="H22" s="156">
        <v>16700</v>
      </c>
      <c r="I22" s="156">
        <v>33400</v>
      </c>
      <c r="J22" s="237"/>
      <c r="L22" s="158"/>
    </row>
    <row r="23" spans="1:12" s="157" customFormat="1" ht="15" customHeight="1">
      <c r="A23" s="153">
        <f t="shared" si="0"/>
        <v>20</v>
      </c>
      <c r="B23" s="154">
        <v>46248</v>
      </c>
      <c r="C23" s="153" t="s">
        <v>531</v>
      </c>
      <c r="D23" s="153" t="s">
        <v>490</v>
      </c>
      <c r="E23" s="153" t="s">
        <v>491</v>
      </c>
      <c r="F23" s="153" t="s">
        <v>445</v>
      </c>
      <c r="G23" s="153">
        <v>10</v>
      </c>
      <c r="H23" s="156">
        <v>2700</v>
      </c>
      <c r="I23" s="156">
        <v>27000</v>
      </c>
      <c r="J23" s="237"/>
      <c r="L23" s="158"/>
    </row>
    <row r="24" spans="1:12" s="157" customFormat="1" ht="15" customHeight="1">
      <c r="A24" s="153">
        <f t="shared" si="0"/>
        <v>21</v>
      </c>
      <c r="B24" s="154">
        <v>46248</v>
      </c>
      <c r="C24" s="153" t="s">
        <v>531</v>
      </c>
      <c r="D24" s="153" t="s">
        <v>476</v>
      </c>
      <c r="E24" s="153" t="s">
        <v>477</v>
      </c>
      <c r="F24" s="153" t="s">
        <v>445</v>
      </c>
      <c r="G24" s="153">
        <v>3</v>
      </c>
      <c r="H24" s="156">
        <v>3800</v>
      </c>
      <c r="I24" s="156">
        <v>11400</v>
      </c>
      <c r="J24" s="237"/>
      <c r="L24" s="158"/>
    </row>
    <row r="25" spans="1:12" s="157" customFormat="1" ht="15" customHeight="1">
      <c r="A25" s="153">
        <f t="shared" si="0"/>
        <v>22</v>
      </c>
      <c r="B25" s="154">
        <v>46248</v>
      </c>
      <c r="C25" s="153" t="s">
        <v>531</v>
      </c>
      <c r="D25" s="153" t="s">
        <v>495</v>
      </c>
      <c r="E25" s="153" t="s">
        <v>496</v>
      </c>
      <c r="F25" s="153" t="s">
        <v>445</v>
      </c>
      <c r="G25" s="153">
        <v>5</v>
      </c>
      <c r="H25" s="156">
        <v>500</v>
      </c>
      <c r="I25" s="156">
        <v>2500</v>
      </c>
      <c r="J25" s="237"/>
      <c r="L25" s="158"/>
    </row>
    <row r="26" spans="1:12" s="157" customFormat="1" ht="15" customHeight="1">
      <c r="A26" s="153">
        <f t="shared" si="0"/>
        <v>23</v>
      </c>
      <c r="B26" s="154">
        <v>46252</v>
      </c>
      <c r="C26" s="153" t="s">
        <v>531</v>
      </c>
      <c r="D26" s="153" t="s">
        <v>497</v>
      </c>
      <c r="E26" s="153" t="s">
        <v>470</v>
      </c>
      <c r="F26" s="153" t="s">
        <v>445</v>
      </c>
      <c r="G26" s="153">
        <v>5</v>
      </c>
      <c r="H26" s="156">
        <v>4500</v>
      </c>
      <c r="I26" s="156">
        <v>22500</v>
      </c>
      <c r="J26" s="237"/>
      <c r="L26" s="158"/>
    </row>
    <row r="27" spans="1:12" s="157" customFormat="1" ht="15" customHeight="1">
      <c r="A27" s="153">
        <f t="shared" si="0"/>
        <v>24</v>
      </c>
      <c r="B27" s="154">
        <v>46254</v>
      </c>
      <c r="C27" s="153" t="s">
        <v>531</v>
      </c>
      <c r="D27" s="153" t="s">
        <v>500</v>
      </c>
      <c r="E27" s="153" t="s">
        <v>501</v>
      </c>
      <c r="F27" s="153" t="s">
        <v>445</v>
      </c>
      <c r="G27" s="153">
        <v>5</v>
      </c>
      <c r="H27" s="156">
        <v>3600</v>
      </c>
      <c r="I27" s="156">
        <v>18000</v>
      </c>
      <c r="J27" s="237"/>
      <c r="L27" s="158"/>
    </row>
    <row r="28" spans="1:12" s="157" customFormat="1" ht="15" customHeight="1">
      <c r="A28" s="153">
        <f t="shared" si="0"/>
        <v>25</v>
      </c>
      <c r="B28" s="154">
        <v>46258</v>
      </c>
      <c r="C28" s="153" t="s">
        <v>531</v>
      </c>
      <c r="D28" s="153" t="s">
        <v>502</v>
      </c>
      <c r="E28" s="153" t="s">
        <v>447</v>
      </c>
      <c r="F28" s="153" t="s">
        <v>445</v>
      </c>
      <c r="G28" s="153">
        <v>30</v>
      </c>
      <c r="H28" s="156">
        <v>1400</v>
      </c>
      <c r="I28" s="156">
        <v>42000</v>
      </c>
      <c r="J28" s="237"/>
      <c r="L28" s="158"/>
    </row>
    <row r="29" spans="1:12" s="157" customFormat="1" ht="15" customHeight="1">
      <c r="A29" s="153">
        <f t="shared" si="0"/>
        <v>26</v>
      </c>
      <c r="B29" s="154">
        <v>46258</v>
      </c>
      <c r="C29" s="153" t="s">
        <v>531</v>
      </c>
      <c r="D29" s="153" t="s">
        <v>503</v>
      </c>
      <c r="E29" s="153" t="s">
        <v>491</v>
      </c>
      <c r="F29" s="153" t="s">
        <v>445</v>
      </c>
      <c r="G29" s="153">
        <v>5</v>
      </c>
      <c r="H29" s="156">
        <v>2700</v>
      </c>
      <c r="I29" s="156">
        <v>13500</v>
      </c>
      <c r="J29" s="237"/>
      <c r="L29" s="158"/>
    </row>
    <row r="30" spans="1:12" s="157" customFormat="1" ht="15" customHeight="1">
      <c r="A30" s="153">
        <f t="shared" si="0"/>
        <v>27</v>
      </c>
      <c r="B30" s="154">
        <v>46258</v>
      </c>
      <c r="C30" s="153" t="s">
        <v>531</v>
      </c>
      <c r="D30" s="153" t="s">
        <v>504</v>
      </c>
      <c r="E30" s="153" t="s">
        <v>505</v>
      </c>
      <c r="F30" s="153" t="s">
        <v>445</v>
      </c>
      <c r="G30" s="153">
        <v>10</v>
      </c>
      <c r="H30" s="156">
        <v>4900</v>
      </c>
      <c r="I30" s="156">
        <v>49000</v>
      </c>
      <c r="J30" s="237"/>
      <c r="L30" s="158"/>
    </row>
    <row r="31" spans="1:12" s="157" customFormat="1" ht="15" customHeight="1">
      <c r="A31" s="153">
        <f t="shared" si="0"/>
        <v>28</v>
      </c>
      <c r="B31" s="154">
        <v>46259</v>
      </c>
      <c r="C31" s="153" t="s">
        <v>531</v>
      </c>
      <c r="D31" s="153" t="s">
        <v>506</v>
      </c>
      <c r="E31" s="153" t="s">
        <v>507</v>
      </c>
      <c r="F31" s="153" t="s">
        <v>445</v>
      </c>
      <c r="G31" s="153">
        <v>5</v>
      </c>
      <c r="H31" s="156">
        <v>8500</v>
      </c>
      <c r="I31" s="156">
        <v>42500</v>
      </c>
      <c r="J31" s="237"/>
      <c r="L31" s="158"/>
    </row>
    <row r="32" spans="1:12" s="157" customFormat="1" ht="15" customHeight="1">
      <c r="A32" s="153">
        <f t="shared" si="0"/>
        <v>29</v>
      </c>
      <c r="B32" s="154">
        <v>46260</v>
      </c>
      <c r="C32" s="153" t="s">
        <v>531</v>
      </c>
      <c r="D32" s="153" t="s">
        <v>508</v>
      </c>
      <c r="E32" s="153" t="s">
        <v>509</v>
      </c>
      <c r="F32" s="153" t="s">
        <v>445</v>
      </c>
      <c r="G32" s="153">
        <v>1</v>
      </c>
      <c r="H32" s="156">
        <v>13300</v>
      </c>
      <c r="I32" s="156">
        <v>13300</v>
      </c>
      <c r="J32" s="237"/>
      <c r="L32" s="158"/>
    </row>
    <row r="33" spans="1:12" s="157" customFormat="1" ht="15" customHeight="1">
      <c r="A33" s="153">
        <f t="shared" si="0"/>
        <v>30</v>
      </c>
      <c r="B33" s="154">
        <v>46260</v>
      </c>
      <c r="C33" s="153" t="s">
        <v>531</v>
      </c>
      <c r="D33" s="153" t="s">
        <v>510</v>
      </c>
      <c r="E33" s="153" t="s">
        <v>511</v>
      </c>
      <c r="F33" s="153" t="s">
        <v>445</v>
      </c>
      <c r="G33" s="153">
        <v>100</v>
      </c>
      <c r="H33" s="156">
        <v>500</v>
      </c>
      <c r="I33" s="156">
        <v>50000</v>
      </c>
      <c r="J33" s="237"/>
      <c r="L33" s="158"/>
    </row>
    <row r="34" spans="1:12" s="157" customFormat="1" ht="15" customHeight="1">
      <c r="A34" s="153">
        <f t="shared" si="0"/>
        <v>31</v>
      </c>
      <c r="B34" s="154">
        <v>46260</v>
      </c>
      <c r="C34" s="153" t="s">
        <v>531</v>
      </c>
      <c r="D34" s="153" t="s">
        <v>503</v>
      </c>
      <c r="E34" s="153" t="s">
        <v>491</v>
      </c>
      <c r="F34" s="153" t="s">
        <v>445</v>
      </c>
      <c r="G34" s="153">
        <v>5</v>
      </c>
      <c r="H34" s="156">
        <v>2700</v>
      </c>
      <c r="I34" s="156">
        <v>13500</v>
      </c>
      <c r="J34" s="237"/>
      <c r="L34" s="158"/>
    </row>
    <row r="35" spans="1:12" s="157" customFormat="1" ht="15" customHeight="1">
      <c r="A35" s="153">
        <f t="shared" si="0"/>
        <v>32</v>
      </c>
      <c r="B35" s="154">
        <v>46260</v>
      </c>
      <c r="C35" s="153" t="s">
        <v>531</v>
      </c>
      <c r="D35" s="153" t="s">
        <v>512</v>
      </c>
      <c r="E35" s="153" t="s">
        <v>513</v>
      </c>
      <c r="F35" s="153" t="s">
        <v>445</v>
      </c>
      <c r="G35" s="153">
        <v>1</v>
      </c>
      <c r="H35" s="156">
        <v>12400</v>
      </c>
      <c r="I35" s="156">
        <v>12400</v>
      </c>
      <c r="J35" s="237"/>
      <c r="L35" s="158"/>
    </row>
    <row r="36" spans="1:12" s="157" customFormat="1" ht="15" customHeight="1">
      <c r="A36" s="153">
        <f t="shared" si="0"/>
        <v>33</v>
      </c>
      <c r="B36" s="154">
        <v>46262</v>
      </c>
      <c r="C36" s="153" t="s">
        <v>531</v>
      </c>
      <c r="D36" s="153" t="s">
        <v>514</v>
      </c>
      <c r="E36" s="153" t="s">
        <v>515</v>
      </c>
      <c r="F36" s="153" t="s">
        <v>445</v>
      </c>
      <c r="G36" s="153">
        <v>2</v>
      </c>
      <c r="H36" s="156">
        <v>10000</v>
      </c>
      <c r="I36" s="156">
        <v>20000</v>
      </c>
      <c r="J36" s="237"/>
      <c r="L36" s="158"/>
    </row>
    <row r="37" spans="1:12" s="157" customFormat="1" ht="15" customHeight="1">
      <c r="A37" s="153">
        <f t="shared" si="0"/>
        <v>34</v>
      </c>
      <c r="B37" s="154">
        <v>46262</v>
      </c>
      <c r="C37" s="153" t="s">
        <v>532</v>
      </c>
      <c r="D37" s="153" t="s">
        <v>516</v>
      </c>
      <c r="E37" s="153" t="s">
        <v>517</v>
      </c>
      <c r="F37" s="153" t="s">
        <v>445</v>
      </c>
      <c r="G37" s="153">
        <v>2</v>
      </c>
      <c r="H37" s="156">
        <v>3600</v>
      </c>
      <c r="I37" s="156">
        <v>7200</v>
      </c>
      <c r="J37" s="237"/>
      <c r="L37" s="158"/>
    </row>
    <row r="38" spans="1:12" s="157" customFormat="1" ht="15" customHeight="1">
      <c r="A38" s="153">
        <f t="shared" si="0"/>
        <v>35</v>
      </c>
      <c r="B38" s="154">
        <v>46262</v>
      </c>
      <c r="C38" s="153" t="s">
        <v>532</v>
      </c>
      <c r="D38" s="153" t="s">
        <v>516</v>
      </c>
      <c r="E38" s="153" t="s">
        <v>518</v>
      </c>
      <c r="F38" s="153" t="s">
        <v>445</v>
      </c>
      <c r="G38" s="153">
        <v>3</v>
      </c>
      <c r="H38" s="156">
        <v>4400</v>
      </c>
      <c r="I38" s="156">
        <v>13200</v>
      </c>
      <c r="J38" s="237"/>
      <c r="L38" s="158"/>
    </row>
    <row r="39" spans="1:12" s="157" customFormat="1" ht="15" customHeight="1">
      <c r="A39" s="153">
        <f t="shared" si="0"/>
        <v>36</v>
      </c>
      <c r="B39" s="154">
        <v>46248</v>
      </c>
      <c r="C39" s="153" t="s">
        <v>531</v>
      </c>
      <c r="D39" s="153" t="s">
        <v>519</v>
      </c>
      <c r="E39" s="153" t="s">
        <v>520</v>
      </c>
      <c r="F39" s="153" t="s">
        <v>521</v>
      </c>
      <c r="G39" s="153">
        <v>1</v>
      </c>
      <c r="H39" s="156">
        <v>5400</v>
      </c>
      <c r="I39" s="156">
        <v>5400</v>
      </c>
      <c r="J39" s="237"/>
      <c r="L39" s="158"/>
    </row>
    <row r="40" spans="1:12" s="157" customFormat="1" ht="15" customHeight="1">
      <c r="A40" s="153">
        <f t="shared" si="0"/>
        <v>37</v>
      </c>
      <c r="B40" s="154">
        <v>46244</v>
      </c>
      <c r="C40" s="153" t="s">
        <v>533</v>
      </c>
      <c r="D40" s="153" t="s">
        <v>522</v>
      </c>
      <c r="E40" s="153"/>
      <c r="F40" s="153" t="s">
        <v>523</v>
      </c>
      <c r="G40" s="153">
        <v>1</v>
      </c>
      <c r="H40" s="156">
        <v>23990.909090909088</v>
      </c>
      <c r="I40" s="156">
        <v>23990.909090909088</v>
      </c>
      <c r="J40" s="237"/>
      <c r="L40" s="158"/>
    </row>
    <row r="41" spans="1:12" s="157" customFormat="1" ht="15" customHeight="1">
      <c r="A41" s="153">
        <f t="shared" si="0"/>
        <v>38</v>
      </c>
      <c r="B41" s="154">
        <v>46244</v>
      </c>
      <c r="C41" s="153" t="s">
        <v>533</v>
      </c>
      <c r="D41" s="153" t="s">
        <v>524</v>
      </c>
      <c r="E41" s="153"/>
      <c r="F41" s="153" t="s">
        <v>523</v>
      </c>
      <c r="G41" s="153">
        <v>3</v>
      </c>
      <c r="H41" s="156">
        <v>7242.4242424242411</v>
      </c>
      <c r="I41" s="156">
        <v>21727.272727272724</v>
      </c>
      <c r="J41" s="237"/>
      <c r="L41" s="158"/>
    </row>
    <row r="42" spans="1:12" s="157" customFormat="1" ht="15" customHeight="1">
      <c r="A42" s="153">
        <f t="shared" si="0"/>
        <v>39</v>
      </c>
      <c r="B42" s="154">
        <v>46244</v>
      </c>
      <c r="C42" s="153" t="s">
        <v>531</v>
      </c>
      <c r="D42" s="153" t="s">
        <v>525</v>
      </c>
      <c r="E42" s="153"/>
      <c r="F42" s="153" t="s">
        <v>523</v>
      </c>
      <c r="G42" s="153">
        <v>3</v>
      </c>
      <c r="H42" s="156">
        <v>6272.7272727272721</v>
      </c>
      <c r="I42" s="156">
        <v>18818.181818181816</v>
      </c>
      <c r="J42" s="237"/>
      <c r="L42" s="158"/>
    </row>
    <row r="43" spans="1:12" s="157" customFormat="1" ht="15" customHeight="1">
      <c r="A43" s="153">
        <f t="shared" si="0"/>
        <v>40</v>
      </c>
      <c r="B43" s="154">
        <v>46244</v>
      </c>
      <c r="C43" s="153" t="s">
        <v>531</v>
      </c>
      <c r="D43" s="153" t="s">
        <v>526</v>
      </c>
      <c r="E43" s="153"/>
      <c r="F43" s="153" t="s">
        <v>523</v>
      </c>
      <c r="G43" s="153">
        <v>2</v>
      </c>
      <c r="H43" s="156">
        <v>13545.454545454544</v>
      </c>
      <c r="I43" s="156">
        <v>27090.909090909088</v>
      </c>
      <c r="J43" s="237"/>
      <c r="L43" s="158"/>
    </row>
    <row r="44" spans="1:12" s="157" customFormat="1" ht="15" customHeight="1">
      <c r="A44" s="153">
        <f t="shared" si="0"/>
        <v>41</v>
      </c>
      <c r="B44" s="154">
        <v>46247</v>
      </c>
      <c r="C44" s="153" t="s">
        <v>531</v>
      </c>
      <c r="D44" s="153" t="s">
        <v>527</v>
      </c>
      <c r="E44" s="153"/>
      <c r="F44" s="153" t="s">
        <v>523</v>
      </c>
      <c r="G44" s="153">
        <v>2</v>
      </c>
      <c r="H44" s="156">
        <v>16809.090909090908</v>
      </c>
      <c r="I44" s="156">
        <v>33618.181818181816</v>
      </c>
      <c r="J44" s="237"/>
      <c r="L44" s="158"/>
    </row>
    <row r="45" spans="1:12" s="157" customFormat="1" ht="15" customHeight="1">
      <c r="A45" s="153">
        <f t="shared" si="0"/>
        <v>42</v>
      </c>
      <c r="B45" s="154">
        <v>46248</v>
      </c>
      <c r="C45" s="153" t="s">
        <v>531</v>
      </c>
      <c r="D45" s="153" t="s">
        <v>526</v>
      </c>
      <c r="E45" s="153"/>
      <c r="F45" s="153" t="s">
        <v>523</v>
      </c>
      <c r="G45" s="153">
        <v>2</v>
      </c>
      <c r="H45" s="156">
        <v>13545.454545454544</v>
      </c>
      <c r="I45" s="156">
        <v>27090.909090909088</v>
      </c>
      <c r="J45" s="237"/>
      <c r="L45" s="158"/>
    </row>
    <row r="46" spans="1:12" s="157" customFormat="1" ht="15" customHeight="1">
      <c r="A46" s="153">
        <f t="shared" si="0"/>
        <v>43</v>
      </c>
      <c r="B46" s="154">
        <v>46248</v>
      </c>
      <c r="C46" s="153" t="s">
        <v>531</v>
      </c>
      <c r="D46" s="153" t="s">
        <v>525</v>
      </c>
      <c r="E46" s="153"/>
      <c r="F46" s="153" t="s">
        <v>523</v>
      </c>
      <c r="G46" s="153">
        <v>3</v>
      </c>
      <c r="H46" s="156">
        <v>6272.7272727272721</v>
      </c>
      <c r="I46" s="156">
        <v>18818.181818181816</v>
      </c>
      <c r="J46" s="237"/>
      <c r="L46" s="158"/>
    </row>
    <row r="47" spans="1:12" s="157" customFormat="1" ht="15" customHeight="1">
      <c r="A47" s="153">
        <f t="shared" si="0"/>
        <v>44</v>
      </c>
      <c r="B47" s="154">
        <v>46252</v>
      </c>
      <c r="C47" s="153" t="s">
        <v>533</v>
      </c>
      <c r="D47" s="153" t="s">
        <v>528</v>
      </c>
      <c r="E47" s="153"/>
      <c r="F47" s="153" t="s">
        <v>523</v>
      </c>
      <c r="G47" s="153">
        <v>3</v>
      </c>
      <c r="H47" s="156">
        <v>12363.636363636362</v>
      </c>
      <c r="I47" s="156">
        <v>37090.909090909088</v>
      </c>
      <c r="J47" s="237"/>
      <c r="L47" s="158"/>
    </row>
  </sheetData>
  <autoFilter ref="A2:J18" xr:uid="{2E421254-DD27-4148-AC38-C00782AEA3D1}">
    <sortState ref="A5:J41">
      <sortCondition ref="F2:F18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3"/>
  <sheetViews>
    <sheetView view="pageBreakPreview" zoomScaleNormal="100" zoomScaleSheetLayoutView="100" workbookViewId="0">
      <selection activeCell="B27" sqref="B27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334" t="s">
        <v>236</v>
      </c>
      <c r="B1" s="335"/>
      <c r="C1" s="335"/>
      <c r="D1" s="335"/>
      <c r="E1" s="335"/>
      <c r="F1" s="335"/>
      <c r="G1" s="335"/>
      <c r="H1" s="335"/>
      <c r="I1" s="335"/>
      <c r="J1" s="336"/>
    </row>
    <row r="2" spans="1:12" ht="20.100000000000001" customHeight="1">
      <c r="A2" s="337" t="s">
        <v>237</v>
      </c>
      <c r="B2" s="337" t="s">
        <v>238</v>
      </c>
      <c r="C2" s="337" t="s">
        <v>239</v>
      </c>
      <c r="D2" s="337" t="s">
        <v>240</v>
      </c>
      <c r="E2" s="337" t="s">
        <v>241</v>
      </c>
      <c r="F2" s="337" t="s">
        <v>242</v>
      </c>
      <c r="G2" s="337" t="s">
        <v>243</v>
      </c>
      <c r="H2" s="337" t="s">
        <v>244</v>
      </c>
      <c r="I2" s="140" t="s">
        <v>245</v>
      </c>
      <c r="J2" s="337" t="s">
        <v>246</v>
      </c>
    </row>
    <row r="3" spans="1:12" ht="20.100000000000001" customHeight="1">
      <c r="A3" s="337"/>
      <c r="B3" s="337"/>
      <c r="C3" s="337"/>
      <c r="D3" s="337"/>
      <c r="E3" s="337"/>
      <c r="F3" s="337"/>
      <c r="G3" s="337"/>
      <c r="H3" s="337"/>
      <c r="I3" s="141">
        <f>SUM(I4:I13)</f>
        <v>4825806.4516129028</v>
      </c>
      <c r="J3" s="337"/>
      <c r="L3" s="142" t="s">
        <v>247</v>
      </c>
    </row>
    <row r="4" spans="1:12" ht="20.100000000000001" customHeight="1">
      <c r="A4" s="153">
        <f t="shared" ref="A4:A6" si="0">ROW()-3</f>
        <v>1</v>
      </c>
      <c r="B4" s="176">
        <v>46265</v>
      </c>
      <c r="C4" s="46" t="s">
        <v>559</v>
      </c>
      <c r="D4" s="46" t="s">
        <v>560</v>
      </c>
      <c r="E4" s="46" t="s">
        <v>561</v>
      </c>
      <c r="F4" s="46" t="s">
        <v>562</v>
      </c>
      <c r="G4" s="46">
        <v>1</v>
      </c>
      <c r="H4" s="46"/>
      <c r="I4" s="179">
        <f>1550000/31*3+1550000</f>
        <v>1700000</v>
      </c>
      <c r="J4" s="46" t="s">
        <v>566</v>
      </c>
      <c r="L4" s="143" t="s">
        <v>249</v>
      </c>
    </row>
    <row r="5" spans="1:12" ht="20.100000000000001" customHeight="1">
      <c r="A5" s="153">
        <f t="shared" si="0"/>
        <v>2</v>
      </c>
      <c r="B5" s="176">
        <v>46265</v>
      </c>
      <c r="C5" s="46" t="s">
        <v>559</v>
      </c>
      <c r="D5" s="46" t="s">
        <v>560</v>
      </c>
      <c r="E5" s="46" t="s">
        <v>563</v>
      </c>
      <c r="F5" s="46" t="s">
        <v>564</v>
      </c>
      <c r="G5" s="46">
        <v>1</v>
      </c>
      <c r="H5" s="46"/>
      <c r="I5" s="179">
        <f>1300000/31*3+1300000</f>
        <v>1425806.4516129033</v>
      </c>
      <c r="J5" s="46" t="s">
        <v>566</v>
      </c>
      <c r="L5" s="143" t="s">
        <v>250</v>
      </c>
    </row>
    <row r="6" spans="1:12" ht="20.100000000000001" customHeight="1">
      <c r="A6" s="153">
        <f t="shared" si="0"/>
        <v>3</v>
      </c>
      <c r="B6" s="176">
        <v>46265</v>
      </c>
      <c r="C6" s="46" t="s">
        <v>559</v>
      </c>
      <c r="D6" s="46" t="s">
        <v>560</v>
      </c>
      <c r="E6" s="46" t="s">
        <v>565</v>
      </c>
      <c r="F6" s="46" t="s">
        <v>562</v>
      </c>
      <c r="G6" s="46">
        <v>1</v>
      </c>
      <c r="H6" s="46"/>
      <c r="I6" s="179">
        <f>1550000/31*3+1550000</f>
        <v>1700000</v>
      </c>
      <c r="J6" s="46" t="s">
        <v>566</v>
      </c>
      <c r="L6" s="143" t="s">
        <v>251</v>
      </c>
    </row>
    <row r="7" spans="1:12" ht="20.100000000000001" customHeight="1">
      <c r="L7" s="143" t="s">
        <v>252</v>
      </c>
    </row>
    <row r="8" spans="1:12" ht="20.100000000000001" customHeight="1">
      <c r="L8" s="144" t="s">
        <v>253</v>
      </c>
    </row>
    <row r="9" spans="1:12" ht="20.100000000000001" customHeight="1">
      <c r="L9" s="144" t="s">
        <v>254</v>
      </c>
    </row>
    <row r="10" spans="1:12" ht="20.100000000000001" customHeight="1">
      <c r="L10" s="144" t="s">
        <v>255</v>
      </c>
    </row>
    <row r="11" spans="1:12" ht="20.100000000000001" customHeight="1">
      <c r="L11" s="144"/>
    </row>
    <row r="12" spans="1:12" ht="20.100000000000001" customHeight="1">
      <c r="L12" s="142" t="s">
        <v>256</v>
      </c>
    </row>
    <row r="13" spans="1:12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AND(COUNTIF(#REF!, E4)+COUNTIF(#REF!, E4)+COUNTIF(#REF!, E4)&gt;1,NOT(ISBLANK(E4)))</formula>
    </cfRule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3"/>
  <sheetViews>
    <sheetView view="pageBreakPreview" zoomScaleNormal="100" zoomScaleSheetLayoutView="100" workbookViewId="0">
      <selection activeCell="B27" sqref="B27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334" t="s">
        <v>257</v>
      </c>
      <c r="B1" s="335"/>
      <c r="C1" s="335"/>
      <c r="D1" s="335"/>
      <c r="E1" s="335"/>
      <c r="F1" s="335"/>
      <c r="G1" s="335"/>
      <c r="H1" s="335"/>
      <c r="I1" s="335"/>
      <c r="J1" s="336"/>
    </row>
    <row r="2" spans="1:10" ht="20.100000000000001" customHeight="1">
      <c r="A2" s="337" t="s">
        <v>258</v>
      </c>
      <c r="B2" s="337" t="s">
        <v>238</v>
      </c>
      <c r="C2" s="337" t="s">
        <v>259</v>
      </c>
      <c r="D2" s="337" t="s">
        <v>240</v>
      </c>
      <c r="E2" s="337" t="s">
        <v>260</v>
      </c>
      <c r="F2" s="337" t="s">
        <v>242</v>
      </c>
      <c r="G2" s="337" t="s">
        <v>261</v>
      </c>
      <c r="H2" s="337" t="s">
        <v>262</v>
      </c>
      <c r="I2" s="140" t="s">
        <v>263</v>
      </c>
      <c r="J2" s="337" t="s">
        <v>264</v>
      </c>
    </row>
    <row r="3" spans="1:10" ht="20.100000000000001" customHeight="1">
      <c r="A3" s="337"/>
      <c r="B3" s="337"/>
      <c r="C3" s="337"/>
      <c r="D3" s="337"/>
      <c r="E3" s="337"/>
      <c r="F3" s="337"/>
      <c r="G3" s="337"/>
      <c r="H3" s="337"/>
      <c r="I3" s="141">
        <f>SUM(I4:I13)</f>
        <v>0</v>
      </c>
      <c r="J3" s="337"/>
    </row>
    <row r="4" spans="1:10" ht="20.100000000000001" customHeight="1">
      <c r="A4" s="164">
        <f t="shared" ref="A4:A6" si="0">ROW()-3</f>
        <v>1</v>
      </c>
      <c r="B4" s="165"/>
      <c r="C4" s="166"/>
      <c r="D4" s="167"/>
      <c r="E4" s="46"/>
      <c r="F4" s="46"/>
      <c r="G4" s="168"/>
      <c r="H4" s="182"/>
      <c r="I4" s="169"/>
      <c r="J4" s="170"/>
    </row>
    <row r="5" spans="1:10" ht="20.100000000000001" customHeight="1">
      <c r="A5" s="164">
        <f t="shared" si="0"/>
        <v>2</v>
      </c>
      <c r="B5" s="165"/>
      <c r="C5" s="166"/>
      <c r="D5" s="167"/>
      <c r="E5" s="46"/>
      <c r="F5" s="46"/>
      <c r="G5" s="168"/>
      <c r="H5" s="175"/>
      <c r="I5" s="179"/>
      <c r="J5" s="175"/>
    </row>
    <row r="6" spans="1:10" ht="20.100000000000001" customHeight="1">
      <c r="A6" s="164">
        <f t="shared" si="0"/>
        <v>3</v>
      </c>
      <c r="B6" s="165"/>
      <c r="C6" s="166"/>
      <c r="D6" s="167"/>
      <c r="E6" s="46"/>
      <c r="F6" s="46"/>
      <c r="G6" s="168"/>
      <c r="H6" s="175"/>
      <c r="I6" s="179"/>
      <c r="J6" s="175"/>
    </row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6">
    <cfRule type="duplicateValues" priority="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B27" sqref="B27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334" t="s">
        <v>265</v>
      </c>
      <c r="B1" s="335"/>
      <c r="C1" s="335"/>
      <c r="D1" s="335"/>
      <c r="E1" s="335"/>
      <c r="F1" s="335"/>
      <c r="G1" s="335"/>
      <c r="H1" s="335"/>
      <c r="I1" s="335"/>
      <c r="J1" s="336"/>
    </row>
    <row r="2" spans="1:12" ht="24.95" customHeight="1">
      <c r="A2" s="337" t="s">
        <v>266</v>
      </c>
      <c r="B2" s="337" t="s">
        <v>267</v>
      </c>
      <c r="C2" s="337" t="s">
        <v>109</v>
      </c>
      <c r="D2" s="337" t="s">
        <v>268</v>
      </c>
      <c r="E2" s="337" t="s">
        <v>269</v>
      </c>
      <c r="F2" s="337" t="s">
        <v>270</v>
      </c>
      <c r="G2" s="337" t="s">
        <v>271</v>
      </c>
      <c r="H2" s="337" t="s">
        <v>272</v>
      </c>
      <c r="I2" s="140" t="s">
        <v>273</v>
      </c>
      <c r="J2" s="337" t="s">
        <v>246</v>
      </c>
    </row>
    <row r="3" spans="1:12" ht="24.95" customHeight="1">
      <c r="A3" s="337"/>
      <c r="B3" s="337"/>
      <c r="C3" s="337"/>
      <c r="D3" s="337"/>
      <c r="E3" s="337"/>
      <c r="F3" s="337"/>
      <c r="G3" s="337"/>
      <c r="H3" s="337"/>
      <c r="I3" s="141">
        <f>SUM(I4:I6)</f>
        <v>3578364</v>
      </c>
      <c r="J3" s="337"/>
      <c r="L3" s="142" t="s">
        <v>274</v>
      </c>
    </row>
    <row r="4" spans="1:12" ht="15" customHeight="1">
      <c r="A4" s="153">
        <f>ROW()-3</f>
        <v>1</v>
      </c>
      <c r="B4" s="176">
        <v>46259</v>
      </c>
      <c r="C4" s="46" t="s">
        <v>534</v>
      </c>
      <c r="D4" s="46" t="s">
        <v>535</v>
      </c>
      <c r="E4" s="46" t="s">
        <v>536</v>
      </c>
      <c r="F4" s="46">
        <v>1</v>
      </c>
      <c r="G4" s="46"/>
      <c r="H4" s="178">
        <v>176364</v>
      </c>
      <c r="I4" s="178">
        <f>F4*H4</f>
        <v>176364</v>
      </c>
      <c r="J4" s="46" t="s">
        <v>248</v>
      </c>
      <c r="L4" s="143" t="s">
        <v>275</v>
      </c>
    </row>
    <row r="5" spans="1:12" ht="15" customHeight="1">
      <c r="A5" s="153">
        <f>ROW()-3</f>
        <v>2</v>
      </c>
      <c r="B5" s="176">
        <v>46259</v>
      </c>
      <c r="C5" s="46" t="s">
        <v>534</v>
      </c>
      <c r="D5" s="46" t="s">
        <v>535</v>
      </c>
      <c r="E5" s="46" t="s">
        <v>537</v>
      </c>
      <c r="F5" s="46">
        <v>453</v>
      </c>
      <c r="G5" s="46"/>
      <c r="H5" s="178">
        <v>7000</v>
      </c>
      <c r="I5" s="178">
        <f>F5*H5</f>
        <v>3171000</v>
      </c>
      <c r="J5" s="46" t="s">
        <v>248</v>
      </c>
      <c r="L5" s="143" t="s">
        <v>276</v>
      </c>
    </row>
    <row r="6" spans="1:12" ht="15" customHeight="1">
      <c r="A6" s="153">
        <f t="shared" ref="A6:A7" si="0">ROW()-3</f>
        <v>3</v>
      </c>
      <c r="B6" s="176">
        <v>46259</v>
      </c>
      <c r="C6" s="46" t="s">
        <v>534</v>
      </c>
      <c r="D6" s="46" t="s">
        <v>535</v>
      </c>
      <c r="E6" s="46" t="s">
        <v>538</v>
      </c>
      <c r="F6" s="46">
        <v>33</v>
      </c>
      <c r="G6" s="46"/>
      <c r="H6" s="178">
        <v>7000</v>
      </c>
      <c r="I6" s="178">
        <f>F6*H6</f>
        <v>231000</v>
      </c>
      <c r="J6" s="46" t="s">
        <v>248</v>
      </c>
      <c r="L6" s="143" t="s">
        <v>277</v>
      </c>
    </row>
    <row r="7" spans="1:12" ht="15" customHeight="1">
      <c r="A7" s="153">
        <f t="shared" si="0"/>
        <v>4</v>
      </c>
      <c r="B7" s="176">
        <v>46265</v>
      </c>
      <c r="C7" s="46" t="s">
        <v>539</v>
      </c>
      <c r="D7" s="46"/>
      <c r="E7" s="46" t="s">
        <v>540</v>
      </c>
      <c r="F7" s="46">
        <v>1</v>
      </c>
      <c r="G7" s="46"/>
      <c r="H7" s="178">
        <v>488364</v>
      </c>
      <c r="I7" s="178">
        <f>F7*H7</f>
        <v>488364</v>
      </c>
      <c r="J7" s="241"/>
      <c r="L7" s="143" t="s">
        <v>278</v>
      </c>
    </row>
    <row r="8" spans="1:12" ht="15" customHeight="1">
      <c r="D8" s="177"/>
      <c r="L8" s="144" t="s">
        <v>279</v>
      </c>
    </row>
    <row r="9" spans="1:12" ht="15" customHeight="1">
      <c r="D9" s="177"/>
      <c r="L9" s="144" t="s">
        <v>280</v>
      </c>
    </row>
    <row r="10" spans="1:12" ht="15" customHeight="1">
      <c r="D10" s="177"/>
      <c r="L10" s="144" t="s">
        <v>281</v>
      </c>
    </row>
    <row r="11" spans="1:12" ht="15" customHeight="1">
      <c r="D11" s="177"/>
      <c r="L11" s="144" t="s">
        <v>282</v>
      </c>
    </row>
    <row r="12" spans="1:12" ht="15" customHeight="1">
      <c r="D12" s="177"/>
      <c r="L12" s="144"/>
    </row>
    <row r="13" spans="1:12">
      <c r="D13" s="177"/>
      <c r="L13" s="55" t="s">
        <v>283</v>
      </c>
    </row>
    <row r="14" spans="1:12">
      <c r="D14" s="177"/>
    </row>
    <row r="15" spans="1:12">
      <c r="D15" s="177"/>
    </row>
    <row r="16" spans="1:12">
      <c r="D16" s="177"/>
    </row>
    <row r="17" spans="4:9">
      <c r="D17" s="177"/>
      <c r="I17" s="173"/>
    </row>
    <row r="18" spans="4:9">
      <c r="D18" s="177"/>
      <c r="I18" s="173"/>
    </row>
    <row r="19" spans="4:9">
      <c r="D19" s="177"/>
    </row>
    <row r="20" spans="4:9">
      <c r="D20" s="177"/>
    </row>
    <row r="21" spans="4:9">
      <c r="D21" s="177"/>
    </row>
    <row r="22" spans="4:9">
      <c r="D22" s="177"/>
    </row>
    <row r="23" spans="4:9">
      <c r="D23" s="177"/>
    </row>
    <row r="24" spans="4:9">
      <c r="D24" s="177"/>
    </row>
    <row r="25" spans="4:9">
      <c r="D25" s="177"/>
    </row>
    <row r="26" spans="4:9">
      <c r="D26" s="177"/>
    </row>
    <row r="27" spans="4:9">
      <c r="D27" s="177"/>
    </row>
    <row r="28" spans="4:9">
      <c r="D28" s="177"/>
    </row>
    <row r="29" spans="4:9">
      <c r="D29" s="177"/>
    </row>
    <row r="30" spans="4:9">
      <c r="D30" s="177"/>
    </row>
    <row r="31" spans="4:9">
      <c r="D31" s="177"/>
    </row>
    <row r="32" spans="4:9">
      <c r="D32" s="177"/>
    </row>
    <row r="33" spans="4:4">
      <c r="D33" s="177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3"/>
  <sheetViews>
    <sheetView view="pageBreakPreview" zoomScale="85" zoomScaleNormal="100" zoomScaleSheetLayoutView="85" workbookViewId="0">
      <selection activeCell="B27" sqref="B27"/>
    </sheetView>
  </sheetViews>
  <sheetFormatPr defaultRowHeight="16.5"/>
  <cols>
    <col min="2" max="2" width="11.125" bestFit="1" customWidth="1"/>
    <col min="3" max="3" width="10.625" bestFit="1" customWidth="1"/>
    <col min="4" max="4" width="32.25" customWidth="1"/>
    <col min="5" max="5" width="19.8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338" t="s">
        <v>284</v>
      </c>
      <c r="B1" s="338"/>
      <c r="C1" s="338"/>
      <c r="D1" s="338"/>
      <c r="E1" s="338"/>
      <c r="F1" s="338"/>
      <c r="G1" s="338"/>
      <c r="H1" s="338"/>
      <c r="I1" s="338"/>
      <c r="J1" s="55"/>
      <c r="K1" s="55"/>
      <c r="L1" s="55"/>
    </row>
    <row r="2" spans="1:20" ht="24.95" customHeight="1">
      <c r="A2" s="337" t="s">
        <v>285</v>
      </c>
      <c r="B2" s="339" t="s">
        <v>286</v>
      </c>
      <c r="C2" s="339" t="s">
        <v>287</v>
      </c>
      <c r="D2" s="340" t="s">
        <v>278</v>
      </c>
      <c r="E2" s="339" t="s">
        <v>279</v>
      </c>
      <c r="F2" s="339" t="s">
        <v>254</v>
      </c>
      <c r="G2" s="341" t="s">
        <v>288</v>
      </c>
      <c r="H2" s="145" t="s">
        <v>289</v>
      </c>
      <c r="I2" s="339" t="s">
        <v>290</v>
      </c>
      <c r="J2" s="55"/>
      <c r="K2" s="55"/>
      <c r="L2" s="55"/>
    </row>
    <row r="3" spans="1:20" ht="24.95" customHeight="1">
      <c r="A3" s="337"/>
      <c r="B3" s="339"/>
      <c r="C3" s="339"/>
      <c r="D3" s="340"/>
      <c r="E3" s="339"/>
      <c r="F3" s="339"/>
      <c r="G3" s="341"/>
      <c r="H3" s="146">
        <f>SUM(H4:H23)</f>
        <v>563354.54545454541</v>
      </c>
      <c r="I3" s="339"/>
      <c r="J3" s="55"/>
      <c r="K3" s="174" t="s">
        <v>247</v>
      </c>
      <c r="L3" s="144"/>
      <c r="M3" s="144"/>
      <c r="N3" s="144"/>
      <c r="O3" s="144"/>
      <c r="P3" s="144"/>
      <c r="Q3" s="144"/>
      <c r="R3" s="144"/>
      <c r="S3" s="144"/>
      <c r="T3" s="144"/>
    </row>
    <row r="4" spans="1:20" ht="15" customHeight="1">
      <c r="A4" s="153">
        <f t="shared" ref="A4:A23" si="0">ROW()-3</f>
        <v>1</v>
      </c>
      <c r="B4" s="165">
        <v>46242</v>
      </c>
      <c r="C4" s="240" t="s">
        <v>557</v>
      </c>
      <c r="D4" s="170" t="s">
        <v>541</v>
      </c>
      <c r="E4" s="171" t="s">
        <v>543</v>
      </c>
      <c r="F4" s="182">
        <v>1</v>
      </c>
      <c r="G4" s="242">
        <f>70000/1.1</f>
        <v>63636.363636363632</v>
      </c>
      <c r="H4" s="242">
        <f t="shared" ref="H4:H10" si="1">F4*G4</f>
        <v>63636.363636363632</v>
      </c>
      <c r="I4" s="178"/>
      <c r="J4" s="55"/>
      <c r="K4" s="143" t="s">
        <v>295</v>
      </c>
      <c r="L4" s="144"/>
      <c r="M4" s="144"/>
      <c r="N4" s="144"/>
      <c r="O4" s="144"/>
      <c r="P4" s="144"/>
      <c r="Q4" s="144"/>
      <c r="R4" s="144"/>
      <c r="S4" s="144"/>
      <c r="T4" s="144"/>
    </row>
    <row r="5" spans="1:20" ht="15" customHeight="1">
      <c r="A5" s="153">
        <f t="shared" si="0"/>
        <v>2</v>
      </c>
      <c r="B5" s="165">
        <v>46245</v>
      </c>
      <c r="C5" s="240" t="s">
        <v>557</v>
      </c>
      <c r="D5" s="170" t="s">
        <v>541</v>
      </c>
      <c r="E5" s="171" t="s">
        <v>543</v>
      </c>
      <c r="F5" s="182">
        <v>1</v>
      </c>
      <c r="G5" s="242">
        <f>60000/1.1</f>
        <v>54545.454545454544</v>
      </c>
      <c r="H5" s="242">
        <f t="shared" si="1"/>
        <v>54545.454545454544</v>
      </c>
      <c r="I5" s="178"/>
      <c r="J5" s="55"/>
      <c r="K5" s="143" t="s">
        <v>286</v>
      </c>
      <c r="L5" s="144"/>
      <c r="M5" s="144"/>
      <c r="N5" s="144"/>
      <c r="O5" s="144"/>
      <c r="P5" s="144"/>
      <c r="Q5" s="144"/>
      <c r="R5" s="144"/>
      <c r="S5" s="144"/>
      <c r="T5" s="144"/>
    </row>
    <row r="6" spans="1:20" ht="15" customHeight="1">
      <c r="A6" s="153">
        <f t="shared" si="0"/>
        <v>3</v>
      </c>
      <c r="B6" s="165">
        <v>46248</v>
      </c>
      <c r="C6" s="240" t="s">
        <v>557</v>
      </c>
      <c r="D6" s="170" t="s">
        <v>541</v>
      </c>
      <c r="E6" s="171" t="s">
        <v>544</v>
      </c>
      <c r="F6" s="182">
        <v>1</v>
      </c>
      <c r="G6" s="242">
        <f>60000/1.1</f>
        <v>54545.454545454544</v>
      </c>
      <c r="H6" s="242">
        <f t="shared" si="1"/>
        <v>54545.454545454544</v>
      </c>
      <c r="I6" s="178"/>
      <c r="J6" s="55"/>
      <c r="K6" s="143" t="s">
        <v>250</v>
      </c>
      <c r="L6" s="144"/>
      <c r="M6" s="144"/>
      <c r="N6" s="144"/>
      <c r="O6" s="144"/>
      <c r="P6" s="144"/>
      <c r="Q6" s="144"/>
      <c r="R6" s="144"/>
      <c r="S6" s="144"/>
      <c r="T6" s="144"/>
    </row>
    <row r="7" spans="1:20" ht="15" customHeight="1">
      <c r="A7" s="153">
        <f t="shared" si="0"/>
        <v>4</v>
      </c>
      <c r="B7" s="165">
        <v>46253</v>
      </c>
      <c r="C7" s="240" t="s">
        <v>557</v>
      </c>
      <c r="D7" s="170" t="s">
        <v>541</v>
      </c>
      <c r="E7" s="171" t="s">
        <v>544</v>
      </c>
      <c r="F7" s="182">
        <v>1</v>
      </c>
      <c r="G7" s="242">
        <f>60000/1.1</f>
        <v>54545.454545454544</v>
      </c>
      <c r="H7" s="242">
        <f t="shared" si="1"/>
        <v>54545.454545454544</v>
      </c>
      <c r="I7" s="178"/>
      <c r="J7" s="55"/>
      <c r="K7" s="143" t="s">
        <v>251</v>
      </c>
      <c r="L7" s="144"/>
      <c r="M7" s="144"/>
      <c r="N7" s="144"/>
      <c r="O7" s="144"/>
      <c r="P7" s="144"/>
      <c r="Q7" s="144"/>
      <c r="R7" s="144"/>
      <c r="S7" s="144"/>
      <c r="T7" s="144"/>
    </row>
    <row r="8" spans="1:20" ht="15" customHeight="1">
      <c r="A8" s="153">
        <f t="shared" si="0"/>
        <v>5</v>
      </c>
      <c r="B8" s="165">
        <v>46258</v>
      </c>
      <c r="C8" s="240" t="s">
        <v>557</v>
      </c>
      <c r="D8" s="170" t="s">
        <v>541</v>
      </c>
      <c r="E8" s="171" t="s">
        <v>544</v>
      </c>
      <c r="F8" s="182">
        <v>1</v>
      </c>
      <c r="G8" s="242">
        <f>60000/1.1</f>
        <v>54545.454545454544</v>
      </c>
      <c r="H8" s="242">
        <f t="shared" si="1"/>
        <v>54545.454545454544</v>
      </c>
      <c r="I8" s="178"/>
      <c r="J8" s="55"/>
      <c r="K8" s="143" t="s">
        <v>296</v>
      </c>
      <c r="L8" s="144"/>
      <c r="M8" s="144"/>
      <c r="N8" s="144"/>
      <c r="O8" s="144"/>
      <c r="P8" s="144"/>
      <c r="Q8" s="144"/>
      <c r="R8" s="144"/>
      <c r="S8" s="144"/>
      <c r="T8" s="144"/>
    </row>
    <row r="9" spans="1:20" ht="15" customHeight="1">
      <c r="A9" s="153">
        <f t="shared" si="0"/>
        <v>6</v>
      </c>
      <c r="B9" s="165">
        <v>46260</v>
      </c>
      <c r="C9" s="240" t="s">
        <v>557</v>
      </c>
      <c r="D9" s="170" t="s">
        <v>541</v>
      </c>
      <c r="E9" s="171" t="s">
        <v>544</v>
      </c>
      <c r="F9" s="182">
        <v>1</v>
      </c>
      <c r="G9" s="242">
        <f>70000/1.1</f>
        <v>63636.363636363632</v>
      </c>
      <c r="H9" s="242">
        <f t="shared" si="1"/>
        <v>63636.363636363632</v>
      </c>
      <c r="I9" s="178"/>
      <c r="J9" s="55"/>
      <c r="K9" s="143" t="s">
        <v>254</v>
      </c>
      <c r="L9" s="144"/>
      <c r="M9" s="144"/>
      <c r="N9" s="144"/>
      <c r="O9" s="144"/>
      <c r="P9" s="144"/>
      <c r="Q9" s="144"/>
      <c r="R9" s="144"/>
      <c r="S9" s="144"/>
      <c r="T9" s="144"/>
    </row>
    <row r="10" spans="1:20" ht="15" customHeight="1">
      <c r="A10" s="153">
        <f t="shared" si="0"/>
        <v>7</v>
      </c>
      <c r="B10" s="165">
        <v>46260</v>
      </c>
      <c r="C10" s="240" t="s">
        <v>557</v>
      </c>
      <c r="D10" s="170" t="s">
        <v>541</v>
      </c>
      <c r="E10" s="171" t="s">
        <v>544</v>
      </c>
      <c r="F10" s="182">
        <v>1</v>
      </c>
      <c r="G10" s="242">
        <f>10000/1.1</f>
        <v>9090.9090909090901</v>
      </c>
      <c r="H10" s="242">
        <f t="shared" si="1"/>
        <v>9090.9090909090901</v>
      </c>
      <c r="I10" s="178"/>
      <c r="J10" s="55"/>
      <c r="K10" s="143" t="s">
        <v>288</v>
      </c>
      <c r="L10" s="144"/>
      <c r="M10" s="144"/>
      <c r="N10" s="144"/>
      <c r="O10" s="144"/>
      <c r="P10" s="144"/>
      <c r="Q10" s="144"/>
      <c r="R10" s="144"/>
      <c r="S10" s="144"/>
      <c r="T10" s="144"/>
    </row>
    <row r="11" spans="1:20" ht="15" customHeight="1">
      <c r="A11" s="153">
        <f t="shared" si="0"/>
        <v>8</v>
      </c>
      <c r="B11" s="165">
        <v>46244</v>
      </c>
      <c r="C11" s="240" t="s">
        <v>558</v>
      </c>
      <c r="D11" s="170" t="s">
        <v>545</v>
      </c>
      <c r="E11" s="171" t="s">
        <v>523</v>
      </c>
      <c r="F11" s="182">
        <v>12</v>
      </c>
      <c r="G11" s="242">
        <v>608.33333333333326</v>
      </c>
      <c r="H11" s="242">
        <v>7299.9999999999991</v>
      </c>
      <c r="I11" s="178"/>
      <c r="J11" s="55"/>
      <c r="K11" s="143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5" customHeight="1">
      <c r="A12" s="153">
        <f t="shared" si="0"/>
        <v>9</v>
      </c>
      <c r="B12" s="165">
        <v>46245</v>
      </c>
      <c r="C12" s="240" t="s">
        <v>558</v>
      </c>
      <c r="D12" s="170" t="s">
        <v>546</v>
      </c>
      <c r="E12" s="171" t="s">
        <v>523</v>
      </c>
      <c r="F12" s="182">
        <v>1</v>
      </c>
      <c r="G12" s="242">
        <v>1090.9090909090908</v>
      </c>
      <c r="H12" s="242">
        <v>1090.9090909090908</v>
      </c>
      <c r="I12" s="178"/>
      <c r="J12" s="55"/>
      <c r="K12" s="143" t="s">
        <v>305</v>
      </c>
      <c r="L12" s="144"/>
      <c r="M12" s="144"/>
      <c r="N12" s="144"/>
      <c r="O12" s="144"/>
      <c r="P12" s="144"/>
      <c r="Q12" s="144"/>
      <c r="R12" s="144"/>
      <c r="S12" s="144"/>
      <c r="T12" s="144"/>
    </row>
    <row r="13" spans="1:20" ht="15" customHeight="1">
      <c r="A13" s="153">
        <f t="shared" si="0"/>
        <v>10</v>
      </c>
      <c r="B13" s="165">
        <v>46245</v>
      </c>
      <c r="C13" s="240" t="s">
        <v>558</v>
      </c>
      <c r="D13" s="170" t="s">
        <v>547</v>
      </c>
      <c r="E13" s="171" t="s">
        <v>523</v>
      </c>
      <c r="F13" s="182">
        <v>60</v>
      </c>
      <c r="G13" s="242">
        <v>257.57575757575756</v>
      </c>
      <c r="H13" s="242">
        <v>15454.545454545454</v>
      </c>
      <c r="I13" s="178"/>
      <c r="J13" s="55"/>
      <c r="Q13" s="144"/>
      <c r="R13" s="144"/>
      <c r="S13" s="144"/>
      <c r="T13" s="144"/>
    </row>
    <row r="14" spans="1:20" ht="15" customHeight="1">
      <c r="A14" s="153">
        <f t="shared" si="0"/>
        <v>11</v>
      </c>
      <c r="B14" s="165">
        <v>46245</v>
      </c>
      <c r="C14" s="240" t="s">
        <v>558</v>
      </c>
      <c r="D14" s="170" t="s">
        <v>548</v>
      </c>
      <c r="E14" s="171" t="s">
        <v>523</v>
      </c>
      <c r="F14" s="182">
        <v>30</v>
      </c>
      <c r="G14" s="242">
        <v>634.84848484848476</v>
      </c>
      <c r="H14" s="242">
        <v>19045.454545454544</v>
      </c>
      <c r="I14" s="178"/>
      <c r="J14" s="55"/>
      <c r="Q14" s="144"/>
      <c r="R14" s="144"/>
      <c r="S14" s="144"/>
      <c r="T14" s="144"/>
    </row>
    <row r="15" spans="1:20" ht="15" customHeight="1">
      <c r="A15" s="153">
        <f t="shared" si="0"/>
        <v>12</v>
      </c>
      <c r="B15" s="165">
        <v>46245</v>
      </c>
      <c r="C15" s="240" t="s">
        <v>558</v>
      </c>
      <c r="D15" s="170" t="s">
        <v>549</v>
      </c>
      <c r="E15" s="171" t="s">
        <v>523</v>
      </c>
      <c r="F15" s="182">
        <v>48</v>
      </c>
      <c r="G15" s="242">
        <v>155.30303030303028</v>
      </c>
      <c r="H15" s="242">
        <v>7454.545454545454</v>
      </c>
      <c r="I15" s="178"/>
      <c r="J15" s="55"/>
      <c r="Q15" s="144"/>
      <c r="R15" s="144"/>
      <c r="S15" s="144"/>
      <c r="T15" s="144"/>
    </row>
    <row r="16" spans="1:20" ht="15" customHeight="1">
      <c r="A16" s="153">
        <f t="shared" si="0"/>
        <v>13</v>
      </c>
      <c r="B16" s="165">
        <v>46246</v>
      </c>
      <c r="C16" s="240" t="s">
        <v>558</v>
      </c>
      <c r="D16" s="170" t="s">
        <v>547</v>
      </c>
      <c r="E16" s="171" t="s">
        <v>523</v>
      </c>
      <c r="F16" s="182">
        <v>24</v>
      </c>
      <c r="G16" s="242">
        <v>289.0151515151515</v>
      </c>
      <c r="H16" s="242">
        <v>6936.363636363636</v>
      </c>
      <c r="I16" s="178"/>
      <c r="J16" s="55"/>
      <c r="K16" s="143"/>
      <c r="L16" s="144"/>
      <c r="M16" s="144"/>
      <c r="N16" s="144"/>
      <c r="O16" s="144"/>
      <c r="P16" s="144"/>
      <c r="Q16" s="144"/>
      <c r="R16" s="144"/>
      <c r="S16" s="144"/>
      <c r="T16" s="144"/>
    </row>
    <row r="17" spans="1:20" ht="15" customHeight="1">
      <c r="A17" s="153">
        <f t="shared" si="0"/>
        <v>14</v>
      </c>
      <c r="B17" s="165">
        <v>46246</v>
      </c>
      <c r="C17" s="240" t="s">
        <v>558</v>
      </c>
      <c r="D17" s="170" t="s">
        <v>550</v>
      </c>
      <c r="E17" s="171" t="s">
        <v>523</v>
      </c>
      <c r="F17" s="182">
        <v>1</v>
      </c>
      <c r="G17" s="242">
        <v>10263.636363636362</v>
      </c>
      <c r="H17" s="242">
        <v>10263.636363636362</v>
      </c>
      <c r="I17" s="178"/>
      <c r="J17" s="55"/>
      <c r="K17" s="143"/>
      <c r="L17" s="144"/>
      <c r="M17" s="144"/>
      <c r="N17" s="144"/>
      <c r="O17" s="144"/>
      <c r="P17" s="144"/>
      <c r="Q17" s="144"/>
      <c r="R17" s="144"/>
      <c r="S17" s="144"/>
      <c r="T17" s="144"/>
    </row>
    <row r="18" spans="1:20" ht="15" customHeight="1">
      <c r="A18" s="153">
        <f t="shared" si="0"/>
        <v>15</v>
      </c>
      <c r="B18" s="165">
        <v>46246</v>
      </c>
      <c r="C18" s="240" t="s">
        <v>558</v>
      </c>
      <c r="D18" s="170" t="s">
        <v>551</v>
      </c>
      <c r="E18" s="171" t="s">
        <v>523</v>
      </c>
      <c r="F18" s="182">
        <v>2</v>
      </c>
      <c r="G18" s="242">
        <v>13090.90909090909</v>
      </c>
      <c r="H18" s="242">
        <v>26181.81818181818</v>
      </c>
      <c r="I18" s="178"/>
      <c r="J18" s="55"/>
      <c r="K18" s="143"/>
      <c r="L18" s="144"/>
      <c r="M18" s="144"/>
      <c r="N18" s="144"/>
      <c r="O18" s="144"/>
      <c r="P18" s="144"/>
      <c r="Q18" s="144"/>
      <c r="R18" s="144"/>
      <c r="S18" s="144"/>
      <c r="T18" s="144"/>
    </row>
    <row r="19" spans="1:20" ht="15" customHeight="1">
      <c r="A19" s="153">
        <f t="shared" si="0"/>
        <v>16</v>
      </c>
      <c r="B19" s="165">
        <v>46247</v>
      </c>
      <c r="C19" s="240" t="s">
        <v>558</v>
      </c>
      <c r="D19" s="170" t="s">
        <v>552</v>
      </c>
      <c r="E19" s="171" t="s">
        <v>523</v>
      </c>
      <c r="F19" s="182">
        <v>1</v>
      </c>
      <c r="G19" s="242">
        <v>9045.4545454545441</v>
      </c>
      <c r="H19" s="242">
        <v>9045.4545454545441</v>
      </c>
      <c r="I19" s="178"/>
      <c r="J19" s="55"/>
      <c r="K19" s="143"/>
      <c r="L19" s="144"/>
      <c r="M19" s="144"/>
      <c r="N19" s="144"/>
      <c r="O19" s="144"/>
      <c r="P19" s="144"/>
      <c r="Q19" s="144"/>
      <c r="R19" s="144"/>
      <c r="S19" s="144"/>
      <c r="T19" s="144"/>
    </row>
    <row r="20" spans="1:20" ht="15" customHeight="1">
      <c r="A20" s="153">
        <f t="shared" si="0"/>
        <v>17</v>
      </c>
      <c r="B20" s="165">
        <v>46248</v>
      </c>
      <c r="C20" s="240" t="s">
        <v>558</v>
      </c>
      <c r="D20" s="170" t="s">
        <v>553</v>
      </c>
      <c r="E20" s="171" t="s">
        <v>523</v>
      </c>
      <c r="F20" s="182">
        <v>12</v>
      </c>
      <c r="G20" s="242">
        <v>1243.9393939393938</v>
      </c>
      <c r="H20" s="242">
        <v>14927.272727272726</v>
      </c>
      <c r="I20" s="178"/>
      <c r="J20" s="55"/>
      <c r="K20" s="143"/>
      <c r="L20" s="144"/>
      <c r="M20" s="144"/>
      <c r="N20" s="144"/>
      <c r="O20" s="144"/>
      <c r="P20" s="144"/>
      <c r="Q20" s="144"/>
      <c r="R20" s="144"/>
      <c r="S20" s="144"/>
      <c r="T20" s="144"/>
    </row>
    <row r="21" spans="1:20" ht="15" customHeight="1">
      <c r="A21" s="153">
        <f t="shared" si="0"/>
        <v>18</v>
      </c>
      <c r="B21" s="165">
        <v>46254</v>
      </c>
      <c r="C21" s="240" t="s">
        <v>558</v>
      </c>
      <c r="D21" s="170" t="s">
        <v>554</v>
      </c>
      <c r="E21" s="171" t="s">
        <v>523</v>
      </c>
      <c r="F21" s="182">
        <v>24</v>
      </c>
      <c r="G21" s="242">
        <v>621.96969696969688</v>
      </c>
      <c r="H21" s="242">
        <v>14927.272727272726</v>
      </c>
      <c r="I21" s="178"/>
      <c r="J21" s="55"/>
      <c r="K21" s="143"/>
      <c r="L21" s="144"/>
      <c r="M21" s="144"/>
      <c r="N21" s="144"/>
      <c r="O21" s="144"/>
      <c r="P21" s="144"/>
      <c r="Q21" s="144"/>
      <c r="R21" s="144"/>
      <c r="S21" s="144"/>
      <c r="T21" s="144"/>
    </row>
    <row r="22" spans="1:20" ht="15" customHeight="1">
      <c r="A22" s="153">
        <f t="shared" si="0"/>
        <v>19</v>
      </c>
      <c r="B22" s="165">
        <v>46261</v>
      </c>
      <c r="C22" s="240" t="s">
        <v>558</v>
      </c>
      <c r="D22" s="170" t="s">
        <v>555</v>
      </c>
      <c r="E22" s="171" t="s">
        <v>523</v>
      </c>
      <c r="F22" s="182">
        <v>5</v>
      </c>
      <c r="G22" s="242">
        <v>2509.090909090909</v>
      </c>
      <c r="H22" s="242">
        <v>12545.454545454544</v>
      </c>
      <c r="I22" s="178"/>
      <c r="J22" s="55"/>
      <c r="K22" s="143"/>
      <c r="L22" s="144"/>
      <c r="M22" s="144"/>
      <c r="N22" s="144"/>
      <c r="O22" s="144"/>
      <c r="P22" s="144"/>
      <c r="Q22" s="144"/>
      <c r="R22" s="144"/>
      <c r="S22" s="144"/>
      <c r="T22" s="144"/>
    </row>
    <row r="23" spans="1:20" ht="15" customHeight="1">
      <c r="A23" s="153">
        <f t="shared" si="0"/>
        <v>20</v>
      </c>
      <c r="B23" s="165">
        <v>46238</v>
      </c>
      <c r="C23" s="240" t="s">
        <v>557</v>
      </c>
      <c r="D23" s="170" t="s">
        <v>556</v>
      </c>
      <c r="E23" s="171" t="s">
        <v>542</v>
      </c>
      <c r="F23" s="182">
        <v>1</v>
      </c>
      <c r="G23" s="242">
        <v>63636</v>
      </c>
      <c r="H23" s="242">
        <v>63636.363636363632</v>
      </c>
      <c r="I23" s="178"/>
      <c r="J23" s="55"/>
      <c r="K23" s="143"/>
      <c r="L23" s="144"/>
      <c r="M23" s="144"/>
      <c r="N23" s="144"/>
      <c r="O23" s="144"/>
      <c r="P23" s="144"/>
      <c r="Q23" s="144"/>
      <c r="R23" s="144"/>
      <c r="S23" s="144"/>
      <c r="T23" s="144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342" t="s">
        <v>40</v>
      </c>
      <c r="C2" s="38" t="s">
        <v>36</v>
      </c>
      <c r="D2" s="38"/>
      <c r="E2" s="38" t="s">
        <v>39</v>
      </c>
    </row>
    <row r="3" spans="2:18" ht="30" customHeight="1">
      <c r="B3" s="343"/>
      <c r="C3" s="38" t="s">
        <v>37</v>
      </c>
      <c r="D3" s="38"/>
      <c r="E3" s="38" t="s">
        <v>39</v>
      </c>
    </row>
    <row r="4" spans="2:18" ht="30" customHeight="1">
      <c r="B4" s="343"/>
      <c r="C4" s="38" t="s">
        <v>38</v>
      </c>
      <c r="D4" s="38"/>
      <c r="E4" s="38" t="s">
        <v>39</v>
      </c>
    </row>
    <row r="6" spans="2:18" ht="48.95" customHeight="1">
      <c r="G6" s="342" t="s">
        <v>48</v>
      </c>
      <c r="H6" s="39" t="s">
        <v>41</v>
      </c>
      <c r="I6" s="39" t="s">
        <v>42</v>
      </c>
      <c r="J6" s="39" t="s">
        <v>46</v>
      </c>
      <c r="K6" s="37"/>
      <c r="L6" s="37"/>
      <c r="M6" s="37"/>
      <c r="N6" s="37"/>
      <c r="O6" s="37"/>
    </row>
    <row r="7" spans="2:18" ht="54.95" customHeight="1">
      <c r="G7" s="342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344" t="s">
        <v>47</v>
      </c>
      <c r="M8" s="38" t="s">
        <v>43</v>
      </c>
      <c r="N8" s="38" t="s">
        <v>44</v>
      </c>
      <c r="O8" s="38" t="s">
        <v>45</v>
      </c>
    </row>
    <row r="9" spans="2:18" ht="39.950000000000003" customHeight="1">
      <c r="G9" s="37"/>
      <c r="H9" s="37"/>
      <c r="I9" s="37"/>
      <c r="J9" s="37"/>
      <c r="K9" s="37"/>
      <c r="L9" s="345"/>
      <c r="M9" s="38"/>
      <c r="N9" s="38"/>
      <c r="O9" s="38"/>
    </row>
    <row r="11" spans="2:18" ht="24.95" customHeight="1">
      <c r="Q11" s="38" t="s">
        <v>49</v>
      </c>
      <c r="R11" s="38" t="s">
        <v>52</v>
      </c>
    </row>
    <row r="12" spans="2:18" ht="24.95" customHeight="1">
      <c r="Q12" s="38" t="s">
        <v>50</v>
      </c>
      <c r="R12" s="38" t="s">
        <v>53</v>
      </c>
    </row>
    <row r="13" spans="2:18" ht="24.95" customHeight="1">
      <c r="Q13" s="38" t="s">
        <v>51</v>
      </c>
      <c r="R13" s="38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346" t="s">
        <v>54</v>
      </c>
      <c r="C3" s="347"/>
    </row>
    <row r="4" spans="2:3">
      <c r="B4" s="40" t="s">
        <v>55</v>
      </c>
      <c r="C4" s="40" t="s">
        <v>56</v>
      </c>
    </row>
    <row r="5" spans="2:3">
      <c r="B5" s="38" t="s">
        <v>57</v>
      </c>
      <c r="C5" s="38">
        <v>0.25</v>
      </c>
    </row>
    <row r="6" spans="2:3">
      <c r="B6" s="38" t="s">
        <v>58</v>
      </c>
      <c r="C6" s="38">
        <v>0.5</v>
      </c>
    </row>
    <row r="7" spans="2:3">
      <c r="B7" s="38" t="s">
        <v>59</v>
      </c>
      <c r="C7" s="38">
        <v>0.75</v>
      </c>
    </row>
    <row r="8" spans="2:3">
      <c r="B8" s="38" t="s">
        <v>60</v>
      </c>
      <c r="C8" s="38">
        <v>1</v>
      </c>
    </row>
    <row r="9" spans="2:3">
      <c r="B9" s="38" t="s">
        <v>61</v>
      </c>
      <c r="C9" s="38">
        <v>1.25</v>
      </c>
    </row>
    <row r="10" spans="2:3">
      <c r="B10" s="38" t="s">
        <v>62</v>
      </c>
      <c r="C10" s="38">
        <v>1.5</v>
      </c>
    </row>
    <row r="11" spans="2:3">
      <c r="B11" s="38" t="s">
        <v>63</v>
      </c>
      <c r="C11" s="38">
        <v>2</v>
      </c>
    </row>
    <row r="12" spans="2:3">
      <c r="B12" s="38" t="s">
        <v>64</v>
      </c>
      <c r="C12" s="38">
        <v>2.5</v>
      </c>
    </row>
    <row r="13" spans="2:3">
      <c r="B13" s="38" t="s">
        <v>65</v>
      </c>
      <c r="C13" s="38">
        <v>3</v>
      </c>
    </row>
    <row r="14" spans="2:3">
      <c r="B14" s="38" t="s">
        <v>66</v>
      </c>
      <c r="C14" s="38">
        <v>4</v>
      </c>
    </row>
    <row r="15" spans="2:3">
      <c r="B15" s="38" t="s">
        <v>67</v>
      </c>
      <c r="C15" s="38">
        <v>4</v>
      </c>
    </row>
    <row r="16" spans="2:3">
      <c r="B16" s="38" t="s">
        <v>68</v>
      </c>
      <c r="C16" s="38">
        <v>5</v>
      </c>
    </row>
    <row r="17" spans="2:3">
      <c r="B17" s="38" t="s">
        <v>69</v>
      </c>
      <c r="C17" s="38">
        <v>6</v>
      </c>
    </row>
    <row r="18" spans="2:3">
      <c r="B18" s="38" t="s">
        <v>70</v>
      </c>
      <c r="C18" s="38">
        <v>7</v>
      </c>
    </row>
    <row r="19" spans="2:3">
      <c r="B19" s="38" t="s">
        <v>71</v>
      </c>
      <c r="C19" s="38">
        <v>8</v>
      </c>
    </row>
    <row r="20" spans="2:3">
      <c r="B20" s="38" t="s">
        <v>72</v>
      </c>
      <c r="C20" s="38">
        <v>9</v>
      </c>
    </row>
    <row r="21" spans="2:3">
      <c r="B21" s="38" t="s">
        <v>73</v>
      </c>
      <c r="C21" s="38">
        <v>10</v>
      </c>
    </row>
    <row r="22" spans="2:3">
      <c r="B22" s="38" t="s">
        <v>74</v>
      </c>
      <c r="C22" s="38">
        <v>12</v>
      </c>
    </row>
    <row r="23" spans="2:3">
      <c r="B23" s="38" t="s">
        <v>75</v>
      </c>
      <c r="C23" s="38">
        <v>14</v>
      </c>
    </row>
    <row r="24" spans="2:3">
      <c r="B24" s="38" t="s">
        <v>76</v>
      </c>
      <c r="C24" s="38">
        <v>16</v>
      </c>
    </row>
    <row r="25" spans="2:3">
      <c r="B25" s="38" t="s">
        <v>77</v>
      </c>
      <c r="C25" s="38">
        <v>18</v>
      </c>
    </row>
    <row r="26" spans="2:3">
      <c r="B26" s="38" t="s">
        <v>78</v>
      </c>
      <c r="C26" s="38">
        <v>20</v>
      </c>
    </row>
    <row r="27" spans="2:3">
      <c r="B27" s="38" t="s">
        <v>79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용역청구서 표지</vt:lpstr>
      <vt:lpstr>용역 청구서(갑지)</vt:lpstr>
      <vt:lpstr>용역 내역서(을지)</vt:lpstr>
      <vt:lpstr>내역서(을지)</vt:lpstr>
      <vt:lpstr>집계장</vt:lpstr>
      <vt:lpstr>근로내역 (08월)</vt:lpstr>
      <vt:lpstr>물량 내역서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2026-09-02T02:43:57Z</cp:lastPrinted>
  <dcterms:created xsi:type="dcterms:W3CDTF">2025-09-12T00:04:15Z</dcterms:created>
  <dcterms:modified xsi:type="dcterms:W3CDTF">2026-10-02T03:40:50Z</dcterms:modified>
</cp:coreProperties>
</file>