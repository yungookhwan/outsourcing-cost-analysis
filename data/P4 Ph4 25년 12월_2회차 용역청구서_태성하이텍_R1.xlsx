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3.2025년 12월 외주기성\04. 태성하이텍\P4 Ph4 FAB\"/>
    </mc:Choice>
  </mc:AlternateContent>
  <xr:revisionPtr revIDLastSave="0" documentId="13_ncr:1_{01AFD4E6-EDD5-4233-B218-45FBADC67671}" xr6:coauthVersionLast="36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집계장" sheetId="6" r:id="rId4"/>
    <sheet name="물량 내역서" sheetId="7" r:id="rId5"/>
    <sheet name="근로내역 (12월)" sheetId="8" r:id="rId6"/>
    <sheet name="용접기자재" sheetId="13" r:id="rId7"/>
    <sheet name="배관기자재" sheetId="14" r:id="rId8"/>
    <sheet name="숙소임차료" sheetId="9" r:id="rId9"/>
    <sheet name="숙소관리비" sheetId="10" r:id="rId10"/>
    <sheet name="식대비용" sheetId="11" r:id="rId11"/>
    <sheet name="기타비용" sheetId="12" r:id="rId12"/>
    <sheet name="서명란" sheetId="3" state="hidden" r:id="rId13"/>
    <sheet name="DIA-INCH" sheetId="4" state="hidden" r:id="rId14"/>
  </sheets>
  <definedNames>
    <definedName name="_xlnm._FilterDatabase" localSheetId="7" hidden="1">배관기자재!$A$2:$J$29</definedName>
    <definedName name="_xlnm._FilterDatabase" localSheetId="6" hidden="1">용접기자재!$A$2:$J$19</definedName>
    <definedName name="_xlnm.Print_Area" localSheetId="11">기타비용!$A$1:$I$39</definedName>
    <definedName name="_xlnm.Print_Area" localSheetId="7">배관기자재!$A$1:$J$60</definedName>
    <definedName name="_xlnm.Print_Area" localSheetId="9">숙소관리비!$A$1:$J$15</definedName>
    <definedName name="_xlnm.Print_Area" localSheetId="8">숙소임차료!$A$1:$J$14</definedName>
    <definedName name="_xlnm.Print_Area" localSheetId="10">식대비용!$A$1:$J$8</definedName>
    <definedName name="_xlnm.Print_Area" localSheetId="1">'용역 청구서(갑지)'!$A$1:$L$26</definedName>
    <definedName name="_xlnm.Print_Area" localSheetId="6">용접기자재!$A$1:$J$19</definedName>
    <definedName name="_xlnm.Print_Titles" localSheetId="7">배관기자재!$1:$3</definedName>
    <definedName name="_xlnm.Print_Titles" localSheetId="6">용접기자재!$1:$3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6" l="1"/>
  <c r="G21" i="6"/>
  <c r="G18" i="6"/>
  <c r="G14" i="6"/>
  <c r="G13" i="6"/>
  <c r="I3" i="14" l="1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4" i="14"/>
  <c r="A5" i="14"/>
  <c r="A6" i="14"/>
  <c r="A7" i="14"/>
  <c r="A8" i="14"/>
  <c r="A9" i="14"/>
  <c r="I3" i="11" l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H12" i="12" l="1"/>
  <c r="H11" i="12"/>
  <c r="H10" i="12"/>
  <c r="H9" i="12"/>
  <c r="H8" i="12"/>
  <c r="H7" i="12"/>
  <c r="H6" i="12"/>
  <c r="H5" i="12"/>
  <c r="H4" i="12"/>
  <c r="A12" i="12"/>
  <c r="A11" i="12"/>
  <c r="A10" i="12"/>
  <c r="A9" i="12"/>
  <c r="A8" i="12"/>
  <c r="A7" i="12"/>
  <c r="A6" i="12"/>
  <c r="A5" i="12"/>
  <c r="A4" i="12"/>
  <c r="H3" i="12" l="1"/>
  <c r="A8" i="11" l="1"/>
  <c r="A7" i="11"/>
  <c r="A6" i="11"/>
  <c r="A5" i="11"/>
  <c r="A4" i="11"/>
  <c r="I7" i="11"/>
  <c r="I6" i="11"/>
  <c r="I8" i="11"/>
  <c r="I5" i="11"/>
  <c r="I4" i="11"/>
  <c r="I3" i="10" l="1"/>
  <c r="A15" i="10"/>
  <c r="A14" i="10"/>
  <c r="A13" i="10"/>
  <c r="A12" i="10"/>
  <c r="A11" i="10"/>
  <c r="A10" i="10"/>
  <c r="A9" i="10"/>
  <c r="A8" i="10"/>
  <c r="A7" i="10"/>
  <c r="A6" i="10"/>
  <c r="A5" i="10"/>
  <c r="A4" i="10"/>
  <c r="I3" i="9" l="1"/>
  <c r="I14" i="9"/>
  <c r="I13" i="9"/>
  <c r="I12" i="9"/>
  <c r="I11" i="9"/>
  <c r="I10" i="9"/>
  <c r="I9" i="9"/>
  <c r="I8" i="9"/>
  <c r="I7" i="9"/>
  <c r="I6" i="9"/>
  <c r="A14" i="9"/>
  <c r="A13" i="9"/>
  <c r="A12" i="9"/>
  <c r="A11" i="9"/>
  <c r="A10" i="9"/>
  <c r="A9" i="9"/>
  <c r="A8" i="9"/>
  <c r="A7" i="9"/>
  <c r="A6" i="9"/>
  <c r="A5" i="9"/>
  <c r="A4" i="9"/>
  <c r="I5" i="9"/>
  <c r="I4" i="9"/>
  <c r="A39" i="12" l="1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I3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M3" i="8" l="1"/>
  <c r="AM1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AN67" i="8"/>
  <c r="AP67" i="8" s="1"/>
  <c r="AN66" i="8"/>
  <c r="AP66" i="8" s="1"/>
  <c r="AN65" i="8"/>
  <c r="AP65" i="8" s="1"/>
  <c r="AN64" i="8"/>
  <c r="AP64" i="8" s="1"/>
  <c r="AN63" i="8"/>
  <c r="AP63" i="8" s="1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X69" i="8" s="1"/>
  <c r="W62" i="8"/>
  <c r="V62" i="8"/>
  <c r="U62" i="8"/>
  <c r="T62" i="8"/>
  <c r="S62" i="8"/>
  <c r="R62" i="8"/>
  <c r="Q62" i="8"/>
  <c r="P62" i="8"/>
  <c r="O62" i="8"/>
  <c r="N62" i="8"/>
  <c r="M62" i="8"/>
  <c r="L62" i="8"/>
  <c r="L69" i="8" s="1"/>
  <c r="K62" i="8"/>
  <c r="J62" i="8"/>
  <c r="I62" i="8"/>
  <c r="AG69" i="8" l="1"/>
  <c r="AE69" i="8"/>
  <c r="AF69" i="8"/>
  <c r="R69" i="8"/>
  <c r="AD69" i="8"/>
  <c r="Z69" i="8"/>
  <c r="Y69" i="8"/>
  <c r="AB69" i="8"/>
  <c r="O69" i="8"/>
  <c r="K69" i="8"/>
  <c r="J69" i="8"/>
  <c r="AH69" i="8"/>
  <c r="AA69" i="8"/>
  <c r="N69" i="8"/>
  <c r="I69" i="8"/>
  <c r="P69" i="8"/>
  <c r="Q69" i="8"/>
  <c r="AP68" i="8"/>
  <c r="F6" i="6" s="1"/>
  <c r="AI69" i="8"/>
  <c r="T69" i="8"/>
  <c r="AJ69" i="8"/>
  <c r="AN62" i="8"/>
  <c r="S69" i="8"/>
  <c r="U69" i="8"/>
  <c r="AK69" i="8"/>
  <c r="V69" i="8"/>
  <c r="AL69" i="8"/>
  <c r="W69" i="8"/>
  <c r="AM69" i="8"/>
  <c r="M69" i="8"/>
  <c r="AC69" i="8"/>
  <c r="AP62" i="8"/>
  <c r="AN68" i="8"/>
  <c r="E50" i="7"/>
  <c r="K50" i="7" s="1"/>
  <c r="E49" i="7"/>
  <c r="K49" i="7" s="1"/>
  <c r="M49" i="7" s="1"/>
  <c r="G49" i="7" s="1"/>
  <c r="E48" i="7"/>
  <c r="K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M47" i="7"/>
  <c r="G47" i="7" s="1"/>
  <c r="L47" i="7"/>
  <c r="F47" i="7" s="1"/>
  <c r="L46" i="7"/>
  <c r="F46" i="7" s="1"/>
  <c r="L45" i="7"/>
  <c r="F45" i="7" s="1"/>
  <c r="M43" i="7"/>
  <c r="G43" i="7" s="1"/>
  <c r="L34" i="7"/>
  <c r="F34" i="7" s="1"/>
  <c r="L33" i="7"/>
  <c r="F33" i="7" s="1"/>
  <c r="L32" i="7"/>
  <c r="F32" i="7" s="1"/>
  <c r="L31" i="7"/>
  <c r="F31" i="7" s="1"/>
  <c r="M31" i="7"/>
  <c r="G31" i="7" s="1"/>
  <c r="L23" i="7"/>
  <c r="F23" i="7" s="1"/>
  <c r="K23" i="7"/>
  <c r="M23" i="7" s="1"/>
  <c r="G23" i="7" s="1"/>
  <c r="A1" i="6"/>
  <c r="L2" i="6"/>
  <c r="AN69" i="8" l="1"/>
  <c r="D9" i="6" s="1"/>
  <c r="K16" i="7"/>
  <c r="M16" i="7" s="1"/>
  <c r="G16" i="7" s="1"/>
  <c r="K26" i="7"/>
  <c r="M26" i="7" s="1"/>
  <c r="G26" i="7" s="1"/>
  <c r="L18" i="7"/>
  <c r="F18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M7" i="7" s="1"/>
  <c r="G7" i="7" s="1"/>
  <c r="D4" i="6"/>
  <c r="L27" i="7"/>
  <c r="F27" i="7" s="1"/>
  <c r="L24" i="7"/>
  <c r="F24" i="7" s="1"/>
  <c r="AP69" i="8"/>
  <c r="AO62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69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F8" i="6" s="1"/>
  <c r="L51" i="7"/>
  <c r="F5" i="7"/>
  <c r="F51" i="7" s="1"/>
  <c r="K51" i="7"/>
  <c r="M5" i="7"/>
  <c r="J51" i="7"/>
  <c r="E11" i="6"/>
  <c r="H11" i="6"/>
  <c r="I11" i="6" s="1"/>
  <c r="E10" i="6"/>
  <c r="E6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E5" i="6" l="1"/>
  <c r="H5" i="6"/>
  <c r="I5" i="6" s="1"/>
  <c r="H9" i="6"/>
  <c r="E9" i="6"/>
  <c r="F13" i="6"/>
  <c r="H13" i="6" s="1"/>
  <c r="I13" i="6" s="1"/>
  <c r="H4" i="6"/>
  <c r="I4" i="6" s="1"/>
  <c r="E4" i="6"/>
  <c r="H8" i="6"/>
  <c r="I8" i="6" s="1"/>
  <c r="M51" i="7"/>
  <c r="G5" i="7"/>
  <c r="G51" i="7" s="1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18" i="6" l="1"/>
  <c r="I18" i="6" s="1"/>
  <c r="E8" i="2"/>
  <c r="D8" i="2" s="1"/>
  <c r="H21" i="6"/>
  <c r="I21" i="6" s="1"/>
  <c r="F22" i="6"/>
  <c r="H22" i="6" s="1"/>
  <c r="I22" i="6" s="1"/>
  <c r="E5" i="2" s="1"/>
  <c r="D5" i="2" s="1"/>
  <c r="E13" i="2" l="1"/>
  <c r="E6" i="2" s="1"/>
  <c r="D6" i="2" s="1"/>
  <c r="I9" i="6"/>
  <c r="D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<sst xmlns="http://schemas.openxmlformats.org/spreadsheetml/2006/main" count="1399" uniqueCount="727">
  <si>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</si>
  <si>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</si>
  <si>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</si>
  <si>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</si>
  <si>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</si>
  <si>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</si>
  <si>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</si>
  <si>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</si>
  <si>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</si>
  <si>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</si>
  <si>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</si>
  <si>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</si>
  <si>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</si>
  <si>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</si>
  <si>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</si>
  <si>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</si>
  <si>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</si>
  <si>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</si>
  <si>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</si>
  <si>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</si>
  <si>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</si>
  <si>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</si>
  <si>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</si>
  <si>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</si>
  <si>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</si>
  <si>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</si>
  <si>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</si>
  <si>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</si>
  <si>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</si>
  <si>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</si>
  <si>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</si>
  <si>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</si>
  <si>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</si>
  <si>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</si>
  <si>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</si>
  <si>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</si>
  <si>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</si>
  <si>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</si>
  <si>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</si>
  <si>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</si>
  <si>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</si>
  <si>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</si>
  <si>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</si>
  <si>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</si>
  <si>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</si>
  <si>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</si>
  <si>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</si>
  <si>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</si>
  <si>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</si>
  <si>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</si>
  <si>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</si>
  <si>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</si>
  <si>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</si>
  <si>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</si>
  <si>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</si>
  <si>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</si>
  <si>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</si>
  <si>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</si>
  <si>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</si>
  <si>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</si>
  <si>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</si>
  <si>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</si>
  <si>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</si>
  <si>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</si>
  <si>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</si>
  <si>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</si>
  <si>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</si>
  <si>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</si>
  <si>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</si>
  <si>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</si>
  <si>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</si>
  <si>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</si>
  <si>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</si>
  <si>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</si>
  <si>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</si>
  <si>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</si>
  <si>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</si>
  <si>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</si>
  <si>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</si>
  <si>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</si>
  <si>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</si>
  <si>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</si>
  <si>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</si>
  <si>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</si>
  <si>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</si>
  <si>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</si>
  <si>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</si>
  <si>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</si>
  <si>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</si>
  <si>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</si>
  <si>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</si>
  <si>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</si>
  <si>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</si>
  <si>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</si>
  <si>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</si>
  <si>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</si>
  <si>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</si>
  <si>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</si>
  <si>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</si>
  <si>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</si>
  <si>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</si>
  <si>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</si>
  <si>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</si>
  <si>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</si>
  <si>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</si>
  <si>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</si>
  <si>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</si>
  <si>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</si>
  <si>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</si>
  <si>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</si>
  <si>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</si>
  <si>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</si>
  <si>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</si>
  <si>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</si>
  <si>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</si>
  <si>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</si>
  <si>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</si>
  <si>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</si>
  <si>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</si>
  <si>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</si>
  <si>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</si>
  <si>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</si>
  <si>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</si>
  <si>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</si>
  <si>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</si>
  <si>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</si>
  <si>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</si>
  <si>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</si>
  <si>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</si>
  <si>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</si>
  <si>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</si>
  <si>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</si>
  <si>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</si>
  <si>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</si>
  <si>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</si>
  <si>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</si>
  <si>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</si>
  <si>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</si>
  <si>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</si>
  <si>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</si>
  <si>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</si>
  <si>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</si>
  <si>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</si>
  <si>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</si>
  <si>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</si>
  <si>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</si>
  <si>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</si>
  <si>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</si>
  <si>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</si>
  <si>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</si>
  <si>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</si>
  <si>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</si>
  <si>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</si>
  <si>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</si>
  <si>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</si>
  <si>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</si>
  <si>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</si>
  <si>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</si>
  <si>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</si>
  <si>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</si>
  <si>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</si>
  <si>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</si>
  <si>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</si>
  <si>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</si>
  <si>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</si>
  <si>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</si>
  <si>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</si>
  <si>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</si>
  <si>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</si>
  <si>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</si>
  <si>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</si>
  <si>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</si>
  <si>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</si>
  <si>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</si>
  <si>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</si>
  <si>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</si>
  <si>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</si>
  <si>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</si>
  <si>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</si>
  <si>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</si>
  <si>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</si>
  <si>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</si>
  <si>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</si>
  <si>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</si>
  <si>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</si>
  <si>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</si>
  <si>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</si>
  <si>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</si>
  <si>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</si>
  <si>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</si>
  <si>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</si>
  <si>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</si>
  <si>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</si>
  <si>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</si>
  <si>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</si>
  <si>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</si>
  <si>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</si>
  <si>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</si>
  <si>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</si>
  <si>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</si>
  <si>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</si>
  <si>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</si>
  <si>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</si>
  <si>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</si>
  <si>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</si>
  <si>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</si>
  <si>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</si>
  <si>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</si>
  <si>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</si>
  <si>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</si>
  <si>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</si>
  <si>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</si>
  <si>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</si>
  <si>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</si>
  <si>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</si>
  <si>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</si>
  <si>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</si>
  <si>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</si>
  <si>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</si>
  <si>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</si>
  <si>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</si>
  <si>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</si>
  <si>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</si>
  <si>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</si>
  <si>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</si>
  <si>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</si>
  <si>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</si>
  <si>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</si>
  <si>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</si>
  <si>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</si>
  <si>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</si>
  <si>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</si>
  <si>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</si>
  <si>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</si>
  <si>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</si>
  <si>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</si>
  <si>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</si>
  <si>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</si>
  <si>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</si>
  <si>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</si>
  <si>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</si>
  <si>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</si>
  <si>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</si>
  <si>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</si>
  <si>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</si>
  <si>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</si>
  <si>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</si>
  <si>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</si>
  <si>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</si>
  <si>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</si>
  <si>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</si>
  <si>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</si>
  <si>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</si>
  <si>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</si>
  <si>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</si>
  <si>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</si>
  <si>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</si>
  <si>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</si>
  <si>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</si>
  <si>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</si>
  <si>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</si>
  <si>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</si>
  <si>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</si>
  <si>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</si>
  <si>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</si>
  <si>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</si>
  <si>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</si>
  <si>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</si>
  <si>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</si>
  <si>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</si>
  <si>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</si>
  <si>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</si>
  <si>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</si>
  <si>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</si>
  <si>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</si>
  <si>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</si>
  <si>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</si>
  <si>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</si>
  <si>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</si>
  <si>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</si>
  <si>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</si>
  <si>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</si>
  <si>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</si>
  <si>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</si>
  <si>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</si>
  <si>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</si>
  <si>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</si>
  <si>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</si>
  <si>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</si>
  <si>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</si>
  <si>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</si>
  <si>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</si>
  <si>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</si>
  <si>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</si>
  <si>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</si>
  <si>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</si>
  <si>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</si>
  <si>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</si>
  <si>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</si>
  <si>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</si>
  <si>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</si>
  <si>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</si>
  <si>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</si>
  <si>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</si>
  <si>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</si>
  <si>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</si>
  <si>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</si>
  <si>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</si>
  <si>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2025년 12월</t>
    <phoneticPr fontId="5" type="noConversion"/>
  </si>
  <si>
    <t>작 성 일 :   2025  년  12 월   31 일</t>
    <phoneticPr fontId="9" type="noConversion"/>
  </si>
  <si>
    <t>2025년 (    12   )월 일용 노무비명세서</t>
    <phoneticPr fontId="3" type="noConversion"/>
  </si>
  <si>
    <t>2025년 (12)월 물량 내역서</t>
    <phoneticPr fontId="3" type="noConversion"/>
  </si>
  <si>
    <t>철근절단비트</t>
  </si>
  <si>
    <t>17MM,SDS PLUS일체형 [모스툴]</t>
  </si>
  <si>
    <t>흑유리</t>
  </si>
  <si>
    <t>#10 [크레토스]</t>
  </si>
  <si>
    <t>텅스텐봉</t>
  </si>
  <si>
    <t>2.4Q,10개,란탄2% [크레토스]</t>
  </si>
  <si>
    <t>3.2Q,10개,란탄2% [크레토스]</t>
  </si>
  <si>
    <t>알곤콜렛척</t>
  </si>
  <si>
    <t>2.4Q,350A,변형 [크레토스]</t>
  </si>
  <si>
    <t>알곤세라믹</t>
  </si>
  <si>
    <t>350A-8mm(#5)YJ-35,변형 [크레토스]</t>
  </si>
  <si>
    <t>350A-15mm(#10B)YJ-35,변형 [크레토스]</t>
  </si>
  <si>
    <t>어스클램프</t>
  </si>
  <si>
    <t>CEC-500A [크레토스]</t>
  </si>
  <si>
    <t>알곤게이지</t>
  </si>
  <si>
    <t>KX-3 [코리아나]</t>
  </si>
  <si>
    <t>수세미</t>
  </si>
  <si>
    <t>MIGHTY BLUE PAD,녹색 [3M]</t>
  </si>
  <si>
    <t>검교정비,레이저레벨</t>
  </si>
  <si>
    <t>SL-443D,코라스성적서</t>
  </si>
  <si>
    <t>K10G,코라스성적서</t>
  </si>
  <si>
    <t>GX10,코라스성적서 [코텐]</t>
  </si>
  <si>
    <t>단프라시트</t>
  </si>
  <si>
    <t>900*1800*3T,플로베니아,청색</t>
  </si>
  <si>
    <t>용접유리</t>
  </si>
  <si>
    <t>2T,투명 [크레토스]</t>
  </si>
  <si>
    <t>실리콘오링</t>
  </si>
  <si>
    <t>25SQ*9R,적색</t>
  </si>
  <si>
    <t>티브러쉬</t>
  </si>
  <si>
    <t>50*6,스텐</t>
  </si>
  <si>
    <t>75*6,스텐</t>
  </si>
  <si>
    <t>다이아몬드줄</t>
  </si>
  <si>
    <t>180MM,반원 [삼익]</t>
  </si>
  <si>
    <t>160MM,반원 [삼익]</t>
  </si>
  <si>
    <t>방우플러그</t>
  </si>
  <si>
    <t>YSP1603,녹색,유성 [AK]</t>
  </si>
  <si>
    <t>번호열쇠</t>
  </si>
  <si>
    <t>4열,XD-40 [자커]</t>
  </si>
  <si>
    <t>양면테이프</t>
  </si>
  <si>
    <t>50MM*6M [핫멧트]</t>
  </si>
  <si>
    <t>밀폐용기</t>
  </si>
  <si>
    <t>6.3L(투명)</t>
  </si>
  <si>
    <t>제트브로치(PROCUT)</t>
  </si>
  <si>
    <t>14*35L [우창]</t>
  </si>
  <si>
    <t>18*35L [우창]</t>
  </si>
  <si>
    <t>파이롯트핀</t>
  </si>
  <si>
    <t>6.35*90L [모스툴]</t>
  </si>
  <si>
    <t>7.98*90L [모스툴]</t>
  </si>
  <si>
    <t>알곤용접봉</t>
  </si>
  <si>
    <t>TGC316L.2.4mm,5kg [조선선재]</t>
  </si>
  <si>
    <t>TGC316.2.0mm,5kg [조선선재]</t>
  </si>
  <si>
    <t>TGC308L.2.4mm,5kg [조선선재]</t>
  </si>
  <si>
    <t>TGC308L.2.0mm,5kg [조선선재]</t>
  </si>
  <si>
    <t>TGC50S.2.4mm,5kg [조선선재]</t>
  </si>
  <si>
    <t>테프론테이프</t>
  </si>
  <si>
    <t>12.7MM*0.075T*10M,100개 [한양화학]</t>
  </si>
  <si>
    <t>낙상방지대</t>
  </si>
  <si>
    <t>200*90 [쓰리에스코리아]</t>
  </si>
  <si>
    <t>낙상방지대부품</t>
  </si>
  <si>
    <t>풀피리</t>
  </si>
  <si>
    <t>쇠톱날</t>
  </si>
  <si>
    <t>12" [바코]</t>
  </si>
  <si>
    <t>공캔</t>
  </si>
  <si>
    <t>4L,뚜껑미포함</t>
  </si>
  <si>
    <t>페인트마카</t>
  </si>
  <si>
    <t>적색,12개 [모나미]</t>
  </si>
  <si>
    <t>흑색,12개 [모나미]</t>
  </si>
  <si>
    <t>백색,12개 [모나미]</t>
  </si>
  <si>
    <t>컷쏘날</t>
  </si>
  <si>
    <t>S1122BF,철재,바이메탈 [보쉬]</t>
  </si>
  <si>
    <t>가위</t>
  </si>
  <si>
    <t>SB-P300 [세신]</t>
  </si>
  <si>
    <t>가위집</t>
  </si>
  <si>
    <t>PVC</t>
  </si>
  <si>
    <t>안전칼</t>
  </si>
  <si>
    <t>SK-4 [올파]</t>
  </si>
  <si>
    <t>케이블타이</t>
  </si>
  <si>
    <t>릴리져블타이,300mm 적색(100EA) [스마토]</t>
  </si>
  <si>
    <t>파이프안전커버</t>
  </si>
  <si>
    <t>10T*50mm*2m,난연 [SW]</t>
  </si>
  <si>
    <t>쓰레받이</t>
  </si>
  <si>
    <t>외곽용,주황 [수입]</t>
  </si>
  <si>
    <t>빗자루</t>
  </si>
  <si>
    <t>갈대비 [수입/HNS]</t>
  </si>
  <si>
    <t>칫솔브러쉬</t>
  </si>
  <si>
    <t>316,스텐,적색[스마토]</t>
  </si>
  <si>
    <t>와이어브러쉬</t>
  </si>
  <si>
    <t>스텐,나무자루 [스마토]</t>
  </si>
  <si>
    <t>170MM,신주,흑색 [스마토]</t>
  </si>
  <si>
    <t>물파스</t>
  </si>
  <si>
    <t>90ML [현대약품]</t>
  </si>
  <si>
    <t>마대</t>
  </si>
  <si>
    <t>80L</t>
  </si>
  <si>
    <t>안전칼날</t>
  </si>
  <si>
    <t>SKB-2 [올파]</t>
  </si>
  <si>
    <t>절연테이프</t>
  </si>
  <si>
    <t>10MM,검정 [성우]</t>
  </si>
  <si>
    <t>복합기 토너</t>
  </si>
  <si>
    <t>디월트 충전로타리햄머집진기</t>
  </si>
  <si>
    <t>DWH205DH</t>
  </si>
  <si>
    <t>멀티탭</t>
  </si>
  <si>
    <t>종이봉투</t>
  </si>
  <si>
    <t>지우개</t>
  </si>
  <si>
    <t>계산기</t>
  </si>
  <si>
    <t>볼펜</t>
  </si>
  <si>
    <t>AAA + AA 건전지</t>
  </si>
  <si>
    <t>보드마카</t>
  </si>
  <si>
    <t>네임펜</t>
  </si>
  <si>
    <t>바인더</t>
  </si>
  <si>
    <t>라벨지</t>
  </si>
  <si>
    <t>투명지퍼백</t>
  </si>
  <si>
    <t>25*35</t>
  </si>
  <si>
    <t>A4 용지</t>
  </si>
  <si>
    <t>봉투화일</t>
  </si>
  <si>
    <t>접지확인테스터</t>
  </si>
  <si>
    <t>레이저</t>
  </si>
  <si>
    <t>티엘 키 복사</t>
  </si>
  <si>
    <t>파일케이스</t>
  </si>
  <si>
    <t>A3 클립보드</t>
  </si>
  <si>
    <t>라벨테이프</t>
  </si>
  <si>
    <t>A4 고무자석</t>
  </si>
  <si>
    <t>NBR 코팅장갑</t>
  </si>
  <si>
    <t>L</t>
  </si>
  <si>
    <t>멀티충전기</t>
  </si>
  <si>
    <t>AA 건전지</t>
  </si>
  <si>
    <t>청보호테이프</t>
  </si>
  <si>
    <t>500mm*4롤</t>
  </si>
  <si>
    <t>네이버파이낸셜㈜</t>
  </si>
  <si>
    <t>쿠팡㈜</t>
  </si>
  <si>
    <t>미래공구</t>
  </si>
  <si>
    <t>위프린트</t>
  </si>
  <si>
    <t>주식회사 아성다이소</t>
  </si>
  <si>
    <t>아이라벨</t>
  </si>
  <si>
    <t>G마켓</t>
  </si>
  <si>
    <t>에이스열쇠도장</t>
  </si>
  <si>
    <t>제침기, 커터칼</t>
  </si>
  <si>
    <t>KC대납 임대료</t>
  </si>
  <si>
    <t>경기도 평택시 함박산1길 16</t>
    <phoneticPr fontId="3" type="noConversion"/>
  </si>
  <si>
    <t>301호</t>
  </si>
  <si>
    <t>경기도 평택시 함박산8길 37</t>
    <phoneticPr fontId="3" type="noConversion"/>
  </si>
  <si>
    <t>302호</t>
    <phoneticPr fontId="3" type="noConversion"/>
  </si>
  <si>
    <t xml:space="preserve">숙소임대료(12월분) </t>
    <phoneticPr fontId="3" type="noConversion"/>
  </si>
  <si>
    <t>202호</t>
    <phoneticPr fontId="3" type="noConversion"/>
  </si>
  <si>
    <t>201호</t>
    <phoneticPr fontId="3" type="noConversion"/>
  </si>
  <si>
    <t>301호</t>
    <phoneticPr fontId="3" type="noConversion"/>
  </si>
  <si>
    <t>402호</t>
    <phoneticPr fontId="3" type="noConversion"/>
  </si>
  <si>
    <t>고덕여염11길 85</t>
    <phoneticPr fontId="3" type="noConversion"/>
  </si>
  <si>
    <t>함박산9길 8-1</t>
    <phoneticPr fontId="3" type="noConversion"/>
  </si>
  <si>
    <t>함박산12길 8-10</t>
    <phoneticPr fontId="3" type="noConversion"/>
  </si>
  <si>
    <t>함박산10길 19</t>
    <phoneticPr fontId="3" type="noConversion"/>
  </si>
  <si>
    <t>고덕여염6길 108</t>
    <phoneticPr fontId="3" type="noConversion"/>
  </si>
  <si>
    <t>고덕여염5길 23-16</t>
    <phoneticPr fontId="3" type="noConversion"/>
  </si>
  <si>
    <t>고덕여염12길 92</t>
    <phoneticPr fontId="3" type="noConversion"/>
  </si>
  <si>
    <t>고덕여염16길 32</t>
    <phoneticPr fontId="3" type="noConversion"/>
  </si>
  <si>
    <t>관리비</t>
    <phoneticPr fontId="5" type="noConversion"/>
  </si>
  <si>
    <t>숙소전기요금(12월)</t>
    <phoneticPr fontId="5" type="noConversion"/>
  </si>
  <si>
    <t>숙소도시가스(12월)</t>
    <phoneticPr fontId="5" type="noConversion"/>
  </si>
  <si>
    <t>숙소수도요금(12월)</t>
    <phoneticPr fontId="5" type="noConversion"/>
  </si>
  <si>
    <t>KC대납 식대</t>
  </si>
  <si>
    <t>기술인및관리자 (현장 식당)</t>
  </si>
  <si>
    <t>다모아한식뷔페</t>
    <phoneticPr fontId="3" type="noConversion"/>
  </si>
  <si>
    <t>옛날장터</t>
    <phoneticPr fontId="3" type="noConversion"/>
  </si>
  <si>
    <t>법인카드</t>
    <phoneticPr fontId="3" type="noConversion"/>
  </si>
  <si>
    <t>영미손김밥</t>
    <phoneticPr fontId="3" type="noConversion"/>
  </si>
  <si>
    <t>은주네한식뷔페</t>
    <phoneticPr fontId="3" type="noConversion"/>
  </si>
  <si>
    <t>2025. 12. 01 ~ 2025. 12. 31</t>
    <phoneticPr fontId="3" type="noConversion"/>
  </si>
  <si>
    <t>차량유류대</t>
    <phoneticPr fontId="5" type="noConversion"/>
  </si>
  <si>
    <t>(주)소모 칠곡주유소</t>
  </si>
  <si>
    <t>85어 5471 포터2</t>
    <phoneticPr fontId="3" type="noConversion"/>
  </si>
  <si>
    <t>남사농업협동조합</t>
  </si>
  <si>
    <t>(주)에이치케이하이웨</t>
  </si>
  <si>
    <t>기술인및관리자 (현장 식당)</t>
    <phoneticPr fontId="3" type="noConversion"/>
  </si>
  <si>
    <t>강경섭</t>
  </si>
  <si>
    <t>781225-1392311</t>
  </si>
  <si>
    <t>공사보조</t>
  </si>
  <si>
    <t>010-2573-6379</t>
  </si>
  <si>
    <t>농협</t>
  </si>
  <si>
    <t>356-0973-5567-73</t>
  </si>
  <si>
    <t>고종진</t>
  </si>
  <si>
    <t>790213-1912022</t>
  </si>
  <si>
    <t>용접공</t>
  </si>
  <si>
    <t>010-7478-4040</t>
  </si>
  <si>
    <t>국민</t>
  </si>
  <si>
    <t>120-21-0593-080</t>
  </si>
  <si>
    <t>권혁만</t>
  </si>
  <si>
    <t>770319-1772710</t>
  </si>
  <si>
    <t>보통인부</t>
  </si>
  <si>
    <t>010-9084-0127</t>
  </si>
  <si>
    <t>기업</t>
  </si>
  <si>
    <t>530-023847-01-014</t>
  </si>
  <si>
    <t>김강현</t>
  </si>
  <si>
    <t>910414-1031829</t>
  </si>
  <si>
    <t>010-6733-7963</t>
  </si>
  <si>
    <t>신한</t>
  </si>
  <si>
    <t>110-302-846665</t>
  </si>
  <si>
    <t>김경태</t>
  </si>
  <si>
    <t>901120-1588112</t>
  </si>
  <si>
    <t>010-9538-3223</t>
  </si>
  <si>
    <t>99538322358</t>
  </si>
  <si>
    <t>김기진</t>
  </si>
  <si>
    <t>871020-1850315</t>
  </si>
  <si>
    <t>010-6613-2156</t>
  </si>
  <si>
    <t>937-12-468305</t>
  </si>
  <si>
    <t>김동민</t>
  </si>
  <si>
    <t>840606-1768018</t>
  </si>
  <si>
    <t>010-3804-2432</t>
  </si>
  <si>
    <t>110-408-565589</t>
  </si>
  <si>
    <t>김동준</t>
  </si>
  <si>
    <t>981003-1558112</t>
  </si>
  <si>
    <t>배관공</t>
  </si>
  <si>
    <t>010-9930-1495</t>
  </si>
  <si>
    <t>카카오</t>
  </si>
  <si>
    <t>3333-16-2421842</t>
  </si>
  <si>
    <t>김선광</t>
  </si>
  <si>
    <t>880728-1903519</t>
  </si>
  <si>
    <t>010-4560-3710</t>
  </si>
  <si>
    <t>110-214-578576</t>
  </si>
  <si>
    <t>김성인</t>
  </si>
  <si>
    <t>781127-1567319</t>
  </si>
  <si>
    <t>010-8336-3710</t>
  </si>
  <si>
    <t>우체국</t>
  </si>
  <si>
    <t>503904-02-235538</t>
  </si>
  <si>
    <t>김승진</t>
  </si>
  <si>
    <t>751018-1332839</t>
  </si>
  <si>
    <t>안전보조</t>
  </si>
  <si>
    <t>010-4742-4181</t>
  </si>
  <si>
    <t>110-338-273904</t>
  </si>
  <si>
    <t>김영광</t>
  </si>
  <si>
    <t>920704-1860718</t>
  </si>
  <si>
    <t>관리보조</t>
  </si>
  <si>
    <t>010-7704-1777</t>
  </si>
  <si>
    <t>580-022392-01-010</t>
  </si>
  <si>
    <t>김영성</t>
  </si>
  <si>
    <t>840504-1490016</t>
  </si>
  <si>
    <t>010-9000-8225</t>
  </si>
  <si>
    <t>우리</t>
  </si>
  <si>
    <t>1002-544-971422</t>
  </si>
  <si>
    <t>김정희</t>
  </si>
  <si>
    <t>720420-1068511</t>
  </si>
  <si>
    <t>010-3331-3464</t>
  </si>
  <si>
    <t>437201-04-035555</t>
  </si>
  <si>
    <t>김진배</t>
  </si>
  <si>
    <t>711024-1074212</t>
  </si>
  <si>
    <t>010-3591-7832</t>
  </si>
  <si>
    <t>3333-15-8524-783</t>
  </si>
  <si>
    <t>김태훈</t>
  </si>
  <si>
    <t>810515-1814611</t>
  </si>
  <si>
    <t>010-5844-3098</t>
  </si>
  <si>
    <t>793-12-097221</t>
  </si>
  <si>
    <t>김현수</t>
  </si>
  <si>
    <t>960703-1675511</t>
  </si>
  <si>
    <t>010-7760-4917</t>
  </si>
  <si>
    <t>대구</t>
  </si>
  <si>
    <t>143-13132-971</t>
  </si>
  <si>
    <t>노성열</t>
  </si>
  <si>
    <t>710302-1394629</t>
  </si>
  <si>
    <t>010-6400-2762</t>
  </si>
  <si>
    <t>401-21-0741-250</t>
  </si>
  <si>
    <t>도남철</t>
  </si>
  <si>
    <t>681003-1683610</t>
  </si>
  <si>
    <t>010-3734-2196</t>
  </si>
  <si>
    <t>문상훈</t>
  </si>
  <si>
    <t>920426-1052111</t>
  </si>
  <si>
    <t>010-9992-5659</t>
  </si>
  <si>
    <t>110-422-363557</t>
  </si>
  <si>
    <t>박민우</t>
  </si>
  <si>
    <t>841026-1531716</t>
  </si>
  <si>
    <t>010-4768-4757</t>
  </si>
  <si>
    <t>673002-01-201903</t>
  </si>
  <si>
    <t>박성근</t>
  </si>
  <si>
    <t>850811-1526610</t>
  </si>
  <si>
    <t>010-9463-2277</t>
  </si>
  <si>
    <t>352-0406-9764-83</t>
  </si>
  <si>
    <t>박안서</t>
  </si>
  <si>
    <t>810228-1469327</t>
  </si>
  <si>
    <t>010-3690-0417</t>
  </si>
  <si>
    <t>1002-040-987874</t>
  </si>
  <si>
    <t>박주영</t>
  </si>
  <si>
    <t>730810-1457613</t>
  </si>
  <si>
    <t>010-3356-9406</t>
  </si>
  <si>
    <t>하나</t>
  </si>
  <si>
    <t>130-910013-37908</t>
  </si>
  <si>
    <t>박준호</t>
  </si>
  <si>
    <t>900513-1536215</t>
  </si>
  <si>
    <t>010-5204-1034</t>
  </si>
  <si>
    <t>302-0135-6903-51</t>
  </si>
  <si>
    <t>박태진</t>
  </si>
  <si>
    <t>750405-1773126</t>
  </si>
  <si>
    <t>010-4090-1447</t>
  </si>
  <si>
    <t>3333055010135</t>
  </si>
  <si>
    <t>백승배</t>
  </si>
  <si>
    <t>850323-1520514</t>
  </si>
  <si>
    <t>도비공</t>
  </si>
  <si>
    <t>010-8113-3288</t>
  </si>
  <si>
    <t>402057 02 369681</t>
  </si>
  <si>
    <t>서주석</t>
  </si>
  <si>
    <t>670215-1386321</t>
  </si>
  <si>
    <t>010-4514-8042</t>
  </si>
  <si>
    <t>352-1129-4746-73</t>
  </si>
  <si>
    <t>손성훈</t>
  </si>
  <si>
    <t>921031-1616911</t>
  </si>
  <si>
    <t>010-5855-1497</t>
  </si>
  <si>
    <t>3333-05-8926193</t>
  </si>
  <si>
    <t>송상엽</t>
  </si>
  <si>
    <t>820530-1167417</t>
  </si>
  <si>
    <t>010-3142-8904</t>
  </si>
  <si>
    <t>349-910362-94907</t>
  </si>
  <si>
    <t>송용기</t>
  </si>
  <si>
    <t>980114-1811111</t>
  </si>
  <si>
    <t>010-9473-9352</t>
  </si>
  <si>
    <t>3522287062093</t>
  </si>
  <si>
    <t>신준호</t>
  </si>
  <si>
    <t>860115-1063914</t>
  </si>
  <si>
    <t>010-7628-6061</t>
  </si>
  <si>
    <t>1002-735-727923</t>
  </si>
  <si>
    <t>안수민</t>
  </si>
  <si>
    <t>900220-1083010</t>
  </si>
  <si>
    <t>010-5250-9814</t>
  </si>
  <si>
    <t>새마을</t>
  </si>
  <si>
    <t>8010525098140</t>
  </si>
  <si>
    <t>오별이</t>
  </si>
  <si>
    <t>931014-2253511</t>
  </si>
  <si>
    <t>010-5027-6760</t>
  </si>
  <si>
    <t>253402-04-197247</t>
  </si>
  <si>
    <t>이관창</t>
  </si>
  <si>
    <t>740707-1262013</t>
  </si>
  <si>
    <t>010-5385-2305</t>
  </si>
  <si>
    <t>167-02-743383</t>
  </si>
  <si>
    <t>이상범</t>
  </si>
  <si>
    <t>860701-1070519</t>
  </si>
  <si>
    <t>010-2221-9310</t>
  </si>
  <si>
    <t>352-2141557483</t>
  </si>
  <si>
    <t>이승건</t>
  </si>
  <si>
    <t>740817-1392348</t>
  </si>
  <si>
    <t>010-6496-7944</t>
  </si>
  <si>
    <t>187-100-476-02-011</t>
  </si>
  <si>
    <t>이영수</t>
  </si>
  <si>
    <t>880509-1351518</t>
  </si>
  <si>
    <t>010-3106-0487</t>
  </si>
  <si>
    <t>649302-04-071713</t>
  </si>
  <si>
    <t>이예성</t>
  </si>
  <si>
    <t>851227-1117515</t>
  </si>
  <si>
    <t>010-3639-0770</t>
  </si>
  <si>
    <t>114-001-04-126831</t>
  </si>
  <si>
    <t>이용근</t>
  </si>
  <si>
    <t>010607-3842716</t>
  </si>
  <si>
    <t>010-3312-7198</t>
  </si>
  <si>
    <t>95000200462440</t>
  </si>
  <si>
    <t>이재성</t>
  </si>
  <si>
    <t>781023-1000715</t>
  </si>
  <si>
    <t>010-2781-1866</t>
  </si>
  <si>
    <t>312-0228-6484-11</t>
  </si>
  <si>
    <t>이정완</t>
  </si>
  <si>
    <t>680304-1661020</t>
  </si>
  <si>
    <t>010-3833-5897</t>
  </si>
  <si>
    <t>333322-9072681</t>
  </si>
  <si>
    <t>이정찬</t>
  </si>
  <si>
    <t>791120-1262228</t>
  </si>
  <si>
    <t>010-3522-7830</t>
  </si>
  <si>
    <t>이호연</t>
  </si>
  <si>
    <t>880711-1121410</t>
  </si>
  <si>
    <t>010-7448-1031</t>
  </si>
  <si>
    <t>3333-33-9601045</t>
  </si>
  <si>
    <t>임국빈</t>
  </si>
  <si>
    <t>730623-1357211</t>
  </si>
  <si>
    <t>010-9061-4722</t>
  </si>
  <si>
    <t>336- 02-182566</t>
  </si>
  <si>
    <t>임세훈</t>
  </si>
  <si>
    <t>801028-1113827</t>
  </si>
  <si>
    <t>010-7444-3839</t>
  </si>
  <si>
    <t xml:space="preserve"> 453-050090-01-012</t>
  </si>
  <si>
    <t>임정규</t>
  </si>
  <si>
    <t>681007-1011424</t>
  </si>
  <si>
    <t>010-8750-6816</t>
  </si>
  <si>
    <t>새마을금고</t>
  </si>
  <si>
    <t>9003-2562-8638-6</t>
  </si>
  <si>
    <t>임종우</t>
  </si>
  <si>
    <t>680417-1457711</t>
  </si>
  <si>
    <t>010-6311-0135</t>
  </si>
  <si>
    <t>3333-20-0441038</t>
  </si>
  <si>
    <t>정덕원</t>
  </si>
  <si>
    <t>970110-1675211</t>
  </si>
  <si>
    <t>010-5100-8961</t>
  </si>
  <si>
    <t>119-910619-32507</t>
  </si>
  <si>
    <t>정일교</t>
  </si>
  <si>
    <t>761021-1348015</t>
  </si>
  <si>
    <t>010-3789-1185</t>
  </si>
  <si>
    <t>조민규</t>
  </si>
  <si>
    <t>891111-1113118</t>
  </si>
  <si>
    <t>010-6269-5994</t>
  </si>
  <si>
    <t>3333 10 4699384</t>
  </si>
  <si>
    <t>최은희</t>
  </si>
  <si>
    <t>850227-2454711</t>
  </si>
  <si>
    <t>010-2052-6656</t>
  </si>
  <si>
    <t>472-910128-17307</t>
  </si>
  <si>
    <t>최진웅</t>
  </si>
  <si>
    <t>810101-1447610</t>
  </si>
  <si>
    <t>010-6545-2244</t>
  </si>
  <si>
    <t>1002-150-879909</t>
  </si>
  <si>
    <t>한상석</t>
  </si>
  <si>
    <t>881228-1852322</t>
  </si>
  <si>
    <t>010-9341-7715</t>
  </si>
  <si>
    <t>3333-07-3760969</t>
  </si>
  <si>
    <t>허창훈</t>
  </si>
  <si>
    <t>850908-1100619</t>
  </si>
  <si>
    <t>010-9244-6987</t>
  </si>
  <si>
    <t>9002-1418-0675-3</t>
  </si>
  <si>
    <t>황선정</t>
  </si>
  <si>
    <t>730308-1057411</t>
  </si>
  <si>
    <t>010-7480-0008</t>
  </si>
  <si>
    <t>302-0861-0223-61</t>
  </si>
  <si>
    <t>■ 구분은 [사무용품, 소모품비, 법인카드] 이외 항목은 입력금지</t>
    <phoneticPr fontId="5" type="noConversion"/>
  </si>
  <si>
    <t>소모품비</t>
    <phoneticPr fontId="3" type="noConversion"/>
  </si>
  <si>
    <t>사무용품</t>
    <phoneticPr fontId="3" type="noConversion"/>
  </si>
  <si>
    <t>소모성자재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</si>
</sst>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</numFmts>
  <fonts count="5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/>
  </cellStyleXfs>
  <cellXfs count="294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0" fontId="46" fillId="0" borderId="9" xfId="3" applyFont="1" applyBorder="1" applyAlignment="1">
      <alignment horizontal="center"/>
    </xf>
    <xf numFmtId="0" fontId="46" fillId="0" borderId="12" xfId="3" applyFont="1" applyBorder="1" applyAlignment="1">
      <alignment horizontal="center" vertical="center"/>
    </xf>
    <xf numFmtId="0" fontId="46" fillId="0" borderId="13" xfId="3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/>
    </xf>
    <xf numFmtId="0" fontId="23" fillId="0" borderId="9" xfId="0" applyFont="1" applyBorder="1">
      <alignment vertical="center"/>
    </xf>
    <xf numFmtId="0" fontId="23" fillId="0" borderId="9" xfId="0" applyFont="1" applyBorder="1" applyAlignment="1">
      <alignment horizontal="center" vertical="center" wrapText="1"/>
    </xf>
    <xf numFmtId="0" fontId="50" fillId="12" borderId="9" xfId="0" applyFont="1" applyFill="1" applyBorder="1" applyAlignment="1">
      <alignment horizontal="center" vertical="center"/>
    </xf>
    <xf numFmtId="14" fontId="46" fillId="12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182" fontId="24" fillId="12" borderId="9" xfId="10" applyNumberFormat="1" applyFont="1" applyFill="1" applyBorder="1" applyAlignment="1">
      <alignment horizontal="center" vertical="center"/>
    </xf>
    <xf numFmtId="186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/>
    <xf numFmtId="41" fontId="46" fillId="0" borderId="9" xfId="0" applyNumberFormat="1" applyFont="1" applyBorder="1" applyAlignment="1">
      <alignment horizontal="center" vertical="center"/>
    </xf>
    <xf numFmtId="0" fontId="46" fillId="12" borderId="9" xfId="0" applyFont="1" applyFill="1" applyBorder="1" applyAlignment="1">
      <alignment horizontal="center" vertical="center"/>
    </xf>
    <xf numFmtId="41" fontId="23" fillId="0" borderId="9" xfId="0" applyNumberFormat="1" applyFont="1" applyBorder="1">
      <alignment vertical="center"/>
    </xf>
    <xf numFmtId="0" fontId="52" fillId="0" borderId="9" xfId="0" applyFont="1" applyBorder="1" applyAlignment="1">
      <alignment horizontal="center" vertical="center" wrapText="1"/>
    </xf>
    <xf numFmtId="41" fontId="46" fillId="12" borderId="10" xfId="14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9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0" fontId="46" fillId="0" borderId="0" xfId="3" applyFont="1" applyAlignment="1">
      <alignment horizontal="center" vertical="center"/>
    </xf>
    <xf numFmtId="41" fontId="23" fillId="0" borderId="0" xfId="0" applyNumberFormat="1" applyFont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5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4" xfId="11" xr:uid="{72A51C34-A30B-44FF-BE15-2AE28992F6DB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624173</xdr:colOff>
      <xdr:row>51</xdr:row>
      <xdr:rowOff>123824</xdr:rowOff>
    </xdr:from>
    <xdr:to>
      <xdr:col>12</xdr:col>
      <xdr:colOff>1276350</xdr:colOff>
      <xdr:row>58</xdr:row>
      <xdr:rowOff>76199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7023" y="18087974"/>
          <a:ext cx="2881027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L19" sqref="L19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00" t="s">
        <v>0</v>
      </c>
      <c r="C4" s="200"/>
      <c r="D4" s="200"/>
      <c r="E4" s="200"/>
      <c r="F4" s="7"/>
    </row>
    <row r="5" spans="1:6" ht="21.95" customHeight="1">
      <c r="A5" s="8"/>
      <c r="B5" s="200"/>
      <c r="C5" s="200"/>
      <c r="D5" s="200"/>
      <c r="E5" s="200"/>
      <c r="F5" s="9"/>
    </row>
    <row r="6" spans="1:6" ht="21.95" customHeight="1">
      <c r="A6" s="10"/>
      <c r="B6" s="200"/>
      <c r="C6" s="200"/>
      <c r="D6" s="200"/>
      <c r="E6" s="200"/>
      <c r="F6" s="11"/>
    </row>
    <row r="7" spans="1:6" ht="36.950000000000003" customHeight="1">
      <c r="A7" s="12"/>
      <c r="B7" s="201" t="s">
        <v>1</v>
      </c>
      <c r="C7" s="201"/>
      <c r="D7" s="201"/>
      <c r="E7" s="201"/>
      <c r="F7" s="11"/>
    </row>
    <row r="8" spans="1:6" ht="29.1" customHeight="1">
      <c r="A8" s="8"/>
      <c r="B8" s="13"/>
      <c r="C8" s="202" t="s">
        <v>292</v>
      </c>
      <c r="D8" s="203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04" t="s">
        <v>308</v>
      </c>
      <c r="D14" s="204"/>
      <c r="E14" s="13"/>
      <c r="F14" s="9"/>
    </row>
    <row r="15" spans="1:6" ht="21.95" customHeight="1">
      <c r="A15" s="8"/>
      <c r="B15" s="13"/>
      <c r="C15" s="205" t="s">
        <v>303</v>
      </c>
      <c r="D15" s="205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199"/>
      <c r="D19" s="199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="85" zoomScaleNormal="100" zoomScaleSheetLayoutView="85" workbookViewId="0">
      <selection activeCell="Q10" sqref="Q10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06" t="s">
        <v>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-163700000</v>
      </c>
      <c r="E5" s="22">
        <f>집계장!I22</f>
        <v>-163700000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-163700000</v>
      </c>
      <c r="E6" s="22">
        <f>E7+E13</f>
        <v>-163700000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-15000000</v>
      </c>
      <c r="E7" s="22">
        <f>집계장!G22</f>
        <v>-15000000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-148781008</v>
      </c>
      <c r="E8" s="22">
        <f>집계장!F18</f>
        <v>-148781007.51612902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-148700000</v>
      </c>
      <c r="E13" s="32">
        <f>집계장!F22</f>
        <v>-148700000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477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07" t="s">
        <v>29</v>
      </c>
      <c r="C18" s="207"/>
      <c r="D18" s="207"/>
      <c r="E18" s="207"/>
      <c r="F18" s="207"/>
      <c r="G18" s="207"/>
      <c r="H18" s="207"/>
      <c r="I18" s="207"/>
      <c r="J18" s="208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309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09" t="s">
        <v>304</v>
      </c>
      <c r="H23" s="209"/>
      <c r="I23" s="209"/>
      <c r="J23" s="209"/>
      <c r="K23" s="209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09" t="s">
        <v>305</v>
      </c>
      <c r="H24" s="209"/>
      <c r="I24" s="209"/>
      <c r="J24" s="209"/>
      <c r="K24" s="209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09" t="s">
        <v>306</v>
      </c>
      <c r="H25" s="209"/>
      <c r="I25" s="23" t="s">
        <v>307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10" t="s">
        <v>81</v>
      </c>
      <c r="B1" s="211"/>
      <c r="C1" s="211"/>
      <c r="D1" s="211"/>
      <c r="E1" s="211"/>
      <c r="F1" s="211"/>
      <c r="G1" s="211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12" t="s">
        <v>84</v>
      </c>
      <c r="B3" s="214" t="s">
        <v>85</v>
      </c>
      <c r="C3" s="214" t="s">
        <v>86</v>
      </c>
      <c r="D3" s="214" t="s">
        <v>87</v>
      </c>
      <c r="E3" s="214" t="s">
        <v>88</v>
      </c>
      <c r="F3" s="214"/>
      <c r="G3" s="216"/>
    </row>
    <row r="4" spans="1:7" ht="27.95" customHeight="1">
      <c r="A4" s="213"/>
      <c r="B4" s="215"/>
      <c r="C4" s="215"/>
      <c r="D4" s="215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zoomScale="85" zoomScaleNormal="100" zoomScaleSheetLayoutView="85" workbookViewId="0">
      <selection activeCell="F9" sqref="F9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</cols>
  <sheetData>
    <row r="1" spans="1:12" ht="39.950000000000003" customHeight="1" thickTop="1">
      <c r="A1" s="220" t="str">
        <f>'용역청구서 표지'!$B$7</f>
        <v>P4 Ph4 GAS 1공구 마감공사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2"/>
    </row>
    <row r="2" spans="1:12" ht="20.100000000000001" customHeight="1">
      <c r="A2" s="54"/>
      <c r="J2" s="56"/>
      <c r="L2" s="57" t="str">
        <f>'용역청구서 표지'!$C$15</f>
        <v>㈜태성하이텍</v>
      </c>
    </row>
    <row r="3" spans="1:12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23" t="s">
        <v>119</v>
      </c>
      <c r="K3" s="223"/>
      <c r="L3" s="224"/>
    </row>
    <row r="4" spans="1:12" ht="30" customHeight="1">
      <c r="A4" s="63" t="s">
        <v>120</v>
      </c>
      <c r="B4" s="64" t="s">
        <v>121</v>
      </c>
      <c r="C4" s="46" t="s">
        <v>122</v>
      </c>
      <c r="D4" s="154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/>
      <c r="H4" s="47">
        <f t="shared" ref="H4:H22" si="0">F4</f>
        <v>0</v>
      </c>
      <c r="I4" s="67">
        <f>G4+H4</f>
        <v>0</v>
      </c>
      <c r="J4" s="217"/>
      <c r="K4" s="218"/>
      <c r="L4" s="219"/>
    </row>
    <row r="5" spans="1:12" ht="30" customHeight="1">
      <c r="A5" s="68"/>
      <c r="B5" s="64" t="s">
        <v>123</v>
      </c>
      <c r="C5" s="46" t="s">
        <v>124</v>
      </c>
      <c r="D5" s="153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/>
      <c r="H5" s="47">
        <f t="shared" si="0"/>
        <v>0</v>
      </c>
      <c r="I5" s="67">
        <f t="shared" ref="I5:I7" si="1">G5+H5</f>
        <v>0</v>
      </c>
      <c r="J5" s="217"/>
      <c r="K5" s="218"/>
      <c r="L5" s="219"/>
    </row>
    <row r="6" spans="1:12" ht="30" customHeight="1">
      <c r="A6" s="68"/>
      <c r="B6" s="64" t="s">
        <v>125</v>
      </c>
      <c r="C6" s="46" t="s">
        <v>126</v>
      </c>
      <c r="D6" s="69">
        <f>'근로내역 (12월)'!AN68</f>
        <v>0</v>
      </c>
      <c r="E6" s="47" t="e">
        <f>F6/D6</f>
        <v>#DIV/0!</v>
      </c>
      <c r="F6" s="65">
        <f>'근로내역 (12월)'!AP68</f>
        <v>0</v>
      </c>
      <c r="G6" s="66"/>
      <c r="H6" s="47">
        <f t="shared" si="0"/>
        <v>0</v>
      </c>
      <c r="I6" s="67">
        <f t="shared" si="1"/>
        <v>0</v>
      </c>
      <c r="J6" s="217"/>
      <c r="K6" s="218"/>
      <c r="L6" s="219"/>
    </row>
    <row r="7" spans="1:12" ht="30" customHeight="1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/>
      <c r="H7" s="47">
        <f t="shared" si="0"/>
        <v>0</v>
      </c>
      <c r="I7" s="67">
        <f t="shared" si="1"/>
        <v>0</v>
      </c>
      <c r="J7" s="217"/>
      <c r="K7" s="218"/>
      <c r="L7" s="219"/>
    </row>
    <row r="8" spans="1:12" ht="30" customHeight="1">
      <c r="A8" s="71" t="s">
        <v>129</v>
      </c>
      <c r="B8" s="225" t="s">
        <v>130</v>
      </c>
      <c r="C8" s="226"/>
      <c r="D8" s="72"/>
      <c r="E8" s="72"/>
      <c r="F8" s="73">
        <f>SUM(F4:F7)</f>
        <v>0</v>
      </c>
      <c r="G8" s="74"/>
      <c r="H8" s="75">
        <f t="shared" si="0"/>
        <v>0</v>
      </c>
      <c r="I8" s="76">
        <f>G8+H8</f>
        <v>0</v>
      </c>
      <c r="J8" s="227"/>
      <c r="K8" s="228"/>
      <c r="L8" s="229"/>
    </row>
    <row r="9" spans="1:12" ht="30" customHeight="1">
      <c r="A9" s="63" t="s">
        <v>131</v>
      </c>
      <c r="B9" s="64" t="s">
        <v>132</v>
      </c>
      <c r="C9" s="46" t="s">
        <v>133</v>
      </c>
      <c r="D9" s="69">
        <f>'근로내역 (12월)'!AN69</f>
        <v>697.125</v>
      </c>
      <c r="E9" s="77">
        <f>F9/D9</f>
        <v>189720.27972027971</v>
      </c>
      <c r="F9" s="65">
        <f>'근로내역 (12월)'!AP69</f>
        <v>132258750</v>
      </c>
      <c r="G9" s="66">
        <v>13716250</v>
      </c>
      <c r="H9" s="47">
        <f t="shared" si="0"/>
        <v>132258750</v>
      </c>
      <c r="I9" s="67">
        <f>G9+H9</f>
        <v>145975000</v>
      </c>
      <c r="J9" s="217"/>
      <c r="K9" s="218"/>
      <c r="L9" s="219"/>
    </row>
    <row r="10" spans="1:12" ht="30" customHeight="1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7330984.5161290318</v>
      </c>
      <c r="G10" s="66">
        <v>666666.66666666674</v>
      </c>
      <c r="H10" s="47">
        <f t="shared" si="0"/>
        <v>7330984.5161290318</v>
      </c>
      <c r="I10" s="67">
        <f t="shared" ref="I10:I12" si="3">G10+H10</f>
        <v>7997651.1827956988</v>
      </c>
      <c r="J10" s="217"/>
      <c r="K10" s="218"/>
      <c r="L10" s="219"/>
    </row>
    <row r="11" spans="1:12" ht="30" customHeight="1">
      <c r="A11" s="63"/>
      <c r="B11" s="64" t="s">
        <v>136</v>
      </c>
      <c r="C11" s="46" t="s">
        <v>137</v>
      </c>
      <c r="D11" s="46">
        <f>SUM(식대비용!G4:G9)</f>
        <v>1139</v>
      </c>
      <c r="E11" s="47">
        <f>F11/D11</f>
        <v>8069.5987708516241</v>
      </c>
      <c r="F11" s="65">
        <f>식대비용!I3</f>
        <v>9191273</v>
      </c>
      <c r="G11" s="66">
        <v>681818</v>
      </c>
      <c r="H11" s="47">
        <f t="shared" si="0"/>
        <v>9191273</v>
      </c>
      <c r="I11" s="67">
        <f t="shared" si="3"/>
        <v>9873091</v>
      </c>
      <c r="J11" s="217"/>
      <c r="K11" s="218"/>
      <c r="L11" s="219"/>
    </row>
    <row r="12" spans="1:12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/>
      <c r="H12" s="47">
        <f t="shared" si="0"/>
        <v>0</v>
      </c>
      <c r="I12" s="67">
        <f t="shared" si="3"/>
        <v>0</v>
      </c>
      <c r="J12" s="217"/>
      <c r="K12" s="218"/>
      <c r="L12" s="219"/>
    </row>
    <row r="13" spans="1:12" ht="30" customHeight="1">
      <c r="A13" s="71" t="s">
        <v>139</v>
      </c>
      <c r="B13" s="225" t="s">
        <v>140</v>
      </c>
      <c r="C13" s="226"/>
      <c r="D13" s="72"/>
      <c r="E13" s="72"/>
      <c r="F13" s="73">
        <f t="shared" ref="F13" si="4">SUM(F9:F12)</f>
        <v>148781007.51612902</v>
      </c>
      <c r="G13" s="74">
        <f>SUM(G9:G12)</f>
        <v>15064734.666666666</v>
      </c>
      <c r="H13" s="75">
        <f t="shared" si="0"/>
        <v>148781007.51612902</v>
      </c>
      <c r="I13" s="76">
        <f>G13+H13</f>
        <v>163845742.18279567</v>
      </c>
      <c r="J13" s="227"/>
      <c r="K13" s="228"/>
      <c r="L13" s="229"/>
    </row>
    <row r="14" spans="1:12" ht="30" customHeight="1">
      <c r="A14" s="71" t="s">
        <v>141</v>
      </c>
      <c r="B14" s="225" t="s">
        <v>142</v>
      </c>
      <c r="C14" s="226"/>
      <c r="D14" s="72"/>
      <c r="E14" s="72"/>
      <c r="F14" s="73">
        <f>F8-F13</f>
        <v>-148781007.51612902</v>
      </c>
      <c r="G14" s="74">
        <f>G8-G13</f>
        <v>-15064734.666666666</v>
      </c>
      <c r="H14" s="75">
        <f t="shared" si="0"/>
        <v>-148781007.51612902</v>
      </c>
      <c r="I14" s="76">
        <f>G14+H14</f>
        <v>-163845742.18279567</v>
      </c>
      <c r="J14" s="227"/>
      <c r="K14" s="228"/>
      <c r="L14" s="229"/>
    </row>
    <row r="15" spans="1:12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/>
      <c r="H15" s="47">
        <f t="shared" si="0"/>
        <v>0</v>
      </c>
      <c r="I15" s="67">
        <f>G15+H15</f>
        <v>0</v>
      </c>
      <c r="J15" s="217"/>
      <c r="K15" s="218"/>
      <c r="L15" s="219"/>
    </row>
    <row r="16" spans="1:12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17"/>
      <c r="K16" s="218"/>
      <c r="L16" s="219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17"/>
      <c r="K17" s="218"/>
      <c r="L17" s="219"/>
    </row>
    <row r="18" spans="1:12" ht="30" customHeight="1">
      <c r="A18" s="71" t="s">
        <v>151</v>
      </c>
      <c r="B18" s="225" t="s">
        <v>152</v>
      </c>
      <c r="C18" s="226"/>
      <c r="D18" s="72"/>
      <c r="E18" s="72"/>
      <c r="F18" s="73">
        <f>F14-F15-F16-F17</f>
        <v>-148781007.51612902</v>
      </c>
      <c r="G18" s="74">
        <f>G14</f>
        <v>-15064734.666666666</v>
      </c>
      <c r="H18" s="75">
        <f t="shared" si="0"/>
        <v>-148781007.51612902</v>
      </c>
      <c r="I18" s="76">
        <f>G18+H18</f>
        <v>-163845742.18279567</v>
      </c>
      <c r="J18" s="227"/>
      <c r="K18" s="228"/>
      <c r="L18" s="229"/>
    </row>
    <row r="19" spans="1:12" ht="30" customHeight="1">
      <c r="A19" s="234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34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35">
        <v>0</v>
      </c>
      <c r="L20" s="238">
        <f>K20-I20</f>
        <v>0</v>
      </c>
    </row>
    <row r="21" spans="1:12" ht="30" customHeight="1">
      <c r="A21" s="241" t="s">
        <v>159</v>
      </c>
      <c r="B21" s="242"/>
      <c r="C21" s="243"/>
      <c r="D21" s="81"/>
      <c r="E21" s="81"/>
      <c r="F21" s="82">
        <f>F18-F20</f>
        <v>-148781007.51612902</v>
      </c>
      <c r="G21" s="83">
        <f>G18</f>
        <v>-15064734.666666666</v>
      </c>
      <c r="H21" s="84">
        <f t="shared" si="0"/>
        <v>-148781007.51612902</v>
      </c>
      <c r="I21" s="85">
        <f>G21+H21</f>
        <v>-163845742.18279567</v>
      </c>
      <c r="J21" s="81"/>
      <c r="K21" s="236"/>
      <c r="L21" s="239"/>
    </row>
    <row r="22" spans="1:12" ht="30" customHeight="1">
      <c r="A22" s="241" t="s">
        <v>160</v>
      </c>
      <c r="B22" s="242"/>
      <c r="C22" s="243"/>
      <c r="D22" s="81"/>
      <c r="E22" s="81"/>
      <c r="F22" s="82">
        <f>ROUNDDOWN(F21,-5)</f>
        <v>-148700000</v>
      </c>
      <c r="G22" s="83">
        <f>ROUNDDOWN(G21,-5)</f>
        <v>-15000000</v>
      </c>
      <c r="H22" s="84">
        <f t="shared" si="0"/>
        <v>-148700000</v>
      </c>
      <c r="I22" s="85">
        <f>G22+H22</f>
        <v>-163700000</v>
      </c>
      <c r="J22" s="86" t="s">
        <v>161</v>
      </c>
      <c r="K22" s="237"/>
      <c r="L22" s="240"/>
    </row>
    <row r="23" spans="1:12" ht="30" customHeight="1">
      <c r="A23" s="230" t="s">
        <v>162</v>
      </c>
      <c r="B23" s="231"/>
      <c r="C23" s="232"/>
      <c r="D23" s="231" t="s">
        <v>163</v>
      </c>
      <c r="E23" s="231"/>
      <c r="F23" s="231"/>
      <c r="G23" s="231"/>
      <c r="H23" s="231"/>
      <c r="I23" s="231"/>
      <c r="J23" s="231"/>
      <c r="K23" s="231"/>
      <c r="L23" s="233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7.25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55" zoomScaleNormal="55" workbookViewId="0">
      <pane ySplit="4" topLeftCell="A29" activePane="bottomLeft" state="frozen"/>
      <selection activeCell="B15" sqref="B15"/>
      <selection pane="bottomLeft" activeCell="B15" sqref="B15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>
      <c r="A1" s="247" t="s">
        <v>311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3" ht="17.25">
      <c r="A2" s="92" t="str">
        <f>'용역청구서 표지'!$B$7</f>
        <v>P4 Ph4 GAS 1공구 마감공사</v>
      </c>
      <c r="M2" s="42" t="s">
        <v>167</v>
      </c>
    </row>
    <row r="3" spans="1:13" ht="27.95" customHeight="1">
      <c r="A3" s="248" t="s">
        <v>168</v>
      </c>
      <c r="B3" s="248" t="s">
        <v>169</v>
      </c>
      <c r="C3" s="248" t="s">
        <v>170</v>
      </c>
      <c r="D3" s="249" t="s">
        <v>171</v>
      </c>
      <c r="E3" s="248" t="s">
        <v>172</v>
      </c>
      <c r="F3" s="248" t="s">
        <v>173</v>
      </c>
      <c r="G3" s="248"/>
      <c r="H3" s="248" t="s">
        <v>174</v>
      </c>
      <c r="I3" s="248"/>
      <c r="J3" s="248" t="s">
        <v>175</v>
      </c>
      <c r="K3" s="248"/>
      <c r="L3" s="248" t="s">
        <v>176</v>
      </c>
      <c r="M3" s="248"/>
    </row>
    <row r="4" spans="1:13" ht="27.95" customHeight="1">
      <c r="A4" s="248"/>
      <c r="B4" s="248"/>
      <c r="C4" s="248"/>
      <c r="D4" s="249"/>
      <c r="E4" s="248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5" customHeight="1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5" customHeight="1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5" customHeight="1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3" ht="27.95" customHeight="1">
      <c r="A8" s="94" t="s">
        <v>180</v>
      </c>
      <c r="B8" s="38" t="s">
        <v>187</v>
      </c>
      <c r="C8" s="38" t="s">
        <v>182</v>
      </c>
      <c r="D8" s="95">
        <v>0</v>
      </c>
      <c r="E8" s="96">
        <v>437000</v>
      </c>
      <c r="F8" s="99">
        <f t="shared" si="0"/>
        <v>0</v>
      </c>
      <c r="G8" s="97">
        <f t="shared" si="0"/>
        <v>0</v>
      </c>
      <c r="H8" s="99"/>
      <c r="I8" s="94"/>
      <c r="J8" s="99">
        <f>$D8*'DIA-INCH'!$C8</f>
        <v>0</v>
      </c>
      <c r="K8" s="97">
        <f t="shared" si="1"/>
        <v>0</v>
      </c>
      <c r="L8" s="99">
        <f t="shared" si="2"/>
        <v>0</v>
      </c>
      <c r="M8" s="97">
        <f t="shared" si="2"/>
        <v>0</v>
      </c>
    </row>
    <row r="9" spans="1:13" ht="27.95" customHeight="1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/>
      <c r="I9" s="94"/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5" customHeight="1">
      <c r="A10" s="94" t="s">
        <v>180</v>
      </c>
      <c r="B10" s="38" t="s">
        <v>189</v>
      </c>
      <c r="C10" s="38" t="s">
        <v>185</v>
      </c>
      <c r="D10" s="95">
        <v>0</v>
      </c>
      <c r="E10" s="96">
        <v>437000</v>
      </c>
      <c r="F10" s="99">
        <f t="shared" si="0"/>
        <v>0</v>
      </c>
      <c r="G10" s="97">
        <f t="shared" si="0"/>
        <v>0</v>
      </c>
      <c r="H10" s="99"/>
      <c r="I10" s="94"/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</row>
    <row r="11" spans="1:13" ht="27.95" customHeight="1">
      <c r="A11" s="94" t="s">
        <v>180</v>
      </c>
      <c r="B11" s="38" t="s">
        <v>190</v>
      </c>
      <c r="C11" s="38" t="s">
        <v>185</v>
      </c>
      <c r="D11" s="95">
        <v>0</v>
      </c>
      <c r="E11" s="96">
        <v>437000</v>
      </c>
      <c r="F11" s="99">
        <f t="shared" si="0"/>
        <v>0</v>
      </c>
      <c r="G11" s="97">
        <f t="shared" si="0"/>
        <v>0</v>
      </c>
      <c r="H11" s="99"/>
      <c r="I11" s="94"/>
      <c r="J11" s="99">
        <f>$D11*'DIA-INCH'!$C11</f>
        <v>0</v>
      </c>
      <c r="K11" s="97">
        <f t="shared" si="1"/>
        <v>0</v>
      </c>
      <c r="L11" s="99">
        <f t="shared" si="2"/>
        <v>0</v>
      </c>
      <c r="M11" s="97">
        <f t="shared" si="2"/>
        <v>0</v>
      </c>
    </row>
    <row r="12" spans="1:13" ht="27.95" customHeight="1">
      <c r="A12" s="94" t="s">
        <v>183</v>
      </c>
      <c r="B12" s="38" t="s">
        <v>191</v>
      </c>
      <c r="C12" s="38" t="s">
        <v>182</v>
      </c>
      <c r="D12" s="95">
        <v>0</v>
      </c>
      <c r="E12" s="96">
        <v>437000</v>
      </c>
      <c r="F12" s="99">
        <f t="shared" si="0"/>
        <v>0</v>
      </c>
      <c r="G12" s="97">
        <f t="shared" si="0"/>
        <v>0</v>
      </c>
      <c r="H12" s="99"/>
      <c r="I12" s="94"/>
      <c r="J12" s="99">
        <f>$D12*'DIA-INCH'!$C12</f>
        <v>0</v>
      </c>
      <c r="K12" s="97">
        <f t="shared" si="1"/>
        <v>0</v>
      </c>
      <c r="L12" s="99">
        <f t="shared" si="2"/>
        <v>0</v>
      </c>
      <c r="M12" s="97">
        <f t="shared" si="2"/>
        <v>0</v>
      </c>
    </row>
    <row r="13" spans="1:13" ht="27.95" customHeight="1">
      <c r="A13" s="94" t="s">
        <v>180</v>
      </c>
      <c r="B13" s="38" t="s">
        <v>192</v>
      </c>
      <c r="C13" s="38" t="s">
        <v>182</v>
      </c>
      <c r="D13" s="95">
        <v>0</v>
      </c>
      <c r="E13" s="96">
        <v>437000</v>
      </c>
      <c r="F13" s="99">
        <f t="shared" si="0"/>
        <v>0</v>
      </c>
      <c r="G13" s="97">
        <f t="shared" si="0"/>
        <v>0</v>
      </c>
      <c r="H13" s="99"/>
      <c r="I13" s="94"/>
      <c r="J13" s="99">
        <f>$D13*'DIA-INCH'!$C13</f>
        <v>0</v>
      </c>
      <c r="K13" s="97">
        <f t="shared" si="1"/>
        <v>0</v>
      </c>
      <c r="L13" s="99">
        <f t="shared" si="2"/>
        <v>0</v>
      </c>
      <c r="M13" s="97">
        <f t="shared" si="2"/>
        <v>0</v>
      </c>
    </row>
    <row r="14" spans="1:13" ht="27.95" customHeight="1">
      <c r="A14" s="94" t="s">
        <v>193</v>
      </c>
      <c r="B14" s="38" t="s">
        <v>194</v>
      </c>
      <c r="C14" s="38" t="s">
        <v>182</v>
      </c>
      <c r="D14" s="95">
        <v>0</v>
      </c>
      <c r="E14" s="96">
        <v>437000</v>
      </c>
      <c r="F14" s="99">
        <f t="shared" si="0"/>
        <v>0</v>
      </c>
      <c r="G14" s="97">
        <f t="shared" si="0"/>
        <v>0</v>
      </c>
      <c r="H14" s="99"/>
      <c r="I14" s="94"/>
      <c r="J14" s="99">
        <f>$D14*'DIA-INCH'!$C14</f>
        <v>0</v>
      </c>
      <c r="K14" s="97">
        <f t="shared" si="1"/>
        <v>0</v>
      </c>
      <c r="L14" s="99">
        <f t="shared" si="2"/>
        <v>0</v>
      </c>
      <c r="M14" s="97">
        <f t="shared" si="2"/>
        <v>0</v>
      </c>
    </row>
    <row r="15" spans="1:13" ht="27.95" customHeight="1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/>
      <c r="I15" s="94"/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5" customHeight="1">
      <c r="A16" s="94" t="s">
        <v>183</v>
      </c>
      <c r="B16" s="38" t="s">
        <v>196</v>
      </c>
      <c r="C16" s="38" t="s">
        <v>182</v>
      </c>
      <c r="D16" s="95">
        <v>0</v>
      </c>
      <c r="E16" s="96">
        <v>437000</v>
      </c>
      <c r="F16" s="99">
        <f t="shared" si="0"/>
        <v>0</v>
      </c>
      <c r="G16" s="97">
        <f t="shared" si="0"/>
        <v>0</v>
      </c>
      <c r="H16" s="99"/>
      <c r="I16" s="94"/>
      <c r="J16" s="99">
        <f>$D16*'DIA-INCH'!$C16</f>
        <v>0</v>
      </c>
      <c r="K16" s="97">
        <f t="shared" si="1"/>
        <v>0</v>
      </c>
      <c r="L16" s="99">
        <f t="shared" si="2"/>
        <v>0</v>
      </c>
      <c r="M16" s="97">
        <f t="shared" si="2"/>
        <v>0</v>
      </c>
    </row>
    <row r="17" spans="1:13" ht="27.95" customHeight="1">
      <c r="A17" s="94" t="s">
        <v>183</v>
      </c>
      <c r="B17" s="38" t="s">
        <v>197</v>
      </c>
      <c r="C17" s="38" t="s">
        <v>182</v>
      </c>
      <c r="D17" s="95">
        <v>0</v>
      </c>
      <c r="E17" s="96">
        <v>437000</v>
      </c>
      <c r="F17" s="99">
        <f t="shared" si="0"/>
        <v>0</v>
      </c>
      <c r="G17" s="97">
        <f t="shared" si="0"/>
        <v>0</v>
      </c>
      <c r="H17" s="99"/>
      <c r="I17" s="94"/>
      <c r="J17" s="99">
        <f>$D17*'DIA-INCH'!$C17</f>
        <v>0</v>
      </c>
      <c r="K17" s="97">
        <f t="shared" si="1"/>
        <v>0</v>
      </c>
      <c r="L17" s="99">
        <f t="shared" si="2"/>
        <v>0</v>
      </c>
      <c r="M17" s="97">
        <f t="shared" si="2"/>
        <v>0</v>
      </c>
    </row>
    <row r="18" spans="1:13" ht="27.95" customHeight="1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/>
      <c r="I18" s="94"/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5" customHeight="1">
      <c r="A19" s="94" t="s">
        <v>183</v>
      </c>
      <c r="B19" s="38" t="s">
        <v>199</v>
      </c>
      <c r="C19" s="38" t="s">
        <v>182</v>
      </c>
      <c r="D19" s="95">
        <v>0</v>
      </c>
      <c r="E19" s="96">
        <v>437000</v>
      </c>
      <c r="F19" s="99">
        <f t="shared" si="0"/>
        <v>0</v>
      </c>
      <c r="G19" s="97">
        <f t="shared" si="0"/>
        <v>0</v>
      </c>
      <c r="H19" s="99"/>
      <c r="I19" s="94"/>
      <c r="J19" s="99">
        <f>$D19*'DIA-INCH'!$C19</f>
        <v>0</v>
      </c>
      <c r="K19" s="97">
        <f t="shared" si="1"/>
        <v>0</v>
      </c>
      <c r="L19" s="99">
        <f t="shared" si="2"/>
        <v>0</v>
      </c>
      <c r="M19" s="97">
        <f t="shared" si="2"/>
        <v>0</v>
      </c>
    </row>
    <row r="20" spans="1:13" ht="27.95" customHeight="1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/>
      <c r="I20" s="94"/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5" customHeight="1">
      <c r="A21" s="94" t="s">
        <v>180</v>
      </c>
      <c r="B21" s="38" t="s">
        <v>201</v>
      </c>
      <c r="C21" s="38" t="s">
        <v>202</v>
      </c>
      <c r="D21" s="95">
        <v>0</v>
      </c>
      <c r="E21" s="96">
        <v>437000</v>
      </c>
      <c r="F21" s="99">
        <f t="shared" si="0"/>
        <v>0</v>
      </c>
      <c r="G21" s="97">
        <f t="shared" si="0"/>
        <v>0</v>
      </c>
      <c r="H21" s="99"/>
      <c r="I21" s="94"/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5" customHeight="1">
      <c r="A22" s="94" t="s">
        <v>183</v>
      </c>
      <c r="B22" s="38" t="s">
        <v>203</v>
      </c>
      <c r="C22" s="38" t="s">
        <v>204</v>
      </c>
      <c r="D22" s="95">
        <v>0</v>
      </c>
      <c r="E22" s="96">
        <v>437000</v>
      </c>
      <c r="F22" s="99">
        <f t="shared" si="0"/>
        <v>0</v>
      </c>
      <c r="G22" s="97">
        <f t="shared" si="0"/>
        <v>0</v>
      </c>
      <c r="H22" s="99"/>
      <c r="I22" s="94"/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5" customHeight="1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/>
      <c r="I23" s="94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5" customHeight="1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/>
      <c r="I24" s="94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5" customHeight="1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5" customHeight="1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5" customHeight="1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5" customHeight="1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5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5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5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87500</v>
      </c>
      <c r="F31" s="97">
        <f t="shared" si="0"/>
        <v>0</v>
      </c>
      <c r="G31" s="97">
        <f t="shared" si="0"/>
        <v>0</v>
      </c>
      <c r="H31" s="94"/>
      <c r="I31" s="94"/>
      <c r="J31" s="97">
        <f t="shared" si="3"/>
        <v>0</v>
      </c>
      <c r="K31" s="97">
        <f t="shared" si="4"/>
        <v>0</v>
      </c>
      <c r="L31" s="97">
        <f t="shared" si="2"/>
        <v>0</v>
      </c>
      <c r="M31" s="97">
        <f t="shared" si="2"/>
        <v>0</v>
      </c>
    </row>
    <row r="32" spans="1:13" ht="27.95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109375</v>
      </c>
      <c r="F32" s="97">
        <f t="shared" si="0"/>
        <v>0</v>
      </c>
      <c r="G32" s="97">
        <f t="shared" si="0"/>
        <v>0</v>
      </c>
      <c r="H32" s="94"/>
      <c r="I32" s="94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5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131250</v>
      </c>
      <c r="F33" s="97">
        <f t="shared" si="0"/>
        <v>0</v>
      </c>
      <c r="G33" s="97">
        <f t="shared" si="0"/>
        <v>0</v>
      </c>
      <c r="H33" s="94"/>
      <c r="I33" s="94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5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175000</v>
      </c>
      <c r="F34" s="97">
        <f t="shared" si="0"/>
        <v>0</v>
      </c>
      <c r="G34" s="97">
        <f t="shared" si="0"/>
        <v>0</v>
      </c>
      <c r="H34" s="94"/>
      <c r="I34" s="94"/>
      <c r="J34" s="97">
        <f t="shared" si="3"/>
        <v>0</v>
      </c>
      <c r="K34" s="97">
        <f t="shared" si="4"/>
        <v>0</v>
      </c>
      <c r="L34" s="97">
        <f t="shared" si="2"/>
        <v>0</v>
      </c>
      <c r="M34" s="97">
        <f t="shared" si="2"/>
        <v>0</v>
      </c>
    </row>
    <row r="35" spans="1:13" ht="27.95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218750</v>
      </c>
      <c r="F35" s="97">
        <f t="shared" si="0"/>
        <v>0</v>
      </c>
      <c r="G35" s="97">
        <f t="shared" si="0"/>
        <v>0</v>
      </c>
      <c r="H35" s="94"/>
      <c r="I35" s="94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5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262500</v>
      </c>
      <c r="F36" s="97">
        <f t="shared" si="0"/>
        <v>0</v>
      </c>
      <c r="G36" s="97">
        <f t="shared" si="0"/>
        <v>0</v>
      </c>
      <c r="H36" s="94"/>
      <c r="I36" s="94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5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5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5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437500</v>
      </c>
      <c r="F39" s="97">
        <f t="shared" si="0"/>
        <v>0</v>
      </c>
      <c r="G39" s="97">
        <f t="shared" si="0"/>
        <v>0</v>
      </c>
      <c r="H39" s="94"/>
      <c r="I39" s="94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5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5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5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0</v>
      </c>
      <c r="G42" s="97">
        <f t="shared" si="0"/>
        <v>0</v>
      </c>
      <c r="H42" s="94"/>
      <c r="I42" s="94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5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5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0</v>
      </c>
      <c r="G44" s="97">
        <f t="shared" si="0"/>
        <v>0</v>
      </c>
      <c r="H44" s="94"/>
      <c r="I44" s="94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5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5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5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5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5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5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5" customHeight="1">
      <c r="A51" s="244" t="s">
        <v>220</v>
      </c>
      <c r="B51" s="245"/>
      <c r="C51" s="245"/>
      <c r="D51" s="245"/>
      <c r="E51" s="246"/>
      <c r="F51" s="155">
        <f>SUM(F5:F50)</f>
        <v>0</v>
      </c>
      <c r="G51" s="98">
        <f t="shared" ref="G51:M51" si="5">SUM(G5:G50)</f>
        <v>0</v>
      </c>
      <c r="H51" s="155">
        <f t="shared" si="5"/>
        <v>0</v>
      </c>
      <c r="I51" s="98">
        <f t="shared" si="5"/>
        <v>0</v>
      </c>
      <c r="J51" s="155">
        <f t="shared" si="5"/>
        <v>0</v>
      </c>
      <c r="K51" s="98">
        <f t="shared" si="5"/>
        <v>0</v>
      </c>
      <c r="L51" s="155">
        <f t="shared" si="5"/>
        <v>0</v>
      </c>
      <c r="M51" s="98">
        <f t="shared" si="5"/>
        <v>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0"/>
  <sheetViews>
    <sheetView view="pageBreakPreview" zoomScale="40" zoomScaleNormal="70" zoomScaleSheetLayoutView="40" workbookViewId="0">
      <selection activeCell="B15" sqref="B15"/>
    </sheetView>
  </sheetViews>
  <sheetFormatPr defaultRowHeight="16.5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39" width="7.625" style="100" customWidth="1"/>
    <col min="40" max="40" width="11.875" style="100" customWidth="1"/>
    <col min="41" max="41" width="15.875" style="140" bestFit="1" customWidth="1"/>
    <col min="42" max="42" width="18.25" style="142" bestFit="1" customWidth="1"/>
  </cols>
  <sheetData>
    <row r="1" spans="1:42" ht="32.1" customHeight="1">
      <c r="A1" s="262" t="s">
        <v>310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253" t="s">
        <v>221</v>
      </c>
      <c r="AI1" s="254"/>
      <c r="AJ1" s="254"/>
      <c r="AK1" s="254"/>
      <c r="AL1" s="255"/>
      <c r="AM1" s="250" t="str">
        <f>'용역청구서 표지'!$B$7</f>
        <v>P4 Ph4 GAS 1공구 마감공사</v>
      </c>
      <c r="AN1" s="251"/>
      <c r="AO1" s="251"/>
      <c r="AP1" s="252"/>
    </row>
    <row r="2" spans="1:42" ht="32.1" customHeight="1">
      <c r="A2" s="265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7"/>
      <c r="AH2" s="253" t="s">
        <v>222</v>
      </c>
      <c r="AI2" s="254"/>
      <c r="AJ2" s="254"/>
      <c r="AK2" s="254"/>
      <c r="AL2" s="255"/>
      <c r="AM2" s="250" t="s">
        <v>302</v>
      </c>
      <c r="AN2" s="251"/>
      <c r="AO2" s="251"/>
      <c r="AP2" s="252"/>
    </row>
    <row r="3" spans="1:42" ht="32.1" customHeight="1">
      <c r="A3" s="268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70"/>
      <c r="AH3" s="253" t="s">
        <v>223</v>
      </c>
      <c r="AI3" s="254"/>
      <c r="AJ3" s="254"/>
      <c r="AK3" s="254"/>
      <c r="AL3" s="255"/>
      <c r="AM3" s="250" t="str">
        <f>'용역청구서 표지'!$C$8</f>
        <v>S25-004</v>
      </c>
      <c r="AN3" s="251"/>
      <c r="AO3" s="251"/>
      <c r="AP3" s="252"/>
    </row>
    <row r="4" spans="1:42" ht="24.95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5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09">
        <v>1</v>
      </c>
      <c r="J5" s="110">
        <v>2</v>
      </c>
      <c r="K5" s="110">
        <v>3</v>
      </c>
      <c r="L5" s="110">
        <v>4</v>
      </c>
      <c r="M5" s="110">
        <v>5</v>
      </c>
      <c r="N5" s="111">
        <v>6</v>
      </c>
      <c r="O5" s="112">
        <v>7</v>
      </c>
      <c r="P5" s="110">
        <v>8</v>
      </c>
      <c r="Q5" s="110">
        <v>9</v>
      </c>
      <c r="R5" s="110">
        <v>10</v>
      </c>
      <c r="S5" s="110">
        <v>11</v>
      </c>
      <c r="T5" s="110">
        <v>12</v>
      </c>
      <c r="U5" s="111">
        <v>13</v>
      </c>
      <c r="V5" s="112">
        <v>14</v>
      </c>
      <c r="W5" s="110">
        <v>15</v>
      </c>
      <c r="X5" s="110">
        <v>16</v>
      </c>
      <c r="Y5" s="110">
        <v>17</v>
      </c>
      <c r="Z5" s="110">
        <v>18</v>
      </c>
      <c r="AA5" s="110">
        <v>19</v>
      </c>
      <c r="AB5" s="111">
        <v>20</v>
      </c>
      <c r="AC5" s="112">
        <v>21</v>
      </c>
      <c r="AD5" s="110">
        <v>22</v>
      </c>
      <c r="AE5" s="110">
        <v>23</v>
      </c>
      <c r="AF5" s="110">
        <v>24</v>
      </c>
      <c r="AG5" s="110">
        <v>25</v>
      </c>
      <c r="AH5" s="110">
        <v>26</v>
      </c>
      <c r="AI5" s="111">
        <v>27</v>
      </c>
      <c r="AJ5" s="112">
        <v>28</v>
      </c>
      <c r="AK5" s="110">
        <v>29</v>
      </c>
      <c r="AL5" s="110">
        <v>30</v>
      </c>
      <c r="AM5" s="113">
        <v>31</v>
      </c>
      <c r="AN5" s="114" t="s">
        <v>232</v>
      </c>
      <c r="AO5" s="106" t="s">
        <v>233</v>
      </c>
      <c r="AP5" s="115" t="s">
        <v>234</v>
      </c>
    </row>
    <row r="6" spans="1:42" ht="24.95" customHeight="1">
      <c r="A6" s="116">
        <v>1</v>
      </c>
      <c r="B6" s="117" t="s">
        <v>484</v>
      </c>
      <c r="C6" s="118" t="s">
        <v>485</v>
      </c>
      <c r="D6" s="118" t="s">
        <v>486</v>
      </c>
      <c r="E6" s="118" t="s">
        <v>487</v>
      </c>
      <c r="F6" s="119" t="s">
        <v>488</v>
      </c>
      <c r="G6" s="120" t="s">
        <v>484</v>
      </c>
      <c r="H6" s="121" t="s">
        <v>489</v>
      </c>
      <c r="I6" s="122"/>
      <c r="J6" s="122"/>
      <c r="K6" s="122"/>
      <c r="L6" s="122"/>
      <c r="M6" s="122"/>
      <c r="N6" s="122"/>
      <c r="O6" s="122"/>
      <c r="P6" s="122">
        <v>0.625</v>
      </c>
      <c r="Q6" s="122"/>
      <c r="R6" s="122">
        <v>0.5</v>
      </c>
      <c r="S6" s="122">
        <v>1</v>
      </c>
      <c r="T6" s="122">
        <v>1</v>
      </c>
      <c r="U6" s="122"/>
      <c r="V6" s="122"/>
      <c r="W6" s="122">
        <v>1</v>
      </c>
      <c r="X6" s="122">
        <v>1</v>
      </c>
      <c r="Y6" s="122">
        <v>1</v>
      </c>
      <c r="Z6" s="122">
        <v>1</v>
      </c>
      <c r="AA6" s="122">
        <v>1</v>
      </c>
      <c r="AB6" s="122"/>
      <c r="AC6" s="122"/>
      <c r="AD6" s="122">
        <v>1</v>
      </c>
      <c r="AE6" s="122">
        <v>1</v>
      </c>
      <c r="AF6" s="122">
        <v>1</v>
      </c>
      <c r="AG6" s="122"/>
      <c r="AH6" s="122">
        <v>1</v>
      </c>
      <c r="AI6" s="122"/>
      <c r="AJ6" s="122"/>
      <c r="AK6" s="122">
        <v>1</v>
      </c>
      <c r="AL6" s="122">
        <v>1</v>
      </c>
      <c r="AM6" s="122">
        <v>1</v>
      </c>
      <c r="AN6" s="123">
        <f>SUM(I6:AM6)</f>
        <v>15.125</v>
      </c>
      <c r="AO6" s="119">
        <v>230000</v>
      </c>
      <c r="AP6" s="124">
        <f>AN6*AO6</f>
        <v>3478750</v>
      </c>
    </row>
    <row r="7" spans="1:42" ht="24.95" customHeight="1">
      <c r="A7" s="125">
        <v>2</v>
      </c>
      <c r="B7" s="117" t="s">
        <v>490</v>
      </c>
      <c r="C7" s="118" t="s">
        <v>491</v>
      </c>
      <c r="D7" s="126" t="s">
        <v>492</v>
      </c>
      <c r="E7" s="118" t="s">
        <v>493</v>
      </c>
      <c r="F7" s="127" t="s">
        <v>494</v>
      </c>
      <c r="G7" s="120" t="s">
        <v>490</v>
      </c>
      <c r="H7" s="121" t="s">
        <v>495</v>
      </c>
      <c r="I7" s="122"/>
      <c r="J7" s="122"/>
      <c r="K7" s="122"/>
      <c r="L7" s="122"/>
      <c r="M7" s="122"/>
      <c r="N7" s="122"/>
      <c r="O7" s="122"/>
      <c r="P7" s="122">
        <v>0.875</v>
      </c>
      <c r="Q7" s="122"/>
      <c r="R7" s="122">
        <v>1</v>
      </c>
      <c r="S7" s="122">
        <v>1</v>
      </c>
      <c r="T7" s="122">
        <v>1</v>
      </c>
      <c r="U7" s="122"/>
      <c r="V7" s="122"/>
      <c r="W7" s="122">
        <v>1</v>
      </c>
      <c r="X7" s="122">
        <v>1</v>
      </c>
      <c r="Y7" s="122">
        <v>1</v>
      </c>
      <c r="Z7" s="122">
        <v>1</v>
      </c>
      <c r="AA7" s="122">
        <v>1</v>
      </c>
      <c r="AB7" s="122"/>
      <c r="AC7" s="122"/>
      <c r="AD7" s="122">
        <v>1</v>
      </c>
      <c r="AE7" s="122">
        <v>1</v>
      </c>
      <c r="AF7" s="122">
        <v>1</v>
      </c>
      <c r="AG7" s="122"/>
      <c r="AH7" s="122">
        <v>1</v>
      </c>
      <c r="AI7" s="122"/>
      <c r="AJ7" s="122"/>
      <c r="AK7" s="122">
        <v>1</v>
      </c>
      <c r="AL7" s="122">
        <v>1</v>
      </c>
      <c r="AM7" s="122">
        <v>1</v>
      </c>
      <c r="AN7" s="123">
        <f t="shared" ref="AN7:AN61" si="0">SUM(I7:AM7)</f>
        <v>15.875</v>
      </c>
      <c r="AO7" s="119">
        <v>240000</v>
      </c>
      <c r="AP7" s="124">
        <f t="shared" ref="AP7:AP61" si="1">AN7*AO7</f>
        <v>3810000</v>
      </c>
    </row>
    <row r="8" spans="1:42" ht="24.95" customHeight="1">
      <c r="A8" s="116">
        <v>3</v>
      </c>
      <c r="B8" s="117" t="s">
        <v>496</v>
      </c>
      <c r="C8" s="118" t="s">
        <v>497</v>
      </c>
      <c r="D8" s="128" t="s">
        <v>498</v>
      </c>
      <c r="E8" s="118" t="s">
        <v>499</v>
      </c>
      <c r="F8" s="127" t="s">
        <v>500</v>
      </c>
      <c r="G8" s="120" t="s">
        <v>496</v>
      </c>
      <c r="H8" s="121" t="s">
        <v>501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>
        <v>0.625</v>
      </c>
      <c r="X8" s="122"/>
      <c r="Y8" s="122">
        <v>1</v>
      </c>
      <c r="Z8" s="122">
        <v>1</v>
      </c>
      <c r="AA8" s="122"/>
      <c r="AB8" s="122"/>
      <c r="AC8" s="122"/>
      <c r="AD8" s="122">
        <v>1</v>
      </c>
      <c r="AE8" s="122">
        <v>1</v>
      </c>
      <c r="AF8" s="122">
        <v>1</v>
      </c>
      <c r="AG8" s="122"/>
      <c r="AH8" s="122"/>
      <c r="AI8" s="122"/>
      <c r="AJ8" s="122"/>
      <c r="AK8" s="122">
        <v>1</v>
      </c>
      <c r="AL8" s="122">
        <v>1</v>
      </c>
      <c r="AM8" s="122">
        <v>1</v>
      </c>
      <c r="AN8" s="123">
        <f t="shared" si="0"/>
        <v>8.625</v>
      </c>
      <c r="AO8" s="119">
        <v>180000</v>
      </c>
      <c r="AP8" s="124">
        <f t="shared" si="1"/>
        <v>1552500</v>
      </c>
    </row>
    <row r="9" spans="1:42" ht="24.95" customHeight="1">
      <c r="A9" s="125">
        <v>4</v>
      </c>
      <c r="B9" s="117" t="s">
        <v>502</v>
      </c>
      <c r="C9" s="118" t="s">
        <v>503</v>
      </c>
      <c r="D9" s="126" t="s">
        <v>498</v>
      </c>
      <c r="E9" s="118" t="s">
        <v>504</v>
      </c>
      <c r="F9" s="127" t="s">
        <v>505</v>
      </c>
      <c r="G9" s="120" t="s">
        <v>502</v>
      </c>
      <c r="H9" s="121" t="s">
        <v>506</v>
      </c>
      <c r="I9" s="122">
        <v>0.625</v>
      </c>
      <c r="J9" s="122"/>
      <c r="K9" s="122">
        <v>1</v>
      </c>
      <c r="L9" s="122">
        <v>1</v>
      </c>
      <c r="M9" s="122">
        <v>1</v>
      </c>
      <c r="N9" s="122"/>
      <c r="O9" s="122"/>
      <c r="P9" s="122">
        <v>1</v>
      </c>
      <c r="Q9" s="122">
        <v>1</v>
      </c>
      <c r="R9" s="122">
        <v>1</v>
      </c>
      <c r="S9" s="122">
        <v>1</v>
      </c>
      <c r="T9" s="122">
        <v>1</v>
      </c>
      <c r="U9" s="122"/>
      <c r="V9" s="122"/>
      <c r="W9" s="122">
        <v>1</v>
      </c>
      <c r="X9" s="122">
        <v>1</v>
      </c>
      <c r="Y9" s="122">
        <v>1</v>
      </c>
      <c r="Z9" s="122">
        <v>1</v>
      </c>
      <c r="AA9" s="122">
        <v>1</v>
      </c>
      <c r="AB9" s="122"/>
      <c r="AC9" s="122"/>
      <c r="AD9" s="122">
        <v>1</v>
      </c>
      <c r="AE9" s="122">
        <v>1</v>
      </c>
      <c r="AF9" s="122">
        <v>1</v>
      </c>
      <c r="AG9" s="122"/>
      <c r="AH9" s="122">
        <v>1</v>
      </c>
      <c r="AI9" s="122"/>
      <c r="AJ9" s="122"/>
      <c r="AK9" s="122">
        <v>1</v>
      </c>
      <c r="AL9" s="122">
        <v>1</v>
      </c>
      <c r="AM9" s="122">
        <v>1</v>
      </c>
      <c r="AN9" s="123">
        <f t="shared" si="0"/>
        <v>20.625</v>
      </c>
      <c r="AO9" s="119">
        <v>180000</v>
      </c>
      <c r="AP9" s="124">
        <f t="shared" si="1"/>
        <v>3712500</v>
      </c>
    </row>
    <row r="10" spans="1:42" ht="24.95" customHeight="1">
      <c r="A10" s="116">
        <v>5</v>
      </c>
      <c r="B10" s="117" t="s">
        <v>507</v>
      </c>
      <c r="C10" s="118" t="s">
        <v>508</v>
      </c>
      <c r="D10" s="126" t="s">
        <v>498</v>
      </c>
      <c r="E10" s="118" t="s">
        <v>509</v>
      </c>
      <c r="F10" s="127" t="s">
        <v>494</v>
      </c>
      <c r="G10" s="120" t="s">
        <v>507</v>
      </c>
      <c r="H10" s="121" t="s">
        <v>510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>
        <v>0.625</v>
      </c>
      <c r="X10" s="122"/>
      <c r="Y10" s="122">
        <v>1</v>
      </c>
      <c r="Z10" s="122">
        <v>1</v>
      </c>
      <c r="AA10" s="122">
        <v>1</v>
      </c>
      <c r="AB10" s="122"/>
      <c r="AC10" s="122"/>
      <c r="AD10" s="122">
        <v>1</v>
      </c>
      <c r="AE10" s="122">
        <v>1</v>
      </c>
      <c r="AF10" s="122">
        <v>1</v>
      </c>
      <c r="AG10" s="122"/>
      <c r="AH10" s="122">
        <v>1</v>
      </c>
      <c r="AI10" s="122">
        <v>1</v>
      </c>
      <c r="AJ10" s="122"/>
      <c r="AK10" s="122">
        <v>1</v>
      </c>
      <c r="AL10" s="122">
        <v>1</v>
      </c>
      <c r="AM10" s="122">
        <v>1</v>
      </c>
      <c r="AN10" s="123">
        <f t="shared" si="0"/>
        <v>11.625</v>
      </c>
      <c r="AO10" s="119">
        <v>140000</v>
      </c>
      <c r="AP10" s="124">
        <f t="shared" si="1"/>
        <v>1627500</v>
      </c>
    </row>
    <row r="11" spans="1:42" ht="24.95" customHeight="1">
      <c r="A11" s="125">
        <v>6</v>
      </c>
      <c r="B11" s="117" t="s">
        <v>511</v>
      </c>
      <c r="C11" s="118" t="s">
        <v>512</v>
      </c>
      <c r="D11" s="128" t="s">
        <v>498</v>
      </c>
      <c r="E11" s="118" t="s">
        <v>513</v>
      </c>
      <c r="F11" s="127" t="s">
        <v>488</v>
      </c>
      <c r="G11" s="120" t="s">
        <v>511</v>
      </c>
      <c r="H11" s="121" t="s">
        <v>514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>
        <v>0.625</v>
      </c>
      <c r="X11" s="122"/>
      <c r="Y11" s="122">
        <v>1</v>
      </c>
      <c r="Z11" s="122">
        <v>1</v>
      </c>
      <c r="AA11" s="122">
        <v>1</v>
      </c>
      <c r="AB11" s="122"/>
      <c r="AC11" s="122"/>
      <c r="AD11" s="122">
        <v>1</v>
      </c>
      <c r="AE11" s="122">
        <v>1</v>
      </c>
      <c r="AF11" s="122">
        <v>1</v>
      </c>
      <c r="AG11" s="122"/>
      <c r="AH11" s="122">
        <v>1</v>
      </c>
      <c r="AI11" s="122">
        <v>1</v>
      </c>
      <c r="AJ11" s="122"/>
      <c r="AK11" s="122">
        <v>1</v>
      </c>
      <c r="AL11" s="122">
        <v>1</v>
      </c>
      <c r="AM11" s="122">
        <v>1</v>
      </c>
      <c r="AN11" s="123">
        <f t="shared" si="0"/>
        <v>11.625</v>
      </c>
      <c r="AO11" s="119">
        <v>150000</v>
      </c>
      <c r="AP11" s="124">
        <f t="shared" si="1"/>
        <v>1743750</v>
      </c>
    </row>
    <row r="12" spans="1:42" ht="24.95" customHeight="1">
      <c r="A12" s="116">
        <v>7</v>
      </c>
      <c r="B12" s="117" t="s">
        <v>515</v>
      </c>
      <c r="C12" s="118" t="s">
        <v>516</v>
      </c>
      <c r="D12" s="126" t="s">
        <v>492</v>
      </c>
      <c r="E12" s="118" t="s">
        <v>517</v>
      </c>
      <c r="F12" s="127" t="s">
        <v>505</v>
      </c>
      <c r="G12" s="120" t="s">
        <v>515</v>
      </c>
      <c r="H12" s="121" t="s">
        <v>518</v>
      </c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>
        <v>0.875</v>
      </c>
      <c r="X12" s="122"/>
      <c r="Y12" s="122">
        <v>1</v>
      </c>
      <c r="Z12" s="122">
        <v>0.875</v>
      </c>
      <c r="AA12" s="122">
        <v>1</v>
      </c>
      <c r="AB12" s="122"/>
      <c r="AC12" s="122"/>
      <c r="AD12" s="122">
        <v>1</v>
      </c>
      <c r="AE12" s="122">
        <v>1</v>
      </c>
      <c r="AF12" s="122">
        <v>1</v>
      </c>
      <c r="AG12" s="122"/>
      <c r="AH12" s="122">
        <v>1</v>
      </c>
      <c r="AI12" s="122"/>
      <c r="AJ12" s="122"/>
      <c r="AK12" s="122">
        <v>1</v>
      </c>
      <c r="AL12" s="122">
        <v>1</v>
      </c>
      <c r="AM12" s="122">
        <v>1</v>
      </c>
      <c r="AN12" s="123">
        <f t="shared" si="0"/>
        <v>10.75</v>
      </c>
      <c r="AO12" s="119">
        <v>230000</v>
      </c>
      <c r="AP12" s="124">
        <f t="shared" si="1"/>
        <v>2472500</v>
      </c>
    </row>
    <row r="13" spans="1:42" ht="24.95" customHeight="1">
      <c r="A13" s="125">
        <v>8</v>
      </c>
      <c r="B13" s="117" t="s">
        <v>519</v>
      </c>
      <c r="C13" s="118" t="s">
        <v>520</v>
      </c>
      <c r="D13" s="128" t="s">
        <v>521</v>
      </c>
      <c r="E13" s="118" t="s">
        <v>522</v>
      </c>
      <c r="F13" s="127" t="s">
        <v>523</v>
      </c>
      <c r="G13" s="120" t="s">
        <v>519</v>
      </c>
      <c r="H13" s="121" t="s">
        <v>524</v>
      </c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>
        <v>0.875</v>
      </c>
      <c r="X13" s="122">
        <v>1</v>
      </c>
      <c r="Y13" s="122">
        <v>1</v>
      </c>
      <c r="Z13" s="122">
        <v>1</v>
      </c>
      <c r="AA13" s="122">
        <v>1</v>
      </c>
      <c r="AB13" s="122"/>
      <c r="AC13" s="122"/>
      <c r="AD13" s="122"/>
      <c r="AE13" s="122">
        <v>1</v>
      </c>
      <c r="AF13" s="122">
        <v>1</v>
      </c>
      <c r="AG13" s="122"/>
      <c r="AH13" s="122">
        <v>1</v>
      </c>
      <c r="AI13" s="122">
        <v>1</v>
      </c>
      <c r="AJ13" s="122"/>
      <c r="AK13" s="122">
        <v>1</v>
      </c>
      <c r="AL13" s="122">
        <v>1</v>
      </c>
      <c r="AM13" s="122">
        <v>1</v>
      </c>
      <c r="AN13" s="123">
        <f t="shared" si="0"/>
        <v>11.875</v>
      </c>
      <c r="AO13" s="119">
        <v>170000</v>
      </c>
      <c r="AP13" s="124">
        <f t="shared" si="1"/>
        <v>2018750</v>
      </c>
    </row>
    <row r="14" spans="1:42" ht="24.95" customHeight="1">
      <c r="A14" s="116">
        <v>9</v>
      </c>
      <c r="B14" s="117" t="s">
        <v>525</v>
      </c>
      <c r="C14" s="118" t="s">
        <v>526</v>
      </c>
      <c r="D14" s="128" t="s">
        <v>492</v>
      </c>
      <c r="E14" s="118" t="s">
        <v>527</v>
      </c>
      <c r="F14" s="127" t="s">
        <v>505</v>
      </c>
      <c r="G14" s="120" t="s">
        <v>525</v>
      </c>
      <c r="H14" s="121" t="s">
        <v>528</v>
      </c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>
        <v>0.875</v>
      </c>
      <c r="X14" s="122">
        <v>0.5</v>
      </c>
      <c r="Y14" s="122">
        <v>1</v>
      </c>
      <c r="Z14" s="122">
        <v>1</v>
      </c>
      <c r="AA14" s="122">
        <v>1</v>
      </c>
      <c r="AB14" s="122"/>
      <c r="AC14" s="122"/>
      <c r="AD14" s="122">
        <v>1</v>
      </c>
      <c r="AE14" s="122">
        <v>1</v>
      </c>
      <c r="AF14" s="122">
        <v>1</v>
      </c>
      <c r="AG14" s="122"/>
      <c r="AH14" s="122">
        <v>1</v>
      </c>
      <c r="AI14" s="122"/>
      <c r="AJ14" s="122"/>
      <c r="AK14" s="122">
        <v>1</v>
      </c>
      <c r="AL14" s="122">
        <v>1</v>
      </c>
      <c r="AM14" s="122">
        <v>1</v>
      </c>
      <c r="AN14" s="123">
        <f t="shared" si="0"/>
        <v>11.375</v>
      </c>
      <c r="AO14" s="119">
        <v>230000</v>
      </c>
      <c r="AP14" s="124">
        <f t="shared" si="1"/>
        <v>2616250</v>
      </c>
    </row>
    <row r="15" spans="1:42" ht="24.95" customHeight="1">
      <c r="A15" s="125">
        <v>10</v>
      </c>
      <c r="B15" s="117" t="s">
        <v>529</v>
      </c>
      <c r="C15" s="118" t="s">
        <v>530</v>
      </c>
      <c r="D15" s="128" t="s">
        <v>521</v>
      </c>
      <c r="E15" s="118" t="s">
        <v>531</v>
      </c>
      <c r="F15" s="127" t="s">
        <v>532</v>
      </c>
      <c r="G15" s="120" t="s">
        <v>529</v>
      </c>
      <c r="H15" s="121" t="s">
        <v>533</v>
      </c>
      <c r="I15" s="122"/>
      <c r="J15" s="122"/>
      <c r="K15" s="122"/>
      <c r="L15" s="122"/>
      <c r="M15" s="122"/>
      <c r="N15" s="122"/>
      <c r="O15" s="122"/>
      <c r="P15" s="122">
        <v>0.875</v>
      </c>
      <c r="Q15" s="122"/>
      <c r="R15" s="122">
        <v>1</v>
      </c>
      <c r="S15" s="122">
        <v>1</v>
      </c>
      <c r="T15" s="122">
        <v>1</v>
      </c>
      <c r="U15" s="122"/>
      <c r="V15" s="122"/>
      <c r="W15" s="122">
        <v>1</v>
      </c>
      <c r="X15" s="122">
        <v>1</v>
      </c>
      <c r="Y15" s="122"/>
      <c r="Z15" s="122">
        <v>1</v>
      </c>
      <c r="AA15" s="122">
        <v>1</v>
      </c>
      <c r="AB15" s="122"/>
      <c r="AC15" s="122"/>
      <c r="AD15" s="122">
        <v>1</v>
      </c>
      <c r="AE15" s="122">
        <v>1</v>
      </c>
      <c r="AF15" s="122">
        <v>1</v>
      </c>
      <c r="AG15" s="122"/>
      <c r="AH15" s="122">
        <v>1</v>
      </c>
      <c r="AI15" s="122"/>
      <c r="AJ15" s="122"/>
      <c r="AK15" s="122">
        <v>1</v>
      </c>
      <c r="AL15" s="122">
        <v>1</v>
      </c>
      <c r="AM15" s="122">
        <v>1</v>
      </c>
      <c r="AN15" s="123">
        <f t="shared" si="0"/>
        <v>14.875</v>
      </c>
      <c r="AO15" s="119">
        <v>220000</v>
      </c>
      <c r="AP15" s="124">
        <f t="shared" si="1"/>
        <v>3272500</v>
      </c>
    </row>
    <row r="16" spans="1:42" ht="24.95" customHeight="1">
      <c r="A16" s="116">
        <v>11</v>
      </c>
      <c r="B16" s="117" t="s">
        <v>534</v>
      </c>
      <c r="C16" s="118" t="s">
        <v>535</v>
      </c>
      <c r="D16" s="126" t="s">
        <v>536</v>
      </c>
      <c r="E16" s="118" t="s">
        <v>537</v>
      </c>
      <c r="F16" s="127" t="s">
        <v>505</v>
      </c>
      <c r="G16" s="120" t="s">
        <v>534</v>
      </c>
      <c r="H16" s="121" t="s">
        <v>538</v>
      </c>
      <c r="I16" s="122"/>
      <c r="J16" s="122"/>
      <c r="K16" s="122"/>
      <c r="L16" s="122"/>
      <c r="M16" s="122"/>
      <c r="N16" s="122"/>
      <c r="O16" s="122"/>
      <c r="P16" s="122">
        <v>0.625</v>
      </c>
      <c r="Q16" s="122"/>
      <c r="R16" s="122">
        <v>0.5</v>
      </c>
      <c r="S16" s="122">
        <v>1</v>
      </c>
      <c r="T16" s="122">
        <v>1</v>
      </c>
      <c r="U16" s="122"/>
      <c r="V16" s="122"/>
      <c r="W16" s="122">
        <v>1</v>
      </c>
      <c r="X16" s="122">
        <v>1</v>
      </c>
      <c r="Y16" s="122">
        <v>1</v>
      </c>
      <c r="Z16" s="122">
        <v>0.625</v>
      </c>
      <c r="AA16" s="122">
        <v>1</v>
      </c>
      <c r="AB16" s="122"/>
      <c r="AC16" s="122"/>
      <c r="AD16" s="122">
        <v>1</v>
      </c>
      <c r="AE16" s="122">
        <v>0.625</v>
      </c>
      <c r="AF16" s="122">
        <v>1</v>
      </c>
      <c r="AG16" s="122"/>
      <c r="AH16" s="122">
        <v>0.875</v>
      </c>
      <c r="AI16" s="122">
        <v>0.5</v>
      </c>
      <c r="AJ16" s="122"/>
      <c r="AK16" s="122">
        <v>1</v>
      </c>
      <c r="AL16" s="122"/>
      <c r="AM16" s="122">
        <v>0.875</v>
      </c>
      <c r="AN16" s="123">
        <f t="shared" si="0"/>
        <v>13.625</v>
      </c>
      <c r="AO16" s="119">
        <v>270000</v>
      </c>
      <c r="AP16" s="124">
        <f t="shared" si="1"/>
        <v>3678750</v>
      </c>
    </row>
    <row r="17" spans="1:42" ht="24.95" customHeight="1">
      <c r="A17" s="125">
        <v>12</v>
      </c>
      <c r="B17" s="117" t="s">
        <v>539</v>
      </c>
      <c r="C17" s="118" t="s">
        <v>540</v>
      </c>
      <c r="D17" s="126" t="s">
        <v>541</v>
      </c>
      <c r="E17" s="118" t="s">
        <v>542</v>
      </c>
      <c r="F17" s="127" t="s">
        <v>500</v>
      </c>
      <c r="G17" s="120" t="s">
        <v>539</v>
      </c>
      <c r="H17" s="121" t="s">
        <v>543</v>
      </c>
      <c r="I17" s="122">
        <v>1</v>
      </c>
      <c r="J17" s="122">
        <v>0.875</v>
      </c>
      <c r="K17" s="122">
        <v>1</v>
      </c>
      <c r="L17" s="122">
        <v>1</v>
      </c>
      <c r="M17" s="122">
        <v>0.875</v>
      </c>
      <c r="N17" s="122"/>
      <c r="O17" s="122"/>
      <c r="P17" s="122">
        <v>1</v>
      </c>
      <c r="Q17" s="122">
        <v>1</v>
      </c>
      <c r="R17" s="122">
        <v>1</v>
      </c>
      <c r="S17" s="122">
        <v>1</v>
      </c>
      <c r="T17" s="122">
        <v>1</v>
      </c>
      <c r="U17" s="122"/>
      <c r="V17" s="122"/>
      <c r="W17" s="122">
        <v>1</v>
      </c>
      <c r="X17" s="122">
        <v>1</v>
      </c>
      <c r="Y17" s="122">
        <v>1</v>
      </c>
      <c r="Z17" s="122">
        <v>1</v>
      </c>
      <c r="AA17" s="122">
        <v>1</v>
      </c>
      <c r="AB17" s="122"/>
      <c r="AC17" s="122"/>
      <c r="AD17" s="122">
        <v>1</v>
      </c>
      <c r="AE17" s="122">
        <v>1</v>
      </c>
      <c r="AF17" s="122">
        <v>1</v>
      </c>
      <c r="AG17" s="122"/>
      <c r="AH17" s="122">
        <v>1</v>
      </c>
      <c r="AI17" s="122">
        <v>0.625</v>
      </c>
      <c r="AJ17" s="122"/>
      <c r="AK17" s="122">
        <v>1</v>
      </c>
      <c r="AL17" s="122">
        <v>1</v>
      </c>
      <c r="AM17" s="122">
        <v>1</v>
      </c>
      <c r="AN17" s="123">
        <f t="shared" si="0"/>
        <v>22.375</v>
      </c>
      <c r="AO17" s="119">
        <v>200000</v>
      </c>
      <c r="AP17" s="124">
        <f t="shared" si="1"/>
        <v>4475000</v>
      </c>
    </row>
    <row r="18" spans="1:42" ht="24.95" customHeight="1">
      <c r="A18" s="116">
        <v>13</v>
      </c>
      <c r="B18" s="117" t="s">
        <v>544</v>
      </c>
      <c r="C18" s="118" t="s">
        <v>545</v>
      </c>
      <c r="D18" s="128" t="s">
        <v>498</v>
      </c>
      <c r="E18" s="118" t="s">
        <v>546</v>
      </c>
      <c r="F18" s="127" t="s">
        <v>547</v>
      </c>
      <c r="G18" s="120" t="s">
        <v>544</v>
      </c>
      <c r="H18" s="121" t="s">
        <v>548</v>
      </c>
      <c r="I18" s="122">
        <v>1</v>
      </c>
      <c r="J18" s="122">
        <v>1</v>
      </c>
      <c r="K18" s="122">
        <v>1</v>
      </c>
      <c r="L18" s="122">
        <v>0.5</v>
      </c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3">
        <f t="shared" si="0"/>
        <v>3.5</v>
      </c>
      <c r="AO18" s="119">
        <v>150000</v>
      </c>
      <c r="AP18" s="124">
        <f t="shared" si="1"/>
        <v>525000</v>
      </c>
    </row>
    <row r="19" spans="1:42" ht="24.95" customHeight="1">
      <c r="A19" s="125">
        <v>14</v>
      </c>
      <c r="B19" s="117" t="s">
        <v>549</v>
      </c>
      <c r="C19" s="118" t="s">
        <v>550</v>
      </c>
      <c r="D19" s="126" t="s">
        <v>521</v>
      </c>
      <c r="E19" s="118" t="s">
        <v>551</v>
      </c>
      <c r="F19" s="127" t="s">
        <v>494</v>
      </c>
      <c r="G19" s="120" t="s">
        <v>549</v>
      </c>
      <c r="H19" s="121" t="s">
        <v>552</v>
      </c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>
        <v>0.875</v>
      </c>
      <c r="X19" s="122"/>
      <c r="Y19" s="122">
        <v>1</v>
      </c>
      <c r="Z19" s="122">
        <v>0.875</v>
      </c>
      <c r="AA19" s="122">
        <v>1</v>
      </c>
      <c r="AB19" s="122"/>
      <c r="AC19" s="122"/>
      <c r="AD19" s="122">
        <v>1</v>
      </c>
      <c r="AE19" s="122">
        <v>1</v>
      </c>
      <c r="AF19" s="122">
        <v>1</v>
      </c>
      <c r="AG19" s="122"/>
      <c r="AH19" s="122">
        <v>1</v>
      </c>
      <c r="AI19" s="122"/>
      <c r="AJ19" s="122"/>
      <c r="AK19" s="122">
        <v>1</v>
      </c>
      <c r="AL19" s="122">
        <v>1</v>
      </c>
      <c r="AM19" s="122">
        <v>1</v>
      </c>
      <c r="AN19" s="123">
        <f t="shared" si="0"/>
        <v>10.75</v>
      </c>
      <c r="AO19" s="119">
        <v>220000</v>
      </c>
      <c r="AP19" s="124">
        <f t="shared" si="1"/>
        <v>2365000</v>
      </c>
    </row>
    <row r="20" spans="1:42" ht="24.95" customHeight="1">
      <c r="A20" s="116">
        <v>15</v>
      </c>
      <c r="B20" s="117" t="s">
        <v>553</v>
      </c>
      <c r="C20" s="118" t="s">
        <v>554</v>
      </c>
      <c r="D20" s="128" t="s">
        <v>498</v>
      </c>
      <c r="E20" s="118" t="s">
        <v>555</v>
      </c>
      <c r="F20" s="127" t="s">
        <v>523</v>
      </c>
      <c r="G20" s="120" t="s">
        <v>553</v>
      </c>
      <c r="H20" s="121" t="s">
        <v>556</v>
      </c>
      <c r="I20" s="122"/>
      <c r="J20" s="122"/>
      <c r="K20" s="122"/>
      <c r="L20" s="122"/>
      <c r="M20" s="122"/>
      <c r="N20" s="122"/>
      <c r="O20" s="122"/>
      <c r="P20" s="122">
        <v>0.625</v>
      </c>
      <c r="Q20" s="122"/>
      <c r="R20" s="122">
        <v>1</v>
      </c>
      <c r="S20" s="122"/>
      <c r="T20" s="122"/>
      <c r="U20" s="122"/>
      <c r="V20" s="122"/>
      <c r="W20" s="122">
        <v>1</v>
      </c>
      <c r="X20" s="122">
        <v>1</v>
      </c>
      <c r="Y20" s="122">
        <v>1</v>
      </c>
      <c r="Z20" s="122">
        <v>1</v>
      </c>
      <c r="AA20" s="122"/>
      <c r="AB20" s="122"/>
      <c r="AC20" s="122"/>
      <c r="AD20" s="122">
        <v>1</v>
      </c>
      <c r="AE20" s="122">
        <v>1</v>
      </c>
      <c r="AF20" s="122">
        <v>1</v>
      </c>
      <c r="AG20" s="122"/>
      <c r="AH20" s="122">
        <v>1</v>
      </c>
      <c r="AI20" s="122"/>
      <c r="AJ20" s="122"/>
      <c r="AK20" s="122">
        <v>1</v>
      </c>
      <c r="AL20" s="122">
        <v>1</v>
      </c>
      <c r="AM20" s="122">
        <v>1</v>
      </c>
      <c r="AN20" s="123">
        <f t="shared" si="0"/>
        <v>12.625</v>
      </c>
      <c r="AO20" s="119">
        <v>150000</v>
      </c>
      <c r="AP20" s="124">
        <f t="shared" si="1"/>
        <v>1893750</v>
      </c>
    </row>
    <row r="21" spans="1:42" ht="24.95" customHeight="1">
      <c r="A21" s="125">
        <v>16</v>
      </c>
      <c r="B21" s="117" t="s">
        <v>557</v>
      </c>
      <c r="C21" s="118" t="s">
        <v>558</v>
      </c>
      <c r="D21" s="128" t="s">
        <v>498</v>
      </c>
      <c r="E21" s="118" t="s">
        <v>559</v>
      </c>
      <c r="F21" s="127" t="s">
        <v>488</v>
      </c>
      <c r="G21" s="120" t="s">
        <v>557</v>
      </c>
      <c r="H21" s="121" t="s">
        <v>560</v>
      </c>
      <c r="I21" s="122"/>
      <c r="J21" s="122"/>
      <c r="K21" s="122"/>
      <c r="L21" s="122"/>
      <c r="M21" s="122"/>
      <c r="N21" s="122"/>
      <c r="O21" s="122"/>
      <c r="P21" s="122">
        <v>0.625</v>
      </c>
      <c r="Q21" s="122"/>
      <c r="R21" s="122">
        <v>1</v>
      </c>
      <c r="S21" s="122">
        <v>1</v>
      </c>
      <c r="T21" s="122">
        <v>1</v>
      </c>
      <c r="U21" s="122"/>
      <c r="V21" s="122"/>
      <c r="W21" s="122">
        <v>1</v>
      </c>
      <c r="X21" s="122">
        <v>1</v>
      </c>
      <c r="Y21" s="122">
        <v>1</v>
      </c>
      <c r="Z21" s="122">
        <v>1</v>
      </c>
      <c r="AA21" s="122">
        <v>1</v>
      </c>
      <c r="AB21" s="122"/>
      <c r="AC21" s="122"/>
      <c r="AD21" s="122">
        <v>1</v>
      </c>
      <c r="AE21" s="122">
        <v>1</v>
      </c>
      <c r="AF21" s="122">
        <v>1</v>
      </c>
      <c r="AG21" s="122"/>
      <c r="AH21" s="122">
        <v>1</v>
      </c>
      <c r="AI21" s="122"/>
      <c r="AJ21" s="122"/>
      <c r="AK21" s="122">
        <v>1</v>
      </c>
      <c r="AL21" s="122">
        <v>1</v>
      </c>
      <c r="AM21" s="122">
        <v>1</v>
      </c>
      <c r="AN21" s="123">
        <f t="shared" si="0"/>
        <v>15.625</v>
      </c>
      <c r="AO21" s="119">
        <v>150000</v>
      </c>
      <c r="AP21" s="124">
        <f t="shared" si="1"/>
        <v>2343750</v>
      </c>
    </row>
    <row r="22" spans="1:42" ht="24.95" customHeight="1">
      <c r="A22" s="116">
        <v>17</v>
      </c>
      <c r="B22" s="117" t="s">
        <v>561</v>
      </c>
      <c r="C22" s="118" t="s">
        <v>562</v>
      </c>
      <c r="D22" s="128" t="s">
        <v>498</v>
      </c>
      <c r="E22" s="118" t="s">
        <v>563</v>
      </c>
      <c r="F22" s="127" t="s">
        <v>564</v>
      </c>
      <c r="G22" s="120" t="s">
        <v>561</v>
      </c>
      <c r="H22" s="121" t="s">
        <v>565</v>
      </c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>
        <v>0.625</v>
      </c>
      <c r="X22" s="122"/>
      <c r="Y22" s="122">
        <v>1</v>
      </c>
      <c r="Z22" s="122"/>
      <c r="AA22" s="122">
        <v>1</v>
      </c>
      <c r="AB22" s="122"/>
      <c r="AC22" s="122"/>
      <c r="AD22" s="122">
        <v>0.875</v>
      </c>
      <c r="AE22" s="122">
        <v>1</v>
      </c>
      <c r="AF22" s="122">
        <v>1</v>
      </c>
      <c r="AG22" s="122"/>
      <c r="AH22" s="122">
        <v>1</v>
      </c>
      <c r="AI22" s="122"/>
      <c r="AJ22" s="122"/>
      <c r="AK22" s="122">
        <v>1</v>
      </c>
      <c r="AL22" s="122">
        <v>1</v>
      </c>
      <c r="AM22" s="122">
        <v>1</v>
      </c>
      <c r="AN22" s="123">
        <f t="shared" si="0"/>
        <v>9.5</v>
      </c>
      <c r="AO22" s="119">
        <v>160000</v>
      </c>
      <c r="AP22" s="124">
        <f t="shared" si="1"/>
        <v>1520000</v>
      </c>
    </row>
    <row r="23" spans="1:42" ht="24.95" customHeight="1">
      <c r="A23" s="125">
        <v>18</v>
      </c>
      <c r="B23" s="117" t="s">
        <v>566</v>
      </c>
      <c r="C23" s="118" t="s">
        <v>567</v>
      </c>
      <c r="D23" s="126" t="s">
        <v>498</v>
      </c>
      <c r="E23" s="118" t="s">
        <v>568</v>
      </c>
      <c r="F23" s="127" t="s">
        <v>494</v>
      </c>
      <c r="G23" s="120" t="s">
        <v>566</v>
      </c>
      <c r="H23" s="121" t="s">
        <v>569</v>
      </c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>
        <v>0.625</v>
      </c>
      <c r="X23" s="122"/>
      <c r="Y23" s="122">
        <v>1</v>
      </c>
      <c r="Z23" s="122">
        <v>0.875</v>
      </c>
      <c r="AA23" s="122">
        <v>1</v>
      </c>
      <c r="AB23" s="122"/>
      <c r="AC23" s="122"/>
      <c r="AD23" s="122">
        <v>1</v>
      </c>
      <c r="AE23" s="122">
        <v>1</v>
      </c>
      <c r="AF23" s="122">
        <v>1</v>
      </c>
      <c r="AG23" s="122"/>
      <c r="AH23" s="122">
        <v>1</v>
      </c>
      <c r="AI23" s="122"/>
      <c r="AJ23" s="122"/>
      <c r="AK23" s="122">
        <v>1</v>
      </c>
      <c r="AL23" s="122">
        <v>1</v>
      </c>
      <c r="AM23" s="122">
        <v>1</v>
      </c>
      <c r="AN23" s="123">
        <f t="shared" si="0"/>
        <v>10.5</v>
      </c>
      <c r="AO23" s="119">
        <v>150000</v>
      </c>
      <c r="AP23" s="124">
        <f t="shared" si="1"/>
        <v>1575000</v>
      </c>
    </row>
    <row r="24" spans="1:42" ht="24.95" customHeight="1">
      <c r="A24" s="116">
        <v>19</v>
      </c>
      <c r="B24" s="117" t="s">
        <v>570</v>
      </c>
      <c r="C24" s="118" t="s">
        <v>571</v>
      </c>
      <c r="D24" s="126" t="s">
        <v>498</v>
      </c>
      <c r="E24" s="118" t="s">
        <v>572</v>
      </c>
      <c r="F24" s="127" t="s">
        <v>532</v>
      </c>
      <c r="G24" s="120" t="s">
        <v>570</v>
      </c>
      <c r="H24" s="121">
        <v>110009971120</v>
      </c>
      <c r="I24" s="122"/>
      <c r="J24" s="122"/>
      <c r="K24" s="122"/>
      <c r="L24" s="122"/>
      <c r="M24" s="122"/>
      <c r="N24" s="122"/>
      <c r="O24" s="122"/>
      <c r="P24" s="122">
        <v>0.625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3">
        <f t="shared" si="0"/>
        <v>0.625</v>
      </c>
      <c r="AO24" s="119">
        <v>150000</v>
      </c>
      <c r="AP24" s="124">
        <f t="shared" si="1"/>
        <v>93750</v>
      </c>
    </row>
    <row r="25" spans="1:42" ht="24.95" customHeight="1">
      <c r="A25" s="125">
        <v>20</v>
      </c>
      <c r="B25" s="117" t="s">
        <v>573</v>
      </c>
      <c r="C25" s="118" t="s">
        <v>574</v>
      </c>
      <c r="D25" s="128" t="s">
        <v>498</v>
      </c>
      <c r="E25" s="118" t="s">
        <v>575</v>
      </c>
      <c r="F25" s="127" t="s">
        <v>505</v>
      </c>
      <c r="G25" s="120" t="s">
        <v>573</v>
      </c>
      <c r="H25" s="121" t="s">
        <v>576</v>
      </c>
      <c r="I25" s="122"/>
      <c r="J25" s="122"/>
      <c r="K25" s="122"/>
      <c r="L25" s="122"/>
      <c r="M25" s="122"/>
      <c r="N25" s="122"/>
      <c r="O25" s="122"/>
      <c r="P25" s="122">
        <v>0.625</v>
      </c>
      <c r="Q25" s="122"/>
      <c r="R25" s="122">
        <v>1</v>
      </c>
      <c r="S25" s="122">
        <v>1</v>
      </c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3">
        <f t="shared" si="0"/>
        <v>2.625</v>
      </c>
      <c r="AO25" s="119">
        <v>150000</v>
      </c>
      <c r="AP25" s="124">
        <f t="shared" si="1"/>
        <v>393750</v>
      </c>
    </row>
    <row r="26" spans="1:42" ht="24.95" customHeight="1">
      <c r="A26" s="116">
        <v>21</v>
      </c>
      <c r="B26" s="117" t="s">
        <v>577</v>
      </c>
      <c r="C26" s="118" t="s">
        <v>578</v>
      </c>
      <c r="D26" s="126" t="s">
        <v>521</v>
      </c>
      <c r="E26" s="118" t="s">
        <v>579</v>
      </c>
      <c r="F26" s="127" t="s">
        <v>494</v>
      </c>
      <c r="G26" s="120" t="s">
        <v>577</v>
      </c>
      <c r="H26" s="121" t="s">
        <v>580</v>
      </c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>
        <v>0.875</v>
      </c>
      <c r="X26" s="122"/>
      <c r="Y26" s="122">
        <v>1</v>
      </c>
      <c r="Z26" s="122">
        <v>1</v>
      </c>
      <c r="AA26" s="122">
        <v>0.875</v>
      </c>
      <c r="AB26" s="122"/>
      <c r="AC26" s="122"/>
      <c r="AD26" s="122">
        <v>1</v>
      </c>
      <c r="AE26" s="122">
        <v>1</v>
      </c>
      <c r="AF26" s="122">
        <v>1</v>
      </c>
      <c r="AG26" s="122"/>
      <c r="AH26" s="122">
        <v>1</v>
      </c>
      <c r="AI26" s="122"/>
      <c r="AJ26" s="122"/>
      <c r="AK26" s="122">
        <v>1</v>
      </c>
      <c r="AL26" s="122">
        <v>1</v>
      </c>
      <c r="AM26" s="122">
        <v>1</v>
      </c>
      <c r="AN26" s="123">
        <f t="shared" si="0"/>
        <v>10.75</v>
      </c>
      <c r="AO26" s="119">
        <v>220000</v>
      </c>
      <c r="AP26" s="124">
        <f t="shared" si="1"/>
        <v>2365000</v>
      </c>
    </row>
    <row r="27" spans="1:42" ht="24.95" customHeight="1">
      <c r="A27" s="125">
        <v>22</v>
      </c>
      <c r="B27" s="117" t="s">
        <v>581</v>
      </c>
      <c r="C27" s="118" t="s">
        <v>582</v>
      </c>
      <c r="D27" s="128" t="s">
        <v>521</v>
      </c>
      <c r="E27" s="118" t="s">
        <v>583</v>
      </c>
      <c r="F27" s="127" t="s">
        <v>488</v>
      </c>
      <c r="G27" s="120" t="s">
        <v>581</v>
      </c>
      <c r="H27" s="121" t="s">
        <v>584</v>
      </c>
      <c r="I27" s="122"/>
      <c r="J27" s="122"/>
      <c r="K27" s="122"/>
      <c r="L27" s="122"/>
      <c r="M27" s="122"/>
      <c r="N27" s="122"/>
      <c r="O27" s="122"/>
      <c r="P27" s="122">
        <v>0.875</v>
      </c>
      <c r="Q27" s="122"/>
      <c r="R27" s="122">
        <v>1</v>
      </c>
      <c r="S27" s="122">
        <v>1</v>
      </c>
      <c r="T27" s="122">
        <v>1</v>
      </c>
      <c r="U27" s="122"/>
      <c r="V27" s="122"/>
      <c r="W27" s="122">
        <v>1</v>
      </c>
      <c r="X27" s="122"/>
      <c r="Y27" s="122">
        <v>1</v>
      </c>
      <c r="Z27" s="122">
        <v>1</v>
      </c>
      <c r="AA27" s="122">
        <v>1</v>
      </c>
      <c r="AB27" s="122"/>
      <c r="AC27" s="122"/>
      <c r="AD27" s="122">
        <v>1</v>
      </c>
      <c r="AE27" s="122">
        <v>1</v>
      </c>
      <c r="AF27" s="122">
        <v>1</v>
      </c>
      <c r="AG27" s="122"/>
      <c r="AH27" s="122">
        <v>1</v>
      </c>
      <c r="AI27" s="122">
        <v>1</v>
      </c>
      <c r="AJ27" s="122"/>
      <c r="AK27" s="122">
        <v>1</v>
      </c>
      <c r="AL27" s="122">
        <v>1</v>
      </c>
      <c r="AM27" s="122">
        <v>1</v>
      </c>
      <c r="AN27" s="123">
        <f t="shared" si="0"/>
        <v>15.875</v>
      </c>
      <c r="AO27" s="119">
        <v>210000</v>
      </c>
      <c r="AP27" s="124">
        <f t="shared" si="1"/>
        <v>3333750</v>
      </c>
    </row>
    <row r="28" spans="1:42" ht="24.95" customHeight="1">
      <c r="A28" s="116">
        <v>23</v>
      </c>
      <c r="B28" s="117" t="s">
        <v>585</v>
      </c>
      <c r="C28" s="118" t="s">
        <v>586</v>
      </c>
      <c r="D28" s="128" t="s">
        <v>492</v>
      </c>
      <c r="E28" s="118" t="s">
        <v>587</v>
      </c>
      <c r="F28" s="127" t="s">
        <v>547</v>
      </c>
      <c r="G28" s="120" t="s">
        <v>585</v>
      </c>
      <c r="H28" s="121" t="s">
        <v>588</v>
      </c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>
        <v>0.875</v>
      </c>
      <c r="X28" s="122"/>
      <c r="Y28" s="122">
        <v>1</v>
      </c>
      <c r="Z28" s="122">
        <v>1</v>
      </c>
      <c r="AA28" s="122">
        <v>1</v>
      </c>
      <c r="AB28" s="122"/>
      <c r="AC28" s="122"/>
      <c r="AD28" s="122">
        <v>1</v>
      </c>
      <c r="AE28" s="122">
        <v>1</v>
      </c>
      <c r="AF28" s="122">
        <v>1</v>
      </c>
      <c r="AG28" s="122"/>
      <c r="AH28" s="122"/>
      <c r="AI28" s="122"/>
      <c r="AJ28" s="122"/>
      <c r="AK28" s="122">
        <v>1</v>
      </c>
      <c r="AL28" s="122">
        <v>1</v>
      </c>
      <c r="AM28" s="122">
        <v>1</v>
      </c>
      <c r="AN28" s="123">
        <f t="shared" si="0"/>
        <v>9.875</v>
      </c>
      <c r="AO28" s="119">
        <v>230000</v>
      </c>
      <c r="AP28" s="124">
        <f t="shared" si="1"/>
        <v>2271250</v>
      </c>
    </row>
    <row r="29" spans="1:42" ht="24.95" customHeight="1">
      <c r="A29" s="125">
        <v>24</v>
      </c>
      <c r="B29" s="117" t="s">
        <v>589</v>
      </c>
      <c r="C29" s="118" t="s">
        <v>590</v>
      </c>
      <c r="D29" s="128" t="s">
        <v>521</v>
      </c>
      <c r="E29" s="118" t="s">
        <v>591</v>
      </c>
      <c r="F29" s="127" t="s">
        <v>592</v>
      </c>
      <c r="G29" s="120" t="s">
        <v>589</v>
      </c>
      <c r="H29" s="121" t="s">
        <v>593</v>
      </c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>
        <v>0.875</v>
      </c>
      <c r="X29" s="122">
        <v>1</v>
      </c>
      <c r="Y29" s="122">
        <v>1</v>
      </c>
      <c r="Z29" s="122">
        <v>1</v>
      </c>
      <c r="AA29" s="122">
        <v>0.875</v>
      </c>
      <c r="AB29" s="122"/>
      <c r="AC29" s="122"/>
      <c r="AD29" s="122">
        <v>1</v>
      </c>
      <c r="AE29" s="122">
        <v>1</v>
      </c>
      <c r="AF29" s="122">
        <v>1</v>
      </c>
      <c r="AG29" s="122"/>
      <c r="AH29" s="122"/>
      <c r="AI29" s="122"/>
      <c r="AJ29" s="122"/>
      <c r="AK29" s="122">
        <v>1</v>
      </c>
      <c r="AL29" s="122">
        <v>1</v>
      </c>
      <c r="AM29" s="122">
        <v>1</v>
      </c>
      <c r="AN29" s="123">
        <f t="shared" si="0"/>
        <v>10.75</v>
      </c>
      <c r="AO29" s="119">
        <v>210000</v>
      </c>
      <c r="AP29" s="124">
        <f t="shared" si="1"/>
        <v>2257500</v>
      </c>
    </row>
    <row r="30" spans="1:42" ht="24.95" customHeight="1">
      <c r="A30" s="116">
        <v>25</v>
      </c>
      <c r="B30" s="117" t="s">
        <v>594</v>
      </c>
      <c r="C30" s="118" t="s">
        <v>595</v>
      </c>
      <c r="D30" s="126" t="s">
        <v>486</v>
      </c>
      <c r="E30" s="118" t="s">
        <v>596</v>
      </c>
      <c r="F30" s="127" t="s">
        <v>488</v>
      </c>
      <c r="G30" s="120" t="s">
        <v>594</v>
      </c>
      <c r="H30" s="121" t="s">
        <v>597</v>
      </c>
      <c r="I30" s="122">
        <v>1</v>
      </c>
      <c r="J30" s="122">
        <v>1</v>
      </c>
      <c r="K30" s="122">
        <v>1</v>
      </c>
      <c r="L30" s="122">
        <v>1</v>
      </c>
      <c r="M30" s="122">
        <v>1</v>
      </c>
      <c r="N30" s="122"/>
      <c r="O30" s="122"/>
      <c r="P30" s="122">
        <v>1</v>
      </c>
      <c r="Q30" s="122">
        <v>1</v>
      </c>
      <c r="R30" s="122">
        <v>1</v>
      </c>
      <c r="S30" s="122">
        <v>1</v>
      </c>
      <c r="T30" s="122">
        <v>1</v>
      </c>
      <c r="U30" s="122"/>
      <c r="V30" s="122"/>
      <c r="W30" s="122">
        <v>1</v>
      </c>
      <c r="X30" s="122">
        <v>1</v>
      </c>
      <c r="Y30" s="122">
        <v>0.875</v>
      </c>
      <c r="Z30" s="122">
        <v>1</v>
      </c>
      <c r="AA30" s="122">
        <v>1</v>
      </c>
      <c r="AB30" s="122"/>
      <c r="AC30" s="122"/>
      <c r="AD30" s="122">
        <v>1</v>
      </c>
      <c r="AE30" s="122">
        <v>1</v>
      </c>
      <c r="AF30" s="122">
        <v>1</v>
      </c>
      <c r="AG30" s="122"/>
      <c r="AH30" s="122">
        <v>1</v>
      </c>
      <c r="AI30" s="122">
        <v>1</v>
      </c>
      <c r="AJ30" s="122"/>
      <c r="AK30" s="122">
        <v>1</v>
      </c>
      <c r="AL30" s="122">
        <v>1</v>
      </c>
      <c r="AM30" s="122">
        <v>1</v>
      </c>
      <c r="AN30" s="123">
        <f t="shared" si="0"/>
        <v>22.875</v>
      </c>
      <c r="AO30" s="119">
        <v>230000</v>
      </c>
      <c r="AP30" s="124">
        <f t="shared" si="1"/>
        <v>5261250</v>
      </c>
    </row>
    <row r="31" spans="1:42" ht="24.95" customHeight="1">
      <c r="A31" s="125">
        <v>26</v>
      </c>
      <c r="B31" s="117" t="s">
        <v>598</v>
      </c>
      <c r="C31" s="118" t="s">
        <v>599</v>
      </c>
      <c r="D31" s="126" t="s">
        <v>521</v>
      </c>
      <c r="E31" s="118" t="s">
        <v>600</v>
      </c>
      <c r="F31" s="127" t="s">
        <v>523</v>
      </c>
      <c r="G31" s="120" t="s">
        <v>598</v>
      </c>
      <c r="H31" s="121" t="s">
        <v>601</v>
      </c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>
        <v>0.875</v>
      </c>
      <c r="X31" s="122">
        <v>1</v>
      </c>
      <c r="Y31" s="122">
        <v>1</v>
      </c>
      <c r="Z31" s="122">
        <v>1</v>
      </c>
      <c r="AA31" s="122">
        <v>1</v>
      </c>
      <c r="AB31" s="122"/>
      <c r="AC31" s="122"/>
      <c r="AD31" s="122">
        <v>1</v>
      </c>
      <c r="AE31" s="122">
        <v>1</v>
      </c>
      <c r="AF31" s="122">
        <v>1</v>
      </c>
      <c r="AG31" s="122"/>
      <c r="AH31" s="122">
        <v>1</v>
      </c>
      <c r="AI31" s="122"/>
      <c r="AJ31" s="122"/>
      <c r="AK31" s="122">
        <v>1</v>
      </c>
      <c r="AL31" s="122">
        <v>1</v>
      </c>
      <c r="AM31" s="122">
        <v>1</v>
      </c>
      <c r="AN31" s="123">
        <f t="shared" si="0"/>
        <v>11.875</v>
      </c>
      <c r="AO31" s="119">
        <v>220000</v>
      </c>
      <c r="AP31" s="124">
        <f t="shared" si="1"/>
        <v>2612500</v>
      </c>
    </row>
    <row r="32" spans="1:42" ht="24.95" customHeight="1">
      <c r="A32" s="116">
        <v>27</v>
      </c>
      <c r="B32" s="117" t="s">
        <v>602</v>
      </c>
      <c r="C32" s="118" t="s">
        <v>603</v>
      </c>
      <c r="D32" s="128" t="s">
        <v>604</v>
      </c>
      <c r="E32" s="118" t="s">
        <v>605</v>
      </c>
      <c r="F32" s="127" t="s">
        <v>532</v>
      </c>
      <c r="G32" s="120" t="s">
        <v>602</v>
      </c>
      <c r="H32" s="121" t="s">
        <v>606</v>
      </c>
      <c r="I32" s="122"/>
      <c r="J32" s="122"/>
      <c r="K32" s="122"/>
      <c r="L32" s="122"/>
      <c r="M32" s="122"/>
      <c r="N32" s="122"/>
      <c r="O32" s="122"/>
      <c r="P32" s="122">
        <v>0.625</v>
      </c>
      <c r="Q32" s="122"/>
      <c r="R32" s="122">
        <v>1</v>
      </c>
      <c r="S32" s="122">
        <v>1</v>
      </c>
      <c r="T32" s="122">
        <v>1</v>
      </c>
      <c r="U32" s="122"/>
      <c r="V32" s="122"/>
      <c r="W32" s="122">
        <v>1</v>
      </c>
      <c r="X32" s="122">
        <v>1</v>
      </c>
      <c r="Y32" s="122"/>
      <c r="Z32" s="122">
        <v>1</v>
      </c>
      <c r="AA32" s="122">
        <v>1</v>
      </c>
      <c r="AB32" s="122"/>
      <c r="AC32" s="122"/>
      <c r="AD32" s="122">
        <v>1</v>
      </c>
      <c r="AE32" s="122">
        <v>1</v>
      </c>
      <c r="AF32" s="122">
        <v>1</v>
      </c>
      <c r="AG32" s="122"/>
      <c r="AH32" s="122">
        <v>0.5</v>
      </c>
      <c r="AI32" s="122"/>
      <c r="AJ32" s="122"/>
      <c r="AK32" s="122">
        <v>1</v>
      </c>
      <c r="AL32" s="122">
        <v>1</v>
      </c>
      <c r="AM32" s="122">
        <v>1</v>
      </c>
      <c r="AN32" s="123">
        <f t="shared" si="0"/>
        <v>14.125</v>
      </c>
      <c r="AO32" s="119">
        <v>190000</v>
      </c>
      <c r="AP32" s="124">
        <f t="shared" si="1"/>
        <v>2683750</v>
      </c>
    </row>
    <row r="33" spans="1:42" ht="24.95" customHeight="1">
      <c r="A33" s="125">
        <v>28</v>
      </c>
      <c r="B33" s="117" t="s">
        <v>607</v>
      </c>
      <c r="C33" s="118" t="s">
        <v>608</v>
      </c>
      <c r="D33" s="126" t="s">
        <v>498</v>
      </c>
      <c r="E33" s="118" t="s">
        <v>609</v>
      </c>
      <c r="F33" s="127" t="s">
        <v>488</v>
      </c>
      <c r="G33" s="120" t="s">
        <v>607</v>
      </c>
      <c r="H33" s="121" t="s">
        <v>610</v>
      </c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>
        <v>0.625</v>
      </c>
      <c r="X33" s="122"/>
      <c r="Y33" s="122">
        <v>1</v>
      </c>
      <c r="Z33" s="122">
        <v>1</v>
      </c>
      <c r="AA33" s="122">
        <v>1</v>
      </c>
      <c r="AB33" s="122"/>
      <c r="AC33" s="122"/>
      <c r="AD33" s="122">
        <v>1</v>
      </c>
      <c r="AE33" s="122">
        <v>1</v>
      </c>
      <c r="AF33" s="122">
        <v>1</v>
      </c>
      <c r="AG33" s="122"/>
      <c r="AH33" s="122">
        <v>1</v>
      </c>
      <c r="AI33" s="122"/>
      <c r="AJ33" s="122"/>
      <c r="AK33" s="122">
        <v>1</v>
      </c>
      <c r="AL33" s="122">
        <v>1</v>
      </c>
      <c r="AM33" s="122">
        <v>1</v>
      </c>
      <c r="AN33" s="123">
        <f t="shared" si="0"/>
        <v>10.625</v>
      </c>
      <c r="AO33" s="119">
        <v>160000</v>
      </c>
      <c r="AP33" s="124">
        <f t="shared" si="1"/>
        <v>1700000</v>
      </c>
    </row>
    <row r="34" spans="1:42" ht="24.95" customHeight="1">
      <c r="A34" s="116">
        <v>29</v>
      </c>
      <c r="B34" s="117" t="s">
        <v>611</v>
      </c>
      <c r="C34" s="118" t="s">
        <v>612</v>
      </c>
      <c r="D34" s="128" t="s">
        <v>536</v>
      </c>
      <c r="E34" s="118" t="s">
        <v>613</v>
      </c>
      <c r="F34" s="127" t="s">
        <v>523</v>
      </c>
      <c r="G34" s="120" t="s">
        <v>611</v>
      </c>
      <c r="H34" s="121" t="s">
        <v>614</v>
      </c>
      <c r="I34" s="122">
        <v>1</v>
      </c>
      <c r="J34" s="122">
        <v>1</v>
      </c>
      <c r="K34" s="122">
        <v>1</v>
      </c>
      <c r="L34" s="122">
        <v>1</v>
      </c>
      <c r="M34" s="122">
        <v>1</v>
      </c>
      <c r="N34" s="122"/>
      <c r="O34" s="122"/>
      <c r="P34" s="122">
        <v>1</v>
      </c>
      <c r="Q34" s="122">
        <v>1</v>
      </c>
      <c r="R34" s="122">
        <v>1</v>
      </c>
      <c r="S34" s="122">
        <v>1</v>
      </c>
      <c r="T34" s="122">
        <v>1</v>
      </c>
      <c r="U34" s="122"/>
      <c r="V34" s="122"/>
      <c r="W34" s="122">
        <v>1</v>
      </c>
      <c r="X34" s="122">
        <v>1</v>
      </c>
      <c r="Y34" s="122">
        <v>1</v>
      </c>
      <c r="Z34" s="122">
        <v>1</v>
      </c>
      <c r="AA34" s="122">
        <v>1</v>
      </c>
      <c r="AB34" s="122"/>
      <c r="AC34" s="122"/>
      <c r="AD34" s="122">
        <v>1</v>
      </c>
      <c r="AE34" s="122">
        <v>1</v>
      </c>
      <c r="AF34" s="122">
        <v>1</v>
      </c>
      <c r="AG34" s="122"/>
      <c r="AH34" s="122">
        <v>0.5</v>
      </c>
      <c r="AI34" s="122"/>
      <c r="AJ34" s="122"/>
      <c r="AK34" s="122"/>
      <c r="AL34" s="122"/>
      <c r="AM34" s="122"/>
      <c r="AN34" s="123">
        <f t="shared" si="0"/>
        <v>18.5</v>
      </c>
      <c r="AO34" s="119">
        <v>190000</v>
      </c>
      <c r="AP34" s="124">
        <f t="shared" si="1"/>
        <v>3515000</v>
      </c>
    </row>
    <row r="35" spans="1:42" ht="24.95" customHeight="1">
      <c r="A35" s="125">
        <v>30</v>
      </c>
      <c r="B35" s="117" t="s">
        <v>615</v>
      </c>
      <c r="C35" s="118" t="s">
        <v>616</v>
      </c>
      <c r="D35" s="128" t="s">
        <v>498</v>
      </c>
      <c r="E35" s="118" t="s">
        <v>617</v>
      </c>
      <c r="F35" s="127" t="s">
        <v>592</v>
      </c>
      <c r="G35" s="120" t="s">
        <v>615</v>
      </c>
      <c r="H35" s="121" t="s">
        <v>618</v>
      </c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>
        <v>0.625</v>
      </c>
      <c r="X35" s="122"/>
      <c r="Y35" s="122">
        <v>1</v>
      </c>
      <c r="Z35" s="122">
        <v>1</v>
      </c>
      <c r="AA35" s="122">
        <v>1</v>
      </c>
      <c r="AB35" s="122"/>
      <c r="AC35" s="122"/>
      <c r="AD35" s="122">
        <v>1</v>
      </c>
      <c r="AE35" s="122">
        <v>1</v>
      </c>
      <c r="AF35" s="122">
        <v>1</v>
      </c>
      <c r="AG35" s="122"/>
      <c r="AH35" s="122">
        <v>1</v>
      </c>
      <c r="AI35" s="122"/>
      <c r="AJ35" s="122"/>
      <c r="AK35" s="122">
        <v>1</v>
      </c>
      <c r="AL35" s="122">
        <v>1</v>
      </c>
      <c r="AM35" s="122">
        <v>1</v>
      </c>
      <c r="AN35" s="123">
        <f t="shared" si="0"/>
        <v>10.625</v>
      </c>
      <c r="AO35" s="119">
        <v>200000</v>
      </c>
      <c r="AP35" s="124">
        <f t="shared" si="1"/>
        <v>2125000</v>
      </c>
    </row>
    <row r="36" spans="1:42" ht="24.95" customHeight="1">
      <c r="A36" s="116">
        <v>31</v>
      </c>
      <c r="B36" s="117" t="s">
        <v>619</v>
      </c>
      <c r="C36" s="118" t="s">
        <v>620</v>
      </c>
      <c r="D36" s="128" t="s">
        <v>498</v>
      </c>
      <c r="E36" s="118" t="s">
        <v>621</v>
      </c>
      <c r="F36" s="127" t="s">
        <v>488</v>
      </c>
      <c r="G36" s="120" t="s">
        <v>619</v>
      </c>
      <c r="H36" s="121" t="s">
        <v>622</v>
      </c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>
        <v>0.625</v>
      </c>
      <c r="X36" s="122"/>
      <c r="Y36" s="122">
        <v>1</v>
      </c>
      <c r="Z36" s="122">
        <v>1</v>
      </c>
      <c r="AA36" s="122">
        <v>1</v>
      </c>
      <c r="AB36" s="122"/>
      <c r="AC36" s="122"/>
      <c r="AD36" s="122">
        <v>1</v>
      </c>
      <c r="AE36" s="122">
        <v>1</v>
      </c>
      <c r="AF36" s="122">
        <v>0.875</v>
      </c>
      <c r="AG36" s="122"/>
      <c r="AH36" s="122">
        <v>1</v>
      </c>
      <c r="AI36" s="122">
        <v>1</v>
      </c>
      <c r="AJ36" s="122"/>
      <c r="AK36" s="122">
        <v>1</v>
      </c>
      <c r="AL36" s="122">
        <v>1</v>
      </c>
      <c r="AM36" s="122">
        <v>1</v>
      </c>
      <c r="AN36" s="123">
        <f t="shared" si="0"/>
        <v>11.5</v>
      </c>
      <c r="AO36" s="119">
        <v>150000</v>
      </c>
      <c r="AP36" s="124">
        <f t="shared" si="1"/>
        <v>1725000</v>
      </c>
    </row>
    <row r="37" spans="1:42" ht="24.95" customHeight="1">
      <c r="A37" s="125">
        <v>32</v>
      </c>
      <c r="B37" s="117" t="s">
        <v>623</v>
      </c>
      <c r="C37" s="118" t="s">
        <v>624</v>
      </c>
      <c r="D37" s="126" t="s">
        <v>498</v>
      </c>
      <c r="E37" s="118" t="s">
        <v>625</v>
      </c>
      <c r="F37" s="127" t="s">
        <v>547</v>
      </c>
      <c r="G37" s="120" t="s">
        <v>623</v>
      </c>
      <c r="H37" s="121" t="s">
        <v>626</v>
      </c>
      <c r="I37" s="122">
        <v>1</v>
      </c>
      <c r="J37" s="122"/>
      <c r="K37" s="122">
        <v>1</v>
      </c>
      <c r="L37" s="122">
        <v>1</v>
      </c>
      <c r="M37" s="122">
        <v>1</v>
      </c>
      <c r="N37" s="122"/>
      <c r="O37" s="122"/>
      <c r="P37" s="122">
        <v>1</v>
      </c>
      <c r="Q37" s="122">
        <v>1</v>
      </c>
      <c r="R37" s="122">
        <v>1</v>
      </c>
      <c r="S37" s="122">
        <v>1</v>
      </c>
      <c r="T37" s="122">
        <v>1</v>
      </c>
      <c r="U37" s="122"/>
      <c r="V37" s="122"/>
      <c r="W37" s="122">
        <v>1</v>
      </c>
      <c r="X37" s="122">
        <v>1</v>
      </c>
      <c r="Y37" s="122">
        <v>1</v>
      </c>
      <c r="Z37" s="122">
        <v>1</v>
      </c>
      <c r="AA37" s="122">
        <v>1</v>
      </c>
      <c r="AB37" s="122"/>
      <c r="AC37" s="122"/>
      <c r="AD37" s="122">
        <v>1</v>
      </c>
      <c r="AE37" s="122">
        <v>1</v>
      </c>
      <c r="AF37" s="122">
        <v>1</v>
      </c>
      <c r="AG37" s="122"/>
      <c r="AH37" s="122">
        <v>1</v>
      </c>
      <c r="AI37" s="122">
        <v>1</v>
      </c>
      <c r="AJ37" s="122"/>
      <c r="AK37" s="122">
        <v>1</v>
      </c>
      <c r="AL37" s="122">
        <v>1</v>
      </c>
      <c r="AM37" s="122">
        <v>1</v>
      </c>
      <c r="AN37" s="123">
        <f t="shared" si="0"/>
        <v>22</v>
      </c>
      <c r="AO37" s="119">
        <v>150000</v>
      </c>
      <c r="AP37" s="124">
        <f t="shared" si="1"/>
        <v>3300000</v>
      </c>
    </row>
    <row r="38" spans="1:42" ht="24.95" customHeight="1">
      <c r="A38" s="116">
        <v>33</v>
      </c>
      <c r="B38" s="117" t="s">
        <v>627</v>
      </c>
      <c r="C38" s="118" t="s">
        <v>628</v>
      </c>
      <c r="D38" s="126" t="s">
        <v>498</v>
      </c>
      <c r="E38" s="118" t="s">
        <v>629</v>
      </c>
      <c r="F38" s="127" t="s">
        <v>630</v>
      </c>
      <c r="G38" s="120" t="s">
        <v>627</v>
      </c>
      <c r="H38" s="121" t="s">
        <v>631</v>
      </c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>
        <v>0.625</v>
      </c>
      <c r="X38" s="122"/>
      <c r="Y38" s="122">
        <v>1</v>
      </c>
      <c r="Z38" s="122">
        <v>1</v>
      </c>
      <c r="AA38" s="122">
        <v>1</v>
      </c>
      <c r="AB38" s="122"/>
      <c r="AC38" s="122"/>
      <c r="AD38" s="122"/>
      <c r="AE38" s="122">
        <v>1</v>
      </c>
      <c r="AF38" s="122">
        <v>1</v>
      </c>
      <c r="AG38" s="122"/>
      <c r="AH38" s="122">
        <v>0.25</v>
      </c>
      <c r="AI38" s="122"/>
      <c r="AJ38" s="122"/>
      <c r="AK38" s="122">
        <v>1</v>
      </c>
      <c r="AL38" s="122">
        <v>1</v>
      </c>
      <c r="AM38" s="122">
        <v>1</v>
      </c>
      <c r="AN38" s="123">
        <f t="shared" si="0"/>
        <v>8.875</v>
      </c>
      <c r="AO38" s="119">
        <v>150000</v>
      </c>
      <c r="AP38" s="124">
        <f t="shared" si="1"/>
        <v>1331250</v>
      </c>
    </row>
    <row r="39" spans="1:42" ht="24.95" customHeight="1">
      <c r="A39" s="125">
        <v>34</v>
      </c>
      <c r="B39" s="117" t="s">
        <v>632</v>
      </c>
      <c r="C39" s="118" t="s">
        <v>633</v>
      </c>
      <c r="D39" s="128" t="s">
        <v>498</v>
      </c>
      <c r="E39" s="118" t="s">
        <v>634</v>
      </c>
      <c r="F39" s="127" t="s">
        <v>494</v>
      </c>
      <c r="G39" s="120" t="s">
        <v>632</v>
      </c>
      <c r="H39" s="121" t="s">
        <v>635</v>
      </c>
      <c r="I39" s="122">
        <v>1</v>
      </c>
      <c r="J39" s="122">
        <v>1</v>
      </c>
      <c r="K39" s="122">
        <v>1</v>
      </c>
      <c r="L39" s="122">
        <v>1</v>
      </c>
      <c r="M39" s="122">
        <v>1</v>
      </c>
      <c r="N39" s="122"/>
      <c r="O39" s="122"/>
      <c r="P39" s="122">
        <v>1</v>
      </c>
      <c r="Q39" s="122">
        <v>1</v>
      </c>
      <c r="R39" s="122">
        <v>1</v>
      </c>
      <c r="S39" s="122">
        <v>1</v>
      </c>
      <c r="T39" s="122">
        <v>1</v>
      </c>
      <c r="U39" s="122"/>
      <c r="V39" s="122"/>
      <c r="W39" s="122">
        <v>1</v>
      </c>
      <c r="X39" s="122">
        <v>1</v>
      </c>
      <c r="Y39" s="122">
        <v>1</v>
      </c>
      <c r="Z39" s="122">
        <v>1</v>
      </c>
      <c r="AA39" s="122">
        <v>1</v>
      </c>
      <c r="AB39" s="122"/>
      <c r="AC39" s="122"/>
      <c r="AD39" s="122">
        <v>1</v>
      </c>
      <c r="AE39" s="122">
        <v>1</v>
      </c>
      <c r="AF39" s="122">
        <v>1</v>
      </c>
      <c r="AG39" s="122"/>
      <c r="AH39" s="122">
        <v>1</v>
      </c>
      <c r="AI39" s="122">
        <v>1</v>
      </c>
      <c r="AJ39" s="122"/>
      <c r="AK39" s="122">
        <v>1</v>
      </c>
      <c r="AL39" s="122">
        <v>1</v>
      </c>
      <c r="AM39" s="122">
        <v>1</v>
      </c>
      <c r="AN39" s="123">
        <f t="shared" si="0"/>
        <v>23</v>
      </c>
      <c r="AO39" s="119">
        <v>150000</v>
      </c>
      <c r="AP39" s="124">
        <f t="shared" si="1"/>
        <v>3450000</v>
      </c>
    </row>
    <row r="40" spans="1:42" ht="24.95" customHeight="1">
      <c r="A40" s="116">
        <v>35</v>
      </c>
      <c r="B40" s="117" t="s">
        <v>636</v>
      </c>
      <c r="C40" s="118" t="s">
        <v>637</v>
      </c>
      <c r="D40" s="126" t="s">
        <v>498</v>
      </c>
      <c r="E40" s="118" t="s">
        <v>638</v>
      </c>
      <c r="F40" s="127" t="s">
        <v>488</v>
      </c>
      <c r="G40" s="120" t="s">
        <v>636</v>
      </c>
      <c r="H40" s="121" t="s">
        <v>639</v>
      </c>
      <c r="I40" s="122"/>
      <c r="J40" s="122"/>
      <c r="K40" s="122"/>
      <c r="L40" s="122"/>
      <c r="M40" s="122"/>
      <c r="N40" s="122"/>
      <c r="O40" s="122"/>
      <c r="P40" s="122">
        <v>0.625</v>
      </c>
      <c r="Q40" s="122"/>
      <c r="R40" s="122">
        <v>1</v>
      </c>
      <c r="S40" s="122">
        <v>1</v>
      </c>
      <c r="T40" s="122">
        <v>1</v>
      </c>
      <c r="U40" s="122"/>
      <c r="V40" s="122"/>
      <c r="W40" s="122">
        <v>1</v>
      </c>
      <c r="X40" s="122">
        <v>1</v>
      </c>
      <c r="Y40" s="122">
        <v>1</v>
      </c>
      <c r="Z40" s="122">
        <v>1</v>
      </c>
      <c r="AA40" s="122">
        <v>1</v>
      </c>
      <c r="AB40" s="122"/>
      <c r="AC40" s="122"/>
      <c r="AD40" s="122">
        <v>1</v>
      </c>
      <c r="AE40" s="122">
        <v>1</v>
      </c>
      <c r="AF40" s="122">
        <v>1</v>
      </c>
      <c r="AG40" s="122"/>
      <c r="AH40" s="122">
        <v>1</v>
      </c>
      <c r="AI40" s="122"/>
      <c r="AJ40" s="122"/>
      <c r="AK40" s="122">
        <v>1</v>
      </c>
      <c r="AL40" s="122">
        <v>1</v>
      </c>
      <c r="AM40" s="122">
        <v>1</v>
      </c>
      <c r="AN40" s="123">
        <f t="shared" si="0"/>
        <v>15.625</v>
      </c>
      <c r="AO40" s="119">
        <v>160000</v>
      </c>
      <c r="AP40" s="124">
        <f t="shared" si="1"/>
        <v>2500000</v>
      </c>
    </row>
    <row r="41" spans="1:42" ht="24.95" customHeight="1">
      <c r="A41" s="125">
        <v>36</v>
      </c>
      <c r="B41" s="117" t="s">
        <v>640</v>
      </c>
      <c r="C41" s="118" t="s">
        <v>641</v>
      </c>
      <c r="D41" s="128" t="s">
        <v>521</v>
      </c>
      <c r="E41" s="118" t="s">
        <v>642</v>
      </c>
      <c r="F41" s="127" t="s">
        <v>488</v>
      </c>
      <c r="G41" s="120" t="s">
        <v>640</v>
      </c>
      <c r="H41" s="121" t="s">
        <v>643</v>
      </c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>
        <v>0.875</v>
      </c>
      <c r="X41" s="122"/>
      <c r="Y41" s="122">
        <v>1</v>
      </c>
      <c r="Z41" s="122">
        <v>1</v>
      </c>
      <c r="AA41" s="122">
        <v>1</v>
      </c>
      <c r="AB41" s="122"/>
      <c r="AC41" s="122"/>
      <c r="AD41" s="122">
        <v>1</v>
      </c>
      <c r="AE41" s="122">
        <v>1</v>
      </c>
      <c r="AF41" s="122">
        <v>1</v>
      </c>
      <c r="AG41" s="122"/>
      <c r="AH41" s="122">
        <v>1</v>
      </c>
      <c r="AI41" s="122">
        <v>1</v>
      </c>
      <c r="AJ41" s="122"/>
      <c r="AK41" s="122">
        <v>1</v>
      </c>
      <c r="AL41" s="122">
        <v>1</v>
      </c>
      <c r="AM41" s="122">
        <v>1</v>
      </c>
      <c r="AN41" s="123">
        <f t="shared" si="0"/>
        <v>11.875</v>
      </c>
      <c r="AO41" s="119">
        <v>230000</v>
      </c>
      <c r="AP41" s="124">
        <f t="shared" si="1"/>
        <v>2731250</v>
      </c>
    </row>
    <row r="42" spans="1:42" ht="24.95" customHeight="1">
      <c r="A42" s="116">
        <v>37</v>
      </c>
      <c r="B42" s="117" t="s">
        <v>644</v>
      </c>
      <c r="C42" s="118" t="s">
        <v>645</v>
      </c>
      <c r="D42" s="128" t="s">
        <v>498</v>
      </c>
      <c r="E42" s="118" t="s">
        <v>646</v>
      </c>
      <c r="F42" s="127" t="s">
        <v>500</v>
      </c>
      <c r="G42" s="120" t="s">
        <v>644</v>
      </c>
      <c r="H42" s="121" t="s">
        <v>647</v>
      </c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>
        <v>0.625</v>
      </c>
      <c r="X42" s="122"/>
      <c r="Y42" s="122">
        <v>1</v>
      </c>
      <c r="Z42" s="122">
        <v>1</v>
      </c>
      <c r="AA42" s="122">
        <v>1</v>
      </c>
      <c r="AB42" s="122"/>
      <c r="AC42" s="122"/>
      <c r="AD42" s="122">
        <v>1</v>
      </c>
      <c r="AE42" s="122">
        <v>1</v>
      </c>
      <c r="AF42" s="122">
        <v>1</v>
      </c>
      <c r="AG42" s="122"/>
      <c r="AH42" s="122">
        <v>1</v>
      </c>
      <c r="AI42" s="122"/>
      <c r="AJ42" s="122"/>
      <c r="AK42" s="122">
        <v>1</v>
      </c>
      <c r="AL42" s="122">
        <v>1</v>
      </c>
      <c r="AM42" s="122">
        <v>1</v>
      </c>
      <c r="AN42" s="123">
        <f t="shared" si="0"/>
        <v>10.625</v>
      </c>
      <c r="AO42" s="119">
        <v>180000</v>
      </c>
      <c r="AP42" s="124">
        <f t="shared" si="1"/>
        <v>1912500</v>
      </c>
    </row>
    <row r="43" spans="1:42" ht="24.95" customHeight="1">
      <c r="A43" s="125">
        <v>38</v>
      </c>
      <c r="B43" s="117" t="s">
        <v>648</v>
      </c>
      <c r="C43" s="118" t="s">
        <v>649</v>
      </c>
      <c r="D43" s="128" t="s">
        <v>492</v>
      </c>
      <c r="E43" s="118" t="s">
        <v>650</v>
      </c>
      <c r="F43" s="127" t="s">
        <v>494</v>
      </c>
      <c r="G43" s="120" t="s">
        <v>648</v>
      </c>
      <c r="H43" s="121" t="s">
        <v>651</v>
      </c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>
        <v>0.875</v>
      </c>
      <c r="X43" s="122"/>
      <c r="Y43" s="122">
        <v>1</v>
      </c>
      <c r="Z43" s="122">
        <v>0.875</v>
      </c>
      <c r="AA43" s="122">
        <v>1</v>
      </c>
      <c r="AB43" s="122"/>
      <c r="AC43" s="122"/>
      <c r="AD43" s="122">
        <v>1</v>
      </c>
      <c r="AE43" s="122">
        <v>1</v>
      </c>
      <c r="AF43" s="122">
        <v>1</v>
      </c>
      <c r="AG43" s="122"/>
      <c r="AH43" s="122">
        <v>1</v>
      </c>
      <c r="AI43" s="122"/>
      <c r="AJ43" s="122"/>
      <c r="AK43" s="122">
        <v>1</v>
      </c>
      <c r="AL43" s="122">
        <v>1</v>
      </c>
      <c r="AM43" s="122">
        <v>1</v>
      </c>
      <c r="AN43" s="123">
        <f t="shared" si="0"/>
        <v>10.75</v>
      </c>
      <c r="AO43" s="119">
        <v>230000</v>
      </c>
      <c r="AP43" s="124">
        <f t="shared" si="1"/>
        <v>2472500</v>
      </c>
    </row>
    <row r="44" spans="1:42" ht="24.95" customHeight="1">
      <c r="A44" s="116">
        <v>39</v>
      </c>
      <c r="B44" s="117" t="s">
        <v>652</v>
      </c>
      <c r="C44" s="118" t="s">
        <v>653</v>
      </c>
      <c r="D44" s="126" t="s">
        <v>492</v>
      </c>
      <c r="E44" s="118" t="s">
        <v>654</v>
      </c>
      <c r="F44" s="127" t="s">
        <v>494</v>
      </c>
      <c r="G44" s="120" t="s">
        <v>652</v>
      </c>
      <c r="H44" s="121" t="s">
        <v>655</v>
      </c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>
        <v>0.875</v>
      </c>
      <c r="X44" s="122">
        <v>0.5</v>
      </c>
      <c r="Y44" s="122">
        <v>1</v>
      </c>
      <c r="Z44" s="122">
        <v>1</v>
      </c>
      <c r="AA44" s="122">
        <v>1</v>
      </c>
      <c r="AB44" s="122"/>
      <c r="AC44" s="122"/>
      <c r="AD44" s="122"/>
      <c r="AE44" s="122">
        <v>1</v>
      </c>
      <c r="AF44" s="122">
        <v>1</v>
      </c>
      <c r="AG44" s="122"/>
      <c r="AH44" s="122">
        <v>1</v>
      </c>
      <c r="AI44" s="122"/>
      <c r="AJ44" s="122"/>
      <c r="AK44" s="122">
        <v>1</v>
      </c>
      <c r="AL44" s="122">
        <v>1</v>
      </c>
      <c r="AM44" s="122">
        <v>1</v>
      </c>
      <c r="AN44" s="123">
        <f t="shared" si="0"/>
        <v>10.375</v>
      </c>
      <c r="AO44" s="119">
        <v>240000</v>
      </c>
      <c r="AP44" s="124">
        <f t="shared" si="1"/>
        <v>2490000</v>
      </c>
    </row>
    <row r="45" spans="1:42" ht="24.95" customHeight="1">
      <c r="A45" s="125">
        <v>40</v>
      </c>
      <c r="B45" s="117" t="s">
        <v>656</v>
      </c>
      <c r="C45" s="118" t="s">
        <v>657</v>
      </c>
      <c r="D45" s="126" t="s">
        <v>498</v>
      </c>
      <c r="E45" s="118" t="s">
        <v>658</v>
      </c>
      <c r="F45" s="127" t="s">
        <v>494</v>
      </c>
      <c r="G45" s="120" t="s">
        <v>656</v>
      </c>
      <c r="H45" s="121" t="s">
        <v>659</v>
      </c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>
        <v>0.625</v>
      </c>
      <c r="X45" s="122"/>
      <c r="Y45" s="122">
        <v>1</v>
      </c>
      <c r="Z45" s="122">
        <v>1</v>
      </c>
      <c r="AA45" s="122">
        <v>0.875</v>
      </c>
      <c r="AB45" s="122"/>
      <c r="AC45" s="122"/>
      <c r="AD45" s="122"/>
      <c r="AE45" s="122">
        <v>1</v>
      </c>
      <c r="AF45" s="122">
        <v>1</v>
      </c>
      <c r="AG45" s="122"/>
      <c r="AH45" s="122">
        <v>1</v>
      </c>
      <c r="AI45" s="122"/>
      <c r="AJ45" s="122"/>
      <c r="AK45" s="122">
        <v>1</v>
      </c>
      <c r="AL45" s="122">
        <v>1</v>
      </c>
      <c r="AM45" s="122">
        <v>1</v>
      </c>
      <c r="AN45" s="123">
        <f t="shared" si="0"/>
        <v>9.5</v>
      </c>
      <c r="AO45" s="119">
        <v>150000</v>
      </c>
      <c r="AP45" s="124">
        <f t="shared" si="1"/>
        <v>1425000</v>
      </c>
    </row>
    <row r="46" spans="1:42" ht="24.95" customHeight="1">
      <c r="A46" s="116">
        <v>41</v>
      </c>
      <c r="B46" s="117" t="s">
        <v>660</v>
      </c>
      <c r="C46" s="118" t="s">
        <v>661</v>
      </c>
      <c r="D46" s="128" t="s">
        <v>498</v>
      </c>
      <c r="E46" s="118" t="s">
        <v>662</v>
      </c>
      <c r="F46" s="127" t="s">
        <v>488</v>
      </c>
      <c r="G46" s="120" t="s">
        <v>660</v>
      </c>
      <c r="H46" s="121" t="s">
        <v>663</v>
      </c>
      <c r="I46" s="122">
        <v>1</v>
      </c>
      <c r="J46" s="122">
        <v>1</v>
      </c>
      <c r="K46" s="122">
        <v>1</v>
      </c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3">
        <f t="shared" si="0"/>
        <v>3</v>
      </c>
      <c r="AO46" s="119">
        <v>140000</v>
      </c>
      <c r="AP46" s="124">
        <f t="shared" si="1"/>
        <v>420000</v>
      </c>
    </row>
    <row r="47" spans="1:42" ht="24.95" customHeight="1">
      <c r="A47" s="125">
        <v>42</v>
      </c>
      <c r="B47" s="117" t="s">
        <v>664</v>
      </c>
      <c r="C47" s="118" t="s">
        <v>665</v>
      </c>
      <c r="D47" s="126" t="s">
        <v>498</v>
      </c>
      <c r="E47" s="118" t="s">
        <v>666</v>
      </c>
      <c r="F47" s="127" t="s">
        <v>523</v>
      </c>
      <c r="G47" s="120" t="s">
        <v>664</v>
      </c>
      <c r="H47" s="121" t="s">
        <v>667</v>
      </c>
      <c r="I47" s="122"/>
      <c r="J47" s="122"/>
      <c r="K47" s="122"/>
      <c r="L47" s="122"/>
      <c r="M47" s="122"/>
      <c r="N47" s="122"/>
      <c r="O47" s="122"/>
      <c r="P47" s="122">
        <v>0.625</v>
      </c>
      <c r="Q47" s="122"/>
      <c r="R47" s="122">
        <v>1</v>
      </c>
      <c r="S47" s="122">
        <v>1</v>
      </c>
      <c r="T47" s="122">
        <v>1</v>
      </c>
      <c r="U47" s="122"/>
      <c r="V47" s="122"/>
      <c r="W47" s="122">
        <v>1</v>
      </c>
      <c r="X47" s="122">
        <v>1</v>
      </c>
      <c r="Y47" s="122">
        <v>1</v>
      </c>
      <c r="Z47" s="122">
        <v>1</v>
      </c>
      <c r="AA47" s="122">
        <v>1</v>
      </c>
      <c r="AB47" s="122"/>
      <c r="AC47" s="122"/>
      <c r="AD47" s="122">
        <v>1</v>
      </c>
      <c r="AE47" s="122">
        <v>1</v>
      </c>
      <c r="AF47" s="122">
        <v>1</v>
      </c>
      <c r="AG47" s="122"/>
      <c r="AH47" s="122">
        <v>1</v>
      </c>
      <c r="AI47" s="122"/>
      <c r="AJ47" s="122"/>
      <c r="AK47" s="122">
        <v>1</v>
      </c>
      <c r="AL47" s="122">
        <v>1</v>
      </c>
      <c r="AM47" s="122">
        <v>1</v>
      </c>
      <c r="AN47" s="123">
        <f t="shared" si="0"/>
        <v>15.625</v>
      </c>
      <c r="AO47" s="119">
        <v>150000</v>
      </c>
      <c r="AP47" s="124">
        <f t="shared" si="1"/>
        <v>2343750</v>
      </c>
    </row>
    <row r="48" spans="1:42" ht="24.95" customHeight="1">
      <c r="A48" s="116">
        <v>43</v>
      </c>
      <c r="B48" s="117" t="s">
        <v>668</v>
      </c>
      <c r="C48" s="118" t="s">
        <v>669</v>
      </c>
      <c r="D48" s="128" t="s">
        <v>521</v>
      </c>
      <c r="E48" s="118" t="s">
        <v>670</v>
      </c>
      <c r="F48" s="127" t="s">
        <v>488</v>
      </c>
      <c r="G48" s="120" t="s">
        <v>668</v>
      </c>
      <c r="H48" s="121">
        <v>129202006630</v>
      </c>
      <c r="I48" s="122"/>
      <c r="J48" s="122"/>
      <c r="K48" s="122"/>
      <c r="L48" s="122"/>
      <c r="M48" s="122"/>
      <c r="N48" s="122"/>
      <c r="O48" s="122"/>
      <c r="P48" s="122">
        <v>0.875</v>
      </c>
      <c r="Q48" s="122"/>
      <c r="R48" s="122">
        <v>1</v>
      </c>
      <c r="S48" s="122">
        <v>1</v>
      </c>
      <c r="T48" s="122">
        <v>1</v>
      </c>
      <c r="U48" s="122"/>
      <c r="V48" s="122"/>
      <c r="W48" s="122">
        <v>1</v>
      </c>
      <c r="X48" s="122">
        <v>1</v>
      </c>
      <c r="Y48" s="122">
        <v>1</v>
      </c>
      <c r="Z48" s="122">
        <v>1</v>
      </c>
      <c r="AA48" s="122">
        <v>1</v>
      </c>
      <c r="AB48" s="122"/>
      <c r="AC48" s="122"/>
      <c r="AD48" s="122">
        <v>1</v>
      </c>
      <c r="AE48" s="122">
        <v>1</v>
      </c>
      <c r="AF48" s="122">
        <v>1</v>
      </c>
      <c r="AG48" s="122"/>
      <c r="AH48" s="122">
        <v>1</v>
      </c>
      <c r="AI48" s="122">
        <v>1</v>
      </c>
      <c r="AJ48" s="122"/>
      <c r="AK48" s="122">
        <v>1</v>
      </c>
      <c r="AL48" s="122">
        <v>1</v>
      </c>
      <c r="AM48" s="122">
        <v>1</v>
      </c>
      <c r="AN48" s="123">
        <f t="shared" si="0"/>
        <v>16.875</v>
      </c>
      <c r="AO48" s="119">
        <v>200000</v>
      </c>
      <c r="AP48" s="124">
        <f t="shared" si="1"/>
        <v>3375000</v>
      </c>
    </row>
    <row r="49" spans="1:42" ht="24.95" customHeight="1">
      <c r="A49" s="125">
        <v>44</v>
      </c>
      <c r="B49" s="117" t="s">
        <v>671</v>
      </c>
      <c r="C49" s="118" t="s">
        <v>672</v>
      </c>
      <c r="D49" s="128" t="s">
        <v>498</v>
      </c>
      <c r="E49" s="118" t="s">
        <v>673</v>
      </c>
      <c r="F49" s="127" t="s">
        <v>523</v>
      </c>
      <c r="G49" s="120" t="s">
        <v>671</v>
      </c>
      <c r="H49" s="121" t="s">
        <v>674</v>
      </c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>
        <v>0.625</v>
      </c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3">
        <f t="shared" si="0"/>
        <v>0.625</v>
      </c>
      <c r="AO49" s="119">
        <v>150000</v>
      </c>
      <c r="AP49" s="124">
        <f t="shared" si="1"/>
        <v>93750</v>
      </c>
    </row>
    <row r="50" spans="1:42" ht="24.95" customHeight="1">
      <c r="A50" s="116">
        <v>45</v>
      </c>
      <c r="B50" s="117" t="s">
        <v>675</v>
      </c>
      <c r="C50" s="118" t="s">
        <v>676</v>
      </c>
      <c r="D50" s="128" t="s">
        <v>498</v>
      </c>
      <c r="E50" s="118" t="s">
        <v>677</v>
      </c>
      <c r="F50" s="127" t="s">
        <v>488</v>
      </c>
      <c r="G50" s="120" t="s">
        <v>675</v>
      </c>
      <c r="H50" s="121" t="s">
        <v>678</v>
      </c>
      <c r="I50" s="122"/>
      <c r="J50" s="122"/>
      <c r="K50" s="122"/>
      <c r="L50" s="122"/>
      <c r="M50" s="122"/>
      <c r="N50" s="122"/>
      <c r="O50" s="122"/>
      <c r="P50" s="122">
        <v>0.625</v>
      </c>
      <c r="Q50" s="122"/>
      <c r="R50" s="122">
        <v>1</v>
      </c>
      <c r="S50" s="122">
        <v>1</v>
      </c>
      <c r="T50" s="122">
        <v>1</v>
      </c>
      <c r="U50" s="122"/>
      <c r="V50" s="122"/>
      <c r="W50" s="122">
        <v>1</v>
      </c>
      <c r="X50" s="122">
        <v>1</v>
      </c>
      <c r="Y50" s="122">
        <v>1</v>
      </c>
      <c r="Z50" s="122">
        <v>1</v>
      </c>
      <c r="AA50" s="122">
        <v>1</v>
      </c>
      <c r="AB50" s="122"/>
      <c r="AC50" s="122"/>
      <c r="AD50" s="122">
        <v>1</v>
      </c>
      <c r="AE50" s="122">
        <v>1</v>
      </c>
      <c r="AF50" s="122">
        <v>1</v>
      </c>
      <c r="AG50" s="122"/>
      <c r="AH50" s="122">
        <v>1</v>
      </c>
      <c r="AI50" s="122">
        <v>1</v>
      </c>
      <c r="AJ50" s="122"/>
      <c r="AK50" s="122">
        <v>1</v>
      </c>
      <c r="AL50" s="122">
        <v>1</v>
      </c>
      <c r="AM50" s="122">
        <v>1</v>
      </c>
      <c r="AN50" s="123">
        <f t="shared" si="0"/>
        <v>16.625</v>
      </c>
      <c r="AO50" s="119">
        <v>160000</v>
      </c>
      <c r="AP50" s="124">
        <f t="shared" si="1"/>
        <v>2660000</v>
      </c>
    </row>
    <row r="51" spans="1:42" ht="24.95" customHeight="1">
      <c r="A51" s="125">
        <v>46</v>
      </c>
      <c r="B51" s="117" t="s">
        <v>679</v>
      </c>
      <c r="C51" s="118" t="s">
        <v>680</v>
      </c>
      <c r="D51" s="126" t="s">
        <v>492</v>
      </c>
      <c r="E51" s="118" t="s">
        <v>681</v>
      </c>
      <c r="F51" s="127" t="s">
        <v>500</v>
      </c>
      <c r="G51" s="120" t="s">
        <v>679</v>
      </c>
      <c r="H51" s="121" t="s">
        <v>682</v>
      </c>
      <c r="I51" s="122"/>
      <c r="J51" s="122"/>
      <c r="K51" s="122"/>
      <c r="L51" s="122"/>
      <c r="M51" s="122"/>
      <c r="N51" s="122"/>
      <c r="O51" s="122"/>
      <c r="P51" s="122">
        <v>0.875</v>
      </c>
      <c r="Q51" s="122"/>
      <c r="R51" s="122">
        <v>1</v>
      </c>
      <c r="S51" s="122">
        <v>1</v>
      </c>
      <c r="T51" s="122">
        <v>1</v>
      </c>
      <c r="U51" s="122"/>
      <c r="V51" s="122"/>
      <c r="W51" s="122">
        <v>1</v>
      </c>
      <c r="X51" s="122">
        <v>1</v>
      </c>
      <c r="Y51" s="122">
        <v>0.875</v>
      </c>
      <c r="Z51" s="122">
        <v>1</v>
      </c>
      <c r="AA51" s="122"/>
      <c r="AB51" s="122"/>
      <c r="AC51" s="122"/>
      <c r="AD51" s="122">
        <v>1</v>
      </c>
      <c r="AE51" s="122">
        <v>1</v>
      </c>
      <c r="AF51" s="122">
        <v>1</v>
      </c>
      <c r="AG51" s="122"/>
      <c r="AH51" s="122">
        <v>1</v>
      </c>
      <c r="AI51" s="122">
        <v>0.875</v>
      </c>
      <c r="AJ51" s="122"/>
      <c r="AK51" s="122">
        <v>1</v>
      </c>
      <c r="AL51" s="122">
        <v>1</v>
      </c>
      <c r="AM51" s="122">
        <v>1</v>
      </c>
      <c r="AN51" s="123">
        <f t="shared" si="0"/>
        <v>15.625</v>
      </c>
      <c r="AO51" s="119">
        <v>230000</v>
      </c>
      <c r="AP51" s="124">
        <f t="shared" si="1"/>
        <v>3593750</v>
      </c>
    </row>
    <row r="52" spans="1:42" ht="24.95" customHeight="1">
      <c r="A52" s="116">
        <v>47</v>
      </c>
      <c r="B52" s="117" t="s">
        <v>683</v>
      </c>
      <c r="C52" s="118" t="s">
        <v>684</v>
      </c>
      <c r="D52" s="126" t="s">
        <v>498</v>
      </c>
      <c r="E52" s="118" t="s">
        <v>685</v>
      </c>
      <c r="F52" s="127" t="s">
        <v>686</v>
      </c>
      <c r="G52" s="120" t="s">
        <v>683</v>
      </c>
      <c r="H52" s="121" t="s">
        <v>687</v>
      </c>
      <c r="I52" s="122">
        <v>1</v>
      </c>
      <c r="J52" s="122">
        <v>1</v>
      </c>
      <c r="K52" s="122">
        <v>1</v>
      </c>
      <c r="L52" s="122">
        <v>0.5</v>
      </c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3">
        <f t="shared" si="0"/>
        <v>3.5</v>
      </c>
      <c r="AO52" s="119">
        <v>160000</v>
      </c>
      <c r="AP52" s="124">
        <f t="shared" si="1"/>
        <v>560000</v>
      </c>
    </row>
    <row r="53" spans="1:42" ht="24.95" customHeight="1">
      <c r="A53" s="125">
        <v>48</v>
      </c>
      <c r="B53" s="117" t="s">
        <v>688</v>
      </c>
      <c r="C53" s="118" t="s">
        <v>689</v>
      </c>
      <c r="D53" s="128" t="s">
        <v>498</v>
      </c>
      <c r="E53" s="118" t="s">
        <v>690</v>
      </c>
      <c r="F53" s="127" t="s">
        <v>523</v>
      </c>
      <c r="G53" s="120" t="s">
        <v>688</v>
      </c>
      <c r="H53" s="121" t="s">
        <v>691</v>
      </c>
      <c r="I53" s="122"/>
      <c r="J53" s="122"/>
      <c r="K53" s="122"/>
      <c r="L53" s="122"/>
      <c r="M53" s="122"/>
      <c r="N53" s="122"/>
      <c r="O53" s="122"/>
      <c r="P53" s="122">
        <v>0.625</v>
      </c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3">
        <f t="shared" si="0"/>
        <v>0.625</v>
      </c>
      <c r="AO53" s="119">
        <v>150000</v>
      </c>
      <c r="AP53" s="124">
        <f t="shared" si="1"/>
        <v>93750</v>
      </c>
    </row>
    <row r="54" spans="1:42" ht="24.95" customHeight="1">
      <c r="A54" s="116">
        <v>49</v>
      </c>
      <c r="B54" s="117" t="s">
        <v>692</v>
      </c>
      <c r="C54" s="118" t="s">
        <v>693</v>
      </c>
      <c r="D54" s="126" t="s">
        <v>498</v>
      </c>
      <c r="E54" s="118" t="s">
        <v>694</v>
      </c>
      <c r="F54" s="127" t="s">
        <v>592</v>
      </c>
      <c r="G54" s="120" t="s">
        <v>692</v>
      </c>
      <c r="H54" s="121" t="s">
        <v>695</v>
      </c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>
        <v>0.625</v>
      </c>
      <c r="X54" s="122"/>
      <c r="Y54" s="122">
        <v>1</v>
      </c>
      <c r="Z54" s="122">
        <v>1</v>
      </c>
      <c r="AA54" s="122">
        <v>1</v>
      </c>
      <c r="AB54" s="122"/>
      <c r="AC54" s="122"/>
      <c r="AD54" s="122">
        <v>0.875</v>
      </c>
      <c r="AE54" s="122">
        <v>1</v>
      </c>
      <c r="AF54" s="122">
        <v>1</v>
      </c>
      <c r="AG54" s="122"/>
      <c r="AH54" s="122">
        <v>1</v>
      </c>
      <c r="AI54" s="122">
        <v>1</v>
      </c>
      <c r="AJ54" s="122"/>
      <c r="AK54" s="122">
        <v>1</v>
      </c>
      <c r="AL54" s="122">
        <v>1</v>
      </c>
      <c r="AM54" s="122">
        <v>1</v>
      </c>
      <c r="AN54" s="123">
        <f t="shared" si="0"/>
        <v>11.5</v>
      </c>
      <c r="AO54" s="119">
        <v>150000</v>
      </c>
      <c r="AP54" s="124">
        <f t="shared" si="1"/>
        <v>1725000</v>
      </c>
    </row>
    <row r="55" spans="1:42" ht="24.95" customHeight="1">
      <c r="A55" s="125">
        <v>50</v>
      </c>
      <c r="B55" s="117" t="s">
        <v>696</v>
      </c>
      <c r="C55" s="118" t="s">
        <v>697</v>
      </c>
      <c r="D55" s="128" t="s">
        <v>498</v>
      </c>
      <c r="E55" s="118" t="s">
        <v>698</v>
      </c>
      <c r="F55" s="127" t="s">
        <v>505</v>
      </c>
      <c r="G55" s="120" t="s">
        <v>696</v>
      </c>
      <c r="H55" s="121">
        <v>36013033492</v>
      </c>
      <c r="I55" s="122"/>
      <c r="J55" s="122"/>
      <c r="K55" s="122"/>
      <c r="L55" s="122"/>
      <c r="M55" s="122"/>
      <c r="N55" s="122"/>
      <c r="O55" s="122"/>
      <c r="P55" s="122">
        <v>0.625</v>
      </c>
      <c r="Q55" s="122"/>
      <c r="R55" s="122">
        <v>1</v>
      </c>
      <c r="S55" s="122">
        <v>1</v>
      </c>
      <c r="T55" s="122">
        <v>1</v>
      </c>
      <c r="U55" s="122"/>
      <c r="V55" s="122"/>
      <c r="W55" s="122">
        <v>1</v>
      </c>
      <c r="X55" s="122">
        <v>1</v>
      </c>
      <c r="Y55" s="122">
        <v>1</v>
      </c>
      <c r="Z55" s="122">
        <v>1</v>
      </c>
      <c r="AA55" s="122">
        <v>1</v>
      </c>
      <c r="AB55" s="122"/>
      <c r="AC55" s="122"/>
      <c r="AD55" s="122">
        <v>1</v>
      </c>
      <c r="AE55" s="122">
        <v>1</v>
      </c>
      <c r="AF55" s="122">
        <v>1</v>
      </c>
      <c r="AG55" s="122"/>
      <c r="AH55" s="122">
        <v>1</v>
      </c>
      <c r="AI55" s="122">
        <v>1</v>
      </c>
      <c r="AJ55" s="122"/>
      <c r="AK55" s="122">
        <v>1</v>
      </c>
      <c r="AL55" s="122">
        <v>1</v>
      </c>
      <c r="AM55" s="122">
        <v>1</v>
      </c>
      <c r="AN55" s="123">
        <f t="shared" si="0"/>
        <v>16.625</v>
      </c>
      <c r="AO55" s="119">
        <v>160000</v>
      </c>
      <c r="AP55" s="124">
        <f t="shared" si="1"/>
        <v>2660000</v>
      </c>
    </row>
    <row r="56" spans="1:42" ht="24.95" customHeight="1">
      <c r="A56" s="116">
        <v>51</v>
      </c>
      <c r="B56" s="117" t="s">
        <v>699</v>
      </c>
      <c r="C56" s="118" t="s">
        <v>700</v>
      </c>
      <c r="D56" s="128" t="s">
        <v>521</v>
      </c>
      <c r="E56" s="118" t="s">
        <v>701</v>
      </c>
      <c r="F56" s="127" t="s">
        <v>523</v>
      </c>
      <c r="G56" s="120" t="s">
        <v>699</v>
      </c>
      <c r="H56" s="121" t="s">
        <v>702</v>
      </c>
      <c r="I56" s="122">
        <v>0.5</v>
      </c>
      <c r="J56" s="122">
        <v>0.375</v>
      </c>
      <c r="K56" s="122">
        <v>1</v>
      </c>
      <c r="L56" s="122">
        <v>1</v>
      </c>
      <c r="M56" s="122">
        <v>1</v>
      </c>
      <c r="N56" s="122"/>
      <c r="O56" s="122"/>
      <c r="P56" s="122">
        <v>1</v>
      </c>
      <c r="Q56" s="122">
        <v>1</v>
      </c>
      <c r="R56" s="122">
        <v>1</v>
      </c>
      <c r="S56" s="122">
        <v>1</v>
      </c>
      <c r="T56" s="122">
        <v>1</v>
      </c>
      <c r="U56" s="122"/>
      <c r="V56" s="122"/>
      <c r="W56" s="122">
        <v>1</v>
      </c>
      <c r="X56" s="122">
        <v>1</v>
      </c>
      <c r="Y56" s="122">
        <v>1</v>
      </c>
      <c r="Z56" s="122">
        <v>1</v>
      </c>
      <c r="AA56" s="122">
        <v>1</v>
      </c>
      <c r="AB56" s="122"/>
      <c r="AC56" s="122"/>
      <c r="AD56" s="122">
        <v>1</v>
      </c>
      <c r="AE56" s="122">
        <v>1</v>
      </c>
      <c r="AF56" s="122">
        <v>1</v>
      </c>
      <c r="AG56" s="122"/>
      <c r="AH56" s="122">
        <v>1</v>
      </c>
      <c r="AI56" s="122">
        <v>1</v>
      </c>
      <c r="AJ56" s="122"/>
      <c r="AK56" s="122">
        <v>1</v>
      </c>
      <c r="AL56" s="122">
        <v>1</v>
      </c>
      <c r="AM56" s="122">
        <v>1</v>
      </c>
      <c r="AN56" s="123">
        <f t="shared" si="0"/>
        <v>21.875</v>
      </c>
      <c r="AO56" s="119">
        <v>220000</v>
      </c>
      <c r="AP56" s="124">
        <f t="shared" si="1"/>
        <v>4812500</v>
      </c>
    </row>
    <row r="57" spans="1:42" ht="24.95" customHeight="1">
      <c r="A57" s="125">
        <v>52</v>
      </c>
      <c r="B57" s="117" t="s">
        <v>703</v>
      </c>
      <c r="C57" s="118" t="s">
        <v>704</v>
      </c>
      <c r="D57" s="128" t="s">
        <v>498</v>
      </c>
      <c r="E57" s="118" t="s">
        <v>705</v>
      </c>
      <c r="F57" s="127" t="s">
        <v>592</v>
      </c>
      <c r="G57" s="120" t="s">
        <v>703</v>
      </c>
      <c r="H57" s="121" t="s">
        <v>706</v>
      </c>
      <c r="I57" s="122"/>
      <c r="J57" s="122"/>
      <c r="K57" s="122"/>
      <c r="L57" s="122"/>
      <c r="M57" s="122"/>
      <c r="N57" s="122"/>
      <c r="O57" s="122"/>
      <c r="P57" s="122">
        <v>0.625</v>
      </c>
      <c r="Q57" s="122"/>
      <c r="R57" s="122">
        <v>1</v>
      </c>
      <c r="S57" s="122">
        <v>1</v>
      </c>
      <c r="T57" s="122">
        <v>1</v>
      </c>
      <c r="U57" s="122"/>
      <c r="V57" s="122"/>
      <c r="W57" s="122">
        <v>1</v>
      </c>
      <c r="X57" s="122">
        <v>1</v>
      </c>
      <c r="Y57" s="122">
        <v>1</v>
      </c>
      <c r="Z57" s="122">
        <v>1</v>
      </c>
      <c r="AA57" s="122">
        <v>1</v>
      </c>
      <c r="AB57" s="122"/>
      <c r="AC57" s="122"/>
      <c r="AD57" s="122">
        <v>1</v>
      </c>
      <c r="AE57" s="122">
        <v>1</v>
      </c>
      <c r="AF57" s="122">
        <v>1</v>
      </c>
      <c r="AG57" s="122"/>
      <c r="AH57" s="122">
        <v>1</v>
      </c>
      <c r="AI57" s="122">
        <v>1</v>
      </c>
      <c r="AJ57" s="122"/>
      <c r="AK57" s="122">
        <v>1</v>
      </c>
      <c r="AL57" s="122">
        <v>1</v>
      </c>
      <c r="AM57" s="122">
        <v>1</v>
      </c>
      <c r="AN57" s="123">
        <f t="shared" si="0"/>
        <v>16.625</v>
      </c>
      <c r="AO57" s="119">
        <v>170000</v>
      </c>
      <c r="AP57" s="124">
        <f t="shared" si="1"/>
        <v>2826250</v>
      </c>
    </row>
    <row r="58" spans="1:42" ht="24.95" customHeight="1">
      <c r="A58" s="116">
        <v>53</v>
      </c>
      <c r="B58" s="117" t="s">
        <v>707</v>
      </c>
      <c r="C58" s="118" t="s">
        <v>708</v>
      </c>
      <c r="D58" s="126" t="s">
        <v>492</v>
      </c>
      <c r="E58" s="118" t="s">
        <v>709</v>
      </c>
      <c r="F58" s="127" t="s">
        <v>547</v>
      </c>
      <c r="G58" s="120" t="s">
        <v>707</v>
      </c>
      <c r="H58" s="121" t="s">
        <v>710</v>
      </c>
      <c r="I58" s="122"/>
      <c r="J58" s="122"/>
      <c r="K58" s="122"/>
      <c r="L58" s="122"/>
      <c r="M58" s="122"/>
      <c r="N58" s="122"/>
      <c r="O58" s="122"/>
      <c r="P58" s="122">
        <v>0.875</v>
      </c>
      <c r="Q58" s="122">
        <v>0.5</v>
      </c>
      <c r="R58" s="122">
        <v>1</v>
      </c>
      <c r="S58" s="122">
        <v>1</v>
      </c>
      <c r="T58" s="122">
        <v>1</v>
      </c>
      <c r="U58" s="122"/>
      <c r="V58" s="122"/>
      <c r="W58" s="122">
        <v>1</v>
      </c>
      <c r="X58" s="122">
        <v>1</v>
      </c>
      <c r="Y58" s="122"/>
      <c r="Z58" s="122">
        <v>1</v>
      </c>
      <c r="AA58" s="122">
        <v>1</v>
      </c>
      <c r="AB58" s="122"/>
      <c r="AC58" s="122"/>
      <c r="AD58" s="122"/>
      <c r="AE58" s="122">
        <v>1</v>
      </c>
      <c r="AF58" s="122">
        <v>1</v>
      </c>
      <c r="AG58" s="122"/>
      <c r="AH58" s="122">
        <v>1</v>
      </c>
      <c r="AI58" s="122">
        <v>1</v>
      </c>
      <c r="AJ58" s="122"/>
      <c r="AK58" s="122">
        <v>1</v>
      </c>
      <c r="AL58" s="122"/>
      <c r="AM58" s="122">
        <v>1</v>
      </c>
      <c r="AN58" s="123">
        <f t="shared" si="0"/>
        <v>14.375</v>
      </c>
      <c r="AO58" s="119">
        <v>230000</v>
      </c>
      <c r="AP58" s="124">
        <f t="shared" si="1"/>
        <v>3306250</v>
      </c>
    </row>
    <row r="59" spans="1:42" ht="24.95" customHeight="1">
      <c r="A59" s="125">
        <v>54</v>
      </c>
      <c r="B59" s="117" t="s">
        <v>711</v>
      </c>
      <c r="C59" s="118" t="s">
        <v>712</v>
      </c>
      <c r="D59" s="126" t="s">
        <v>498</v>
      </c>
      <c r="E59" s="118" t="s">
        <v>713</v>
      </c>
      <c r="F59" s="127" t="s">
        <v>523</v>
      </c>
      <c r="G59" s="120" t="s">
        <v>711</v>
      </c>
      <c r="H59" s="121" t="s">
        <v>714</v>
      </c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>
        <v>0.625</v>
      </c>
      <c r="X59" s="122"/>
      <c r="Y59" s="122">
        <v>1</v>
      </c>
      <c r="Z59" s="122">
        <v>1</v>
      </c>
      <c r="AA59" s="122">
        <v>1</v>
      </c>
      <c r="AB59" s="122"/>
      <c r="AC59" s="122"/>
      <c r="AD59" s="122">
        <v>1</v>
      </c>
      <c r="AE59" s="122"/>
      <c r="AF59" s="122">
        <v>0.625</v>
      </c>
      <c r="AG59" s="122"/>
      <c r="AH59" s="122">
        <v>1</v>
      </c>
      <c r="AI59" s="122"/>
      <c r="AJ59" s="122"/>
      <c r="AK59" s="122">
        <v>1</v>
      </c>
      <c r="AL59" s="122"/>
      <c r="AM59" s="122">
        <v>1</v>
      </c>
      <c r="AN59" s="123">
        <f t="shared" si="0"/>
        <v>8.25</v>
      </c>
      <c r="AO59" s="119">
        <v>160000</v>
      </c>
      <c r="AP59" s="124">
        <f t="shared" si="1"/>
        <v>1320000</v>
      </c>
    </row>
    <row r="60" spans="1:42" ht="24.95" customHeight="1">
      <c r="A60" s="116">
        <v>55</v>
      </c>
      <c r="B60" s="117" t="s">
        <v>715</v>
      </c>
      <c r="C60" s="118" t="s">
        <v>716</v>
      </c>
      <c r="D60" s="128" t="s">
        <v>498</v>
      </c>
      <c r="E60" s="118" t="s">
        <v>717</v>
      </c>
      <c r="F60" s="127" t="s">
        <v>686</v>
      </c>
      <c r="G60" s="120" t="s">
        <v>715</v>
      </c>
      <c r="H60" s="121" t="s">
        <v>718</v>
      </c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>
        <v>0.625</v>
      </c>
      <c r="X60" s="122"/>
      <c r="Y60" s="122">
        <v>1</v>
      </c>
      <c r="Z60" s="122">
        <v>1</v>
      </c>
      <c r="AA60" s="122">
        <v>1</v>
      </c>
      <c r="AB60" s="122"/>
      <c r="AC60" s="122"/>
      <c r="AD60" s="122">
        <v>1</v>
      </c>
      <c r="AE60" s="122">
        <v>1</v>
      </c>
      <c r="AF60" s="122">
        <v>1</v>
      </c>
      <c r="AG60" s="122"/>
      <c r="AH60" s="122">
        <v>1</v>
      </c>
      <c r="AI60" s="122">
        <v>1</v>
      </c>
      <c r="AJ60" s="122"/>
      <c r="AK60" s="122"/>
      <c r="AL60" s="122">
        <v>1</v>
      </c>
      <c r="AM60" s="122">
        <v>1</v>
      </c>
      <c r="AN60" s="123">
        <f t="shared" si="0"/>
        <v>10.625</v>
      </c>
      <c r="AO60" s="119">
        <v>200000</v>
      </c>
      <c r="AP60" s="124">
        <f t="shared" si="1"/>
        <v>2125000</v>
      </c>
    </row>
    <row r="61" spans="1:42" ht="24.95" customHeight="1" thickBot="1">
      <c r="A61" s="125">
        <v>56</v>
      </c>
      <c r="B61" s="117" t="s">
        <v>719</v>
      </c>
      <c r="C61" s="118" t="s">
        <v>720</v>
      </c>
      <c r="D61" s="126" t="s">
        <v>498</v>
      </c>
      <c r="E61" s="118" t="s">
        <v>721</v>
      </c>
      <c r="F61" s="127" t="s">
        <v>488</v>
      </c>
      <c r="G61" s="120" t="s">
        <v>719</v>
      </c>
      <c r="H61" s="121" t="s">
        <v>722</v>
      </c>
      <c r="I61" s="122">
        <v>0.625</v>
      </c>
      <c r="J61" s="122"/>
      <c r="K61" s="122">
        <v>1</v>
      </c>
      <c r="L61" s="122">
        <v>1</v>
      </c>
      <c r="M61" s="122">
        <v>1</v>
      </c>
      <c r="N61" s="122"/>
      <c r="O61" s="122"/>
      <c r="P61" s="122">
        <v>1</v>
      </c>
      <c r="Q61" s="122">
        <v>1</v>
      </c>
      <c r="R61" s="122">
        <v>1</v>
      </c>
      <c r="S61" s="122">
        <v>1</v>
      </c>
      <c r="T61" s="122">
        <v>1</v>
      </c>
      <c r="U61" s="122"/>
      <c r="V61" s="122"/>
      <c r="W61" s="122">
        <v>1</v>
      </c>
      <c r="X61" s="122">
        <v>1</v>
      </c>
      <c r="Y61" s="122">
        <v>1</v>
      </c>
      <c r="Z61" s="122">
        <v>1</v>
      </c>
      <c r="AA61" s="122">
        <v>1</v>
      </c>
      <c r="AB61" s="122"/>
      <c r="AC61" s="122"/>
      <c r="AD61" s="122">
        <v>1</v>
      </c>
      <c r="AE61" s="122">
        <v>1</v>
      </c>
      <c r="AF61" s="122">
        <v>1</v>
      </c>
      <c r="AG61" s="122"/>
      <c r="AH61" s="122">
        <v>1</v>
      </c>
      <c r="AI61" s="122"/>
      <c r="AJ61" s="122"/>
      <c r="AK61" s="122">
        <v>1</v>
      </c>
      <c r="AL61" s="122">
        <v>1</v>
      </c>
      <c r="AM61" s="122">
        <v>1</v>
      </c>
      <c r="AN61" s="123">
        <f t="shared" si="0"/>
        <v>20.625</v>
      </c>
      <c r="AO61" s="119">
        <v>180000</v>
      </c>
      <c r="AP61" s="124">
        <f t="shared" si="1"/>
        <v>3712500</v>
      </c>
    </row>
    <row r="62" spans="1:42" ht="30" customHeight="1" thickBot="1">
      <c r="A62" s="256" t="s">
        <v>220</v>
      </c>
      <c r="B62" s="257"/>
      <c r="C62" s="257"/>
      <c r="D62" s="257"/>
      <c r="E62" s="257"/>
      <c r="F62" s="257"/>
      <c r="G62" s="257"/>
      <c r="H62" s="258"/>
      <c r="I62" s="129">
        <f t="shared" ref="I62:AN62" si="2">SUM(I6:I61)</f>
        <v>9.75</v>
      </c>
      <c r="J62" s="130">
        <f t="shared" si="2"/>
        <v>7.25</v>
      </c>
      <c r="K62" s="130">
        <f t="shared" si="2"/>
        <v>11</v>
      </c>
      <c r="L62" s="130">
        <f t="shared" si="2"/>
        <v>9</v>
      </c>
      <c r="M62" s="130">
        <f t="shared" si="2"/>
        <v>7.875</v>
      </c>
      <c r="N62" s="130">
        <f t="shared" si="2"/>
        <v>0</v>
      </c>
      <c r="O62" s="130">
        <f t="shared" si="2"/>
        <v>0</v>
      </c>
      <c r="P62" s="130">
        <f t="shared" si="2"/>
        <v>21.375</v>
      </c>
      <c r="Q62" s="130">
        <f t="shared" si="2"/>
        <v>8.5</v>
      </c>
      <c r="R62" s="130">
        <f t="shared" si="2"/>
        <v>24</v>
      </c>
      <c r="S62" s="130">
        <f t="shared" si="2"/>
        <v>24</v>
      </c>
      <c r="T62" s="130">
        <f t="shared" si="2"/>
        <v>23</v>
      </c>
      <c r="U62" s="130">
        <f t="shared" si="2"/>
        <v>0</v>
      </c>
      <c r="V62" s="130">
        <f t="shared" si="2"/>
        <v>0</v>
      </c>
      <c r="W62" s="130">
        <f t="shared" si="2"/>
        <v>43</v>
      </c>
      <c r="X62" s="130">
        <f t="shared" si="2"/>
        <v>27</v>
      </c>
      <c r="Y62" s="130">
        <f t="shared" si="2"/>
        <v>45.75</v>
      </c>
      <c r="Z62" s="130">
        <f t="shared" si="2"/>
        <v>47.125</v>
      </c>
      <c r="AA62" s="130">
        <f t="shared" si="2"/>
        <v>45.625</v>
      </c>
      <c r="AB62" s="130">
        <f t="shared" si="2"/>
        <v>0</v>
      </c>
      <c r="AC62" s="130">
        <f t="shared" si="2"/>
        <v>0</v>
      </c>
      <c r="AD62" s="130">
        <f t="shared" si="2"/>
        <v>43.75</v>
      </c>
      <c r="AE62" s="130">
        <f t="shared" si="2"/>
        <v>47.625</v>
      </c>
      <c r="AF62" s="130">
        <f t="shared" si="2"/>
        <v>48.5</v>
      </c>
      <c r="AG62" s="130">
        <f t="shared" si="2"/>
        <v>0</v>
      </c>
      <c r="AH62" s="130">
        <f t="shared" si="2"/>
        <v>44.125</v>
      </c>
      <c r="AI62" s="130">
        <f t="shared" si="2"/>
        <v>19</v>
      </c>
      <c r="AJ62" s="130">
        <f t="shared" si="2"/>
        <v>0</v>
      </c>
      <c r="AK62" s="130">
        <f t="shared" si="2"/>
        <v>47</v>
      </c>
      <c r="AL62" s="130">
        <f t="shared" si="2"/>
        <v>45</v>
      </c>
      <c r="AM62" s="131">
        <f t="shared" si="2"/>
        <v>47.875</v>
      </c>
      <c r="AN62" s="132">
        <f t="shared" si="2"/>
        <v>697.125</v>
      </c>
      <c r="AO62" s="133">
        <f>AP62/AN62</f>
        <v>189720.27972027971</v>
      </c>
      <c r="AP62" s="134">
        <f>SUM(AP6:AP61)</f>
        <v>132258750</v>
      </c>
    </row>
    <row r="63" spans="1:42" ht="24.95" customHeight="1">
      <c r="A63" s="116">
        <v>1</v>
      </c>
      <c r="B63" s="117"/>
      <c r="C63" s="118"/>
      <c r="D63" s="118"/>
      <c r="E63" s="118"/>
      <c r="F63" s="119"/>
      <c r="G63" s="120"/>
      <c r="H63" s="121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3">
        <f>SUM(I63:AM63)</f>
        <v>0</v>
      </c>
      <c r="AO63" s="119"/>
      <c r="AP63" s="124">
        <f>AN63*AO63</f>
        <v>0</v>
      </c>
    </row>
    <row r="64" spans="1:42" ht="24.95" customHeight="1">
      <c r="A64" s="125">
        <v>2</v>
      </c>
      <c r="B64" s="117"/>
      <c r="C64" s="118"/>
      <c r="D64" s="126"/>
      <c r="E64" s="118"/>
      <c r="F64" s="127"/>
      <c r="G64" s="120"/>
      <c r="H64" s="121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3">
        <f t="shared" ref="AN64:AN67" si="3">SUM(I64:AM64)</f>
        <v>0</v>
      </c>
      <c r="AO64" s="119"/>
      <c r="AP64" s="124">
        <f t="shared" ref="AP64:AP67" si="4">AN64*AO64</f>
        <v>0</v>
      </c>
    </row>
    <row r="65" spans="1:42" ht="24.95" customHeight="1">
      <c r="A65" s="125">
        <v>3</v>
      </c>
      <c r="B65" s="117"/>
      <c r="C65" s="118"/>
      <c r="D65" s="128"/>
      <c r="E65" s="118"/>
      <c r="F65" s="127"/>
      <c r="G65" s="120"/>
      <c r="H65" s="121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3">
        <f t="shared" si="3"/>
        <v>0</v>
      </c>
      <c r="AO65" s="119"/>
      <c r="AP65" s="124">
        <f t="shared" si="4"/>
        <v>0</v>
      </c>
    </row>
    <row r="66" spans="1:42" ht="24.95" customHeight="1">
      <c r="A66" s="125">
        <v>4</v>
      </c>
      <c r="B66" s="117"/>
      <c r="C66" s="118"/>
      <c r="D66" s="126"/>
      <c r="E66" s="118"/>
      <c r="F66" s="127"/>
      <c r="G66" s="120"/>
      <c r="H66" s="121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3">
        <f t="shared" si="3"/>
        <v>0</v>
      </c>
      <c r="AO66" s="119"/>
      <c r="AP66" s="124">
        <f t="shared" si="4"/>
        <v>0</v>
      </c>
    </row>
    <row r="67" spans="1:42" ht="24.95" customHeight="1" thickBot="1">
      <c r="A67" s="125">
        <v>5</v>
      </c>
      <c r="B67" s="117"/>
      <c r="C67" s="118"/>
      <c r="D67" s="126"/>
      <c r="E67" s="118"/>
      <c r="F67" s="127"/>
      <c r="G67" s="120"/>
      <c r="H67" s="121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3">
        <f t="shared" si="3"/>
        <v>0</v>
      </c>
      <c r="AO67" s="119"/>
      <c r="AP67" s="124">
        <f t="shared" si="4"/>
        <v>0</v>
      </c>
    </row>
    <row r="68" spans="1:42" ht="30" customHeight="1" thickBot="1">
      <c r="A68" s="256" t="s">
        <v>235</v>
      </c>
      <c r="B68" s="257"/>
      <c r="C68" s="257"/>
      <c r="D68" s="257"/>
      <c r="E68" s="257"/>
      <c r="F68" s="257"/>
      <c r="G68" s="257"/>
      <c r="H68" s="258"/>
      <c r="I68" s="129">
        <f t="shared" ref="I68:AN68" si="5">SUM(I63:I67)</f>
        <v>0</v>
      </c>
      <c r="J68" s="130">
        <f t="shared" si="5"/>
        <v>0</v>
      </c>
      <c r="K68" s="130">
        <f t="shared" si="5"/>
        <v>0</v>
      </c>
      <c r="L68" s="130">
        <f t="shared" si="5"/>
        <v>0</v>
      </c>
      <c r="M68" s="130">
        <f t="shared" si="5"/>
        <v>0</v>
      </c>
      <c r="N68" s="130">
        <f t="shared" si="5"/>
        <v>0</v>
      </c>
      <c r="O68" s="130">
        <f t="shared" si="5"/>
        <v>0</v>
      </c>
      <c r="P68" s="130">
        <f t="shared" si="5"/>
        <v>0</v>
      </c>
      <c r="Q68" s="130">
        <f t="shared" si="5"/>
        <v>0</v>
      </c>
      <c r="R68" s="130">
        <f t="shared" si="5"/>
        <v>0</v>
      </c>
      <c r="S68" s="130">
        <f t="shared" si="5"/>
        <v>0</v>
      </c>
      <c r="T68" s="130">
        <f t="shared" si="5"/>
        <v>0</v>
      </c>
      <c r="U68" s="130">
        <f t="shared" si="5"/>
        <v>0</v>
      </c>
      <c r="V68" s="130">
        <f t="shared" si="5"/>
        <v>0</v>
      </c>
      <c r="W68" s="130">
        <f t="shared" si="5"/>
        <v>0</v>
      </c>
      <c r="X68" s="130">
        <f t="shared" si="5"/>
        <v>0</v>
      </c>
      <c r="Y68" s="130">
        <f t="shared" si="5"/>
        <v>0</v>
      </c>
      <c r="Z68" s="130">
        <f t="shared" si="5"/>
        <v>0</v>
      </c>
      <c r="AA68" s="130">
        <f t="shared" si="5"/>
        <v>0</v>
      </c>
      <c r="AB68" s="130">
        <f t="shared" si="5"/>
        <v>0</v>
      </c>
      <c r="AC68" s="130">
        <f t="shared" si="5"/>
        <v>0</v>
      </c>
      <c r="AD68" s="130">
        <f t="shared" si="5"/>
        <v>0</v>
      </c>
      <c r="AE68" s="130">
        <f t="shared" si="5"/>
        <v>0</v>
      </c>
      <c r="AF68" s="130">
        <f t="shared" si="5"/>
        <v>0</v>
      </c>
      <c r="AG68" s="130">
        <f t="shared" si="5"/>
        <v>0</v>
      </c>
      <c r="AH68" s="130">
        <f t="shared" si="5"/>
        <v>0</v>
      </c>
      <c r="AI68" s="130">
        <f t="shared" si="5"/>
        <v>0</v>
      </c>
      <c r="AJ68" s="130">
        <f t="shared" si="5"/>
        <v>0</v>
      </c>
      <c r="AK68" s="130">
        <f t="shared" si="5"/>
        <v>0</v>
      </c>
      <c r="AL68" s="130">
        <f t="shared" si="5"/>
        <v>0</v>
      </c>
      <c r="AM68" s="131">
        <f t="shared" si="5"/>
        <v>0</v>
      </c>
      <c r="AN68" s="132">
        <f t="shared" si="5"/>
        <v>0</v>
      </c>
      <c r="AO68" s="133"/>
      <c r="AP68" s="134">
        <f>SUM(AP63:AP67)</f>
        <v>0</v>
      </c>
    </row>
    <row r="69" spans="1:42" ht="35.1" customHeight="1" thickBot="1">
      <c r="A69" s="259" t="s">
        <v>236</v>
      </c>
      <c r="B69" s="260"/>
      <c r="C69" s="260"/>
      <c r="D69" s="260"/>
      <c r="E69" s="260"/>
      <c r="F69" s="260"/>
      <c r="G69" s="260"/>
      <c r="H69" s="261"/>
      <c r="I69" s="135">
        <f t="shared" ref="I69:AN69" si="6">I62+I68</f>
        <v>9.75</v>
      </c>
      <c r="J69" s="136">
        <f t="shared" si="6"/>
        <v>7.25</v>
      </c>
      <c r="K69" s="136">
        <f t="shared" si="6"/>
        <v>11</v>
      </c>
      <c r="L69" s="136">
        <f t="shared" si="6"/>
        <v>9</v>
      </c>
      <c r="M69" s="136">
        <f t="shared" si="6"/>
        <v>7.875</v>
      </c>
      <c r="N69" s="136">
        <f t="shared" si="6"/>
        <v>0</v>
      </c>
      <c r="O69" s="136">
        <f t="shared" si="6"/>
        <v>0</v>
      </c>
      <c r="P69" s="136">
        <f t="shared" si="6"/>
        <v>21.375</v>
      </c>
      <c r="Q69" s="136">
        <f t="shared" si="6"/>
        <v>8.5</v>
      </c>
      <c r="R69" s="136">
        <f t="shared" si="6"/>
        <v>24</v>
      </c>
      <c r="S69" s="136">
        <f t="shared" si="6"/>
        <v>24</v>
      </c>
      <c r="T69" s="136">
        <f t="shared" si="6"/>
        <v>23</v>
      </c>
      <c r="U69" s="136">
        <f t="shared" si="6"/>
        <v>0</v>
      </c>
      <c r="V69" s="136">
        <f t="shared" si="6"/>
        <v>0</v>
      </c>
      <c r="W69" s="136">
        <f t="shared" si="6"/>
        <v>43</v>
      </c>
      <c r="X69" s="136">
        <f t="shared" si="6"/>
        <v>27</v>
      </c>
      <c r="Y69" s="136">
        <f t="shared" si="6"/>
        <v>45.75</v>
      </c>
      <c r="Z69" s="136">
        <f t="shared" si="6"/>
        <v>47.125</v>
      </c>
      <c r="AA69" s="136">
        <f t="shared" si="6"/>
        <v>45.625</v>
      </c>
      <c r="AB69" s="136">
        <f t="shared" si="6"/>
        <v>0</v>
      </c>
      <c r="AC69" s="136">
        <f t="shared" si="6"/>
        <v>0</v>
      </c>
      <c r="AD69" s="136">
        <f t="shared" si="6"/>
        <v>43.75</v>
      </c>
      <c r="AE69" s="136">
        <f t="shared" si="6"/>
        <v>47.625</v>
      </c>
      <c r="AF69" s="136">
        <f t="shared" si="6"/>
        <v>48.5</v>
      </c>
      <c r="AG69" s="136">
        <f t="shared" si="6"/>
        <v>0</v>
      </c>
      <c r="AH69" s="136">
        <f t="shared" si="6"/>
        <v>44.125</v>
      </c>
      <c r="AI69" s="136">
        <f t="shared" si="6"/>
        <v>19</v>
      </c>
      <c r="AJ69" s="136">
        <f t="shared" si="6"/>
        <v>0</v>
      </c>
      <c r="AK69" s="136">
        <f t="shared" si="6"/>
        <v>47</v>
      </c>
      <c r="AL69" s="136">
        <f t="shared" si="6"/>
        <v>45</v>
      </c>
      <c r="AM69" s="136">
        <f t="shared" si="6"/>
        <v>47.875</v>
      </c>
      <c r="AN69" s="137">
        <f t="shared" si="6"/>
        <v>697.125</v>
      </c>
      <c r="AO69" s="138">
        <f>AP69/AN69</f>
        <v>189720.27972027971</v>
      </c>
      <c r="AP69" s="139">
        <f>AP62+AP68</f>
        <v>132258750</v>
      </c>
    </row>
    <row r="70" spans="1:42">
      <c r="G70" s="100"/>
      <c r="H70" s="100"/>
      <c r="AG70" s="140"/>
      <c r="AI70" s="141"/>
      <c r="AO70" s="100"/>
    </row>
    <row r="71" spans="1:42">
      <c r="G71" s="100"/>
      <c r="H71" s="100"/>
      <c r="AG71" s="140"/>
      <c r="AI71" s="141"/>
      <c r="AO71" s="100"/>
    </row>
    <row r="72" spans="1:42">
      <c r="G72" s="100"/>
      <c r="H72" s="100"/>
      <c r="AG72" s="140"/>
      <c r="AI72" s="141"/>
      <c r="AO72" s="100"/>
    </row>
    <row r="73" spans="1:42">
      <c r="G73" s="100"/>
      <c r="H73" s="100"/>
      <c r="AG73" s="140"/>
      <c r="AI73" s="141"/>
      <c r="AO73" s="100"/>
    </row>
    <row r="74" spans="1:42">
      <c r="G74" s="100"/>
      <c r="H74" s="100"/>
      <c r="AI74" s="140"/>
      <c r="AM74" s="141"/>
      <c r="AO74" s="100"/>
    </row>
    <row r="75" spans="1:42">
      <c r="G75" s="100"/>
      <c r="H75" s="100"/>
      <c r="AI75" s="140"/>
      <c r="AJ75" s="140"/>
      <c r="AM75" s="141"/>
      <c r="AO75" s="100"/>
    </row>
    <row r="76" spans="1:42">
      <c r="G76" s="100"/>
      <c r="H76" s="100"/>
      <c r="AJ76" s="140"/>
      <c r="AK76" s="140"/>
      <c r="AL76" s="140"/>
      <c r="AO76" s="100"/>
    </row>
    <row r="77" spans="1:42">
      <c r="G77" s="100"/>
      <c r="H77" s="100"/>
      <c r="AJ77" s="140"/>
      <c r="AK77" s="140"/>
      <c r="AL77" s="140"/>
      <c r="AO77" s="100"/>
    </row>
    <row r="78" spans="1:42">
      <c r="G78" s="100"/>
      <c r="H78" s="100"/>
      <c r="AJ78" s="140"/>
      <c r="AK78" s="140"/>
      <c r="AL78" s="140"/>
      <c r="AO78" s="100"/>
    </row>
    <row r="79" spans="1:42">
      <c r="G79" s="100"/>
      <c r="H79" s="100"/>
      <c r="AK79" s="140"/>
      <c r="AL79" s="140"/>
      <c r="AO79" s="100"/>
    </row>
    <row r="80" spans="1:42">
      <c r="C80" s="101"/>
      <c r="D80" s="101"/>
      <c r="E80" s="101"/>
      <c r="G80" s="100"/>
      <c r="H80" s="100"/>
      <c r="AN80" s="141"/>
      <c r="AO80" s="100"/>
    </row>
    <row r="81" spans="3:41">
      <c r="C81" s="101"/>
      <c r="D81" s="101"/>
      <c r="E81" s="101"/>
      <c r="G81" s="100"/>
      <c r="H81" s="100"/>
      <c r="AN81" s="141"/>
      <c r="AO81" s="100"/>
    </row>
    <row r="82" spans="3:41">
      <c r="C82" s="101"/>
      <c r="D82" s="101"/>
      <c r="E82" s="101"/>
      <c r="G82" s="100"/>
      <c r="H82" s="100"/>
      <c r="AN82" s="141"/>
      <c r="AO82" s="100"/>
    </row>
    <row r="83" spans="3:41">
      <c r="C83" s="101"/>
      <c r="D83" s="101"/>
      <c r="E83" s="101"/>
      <c r="G83" s="100"/>
      <c r="H83" s="100"/>
      <c r="AN83" s="141"/>
      <c r="AO83" s="100"/>
    </row>
    <row r="84" spans="3:41">
      <c r="C84" s="101"/>
      <c r="D84" s="101"/>
      <c r="E84" s="101"/>
      <c r="G84" s="100"/>
      <c r="H84" s="100"/>
      <c r="AN84" s="141"/>
      <c r="AO84" s="100"/>
    </row>
    <row r="85" spans="3:41">
      <c r="E85" s="101"/>
      <c r="F85" s="101"/>
      <c r="G85" s="100"/>
      <c r="H85" s="100"/>
      <c r="AO85" s="141"/>
    </row>
    <row r="86" spans="3:41">
      <c r="E86" s="101"/>
      <c r="F86" s="101"/>
      <c r="G86" s="100"/>
      <c r="H86" s="100"/>
      <c r="AO86" s="141"/>
    </row>
    <row r="87" spans="3:41">
      <c r="E87" s="101"/>
      <c r="F87" s="101"/>
      <c r="G87" s="100"/>
      <c r="H87" s="100"/>
      <c r="AO87" s="141"/>
    </row>
    <row r="88" spans="3:41">
      <c r="E88" s="101"/>
      <c r="F88" s="101"/>
      <c r="G88" s="100"/>
      <c r="H88" s="100"/>
      <c r="AO88" s="141"/>
    </row>
    <row r="89" spans="3:41">
      <c r="E89" s="101"/>
      <c r="F89" s="101"/>
      <c r="G89" s="100"/>
      <c r="H89" s="100"/>
      <c r="AO89" s="141"/>
    </row>
    <row r="90" spans="3:41">
      <c r="E90" s="101"/>
      <c r="F90" s="101"/>
      <c r="G90" s="100"/>
      <c r="H90" s="100"/>
      <c r="AO90" s="141"/>
    </row>
    <row r="91" spans="3:41">
      <c r="E91" s="101"/>
      <c r="F91" s="101"/>
      <c r="G91" s="100"/>
      <c r="H91" s="100"/>
      <c r="AO91" s="141"/>
    </row>
    <row r="92" spans="3:41">
      <c r="E92" s="101"/>
      <c r="F92" s="101"/>
      <c r="G92" s="100"/>
      <c r="H92" s="100"/>
      <c r="AO92" s="141"/>
    </row>
    <row r="93" spans="3:41">
      <c r="E93" s="101"/>
      <c r="F93" s="101"/>
      <c r="G93" s="100"/>
      <c r="H93" s="100"/>
      <c r="AO93" s="141"/>
    </row>
    <row r="94" spans="3:41">
      <c r="E94" s="101"/>
      <c r="F94" s="101"/>
      <c r="G94" s="100"/>
      <c r="H94" s="100"/>
      <c r="AO94" s="141"/>
    </row>
    <row r="95" spans="3:41">
      <c r="E95" s="101"/>
      <c r="F95" s="101"/>
      <c r="G95" s="100"/>
      <c r="H95" s="100"/>
      <c r="AO95" s="141"/>
    </row>
    <row r="96" spans="3:41">
      <c r="E96" s="101"/>
      <c r="F96" s="101"/>
      <c r="G96" s="100"/>
      <c r="H96" s="100"/>
      <c r="AO96" s="141"/>
    </row>
    <row r="97" spans="5:42">
      <c r="E97" s="101"/>
      <c r="F97" s="101"/>
      <c r="G97" s="100"/>
      <c r="H97" s="100"/>
      <c r="AO97" s="141"/>
    </row>
    <row r="98" spans="5:42">
      <c r="E98" s="101"/>
      <c r="F98" s="101"/>
      <c r="G98" s="100"/>
      <c r="H98" s="100"/>
      <c r="AO98" s="141"/>
    </row>
    <row r="99" spans="5:42">
      <c r="E99" s="101"/>
      <c r="F99" s="101"/>
      <c r="G99" s="100"/>
      <c r="H99" s="100"/>
      <c r="AO99" s="141"/>
    </row>
    <row r="100" spans="5:42">
      <c r="E100" s="101"/>
      <c r="F100" s="101"/>
      <c r="G100" s="100"/>
      <c r="H100" s="100"/>
      <c r="AO100" s="141"/>
    </row>
    <row r="101" spans="5:42">
      <c r="E101" s="101"/>
      <c r="F101" s="101"/>
      <c r="G101" s="100"/>
      <c r="H101" s="100"/>
      <c r="AO101" s="141"/>
    </row>
    <row r="102" spans="5:42">
      <c r="E102" s="101"/>
      <c r="F102" s="101"/>
      <c r="G102" s="100"/>
      <c r="H102" s="100"/>
      <c r="AO102" s="141"/>
    </row>
    <row r="103" spans="5:42">
      <c r="E103" s="101"/>
      <c r="F103" s="101"/>
      <c r="G103" s="100"/>
      <c r="H103" s="100"/>
      <c r="AO103" s="141"/>
    </row>
    <row r="104" spans="5:42">
      <c r="E104" s="101"/>
      <c r="F104" s="101"/>
      <c r="G104" s="100"/>
      <c r="H104" s="100"/>
      <c r="AO104" s="141"/>
    </row>
    <row r="105" spans="5:42">
      <c r="E105" s="101"/>
      <c r="F105" s="101"/>
      <c r="G105" s="100"/>
      <c r="H105" s="100"/>
      <c r="AO105" s="141"/>
    </row>
    <row r="106" spans="5:42">
      <c r="E106" s="101"/>
      <c r="F106" s="101"/>
      <c r="G106" s="100"/>
      <c r="H106" s="100"/>
      <c r="AO106" s="141"/>
    </row>
    <row r="107" spans="5:42">
      <c r="E107" s="101"/>
      <c r="F107" s="101"/>
      <c r="G107" s="100"/>
      <c r="H107" s="100"/>
      <c r="AO107" s="141"/>
    </row>
    <row r="108" spans="5:42">
      <c r="E108" s="101"/>
      <c r="F108" s="101"/>
      <c r="G108" s="100"/>
      <c r="H108" s="100"/>
      <c r="AO108" s="141"/>
    </row>
    <row r="109" spans="5:42">
      <c r="F109" s="101"/>
      <c r="H109" s="100"/>
      <c r="AN109" s="140"/>
      <c r="AO109" s="100"/>
      <c r="AP109" s="143"/>
    </row>
    <row r="110" spans="5:42">
      <c r="F110" s="101"/>
      <c r="H110" s="100"/>
      <c r="AN110" s="140"/>
      <c r="AO110" s="100"/>
      <c r="AP110" s="143"/>
    </row>
    <row r="111" spans="5:42">
      <c r="F111" s="101"/>
      <c r="H111" s="100"/>
      <c r="AN111" s="140"/>
      <c r="AO111" s="100"/>
      <c r="AP111" s="143"/>
    </row>
    <row r="112" spans="5:42">
      <c r="F112" s="101"/>
      <c r="H112" s="100"/>
      <c r="AN112" s="140"/>
      <c r="AO112" s="100"/>
      <c r="AP112" s="143"/>
    </row>
    <row r="113" spans="6:42">
      <c r="F113" s="101"/>
      <c r="H113" s="100"/>
      <c r="AN113" s="140"/>
      <c r="AO113" s="100"/>
      <c r="AP113" s="143"/>
    </row>
    <row r="114" spans="6:42">
      <c r="F114" s="101"/>
      <c r="H114" s="100"/>
      <c r="AN114" s="140"/>
      <c r="AO114" s="100"/>
      <c r="AP114" s="143"/>
    </row>
    <row r="115" spans="6:42">
      <c r="F115" s="101"/>
      <c r="H115" s="100"/>
      <c r="AN115" s="140"/>
      <c r="AO115" s="100"/>
      <c r="AP115" s="143"/>
    </row>
    <row r="116" spans="6:42">
      <c r="F116" s="101"/>
      <c r="H116" s="100"/>
      <c r="AN116" s="140"/>
      <c r="AO116" s="100"/>
      <c r="AP116" s="143"/>
    </row>
    <row r="117" spans="6:42">
      <c r="F117" s="101"/>
      <c r="H117" s="100"/>
      <c r="AN117" s="140"/>
      <c r="AO117" s="100"/>
      <c r="AP117" s="143"/>
    </row>
    <row r="118" spans="6:42">
      <c r="F118" s="101"/>
      <c r="H118" s="100"/>
      <c r="AN118" s="140"/>
      <c r="AO118" s="100"/>
      <c r="AP118" s="143"/>
    </row>
    <row r="119" spans="6:42">
      <c r="F119" s="101"/>
      <c r="H119" s="100"/>
      <c r="AN119" s="140"/>
      <c r="AO119" s="100"/>
      <c r="AP119" s="143"/>
    </row>
    <row r="120" spans="6:42">
      <c r="F120" s="101"/>
      <c r="H120" s="100"/>
      <c r="AN120" s="140"/>
      <c r="AO120" s="100"/>
      <c r="AP120" s="143"/>
    </row>
    <row r="121" spans="6:42">
      <c r="F121" s="101"/>
      <c r="H121" s="100"/>
      <c r="AN121" s="140"/>
      <c r="AO121" s="100"/>
      <c r="AP121" s="143"/>
    </row>
    <row r="122" spans="6:42">
      <c r="F122" s="101"/>
      <c r="H122" s="100"/>
      <c r="AN122" s="140"/>
      <c r="AO122" s="100"/>
      <c r="AP122" s="143"/>
    </row>
    <row r="123" spans="6:42">
      <c r="F123" s="101"/>
      <c r="H123" s="100"/>
      <c r="AN123" s="140"/>
      <c r="AO123" s="100"/>
      <c r="AP123" s="143"/>
    </row>
    <row r="124" spans="6:42">
      <c r="F124" s="101"/>
      <c r="H124" s="100"/>
      <c r="AN124" s="140"/>
      <c r="AO124" s="100"/>
      <c r="AP124" s="143"/>
    </row>
    <row r="125" spans="6:42">
      <c r="F125" s="101"/>
      <c r="H125" s="100"/>
      <c r="AN125" s="140"/>
      <c r="AO125" s="100"/>
      <c r="AP125" s="143"/>
    </row>
    <row r="126" spans="6:42">
      <c r="F126" s="101"/>
      <c r="H126" s="100"/>
      <c r="AN126" s="140"/>
      <c r="AO126" s="100"/>
      <c r="AP126" s="143"/>
    </row>
    <row r="127" spans="6:42">
      <c r="F127" s="101"/>
      <c r="H127" s="100"/>
      <c r="AN127" s="140"/>
      <c r="AO127" s="100"/>
      <c r="AP127" s="143"/>
    </row>
    <row r="128" spans="6:42">
      <c r="F128" s="101"/>
      <c r="H128" s="100"/>
      <c r="AN128" s="140"/>
      <c r="AO128" s="100"/>
      <c r="AP128" s="143"/>
    </row>
    <row r="129" spans="6:42">
      <c r="F129" s="101"/>
      <c r="H129" s="100"/>
      <c r="AN129" s="140"/>
      <c r="AO129" s="100"/>
      <c r="AP129" s="143"/>
    </row>
    <row r="130" spans="6:42">
      <c r="F130" s="101"/>
      <c r="H130" s="100"/>
      <c r="AN130" s="140"/>
      <c r="AO130" s="100"/>
      <c r="AP130" s="143"/>
    </row>
    <row r="131" spans="6:42">
      <c r="F131" s="101"/>
      <c r="H131" s="100"/>
      <c r="AN131" s="140"/>
      <c r="AO131" s="100"/>
      <c r="AP131" s="143"/>
    </row>
    <row r="132" spans="6:42">
      <c r="F132" s="101"/>
      <c r="H132" s="100"/>
      <c r="AN132" s="140"/>
      <c r="AO132" s="100"/>
      <c r="AP132" s="143"/>
    </row>
    <row r="133" spans="6:42">
      <c r="F133" s="101"/>
      <c r="H133" s="100"/>
      <c r="AN133" s="140"/>
      <c r="AO133" s="100"/>
      <c r="AP133" s="143"/>
    </row>
    <row r="134" spans="6:42">
      <c r="F134" s="101"/>
      <c r="H134" s="100"/>
      <c r="AN134" s="140"/>
      <c r="AO134" s="100"/>
      <c r="AP134" s="143"/>
    </row>
    <row r="135" spans="6:42">
      <c r="F135" s="101"/>
      <c r="H135" s="100"/>
      <c r="AN135" s="140"/>
      <c r="AO135" s="100"/>
      <c r="AP135" s="143"/>
    </row>
    <row r="136" spans="6:42">
      <c r="F136" s="101"/>
      <c r="H136" s="100"/>
      <c r="AN136" s="140"/>
      <c r="AO136" s="100"/>
      <c r="AP136" s="143"/>
    </row>
    <row r="137" spans="6:42">
      <c r="F137" s="101"/>
      <c r="H137" s="100"/>
      <c r="AN137" s="140"/>
      <c r="AO137" s="100"/>
      <c r="AP137" s="143"/>
    </row>
    <row r="138" spans="6:42">
      <c r="F138" s="101"/>
      <c r="H138" s="100"/>
      <c r="AN138" s="140"/>
      <c r="AO138" s="100"/>
      <c r="AP138" s="143"/>
    </row>
    <row r="139" spans="6:42">
      <c r="F139" s="101"/>
      <c r="H139" s="100"/>
      <c r="AN139" s="140"/>
      <c r="AO139" s="100"/>
      <c r="AP139" s="143"/>
    </row>
    <row r="140" spans="6:42">
      <c r="F140" s="101"/>
      <c r="H140" s="100"/>
      <c r="AN140" s="140"/>
      <c r="AO140" s="100"/>
      <c r="AP140" s="143"/>
    </row>
    <row r="141" spans="6:42">
      <c r="F141" s="101"/>
      <c r="H141" s="100"/>
      <c r="AN141" s="140"/>
      <c r="AO141" s="100"/>
      <c r="AP141" s="143"/>
    </row>
    <row r="142" spans="6:42">
      <c r="F142" s="101"/>
      <c r="H142" s="100"/>
      <c r="AN142" s="140"/>
      <c r="AO142" s="100"/>
      <c r="AP142" s="143"/>
    </row>
    <row r="143" spans="6:42">
      <c r="F143" s="101"/>
      <c r="H143" s="100"/>
      <c r="AN143" s="140"/>
      <c r="AO143" s="100"/>
      <c r="AP143" s="143"/>
    </row>
    <row r="144" spans="6:42">
      <c r="F144" s="101"/>
      <c r="H144" s="100"/>
      <c r="AN144" s="140"/>
      <c r="AO144" s="100"/>
      <c r="AP144" s="143"/>
    </row>
    <row r="145" spans="6:42">
      <c r="F145" s="101"/>
      <c r="H145" s="100"/>
      <c r="AN145" s="140"/>
      <c r="AO145" s="100"/>
      <c r="AP145" s="143"/>
    </row>
    <row r="146" spans="6:42">
      <c r="F146" s="101"/>
      <c r="H146" s="100"/>
      <c r="AN146" s="140"/>
      <c r="AO146" s="100"/>
      <c r="AP146" s="143"/>
    </row>
    <row r="147" spans="6:42">
      <c r="F147" s="101"/>
      <c r="H147" s="100"/>
      <c r="AN147" s="140"/>
      <c r="AO147" s="100"/>
      <c r="AP147" s="143"/>
    </row>
    <row r="148" spans="6:42">
      <c r="F148" s="101"/>
      <c r="H148" s="100"/>
      <c r="AN148" s="140"/>
      <c r="AO148" s="100"/>
      <c r="AP148" s="143"/>
    </row>
    <row r="149" spans="6:42">
      <c r="F149" s="101"/>
      <c r="H149" s="100"/>
      <c r="AN149" s="140"/>
      <c r="AO149" s="100"/>
      <c r="AP149" s="143"/>
    </row>
    <row r="150" spans="6:42">
      <c r="F150" s="101"/>
      <c r="H150" s="100"/>
      <c r="AN150" s="140"/>
      <c r="AO150" s="100"/>
      <c r="AP150" s="143"/>
    </row>
  </sheetData>
  <mergeCells count="10">
    <mergeCell ref="A62:H62"/>
    <mergeCell ref="A68:H68"/>
    <mergeCell ref="A69:H69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61">
    <cfRule type="duplicateValues" dxfId="56" priority="1"/>
  </conditionalFormatting>
  <conditionalFormatting sqref="B63:B67">
    <cfRule type="duplicateValues" dxfId="55" priority="105"/>
  </conditionalFormatting>
  <conditionalFormatting sqref="B70:B1048576 B1:B5">
    <cfRule type="duplicateValues" dxfId="54" priority="33"/>
  </conditionalFormatting>
  <conditionalFormatting sqref="B6:C61">
    <cfRule type="duplicateValues" dxfId="53" priority="2"/>
  </conditionalFormatting>
  <conditionalFormatting sqref="B63:C67">
    <cfRule type="duplicateValues" dxfId="52" priority="107"/>
  </conditionalFormatting>
  <conditionalFormatting sqref="B70:C1048576 B1:C5">
    <cfRule type="duplicateValues" dxfId="51" priority="57"/>
  </conditionalFormatting>
  <conditionalFormatting sqref="C5">
    <cfRule type="duplicateValues" dxfId="50" priority="51"/>
    <cfRule type="duplicateValues" dxfId="49" priority="52"/>
    <cfRule type="duplicateValues" dxfId="48" priority="50"/>
  </conditionalFormatting>
  <conditionalFormatting sqref="C6:C61 E6:E61">
    <cfRule type="duplicateValues" dxfId="47" priority="3"/>
  </conditionalFormatting>
  <conditionalFormatting sqref="C6:C61">
    <cfRule type="duplicateValues" dxfId="46" priority="4"/>
    <cfRule type="duplicateValues" dxfId="45" priority="5"/>
    <cfRule type="duplicateValues" dxfId="44" priority="6"/>
  </conditionalFormatting>
  <conditionalFormatting sqref="C63:C67 E63:E67">
    <cfRule type="duplicateValues" dxfId="43" priority="109"/>
  </conditionalFormatting>
  <conditionalFormatting sqref="C63:C67">
    <cfRule type="duplicateValues" dxfId="42" priority="113"/>
    <cfRule type="duplicateValues" dxfId="41" priority="112"/>
    <cfRule type="duplicateValues" dxfId="40" priority="111"/>
  </conditionalFormatting>
  <conditionalFormatting sqref="C70:C1048576 C1:C5">
    <cfRule type="duplicateValues" dxfId="39" priority="34"/>
  </conditionalFormatting>
  <conditionalFormatting sqref="C70:C1048576 C4">
    <cfRule type="duplicateValues" dxfId="38" priority="49"/>
  </conditionalFormatting>
  <conditionalFormatting sqref="C70:C1048576 C4:C5">
    <cfRule type="duplicateValues" dxfId="37" priority="39"/>
    <cfRule type="duplicateValues" dxfId="36" priority="42"/>
    <cfRule type="duplicateValues" dxfId="35" priority="47"/>
  </conditionalFormatting>
  <conditionalFormatting sqref="C70:C1048576">
    <cfRule type="duplicateValues" dxfId="34" priority="43"/>
  </conditionalFormatting>
  <conditionalFormatting sqref="E5">
    <cfRule type="duplicateValues" dxfId="33" priority="54"/>
    <cfRule type="duplicateValues" dxfId="32" priority="53"/>
  </conditionalFormatting>
  <conditionalFormatting sqref="E6:E61">
    <cfRule type="duplicateValues" dxfId="31" priority="7"/>
    <cfRule type="duplicateValues" dxfId="30" priority="8"/>
    <cfRule type="duplicateValues" dxfId="29" priority="9"/>
  </conditionalFormatting>
  <conditionalFormatting sqref="E63:E67">
    <cfRule type="duplicateValues" dxfId="28" priority="121"/>
    <cfRule type="duplicateValues" dxfId="27" priority="119"/>
    <cfRule type="duplicateValues" dxfId="26" priority="120"/>
  </conditionalFormatting>
  <conditionalFormatting sqref="E70:E1048576 C4:C5 E4:E5 C70:C1048576">
    <cfRule type="duplicateValues" dxfId="25" priority="44"/>
  </conditionalFormatting>
  <conditionalFormatting sqref="E70:E1048576 E1:E5">
    <cfRule type="duplicateValues" dxfId="24" priority="36"/>
  </conditionalFormatting>
  <conditionalFormatting sqref="E70:E1048576 E4:E5">
    <cfRule type="duplicateValues" dxfId="23" priority="41"/>
    <cfRule type="duplicateValues" dxfId="22" priority="46"/>
    <cfRule type="duplicateValues" dxfId="21" priority="38"/>
  </conditionalFormatting>
  <conditionalFormatting sqref="G6:H61">
    <cfRule type="duplicateValues" dxfId="20" priority="10"/>
  </conditionalFormatting>
  <conditionalFormatting sqref="G63:H67">
    <cfRule type="duplicateValues" dxfId="19" priority="129"/>
  </conditionalFormatting>
  <conditionalFormatting sqref="G70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61">
    <cfRule type="duplicateValues" dxfId="15" priority="16"/>
    <cfRule type="duplicateValues" dxfId="14" priority="15"/>
    <cfRule type="duplicateValues" dxfId="13" priority="14"/>
    <cfRule type="duplicateValues" dxfId="12" priority="13"/>
    <cfRule type="duplicateValues" dxfId="11" priority="12"/>
    <cfRule type="duplicateValues" dxfId="10" priority="11"/>
  </conditionalFormatting>
  <conditionalFormatting sqref="H63:H67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70:H1048576 H4">
    <cfRule type="duplicateValues" dxfId="3" priority="48"/>
  </conditionalFormatting>
  <conditionalFormatting sqref="H70:H1048576 H4:H5">
    <cfRule type="duplicateValues" dxfId="2" priority="40"/>
    <cfRule type="duplicateValues" dxfId="1" priority="37"/>
    <cfRule type="duplicateValues" dxfId="0" priority="45"/>
  </conditionalFormatting>
  <pageMargins left="0.7" right="0.7" top="0.75" bottom="0.75" header="0.3" footer="0.3"/>
  <pageSetup paperSize="9" scale="27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S25"/>
  <sheetViews>
    <sheetView view="pageBreakPreview" zoomScale="85" zoomScaleNormal="115" zoomScaleSheetLayoutView="85" workbookViewId="0">
      <selection activeCell="B15" sqref="B15"/>
    </sheetView>
  </sheetViews>
  <sheetFormatPr defaultRowHeight="15"/>
  <cols>
    <col min="1" max="1" width="9.375" style="167" customWidth="1"/>
    <col min="2" max="2" width="21.625" style="168" bestFit="1" customWidth="1"/>
    <col min="3" max="3" width="13.375" style="167" customWidth="1"/>
    <col min="4" max="4" width="41.25" style="168" bestFit="1" customWidth="1"/>
    <col min="5" max="5" width="41.125" style="168" bestFit="1" customWidth="1"/>
    <col min="6" max="6" width="20.125" style="168" bestFit="1" customWidth="1"/>
    <col min="7" max="7" width="8" style="169" customWidth="1"/>
    <col min="8" max="8" width="14.25" style="170" customWidth="1"/>
    <col min="9" max="9" width="15.125" style="170" bestFit="1" customWidth="1"/>
    <col min="10" max="10" width="23.375" style="168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9" ht="33.75" customHeight="1">
      <c r="A1" s="271" t="s">
        <v>293</v>
      </c>
      <c r="B1" s="272"/>
      <c r="C1" s="272"/>
      <c r="D1" s="272"/>
      <c r="E1" s="272"/>
      <c r="F1" s="272"/>
      <c r="G1" s="272"/>
      <c r="H1" s="272"/>
      <c r="I1" s="272"/>
      <c r="J1" s="273"/>
    </row>
    <row r="2" spans="1:19" s="158" customFormat="1" ht="19.5" customHeight="1">
      <c r="A2" s="274" t="s">
        <v>294</v>
      </c>
      <c r="B2" s="275" t="s">
        <v>287</v>
      </c>
      <c r="C2" s="274" t="s">
        <v>251</v>
      </c>
      <c r="D2" s="274" t="s">
        <v>252</v>
      </c>
      <c r="E2" s="277" t="s">
        <v>295</v>
      </c>
      <c r="F2" s="274" t="s">
        <v>280</v>
      </c>
      <c r="G2" s="278" t="s">
        <v>296</v>
      </c>
      <c r="H2" s="279" t="s">
        <v>289</v>
      </c>
      <c r="I2" s="157" t="s">
        <v>290</v>
      </c>
      <c r="J2" s="274" t="s">
        <v>291</v>
      </c>
    </row>
    <row r="3" spans="1:19" s="158" customFormat="1" ht="19.5" customHeight="1">
      <c r="A3" s="274"/>
      <c r="B3" s="276"/>
      <c r="C3" s="274"/>
      <c r="D3" s="274"/>
      <c r="E3" s="277"/>
      <c r="F3" s="274"/>
      <c r="G3" s="278"/>
      <c r="H3" s="279"/>
      <c r="I3" s="152">
        <f>ROUND(SUM(I4:I19),)</f>
        <v>865000</v>
      </c>
      <c r="J3" s="274"/>
    </row>
    <row r="4" spans="1:19" s="164" customFormat="1" ht="15" customHeight="1">
      <c r="A4" s="160">
        <f t="shared" ref="A4:A12" si="0">ROW()-3</f>
        <v>1</v>
      </c>
      <c r="B4" s="161">
        <v>46002</v>
      </c>
      <c r="C4" s="160" t="s">
        <v>726</v>
      </c>
      <c r="D4" s="160" t="s">
        <v>314</v>
      </c>
      <c r="E4" s="160" t="s">
        <v>315</v>
      </c>
      <c r="F4" s="160" t="s">
        <v>441</v>
      </c>
      <c r="G4" s="160">
        <v>6</v>
      </c>
      <c r="H4" s="163">
        <v>500</v>
      </c>
      <c r="I4" s="163">
        <v>3000</v>
      </c>
      <c r="J4" s="160"/>
      <c r="L4" s="159" t="s">
        <v>248</v>
      </c>
      <c r="M4" s="17"/>
      <c r="N4" s="17"/>
      <c r="O4" s="17"/>
      <c r="P4" s="17"/>
      <c r="Q4" s="17"/>
      <c r="R4" s="17"/>
      <c r="S4" s="17"/>
    </row>
    <row r="5" spans="1:19" s="164" customFormat="1" ht="15" customHeight="1">
      <c r="A5" s="160">
        <f t="shared" si="0"/>
        <v>2</v>
      </c>
      <c r="B5" s="161">
        <v>46002</v>
      </c>
      <c r="C5" s="160" t="s">
        <v>726</v>
      </c>
      <c r="D5" s="160" t="s">
        <v>316</v>
      </c>
      <c r="E5" s="160" t="s">
        <v>317</v>
      </c>
      <c r="F5" s="160" t="s">
        <v>441</v>
      </c>
      <c r="G5" s="160">
        <v>2</v>
      </c>
      <c r="H5" s="163">
        <v>21000</v>
      </c>
      <c r="I5" s="163">
        <v>42000</v>
      </c>
      <c r="J5" s="160"/>
      <c r="L5" s="165" t="s">
        <v>297</v>
      </c>
      <c r="M5" s="17"/>
      <c r="N5" s="17"/>
      <c r="O5" s="17"/>
      <c r="P5" s="17"/>
      <c r="Q5" s="17"/>
      <c r="R5" s="17"/>
      <c r="S5" s="17"/>
    </row>
    <row r="6" spans="1:19" ht="15" customHeight="1">
      <c r="A6" s="160">
        <f t="shared" si="0"/>
        <v>3</v>
      </c>
      <c r="B6" s="161">
        <v>46002</v>
      </c>
      <c r="C6" s="160" t="s">
        <v>726</v>
      </c>
      <c r="D6" s="160" t="s">
        <v>316</v>
      </c>
      <c r="E6" s="160" t="s">
        <v>318</v>
      </c>
      <c r="F6" s="160" t="s">
        <v>441</v>
      </c>
      <c r="G6" s="160">
        <v>2</v>
      </c>
      <c r="H6" s="163">
        <v>37000</v>
      </c>
      <c r="I6" s="163">
        <v>74000</v>
      </c>
      <c r="J6" s="160"/>
      <c r="L6" s="165" t="s">
        <v>287</v>
      </c>
    </row>
    <row r="7" spans="1:19" ht="15" customHeight="1">
      <c r="A7" s="160">
        <f t="shared" si="0"/>
        <v>4</v>
      </c>
      <c r="B7" s="161">
        <v>46002</v>
      </c>
      <c r="C7" s="160" t="s">
        <v>726</v>
      </c>
      <c r="D7" s="160" t="s">
        <v>319</v>
      </c>
      <c r="E7" s="160" t="s">
        <v>320</v>
      </c>
      <c r="F7" s="160" t="s">
        <v>441</v>
      </c>
      <c r="G7" s="160">
        <v>10</v>
      </c>
      <c r="H7" s="163">
        <v>500</v>
      </c>
      <c r="I7" s="163">
        <v>5000</v>
      </c>
      <c r="J7" s="160"/>
      <c r="L7" s="165" t="s">
        <v>251</v>
      </c>
    </row>
    <row r="8" spans="1:19" ht="15" customHeight="1">
      <c r="A8" s="160">
        <f t="shared" si="0"/>
        <v>5</v>
      </c>
      <c r="B8" s="161">
        <v>46002</v>
      </c>
      <c r="C8" s="160" t="s">
        <v>726</v>
      </c>
      <c r="D8" s="160" t="s">
        <v>321</v>
      </c>
      <c r="E8" s="160" t="s">
        <v>322</v>
      </c>
      <c r="F8" s="160" t="s">
        <v>441</v>
      </c>
      <c r="G8" s="160">
        <v>10</v>
      </c>
      <c r="H8" s="163">
        <v>600</v>
      </c>
      <c r="I8" s="163">
        <v>6000</v>
      </c>
      <c r="J8" s="160"/>
      <c r="L8" s="165" t="s">
        <v>252</v>
      </c>
    </row>
    <row r="9" spans="1:19" ht="13.5">
      <c r="A9" s="160">
        <f t="shared" si="0"/>
        <v>6</v>
      </c>
      <c r="B9" s="161">
        <v>46002</v>
      </c>
      <c r="C9" s="160" t="s">
        <v>726</v>
      </c>
      <c r="D9" s="160" t="s">
        <v>321</v>
      </c>
      <c r="E9" s="160" t="s">
        <v>323</v>
      </c>
      <c r="F9" s="160" t="s">
        <v>441</v>
      </c>
      <c r="G9" s="160">
        <v>10</v>
      </c>
      <c r="H9" s="163">
        <v>600</v>
      </c>
      <c r="I9" s="163">
        <v>6000</v>
      </c>
      <c r="J9" s="160"/>
      <c r="L9" s="165" t="s">
        <v>295</v>
      </c>
    </row>
    <row r="10" spans="1:19" ht="13.5" customHeight="1">
      <c r="A10" s="160">
        <f t="shared" si="0"/>
        <v>7</v>
      </c>
      <c r="B10" s="161">
        <v>46003</v>
      </c>
      <c r="C10" s="160" t="s">
        <v>726</v>
      </c>
      <c r="D10" s="160" t="s">
        <v>321</v>
      </c>
      <c r="E10" s="160" t="s">
        <v>322</v>
      </c>
      <c r="F10" s="160" t="s">
        <v>441</v>
      </c>
      <c r="G10" s="162">
        <v>10</v>
      </c>
      <c r="H10" s="163">
        <v>600</v>
      </c>
      <c r="I10" s="163">
        <v>6000</v>
      </c>
      <c r="J10" s="160"/>
      <c r="L10" s="165" t="s">
        <v>298</v>
      </c>
    </row>
    <row r="11" spans="1:19" ht="13.5" customHeight="1">
      <c r="A11" s="160">
        <f t="shared" si="0"/>
        <v>8</v>
      </c>
      <c r="B11" s="161">
        <v>46003</v>
      </c>
      <c r="C11" s="160" t="s">
        <v>726</v>
      </c>
      <c r="D11" s="160" t="s">
        <v>336</v>
      </c>
      <c r="E11" s="160" t="s">
        <v>337</v>
      </c>
      <c r="F11" s="160" t="s">
        <v>441</v>
      </c>
      <c r="G11" s="162">
        <v>10</v>
      </c>
      <c r="H11" s="163">
        <v>100</v>
      </c>
      <c r="I11" s="163">
        <v>1000</v>
      </c>
      <c r="J11" s="160"/>
      <c r="L11" s="164" t="s">
        <v>299</v>
      </c>
    </row>
    <row r="12" spans="1:19" ht="13.5" customHeight="1">
      <c r="A12" s="160">
        <f t="shared" si="0"/>
        <v>9</v>
      </c>
      <c r="B12" s="161">
        <v>46003</v>
      </c>
      <c r="C12" s="160" t="s">
        <v>726</v>
      </c>
      <c r="D12" s="160" t="s">
        <v>338</v>
      </c>
      <c r="E12" s="160" t="s">
        <v>339</v>
      </c>
      <c r="F12" s="160" t="s">
        <v>441</v>
      </c>
      <c r="G12" s="162">
        <v>20</v>
      </c>
      <c r="H12" s="163">
        <v>1800</v>
      </c>
      <c r="I12" s="163">
        <v>36000</v>
      </c>
      <c r="J12" s="160"/>
      <c r="L12" s="164" t="s">
        <v>289</v>
      </c>
    </row>
    <row r="13" spans="1:19" ht="13.5">
      <c r="A13" s="160">
        <f t="shared" ref="A13:A19" si="1">ROW()-3</f>
        <v>10</v>
      </c>
      <c r="B13" s="161">
        <v>46008</v>
      </c>
      <c r="C13" s="160" t="s">
        <v>726</v>
      </c>
      <c r="D13" s="160" t="s">
        <v>360</v>
      </c>
      <c r="E13" s="160" t="s">
        <v>361</v>
      </c>
      <c r="F13" s="160" t="s">
        <v>441</v>
      </c>
      <c r="G13" s="162">
        <v>2</v>
      </c>
      <c r="H13" s="163">
        <v>89500</v>
      </c>
      <c r="I13" s="163">
        <v>179000</v>
      </c>
      <c r="J13" s="160"/>
      <c r="L13" s="164"/>
    </row>
    <row r="14" spans="1:19" ht="16.5">
      <c r="A14" s="160">
        <f t="shared" si="1"/>
        <v>11</v>
      </c>
      <c r="B14" s="161">
        <v>46008</v>
      </c>
      <c r="C14" s="160" t="s">
        <v>726</v>
      </c>
      <c r="D14" s="160" t="s">
        <v>360</v>
      </c>
      <c r="E14" s="160" t="s">
        <v>362</v>
      </c>
      <c r="F14" s="160" t="s">
        <v>441</v>
      </c>
      <c r="G14" s="162">
        <v>1</v>
      </c>
      <c r="H14" s="163">
        <v>85500</v>
      </c>
      <c r="I14" s="163">
        <v>85500</v>
      </c>
      <c r="J14" s="160"/>
      <c r="L14" s="166" t="s">
        <v>300</v>
      </c>
    </row>
    <row r="15" spans="1:19" ht="13.5">
      <c r="A15" s="160">
        <f t="shared" si="1"/>
        <v>12</v>
      </c>
      <c r="B15" s="161">
        <v>46008</v>
      </c>
      <c r="C15" s="160" t="s">
        <v>726</v>
      </c>
      <c r="D15" s="160" t="s">
        <v>360</v>
      </c>
      <c r="E15" s="160" t="s">
        <v>363</v>
      </c>
      <c r="F15" s="160" t="s">
        <v>441</v>
      </c>
      <c r="G15" s="162">
        <v>2</v>
      </c>
      <c r="H15" s="163">
        <v>71500</v>
      </c>
      <c r="I15" s="163">
        <v>143000</v>
      </c>
      <c r="J15" s="160"/>
    </row>
    <row r="16" spans="1:19" ht="13.5">
      <c r="A16" s="160">
        <f t="shared" si="1"/>
        <v>13</v>
      </c>
      <c r="B16" s="161">
        <v>46008</v>
      </c>
      <c r="C16" s="160" t="s">
        <v>726</v>
      </c>
      <c r="D16" s="160" t="s">
        <v>360</v>
      </c>
      <c r="E16" s="160" t="s">
        <v>364</v>
      </c>
      <c r="F16" s="160" t="s">
        <v>441</v>
      </c>
      <c r="G16" s="162">
        <v>1</v>
      </c>
      <c r="H16" s="163">
        <v>80000</v>
      </c>
      <c r="I16" s="163">
        <v>80000</v>
      </c>
      <c r="J16" s="160"/>
    </row>
    <row r="17" spans="1:10" ht="13.5">
      <c r="A17" s="160">
        <f t="shared" si="1"/>
        <v>14</v>
      </c>
      <c r="B17" s="161">
        <v>46008</v>
      </c>
      <c r="C17" s="160" t="s">
        <v>726</v>
      </c>
      <c r="D17" s="160" t="s">
        <v>360</v>
      </c>
      <c r="E17" s="160" t="s">
        <v>365</v>
      </c>
      <c r="F17" s="160" t="s">
        <v>441</v>
      </c>
      <c r="G17" s="162">
        <v>1</v>
      </c>
      <c r="H17" s="163">
        <v>24500</v>
      </c>
      <c r="I17" s="163">
        <v>24500</v>
      </c>
      <c r="J17" s="160"/>
    </row>
    <row r="18" spans="1:10" ht="13.5">
      <c r="A18" s="160">
        <f t="shared" si="1"/>
        <v>15</v>
      </c>
      <c r="B18" s="161">
        <v>46017</v>
      </c>
      <c r="C18" s="160" t="s">
        <v>726</v>
      </c>
      <c r="D18" s="160" t="s">
        <v>316</v>
      </c>
      <c r="E18" s="160" t="s">
        <v>317</v>
      </c>
      <c r="F18" s="160" t="s">
        <v>441</v>
      </c>
      <c r="G18" s="162">
        <v>3</v>
      </c>
      <c r="H18" s="163">
        <v>21000</v>
      </c>
      <c r="I18" s="163">
        <v>63000</v>
      </c>
      <c r="J18" s="160"/>
    </row>
    <row r="19" spans="1:10" ht="13.5">
      <c r="A19" s="160">
        <f t="shared" si="1"/>
        <v>16</v>
      </c>
      <c r="B19" s="161">
        <v>46017</v>
      </c>
      <c r="C19" s="160" t="s">
        <v>726</v>
      </c>
      <c r="D19" s="160" t="s">
        <v>316</v>
      </c>
      <c r="E19" s="160" t="s">
        <v>318</v>
      </c>
      <c r="F19" s="160" t="s">
        <v>441</v>
      </c>
      <c r="G19" s="162">
        <v>3</v>
      </c>
      <c r="H19" s="163">
        <v>37000</v>
      </c>
      <c r="I19" s="163">
        <v>111000</v>
      </c>
      <c r="J19" s="160"/>
    </row>
    <row r="20" spans="1:10" ht="13.5">
      <c r="A20" s="197"/>
      <c r="B20" s="197"/>
      <c r="C20" s="197"/>
      <c r="D20" s="197"/>
      <c r="E20" s="197"/>
      <c r="F20" s="197"/>
      <c r="J20" s="197"/>
    </row>
    <row r="21" spans="1:10" ht="13.5">
      <c r="A21" s="197"/>
      <c r="B21" s="197"/>
      <c r="C21" s="197"/>
      <c r="D21" s="197"/>
      <c r="E21" s="197"/>
      <c r="F21" s="197"/>
      <c r="J21" s="197"/>
    </row>
    <row r="22" spans="1:10" ht="13.5">
      <c r="A22" s="197"/>
      <c r="B22" s="197"/>
      <c r="C22" s="197"/>
      <c r="D22" s="197"/>
      <c r="E22" s="197"/>
      <c r="F22" s="197"/>
      <c r="J22" s="197"/>
    </row>
    <row r="23" spans="1:10" ht="13.5">
      <c r="A23" s="197"/>
      <c r="B23" s="197"/>
      <c r="C23" s="197"/>
      <c r="D23" s="197"/>
      <c r="E23" s="197"/>
      <c r="F23" s="197"/>
      <c r="J23" s="197"/>
    </row>
    <row r="24" spans="1:10" ht="13.5">
      <c r="A24" s="197"/>
      <c r="B24" s="197"/>
      <c r="C24" s="197"/>
      <c r="D24" s="197"/>
      <c r="E24" s="197"/>
      <c r="F24" s="197"/>
      <c r="J24" s="197"/>
    </row>
    <row r="25" spans="1:10" ht="13.5">
      <c r="A25" s="197"/>
      <c r="B25" s="197"/>
      <c r="C25" s="197"/>
      <c r="D25" s="197"/>
      <c r="E25" s="197"/>
      <c r="F25" s="197"/>
      <c r="J25" s="197"/>
    </row>
  </sheetData>
  <autoFilter ref="A2:J28" xr:uid="{2E421254-DD27-4148-AC38-C00782AEA3D1}">
    <sortState ref="A5:J28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Footer>&amp;L(주) 태성하이텍&amp;C&amp;P/&amp;N&amp;R&amp;A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L60"/>
  <sheetViews>
    <sheetView view="pageBreakPreview" zoomScaleNormal="115" zoomScaleSheetLayoutView="100" workbookViewId="0">
      <selection activeCell="B15" sqref="B15"/>
    </sheetView>
  </sheetViews>
  <sheetFormatPr defaultRowHeight="15"/>
  <cols>
    <col min="1" max="1" width="9.375" style="167" customWidth="1"/>
    <col min="2" max="2" width="21.625" style="168" bestFit="1" customWidth="1"/>
    <col min="3" max="3" width="13.375" style="167" customWidth="1"/>
    <col min="4" max="4" width="41.25" style="168" bestFit="1" customWidth="1"/>
    <col min="5" max="5" width="41.125" style="168" bestFit="1" customWidth="1"/>
    <col min="6" max="6" width="20.125" style="168" bestFit="1" customWidth="1"/>
    <col min="7" max="7" width="8" style="169" customWidth="1"/>
    <col min="8" max="8" width="14.25" style="170" customWidth="1"/>
    <col min="9" max="9" width="15.125" style="170" bestFit="1" customWidth="1"/>
    <col min="10" max="10" width="23.375" style="168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>
      <c r="A1" s="271" t="s">
        <v>301</v>
      </c>
      <c r="B1" s="272"/>
      <c r="C1" s="272"/>
      <c r="D1" s="272"/>
      <c r="E1" s="272"/>
      <c r="F1" s="272"/>
      <c r="G1" s="272"/>
      <c r="H1" s="272"/>
      <c r="I1" s="272"/>
      <c r="J1" s="273"/>
    </row>
    <row r="2" spans="1:12" s="158" customFormat="1" ht="19.5" customHeight="1">
      <c r="A2" s="274" t="s">
        <v>294</v>
      </c>
      <c r="B2" s="275" t="s">
        <v>287</v>
      </c>
      <c r="C2" s="274" t="s">
        <v>251</v>
      </c>
      <c r="D2" s="274" t="s">
        <v>252</v>
      </c>
      <c r="E2" s="277" t="s">
        <v>295</v>
      </c>
      <c r="F2" s="274" t="s">
        <v>280</v>
      </c>
      <c r="G2" s="278" t="s">
        <v>296</v>
      </c>
      <c r="H2" s="279" t="s">
        <v>289</v>
      </c>
      <c r="I2" s="157" t="s">
        <v>290</v>
      </c>
      <c r="J2" s="274" t="s">
        <v>291</v>
      </c>
    </row>
    <row r="3" spans="1:12" s="158" customFormat="1" ht="19.5" customHeight="1">
      <c r="A3" s="274"/>
      <c r="B3" s="276"/>
      <c r="C3" s="274"/>
      <c r="D3" s="274"/>
      <c r="E3" s="277"/>
      <c r="F3" s="274"/>
      <c r="G3" s="278"/>
      <c r="H3" s="279"/>
      <c r="I3" s="152">
        <f>ROUND(SUM(I4:I60),)</f>
        <v>3096709</v>
      </c>
      <c r="J3" s="274"/>
      <c r="L3" s="159" t="s">
        <v>248</v>
      </c>
    </row>
    <row r="4" spans="1:12" s="164" customFormat="1" ht="15" customHeight="1">
      <c r="A4" s="160">
        <f t="shared" ref="A4:A35" si="0">ROW()-3</f>
        <v>1</v>
      </c>
      <c r="B4" s="161">
        <v>45995</v>
      </c>
      <c r="C4" s="172" t="s">
        <v>726</v>
      </c>
      <c r="D4" s="160" t="s">
        <v>410</v>
      </c>
      <c r="E4" s="160" t="s">
        <v>411</v>
      </c>
      <c r="F4" s="173" t="s">
        <v>439</v>
      </c>
      <c r="G4" s="162">
        <v>1</v>
      </c>
      <c r="H4" s="163">
        <v>120909</v>
      </c>
      <c r="I4" s="163">
        <v>120909</v>
      </c>
      <c r="J4" s="171"/>
      <c r="L4" s="165" t="s">
        <v>297</v>
      </c>
    </row>
    <row r="5" spans="1:12" s="164" customFormat="1" ht="15" customHeight="1">
      <c r="A5" s="160">
        <f t="shared" si="0"/>
        <v>2</v>
      </c>
      <c r="B5" s="161">
        <v>46002</v>
      </c>
      <c r="C5" s="172" t="s">
        <v>726</v>
      </c>
      <c r="D5" s="171" t="s">
        <v>422</v>
      </c>
      <c r="E5" s="171" t="s">
        <v>423</v>
      </c>
      <c r="F5" s="171" t="s">
        <v>439</v>
      </c>
      <c r="G5" s="171">
        <v>500</v>
      </c>
      <c r="H5" s="174">
        <v>59.909090909090907</v>
      </c>
      <c r="I5" s="174">
        <v>29954.545454545452</v>
      </c>
      <c r="J5" s="171"/>
      <c r="L5" s="165" t="s">
        <v>287</v>
      </c>
    </row>
    <row r="6" spans="1:12" s="164" customFormat="1" ht="15" customHeight="1">
      <c r="A6" s="160">
        <f t="shared" si="0"/>
        <v>3</v>
      </c>
      <c r="B6" s="161">
        <v>46007</v>
      </c>
      <c r="C6" s="172" t="s">
        <v>726</v>
      </c>
      <c r="D6" s="171" t="s">
        <v>426</v>
      </c>
      <c r="E6" s="171"/>
      <c r="F6" s="171" t="s">
        <v>439</v>
      </c>
      <c r="G6" s="162">
        <v>2</v>
      </c>
      <c r="H6" s="163">
        <v>11499.999999999998</v>
      </c>
      <c r="I6" s="163">
        <v>22999.999999999996</v>
      </c>
      <c r="J6" s="171"/>
      <c r="L6" s="165" t="s">
        <v>251</v>
      </c>
    </row>
    <row r="7" spans="1:12" s="164" customFormat="1" ht="15" customHeight="1">
      <c r="A7" s="160">
        <f t="shared" si="0"/>
        <v>4</v>
      </c>
      <c r="B7" s="161">
        <v>46014</v>
      </c>
      <c r="C7" s="172" t="s">
        <v>726</v>
      </c>
      <c r="D7" s="171" t="s">
        <v>433</v>
      </c>
      <c r="E7" s="171" t="s">
        <v>434</v>
      </c>
      <c r="F7" s="171" t="s">
        <v>439</v>
      </c>
      <c r="G7" s="162">
        <v>100</v>
      </c>
      <c r="H7" s="163">
        <v>594.90909090909088</v>
      </c>
      <c r="I7" s="163">
        <v>59490.909090909088</v>
      </c>
      <c r="J7" s="171"/>
      <c r="L7" s="165" t="s">
        <v>252</v>
      </c>
    </row>
    <row r="8" spans="1:12" s="164" customFormat="1" ht="15" customHeight="1">
      <c r="A8" s="160">
        <f t="shared" si="0"/>
        <v>5</v>
      </c>
      <c r="B8" s="161">
        <v>46387</v>
      </c>
      <c r="C8" s="172" t="s">
        <v>726</v>
      </c>
      <c r="D8" s="171" t="s">
        <v>437</v>
      </c>
      <c r="E8" s="171" t="s">
        <v>438</v>
      </c>
      <c r="F8" s="171" t="s">
        <v>439</v>
      </c>
      <c r="G8" s="162">
        <v>1</v>
      </c>
      <c r="H8" s="163">
        <v>40909.090909090904</v>
      </c>
      <c r="I8" s="163">
        <v>40909.090909090904</v>
      </c>
      <c r="J8" s="171"/>
      <c r="L8" s="165" t="s">
        <v>295</v>
      </c>
    </row>
    <row r="9" spans="1:12" s="164" customFormat="1" ht="15" customHeight="1">
      <c r="A9" s="160">
        <f t="shared" si="0"/>
        <v>6</v>
      </c>
      <c r="B9" s="161">
        <v>45993</v>
      </c>
      <c r="C9" s="172" t="s">
        <v>726</v>
      </c>
      <c r="D9" s="160" t="s">
        <v>312</v>
      </c>
      <c r="E9" s="160" t="s">
        <v>313</v>
      </c>
      <c r="F9" s="160" t="s">
        <v>441</v>
      </c>
      <c r="G9" s="162">
        <v>5</v>
      </c>
      <c r="H9" s="163">
        <v>32000</v>
      </c>
      <c r="I9" s="163">
        <v>160000</v>
      </c>
      <c r="J9" s="171"/>
      <c r="L9" s="165" t="s">
        <v>298</v>
      </c>
    </row>
    <row r="10" spans="1:12" s="164" customFormat="1" ht="15" customHeight="1">
      <c r="A10" s="160">
        <f t="shared" si="0"/>
        <v>7</v>
      </c>
      <c r="B10" s="161">
        <v>46002</v>
      </c>
      <c r="C10" s="172" t="s">
        <v>726</v>
      </c>
      <c r="D10" s="171" t="s">
        <v>324</v>
      </c>
      <c r="E10" s="171" t="s">
        <v>325</v>
      </c>
      <c r="F10" s="171" t="s">
        <v>441</v>
      </c>
      <c r="G10" s="171">
        <v>2</v>
      </c>
      <c r="H10" s="174">
        <v>16700</v>
      </c>
      <c r="I10" s="174">
        <v>33400</v>
      </c>
      <c r="J10" s="171"/>
      <c r="L10" s="164" t="s">
        <v>299</v>
      </c>
    </row>
    <row r="11" spans="1:12" s="164" customFormat="1" ht="15" customHeight="1">
      <c r="A11" s="160">
        <f t="shared" si="0"/>
        <v>8</v>
      </c>
      <c r="B11" s="161">
        <v>46002</v>
      </c>
      <c r="C11" s="172" t="s">
        <v>726</v>
      </c>
      <c r="D11" s="171" t="s">
        <v>326</v>
      </c>
      <c r="E11" s="171" t="s">
        <v>327</v>
      </c>
      <c r="F11" s="171" t="s">
        <v>441</v>
      </c>
      <c r="G11" s="171">
        <v>3</v>
      </c>
      <c r="H11" s="174">
        <v>20000</v>
      </c>
      <c r="I11" s="174">
        <v>60000</v>
      </c>
      <c r="J11" s="171"/>
      <c r="L11" s="164" t="s">
        <v>289</v>
      </c>
    </row>
    <row r="12" spans="1:12" s="164" customFormat="1" ht="15" customHeight="1">
      <c r="A12" s="160">
        <f t="shared" si="0"/>
        <v>9</v>
      </c>
      <c r="B12" s="161">
        <v>46002</v>
      </c>
      <c r="C12" s="172" t="s">
        <v>726</v>
      </c>
      <c r="D12" s="171" t="s">
        <v>328</v>
      </c>
      <c r="E12" s="171" t="s">
        <v>329</v>
      </c>
      <c r="F12" s="171" t="s">
        <v>441</v>
      </c>
      <c r="G12" s="171">
        <v>10</v>
      </c>
      <c r="H12" s="174">
        <v>1200</v>
      </c>
      <c r="I12" s="174">
        <v>12000</v>
      </c>
      <c r="J12" s="171"/>
    </row>
    <row r="13" spans="1:12" s="164" customFormat="1" ht="15" customHeight="1">
      <c r="A13" s="160">
        <f t="shared" si="0"/>
        <v>10</v>
      </c>
      <c r="B13" s="161">
        <v>46002</v>
      </c>
      <c r="C13" s="172" t="s">
        <v>726</v>
      </c>
      <c r="D13" s="171" t="s">
        <v>312</v>
      </c>
      <c r="E13" s="171" t="s">
        <v>313</v>
      </c>
      <c r="F13" s="171" t="s">
        <v>441</v>
      </c>
      <c r="G13" s="171">
        <v>2</v>
      </c>
      <c r="H13" s="174">
        <v>32000</v>
      </c>
      <c r="I13" s="174">
        <v>64000</v>
      </c>
      <c r="J13" s="171"/>
      <c r="L13" s="166" t="s">
        <v>300</v>
      </c>
    </row>
    <row r="14" spans="1:12" ht="15" customHeight="1">
      <c r="A14" s="160">
        <f t="shared" si="0"/>
        <v>11</v>
      </c>
      <c r="B14" s="161">
        <v>46002</v>
      </c>
      <c r="C14" s="172" t="s">
        <v>726</v>
      </c>
      <c r="D14" s="171" t="s">
        <v>330</v>
      </c>
      <c r="E14" s="171" t="s">
        <v>331</v>
      </c>
      <c r="F14" s="171" t="s">
        <v>441</v>
      </c>
      <c r="G14" s="171">
        <v>1</v>
      </c>
      <c r="H14" s="174">
        <v>320000</v>
      </c>
      <c r="I14" s="174">
        <v>320000</v>
      </c>
      <c r="J14" s="171"/>
    </row>
    <row r="15" spans="1:12" ht="15" customHeight="1">
      <c r="A15" s="160">
        <f t="shared" si="0"/>
        <v>12</v>
      </c>
      <c r="B15" s="161">
        <v>46002</v>
      </c>
      <c r="C15" s="172" t="s">
        <v>726</v>
      </c>
      <c r="D15" s="171" t="s">
        <v>330</v>
      </c>
      <c r="E15" s="171" t="s">
        <v>332</v>
      </c>
      <c r="F15" s="171" t="s">
        <v>441</v>
      </c>
      <c r="G15" s="162">
        <v>1</v>
      </c>
      <c r="H15" s="163">
        <v>280000</v>
      </c>
      <c r="I15" s="163">
        <v>280000</v>
      </c>
      <c r="J15" s="171"/>
    </row>
    <row r="16" spans="1:12" ht="15" customHeight="1">
      <c r="A16" s="160">
        <f t="shared" si="0"/>
        <v>13</v>
      </c>
      <c r="B16" s="161">
        <v>46002</v>
      </c>
      <c r="C16" s="172" t="s">
        <v>726</v>
      </c>
      <c r="D16" s="171" t="s">
        <v>330</v>
      </c>
      <c r="E16" s="171" t="s">
        <v>333</v>
      </c>
      <c r="F16" s="171" t="s">
        <v>441</v>
      </c>
      <c r="G16" s="162">
        <v>1</v>
      </c>
      <c r="H16" s="163">
        <v>280000</v>
      </c>
      <c r="I16" s="163">
        <v>280000</v>
      </c>
      <c r="J16" s="171"/>
    </row>
    <row r="17" spans="1:10">
      <c r="A17" s="160">
        <f t="shared" si="0"/>
        <v>14</v>
      </c>
      <c r="B17" s="161">
        <v>46003</v>
      </c>
      <c r="C17" s="172" t="s">
        <v>726</v>
      </c>
      <c r="D17" s="171" t="s">
        <v>334</v>
      </c>
      <c r="E17" s="171" t="s">
        <v>335</v>
      </c>
      <c r="F17" s="171" t="s">
        <v>441</v>
      </c>
      <c r="G17" s="162">
        <v>4</v>
      </c>
      <c r="H17" s="163">
        <v>2500</v>
      </c>
      <c r="I17" s="163">
        <v>10000</v>
      </c>
      <c r="J17" s="171"/>
    </row>
    <row r="18" spans="1:10">
      <c r="A18" s="160">
        <f t="shared" si="0"/>
        <v>15</v>
      </c>
      <c r="B18" s="161">
        <v>46003</v>
      </c>
      <c r="C18" s="172" t="s">
        <v>726</v>
      </c>
      <c r="D18" s="171" t="s">
        <v>340</v>
      </c>
      <c r="E18" s="171" t="s">
        <v>341</v>
      </c>
      <c r="F18" s="171" t="s">
        <v>441</v>
      </c>
      <c r="G18" s="162">
        <v>20</v>
      </c>
      <c r="H18" s="163">
        <v>4500</v>
      </c>
      <c r="I18" s="163">
        <v>90000</v>
      </c>
      <c r="J18" s="171"/>
    </row>
    <row r="19" spans="1:10">
      <c r="A19" s="160">
        <f t="shared" si="0"/>
        <v>16</v>
      </c>
      <c r="B19" s="161">
        <v>46003</v>
      </c>
      <c r="C19" s="172" t="s">
        <v>726</v>
      </c>
      <c r="D19" s="171" t="s">
        <v>340</v>
      </c>
      <c r="E19" s="171" t="s">
        <v>342</v>
      </c>
      <c r="F19" s="171" t="s">
        <v>441</v>
      </c>
      <c r="G19" s="162">
        <v>20</v>
      </c>
      <c r="H19" s="163">
        <v>4500</v>
      </c>
      <c r="I19" s="163">
        <v>90000</v>
      </c>
      <c r="J19" s="171"/>
    </row>
    <row r="20" spans="1:10">
      <c r="A20" s="160">
        <f t="shared" si="0"/>
        <v>17</v>
      </c>
      <c r="B20" s="161">
        <v>46003</v>
      </c>
      <c r="C20" s="172" t="s">
        <v>726</v>
      </c>
      <c r="D20" s="171" t="s">
        <v>343</v>
      </c>
      <c r="E20" s="171" t="s">
        <v>344</v>
      </c>
      <c r="F20" s="171" t="s">
        <v>441</v>
      </c>
      <c r="G20" s="162">
        <v>10</v>
      </c>
      <c r="H20" s="163">
        <v>7800</v>
      </c>
      <c r="I20" s="163">
        <v>78000</v>
      </c>
      <c r="J20" s="171"/>
    </row>
    <row r="21" spans="1:10" ht="13.5" customHeight="1">
      <c r="A21" s="160">
        <f t="shared" si="0"/>
        <v>18</v>
      </c>
      <c r="B21" s="161">
        <v>46003</v>
      </c>
      <c r="C21" s="172" t="s">
        <v>726</v>
      </c>
      <c r="D21" s="171" t="s">
        <v>343</v>
      </c>
      <c r="E21" s="171" t="s">
        <v>345</v>
      </c>
      <c r="F21" s="171" t="s">
        <v>441</v>
      </c>
      <c r="G21" s="162">
        <v>10</v>
      </c>
      <c r="H21" s="163">
        <v>6500</v>
      </c>
      <c r="I21" s="163">
        <v>65000</v>
      </c>
      <c r="J21" s="171"/>
    </row>
    <row r="22" spans="1:10" ht="13.5" customHeight="1">
      <c r="A22" s="160">
        <f t="shared" si="0"/>
        <v>19</v>
      </c>
      <c r="B22" s="161">
        <v>46003</v>
      </c>
      <c r="C22" s="172" t="s">
        <v>726</v>
      </c>
      <c r="D22" s="171" t="s">
        <v>346</v>
      </c>
      <c r="E22" s="171" t="s">
        <v>347</v>
      </c>
      <c r="F22" s="171" t="s">
        <v>441</v>
      </c>
      <c r="G22" s="162">
        <v>5</v>
      </c>
      <c r="H22" s="163">
        <v>4800</v>
      </c>
      <c r="I22" s="163">
        <v>24000</v>
      </c>
      <c r="J22" s="171"/>
    </row>
    <row r="23" spans="1:10" ht="13.5" customHeight="1">
      <c r="A23" s="160">
        <f t="shared" si="0"/>
        <v>20</v>
      </c>
      <c r="B23" s="161">
        <v>46007</v>
      </c>
      <c r="C23" s="172" t="s">
        <v>726</v>
      </c>
      <c r="D23" s="171" t="s">
        <v>348</v>
      </c>
      <c r="E23" s="171" t="s">
        <v>349</v>
      </c>
      <c r="F23" s="171" t="s">
        <v>441</v>
      </c>
      <c r="G23" s="162">
        <v>20</v>
      </c>
      <c r="H23" s="163">
        <v>3500</v>
      </c>
      <c r="I23" s="163">
        <v>70000</v>
      </c>
      <c r="J23" s="171"/>
    </row>
    <row r="24" spans="1:10" ht="13.5" customHeight="1">
      <c r="A24" s="160">
        <f t="shared" si="0"/>
        <v>21</v>
      </c>
      <c r="B24" s="161">
        <v>46007</v>
      </c>
      <c r="C24" s="172" t="s">
        <v>726</v>
      </c>
      <c r="D24" s="171" t="s">
        <v>350</v>
      </c>
      <c r="E24" s="171" t="s">
        <v>351</v>
      </c>
      <c r="F24" s="171" t="s">
        <v>441</v>
      </c>
      <c r="G24" s="162">
        <v>10</v>
      </c>
      <c r="H24" s="163">
        <v>800</v>
      </c>
      <c r="I24" s="163">
        <v>8000</v>
      </c>
      <c r="J24" s="171"/>
    </row>
    <row r="25" spans="1:10" ht="13.5" customHeight="1">
      <c r="A25" s="160">
        <f t="shared" si="0"/>
        <v>22</v>
      </c>
      <c r="B25" s="161">
        <v>46007</v>
      </c>
      <c r="C25" s="172" t="s">
        <v>726</v>
      </c>
      <c r="D25" s="171" t="s">
        <v>352</v>
      </c>
      <c r="E25" s="171" t="s">
        <v>353</v>
      </c>
      <c r="F25" s="171" t="s">
        <v>441</v>
      </c>
      <c r="G25" s="162">
        <v>5</v>
      </c>
      <c r="H25" s="163">
        <v>5000</v>
      </c>
      <c r="I25" s="163">
        <v>25000</v>
      </c>
      <c r="J25" s="171"/>
    </row>
    <row r="26" spans="1:10" ht="13.5" customHeight="1">
      <c r="A26" s="160">
        <f t="shared" si="0"/>
        <v>23</v>
      </c>
      <c r="B26" s="161">
        <v>46008</v>
      </c>
      <c r="C26" s="172" t="s">
        <v>726</v>
      </c>
      <c r="D26" s="171" t="s">
        <v>354</v>
      </c>
      <c r="E26" s="171" t="s">
        <v>355</v>
      </c>
      <c r="F26" s="171" t="s">
        <v>441</v>
      </c>
      <c r="G26" s="162">
        <v>3</v>
      </c>
      <c r="H26" s="163">
        <v>31000</v>
      </c>
      <c r="I26" s="163">
        <v>93000</v>
      </c>
      <c r="J26" s="171"/>
    </row>
    <row r="27" spans="1:10" ht="13.5" customHeight="1">
      <c r="A27" s="160">
        <f t="shared" si="0"/>
        <v>24</v>
      </c>
      <c r="B27" s="161">
        <v>46008</v>
      </c>
      <c r="C27" s="172" t="s">
        <v>726</v>
      </c>
      <c r="D27" s="171" t="s">
        <v>354</v>
      </c>
      <c r="E27" s="171" t="s">
        <v>356</v>
      </c>
      <c r="F27" s="171" t="s">
        <v>441</v>
      </c>
      <c r="G27" s="162">
        <v>2</v>
      </c>
      <c r="H27" s="163">
        <v>31000</v>
      </c>
      <c r="I27" s="163">
        <v>62000</v>
      </c>
      <c r="J27" s="171"/>
    </row>
    <row r="28" spans="1:10" ht="13.5" customHeight="1">
      <c r="A28" s="160">
        <f t="shared" si="0"/>
        <v>25</v>
      </c>
      <c r="B28" s="161">
        <v>46008</v>
      </c>
      <c r="C28" s="172" t="s">
        <v>726</v>
      </c>
      <c r="D28" s="171" t="s">
        <v>357</v>
      </c>
      <c r="E28" s="171" t="s">
        <v>358</v>
      </c>
      <c r="F28" s="171" t="s">
        <v>441</v>
      </c>
      <c r="G28" s="162">
        <v>1</v>
      </c>
      <c r="H28" s="163">
        <v>4000</v>
      </c>
      <c r="I28" s="163">
        <v>4000</v>
      </c>
      <c r="J28" s="171"/>
    </row>
    <row r="29" spans="1:10" ht="13.5" customHeight="1">
      <c r="A29" s="160">
        <f t="shared" si="0"/>
        <v>26</v>
      </c>
      <c r="B29" s="161">
        <v>46008</v>
      </c>
      <c r="C29" s="172" t="s">
        <v>726</v>
      </c>
      <c r="D29" s="171" t="s">
        <v>357</v>
      </c>
      <c r="E29" s="171" t="s">
        <v>359</v>
      </c>
      <c r="F29" s="171" t="s">
        <v>441</v>
      </c>
      <c r="G29" s="162">
        <v>1</v>
      </c>
      <c r="H29" s="163">
        <v>4000</v>
      </c>
      <c r="I29" s="163">
        <v>4000</v>
      </c>
      <c r="J29" s="171"/>
    </row>
    <row r="30" spans="1:10" ht="13.5" customHeight="1">
      <c r="A30" s="160">
        <f t="shared" si="0"/>
        <v>27</v>
      </c>
      <c r="B30" s="161">
        <v>46009</v>
      </c>
      <c r="C30" s="172" t="s">
        <v>726</v>
      </c>
      <c r="D30" s="171" t="s">
        <v>366</v>
      </c>
      <c r="E30" s="171" t="s">
        <v>367</v>
      </c>
      <c r="F30" s="171" t="s">
        <v>441</v>
      </c>
      <c r="G30" s="162">
        <v>1</v>
      </c>
      <c r="H30" s="163">
        <v>25000</v>
      </c>
      <c r="I30" s="163">
        <v>25000</v>
      </c>
      <c r="J30" s="171"/>
    </row>
    <row r="31" spans="1:10">
      <c r="A31" s="160">
        <f t="shared" si="0"/>
        <v>28</v>
      </c>
      <c r="B31" s="161">
        <v>46010</v>
      </c>
      <c r="C31" s="172" t="s">
        <v>726</v>
      </c>
      <c r="D31" s="171" t="s">
        <v>368</v>
      </c>
      <c r="E31" s="171" t="s">
        <v>369</v>
      </c>
      <c r="F31" s="171" t="s">
        <v>441</v>
      </c>
      <c r="G31" s="162">
        <v>20</v>
      </c>
      <c r="H31" s="163">
        <v>4000</v>
      </c>
      <c r="I31" s="163">
        <v>80000</v>
      </c>
      <c r="J31" s="171"/>
    </row>
    <row r="32" spans="1:10">
      <c r="A32" s="160">
        <f t="shared" si="0"/>
        <v>29</v>
      </c>
      <c r="B32" s="161">
        <v>46010</v>
      </c>
      <c r="C32" s="172" t="s">
        <v>726</v>
      </c>
      <c r="D32" s="171" t="s">
        <v>370</v>
      </c>
      <c r="E32" s="171" t="s">
        <v>371</v>
      </c>
      <c r="F32" s="171" t="s">
        <v>441</v>
      </c>
      <c r="G32" s="162">
        <v>100</v>
      </c>
      <c r="H32" s="163">
        <v>100</v>
      </c>
      <c r="I32" s="163">
        <v>10000</v>
      </c>
      <c r="J32" s="171"/>
    </row>
    <row r="33" spans="1:10">
      <c r="A33" s="160">
        <f t="shared" si="0"/>
        <v>30</v>
      </c>
      <c r="B33" s="161">
        <v>46013</v>
      </c>
      <c r="C33" s="172" t="s">
        <v>726</v>
      </c>
      <c r="D33" s="171" t="s">
        <v>372</v>
      </c>
      <c r="E33" s="171" t="s">
        <v>373</v>
      </c>
      <c r="F33" s="171" t="s">
        <v>441</v>
      </c>
      <c r="G33" s="162">
        <v>20</v>
      </c>
      <c r="H33" s="163">
        <v>1100</v>
      </c>
      <c r="I33" s="163">
        <v>22000</v>
      </c>
      <c r="J33" s="171"/>
    </row>
    <row r="34" spans="1:10">
      <c r="A34" s="160">
        <f t="shared" si="0"/>
        <v>31</v>
      </c>
      <c r="B34" s="161">
        <v>46013</v>
      </c>
      <c r="C34" s="172" t="s">
        <v>726</v>
      </c>
      <c r="D34" s="171" t="s">
        <v>374</v>
      </c>
      <c r="E34" s="171" t="s">
        <v>375</v>
      </c>
      <c r="F34" s="171" t="s">
        <v>441</v>
      </c>
      <c r="G34" s="162">
        <v>10</v>
      </c>
      <c r="H34" s="163">
        <v>2500</v>
      </c>
      <c r="I34" s="163">
        <v>25000</v>
      </c>
      <c r="J34" s="171"/>
    </row>
    <row r="35" spans="1:10">
      <c r="A35" s="160">
        <f t="shared" si="0"/>
        <v>32</v>
      </c>
      <c r="B35" s="161">
        <v>46013</v>
      </c>
      <c r="C35" s="172" t="s">
        <v>726</v>
      </c>
      <c r="D35" s="171" t="s">
        <v>376</v>
      </c>
      <c r="E35" s="171" t="s">
        <v>377</v>
      </c>
      <c r="F35" s="171" t="s">
        <v>441</v>
      </c>
      <c r="G35" s="162">
        <v>5</v>
      </c>
      <c r="H35" s="163">
        <v>10000</v>
      </c>
      <c r="I35" s="163">
        <v>50000</v>
      </c>
      <c r="J35" s="171"/>
    </row>
    <row r="36" spans="1:10">
      <c r="A36" s="160">
        <f t="shared" ref="A36:A60" si="1">ROW()-3</f>
        <v>33</v>
      </c>
      <c r="B36" s="161">
        <v>46013</v>
      </c>
      <c r="C36" s="172" t="s">
        <v>726</v>
      </c>
      <c r="D36" s="171" t="s">
        <v>376</v>
      </c>
      <c r="E36" s="171" t="s">
        <v>378</v>
      </c>
      <c r="F36" s="171" t="s">
        <v>441</v>
      </c>
      <c r="G36" s="162">
        <v>1</v>
      </c>
      <c r="H36" s="163">
        <v>10000</v>
      </c>
      <c r="I36" s="163">
        <v>10000</v>
      </c>
      <c r="J36" s="171"/>
    </row>
    <row r="37" spans="1:10">
      <c r="A37" s="160">
        <f t="shared" si="1"/>
        <v>34</v>
      </c>
      <c r="B37" s="161">
        <v>46013</v>
      </c>
      <c r="C37" s="172" t="s">
        <v>726</v>
      </c>
      <c r="D37" s="171" t="s">
        <v>376</v>
      </c>
      <c r="E37" s="171" t="s">
        <v>379</v>
      </c>
      <c r="F37" s="171" t="s">
        <v>441</v>
      </c>
      <c r="G37" s="162">
        <v>1</v>
      </c>
      <c r="H37" s="163">
        <v>10000</v>
      </c>
      <c r="I37" s="163">
        <v>10000</v>
      </c>
      <c r="J37" s="171"/>
    </row>
    <row r="38" spans="1:10">
      <c r="A38" s="160">
        <f t="shared" si="1"/>
        <v>35</v>
      </c>
      <c r="B38" s="161">
        <v>46013</v>
      </c>
      <c r="C38" s="172" t="s">
        <v>726</v>
      </c>
      <c r="D38" s="171" t="s">
        <v>380</v>
      </c>
      <c r="E38" s="171" t="s">
        <v>381</v>
      </c>
      <c r="F38" s="171" t="s">
        <v>441</v>
      </c>
      <c r="G38" s="162">
        <v>15</v>
      </c>
      <c r="H38" s="163">
        <v>3800</v>
      </c>
      <c r="I38" s="163">
        <v>57000</v>
      </c>
      <c r="J38" s="171"/>
    </row>
    <row r="39" spans="1:10">
      <c r="A39" s="160">
        <f t="shared" si="1"/>
        <v>36</v>
      </c>
      <c r="B39" s="161">
        <v>46013</v>
      </c>
      <c r="C39" s="172" t="s">
        <v>726</v>
      </c>
      <c r="D39" s="171" t="s">
        <v>382</v>
      </c>
      <c r="E39" s="171" t="s">
        <v>383</v>
      </c>
      <c r="F39" s="171" t="s">
        <v>441</v>
      </c>
      <c r="G39" s="162">
        <v>30</v>
      </c>
      <c r="H39" s="163">
        <v>4500</v>
      </c>
      <c r="I39" s="163">
        <v>135000</v>
      </c>
      <c r="J39" s="171"/>
    </row>
    <row r="40" spans="1:10">
      <c r="A40" s="160">
        <f t="shared" si="1"/>
        <v>37</v>
      </c>
      <c r="B40" s="161">
        <v>46013</v>
      </c>
      <c r="C40" s="172" t="s">
        <v>726</v>
      </c>
      <c r="D40" s="171" t="s">
        <v>384</v>
      </c>
      <c r="E40" s="171" t="s">
        <v>385</v>
      </c>
      <c r="F40" s="171" t="s">
        <v>441</v>
      </c>
      <c r="G40" s="162">
        <v>30</v>
      </c>
      <c r="H40" s="163">
        <v>2100</v>
      </c>
      <c r="I40" s="163">
        <v>63000</v>
      </c>
      <c r="J40" s="171"/>
    </row>
    <row r="41" spans="1:10">
      <c r="A41" s="160">
        <f t="shared" si="1"/>
        <v>38</v>
      </c>
      <c r="B41" s="161">
        <v>46013</v>
      </c>
      <c r="C41" s="172" t="s">
        <v>726</v>
      </c>
      <c r="D41" s="171" t="s">
        <v>386</v>
      </c>
      <c r="E41" s="171" t="s">
        <v>387</v>
      </c>
      <c r="F41" s="171" t="s">
        <v>441</v>
      </c>
      <c r="G41" s="162">
        <v>10</v>
      </c>
      <c r="H41" s="163">
        <v>5700</v>
      </c>
      <c r="I41" s="163">
        <v>57000</v>
      </c>
      <c r="J41" s="171"/>
    </row>
    <row r="42" spans="1:10">
      <c r="A42" s="160">
        <f t="shared" si="1"/>
        <v>39</v>
      </c>
      <c r="B42" s="161">
        <v>46014</v>
      </c>
      <c r="C42" s="172" t="s">
        <v>726</v>
      </c>
      <c r="D42" s="171" t="s">
        <v>388</v>
      </c>
      <c r="E42" s="171" t="s">
        <v>389</v>
      </c>
      <c r="F42" s="171" t="s">
        <v>441</v>
      </c>
      <c r="G42" s="162">
        <v>3</v>
      </c>
      <c r="H42" s="163">
        <v>6100</v>
      </c>
      <c r="I42" s="163">
        <v>18300</v>
      </c>
      <c r="J42" s="171"/>
    </row>
    <row r="43" spans="1:10">
      <c r="A43" s="160">
        <f t="shared" si="1"/>
        <v>40</v>
      </c>
      <c r="B43" s="161">
        <v>46014</v>
      </c>
      <c r="C43" s="172" t="s">
        <v>726</v>
      </c>
      <c r="D43" s="171" t="s">
        <v>390</v>
      </c>
      <c r="E43" s="171" t="s">
        <v>391</v>
      </c>
      <c r="F43" s="171" t="s">
        <v>441</v>
      </c>
      <c r="G43" s="162">
        <v>10</v>
      </c>
      <c r="H43" s="163">
        <v>2600</v>
      </c>
      <c r="I43" s="163">
        <v>26000</v>
      </c>
      <c r="J43" s="171"/>
    </row>
    <row r="44" spans="1:10">
      <c r="A44" s="160">
        <f t="shared" si="1"/>
        <v>41</v>
      </c>
      <c r="B44" s="161">
        <v>46014</v>
      </c>
      <c r="C44" s="172" t="s">
        <v>726</v>
      </c>
      <c r="D44" s="171" t="s">
        <v>392</v>
      </c>
      <c r="E44" s="171" t="s">
        <v>393</v>
      </c>
      <c r="F44" s="171" t="s">
        <v>441</v>
      </c>
      <c r="G44" s="162">
        <v>2</v>
      </c>
      <c r="H44" s="163">
        <v>5700</v>
      </c>
      <c r="I44" s="163">
        <v>11400</v>
      </c>
      <c r="J44" s="171"/>
    </row>
    <row r="45" spans="1:10">
      <c r="A45" s="160">
        <f t="shared" si="1"/>
        <v>42</v>
      </c>
      <c r="B45" s="161">
        <v>46014</v>
      </c>
      <c r="C45" s="172" t="s">
        <v>726</v>
      </c>
      <c r="D45" s="171" t="s">
        <v>394</v>
      </c>
      <c r="E45" s="171" t="s">
        <v>395</v>
      </c>
      <c r="F45" s="171" t="s">
        <v>441</v>
      </c>
      <c r="G45" s="162">
        <v>2</v>
      </c>
      <c r="H45" s="163">
        <v>3400</v>
      </c>
      <c r="I45" s="163">
        <v>6800</v>
      </c>
      <c r="J45" s="171"/>
    </row>
    <row r="46" spans="1:10">
      <c r="A46" s="160">
        <f t="shared" si="1"/>
        <v>43</v>
      </c>
      <c r="B46" s="161">
        <v>46014</v>
      </c>
      <c r="C46" s="172" t="s">
        <v>726</v>
      </c>
      <c r="D46" s="171" t="s">
        <v>396</v>
      </c>
      <c r="E46" s="171" t="s">
        <v>397</v>
      </c>
      <c r="F46" s="171" t="s">
        <v>441</v>
      </c>
      <c r="G46" s="162">
        <v>10</v>
      </c>
      <c r="H46" s="163">
        <v>800</v>
      </c>
      <c r="I46" s="163">
        <v>8000</v>
      </c>
      <c r="J46" s="171"/>
    </row>
    <row r="47" spans="1:10">
      <c r="A47" s="160">
        <f t="shared" si="1"/>
        <v>44</v>
      </c>
      <c r="B47" s="161">
        <v>46014</v>
      </c>
      <c r="C47" s="172" t="s">
        <v>726</v>
      </c>
      <c r="D47" s="171" t="s">
        <v>398</v>
      </c>
      <c r="E47" s="171" t="s">
        <v>399</v>
      </c>
      <c r="F47" s="171" t="s">
        <v>441</v>
      </c>
      <c r="G47" s="162">
        <v>10</v>
      </c>
      <c r="H47" s="163">
        <v>1500</v>
      </c>
      <c r="I47" s="163">
        <v>15000</v>
      </c>
      <c r="J47" s="171"/>
    </row>
    <row r="48" spans="1:10">
      <c r="A48" s="160">
        <f t="shared" si="1"/>
        <v>45</v>
      </c>
      <c r="B48" s="161">
        <v>46014</v>
      </c>
      <c r="C48" s="172" t="s">
        <v>726</v>
      </c>
      <c r="D48" s="171" t="s">
        <v>396</v>
      </c>
      <c r="E48" s="171" t="s">
        <v>400</v>
      </c>
      <c r="F48" s="171" t="s">
        <v>441</v>
      </c>
      <c r="G48" s="162">
        <v>5</v>
      </c>
      <c r="H48" s="163">
        <v>800</v>
      </c>
      <c r="I48" s="163">
        <v>4000</v>
      </c>
      <c r="J48" s="171"/>
    </row>
    <row r="49" spans="1:10">
      <c r="A49" s="160">
        <f t="shared" si="1"/>
        <v>46</v>
      </c>
      <c r="B49" s="161">
        <v>46015</v>
      </c>
      <c r="C49" s="172" t="s">
        <v>726</v>
      </c>
      <c r="D49" s="171" t="s">
        <v>343</v>
      </c>
      <c r="E49" s="171" t="s">
        <v>344</v>
      </c>
      <c r="F49" s="171" t="s">
        <v>441</v>
      </c>
      <c r="G49" s="162">
        <v>5</v>
      </c>
      <c r="H49" s="163">
        <v>7800</v>
      </c>
      <c r="I49" s="163">
        <v>39000</v>
      </c>
      <c r="J49" s="171"/>
    </row>
    <row r="50" spans="1:10">
      <c r="A50" s="160">
        <f t="shared" si="1"/>
        <v>47</v>
      </c>
      <c r="B50" s="161">
        <v>46015</v>
      </c>
      <c r="C50" s="172" t="s">
        <v>726</v>
      </c>
      <c r="D50" s="171" t="s">
        <v>401</v>
      </c>
      <c r="E50" s="171" t="s">
        <v>402</v>
      </c>
      <c r="F50" s="171" t="s">
        <v>441</v>
      </c>
      <c r="G50" s="162">
        <v>10</v>
      </c>
      <c r="H50" s="163">
        <v>3500</v>
      </c>
      <c r="I50" s="163">
        <v>35000</v>
      </c>
      <c r="J50" s="171"/>
    </row>
    <row r="51" spans="1:10">
      <c r="A51" s="160">
        <f t="shared" si="1"/>
        <v>48</v>
      </c>
      <c r="B51" s="161">
        <v>46015</v>
      </c>
      <c r="C51" s="172" t="s">
        <v>726</v>
      </c>
      <c r="D51" s="171" t="s">
        <v>403</v>
      </c>
      <c r="E51" s="171" t="s">
        <v>404</v>
      </c>
      <c r="F51" s="171" t="s">
        <v>441</v>
      </c>
      <c r="G51" s="162">
        <v>100</v>
      </c>
      <c r="H51" s="163">
        <v>230</v>
      </c>
      <c r="I51" s="163">
        <v>23000</v>
      </c>
      <c r="J51" s="171"/>
    </row>
    <row r="52" spans="1:10">
      <c r="A52" s="160">
        <f t="shared" si="1"/>
        <v>49</v>
      </c>
      <c r="B52" s="161">
        <v>46017</v>
      </c>
      <c r="C52" s="172" t="s">
        <v>726</v>
      </c>
      <c r="D52" s="171" t="s">
        <v>348</v>
      </c>
      <c r="E52" s="171" t="s">
        <v>349</v>
      </c>
      <c r="F52" s="171" t="s">
        <v>441</v>
      </c>
      <c r="G52" s="162">
        <v>10</v>
      </c>
      <c r="H52" s="163">
        <v>3500</v>
      </c>
      <c r="I52" s="163">
        <v>35000</v>
      </c>
      <c r="J52" s="171"/>
    </row>
    <row r="53" spans="1:10">
      <c r="A53" s="160">
        <f t="shared" si="1"/>
        <v>50</v>
      </c>
      <c r="B53" s="161">
        <v>46017</v>
      </c>
      <c r="C53" s="172" t="s">
        <v>726</v>
      </c>
      <c r="D53" s="171" t="s">
        <v>396</v>
      </c>
      <c r="E53" s="171" t="s">
        <v>397</v>
      </c>
      <c r="F53" s="171" t="s">
        <v>441</v>
      </c>
      <c r="G53" s="162">
        <v>10</v>
      </c>
      <c r="H53" s="163">
        <v>800</v>
      </c>
      <c r="I53" s="163">
        <v>8000</v>
      </c>
      <c r="J53" s="171"/>
    </row>
    <row r="54" spans="1:10">
      <c r="A54" s="160">
        <f t="shared" si="1"/>
        <v>51</v>
      </c>
      <c r="B54" s="161">
        <v>46017</v>
      </c>
      <c r="C54" s="172" t="s">
        <v>726</v>
      </c>
      <c r="D54" s="171" t="s">
        <v>348</v>
      </c>
      <c r="E54" s="171" t="s">
        <v>349</v>
      </c>
      <c r="F54" s="171" t="s">
        <v>441</v>
      </c>
      <c r="G54" s="162">
        <v>10</v>
      </c>
      <c r="H54" s="163">
        <v>3500</v>
      </c>
      <c r="I54" s="163">
        <v>35000</v>
      </c>
      <c r="J54" s="171"/>
    </row>
    <row r="55" spans="1:10">
      <c r="A55" s="160">
        <f t="shared" si="1"/>
        <v>52</v>
      </c>
      <c r="B55" s="161">
        <v>46017</v>
      </c>
      <c r="C55" s="172" t="s">
        <v>726</v>
      </c>
      <c r="D55" s="171" t="s">
        <v>334</v>
      </c>
      <c r="E55" s="171" t="s">
        <v>335</v>
      </c>
      <c r="F55" s="171" t="s">
        <v>441</v>
      </c>
      <c r="G55" s="162">
        <v>5</v>
      </c>
      <c r="H55" s="163">
        <v>2600</v>
      </c>
      <c r="I55" s="163">
        <v>13000</v>
      </c>
      <c r="J55" s="171"/>
    </row>
    <row r="56" spans="1:10">
      <c r="A56" s="160">
        <f t="shared" si="1"/>
        <v>53</v>
      </c>
      <c r="B56" s="161">
        <v>46387</v>
      </c>
      <c r="C56" s="172" t="s">
        <v>726</v>
      </c>
      <c r="D56" s="171" t="s">
        <v>405</v>
      </c>
      <c r="E56" s="171" t="s">
        <v>406</v>
      </c>
      <c r="F56" s="171" t="s">
        <v>441</v>
      </c>
      <c r="G56" s="162">
        <v>2</v>
      </c>
      <c r="H56" s="163">
        <v>3000</v>
      </c>
      <c r="I56" s="163">
        <v>6000</v>
      </c>
      <c r="J56" s="171"/>
    </row>
    <row r="57" spans="1:10">
      <c r="A57" s="160">
        <f t="shared" si="1"/>
        <v>54</v>
      </c>
      <c r="B57" s="161">
        <v>46387</v>
      </c>
      <c r="C57" s="172" t="s">
        <v>726</v>
      </c>
      <c r="D57" s="171" t="s">
        <v>407</v>
      </c>
      <c r="E57" s="171" t="s">
        <v>408</v>
      </c>
      <c r="F57" s="171" t="s">
        <v>441</v>
      </c>
      <c r="G57" s="162">
        <v>20</v>
      </c>
      <c r="H57" s="163">
        <v>400</v>
      </c>
      <c r="I57" s="163">
        <v>8000</v>
      </c>
      <c r="J57" s="171"/>
    </row>
    <row r="58" spans="1:10">
      <c r="A58" s="160">
        <f t="shared" si="1"/>
        <v>55</v>
      </c>
      <c r="B58" s="161">
        <v>46387</v>
      </c>
      <c r="C58" s="172" t="s">
        <v>726</v>
      </c>
      <c r="D58" s="171" t="s">
        <v>368</v>
      </c>
      <c r="E58" s="171" t="s">
        <v>369</v>
      </c>
      <c r="F58" s="171" t="s">
        <v>441</v>
      </c>
      <c r="G58" s="162">
        <v>20</v>
      </c>
      <c r="H58" s="163">
        <v>4000</v>
      </c>
      <c r="I58" s="163">
        <v>80000</v>
      </c>
      <c r="J58" s="171"/>
    </row>
    <row r="59" spans="1:10">
      <c r="A59" s="160">
        <f t="shared" si="1"/>
        <v>56</v>
      </c>
      <c r="B59" s="161">
        <v>46008</v>
      </c>
      <c r="C59" s="172" t="s">
        <v>726</v>
      </c>
      <c r="D59" s="171" t="s">
        <v>428</v>
      </c>
      <c r="E59" s="171"/>
      <c r="F59" s="171" t="s">
        <v>446</v>
      </c>
      <c r="G59" s="162">
        <v>1</v>
      </c>
      <c r="H59" s="163">
        <v>54545.454545454544</v>
      </c>
      <c r="I59" s="163">
        <v>54545.454545454544</v>
      </c>
      <c r="J59" s="171"/>
    </row>
    <row r="60" spans="1:10">
      <c r="A60" s="160">
        <f t="shared" si="1"/>
        <v>57</v>
      </c>
      <c r="B60" s="161">
        <v>46007</v>
      </c>
      <c r="C60" s="172" t="s">
        <v>726</v>
      </c>
      <c r="D60" s="171" t="s">
        <v>427</v>
      </c>
      <c r="E60" s="171"/>
      <c r="F60" s="171" t="s">
        <v>440</v>
      </c>
      <c r="G60" s="162">
        <v>2</v>
      </c>
      <c r="H60" s="163">
        <v>10000</v>
      </c>
      <c r="I60" s="163">
        <v>20000</v>
      </c>
      <c r="J60" s="171"/>
    </row>
  </sheetData>
  <autoFilter ref="A2:J30" xr:uid="{2E421254-DD27-4148-AC38-C00782AEA3D1}">
    <sortState ref="A5:J30">
      <sortCondition ref="F2:F21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Footer>&amp;L(주) 태성하이텍&amp;C&amp;P/&amp;N&amp;R&amp;A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4"/>
  <sheetViews>
    <sheetView view="pageBreakPreview" zoomScaleNormal="100" zoomScaleSheetLayoutView="100" workbookViewId="0">
      <selection activeCell="I23" sqref="I23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80" t="s">
        <v>237</v>
      </c>
      <c r="B1" s="281"/>
      <c r="C1" s="281"/>
      <c r="D1" s="281"/>
      <c r="E1" s="281"/>
      <c r="F1" s="281"/>
      <c r="G1" s="281"/>
      <c r="H1" s="281"/>
      <c r="I1" s="281"/>
      <c r="J1" s="282"/>
    </row>
    <row r="2" spans="1:12" ht="20.100000000000001" customHeight="1">
      <c r="A2" s="283" t="s">
        <v>238</v>
      </c>
      <c r="B2" s="283" t="s">
        <v>239</v>
      </c>
      <c r="C2" s="283" t="s">
        <v>240</v>
      </c>
      <c r="D2" s="283" t="s">
        <v>241</v>
      </c>
      <c r="E2" s="283" t="s">
        <v>242</v>
      </c>
      <c r="F2" s="283" t="s">
        <v>243</v>
      </c>
      <c r="G2" s="283" t="s">
        <v>244</v>
      </c>
      <c r="H2" s="283" t="s">
        <v>245</v>
      </c>
      <c r="I2" s="144" t="s">
        <v>246</v>
      </c>
      <c r="J2" s="283" t="s">
        <v>247</v>
      </c>
    </row>
    <row r="3" spans="1:12" ht="20.100000000000001" customHeight="1">
      <c r="A3" s="283"/>
      <c r="B3" s="283"/>
      <c r="C3" s="283"/>
      <c r="D3" s="283"/>
      <c r="E3" s="283"/>
      <c r="F3" s="283"/>
      <c r="G3" s="283"/>
      <c r="H3" s="283"/>
      <c r="I3" s="145">
        <f>SUM(I4:I14)</f>
        <v>6758064.5161290318</v>
      </c>
      <c r="J3" s="283"/>
      <c r="L3" s="146" t="s">
        <v>248</v>
      </c>
    </row>
    <row r="4" spans="1:12" ht="20.100000000000001" customHeight="1">
      <c r="A4" s="160">
        <f t="shared" ref="A4:A14" si="0">ROW()-3</f>
        <v>1</v>
      </c>
      <c r="B4" s="156">
        <v>46022</v>
      </c>
      <c r="C4" s="147" t="s">
        <v>448</v>
      </c>
      <c r="D4" s="147" t="s">
        <v>453</v>
      </c>
      <c r="E4" s="147" t="s">
        <v>449</v>
      </c>
      <c r="F4" s="147" t="s">
        <v>450</v>
      </c>
      <c r="G4" s="147">
        <v>1</v>
      </c>
      <c r="H4" s="147"/>
      <c r="I4" s="148">
        <f>800000</f>
        <v>800000</v>
      </c>
      <c r="J4" s="147" t="s">
        <v>249</v>
      </c>
      <c r="L4" s="149" t="s">
        <v>250</v>
      </c>
    </row>
    <row r="5" spans="1:12" ht="20.100000000000001" customHeight="1">
      <c r="A5" s="160">
        <f t="shared" si="0"/>
        <v>2</v>
      </c>
      <c r="B5" s="156">
        <v>46022</v>
      </c>
      <c r="C5" s="147" t="s">
        <v>448</v>
      </c>
      <c r="D5" s="147" t="s">
        <v>453</v>
      </c>
      <c r="E5" s="147" t="s">
        <v>451</v>
      </c>
      <c r="F5" s="147" t="s">
        <v>452</v>
      </c>
      <c r="G5" s="147">
        <v>1</v>
      </c>
      <c r="H5" s="147"/>
      <c r="I5" s="148">
        <f>800000</f>
        <v>800000</v>
      </c>
      <c r="J5" s="147" t="s">
        <v>249</v>
      </c>
      <c r="L5" s="149" t="s">
        <v>251</v>
      </c>
    </row>
    <row r="6" spans="1:12" ht="20.100000000000001" customHeight="1">
      <c r="A6" s="160">
        <f t="shared" si="0"/>
        <v>3</v>
      </c>
      <c r="B6" s="156">
        <v>46022</v>
      </c>
      <c r="C6" s="147" t="s">
        <v>448</v>
      </c>
      <c r="D6" s="147" t="s">
        <v>453</v>
      </c>
      <c r="E6" s="176" t="s">
        <v>458</v>
      </c>
      <c r="F6" s="147" t="s">
        <v>454</v>
      </c>
      <c r="G6" s="147">
        <v>1</v>
      </c>
      <c r="H6" s="147"/>
      <c r="I6" s="148">
        <f>850000/31*26</f>
        <v>712903.22580645164</v>
      </c>
      <c r="J6" s="147" t="s">
        <v>249</v>
      </c>
      <c r="L6" s="149" t="s">
        <v>252</v>
      </c>
    </row>
    <row r="7" spans="1:12" ht="20.100000000000001" customHeight="1">
      <c r="A7" s="160">
        <f t="shared" si="0"/>
        <v>4</v>
      </c>
      <c r="B7" s="156">
        <v>46022</v>
      </c>
      <c r="C7" s="147" t="s">
        <v>448</v>
      </c>
      <c r="D7" s="147" t="s">
        <v>453</v>
      </c>
      <c r="E7" s="147" t="s">
        <v>459</v>
      </c>
      <c r="F7" s="147" t="s">
        <v>455</v>
      </c>
      <c r="G7" s="147">
        <v>1</v>
      </c>
      <c r="H7" s="147"/>
      <c r="I7" s="148">
        <f>850000/31*26</f>
        <v>712903.22580645164</v>
      </c>
      <c r="J7" s="147" t="s">
        <v>249</v>
      </c>
      <c r="L7" s="149" t="s">
        <v>253</v>
      </c>
    </row>
    <row r="8" spans="1:12" ht="20.100000000000001" customHeight="1">
      <c r="A8" s="160">
        <f t="shared" si="0"/>
        <v>5</v>
      </c>
      <c r="B8" s="156">
        <v>46022</v>
      </c>
      <c r="C8" s="147" t="s">
        <v>448</v>
      </c>
      <c r="D8" s="147" t="s">
        <v>453</v>
      </c>
      <c r="E8" s="147" t="s">
        <v>460</v>
      </c>
      <c r="F8" s="147" t="s">
        <v>456</v>
      </c>
      <c r="G8" s="147">
        <v>1</v>
      </c>
      <c r="H8" s="147"/>
      <c r="I8" s="148">
        <f>950000/31*26</f>
        <v>796774.19354838703</v>
      </c>
      <c r="J8" s="147" t="s">
        <v>249</v>
      </c>
      <c r="L8" s="150" t="s">
        <v>254</v>
      </c>
    </row>
    <row r="9" spans="1:12" ht="20.100000000000001" customHeight="1">
      <c r="A9" s="160">
        <f t="shared" si="0"/>
        <v>6</v>
      </c>
      <c r="B9" s="156">
        <v>46022</v>
      </c>
      <c r="C9" s="147" t="s">
        <v>448</v>
      </c>
      <c r="D9" s="147" t="s">
        <v>453</v>
      </c>
      <c r="E9" s="147" t="s">
        <v>461</v>
      </c>
      <c r="F9" s="147" t="s">
        <v>455</v>
      </c>
      <c r="G9" s="147">
        <v>1</v>
      </c>
      <c r="H9" s="147"/>
      <c r="I9" s="148">
        <f>1000000/31*19</f>
        <v>612903.22580645164</v>
      </c>
      <c r="J9" s="147" t="s">
        <v>249</v>
      </c>
      <c r="L9" s="150" t="s">
        <v>255</v>
      </c>
    </row>
    <row r="10" spans="1:12" ht="20.100000000000001" customHeight="1">
      <c r="A10" s="160">
        <f t="shared" si="0"/>
        <v>7</v>
      </c>
      <c r="B10" s="156">
        <v>46022</v>
      </c>
      <c r="C10" s="147" t="s">
        <v>448</v>
      </c>
      <c r="D10" s="147" t="s">
        <v>453</v>
      </c>
      <c r="E10" s="147" t="s">
        <v>461</v>
      </c>
      <c r="F10" s="147" t="s">
        <v>456</v>
      </c>
      <c r="G10" s="147">
        <v>1</v>
      </c>
      <c r="H10" s="147"/>
      <c r="I10" s="148">
        <f>1000000/31*19</f>
        <v>612903.22580645164</v>
      </c>
      <c r="J10" s="147" t="s">
        <v>249</v>
      </c>
      <c r="L10" s="150" t="s">
        <v>256</v>
      </c>
    </row>
    <row r="11" spans="1:12" ht="20.100000000000001" customHeight="1">
      <c r="A11" s="160">
        <f t="shared" si="0"/>
        <v>8</v>
      </c>
      <c r="B11" s="156">
        <v>46022</v>
      </c>
      <c r="C11" s="147" t="s">
        <v>448</v>
      </c>
      <c r="D11" s="147" t="s">
        <v>453</v>
      </c>
      <c r="E11" s="176" t="s">
        <v>462</v>
      </c>
      <c r="F11" s="147" t="s">
        <v>452</v>
      </c>
      <c r="G11" s="147">
        <v>1</v>
      </c>
      <c r="H11" s="147"/>
      <c r="I11" s="148">
        <f>1000000/31*19</f>
        <v>612903.22580645164</v>
      </c>
      <c r="J11" s="147" t="s">
        <v>249</v>
      </c>
      <c r="L11" s="150"/>
    </row>
    <row r="12" spans="1:12" ht="20.100000000000001" customHeight="1">
      <c r="A12" s="160">
        <f t="shared" si="0"/>
        <v>9</v>
      </c>
      <c r="B12" s="156">
        <v>46022</v>
      </c>
      <c r="C12" s="147" t="s">
        <v>448</v>
      </c>
      <c r="D12" s="147" t="s">
        <v>453</v>
      </c>
      <c r="E12" s="176" t="s">
        <v>463</v>
      </c>
      <c r="F12" s="147" t="s">
        <v>457</v>
      </c>
      <c r="G12" s="147">
        <v>1</v>
      </c>
      <c r="H12" s="147"/>
      <c r="I12" s="148">
        <f>850000/31*19</f>
        <v>520967.74193548388</v>
      </c>
      <c r="J12" s="147" t="s">
        <v>249</v>
      </c>
      <c r="L12" s="146" t="s">
        <v>257</v>
      </c>
    </row>
    <row r="13" spans="1:12" ht="20.100000000000001" customHeight="1">
      <c r="A13" s="160">
        <f t="shared" si="0"/>
        <v>10</v>
      </c>
      <c r="B13" s="156">
        <v>46022</v>
      </c>
      <c r="C13" s="147" t="s">
        <v>448</v>
      </c>
      <c r="D13" s="147" t="s">
        <v>453</v>
      </c>
      <c r="E13" s="176" t="s">
        <v>464</v>
      </c>
      <c r="F13" s="147" t="s">
        <v>454</v>
      </c>
      <c r="G13" s="147">
        <v>1</v>
      </c>
      <c r="H13" s="147"/>
      <c r="I13" s="148">
        <f>850000/31*19</f>
        <v>520967.74193548388</v>
      </c>
      <c r="J13" s="147" t="s">
        <v>249</v>
      </c>
    </row>
    <row r="14" spans="1:12" ht="20.100000000000001" customHeight="1">
      <c r="A14" s="160">
        <f t="shared" si="0"/>
        <v>11</v>
      </c>
      <c r="B14" s="156">
        <v>46022</v>
      </c>
      <c r="C14" s="147" t="s">
        <v>448</v>
      </c>
      <c r="D14" s="147" t="s">
        <v>453</v>
      </c>
      <c r="E14" s="176" t="s">
        <v>465</v>
      </c>
      <c r="F14" s="147" t="s">
        <v>454</v>
      </c>
      <c r="G14" s="147">
        <v>1</v>
      </c>
      <c r="H14" s="147"/>
      <c r="I14" s="148">
        <f>850000/31*2</f>
        <v>54838.709677419356</v>
      </c>
      <c r="J14" s="147" t="s">
        <v>249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5"/>
  <sheetViews>
    <sheetView view="pageBreakPreview" zoomScaleNormal="100" zoomScaleSheetLayoutView="100" workbookViewId="0">
      <selection activeCell="H22" sqref="H22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280" t="s">
        <v>258</v>
      </c>
      <c r="B1" s="281"/>
      <c r="C1" s="281"/>
      <c r="D1" s="281"/>
      <c r="E1" s="281"/>
      <c r="F1" s="281"/>
      <c r="G1" s="281"/>
      <c r="H1" s="281"/>
      <c r="I1" s="281"/>
      <c r="J1" s="282"/>
    </row>
    <row r="2" spans="1:10" ht="20.100000000000001" customHeight="1">
      <c r="A2" s="283" t="s">
        <v>259</v>
      </c>
      <c r="B2" s="283" t="s">
        <v>239</v>
      </c>
      <c r="C2" s="283" t="s">
        <v>260</v>
      </c>
      <c r="D2" s="283" t="s">
        <v>241</v>
      </c>
      <c r="E2" s="283" t="s">
        <v>261</v>
      </c>
      <c r="F2" s="283" t="s">
        <v>243</v>
      </c>
      <c r="G2" s="283" t="s">
        <v>262</v>
      </c>
      <c r="H2" s="283" t="s">
        <v>263</v>
      </c>
      <c r="I2" s="144" t="s">
        <v>264</v>
      </c>
      <c r="J2" s="283" t="s">
        <v>265</v>
      </c>
    </row>
    <row r="3" spans="1:10" ht="20.100000000000001" customHeight="1">
      <c r="A3" s="283"/>
      <c r="B3" s="283"/>
      <c r="C3" s="283"/>
      <c r="D3" s="283"/>
      <c r="E3" s="283"/>
      <c r="F3" s="283"/>
      <c r="G3" s="283"/>
      <c r="H3" s="283"/>
      <c r="I3" s="145">
        <f>SUM(I4:I15)</f>
        <v>572920</v>
      </c>
      <c r="J3" s="283"/>
    </row>
    <row r="4" spans="1:10" ht="20.100000000000001" customHeight="1">
      <c r="A4" s="177">
        <f t="shared" ref="A4:A15" si="0">ROW()-3</f>
        <v>1</v>
      </c>
      <c r="B4" s="178">
        <v>46022</v>
      </c>
      <c r="C4" s="179" t="s">
        <v>466</v>
      </c>
      <c r="D4" s="180" t="s">
        <v>467</v>
      </c>
      <c r="E4" s="147" t="s">
        <v>449</v>
      </c>
      <c r="F4" s="147" t="s">
        <v>450</v>
      </c>
      <c r="G4" s="182">
        <v>1</v>
      </c>
      <c r="H4" s="183"/>
      <c r="I4" s="184">
        <v>22210</v>
      </c>
      <c r="J4" s="185"/>
    </row>
    <row r="5" spans="1:10" ht="20.100000000000001" customHeight="1">
      <c r="A5" s="177">
        <f t="shared" si="0"/>
        <v>2</v>
      </c>
      <c r="B5" s="178">
        <v>46022</v>
      </c>
      <c r="C5" s="179" t="s">
        <v>466</v>
      </c>
      <c r="D5" s="180" t="s">
        <v>467</v>
      </c>
      <c r="E5" s="147" t="s">
        <v>459</v>
      </c>
      <c r="F5" s="147" t="s">
        <v>455</v>
      </c>
      <c r="G5" s="181">
        <v>1</v>
      </c>
      <c r="H5" s="185"/>
      <c r="I5" s="184">
        <v>11740</v>
      </c>
      <c r="J5" s="185"/>
    </row>
    <row r="6" spans="1:10" ht="20.100000000000001" customHeight="1">
      <c r="A6" s="177">
        <f t="shared" si="0"/>
        <v>3</v>
      </c>
      <c r="B6" s="178">
        <v>46022</v>
      </c>
      <c r="C6" s="179" t="s">
        <v>466</v>
      </c>
      <c r="D6" s="180" t="s">
        <v>467</v>
      </c>
      <c r="E6" s="176" t="s">
        <v>463</v>
      </c>
      <c r="F6" s="147" t="s">
        <v>457</v>
      </c>
      <c r="G6" s="182">
        <v>1</v>
      </c>
      <c r="H6" s="183"/>
      <c r="I6" s="184">
        <v>14360</v>
      </c>
      <c r="J6" s="185"/>
    </row>
    <row r="7" spans="1:10" ht="20.100000000000001" customHeight="1">
      <c r="A7" s="177">
        <f t="shared" si="0"/>
        <v>4</v>
      </c>
      <c r="B7" s="178">
        <v>46022</v>
      </c>
      <c r="C7" s="179" t="s">
        <v>466</v>
      </c>
      <c r="D7" s="180" t="s">
        <v>468</v>
      </c>
      <c r="E7" s="147" t="s">
        <v>449</v>
      </c>
      <c r="F7" s="147" t="s">
        <v>450</v>
      </c>
      <c r="G7" s="181">
        <v>1</v>
      </c>
      <c r="H7" s="185"/>
      <c r="I7" s="184">
        <v>91960</v>
      </c>
      <c r="J7" s="185"/>
    </row>
    <row r="8" spans="1:10" ht="20.100000000000001" customHeight="1">
      <c r="A8" s="177">
        <f t="shared" si="0"/>
        <v>5</v>
      </c>
      <c r="B8" s="178">
        <v>46022</v>
      </c>
      <c r="C8" s="179" t="s">
        <v>466</v>
      </c>
      <c r="D8" s="180" t="s">
        <v>468</v>
      </c>
      <c r="E8" s="147" t="s">
        <v>451</v>
      </c>
      <c r="F8" s="147" t="s">
        <v>452</v>
      </c>
      <c r="G8" s="182">
        <v>1</v>
      </c>
      <c r="H8" s="183"/>
      <c r="I8" s="184">
        <v>81560</v>
      </c>
      <c r="J8" s="185"/>
    </row>
    <row r="9" spans="1:10" ht="20.100000000000001" customHeight="1">
      <c r="A9" s="177">
        <f t="shared" si="0"/>
        <v>6</v>
      </c>
      <c r="B9" s="178">
        <v>46022</v>
      </c>
      <c r="C9" s="179" t="s">
        <v>466</v>
      </c>
      <c r="D9" s="180" t="s">
        <v>468</v>
      </c>
      <c r="E9" s="176" t="s">
        <v>458</v>
      </c>
      <c r="F9" s="147" t="s">
        <v>454</v>
      </c>
      <c r="G9" s="182">
        <v>1</v>
      </c>
      <c r="H9" s="175"/>
      <c r="I9" s="186">
        <v>89720</v>
      </c>
      <c r="J9" s="175"/>
    </row>
    <row r="10" spans="1:10" ht="20.100000000000001" customHeight="1">
      <c r="A10" s="177">
        <f t="shared" si="0"/>
        <v>7</v>
      </c>
      <c r="B10" s="178">
        <v>46022</v>
      </c>
      <c r="C10" s="179" t="s">
        <v>466</v>
      </c>
      <c r="D10" s="180" t="s">
        <v>468</v>
      </c>
      <c r="E10" s="147" t="s">
        <v>459</v>
      </c>
      <c r="F10" s="147" t="s">
        <v>455</v>
      </c>
      <c r="G10" s="182">
        <v>1</v>
      </c>
      <c r="H10" s="175"/>
      <c r="I10" s="186">
        <v>68730</v>
      </c>
      <c r="J10" s="175"/>
    </row>
    <row r="11" spans="1:10" ht="20.100000000000001" customHeight="1">
      <c r="A11" s="177">
        <f t="shared" si="0"/>
        <v>8</v>
      </c>
      <c r="B11" s="178">
        <v>46022</v>
      </c>
      <c r="C11" s="179" t="s">
        <v>466</v>
      </c>
      <c r="D11" s="180" t="s">
        <v>468</v>
      </c>
      <c r="E11" s="147" t="s">
        <v>460</v>
      </c>
      <c r="F11" s="147" t="s">
        <v>456</v>
      </c>
      <c r="G11" s="182">
        <v>1</v>
      </c>
      <c r="H11" s="175"/>
      <c r="I11" s="186">
        <v>75020</v>
      </c>
      <c r="J11" s="175"/>
    </row>
    <row r="12" spans="1:10" ht="20.100000000000001" customHeight="1">
      <c r="A12" s="177">
        <f t="shared" si="0"/>
        <v>9</v>
      </c>
      <c r="B12" s="178">
        <v>46022</v>
      </c>
      <c r="C12" s="179" t="s">
        <v>466</v>
      </c>
      <c r="D12" s="180" t="s">
        <v>468</v>
      </c>
      <c r="E12" s="176" t="s">
        <v>463</v>
      </c>
      <c r="F12" s="147" t="s">
        <v>457</v>
      </c>
      <c r="G12" s="182">
        <v>1</v>
      </c>
      <c r="H12" s="175"/>
      <c r="I12" s="186">
        <v>82440</v>
      </c>
      <c r="J12" s="175"/>
    </row>
    <row r="13" spans="1:10" ht="20.100000000000001" customHeight="1">
      <c r="A13" s="177">
        <f t="shared" si="0"/>
        <v>10</v>
      </c>
      <c r="B13" s="178">
        <v>46022</v>
      </c>
      <c r="C13" s="179" t="s">
        <v>466</v>
      </c>
      <c r="D13" s="180" t="s">
        <v>468</v>
      </c>
      <c r="E13" s="176" t="s">
        <v>464</v>
      </c>
      <c r="F13" s="147" t="s">
        <v>454</v>
      </c>
      <c r="G13" s="182">
        <v>1</v>
      </c>
      <c r="H13" s="175"/>
      <c r="I13" s="186">
        <v>32780</v>
      </c>
      <c r="J13" s="175"/>
    </row>
    <row r="14" spans="1:10" ht="20.100000000000001" customHeight="1">
      <c r="A14" s="177">
        <f t="shared" si="0"/>
        <v>11</v>
      </c>
      <c r="B14" s="178">
        <v>46022</v>
      </c>
      <c r="C14" s="179" t="s">
        <v>466</v>
      </c>
      <c r="D14" s="180" t="s">
        <v>469</v>
      </c>
      <c r="E14" s="147" t="s">
        <v>449</v>
      </c>
      <c r="F14" s="147" t="s">
        <v>450</v>
      </c>
      <c r="G14" s="181">
        <v>1</v>
      </c>
      <c r="H14" s="185"/>
      <c r="I14" s="184">
        <v>1200</v>
      </c>
      <c r="J14" s="185"/>
    </row>
    <row r="15" spans="1:10" ht="20.100000000000001" customHeight="1">
      <c r="A15" s="177">
        <f t="shared" si="0"/>
        <v>12</v>
      </c>
      <c r="B15" s="178">
        <v>46022</v>
      </c>
      <c r="C15" s="179" t="s">
        <v>466</v>
      </c>
      <c r="D15" s="180" t="s">
        <v>469</v>
      </c>
      <c r="E15" s="147" t="s">
        <v>451</v>
      </c>
      <c r="F15" s="147" t="s">
        <v>452</v>
      </c>
      <c r="G15" s="182">
        <v>1</v>
      </c>
      <c r="H15" s="183"/>
      <c r="I15" s="184">
        <v>1200</v>
      </c>
      <c r="J15" s="185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 E6">
    <cfRule type="expression" priority="4" stopIfTrue="1">
      <formula>AND(COUNTIF($E$6:$E$6, E4)+COUNTIF(#REF!, E4)+COUNTIF(#REF!, E4)&gt;1,NOT(ISBLANK(E4)))</formula>
    </cfRule>
  </conditionalFormatting>
  <conditionalFormatting sqref="E5">
    <cfRule type="duplicateValues" priority="5"/>
  </conditionalFormatting>
  <conditionalFormatting sqref="E7">
    <cfRule type="duplicateValues" priority="6"/>
  </conditionalFormatting>
  <conditionalFormatting sqref="E8">
    <cfRule type="duplicateValues" priority="3"/>
  </conditionalFormatting>
  <conditionalFormatting sqref="E14">
    <cfRule type="duplicateValues" priority="2"/>
  </conditionalFormatting>
  <conditionalFormatting sqref="E15">
    <cfRule type="duplicateValues" priority="1"/>
  </conditionalFormatting>
  <pageMargins left="0.7" right="0.7" top="0.75" bottom="0.75" header="0.3" footer="0.3"/>
  <pageSetup paperSize="9" scale="7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G19" sqref="G19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80" t="s">
        <v>266</v>
      </c>
      <c r="B1" s="281"/>
      <c r="C1" s="281"/>
      <c r="D1" s="281"/>
      <c r="E1" s="281"/>
      <c r="F1" s="281"/>
      <c r="G1" s="281"/>
      <c r="H1" s="281"/>
      <c r="I1" s="281"/>
      <c r="J1" s="282"/>
    </row>
    <row r="2" spans="1:12" ht="24.95" customHeight="1">
      <c r="A2" s="283" t="s">
        <v>267</v>
      </c>
      <c r="B2" s="283" t="s">
        <v>268</v>
      </c>
      <c r="C2" s="283" t="s">
        <v>110</v>
      </c>
      <c r="D2" s="283" t="s">
        <v>269</v>
      </c>
      <c r="E2" s="283" t="s">
        <v>270</v>
      </c>
      <c r="F2" s="283" t="s">
        <v>271</v>
      </c>
      <c r="G2" s="283" t="s">
        <v>272</v>
      </c>
      <c r="H2" s="283" t="s">
        <v>273</v>
      </c>
      <c r="I2" s="144" t="s">
        <v>274</v>
      </c>
      <c r="J2" s="283" t="s">
        <v>247</v>
      </c>
    </row>
    <row r="3" spans="1:12" ht="24.95" customHeight="1">
      <c r="A3" s="283"/>
      <c r="B3" s="283"/>
      <c r="C3" s="283"/>
      <c r="D3" s="283"/>
      <c r="E3" s="283"/>
      <c r="F3" s="283"/>
      <c r="G3" s="283"/>
      <c r="H3" s="283"/>
      <c r="I3" s="145">
        <f>SUM(I4:I7)</f>
        <v>9191273</v>
      </c>
      <c r="J3" s="283"/>
      <c r="L3" s="146" t="s">
        <v>275</v>
      </c>
    </row>
    <row r="4" spans="1:12" ht="15" customHeight="1">
      <c r="A4" s="160">
        <f t="shared" ref="A4:A8" si="0">ROW()-3</f>
        <v>1</v>
      </c>
      <c r="B4" s="156">
        <v>46016</v>
      </c>
      <c r="C4" s="147" t="s">
        <v>470</v>
      </c>
      <c r="D4" s="147" t="s">
        <v>483</v>
      </c>
      <c r="E4" s="147" t="s">
        <v>472</v>
      </c>
      <c r="F4" s="147">
        <v>1</v>
      </c>
      <c r="G4" s="147">
        <v>41</v>
      </c>
      <c r="H4" s="148">
        <v>7000</v>
      </c>
      <c r="I4" s="148">
        <f>G4*H4</f>
        <v>287000</v>
      </c>
      <c r="J4" s="147" t="s">
        <v>249</v>
      </c>
      <c r="L4" s="149" t="s">
        <v>276</v>
      </c>
    </row>
    <row r="5" spans="1:12" ht="15" customHeight="1">
      <c r="A5" s="160">
        <f t="shared" si="0"/>
        <v>2</v>
      </c>
      <c r="B5" s="156">
        <v>46016</v>
      </c>
      <c r="C5" s="147" t="s">
        <v>470</v>
      </c>
      <c r="D5" s="147" t="s">
        <v>471</v>
      </c>
      <c r="E5" s="147" t="s">
        <v>475</v>
      </c>
      <c r="F5" s="147">
        <v>1</v>
      </c>
      <c r="G5" s="147">
        <v>1</v>
      </c>
      <c r="H5" s="148">
        <v>1232273</v>
      </c>
      <c r="I5" s="148">
        <f>G5*H5</f>
        <v>1232273</v>
      </c>
      <c r="J5" s="147" t="s">
        <v>249</v>
      </c>
      <c r="L5" s="149" t="s">
        <v>277</v>
      </c>
    </row>
    <row r="6" spans="1:12" ht="15" customHeight="1">
      <c r="A6" s="160">
        <f t="shared" si="0"/>
        <v>3</v>
      </c>
      <c r="B6" s="156">
        <v>46016</v>
      </c>
      <c r="C6" s="147" t="s">
        <v>470</v>
      </c>
      <c r="D6" s="147" t="s">
        <v>471</v>
      </c>
      <c r="E6" s="147" t="s">
        <v>473</v>
      </c>
      <c r="F6" s="147">
        <v>1</v>
      </c>
      <c r="G6" s="147">
        <v>1051</v>
      </c>
      <c r="H6" s="148">
        <v>7000</v>
      </c>
      <c r="I6" s="148">
        <f>G6*H6</f>
        <v>7357000</v>
      </c>
      <c r="J6" s="147" t="s">
        <v>249</v>
      </c>
      <c r="L6" s="149" t="s">
        <v>278</v>
      </c>
    </row>
    <row r="7" spans="1:12" ht="15" customHeight="1">
      <c r="A7" s="160">
        <f t="shared" si="0"/>
        <v>4</v>
      </c>
      <c r="B7" s="156">
        <v>46016</v>
      </c>
      <c r="C7" s="147" t="s">
        <v>470</v>
      </c>
      <c r="D7" s="147" t="s">
        <v>471</v>
      </c>
      <c r="E7" s="147" t="s">
        <v>476</v>
      </c>
      <c r="F7" s="147">
        <v>1</v>
      </c>
      <c r="G7" s="147">
        <v>45</v>
      </c>
      <c r="H7" s="148">
        <v>7000</v>
      </c>
      <c r="I7" s="148">
        <f>G7*H7</f>
        <v>315000</v>
      </c>
      <c r="J7" s="147" t="s">
        <v>249</v>
      </c>
      <c r="L7" s="149" t="s">
        <v>279</v>
      </c>
    </row>
    <row r="8" spans="1:12" ht="15" customHeight="1">
      <c r="A8" s="160">
        <f t="shared" si="0"/>
        <v>5</v>
      </c>
      <c r="B8" s="156">
        <v>46022</v>
      </c>
      <c r="C8" s="147" t="s">
        <v>136</v>
      </c>
      <c r="D8" s="147"/>
      <c r="E8" s="147" t="s">
        <v>474</v>
      </c>
      <c r="F8" s="147">
        <v>1</v>
      </c>
      <c r="G8" s="147">
        <v>1</v>
      </c>
      <c r="H8" s="148">
        <v>2327013</v>
      </c>
      <c r="I8" s="148">
        <f>G8*H8</f>
        <v>2327013</v>
      </c>
      <c r="J8" s="147"/>
      <c r="L8" s="150" t="s">
        <v>280</v>
      </c>
    </row>
    <row r="9" spans="1:12" ht="24.95" customHeight="1">
      <c r="L9" s="150" t="s">
        <v>281</v>
      </c>
    </row>
    <row r="10" spans="1:12" ht="24.95" customHeight="1">
      <c r="L10" s="150" t="s">
        <v>282</v>
      </c>
    </row>
    <row r="11" spans="1:12" ht="24.95" customHeight="1">
      <c r="L11" s="150" t="s">
        <v>283</v>
      </c>
    </row>
    <row r="12" spans="1:12">
      <c r="L12" s="146"/>
    </row>
    <row r="13" spans="1:12">
      <c r="D13" s="198"/>
      <c r="L13" s="55" t="s">
        <v>284</v>
      </c>
    </row>
    <row r="14" spans="1:12">
      <c r="D14" s="198"/>
    </row>
    <row r="15" spans="1:12">
      <c r="D15" s="198"/>
    </row>
    <row r="16" spans="1:12">
      <c r="D16" s="198"/>
    </row>
    <row r="17" spans="4:4">
      <c r="D17" s="198"/>
    </row>
    <row r="18" spans="4:4">
      <c r="D18" s="198"/>
    </row>
    <row r="19" spans="4:4">
      <c r="D19" s="198"/>
    </row>
    <row r="20" spans="4:4">
      <c r="D20" s="198"/>
    </row>
    <row r="21" spans="4:4">
      <c r="D21" s="198"/>
    </row>
    <row r="22" spans="4:4">
      <c r="D22" s="198"/>
    </row>
    <row r="23" spans="4:4">
      <c r="D23" s="198"/>
    </row>
    <row r="24" spans="4:4">
      <c r="D24" s="198"/>
    </row>
    <row r="25" spans="4:4">
      <c r="D25" s="198"/>
    </row>
    <row r="26" spans="4:4">
      <c r="D26" s="198"/>
    </row>
    <row r="27" spans="4:4">
      <c r="D27" s="198"/>
    </row>
    <row r="28" spans="4:4">
      <c r="D28" s="198"/>
    </row>
    <row r="29" spans="4:4">
      <c r="D29" s="198"/>
    </row>
    <row r="30" spans="4:4">
      <c r="D30" s="198"/>
    </row>
    <row r="31" spans="4:4">
      <c r="D31" s="198"/>
    </row>
    <row r="32" spans="4:4">
      <c r="D32" s="198"/>
    </row>
    <row r="33" spans="4:4">
      <c r="D33" s="198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39"/>
  <sheetViews>
    <sheetView view="pageBreakPreview" zoomScale="85" zoomScaleNormal="100" zoomScaleSheetLayoutView="85" workbookViewId="0">
      <selection activeCell="N31" sqref="N31"/>
    </sheetView>
  </sheetViews>
  <sheetFormatPr defaultRowHeight="16.5"/>
  <cols>
    <col min="2" max="2" width="11.125" bestFit="1" customWidth="1"/>
    <col min="3" max="3" width="10.625" bestFit="1" customWidth="1"/>
    <col min="4" max="4" width="17.625" customWidth="1"/>
    <col min="5" max="5" width="19.8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284" t="s">
        <v>285</v>
      </c>
      <c r="B1" s="284"/>
      <c r="C1" s="284"/>
      <c r="D1" s="284"/>
      <c r="E1" s="284"/>
      <c r="F1" s="284"/>
      <c r="G1" s="284"/>
      <c r="H1" s="284"/>
      <c r="I1" s="284"/>
      <c r="J1" s="55"/>
      <c r="K1" s="55"/>
      <c r="L1" s="55"/>
    </row>
    <row r="2" spans="1:20" ht="24.95" customHeight="1">
      <c r="A2" s="283" t="s">
        <v>286</v>
      </c>
      <c r="B2" s="285" t="s">
        <v>287</v>
      </c>
      <c r="C2" s="285" t="s">
        <v>288</v>
      </c>
      <c r="D2" s="286" t="s">
        <v>279</v>
      </c>
      <c r="E2" s="285" t="s">
        <v>280</v>
      </c>
      <c r="F2" s="285" t="s">
        <v>255</v>
      </c>
      <c r="G2" s="287" t="s">
        <v>289</v>
      </c>
      <c r="H2" s="151" t="s">
        <v>290</v>
      </c>
      <c r="I2" s="285" t="s">
        <v>291</v>
      </c>
      <c r="J2" s="55"/>
      <c r="K2" s="55"/>
      <c r="L2" s="55"/>
    </row>
    <row r="3" spans="1:20" ht="24.95" customHeight="1">
      <c r="A3" s="283"/>
      <c r="B3" s="285"/>
      <c r="C3" s="285"/>
      <c r="D3" s="286"/>
      <c r="E3" s="285"/>
      <c r="F3" s="285"/>
      <c r="G3" s="287"/>
      <c r="H3" s="152">
        <f>SUM(H4:H39)</f>
        <v>1639324.2727272727</v>
      </c>
      <c r="I3" s="285"/>
      <c r="J3" s="55"/>
      <c r="K3" s="193" t="s">
        <v>248</v>
      </c>
      <c r="L3" s="150"/>
      <c r="M3" s="150"/>
      <c r="N3" s="150"/>
      <c r="O3" s="150"/>
      <c r="P3" s="150"/>
      <c r="Q3" s="150"/>
      <c r="R3" s="150"/>
      <c r="S3" s="150"/>
      <c r="T3" s="150"/>
    </row>
    <row r="4" spans="1:20" ht="15" customHeight="1">
      <c r="A4" s="160">
        <f>ROW()-3</f>
        <v>1</v>
      </c>
      <c r="B4" s="178">
        <v>45996</v>
      </c>
      <c r="C4" s="185" t="s">
        <v>478</v>
      </c>
      <c r="D4" s="185" t="s">
        <v>480</v>
      </c>
      <c r="E4" s="187" t="s">
        <v>481</v>
      </c>
      <c r="F4" s="185">
        <v>1</v>
      </c>
      <c r="G4" s="188">
        <v>54545.454545454544</v>
      </c>
      <c r="H4" s="188">
        <f>F4*G4</f>
        <v>54545.454545454544</v>
      </c>
      <c r="I4" s="47"/>
      <c r="J4" s="55"/>
      <c r="K4" s="149" t="s">
        <v>297</v>
      </c>
      <c r="L4" s="150"/>
      <c r="M4" s="150"/>
      <c r="N4" s="150"/>
      <c r="O4" s="150"/>
      <c r="P4" s="150"/>
      <c r="Q4" s="150"/>
      <c r="R4" s="150"/>
      <c r="S4" s="150"/>
      <c r="T4" s="150"/>
    </row>
    <row r="5" spans="1:20" ht="15" customHeight="1">
      <c r="A5" s="160">
        <f t="shared" ref="A5:A12" si="0">ROW()-3</f>
        <v>2</v>
      </c>
      <c r="B5" s="178">
        <v>46000</v>
      </c>
      <c r="C5" s="185" t="s">
        <v>478</v>
      </c>
      <c r="D5" s="185" t="s">
        <v>480</v>
      </c>
      <c r="E5" s="187" t="s">
        <v>482</v>
      </c>
      <c r="F5" s="185">
        <v>1</v>
      </c>
      <c r="G5" s="188">
        <v>54545.454545454544</v>
      </c>
      <c r="H5" s="188">
        <f t="shared" ref="H5:H12" si="1">F5*G5</f>
        <v>54545.454545454544</v>
      </c>
      <c r="I5" s="47"/>
      <c r="J5" s="55"/>
      <c r="K5" s="149" t="s">
        <v>287</v>
      </c>
      <c r="L5" s="150"/>
      <c r="M5" s="150"/>
      <c r="N5" s="150"/>
      <c r="O5" s="150"/>
      <c r="P5" s="150"/>
      <c r="Q5" s="150"/>
      <c r="R5" s="150"/>
      <c r="S5" s="150"/>
      <c r="T5" s="150"/>
    </row>
    <row r="6" spans="1:20" ht="15" customHeight="1">
      <c r="A6" s="160">
        <f t="shared" si="0"/>
        <v>3</v>
      </c>
      <c r="B6" s="178">
        <v>46002</v>
      </c>
      <c r="C6" s="185" t="s">
        <v>478</v>
      </c>
      <c r="D6" s="185" t="s">
        <v>480</v>
      </c>
      <c r="E6" s="187" t="s">
        <v>479</v>
      </c>
      <c r="F6" s="185">
        <v>1</v>
      </c>
      <c r="G6" s="188">
        <v>54545.454545454544</v>
      </c>
      <c r="H6" s="188">
        <f t="shared" si="1"/>
        <v>54545.454545454544</v>
      </c>
      <c r="I6" s="47"/>
      <c r="J6" s="55"/>
      <c r="K6" s="149" t="s">
        <v>251</v>
      </c>
      <c r="L6" s="150"/>
      <c r="M6" s="150"/>
      <c r="N6" s="150"/>
      <c r="O6" s="150"/>
      <c r="P6" s="150"/>
      <c r="Q6" s="150"/>
      <c r="R6" s="150"/>
      <c r="S6" s="150"/>
      <c r="T6" s="150"/>
    </row>
    <row r="7" spans="1:20" ht="15" customHeight="1">
      <c r="A7" s="160">
        <f t="shared" si="0"/>
        <v>4</v>
      </c>
      <c r="B7" s="178">
        <v>46003</v>
      </c>
      <c r="C7" s="185" t="s">
        <v>478</v>
      </c>
      <c r="D7" s="185" t="s">
        <v>480</v>
      </c>
      <c r="E7" s="187" t="s">
        <v>479</v>
      </c>
      <c r="F7" s="185">
        <v>1</v>
      </c>
      <c r="G7" s="188">
        <v>54545.454545454544</v>
      </c>
      <c r="H7" s="188">
        <f t="shared" si="1"/>
        <v>54545.454545454544</v>
      </c>
      <c r="I7" s="47"/>
      <c r="J7" s="55"/>
      <c r="K7" s="149" t="s">
        <v>252</v>
      </c>
      <c r="L7" s="150"/>
      <c r="M7" s="150"/>
      <c r="N7" s="150"/>
      <c r="O7" s="150"/>
      <c r="P7" s="150"/>
      <c r="Q7" s="150"/>
      <c r="R7" s="150"/>
      <c r="S7" s="150"/>
      <c r="T7" s="150"/>
    </row>
    <row r="8" spans="1:20" ht="15" customHeight="1">
      <c r="A8" s="160">
        <f t="shared" si="0"/>
        <v>5</v>
      </c>
      <c r="B8" s="178">
        <v>46007</v>
      </c>
      <c r="C8" s="185" t="s">
        <v>478</v>
      </c>
      <c r="D8" s="185" t="s">
        <v>480</v>
      </c>
      <c r="E8" s="187" t="s">
        <v>479</v>
      </c>
      <c r="F8" s="185">
        <v>1</v>
      </c>
      <c r="G8" s="188">
        <v>54545.454545454544</v>
      </c>
      <c r="H8" s="188">
        <f t="shared" si="1"/>
        <v>54545.454545454544</v>
      </c>
      <c r="I8" s="195"/>
      <c r="J8" s="55"/>
      <c r="K8" s="149" t="s">
        <v>298</v>
      </c>
      <c r="L8" s="150"/>
      <c r="M8" s="150"/>
      <c r="N8" s="150"/>
      <c r="O8" s="150"/>
      <c r="P8" s="150"/>
      <c r="Q8" s="150"/>
      <c r="R8" s="150"/>
      <c r="S8" s="150"/>
      <c r="T8" s="150"/>
    </row>
    <row r="9" spans="1:20" ht="15" customHeight="1">
      <c r="A9" s="160">
        <f t="shared" si="0"/>
        <v>6</v>
      </c>
      <c r="B9" s="178">
        <v>46009</v>
      </c>
      <c r="C9" s="185" t="s">
        <v>478</v>
      </c>
      <c r="D9" s="185" t="s">
        <v>480</v>
      </c>
      <c r="E9" s="187" t="s">
        <v>479</v>
      </c>
      <c r="F9" s="185">
        <v>1</v>
      </c>
      <c r="G9" s="188">
        <v>63636.363636363632</v>
      </c>
      <c r="H9" s="188">
        <f t="shared" si="1"/>
        <v>63636.363636363632</v>
      </c>
      <c r="I9" s="195"/>
      <c r="J9" s="55"/>
      <c r="K9" s="150" t="s">
        <v>255</v>
      </c>
      <c r="L9" s="150"/>
      <c r="M9" s="150"/>
      <c r="N9" s="150"/>
      <c r="O9" s="150"/>
      <c r="P9" s="150"/>
      <c r="Q9" s="150"/>
      <c r="R9" s="150"/>
      <c r="S9" s="150"/>
      <c r="T9" s="150"/>
    </row>
    <row r="10" spans="1:20" ht="15" customHeight="1">
      <c r="A10" s="160">
        <f t="shared" si="0"/>
        <v>7</v>
      </c>
      <c r="B10" s="178">
        <v>46014</v>
      </c>
      <c r="C10" s="185" t="s">
        <v>478</v>
      </c>
      <c r="D10" s="185" t="s">
        <v>480</v>
      </c>
      <c r="E10" s="187" t="s">
        <v>479</v>
      </c>
      <c r="F10" s="185">
        <v>1</v>
      </c>
      <c r="G10" s="188">
        <v>63636.363636363632</v>
      </c>
      <c r="H10" s="188">
        <f t="shared" si="1"/>
        <v>63636.363636363632</v>
      </c>
      <c r="I10" s="195"/>
      <c r="J10" s="55"/>
      <c r="K10" s="150" t="s">
        <v>289</v>
      </c>
      <c r="L10" s="194"/>
      <c r="M10" s="150"/>
      <c r="N10" s="150"/>
      <c r="O10" s="150"/>
      <c r="P10" s="150"/>
      <c r="Q10" s="150"/>
      <c r="R10" s="150"/>
      <c r="S10" s="150"/>
      <c r="T10" s="150"/>
    </row>
    <row r="11" spans="1:20" ht="15" customHeight="1">
      <c r="A11" s="160">
        <f t="shared" si="0"/>
        <v>8</v>
      </c>
      <c r="B11" s="178">
        <v>46020</v>
      </c>
      <c r="C11" s="185" t="s">
        <v>478</v>
      </c>
      <c r="D11" s="185" t="s">
        <v>480</v>
      </c>
      <c r="E11" s="187" t="s">
        <v>479</v>
      </c>
      <c r="F11" s="185">
        <v>1</v>
      </c>
      <c r="G11" s="188">
        <v>63636.363636363632</v>
      </c>
      <c r="H11" s="188">
        <f t="shared" si="1"/>
        <v>63636.363636363632</v>
      </c>
      <c r="I11" s="195"/>
      <c r="J11" s="55"/>
      <c r="K11" s="150"/>
      <c r="L11" s="194"/>
      <c r="M11" s="150"/>
      <c r="N11" s="150"/>
      <c r="O11" s="150"/>
      <c r="P11" s="150"/>
      <c r="Q11" s="150"/>
      <c r="R11" s="150"/>
      <c r="S11" s="150"/>
      <c r="T11" s="150"/>
    </row>
    <row r="12" spans="1:20" ht="15" customHeight="1">
      <c r="A12" s="160">
        <f t="shared" si="0"/>
        <v>9</v>
      </c>
      <c r="B12" s="178">
        <v>46022</v>
      </c>
      <c r="C12" s="185" t="s">
        <v>478</v>
      </c>
      <c r="D12" s="185" t="s">
        <v>480</v>
      </c>
      <c r="E12" s="187" t="s">
        <v>479</v>
      </c>
      <c r="F12" s="185">
        <v>1</v>
      </c>
      <c r="G12" s="188">
        <v>63636.363636363632</v>
      </c>
      <c r="H12" s="188">
        <f t="shared" si="1"/>
        <v>63636.363636363632</v>
      </c>
      <c r="I12" s="195"/>
      <c r="J12" s="55"/>
      <c r="K12" s="193" t="s">
        <v>723</v>
      </c>
      <c r="L12" s="194"/>
      <c r="M12" s="194"/>
      <c r="N12" s="194"/>
      <c r="O12" s="194"/>
      <c r="P12" s="194"/>
      <c r="Q12" s="194"/>
      <c r="R12" s="194"/>
      <c r="S12" s="194"/>
      <c r="T12" s="194"/>
    </row>
    <row r="13" spans="1:20" ht="15" customHeight="1">
      <c r="A13" s="160">
        <f>ROW()-3</f>
        <v>10</v>
      </c>
      <c r="B13" s="196">
        <v>46002</v>
      </c>
      <c r="C13" s="46" t="s">
        <v>724</v>
      </c>
      <c r="D13" s="46" t="s">
        <v>424</v>
      </c>
      <c r="E13" s="46" t="s">
        <v>445</v>
      </c>
      <c r="F13" s="46">
        <v>10</v>
      </c>
      <c r="G13" s="47">
        <v>17575.454545454544</v>
      </c>
      <c r="H13" s="47">
        <v>175754.54545454544</v>
      </c>
      <c r="I13" s="47"/>
      <c r="J13" s="55"/>
      <c r="K13" s="55"/>
      <c r="L13" s="55"/>
    </row>
    <row r="14" spans="1:20" ht="15" customHeight="1">
      <c r="A14" s="160">
        <f t="shared" ref="A14:A39" si="2">ROW()-3</f>
        <v>11</v>
      </c>
      <c r="B14" s="196">
        <v>46009</v>
      </c>
      <c r="C14" s="46" t="s">
        <v>724</v>
      </c>
      <c r="D14" s="46" t="s">
        <v>431</v>
      </c>
      <c r="E14" s="46" t="s">
        <v>439</v>
      </c>
      <c r="F14" s="46">
        <v>5</v>
      </c>
      <c r="G14" s="47">
        <v>4727.272727272727</v>
      </c>
      <c r="H14" s="47">
        <v>23636.363636363636</v>
      </c>
      <c r="I14" s="47"/>
      <c r="J14" s="55"/>
      <c r="L14" s="55"/>
    </row>
    <row r="15" spans="1:20" ht="15" customHeight="1">
      <c r="A15" s="160">
        <f t="shared" si="2"/>
        <v>12</v>
      </c>
      <c r="B15" s="196">
        <v>46002</v>
      </c>
      <c r="C15" s="46" t="s">
        <v>724</v>
      </c>
      <c r="D15" s="46" t="s">
        <v>421</v>
      </c>
      <c r="E15" s="46" t="s">
        <v>444</v>
      </c>
      <c r="F15" s="46">
        <v>350</v>
      </c>
      <c r="G15" s="47">
        <v>274.02597402597399</v>
      </c>
      <c r="H15" s="47">
        <v>95909.090909090897</v>
      </c>
      <c r="I15" s="47"/>
      <c r="J15" s="55"/>
      <c r="L15" s="55"/>
    </row>
    <row r="16" spans="1:20" ht="15" customHeight="1">
      <c r="A16" s="160">
        <f t="shared" si="2"/>
        <v>13</v>
      </c>
      <c r="B16" s="196">
        <v>46002</v>
      </c>
      <c r="C16" s="46" t="s">
        <v>724</v>
      </c>
      <c r="D16" s="46" t="s">
        <v>421</v>
      </c>
      <c r="E16" s="46" t="s">
        <v>444</v>
      </c>
      <c r="F16" s="46">
        <v>300</v>
      </c>
      <c r="G16" s="47">
        <v>268.18181818181813</v>
      </c>
      <c r="H16" s="47">
        <v>80454.545454545441</v>
      </c>
      <c r="I16" s="47"/>
      <c r="J16" s="55"/>
      <c r="L16" s="55"/>
    </row>
    <row r="17" spans="1:12" ht="15" customHeight="1">
      <c r="A17" s="160">
        <f t="shared" si="2"/>
        <v>14</v>
      </c>
      <c r="B17" s="196">
        <v>45992</v>
      </c>
      <c r="C17" s="46" t="s">
        <v>724</v>
      </c>
      <c r="D17" s="46" t="s">
        <v>409</v>
      </c>
      <c r="E17" s="46" t="s">
        <v>442</v>
      </c>
      <c r="F17" s="46">
        <v>4</v>
      </c>
      <c r="G17" s="153">
        <v>86624.25</v>
      </c>
      <c r="H17" s="153">
        <v>346497</v>
      </c>
      <c r="I17" s="195"/>
      <c r="J17" s="55"/>
      <c r="L17" s="55"/>
    </row>
    <row r="18" spans="1:12" ht="15" customHeight="1">
      <c r="A18" s="160">
        <f t="shared" si="2"/>
        <v>15</v>
      </c>
      <c r="B18" s="196">
        <v>45999</v>
      </c>
      <c r="C18" s="46" t="s">
        <v>724</v>
      </c>
      <c r="D18" s="46" t="s">
        <v>413</v>
      </c>
      <c r="E18" s="46" t="s">
        <v>443</v>
      </c>
      <c r="F18" s="46">
        <v>1</v>
      </c>
      <c r="G18" s="153">
        <v>181.81818181818181</v>
      </c>
      <c r="H18" s="153">
        <v>181.81818181818181</v>
      </c>
      <c r="I18" s="195"/>
      <c r="J18" s="55"/>
      <c r="L18" s="55"/>
    </row>
    <row r="19" spans="1:12" ht="15" customHeight="1">
      <c r="A19" s="160">
        <f t="shared" si="2"/>
        <v>16</v>
      </c>
      <c r="B19" s="196">
        <v>45999</v>
      </c>
      <c r="C19" s="46" t="s">
        <v>724</v>
      </c>
      <c r="D19" s="46" t="s">
        <v>414</v>
      </c>
      <c r="E19" s="46" t="s">
        <v>443</v>
      </c>
      <c r="F19" s="46">
        <v>1</v>
      </c>
      <c r="G19" s="153">
        <v>909.09090909090901</v>
      </c>
      <c r="H19" s="153">
        <v>909.09090909090901</v>
      </c>
      <c r="I19" s="195"/>
      <c r="J19" s="55"/>
      <c r="L19" s="55"/>
    </row>
    <row r="20" spans="1:12" ht="15" customHeight="1">
      <c r="A20" s="160">
        <f t="shared" si="2"/>
        <v>17</v>
      </c>
      <c r="B20" s="196">
        <v>45999</v>
      </c>
      <c r="C20" s="46" t="s">
        <v>725</v>
      </c>
      <c r="D20" s="46" t="s">
        <v>447</v>
      </c>
      <c r="E20" s="46" t="s">
        <v>443</v>
      </c>
      <c r="F20" s="46">
        <v>1</v>
      </c>
      <c r="G20" s="153">
        <v>909.09090909090901</v>
      </c>
      <c r="H20" s="153">
        <v>909.09090909090901</v>
      </c>
      <c r="I20" s="195"/>
      <c r="J20" s="55"/>
      <c r="L20" s="55"/>
    </row>
    <row r="21" spans="1:12" ht="15" customHeight="1">
      <c r="A21" s="160">
        <f t="shared" si="2"/>
        <v>18</v>
      </c>
      <c r="B21" s="196">
        <v>45999</v>
      </c>
      <c r="C21" s="46" t="s">
        <v>725</v>
      </c>
      <c r="D21" s="46" t="s">
        <v>415</v>
      </c>
      <c r="E21" s="46" t="s">
        <v>443</v>
      </c>
      <c r="F21" s="46">
        <v>5</v>
      </c>
      <c r="G21" s="153">
        <v>2727.272727272727</v>
      </c>
      <c r="H21" s="153">
        <v>13636.363636363636</v>
      </c>
      <c r="I21" s="195"/>
      <c r="J21" s="55"/>
      <c r="L21" s="55"/>
    </row>
    <row r="22" spans="1:12" ht="15" customHeight="1">
      <c r="A22" s="160">
        <f t="shared" si="2"/>
        <v>19</v>
      </c>
      <c r="B22" s="196">
        <v>45999</v>
      </c>
      <c r="C22" s="46" t="s">
        <v>724</v>
      </c>
      <c r="D22" s="46" t="s">
        <v>416</v>
      </c>
      <c r="E22" s="46" t="s">
        <v>443</v>
      </c>
      <c r="F22" s="46">
        <v>2</v>
      </c>
      <c r="G22" s="153">
        <v>909.09090909090901</v>
      </c>
      <c r="H22" s="153">
        <v>1818.181818181818</v>
      </c>
      <c r="I22" s="195"/>
      <c r="J22" s="55"/>
      <c r="K22" s="191"/>
      <c r="L22" s="192"/>
    </row>
    <row r="23" spans="1:12" ht="15" customHeight="1">
      <c r="A23" s="160">
        <f t="shared" si="2"/>
        <v>20</v>
      </c>
      <c r="B23" s="196">
        <v>45996</v>
      </c>
      <c r="C23" s="46" t="s">
        <v>725</v>
      </c>
      <c r="D23" s="46" t="s">
        <v>412</v>
      </c>
      <c r="E23" s="46" t="s">
        <v>440</v>
      </c>
      <c r="F23" s="46">
        <v>2</v>
      </c>
      <c r="G23" s="153">
        <v>28000</v>
      </c>
      <c r="H23" s="153">
        <v>56000</v>
      </c>
      <c r="I23" s="195"/>
      <c r="K23" s="191"/>
      <c r="L23" s="192"/>
    </row>
    <row r="24" spans="1:12" ht="15" customHeight="1">
      <c r="A24" s="160">
        <f t="shared" si="2"/>
        <v>21</v>
      </c>
      <c r="B24" s="196">
        <v>46000</v>
      </c>
      <c r="C24" s="46" t="s">
        <v>724</v>
      </c>
      <c r="D24" s="46" t="s">
        <v>417</v>
      </c>
      <c r="E24" s="46" t="s">
        <v>440</v>
      </c>
      <c r="F24" s="46">
        <v>100</v>
      </c>
      <c r="G24" s="153">
        <v>178.27272727272725</v>
      </c>
      <c r="H24" s="153">
        <v>17827.272727272724</v>
      </c>
      <c r="I24" s="195"/>
      <c r="K24" s="191"/>
      <c r="L24" s="192"/>
    </row>
    <row r="25" spans="1:12" ht="15" customHeight="1">
      <c r="A25" s="160">
        <f t="shared" si="2"/>
        <v>22</v>
      </c>
      <c r="B25" s="196">
        <v>46000</v>
      </c>
      <c r="C25" s="46" t="s">
        <v>724</v>
      </c>
      <c r="D25" s="46" t="s">
        <v>418</v>
      </c>
      <c r="E25" s="46" t="s">
        <v>440</v>
      </c>
      <c r="F25" s="46">
        <v>24</v>
      </c>
      <c r="G25" s="153">
        <v>256.81818181818181</v>
      </c>
      <c r="H25" s="153">
        <v>6163.6363636363631</v>
      </c>
      <c r="I25" s="195"/>
      <c r="K25" s="191"/>
      <c r="L25" s="192"/>
    </row>
    <row r="26" spans="1:12" ht="15" customHeight="1">
      <c r="A26" s="160">
        <f t="shared" si="2"/>
        <v>23</v>
      </c>
      <c r="B26" s="196">
        <v>46000</v>
      </c>
      <c r="C26" s="46" t="s">
        <v>724</v>
      </c>
      <c r="D26" s="46" t="s">
        <v>419</v>
      </c>
      <c r="E26" s="46" t="s">
        <v>440</v>
      </c>
      <c r="F26" s="46">
        <v>12</v>
      </c>
      <c r="G26" s="153">
        <v>639.39393939393938</v>
      </c>
      <c r="H26" s="153">
        <v>7672.7272727272721</v>
      </c>
      <c r="I26" s="195"/>
      <c r="K26" s="191"/>
      <c r="L26" s="192"/>
    </row>
    <row r="27" spans="1:12" ht="15" customHeight="1">
      <c r="A27" s="160">
        <f t="shared" si="2"/>
        <v>24</v>
      </c>
      <c r="B27" s="196">
        <v>46002</v>
      </c>
      <c r="C27" s="46" t="s">
        <v>724</v>
      </c>
      <c r="D27" s="46" t="s">
        <v>420</v>
      </c>
      <c r="E27" s="46" t="s">
        <v>440</v>
      </c>
      <c r="F27" s="46">
        <v>5</v>
      </c>
      <c r="G27" s="153">
        <v>3136.363636363636</v>
      </c>
      <c r="H27" s="153">
        <v>15681.81818181818</v>
      </c>
      <c r="I27" s="195"/>
      <c r="K27" s="191"/>
      <c r="L27" s="192"/>
    </row>
    <row r="28" spans="1:12" ht="15" customHeight="1">
      <c r="A28" s="160">
        <f t="shared" si="2"/>
        <v>25</v>
      </c>
      <c r="B28" s="196">
        <v>46002</v>
      </c>
      <c r="C28" s="46" t="s">
        <v>724</v>
      </c>
      <c r="D28" s="46" t="s">
        <v>420</v>
      </c>
      <c r="E28" s="46" t="s">
        <v>440</v>
      </c>
      <c r="F28" s="46">
        <v>5</v>
      </c>
      <c r="G28" s="153">
        <v>3681.8181818181815</v>
      </c>
      <c r="H28" s="153">
        <v>18409.090909090908</v>
      </c>
      <c r="I28" s="195"/>
      <c r="K28" s="191"/>
      <c r="L28" s="192"/>
    </row>
    <row r="29" spans="1:12" ht="15" customHeight="1">
      <c r="A29" s="160">
        <f t="shared" si="2"/>
        <v>26</v>
      </c>
      <c r="B29" s="196">
        <v>46006</v>
      </c>
      <c r="C29" s="46" t="s">
        <v>724</v>
      </c>
      <c r="D29" s="46" t="s">
        <v>425</v>
      </c>
      <c r="E29" s="46" t="s">
        <v>440</v>
      </c>
      <c r="F29" s="46">
        <v>60</v>
      </c>
      <c r="G29" s="153">
        <v>651.5151515151515</v>
      </c>
      <c r="H29" s="153">
        <v>39090.909090909088</v>
      </c>
      <c r="I29" s="195"/>
      <c r="K29" s="191"/>
      <c r="L29" s="192"/>
    </row>
    <row r="30" spans="1:12" ht="15" customHeight="1">
      <c r="A30" s="160">
        <f t="shared" si="2"/>
        <v>27</v>
      </c>
      <c r="B30" s="196">
        <v>46009</v>
      </c>
      <c r="C30" s="46" t="s">
        <v>724</v>
      </c>
      <c r="D30" s="46" t="s">
        <v>429</v>
      </c>
      <c r="E30" s="46" t="s">
        <v>440</v>
      </c>
      <c r="F30" s="46">
        <v>6</v>
      </c>
      <c r="G30" s="153">
        <v>3236.363636363636</v>
      </c>
      <c r="H30" s="153">
        <v>19418.181818181816</v>
      </c>
      <c r="I30" s="195"/>
      <c r="K30" s="191"/>
      <c r="L30" s="192"/>
    </row>
    <row r="31" spans="1:12" ht="15" customHeight="1">
      <c r="A31" s="160">
        <f t="shared" si="2"/>
        <v>28</v>
      </c>
      <c r="B31" s="196">
        <v>46009</v>
      </c>
      <c r="C31" s="46" t="s">
        <v>724</v>
      </c>
      <c r="D31" s="46" t="s">
        <v>430</v>
      </c>
      <c r="E31" s="46" t="s">
        <v>440</v>
      </c>
      <c r="F31" s="46">
        <v>6</v>
      </c>
      <c r="G31" s="153">
        <v>3818.181818181818</v>
      </c>
      <c r="H31" s="153">
        <v>22909.090909090908</v>
      </c>
      <c r="I31" s="195"/>
      <c r="K31" s="189"/>
      <c r="L31" s="190"/>
    </row>
    <row r="32" spans="1:12" ht="15" customHeight="1">
      <c r="A32" s="160">
        <f t="shared" si="2"/>
        <v>29</v>
      </c>
      <c r="B32" s="196">
        <v>46009</v>
      </c>
      <c r="C32" s="46" t="s">
        <v>724</v>
      </c>
      <c r="D32" s="46" t="s">
        <v>432</v>
      </c>
      <c r="E32" s="46" t="s">
        <v>440</v>
      </c>
      <c r="F32" s="46">
        <v>2</v>
      </c>
      <c r="G32" s="153">
        <v>2909.090909090909</v>
      </c>
      <c r="H32" s="153">
        <v>5818.181818181818</v>
      </c>
      <c r="I32" s="195"/>
      <c r="K32" s="189"/>
      <c r="L32" s="190"/>
    </row>
    <row r="33" spans="1:12" ht="15" customHeight="1">
      <c r="A33" s="160">
        <f t="shared" si="2"/>
        <v>30</v>
      </c>
      <c r="B33" s="196">
        <v>46014</v>
      </c>
      <c r="C33" s="46" t="s">
        <v>724</v>
      </c>
      <c r="D33" s="46" t="s">
        <v>418</v>
      </c>
      <c r="E33" s="46" t="s">
        <v>440</v>
      </c>
      <c r="F33" s="46">
        <v>24</v>
      </c>
      <c r="G33" s="153">
        <v>256.81818181818181</v>
      </c>
      <c r="H33" s="153">
        <v>6163.6363636363631</v>
      </c>
      <c r="I33" s="195"/>
      <c r="K33" s="189"/>
      <c r="L33" s="190"/>
    </row>
    <row r="34" spans="1:12" ht="15" customHeight="1">
      <c r="A34" s="160">
        <f t="shared" si="2"/>
        <v>31</v>
      </c>
      <c r="B34" s="196">
        <v>46014</v>
      </c>
      <c r="C34" s="46" t="s">
        <v>724</v>
      </c>
      <c r="D34" s="46" t="s">
        <v>418</v>
      </c>
      <c r="E34" s="46" t="s">
        <v>440</v>
      </c>
      <c r="F34" s="46">
        <v>12</v>
      </c>
      <c r="G34" s="153">
        <v>306.06060606060606</v>
      </c>
      <c r="H34" s="153">
        <v>3672.7272727272725</v>
      </c>
      <c r="I34" s="195"/>
    </row>
    <row r="35" spans="1:12" ht="15" customHeight="1">
      <c r="A35" s="160">
        <f t="shared" si="2"/>
        <v>32</v>
      </c>
      <c r="B35" s="196">
        <v>46014</v>
      </c>
      <c r="C35" s="46" t="s">
        <v>724</v>
      </c>
      <c r="D35" s="46" t="s">
        <v>418</v>
      </c>
      <c r="E35" s="46" t="s">
        <v>440</v>
      </c>
      <c r="F35" s="46">
        <v>12</v>
      </c>
      <c r="G35" s="153">
        <v>308.33333333333331</v>
      </c>
      <c r="H35" s="153">
        <v>3699.9999999999995</v>
      </c>
      <c r="I35" s="195"/>
    </row>
    <row r="36" spans="1:12" ht="15" customHeight="1">
      <c r="A36" s="160">
        <f t="shared" si="2"/>
        <v>33</v>
      </c>
      <c r="B36" s="196">
        <v>46014</v>
      </c>
      <c r="C36" s="46" t="s">
        <v>724</v>
      </c>
      <c r="D36" s="46" t="s">
        <v>419</v>
      </c>
      <c r="E36" s="46" t="s">
        <v>440</v>
      </c>
      <c r="F36" s="46">
        <v>24</v>
      </c>
      <c r="G36" s="153">
        <v>304.5454545454545</v>
      </c>
      <c r="H36" s="153">
        <v>7309.0909090909081</v>
      </c>
      <c r="I36" s="195"/>
    </row>
    <row r="37" spans="1:12" ht="15" customHeight="1">
      <c r="A37" s="160">
        <f t="shared" si="2"/>
        <v>34</v>
      </c>
      <c r="B37" s="196">
        <v>46014</v>
      </c>
      <c r="C37" s="46" t="s">
        <v>724</v>
      </c>
      <c r="D37" s="46" t="s">
        <v>419</v>
      </c>
      <c r="E37" s="46" t="s">
        <v>440</v>
      </c>
      <c r="F37" s="46">
        <v>36</v>
      </c>
      <c r="G37" s="153">
        <v>304.5454545454545</v>
      </c>
      <c r="H37" s="153">
        <v>10963.636363636362</v>
      </c>
      <c r="I37" s="195"/>
    </row>
    <row r="38" spans="1:12" ht="15" customHeight="1">
      <c r="A38" s="160">
        <f t="shared" si="2"/>
        <v>35</v>
      </c>
      <c r="B38" s="196">
        <v>46014</v>
      </c>
      <c r="C38" s="46" t="s">
        <v>724</v>
      </c>
      <c r="D38" s="46" t="s">
        <v>435</v>
      </c>
      <c r="E38" s="46" t="s">
        <v>440</v>
      </c>
      <c r="F38" s="46">
        <v>1</v>
      </c>
      <c r="G38" s="153">
        <v>47090.909090909088</v>
      </c>
      <c r="H38" s="153">
        <v>47090.909090909088</v>
      </c>
      <c r="I38" s="195"/>
    </row>
    <row r="39" spans="1:12" ht="15" customHeight="1">
      <c r="A39" s="160">
        <f t="shared" si="2"/>
        <v>36</v>
      </c>
      <c r="B39" s="196">
        <v>46385</v>
      </c>
      <c r="C39" s="46" t="s">
        <v>724</v>
      </c>
      <c r="D39" s="46" t="s">
        <v>436</v>
      </c>
      <c r="E39" s="46" t="s">
        <v>440</v>
      </c>
      <c r="F39" s="46">
        <v>5</v>
      </c>
      <c r="G39" s="153">
        <v>16890.909090909088</v>
      </c>
      <c r="H39" s="153">
        <v>84454.545454545441</v>
      </c>
      <c r="I39" s="195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88" t="s">
        <v>41</v>
      </c>
      <c r="C2" s="38" t="s">
        <v>37</v>
      </c>
      <c r="D2" s="38"/>
      <c r="E2" s="38" t="s">
        <v>40</v>
      </c>
    </row>
    <row r="3" spans="2:18" ht="30" customHeight="1">
      <c r="B3" s="289"/>
      <c r="C3" s="38" t="s">
        <v>38</v>
      </c>
      <c r="D3" s="38"/>
      <c r="E3" s="38" t="s">
        <v>40</v>
      </c>
    </row>
    <row r="4" spans="2:18" ht="30" customHeight="1">
      <c r="B4" s="289"/>
      <c r="C4" s="38" t="s">
        <v>39</v>
      </c>
      <c r="D4" s="38"/>
      <c r="E4" s="38" t="s">
        <v>40</v>
      </c>
    </row>
    <row r="6" spans="2:18" ht="48.95" customHeight="1">
      <c r="G6" s="288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288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290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291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292" t="s">
        <v>55</v>
      </c>
      <c r="C3" s="293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(12월)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ENCP0973LT</cp:lastModifiedBy>
  <cp:lastPrinted>2026-01-05T03:27:05Z</cp:lastPrinted>
  <dcterms:created xsi:type="dcterms:W3CDTF">2025-09-12T00:04:15Z</dcterms:created>
  <dcterms:modified xsi:type="dcterms:W3CDTF">2026-01-06T04:21:39Z</dcterms:modified>
</cp:coreProperties>
</file>