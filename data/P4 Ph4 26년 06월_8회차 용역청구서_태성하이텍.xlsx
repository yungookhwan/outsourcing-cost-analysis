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6월\S25-004\"/>
    </mc:Choice>
  </mc:AlternateContent>
  <xr:revisionPtr revIDLastSave="0" documentId="13_ncr:1_{21610CCB-5C38-4110-8E7C-72A262876C5F}" xr6:coauthVersionLast="36" xr6:coauthVersionMax="47" xr10:uidLastSave="{00000000-0000-0000-0000-000000000000}"/>
  <bookViews>
    <workbookView xWindow="28680" yWindow="-120" windowWidth="29040" windowHeight="15720" tabRatio="726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06월)" sheetId="8" r:id="rId7"/>
    <sheet name="용접기자재" sheetId="13" r:id="rId8"/>
    <sheet name="배관기자재" sheetId="14" r:id="rId9"/>
    <sheet name="숙소임차료" sheetId="9" r:id="rId10"/>
    <sheet name="숙소관리비" sheetId="10" r:id="rId11"/>
    <sheet name="식대비용" sheetId="11" r:id="rId12"/>
    <sheet name="기타비용" sheetId="12" r:id="rId13"/>
    <sheet name="서명란" sheetId="3" state="hidden" r:id="rId14"/>
    <sheet name="DIA-INCH" sheetId="4" state="hidden" r:id="rId15"/>
  </sheet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5">#REF!</definedName>
    <definedName name="___QQ123">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1" localSheetId="3">#REF!</definedName>
    <definedName name="_DAT11">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5" localSheetId="3">#REF!</definedName>
    <definedName name="_DAT5">#REF!</definedName>
    <definedName name="_xlnm._FilterDatabase" localSheetId="8" hidden="1">배관기자재!$A$2:$J$15</definedName>
    <definedName name="_xlnm._FilterDatabase" localSheetId="7" hidden="1">용접기자재!$A$2:$J$3</definedName>
    <definedName name="_xlnm._FilterDatabase" hidden="1">#REF!</definedName>
    <definedName name="_Key1" localSheetId="3" hidden="1">#REF!</definedName>
    <definedName name="_Key1" hidden="1">#REF!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Ⅱ" localSheetId="3" hidden="1">{#N/A,#N/A,FALSE,"정공"}</definedName>
    <definedName name="Ⅱ" hidden="1">{#N/A,#N/A,FALSE,"정공"}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Database" hidden="1">"C:\My Documents\입고현황_류\장비입고현황2.mdb"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s" localSheetId="3">[0]!BlankMacro1</definedName>
    <definedName name="as">[0]!BlankMacro1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ut" localSheetId="3">#REF!</definedName>
    <definedName name="aut">#REF!</definedName>
    <definedName name="AV">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HDDOR" localSheetId="3">#REF!</definedName>
    <definedName name="CHDDOR">#REF!</definedName>
    <definedName name="cho" localSheetId="3">[0]!BlankMacro1</definedName>
    <definedName name="cho">[0]!BlankMacro1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DANGA">#REF!,#REF!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NCOST">#N/A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_xlnm.Extract">#REF!</definedName>
    <definedName name="Extract_MI">#REF!</definedName>
    <definedName name="f">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hidden="1">#REF!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rdwar" hidden="1">#REF!</definedName>
    <definedName name="HEADER" localSheetId="3">#REF!</definedName>
    <definedName name="HEADER">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UMBER">#REF!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eriod_Const">#REF!</definedName>
    <definedName name="PERIOD_END" localSheetId="3">#REF!</definedName>
    <definedName name="PERIOD_END">#REF!</definedName>
    <definedName name="pihkj">#REF!</definedName>
    <definedName name="PIPE40">#REF!</definedName>
    <definedName name="PJT">#N/A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2">기타비용!$A$1:$I$19</definedName>
    <definedName name="_xlnm.Print_Area" localSheetId="8">배관기자재!$A$1:$J$34</definedName>
    <definedName name="_xlnm.Print_Area" localSheetId="10">숙소관리비!$A$1:$J$25</definedName>
    <definedName name="_xlnm.Print_Area" localSheetId="9">숙소임차료!$A$1:$J$14</definedName>
    <definedName name="_xlnm.Print_Area" localSheetId="11">식대비용!$A$1:$J$11</definedName>
    <definedName name="_xlnm.Print_Area" localSheetId="1">'용역 청구서(갑지)'!$A$1:$L$26</definedName>
    <definedName name="_xlnm.Print_Area" localSheetId="7">용접기자재!$A$1:$J$3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_xlnm.Print_Titles" localSheetId="3">'내역서(을지)'!$2:$4</definedName>
    <definedName name="_xlnm.Print_Titles" localSheetId="8">배관기자재!$1:$3</definedName>
    <definedName name="_xlnm.Print_Titles" localSheetId="7">용접기자재!$1:$3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CODE" localSheetId="3">#REF!</definedName>
    <definedName name="SCODE">#REF!</definedName>
    <definedName name="SD">#REF!</definedName>
    <definedName name="SDASDASDA" hidden="1">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ST0">#REF!</definedName>
    <definedName name="TESTKEYS" localSheetId="3">#REF!</definedName>
    <definedName name="TESTKEYS">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hidden="1">{#N/A,#N/A,FALSE,"속도"}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ㄱㄱ">#REF!</definedName>
    <definedName name="ㄱㄱㄱㄱ">#REF!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갤로" localSheetId="3" hidden="1">{#N/A,#N/A,FALSE,"정공"}</definedName>
    <definedName name="갤로" hidden="1">{#N/A,#N/A,FALSE,"정공"}</definedName>
    <definedName name="거리">#REF!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ㅇ">#REF!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ㅂㅂ" localSheetId="3">[0]!BlankMacro1</definedName>
    <definedName name="ㅂㅂㅂㅂ">[0]!BlankMacro1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방송">#REF!</definedName>
    <definedName name="방수">#REF!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부___문" localSheetId="3">#REF!</definedName>
    <definedName name="부___문">#REF!</definedName>
    <definedName name="부가가치세">#REF!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당내역서" hidden="1">#REF!</definedName>
    <definedName name="분당아파트">#REF!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공">#REF!</definedName>
    <definedName name="설비투자" localSheetId="3" hidden="1">{#N/A,#N/A,FALSE,"정공"}</definedName>
    <definedName name="설비투자" hidden="1">{#N/A,#N/A,FALSE,"정공"}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부실적" localSheetId="3">[0]!BlankMacro1</definedName>
    <definedName name="세부실적">[0]!BlankMacro1</definedName>
    <definedName name="소계">#REF!</definedName>
    <definedName name="소나무">#REF!</definedName>
    <definedName name="소방">#REF!</definedName>
    <definedName name="소방시설공사">#REF!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형차축부" localSheetId="3">#REF!</definedName>
    <definedName name="소형차축부">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숙직">#REF!</definedName>
    <definedName name="순공사비">#REF!</definedName>
    <definedName name="순공사원가">#REF!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ㅇㄻ">#REF!</definedName>
    <definedName name="ㅇㄹ">#REF!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연결부하">#REF!</definedName>
    <definedName name="연도.도금">#REF!</definedName>
    <definedName name="연습">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윤율">#REF!</definedName>
    <definedName name="인동덩쿨">#REF!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[0]!BlankMacro1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컴">#REF!</definedName>
    <definedName name="컴퓨">#REF!</definedName>
    <definedName name="크레인">#REF!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ㅏㅏ" localSheetId="3">[0]!BlankMacro1</definedName>
    <definedName name="ㅏㅏ">[0]!BlankMacro1</definedName>
    <definedName name="ㅐㅐㅐㅐ" localSheetId="3">[0]!BlankMacro1</definedName>
    <definedName name="ㅐㅐㅐㅐ">[0]!BlankMacro1</definedName>
    <definedName name="ㅑ3081">#REF!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ㅕㅓ" localSheetId="3">[0]!BlankMacro1</definedName>
    <definedName name="ㅗㅕㅓ">[0]!BlankMacro1</definedName>
    <definedName name="ㅛㅛㅛㅛ" localSheetId="3">[0]!BlankMacro1</definedName>
    <definedName name="ㅛㅛㅛㅛ">[0]!BlankMacro1</definedName>
    <definedName name="ㅜㅜ" localSheetId="3">BlankMacro1</definedName>
    <definedName name="ㅜㅜ">BlankMacro1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6" l="1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44" i="7"/>
  <c r="Q32" i="7"/>
  <c r="E8" i="2" l="1"/>
  <c r="G21" i="6" l="1"/>
  <c r="D7" i="6" l="1"/>
  <c r="F7" i="6"/>
  <c r="I11" i="11" l="1"/>
  <c r="E6" i="6"/>
  <c r="F6" i="6"/>
  <c r="A19" i="12"/>
  <c r="A18" i="12"/>
  <c r="A17" i="12"/>
  <c r="A16" i="12"/>
  <c r="A15" i="12"/>
  <c r="G14" i="12"/>
  <c r="H14" i="12" s="1"/>
  <c r="A14" i="12"/>
  <c r="G13" i="12"/>
  <c r="H13" i="12" s="1"/>
  <c r="A13" i="12"/>
  <c r="G12" i="12"/>
  <c r="H12" i="12" s="1"/>
  <c r="A12" i="12"/>
  <c r="G11" i="12"/>
  <c r="H11" i="12" s="1"/>
  <c r="A11" i="12"/>
  <c r="G10" i="12"/>
  <c r="H10" i="12" s="1"/>
  <c r="A10" i="12"/>
  <c r="G9" i="12"/>
  <c r="H9" i="12" s="1"/>
  <c r="A9" i="12"/>
  <c r="G8" i="12"/>
  <c r="H8" i="12" s="1"/>
  <c r="A8" i="12"/>
  <c r="G7" i="12"/>
  <c r="H7" i="12" s="1"/>
  <c r="A7" i="12"/>
  <c r="G6" i="12"/>
  <c r="H6" i="12" s="1"/>
  <c r="A6" i="12"/>
  <c r="G5" i="12"/>
  <c r="H5" i="12" s="1"/>
  <c r="A5" i="12"/>
  <c r="G4" i="12"/>
  <c r="H4" i="12" s="1"/>
  <c r="A4" i="12"/>
  <c r="A11" i="11"/>
  <c r="I10" i="11"/>
  <c r="A10" i="11"/>
  <c r="I9" i="11"/>
  <c r="A9" i="11"/>
  <c r="I8" i="11"/>
  <c r="A8" i="11"/>
  <c r="I7" i="11"/>
  <c r="A7" i="11"/>
  <c r="I6" i="11"/>
  <c r="A6" i="11"/>
  <c r="I5" i="11"/>
  <c r="A5" i="11"/>
  <c r="I4" i="11"/>
  <c r="A4" i="11"/>
  <c r="I3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14" i="9"/>
  <c r="A13" i="9"/>
  <c r="A12" i="9"/>
  <c r="A11" i="9"/>
  <c r="A10" i="9"/>
  <c r="A9" i="9"/>
  <c r="I8" i="9"/>
  <c r="A8" i="9"/>
  <c r="I7" i="9"/>
  <c r="A7" i="9"/>
  <c r="I6" i="9"/>
  <c r="A6" i="9"/>
  <c r="I5" i="9"/>
  <c r="A5" i="9"/>
  <c r="I4" i="9"/>
  <c r="A4" i="9"/>
  <c r="I3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9" i="13"/>
  <c r="A8" i="13"/>
  <c r="A7" i="13"/>
  <c r="A6" i="13"/>
  <c r="A5" i="13"/>
  <c r="A4" i="13"/>
  <c r="H3" i="12" l="1"/>
  <c r="E16" i="15"/>
  <c r="F11" i="15"/>
  <c r="F10" i="15"/>
  <c r="F9" i="15"/>
  <c r="F8" i="15"/>
  <c r="F7" i="15"/>
  <c r="F6" i="15"/>
  <c r="F5" i="15"/>
  <c r="F13" i="15" l="1"/>
  <c r="F16" i="15" s="1"/>
  <c r="G8" i="6" l="1"/>
  <c r="G13" i="6" l="1"/>
  <c r="G14" i="6" s="1"/>
  <c r="G18" i="6" s="1"/>
  <c r="I3" i="11" l="1"/>
  <c r="I3" i="9"/>
  <c r="J8" i="7" l="1"/>
  <c r="K8" i="7" s="1"/>
  <c r="J10" i="7"/>
  <c r="K10" i="7" s="1"/>
  <c r="J11" i="7"/>
  <c r="K11" i="7" s="1"/>
  <c r="J12" i="7"/>
  <c r="K12" i="7" s="1"/>
  <c r="J13" i="7"/>
  <c r="K13" i="7" s="1"/>
  <c r="J14" i="7"/>
  <c r="K14" i="7" s="1"/>
  <c r="J16" i="7"/>
  <c r="K16" i="7" s="1"/>
  <c r="J9" i="7"/>
  <c r="K9" i="7" s="1"/>
  <c r="J15" i="7"/>
  <c r="K15" i="7" s="1"/>
  <c r="I3" i="13"/>
  <c r="AN80" i="8" l="1"/>
  <c r="AP80" i="8" s="1"/>
  <c r="AN79" i="8"/>
  <c r="AP79" i="8" s="1"/>
  <c r="AN78" i="8"/>
  <c r="AP78" i="8" s="1"/>
  <c r="AN77" i="8"/>
  <c r="AP77" i="8" s="1"/>
  <c r="AN76" i="8"/>
  <c r="AP76" i="8" s="1"/>
  <c r="AN75" i="8"/>
  <c r="AP75" i="8" s="1"/>
  <c r="AN74" i="8"/>
  <c r="AP74" i="8" s="1"/>
  <c r="AN73" i="8"/>
  <c r="AP73" i="8" s="1"/>
  <c r="AN72" i="8"/>
  <c r="AP72" i="8" s="1"/>
  <c r="AN71" i="8"/>
  <c r="AP71" i="8" s="1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AN38" i="8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P88" i="8" l="1"/>
  <c r="O88" i="8"/>
  <c r="N88" i="8"/>
  <c r="Z88" i="8"/>
  <c r="AM88" i="8"/>
  <c r="AL88" i="8"/>
  <c r="Q88" i="8"/>
  <c r="AD88" i="8"/>
  <c r="T88" i="8"/>
  <c r="AF88" i="8"/>
  <c r="R88" i="8"/>
  <c r="AB88" i="8"/>
  <c r="AA88" i="8"/>
  <c r="AC88" i="8"/>
  <c r="AJ88" i="8"/>
  <c r="AE88" i="8"/>
  <c r="W88" i="8"/>
  <c r="AK88" i="8"/>
  <c r="Y88" i="8"/>
  <c r="M88" i="8"/>
  <c r="X88" i="8"/>
  <c r="L88" i="8"/>
  <c r="AI88" i="8"/>
  <c r="K88" i="8"/>
  <c r="V88" i="8"/>
  <c r="J88" i="8"/>
  <c r="AG88" i="8"/>
  <c r="U88" i="8"/>
  <c r="I88" i="8"/>
  <c r="S88" i="8"/>
  <c r="AH88" i="8"/>
  <c r="AN28" i="8" l="1"/>
  <c r="AP28" i="8" s="1"/>
  <c r="AN27" i="8"/>
  <c r="AP27" i="8" s="1"/>
  <c r="AN26" i="8"/>
  <c r="AP26" i="8" s="1"/>
  <c r="AN25" i="8"/>
  <c r="AP25" i="8" s="1"/>
  <c r="AN24" i="8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N14" i="8"/>
  <c r="AP14" i="8" s="1"/>
  <c r="AN13" i="8"/>
  <c r="AP13" i="8" s="1"/>
  <c r="AN12" i="8"/>
  <c r="AP12" i="8" s="1"/>
  <c r="AN11" i="8" l="1"/>
  <c r="AP11" i="8" s="1"/>
  <c r="AN10" i="8"/>
  <c r="AP10" i="8" s="1"/>
  <c r="AN9" i="8"/>
  <c r="AP9" i="8" s="1"/>
  <c r="AN8" i="8"/>
  <c r="AP8" i="8" s="1"/>
  <c r="AN7" i="8"/>
  <c r="AP7" i="8" s="1"/>
  <c r="AN6" i="8"/>
  <c r="AP6" i="8" s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D11" i="6"/>
  <c r="F11" i="6" l="1"/>
  <c r="F10" i="6"/>
  <c r="D10" i="6"/>
  <c r="AM3" i="8" l="1"/>
  <c r="AM1" i="8"/>
  <c r="AN86" i="8"/>
  <c r="AP86" i="8" s="1"/>
  <c r="AN85" i="8"/>
  <c r="AP85" i="8" s="1"/>
  <c r="AN84" i="8"/>
  <c r="AP84" i="8" s="1"/>
  <c r="AN83" i="8"/>
  <c r="AP83" i="8" s="1"/>
  <c r="AN82" i="8"/>
  <c r="AP82" i="8" s="1"/>
  <c r="AP87" i="8" l="1"/>
  <c r="AN81" i="8"/>
  <c r="AP81" i="8"/>
  <c r="AN87" i="8"/>
  <c r="E50" i="7"/>
  <c r="K50" i="7" s="1"/>
  <c r="E49" i="7"/>
  <c r="K49" i="7" s="1"/>
  <c r="E48" i="7"/>
  <c r="K48" i="7" s="1"/>
  <c r="E47" i="7"/>
  <c r="K47" i="7" s="1"/>
  <c r="E46" i="7"/>
  <c r="K46" i="7" s="1"/>
  <c r="E45" i="7"/>
  <c r="K45" i="7" s="1"/>
  <c r="E44" i="7"/>
  <c r="K44" i="7" s="1"/>
  <c r="E43" i="7"/>
  <c r="K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E32" i="7"/>
  <c r="K32" i="7" s="1"/>
  <c r="E30" i="7"/>
  <c r="E29" i="7"/>
  <c r="K29" i="7" s="1"/>
  <c r="E28" i="7"/>
  <c r="J27" i="7"/>
  <c r="J26" i="7"/>
  <c r="J25" i="7"/>
  <c r="K25" i="7" s="1"/>
  <c r="J24" i="7"/>
  <c r="K24" i="7" s="1"/>
  <c r="J23" i="7"/>
  <c r="K23" i="7" s="1"/>
  <c r="J22" i="7"/>
  <c r="J21" i="7"/>
  <c r="K21" i="7" s="1"/>
  <c r="J20" i="7"/>
  <c r="J19" i="7"/>
  <c r="J18" i="7"/>
  <c r="K18" i="7" s="1"/>
  <c r="J17" i="7"/>
  <c r="J7" i="7"/>
  <c r="J6" i="7"/>
  <c r="J5" i="7"/>
  <c r="A2" i="7"/>
  <c r="A1" i="6"/>
  <c r="L2" i="6"/>
  <c r="AN88" i="8" l="1"/>
  <c r="D9" i="6" s="1"/>
  <c r="K26" i="7"/>
  <c r="K36" i="7"/>
  <c r="K37" i="7"/>
  <c r="K40" i="7"/>
  <c r="K41" i="7"/>
  <c r="K42" i="7"/>
  <c r="K38" i="7"/>
  <c r="K39" i="7"/>
  <c r="K28" i="7"/>
  <c r="K30" i="7"/>
  <c r="K35" i="7"/>
  <c r="K7" i="7"/>
  <c r="D4" i="6"/>
  <c r="AP88" i="8"/>
  <c r="AO81" i="8"/>
  <c r="K6" i="7"/>
  <c r="K22" i="7"/>
  <c r="K5" i="7"/>
  <c r="K19" i="7"/>
  <c r="K27" i="7"/>
  <c r="K17" i="7"/>
  <c r="K20" i="7"/>
  <c r="F20" i="6"/>
  <c r="H19" i="6"/>
  <c r="I19" i="6" s="1"/>
  <c r="H17" i="6"/>
  <c r="I17" i="6" s="1"/>
  <c r="H16" i="6"/>
  <c r="I16" i="6" s="1"/>
  <c r="E14" i="2" s="1"/>
  <c r="H15" i="6"/>
  <c r="I15" i="6" s="1"/>
  <c r="F12" i="6"/>
  <c r="H7" i="6"/>
  <c r="I7" i="6" s="1"/>
  <c r="H6" i="6"/>
  <c r="I6" i="6" s="1"/>
  <c r="AO88" i="8" l="1"/>
  <c r="F9" i="6"/>
  <c r="H20" i="6"/>
  <c r="I20" i="6" s="1"/>
  <c r="L20" i="6" s="1"/>
  <c r="E12" i="2" s="1"/>
  <c r="E11" i="2"/>
  <c r="F5" i="6"/>
  <c r="F4" i="6"/>
  <c r="K51" i="7"/>
  <c r="J51" i="7"/>
  <c r="E11" i="6"/>
  <c r="H11" i="6"/>
  <c r="I11" i="6" s="1"/>
  <c r="E10" i="6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E5" i="6"/>
  <c r="H5" i="6"/>
  <c r="I5" i="6" s="1"/>
  <c r="H9" i="6"/>
  <c r="E9" i="6"/>
  <c r="F13" i="6"/>
  <c r="H13" i="6" s="1"/>
  <c r="I13" i="6" s="1"/>
  <c r="H4" i="6"/>
  <c r="I4" i="6" s="1"/>
  <c r="E4" i="6"/>
  <c r="F13" i="5"/>
  <c r="F15" i="5" s="1"/>
  <c r="D14" i="2"/>
  <c r="D12" i="2"/>
  <c r="D11" i="2"/>
  <c r="D10" i="2"/>
  <c r="D9" i="2"/>
  <c r="D7" i="2"/>
  <c r="F14" i="6" l="1"/>
  <c r="H14" i="6" s="1"/>
  <c r="I14" i="6" s="1"/>
  <c r="F18" i="6" l="1"/>
  <c r="F21" i="6" s="1"/>
  <c r="H21" i="6" l="1"/>
  <c r="I21" i="6" s="1"/>
  <c r="F22" i="6"/>
  <c r="H22" i="6" s="1"/>
  <c r="I22" i="6" s="1"/>
  <c r="E5" i="2" s="1"/>
  <c r="D5" i="2" s="1"/>
  <c r="H18" i="6"/>
  <c r="I18" i="6" s="1"/>
  <c r="D8" i="2"/>
  <c r="E13" i="2" l="1"/>
  <c r="E6" i="2" s="1"/>
  <c r="D6" i="2" s="1"/>
  <c r="I9" i="6"/>
  <c r="D13" i="2" l="1"/>
  <c r="M43" i="7"/>
  <c r="G43" i="7" s="1"/>
  <c r="L9" i="7"/>
  <c r="F9" i="7" s="1"/>
  <c r="L42" i="7"/>
  <c r="F42" i="7"/>
  <c r="M35" i="7"/>
  <c r="G35" i="7"/>
  <c r="M19" i="7"/>
  <c r="G19" i="7" s="1"/>
  <c r="M12" i="7"/>
  <c r="G12" i="7" s="1"/>
  <c r="L20" i="7"/>
  <c r="F20" i="7"/>
  <c r="L25" i="7"/>
  <c r="F25" i="7"/>
  <c r="M44" i="7"/>
  <c r="G44" i="7" s="1"/>
  <c r="L34" i="7"/>
  <c r="F34" i="7"/>
  <c r="M25" i="7"/>
  <c r="G25" i="7" s="1"/>
  <c r="L15" i="7"/>
  <c r="F15" i="7" s="1"/>
  <c r="M7" i="7"/>
  <c r="G7" i="7" s="1"/>
  <c r="M13" i="7"/>
  <c r="G13" i="7"/>
  <c r="M28" i="7"/>
  <c r="G28" i="7"/>
  <c r="M31" i="7"/>
  <c r="G31" i="7"/>
  <c r="M49" i="7"/>
  <c r="G49" i="7" s="1"/>
  <c r="M16" i="7"/>
  <c r="G16" i="7" s="1"/>
  <c r="L50" i="7"/>
  <c r="F50" i="7"/>
  <c r="L16" i="7"/>
  <c r="F16" i="7"/>
  <c r="L31" i="7"/>
  <c r="F31" i="7"/>
  <c r="L36" i="7"/>
  <c r="F36" i="7" s="1"/>
  <c r="L14" i="7"/>
  <c r="F14" i="7" s="1"/>
  <c r="M42" i="7"/>
  <c r="G42" i="7" s="1"/>
  <c r="L39" i="7"/>
  <c r="F39" i="7"/>
  <c r="M23" i="7"/>
  <c r="G23" i="7" s="1"/>
  <c r="M20" i="7"/>
  <c r="G20" i="7"/>
  <c r="L37" i="7"/>
  <c r="F37" i="7" s="1"/>
  <c r="M21" i="7"/>
  <c r="G21" i="7" s="1"/>
  <c r="L24" i="7"/>
  <c r="F24" i="7" s="1"/>
  <c r="L38" i="7"/>
  <c r="F38" i="7" s="1"/>
  <c r="M26" i="7"/>
  <c r="G26" i="7"/>
  <c r="M46" i="7"/>
  <c r="G46" i="7"/>
  <c r="L40" i="7"/>
  <c r="F40" i="7" s="1"/>
  <c r="M48" i="7"/>
  <c r="G48" i="7" s="1"/>
  <c r="I51" i="7"/>
  <c r="M18" i="7"/>
  <c r="G18" i="7"/>
  <c r="M10" i="7"/>
  <c r="G10" i="7" s="1"/>
  <c r="M39" i="7"/>
  <c r="G39" i="7" s="1"/>
  <c r="M32" i="7"/>
  <c r="G32" i="7"/>
  <c r="M17" i="7"/>
  <c r="G17" i="7"/>
  <c r="M45" i="7"/>
  <c r="G45" i="7"/>
  <c r="L48" i="7"/>
  <c r="F48" i="7" s="1"/>
  <c r="M15" i="7"/>
  <c r="G15" i="7" s="1"/>
  <c r="L26" i="7"/>
  <c r="F26" i="7"/>
  <c r="M22" i="7"/>
  <c r="G22" i="7"/>
  <c r="M8" i="7"/>
  <c r="G8" i="7"/>
  <c r="H51" i="7"/>
  <c r="L44" i="7"/>
  <c r="F44" i="7" s="1"/>
  <c r="L49" i="7"/>
  <c r="F49" i="7"/>
  <c r="L19" i="7"/>
  <c r="F19" i="7" s="1"/>
  <c r="M37" i="7"/>
  <c r="G37" i="7"/>
  <c r="L6" i="7"/>
  <c r="F6" i="7" s="1"/>
  <c r="L43" i="7"/>
  <c r="F43" i="7" s="1"/>
  <c r="L11" i="7"/>
  <c r="F11" i="7" s="1"/>
  <c r="M47" i="7"/>
  <c r="G47" i="7"/>
  <c r="M40" i="7"/>
  <c r="G40" i="7"/>
  <c r="L45" i="7"/>
  <c r="F45" i="7" s="1"/>
  <c r="L7" i="7"/>
  <c r="F7" i="7"/>
  <c r="L35" i="7"/>
  <c r="F35" i="7" s="1"/>
  <c r="L10" i="7"/>
  <c r="F10" i="7" s="1"/>
  <c r="M6" i="7"/>
  <c r="G6" i="7"/>
  <c r="L47" i="7"/>
  <c r="F47" i="7" s="1"/>
  <c r="L13" i="7"/>
  <c r="F13" i="7" s="1"/>
  <c r="M24" i="7"/>
  <c r="G24" i="7" s="1"/>
  <c r="L29" i="7"/>
  <c r="F29" i="7" s="1"/>
  <c r="L41" i="7"/>
  <c r="F41" i="7" s="1"/>
  <c r="L22" i="7"/>
  <c r="F22" i="7"/>
  <c r="M33" i="7"/>
  <c r="G33" i="7" s="1"/>
  <c r="M11" i="7"/>
  <c r="G11" i="7"/>
  <c r="L23" i="7"/>
  <c r="F23" i="7"/>
  <c r="M41" i="7"/>
  <c r="G41" i="7" s="1"/>
  <c r="L33" i="7"/>
  <c r="F33" i="7" s="1"/>
  <c r="M9" i="7"/>
  <c r="G9" i="7" s="1"/>
  <c r="L30" i="7"/>
  <c r="F30" i="7"/>
  <c r="M36" i="7"/>
  <c r="G36" i="7" s="1"/>
  <c r="L17" i="7"/>
  <c r="F17" i="7"/>
  <c r="L27" i="7"/>
  <c r="F27" i="7" s="1"/>
  <c r="M38" i="7"/>
  <c r="G38" i="7" s="1"/>
  <c r="M50" i="7"/>
  <c r="G50" i="7"/>
  <c r="L21" i="7"/>
  <c r="F21" i="7"/>
  <c r="L28" i="7"/>
  <c r="F28" i="7" s="1"/>
  <c r="L32" i="7"/>
  <c r="F32" i="7"/>
  <c r="M14" i="7"/>
  <c r="G14" i="7" s="1"/>
  <c r="M29" i="7"/>
  <c r="G29" i="7" s="1"/>
  <c r="L12" i="7"/>
  <c r="F12" i="7" s="1"/>
  <c r="M27" i="7"/>
  <c r="G27" i="7" s="1"/>
  <c r="M34" i="7"/>
  <c r="G34" i="7"/>
  <c r="L18" i="7"/>
  <c r="F18" i="7"/>
  <c r="L8" i="7"/>
  <c r="F8" i="7" s="1"/>
  <c r="M30" i="7"/>
  <c r="G30" i="7" s="1"/>
  <c r="L46" i="7"/>
  <c r="F46" i="7"/>
  <c r="L5" i="7"/>
  <c r="F5" i="7" s="1"/>
  <c r="M5" i="7"/>
  <c r="G5" i="7" s="1"/>
  <c r="L51" i="7" l="1"/>
  <c r="M51" i="7"/>
  <c r="G51" i="7"/>
  <c r="F5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김영광</author>
  </authors>
  <commentList>
    <comment ref="H8" authorId="0" shapeId="0" xr:uid="{046CF6CF-E596-46A4-A253-9F6C092FA68F}">
      <text>
        <r>
          <rPr>
            <b/>
            <sz val="9"/>
            <color indexed="81"/>
            <rFont val="돋움"/>
            <family val="3"/>
            <charset val="129"/>
          </rPr>
          <t>태성귀책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인치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차감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<sst xmlns="http://schemas.openxmlformats.org/spreadsheetml/2006/main" count="1397" uniqueCount="755">
  <si>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</si>
  <si>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</si>
  <si>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</si>
  <si>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</si>
  <si>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</si>
  <si>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</si>
  <si>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</si>
  <si>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</si>
  <si>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</si>
  <si>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</si>
  <si>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</si>
  <si>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</si>
  <si>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</si>
  <si>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</si>
  <si>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</si>
  <si>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</si>
  <si>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</si>
  <si>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</si>
  <si>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</si>
  <si>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</si>
  <si>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</si>
  <si>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</si>
  <si>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</si>
  <si>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</si>
  <si>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</si>
  <si>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</si>
  <si>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</si>
  <si>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</si>
  <si>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</si>
  <si>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</si>
  <si>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</si>
  <si>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</si>
  <si>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</si>
  <si>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</si>
  <si>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</si>
  <si>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</si>
  <si>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</si>
  <si>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</si>
  <si>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</si>
  <si>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</si>
  <si>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</si>
  <si>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</si>
  <si>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</si>
  <si>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</si>
  <si>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</si>
  <si>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</si>
  <si>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</si>
  <si>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</si>
  <si>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</si>
  <si>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</si>
  <si>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</si>
  <si>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</si>
  <si>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</si>
  <si>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</si>
  <si>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</si>
  <si>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</si>
  <si>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</si>
  <si>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</si>
  <si>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</si>
  <si>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</si>
  <si>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</si>
  <si>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</si>
  <si>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</si>
  <si>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</si>
  <si>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</si>
  <si>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</si>
  <si>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</si>
  <si>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</si>
  <si>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</si>
  <si>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</si>
  <si>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</si>
  <si>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</si>
  <si>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</si>
  <si>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</si>
  <si>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</si>
  <si>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</si>
  <si>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</si>
  <si>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</si>
  <si>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</si>
  <si>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</si>
  <si>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</si>
  <si>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</si>
  <si>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</si>
  <si>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</si>
  <si>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</si>
  <si>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</si>
  <si>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</si>
  <si>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</si>
  <si>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</si>
  <si>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</si>
  <si>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</si>
  <si>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</si>
  <si>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</si>
  <si>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</si>
  <si>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</si>
  <si>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</si>
  <si>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</si>
  <si>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</si>
  <si>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</si>
  <si>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</si>
  <si>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</si>
  <si>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</si>
  <si>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</si>
  <si>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</si>
  <si>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</si>
  <si>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</si>
  <si>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</si>
  <si>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</si>
  <si>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</si>
  <si>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</si>
  <si>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</si>
  <si>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</si>
  <si>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</si>
  <si>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</si>
  <si>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</si>
  <si>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</si>
  <si>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</si>
  <si>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</si>
  <si>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</si>
  <si>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</si>
  <si>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</si>
  <si>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</si>
  <si>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</si>
  <si>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</si>
  <si>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</si>
  <si>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</si>
  <si>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</si>
  <si>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</si>
  <si>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</si>
  <si>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</si>
  <si>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</si>
  <si>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</si>
  <si>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</si>
  <si>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</si>
  <si>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</si>
  <si>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</si>
  <si>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</si>
  <si>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</si>
  <si>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</si>
  <si>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</si>
  <si>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</si>
  <si>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</si>
  <si>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</si>
  <si>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</si>
  <si>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</si>
  <si>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</si>
  <si>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</si>
  <si>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</si>
  <si>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</si>
  <si>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</si>
  <si>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</si>
  <si>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</si>
  <si>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</si>
  <si>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</si>
  <si>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</si>
  <si>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</si>
  <si>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</si>
  <si>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</si>
  <si>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</si>
  <si>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</si>
  <si>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</si>
  <si>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</si>
  <si>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</si>
  <si>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</si>
  <si>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</si>
  <si>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</si>
  <si>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</si>
  <si>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</si>
  <si>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</si>
  <si>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</si>
  <si>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</si>
  <si>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</si>
  <si>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</si>
  <si>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</si>
  <si>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</si>
  <si>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</si>
  <si>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</si>
  <si>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</si>
  <si>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</si>
  <si>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</si>
  <si>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</si>
  <si>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</si>
  <si>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</si>
  <si>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</si>
  <si>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</si>
  <si>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</si>
  <si>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</si>
  <si>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</si>
  <si>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</si>
  <si>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</si>
  <si>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</si>
  <si>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</si>
  <si>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</si>
  <si>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</si>
  <si>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</si>
  <si>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</si>
  <si>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</si>
  <si>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</si>
  <si>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</si>
  <si>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</si>
  <si>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</si>
  <si>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</si>
  <si>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</si>
  <si>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</si>
  <si>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</si>
  <si>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</si>
  <si>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</si>
  <si>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</si>
  <si>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</si>
  <si>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</si>
  <si>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</si>
  <si>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</si>
  <si>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</si>
  <si>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</si>
  <si>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</si>
  <si>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</si>
  <si>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</si>
  <si>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</si>
  <si>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</si>
  <si>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</si>
  <si>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</si>
  <si>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</si>
  <si>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</si>
  <si>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</si>
  <si>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</si>
  <si>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</si>
  <si>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</si>
  <si>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</si>
  <si>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</si>
  <si>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</si>
  <si>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</si>
  <si>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</si>
  <si>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</si>
  <si>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</si>
  <si>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</si>
  <si>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</si>
  <si>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</si>
  <si>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</si>
  <si>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</si>
  <si>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</si>
  <si>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</si>
  <si>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</si>
  <si>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</si>
  <si>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</si>
  <si>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</si>
  <si>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</si>
  <si>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</si>
  <si>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</si>
  <si>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</si>
  <si>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</si>
  <si>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</si>
  <si>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</si>
  <si>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</si>
  <si>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</si>
  <si>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</si>
  <si>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</si>
  <si>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</si>
  <si>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</si>
  <si>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</si>
  <si>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</si>
  <si>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</si>
  <si>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</si>
  <si>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</si>
  <si>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</si>
  <si>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</si>
  <si>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</si>
  <si>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</si>
  <si>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</si>
  <si>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</si>
  <si>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</si>
  <si>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</si>
  <si>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</si>
  <si>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</si>
  <si>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</si>
  <si>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</si>
  <si>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</si>
  <si>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</si>
  <si>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</si>
  <si>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</si>
  <si>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</si>
  <si>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</si>
  <si>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</si>
  <si>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</si>
  <si>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</si>
  <si>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</si>
  <si>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</si>
  <si>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</si>
  <si>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</si>
  <si>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</si>
  <si>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</si>
  <si>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</si>
  <si>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S25-004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</si>
  <si>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</si>
  <si>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</si>
  <si>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</si>
  <si>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</si>
  <si>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</si>
  <si>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</si>
  <si>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</si>
  <si>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</si>
  <si>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</si>
  <si>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장규철</t>
    <phoneticPr fontId="3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</si>
  <si>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</si>
  <si>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</si>
  <si>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</si>
  <si>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</si>
  <si>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</si>
  <si>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■ 구분은 [사무용품, 소모품비, 법인카드] 이외 항목은 입력금지</t>
    <phoneticPr fontId="5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</si>
  <si>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</si>
  <si>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</si>
  <si>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</si>
  <si>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</si>
  <si>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</si>
  <si>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</si>
  <si>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</si>
  <si>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7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</si>
  <si>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</si>
  <si>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</si>
  <si>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</si>
  <si>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</si>
  <si>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</si>
  <si>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</si>
  <si>
    <t>2026년 06월</t>
    <phoneticPr fontId="5" type="noConversion"/>
  </si>
  <si>
    <t>작 성 일 :   2026  년  06 월   30 일</t>
    <phoneticPr fontId="9" type="noConversion"/>
  </si>
  <si>
    <t>2026. 06. 01 ~ 2026. 06. 30</t>
    <phoneticPr fontId="3" type="noConversion"/>
  </si>
  <si>
    <t>2026년 (06)월 물량 내역서</t>
    <phoneticPr fontId="3" type="noConversion"/>
  </si>
  <si>
    <t>2026년 (    06   )월 일용 노무비명세서</t>
    <phoneticPr fontId="3" type="noConversion"/>
  </si>
  <si>
    <t>김영광</t>
  </si>
  <si>
    <t>920704-1860718</t>
  </si>
  <si>
    <t>관리보조</t>
  </si>
  <si>
    <t>010-7704-1777</t>
  </si>
  <si>
    <t>기업</t>
  </si>
  <si>
    <t>580-022392-01-010</t>
  </si>
  <si>
    <t>최은희</t>
  </si>
  <si>
    <t>850227-2454711</t>
  </si>
  <si>
    <t>보통인부</t>
  </si>
  <si>
    <t>010-2052-6656</t>
  </si>
  <si>
    <t>하나</t>
  </si>
  <si>
    <t>472-910128-17307</t>
  </si>
  <si>
    <t>홍성연</t>
  </si>
  <si>
    <t>960406-1213110</t>
  </si>
  <si>
    <t>010-7451-1297</t>
  </si>
  <si>
    <t>국민</t>
  </si>
  <si>
    <t>216502-04-453135</t>
  </si>
  <si>
    <t>황선정</t>
  </si>
  <si>
    <t>730308-1057411</t>
  </si>
  <si>
    <t>010-7480-0008</t>
  </si>
  <si>
    <t>농협</t>
  </si>
  <si>
    <t>302-0861-0223-61</t>
  </si>
  <si>
    <t>김동민</t>
  </si>
  <si>
    <t>840606-1768018</t>
  </si>
  <si>
    <t>용접공</t>
  </si>
  <si>
    <t>010-3804-2432</t>
  </si>
  <si>
    <t>신한</t>
  </si>
  <si>
    <t>110-408-565589</t>
  </si>
  <si>
    <t>박주영</t>
  </si>
  <si>
    <t>730810-1457613</t>
  </si>
  <si>
    <t>배관공</t>
  </si>
  <si>
    <t>010-3356-9406</t>
  </si>
  <si>
    <t>130-910013-37908</t>
  </si>
  <si>
    <t>김강현</t>
  </si>
  <si>
    <t>910414-1031829</t>
  </si>
  <si>
    <t>010-6733-7963</t>
  </si>
  <si>
    <t>110-302-846665</t>
  </si>
  <si>
    <t>김태훈</t>
  </si>
  <si>
    <t>810515-1814611</t>
  </si>
  <si>
    <t>010-5844-3098</t>
  </si>
  <si>
    <t>793-12-097221</t>
  </si>
  <si>
    <t>도남철</t>
  </si>
  <si>
    <t>681003-1683610</t>
  </si>
  <si>
    <t>010-3734-2196</t>
  </si>
  <si>
    <t>백승배</t>
  </si>
  <si>
    <t>850323-1520514</t>
  </si>
  <si>
    <t>도비공</t>
  </si>
  <si>
    <t>010-8113-3288</t>
  </si>
  <si>
    <t>우체국</t>
  </si>
  <si>
    <t>402057-02-369681</t>
  </si>
  <si>
    <t>이정완</t>
  </si>
  <si>
    <t>680304-1661020</t>
  </si>
  <si>
    <t>010-3833-5897</t>
  </si>
  <si>
    <t>카카오</t>
  </si>
  <si>
    <t>3333-22-9072681</t>
  </si>
  <si>
    <t>임세훈</t>
  </si>
  <si>
    <t>801028-1113827</t>
  </si>
  <si>
    <t>010-7444-3839</t>
  </si>
  <si>
    <t>453-050090-01-012</t>
  </si>
  <si>
    <t>정일교</t>
  </si>
  <si>
    <t>761021-1348015</t>
  </si>
  <si>
    <t>010-3789-1185</t>
  </si>
  <si>
    <t>360-13-033492</t>
  </si>
  <si>
    <t>전준</t>
  </si>
  <si>
    <t>800228-1168033</t>
  </si>
  <si>
    <t>010-2822-3392</t>
  </si>
  <si>
    <t>110-264-802497</t>
  </si>
  <si>
    <t>안성원</t>
  </si>
  <si>
    <t>730222-1674813</t>
  </si>
  <si>
    <t>010-9575-3445</t>
  </si>
  <si>
    <t>새마을</t>
  </si>
  <si>
    <t>9003-2348-2974-4</t>
  </si>
  <si>
    <t>강희재</t>
  </si>
  <si>
    <t>940122-1491011</t>
  </si>
  <si>
    <t>010-9127-3784</t>
  </si>
  <si>
    <t>110-404-502876</t>
  </si>
  <si>
    <t>김광동</t>
  </si>
  <si>
    <t>930520-1692511</t>
  </si>
  <si>
    <t>010-4348-0266</t>
  </si>
  <si>
    <t>926102-01-496205</t>
  </si>
  <si>
    <t>박세호</t>
  </si>
  <si>
    <t>830125-1674711</t>
  </si>
  <si>
    <t>010-8898-7171</t>
  </si>
  <si>
    <t>3333-21-7116487</t>
  </si>
  <si>
    <t>이상수</t>
  </si>
  <si>
    <t>810518-1927711</t>
  </si>
  <si>
    <t>010-3552-7717</t>
  </si>
  <si>
    <t>171-077318-02-013</t>
  </si>
  <si>
    <t>941107-1199714</t>
  </si>
  <si>
    <t>010-2922-3403</t>
  </si>
  <si>
    <t>박성호</t>
  </si>
  <si>
    <t>450-033865-01-013</t>
  </si>
  <si>
    <t>김영철</t>
  </si>
  <si>
    <t>720622-1921415</t>
  </si>
  <si>
    <t>010-3884-4513</t>
  </si>
  <si>
    <t>9003-2504-8199-8</t>
  </si>
  <si>
    <t>강원태</t>
  </si>
  <si>
    <t>920818-1240811</t>
  </si>
  <si>
    <t>010-9205-4684</t>
  </si>
  <si>
    <t>186-075475-01-013</t>
  </si>
  <si>
    <t>양동현</t>
  </si>
  <si>
    <t>970121-1126611</t>
  </si>
  <si>
    <t>010-5213-3183</t>
  </si>
  <si>
    <t>3333-05-3629952</t>
  </si>
  <si>
    <t>박승남</t>
  </si>
  <si>
    <t>730316-1654417</t>
  </si>
  <si>
    <t>010-7618-6130</t>
  </si>
  <si>
    <t>211065-56-138642</t>
  </si>
  <si>
    <t>남희수</t>
  </si>
  <si>
    <t>741212-1068534</t>
  </si>
  <si>
    <t>010-8994-9296</t>
  </si>
  <si>
    <t>547201-01-029724</t>
  </si>
  <si>
    <t>신원석</t>
  </si>
  <si>
    <t>820823-1151611</t>
  </si>
  <si>
    <t>010-5794-3572</t>
  </si>
  <si>
    <t>110-312-958801</t>
  </si>
  <si>
    <t>원홍연</t>
  </si>
  <si>
    <t>801025-1057720</t>
  </si>
  <si>
    <t>010-2922-2223</t>
  </si>
  <si>
    <t>케이뱅크</t>
  </si>
  <si>
    <t>100-214-461370</t>
  </si>
  <si>
    <t>최연지</t>
  </si>
  <si>
    <t>981006-2192118</t>
  </si>
  <si>
    <t>010-6714-4859</t>
  </si>
  <si>
    <t>송수림</t>
  </si>
  <si>
    <t>840920-1789928</t>
  </si>
  <si>
    <t>010-2777-7145</t>
  </si>
  <si>
    <t>352-0253-3500-63</t>
  </si>
  <si>
    <t>임승희</t>
  </si>
  <si>
    <t>881107-1235222</t>
  </si>
  <si>
    <t>010-4393-9938</t>
  </si>
  <si>
    <t>110-353-055995</t>
  </si>
  <si>
    <t>이명재</t>
  </si>
  <si>
    <t>840407-1011315</t>
  </si>
  <si>
    <t>010-2288-2353</t>
  </si>
  <si>
    <t>110-470-707347</t>
  </si>
  <si>
    <t>최동건</t>
  </si>
  <si>
    <t>830504-1000819</t>
  </si>
  <si>
    <t>010-9456-1177</t>
  </si>
  <si>
    <t>우리</t>
  </si>
  <si>
    <t>1002-646-504814</t>
  </si>
  <si>
    <t>김성중</t>
  </si>
  <si>
    <t>911126-1043210</t>
  </si>
  <si>
    <t>010-3777-9825</t>
  </si>
  <si>
    <t>118-149246-01-011</t>
  </si>
  <si>
    <t>서현우</t>
  </si>
  <si>
    <t>911210-1163410</t>
  </si>
  <si>
    <t>010-2320-6077</t>
  </si>
  <si>
    <t>576-910358-27807</t>
  </si>
  <si>
    <t>정의돈</t>
  </si>
  <si>
    <t>781215-1324314</t>
  </si>
  <si>
    <t>010-4169-5213</t>
  </si>
  <si>
    <t>605-04-400370</t>
  </si>
  <si>
    <t>김재호</t>
  </si>
  <si>
    <t>740417-1691211</t>
  </si>
  <si>
    <t>010-7903-8334</t>
  </si>
  <si>
    <t>수협</t>
  </si>
  <si>
    <t>0010-2858-8334</t>
  </si>
  <si>
    <t>이주문</t>
  </si>
  <si>
    <t>730118-1047421</t>
  </si>
  <si>
    <t>010-9628-9599</t>
  </si>
  <si>
    <t>159-910705-92107</t>
  </si>
  <si>
    <t>김명수</t>
  </si>
  <si>
    <t>001211-3823418</t>
  </si>
  <si>
    <t>010-5797-6473</t>
  </si>
  <si>
    <t>944502-00-579965</t>
  </si>
  <si>
    <t>김현재</t>
  </si>
  <si>
    <t>700202-1057315</t>
  </si>
  <si>
    <t>010-9062-6693</t>
  </si>
  <si>
    <t>040001-04-096857</t>
  </si>
  <si>
    <t>김윤하</t>
  </si>
  <si>
    <t>860417-1348219</t>
  </si>
  <si>
    <t>010-4807-9031</t>
  </si>
  <si>
    <t>263102-04-214815</t>
  </si>
  <si>
    <t>양희성</t>
  </si>
  <si>
    <t>911226-1178314</t>
  </si>
  <si>
    <t>010-8362-1226</t>
  </si>
  <si>
    <t>110-314-832686</t>
  </si>
  <si>
    <t>이준희</t>
  </si>
  <si>
    <t>990409-1482511</t>
  </si>
  <si>
    <t>010-7610-5782</t>
  </si>
  <si>
    <t>352-9999-0409-23</t>
  </si>
  <si>
    <t>010314-3837113</t>
  </si>
  <si>
    <t>010-2210-3629</t>
  </si>
  <si>
    <t>3333-14-2904871</t>
  </si>
  <si>
    <t>정영석</t>
  </si>
  <si>
    <t>950715-1831411</t>
  </si>
  <si>
    <t>010-5752-3056</t>
  </si>
  <si>
    <t>352-1313-0435-83</t>
  </si>
  <si>
    <t>전용훈</t>
  </si>
  <si>
    <t>941206-1187916</t>
  </si>
  <si>
    <t>010-5397-1694</t>
  </si>
  <si>
    <t>972-025806-01-019</t>
  </si>
  <si>
    <t>김승진</t>
  </si>
  <si>
    <t>751018-1332839</t>
  </si>
  <si>
    <t>안전보조</t>
  </si>
  <si>
    <t>010-4742-4181</t>
  </si>
  <si>
    <t>110-338-273904</t>
  </si>
  <si>
    <t>김경태</t>
  </si>
  <si>
    <t>901120-1588112</t>
  </si>
  <si>
    <t>010-9538-3223</t>
  </si>
  <si>
    <t>99538322358</t>
  </si>
  <si>
    <t>김기진</t>
  </si>
  <si>
    <t>871020-1850315</t>
  </si>
  <si>
    <t>010-6613-2156</t>
  </si>
  <si>
    <t>937-12-468305</t>
  </si>
  <si>
    <t>송용기</t>
  </si>
  <si>
    <t>980114-1811111</t>
  </si>
  <si>
    <t>010-9473-9352</t>
  </si>
  <si>
    <t>신준호</t>
  </si>
  <si>
    <t>860115-1063914</t>
  </si>
  <si>
    <t>010-7628-6061</t>
  </si>
  <si>
    <t>1002-735-727923</t>
  </si>
  <si>
    <t>이상범</t>
  </si>
  <si>
    <t>860701-1070519</t>
  </si>
  <si>
    <t>010-2221-9310</t>
  </si>
  <si>
    <t>352-2141-5574-83</t>
  </si>
  <si>
    <t>임국빈</t>
  </si>
  <si>
    <t>730623-1357211</t>
  </si>
  <si>
    <t>010-9061-4722</t>
  </si>
  <si>
    <t>336-02-182566</t>
  </si>
  <si>
    <t>정덕원</t>
  </si>
  <si>
    <t>970110-1675211</t>
  </si>
  <si>
    <t>010-5100-8961</t>
  </si>
  <si>
    <t>119-910619-32507</t>
  </si>
  <si>
    <t>조민규</t>
  </si>
  <si>
    <t>891111-1113118</t>
  </si>
  <si>
    <t>010-6269-5994</t>
  </si>
  <si>
    <t>3333-10-4699384</t>
  </si>
  <si>
    <t>최진웅</t>
  </si>
  <si>
    <t>810101-1447610</t>
  </si>
  <si>
    <t>010-6545-2244</t>
  </si>
  <si>
    <t>1002-150-879909</t>
  </si>
  <si>
    <t>이해주</t>
  </si>
  <si>
    <t>701028-1536510</t>
  </si>
  <si>
    <t>010-4503-9417</t>
  </si>
  <si>
    <t>541-011332-01-010</t>
  </si>
  <si>
    <t>정웅진</t>
  </si>
  <si>
    <t>881120-1890214</t>
  </si>
  <si>
    <t>010-6694-2204</t>
  </si>
  <si>
    <t>695002-01-237429</t>
  </si>
  <si>
    <t>박안서</t>
  </si>
  <si>
    <t>810228-1469327</t>
  </si>
  <si>
    <t>010-3690-0417</t>
  </si>
  <si>
    <t>1002-040-987874</t>
  </si>
  <si>
    <t>강동근</t>
  </si>
  <si>
    <t>960219-1406218</t>
  </si>
  <si>
    <t>010-5555-5945</t>
  </si>
  <si>
    <t>110-444-941185</t>
  </si>
  <si>
    <t>김동열</t>
  </si>
  <si>
    <t>920815-1331213</t>
  </si>
  <si>
    <t>010-2426-3254</t>
  </si>
  <si>
    <t>9003-2999-8313-9</t>
  </si>
  <si>
    <t>신기현</t>
  </si>
  <si>
    <t>951018-1458314</t>
  </si>
  <si>
    <t>010-3950-1045</t>
  </si>
  <si>
    <t>3333-05-4607779</t>
  </si>
  <si>
    <t>조병업</t>
  </si>
  <si>
    <t>800609-1253523</t>
  </si>
  <si>
    <t>신협</t>
  </si>
  <si>
    <t>137-014-675322</t>
  </si>
  <si>
    <t>조병욱</t>
  </si>
  <si>
    <t>781213-1253515</t>
  </si>
  <si>
    <t>010-3855-2994</t>
  </si>
  <si>
    <t>1002-915-102274</t>
  </si>
  <si>
    <t>이상수78</t>
  </si>
  <si>
    <t>781203-1474219</t>
  </si>
  <si>
    <t>010-6515-6214</t>
  </si>
  <si>
    <t>1002-531-775338</t>
  </si>
  <si>
    <t>이창수</t>
  </si>
  <si>
    <t>891212-1042614</t>
  </si>
  <si>
    <t>010-7370-6219</t>
  </si>
  <si>
    <t>3333-26-3010854</t>
  </si>
  <si>
    <t>김현규</t>
  </si>
  <si>
    <t>921116-1163211</t>
  </si>
  <si>
    <t>010-9150-0018</t>
  </si>
  <si>
    <t>920302-01-333030</t>
  </si>
  <si>
    <t>박동은</t>
  </si>
  <si>
    <t>740428-1777929</t>
  </si>
  <si>
    <t>010-8240-5009</t>
  </si>
  <si>
    <t>717-12-084497</t>
  </si>
  <si>
    <t>김현수</t>
  </si>
  <si>
    <t>960703-1675511</t>
  </si>
  <si>
    <t>010-7760-4917</t>
  </si>
  <si>
    <t>대구</t>
  </si>
  <si>
    <t>143-13-132971</t>
  </si>
  <si>
    <t>박민우</t>
  </si>
  <si>
    <t>841026-1531716</t>
  </si>
  <si>
    <t>010-4768-4757</t>
  </si>
  <si>
    <t>673002-01-201903</t>
  </si>
  <si>
    <t>곽명재</t>
  </si>
  <si>
    <t>800514-1894915</t>
  </si>
  <si>
    <t>010-9232-3215</t>
  </si>
  <si>
    <t>312-0172-2596-61</t>
  </si>
  <si>
    <t>송상엽</t>
  </si>
  <si>
    <t>820530-1167417</t>
  </si>
  <si>
    <t>010-3142-8904</t>
  </si>
  <si>
    <t>349-910362-94907</t>
  </si>
  <si>
    <t>여훈</t>
  </si>
  <si>
    <t>790116-1696716</t>
  </si>
  <si>
    <t>010-8583-1849</t>
  </si>
  <si>
    <t>110-302-536595</t>
  </si>
  <si>
    <t>조완희</t>
  </si>
  <si>
    <t>800713-1148619</t>
  </si>
  <si>
    <t>010-7613-1564</t>
  </si>
  <si>
    <t>356-0737-2299-53</t>
  </si>
  <si>
    <t>9002-1869-8588-9</t>
  </si>
  <si>
    <t>공사보조</t>
  </si>
  <si>
    <t>토스</t>
  </si>
  <si>
    <t>1000-8388-0973</t>
  </si>
  <si>
    <t>강우형</t>
  </si>
  <si>
    <t>000830-3484718</t>
  </si>
  <si>
    <t>010-7963-4799</t>
  </si>
  <si>
    <t>1002-2019-2812</t>
  </si>
  <si>
    <t>김정천</t>
  </si>
  <si>
    <t>이희완</t>
  </si>
  <si>
    <t>910415-1692627</t>
  </si>
  <si>
    <t>010-9909-6141</t>
  </si>
  <si>
    <t>110-316-569643</t>
  </si>
  <si>
    <t>352-2309-2775-73</t>
  </si>
  <si>
    <t>010-5842-2954</t>
  </si>
  <si>
    <t>청보호테이프</t>
  </si>
  <si>
    <t>500mm*4롤</t>
  </si>
  <si>
    <t>네이버파이낸셜㈜</t>
  </si>
  <si>
    <t>페인트붓</t>
  </si>
  <si>
    <t>[1" [동양]]</t>
  </si>
  <si>
    <t>미래공구</t>
  </si>
  <si>
    <t>포장용비닐</t>
  </si>
  <si>
    <t>[300*0.045T*440m [국산]]</t>
  </si>
  <si>
    <t>[700*0.045T*440m [국산]]</t>
  </si>
  <si>
    <t>엑서부품</t>
  </si>
  <si>
    <t>[CCDT,손잡이,Penetration handle [엑서]]</t>
  </si>
  <si>
    <t>[CCFE-13,삽입레버,Penetration lever CCFE [엑서]]</t>
  </si>
  <si>
    <t>번호열쇠</t>
  </si>
  <si>
    <t>[XD-40,4열 [자커]]</t>
  </si>
  <si>
    <t>실리콘헤라</t>
  </si>
  <si>
    <t>[SPK-4(4호),소 [스마토]]</t>
  </si>
  <si>
    <t>티별렌치</t>
  </si>
  <si>
    <t>[SB-TS15,T15*100,CTX [세신]]</t>
  </si>
  <si>
    <t>수리비,디월트</t>
  </si>
  <si>
    <t>[DCB380,프란쟈,니플,구리스]</t>
  </si>
  <si>
    <t>컷쏘날</t>
  </si>
  <si>
    <t>[S1122BF,철재,바이메탈,5개입 [보쉬]]</t>
  </si>
  <si>
    <t>쇠톱날</t>
  </si>
  <si>
    <t>[12"*24TPI [레녹스]]</t>
  </si>
  <si>
    <t>가위</t>
  </si>
  <si>
    <t>[SB-P300,CTX [세신]]</t>
  </si>
  <si>
    <t>케이블타이</t>
  </si>
  <si>
    <t>[300mm(1봉=500개),백색 [HNS]]</t>
  </si>
  <si>
    <t>튜브컷터날</t>
  </si>
  <si>
    <t>[RBN67P용,스텐 [렉스]]</t>
  </si>
  <si>
    <t>파이프안전커버</t>
  </si>
  <si>
    <t>[10T*50mm*2m,난연,황/흑 [SW]]</t>
  </si>
  <si>
    <t>칫솔브러쉬</t>
  </si>
  <si>
    <t>[브러쉬,스텐 [스마토]]</t>
  </si>
  <si>
    <t>양면테이프</t>
  </si>
  <si>
    <t>[50mm*6m,핫멧트 [HNS]]</t>
  </si>
  <si>
    <t>밴드쏘날</t>
  </si>
  <si>
    <t>[1640*13*0.65-14T [WESPA]]</t>
  </si>
  <si>
    <t>스텝드릴</t>
  </si>
  <si>
    <t>[4-22,SJ-SD22A,Co8%,육각생크 [블랑코]]</t>
  </si>
  <si>
    <t>[S922BF,철재,바이메탈,5개입 [보쉬]]</t>
  </si>
  <si>
    <t>마대</t>
  </si>
  <si>
    <t>[수입,정80kg,80L [SW]]</t>
  </si>
  <si>
    <t>[릴리져블타이,300mm(1봉=500개),청색 [전오]]</t>
  </si>
  <si>
    <t>[릴리져블타이,270mm(1봉=500개),청색 [전오]]</t>
  </si>
  <si>
    <t>방청유</t>
  </si>
  <si>
    <t>[WD-40,360ML [BEX]]</t>
  </si>
  <si>
    <t>AAA 건전지</t>
  </si>
  <si>
    <t>쿠팡㈜</t>
  </si>
  <si>
    <t>쓰리엠 슈퍼그립 장갑</t>
  </si>
  <si>
    <t>M</t>
  </si>
  <si>
    <t>S</t>
  </si>
  <si>
    <t>AA 건전지</t>
  </si>
  <si>
    <t>소모성자재</t>
    <phoneticPr fontId="5" type="noConversion"/>
  </si>
  <si>
    <t>ㅗㅅ</t>
    <phoneticPr fontId="5" type="noConversion"/>
  </si>
  <si>
    <t>KC대납 임대료</t>
  </si>
  <si>
    <t xml:space="preserve">숙소임대료(6월분) </t>
    <phoneticPr fontId="5" type="noConversion"/>
  </si>
  <si>
    <t>함박산1길 16</t>
    <phoneticPr fontId="5" type="noConversion"/>
  </si>
  <si>
    <t>301호</t>
  </si>
  <si>
    <t>함박산9길 8-1</t>
    <phoneticPr fontId="9" type="noConversion"/>
  </si>
  <si>
    <t>201호</t>
    <phoneticPr fontId="9" type="noConversion"/>
  </si>
  <si>
    <t>함박산12길 8-10</t>
    <phoneticPr fontId="9" type="noConversion"/>
  </si>
  <si>
    <t>301호</t>
    <phoneticPr fontId="9" type="noConversion"/>
  </si>
  <si>
    <t>고덕여염6길 108</t>
    <phoneticPr fontId="9" type="noConversion"/>
  </si>
  <si>
    <t>302호</t>
    <phoneticPr fontId="9" type="noConversion"/>
  </si>
  <si>
    <t>고덕여염16길 32</t>
    <phoneticPr fontId="9" type="noConversion"/>
  </si>
  <si>
    <t>202호</t>
    <phoneticPr fontId="9" type="noConversion"/>
  </si>
  <si>
    <t xml:space="preserve">  고덕여염 5길 15-10</t>
  </si>
  <si>
    <t>301호</t>
    <phoneticPr fontId="5" type="noConversion"/>
  </si>
  <si>
    <t>201호</t>
    <phoneticPr fontId="5" type="noConversion"/>
  </si>
  <si>
    <t xml:space="preserve">  고덕 갈평10길 67</t>
  </si>
  <si>
    <t xml:space="preserve">  고덕 갈평9길 43</t>
  </si>
  <si>
    <t>202호</t>
    <phoneticPr fontId="5" type="noConversion"/>
  </si>
  <si>
    <t xml:space="preserve">  함박산2길 32-2</t>
  </si>
  <si>
    <t xml:space="preserve">  함박산4길 20</t>
  </si>
  <si>
    <t>관리비</t>
    <phoneticPr fontId="5" type="noConversion"/>
  </si>
  <si>
    <t>숙소전기요금(5월)</t>
  </si>
  <si>
    <t>함박산12길 8-10</t>
  </si>
  <si>
    <t>고덕여염6길 108</t>
  </si>
  <si>
    <t>302호</t>
  </si>
  <si>
    <t>고덕여염16길 32</t>
  </si>
  <si>
    <t>202호</t>
  </si>
  <si>
    <t>201호</t>
  </si>
  <si>
    <t>숙소도시가스(5월)</t>
  </si>
  <si>
    <t>숙소수도요금(5월)</t>
  </si>
  <si>
    <t>함박산 9길 8-1</t>
    <phoneticPr fontId="5" type="noConversion"/>
  </si>
  <si>
    <t>청소비(5월)</t>
    <phoneticPr fontId="5" type="noConversion"/>
  </si>
  <si>
    <t>KC대납 식대</t>
  </si>
  <si>
    <t>기술인및관리자 (현장 식당)</t>
  </si>
  <si>
    <t>태정위드유 주식회사</t>
    <phoneticPr fontId="5" type="noConversion"/>
  </si>
  <si>
    <t>다모아한식뷔페</t>
  </si>
  <si>
    <t>영미손김밥</t>
  </si>
  <si>
    <t>옛날장터</t>
  </si>
  <si>
    <t>은주네한식뷔페</t>
  </si>
  <si>
    <t>삼성김밥</t>
  </si>
  <si>
    <t>한솥</t>
    <phoneticPr fontId="5" type="noConversion"/>
  </si>
  <si>
    <t>식대</t>
  </si>
  <si>
    <t>법인카드</t>
  </si>
  <si>
    <t>85어5471 포터2</t>
  </si>
  <si>
    <t>(주)소모 칠곡주유소</t>
  </si>
  <si>
    <t>85어 5471 차량수리</t>
  </si>
  <si>
    <t>공임나라 평택진위점</t>
  </si>
  <si>
    <t>네임펜</t>
  </si>
  <si>
    <t>A4 용지</t>
  </si>
  <si>
    <t>A4 코팅지</t>
  </si>
  <si>
    <t>법인카드</t>
    <phoneticPr fontId="3" type="noConversion"/>
  </si>
  <si>
    <t>소모품비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</si>
</sst>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  <numFmt numFmtId="187" formatCode="#,##0.0000_ "/>
    <numFmt numFmtId="188" formatCode="_-* #,##0_-;&quot;₩&quot;\!\-* #,##0_-;_-* &quot;-&quot;_-;_-@_-"/>
    <numFmt numFmtId="189" formatCode="_-* #,##0.0_-;\-* #,##0.0_-;_-* &quot;-&quot;_-;_-@_-"/>
    <numFmt numFmtId="191" formatCode="_-* #,##0.0_-;\-* #,##0.0_-;_-* &quot;-&quot;?_-;_-@_-"/>
  </numFmts>
  <fonts count="6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0" fillId="0" borderId="0"/>
    <xf numFmtId="41" fontId="1" fillId="0" borderId="0" applyFont="0" applyFill="0" applyBorder="0" applyAlignment="0" applyProtection="0"/>
    <xf numFmtId="0" fontId="55" fillId="0" borderId="0"/>
    <xf numFmtId="0" fontId="61" fillId="0" borderId="0">
      <alignment vertical="center"/>
    </xf>
    <xf numFmtId="187" fontId="1" fillId="0" borderId="0" applyFont="0" applyFill="0" applyBorder="0" applyAlignment="0" applyProtection="0"/>
  </cellStyleXfs>
  <cellXfs count="355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6" fillId="2" borderId="45" xfId="6" applyNumberFormat="1" applyFont="1" applyFill="1" applyBorder="1" applyAlignment="1">
      <alignment horizontal="center" vertical="center" shrinkToFit="1"/>
    </xf>
    <xf numFmtId="185" fontId="36" fillId="2" borderId="43" xfId="6" applyNumberFormat="1" applyFont="1" applyFill="1" applyBorder="1" applyAlignment="1">
      <alignment horizontal="center" vertical="center" shrinkToFit="1"/>
    </xf>
    <xf numFmtId="185" fontId="36" fillId="2" borderId="42" xfId="6" applyNumberFormat="1" applyFont="1" applyFill="1" applyBorder="1" applyAlignment="1">
      <alignment horizontal="center" vertical="center" shrinkToFit="1"/>
    </xf>
    <xf numFmtId="41" fontId="36" fillId="2" borderId="43" xfId="6" applyFont="1" applyFill="1" applyBorder="1" applyAlignment="1">
      <alignment horizontal="center" vertical="center" shrinkToFit="1"/>
    </xf>
    <xf numFmtId="41" fontId="36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1" fillId="9" borderId="9" xfId="0" applyNumberFormat="1" applyFont="1" applyFill="1" applyBorder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43" fontId="45" fillId="10" borderId="9" xfId="0" applyNumberFormat="1" applyFont="1" applyFill="1" applyBorder="1" applyAlignment="1">
      <alignment horizontal="center" vertical="center"/>
    </xf>
    <xf numFmtId="41" fontId="46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4" fillId="0" borderId="0" xfId="3" applyFont="1" applyAlignment="1">
      <alignment vertical="center"/>
    </xf>
    <xf numFmtId="0" fontId="48" fillId="0" borderId="0" xfId="3" applyFont="1" applyAlignment="1">
      <alignment vertical="center"/>
    </xf>
    <xf numFmtId="0" fontId="45" fillId="0" borderId="9" xfId="3" applyFont="1" applyBorder="1" applyAlignment="1">
      <alignment horizontal="center" vertical="center"/>
    </xf>
    <xf numFmtId="14" fontId="45" fillId="0" borderId="9" xfId="3" applyNumberFormat="1" applyFont="1" applyBorder="1" applyAlignment="1">
      <alignment horizontal="center" vertical="center"/>
    </xf>
    <xf numFmtId="182" fontId="45" fillId="0" borderId="9" xfId="3" applyNumberFormat="1" applyFont="1" applyBorder="1" applyAlignment="1">
      <alignment horizontal="center" vertical="center"/>
    </xf>
    <xf numFmtId="41" fontId="45" fillId="0" borderId="9" xfId="3" applyNumberFormat="1" applyFont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5" fillId="0" borderId="0" xfId="3" applyFont="1"/>
    <xf numFmtId="0" fontId="45" fillId="0" borderId="0" xfId="3" applyFont="1" applyAlignment="1">
      <alignment horizontal="center"/>
    </xf>
    <xf numFmtId="182" fontId="45" fillId="0" borderId="0" xfId="3" applyNumberFormat="1" applyFont="1" applyAlignment="1">
      <alignment horizontal="center" vertical="center"/>
    </xf>
    <xf numFmtId="41" fontId="45" fillId="0" borderId="0" xfId="3" applyNumberFormat="1" applyFont="1" applyAlignment="1">
      <alignment horizontal="center" vertical="center"/>
    </xf>
    <xf numFmtId="0" fontId="49" fillId="12" borderId="9" xfId="0" applyFont="1" applyFill="1" applyBorder="1" applyAlignment="1">
      <alignment horizontal="center" vertical="center"/>
    </xf>
    <xf numFmtId="14" fontId="45" fillId="12" borderId="9" xfId="0" applyNumberFormat="1" applyFont="1" applyFill="1" applyBorder="1" applyAlignment="1">
      <alignment horizontal="center" vertical="center"/>
    </xf>
    <xf numFmtId="14" fontId="45" fillId="0" borderId="9" xfId="0" applyNumberFormat="1" applyFont="1" applyBorder="1" applyAlignment="1">
      <alignment horizontal="center" vertical="center"/>
    </xf>
    <xf numFmtId="49" fontId="45" fillId="0" borderId="9" xfId="0" applyNumberFormat="1" applyFont="1" applyBorder="1" applyAlignment="1">
      <alignment horizontal="center" vertical="center"/>
    </xf>
    <xf numFmtId="186" fontId="45" fillId="0" borderId="9" xfId="0" applyNumberFormat="1" applyFont="1" applyBorder="1" applyAlignment="1">
      <alignment horizontal="center" vertical="center"/>
    </xf>
    <xf numFmtId="0" fontId="45" fillId="0" borderId="9" xfId="0" applyFont="1" applyBorder="1" applyAlignment="1"/>
    <xf numFmtId="41" fontId="45" fillId="0" borderId="9" xfId="0" applyNumberFormat="1" applyFont="1" applyBorder="1" applyAlignment="1">
      <alignment horizontal="center" vertical="center"/>
    </xf>
    <xf numFmtId="0" fontId="45" fillId="12" borderId="9" xfId="0" applyFont="1" applyFill="1" applyBorder="1" applyAlignment="1">
      <alignment horizontal="center" vertical="center"/>
    </xf>
    <xf numFmtId="0" fontId="51" fillId="0" borderId="9" xfId="0" applyFont="1" applyBorder="1" applyAlignment="1">
      <alignment horizontal="center" vertical="center" wrapText="1"/>
    </xf>
    <xf numFmtId="41" fontId="45" fillId="12" borderId="10" xfId="14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8" fillId="0" borderId="0" xfId="0" applyFont="1">
      <alignment vertical="center"/>
    </xf>
    <xf numFmtId="0" fontId="0" fillId="0" borderId="0" xfId="0" applyAlignment="1"/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13" fillId="0" borderId="9" xfId="14" applyFont="1" applyBorder="1" applyAlignment="1">
      <alignment horizontal="center" vertical="center"/>
    </xf>
    <xf numFmtId="41" fontId="13" fillId="0" borderId="9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 wrapText="1"/>
    </xf>
    <xf numFmtId="43" fontId="0" fillId="0" borderId="0" xfId="0" applyNumberFormat="1">
      <alignment vertical="center"/>
    </xf>
    <xf numFmtId="182" fontId="14" fillId="5" borderId="43" xfId="0" applyNumberFormat="1" applyFont="1" applyFill="1" applyBorder="1" applyAlignment="1">
      <alignment horizontal="center" vertical="center"/>
    </xf>
    <xf numFmtId="41" fontId="13" fillId="0" borderId="9" xfId="14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41" fontId="53" fillId="2" borderId="0" xfId="2" applyNumberFormat="1" applyFont="1" applyFill="1">
      <alignment vertical="center"/>
    </xf>
    <xf numFmtId="0" fontId="53" fillId="0" borderId="0" xfId="2" quotePrefix="1" applyFont="1">
      <alignment vertical="center"/>
    </xf>
    <xf numFmtId="0" fontId="54" fillId="0" borderId="0" xfId="2" quotePrefix="1" applyFont="1">
      <alignment vertical="center"/>
    </xf>
    <xf numFmtId="0" fontId="54" fillId="0" borderId="0" xfId="2" applyFont="1" applyAlignment="1">
      <alignment horizontal="right" vertical="center"/>
    </xf>
    <xf numFmtId="41" fontId="53" fillId="13" borderId="9" xfId="4" applyFont="1" applyFill="1" applyBorder="1" applyAlignment="1">
      <alignment horizontal="center" vertical="center"/>
    </xf>
    <xf numFmtId="41" fontId="58" fillId="0" borderId="17" xfId="2" applyNumberFormat="1" applyFont="1" applyBorder="1" applyAlignment="1">
      <alignment horizontal="center" vertical="center"/>
    </xf>
    <xf numFmtId="0" fontId="58" fillId="0" borderId="9" xfId="2" applyFont="1" applyBorder="1" applyAlignment="1">
      <alignment horizontal="center" vertical="center"/>
    </xf>
    <xf numFmtId="41" fontId="58" fillId="0" borderId="9" xfId="10" applyFont="1" applyBorder="1" applyAlignment="1">
      <alignment horizontal="center" vertical="center"/>
    </xf>
    <xf numFmtId="41" fontId="58" fillId="0" borderId="9" xfId="4" applyFont="1" applyFill="1" applyBorder="1" applyAlignment="1">
      <alignment vertical="center" shrinkToFit="1"/>
    </xf>
    <xf numFmtId="184" fontId="59" fillId="0" borderId="18" xfId="2" applyNumberFormat="1" applyFont="1" applyBorder="1" applyAlignment="1">
      <alignment vertical="center" shrinkToFit="1"/>
    </xf>
    <xf numFmtId="184" fontId="59" fillId="0" borderId="18" xfId="2" quotePrefix="1" applyNumberFormat="1" applyFont="1" applyBorder="1" applyAlignment="1">
      <alignment vertical="center" shrinkToFit="1"/>
    </xf>
    <xf numFmtId="184" fontId="60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60" fillId="0" borderId="18" xfId="2" applyFont="1" applyBorder="1">
      <alignment vertical="center"/>
    </xf>
    <xf numFmtId="0" fontId="58" fillId="0" borderId="17" xfId="16" applyFont="1" applyBorder="1" applyAlignment="1">
      <alignment horizontal="left" vertical="center" wrapText="1"/>
    </xf>
    <xf numFmtId="0" fontId="58" fillId="0" borderId="9" xfId="16" applyFont="1" applyBorder="1" applyAlignment="1">
      <alignment horizontal="center" vertical="center"/>
    </xf>
    <xf numFmtId="0" fontId="58" fillId="0" borderId="17" xfId="16" applyFont="1" applyBorder="1" applyAlignment="1">
      <alignment horizontal="center" vertical="center" wrapText="1"/>
    </xf>
    <xf numFmtId="188" fontId="58" fillId="0" borderId="9" xfId="17" applyNumberFormat="1" applyFont="1" applyFill="1" applyBorder="1" applyAlignment="1">
      <alignment horizontal="center" vertical="center"/>
    </xf>
    <xf numFmtId="9" fontId="58" fillId="0" borderId="9" xfId="7" applyFont="1" applyFill="1" applyBorder="1" applyAlignment="1">
      <alignment vertical="center" shrinkToFit="1"/>
    </xf>
    <xf numFmtId="0" fontId="62" fillId="0" borderId="17" xfId="2" applyFont="1" applyBorder="1" applyAlignment="1">
      <alignment horizontal="left" vertical="center"/>
    </xf>
    <xf numFmtId="0" fontId="62" fillId="0" borderId="9" xfId="2" applyFont="1" applyBorder="1" applyAlignment="1">
      <alignment horizontal="center" vertical="center" shrinkToFit="1"/>
    </xf>
    <xf numFmtId="41" fontId="62" fillId="0" borderId="9" xfId="4" applyFont="1" applyBorder="1" applyAlignment="1">
      <alignment horizontal="center" vertical="center"/>
    </xf>
    <xf numFmtId="0" fontId="62" fillId="0" borderId="19" xfId="2" applyFont="1" applyBorder="1" applyAlignment="1">
      <alignment horizontal="center" vertical="center"/>
    </xf>
    <xf numFmtId="0" fontId="58" fillId="0" borderId="20" xfId="2" applyFont="1" applyBorder="1" applyAlignment="1">
      <alignment horizontal="center" vertical="center" shrinkToFit="1"/>
    </xf>
    <xf numFmtId="0" fontId="58" fillId="0" borderId="20" xfId="2" applyFont="1" applyBorder="1" applyAlignment="1">
      <alignment horizontal="center" vertical="center"/>
    </xf>
    <xf numFmtId="41" fontId="58" fillId="0" borderId="20" xfId="2" applyNumberFormat="1" applyFont="1" applyBorder="1" applyAlignment="1">
      <alignment horizontal="center" vertical="center"/>
    </xf>
    <xf numFmtId="189" fontId="58" fillId="0" borderId="20" xfId="2" applyNumberFormat="1" applyFont="1" applyBorder="1" applyAlignment="1">
      <alignment horizontal="center" vertical="center"/>
    </xf>
    <xf numFmtId="41" fontId="58" fillId="0" borderId="20" xfId="2" applyNumberFormat="1" applyFont="1" applyBorder="1" applyAlignment="1">
      <alignment vertical="center" shrinkToFit="1"/>
    </xf>
    <xf numFmtId="0" fontId="60" fillId="0" borderId="21" xfId="2" applyFont="1" applyBorder="1">
      <alignment vertical="center"/>
    </xf>
    <xf numFmtId="0" fontId="59" fillId="0" borderId="31" xfId="2" applyFont="1" applyBorder="1" applyAlignment="1">
      <alignment horizontal="center" vertical="center"/>
    </xf>
    <xf numFmtId="0" fontId="60" fillId="0" borderId="37" xfId="2" applyFont="1" applyBorder="1" applyAlignment="1">
      <alignment horizontal="center" vertical="center" shrinkToFit="1"/>
    </xf>
    <xf numFmtId="0" fontId="60" fillId="0" borderId="31" xfId="2" applyFont="1" applyBorder="1" applyAlignment="1">
      <alignment horizontal="center" vertical="center"/>
    </xf>
    <xf numFmtId="41" fontId="60" fillId="0" borderId="31" xfId="2" applyNumberFormat="1" applyFont="1" applyBorder="1" applyAlignment="1">
      <alignment horizontal="center" vertical="center"/>
    </xf>
    <xf numFmtId="41" fontId="60" fillId="0" borderId="11" xfId="2" applyNumberFormat="1" applyFont="1" applyBorder="1">
      <alignment vertical="center"/>
    </xf>
    <xf numFmtId="41" fontId="60" fillId="0" borderId="11" xfId="2" applyNumberFormat="1" applyFont="1" applyBorder="1" applyAlignment="1">
      <alignment vertical="center" shrinkToFit="1"/>
    </xf>
    <xf numFmtId="0" fontId="60" fillId="0" borderId="11" xfId="2" applyFont="1" applyBorder="1">
      <alignment vertical="center"/>
    </xf>
    <xf numFmtId="0" fontId="59" fillId="0" borderId="10" xfId="2" applyFont="1" applyBorder="1" applyAlignment="1">
      <alignment horizontal="center" vertical="center"/>
    </xf>
    <xf numFmtId="0" fontId="60" fillId="0" borderId="34" xfId="2" applyFont="1" applyBorder="1" applyAlignment="1">
      <alignment horizontal="center" vertical="center" shrinkToFit="1"/>
    </xf>
    <xf numFmtId="0" fontId="60" fillId="0" borderId="10" xfId="2" applyFont="1" applyBorder="1" applyAlignment="1">
      <alignment horizontal="center" vertical="center"/>
    </xf>
    <xf numFmtId="41" fontId="60" fillId="0" borderId="10" xfId="2" applyNumberFormat="1" applyFont="1" applyBorder="1" applyAlignment="1">
      <alignment horizontal="center" vertical="center"/>
    </xf>
    <xf numFmtId="41" fontId="60" fillId="0" borderId="9" xfId="2" applyNumberFormat="1" applyFont="1" applyBorder="1">
      <alignment vertical="center"/>
    </xf>
    <xf numFmtId="41" fontId="60" fillId="0" borderId="9" xfId="2" applyNumberFormat="1" applyFont="1" applyBorder="1" applyAlignment="1">
      <alignment vertical="center" shrinkToFit="1"/>
    </xf>
    <xf numFmtId="0" fontId="60" fillId="0" borderId="9" xfId="2" applyFont="1" applyBorder="1">
      <alignment vertical="center"/>
    </xf>
    <xf numFmtId="0" fontId="59" fillId="0" borderId="9" xfId="2" applyFont="1" applyBorder="1" applyAlignment="1">
      <alignment horizontal="center" vertical="center"/>
    </xf>
    <xf numFmtId="0" fontId="60" fillId="0" borderId="12" xfId="2" applyFont="1" applyBorder="1" applyAlignment="1">
      <alignment horizontal="center" vertical="center" shrinkToFit="1"/>
    </xf>
    <xf numFmtId="0" fontId="60" fillId="0" borderId="9" xfId="2" applyFont="1" applyBorder="1" applyAlignment="1">
      <alignment horizontal="center" vertical="center"/>
    </xf>
    <xf numFmtId="41" fontId="60" fillId="0" borderId="9" xfId="2" applyNumberFormat="1" applyFont="1" applyBorder="1" applyAlignment="1">
      <alignment horizontal="center" vertical="center"/>
    </xf>
    <xf numFmtId="0" fontId="59" fillId="0" borderId="0" xfId="2" applyFont="1" applyAlignment="1">
      <alignment horizontal="center" vertical="center"/>
    </xf>
    <xf numFmtId="0" fontId="60" fillId="0" borderId="0" xfId="2" applyFont="1" applyAlignment="1">
      <alignment horizontal="center" vertical="center" shrinkToFit="1"/>
    </xf>
    <xf numFmtId="0" fontId="60" fillId="0" borderId="0" xfId="2" applyFont="1" applyAlignment="1">
      <alignment horizontal="center" vertical="center"/>
    </xf>
    <xf numFmtId="41" fontId="1" fillId="0" borderId="0" xfId="4" applyFont="1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41" fontId="0" fillId="0" borderId="0" xfId="6" applyFont="1">
      <alignment vertical="center"/>
    </xf>
    <xf numFmtId="43" fontId="0" fillId="0" borderId="9" xfId="0" applyNumberFormat="1" applyBorder="1">
      <alignment vertical="center"/>
    </xf>
    <xf numFmtId="0" fontId="45" fillId="0" borderId="9" xfId="3" applyFont="1" applyBorder="1" applyAlignment="1">
      <alignment horizontal="center"/>
    </xf>
    <xf numFmtId="182" fontId="14" fillId="5" borderId="45" xfId="0" applyNumberFormat="1" applyFont="1" applyFill="1" applyBorder="1" applyAlignment="1">
      <alignment horizontal="center" vertical="center"/>
    </xf>
    <xf numFmtId="182" fontId="14" fillId="5" borderId="46" xfId="0" applyNumberFormat="1" applyFont="1" applyFill="1" applyBorder="1" applyAlignment="1">
      <alignment horizontal="center" vertical="center"/>
    </xf>
    <xf numFmtId="21" fontId="45" fillId="12" borderId="9" xfId="0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2" fillId="2" borderId="0" xfId="2" applyFont="1" applyFill="1" applyAlignment="1">
      <alignment horizontal="center" vertical="center"/>
    </xf>
    <xf numFmtId="184" fontId="53" fillId="13" borderId="14" xfId="2" applyNumberFormat="1" applyFont="1" applyFill="1" applyBorder="1" applyAlignment="1">
      <alignment horizontal="center" vertical="center"/>
    </xf>
    <xf numFmtId="184" fontId="53" fillId="13" borderId="17" xfId="2" applyNumberFormat="1" applyFont="1" applyFill="1" applyBorder="1" applyAlignment="1">
      <alignment horizontal="center" vertical="center"/>
    </xf>
    <xf numFmtId="184" fontId="53" fillId="13" borderId="15" xfId="2" applyNumberFormat="1" applyFont="1" applyFill="1" applyBorder="1" applyAlignment="1">
      <alignment horizontal="center" vertical="center"/>
    </xf>
    <xf numFmtId="184" fontId="53" fillId="13" borderId="9" xfId="2" applyNumberFormat="1" applyFont="1" applyFill="1" applyBorder="1" applyAlignment="1">
      <alignment horizontal="center" vertical="center"/>
    </xf>
    <xf numFmtId="41" fontId="53" fillId="13" borderId="15" xfId="4" applyFont="1" applyFill="1" applyBorder="1" applyAlignment="1">
      <alignment horizontal="center" vertical="center"/>
    </xf>
    <xf numFmtId="41" fontId="53" fillId="13" borderId="9" xfId="4" applyFont="1" applyFill="1" applyBorder="1" applyAlignment="1">
      <alignment horizontal="center" vertical="center"/>
    </xf>
    <xf numFmtId="41" fontId="56" fillId="13" borderId="16" xfId="15" applyNumberFormat="1" applyFont="1" applyFill="1" applyBorder="1" applyAlignment="1">
      <alignment horizontal="center" vertical="center" shrinkToFit="1"/>
    </xf>
    <xf numFmtId="41" fontId="56" fillId="13" borderId="18" xfId="15" applyNumberFormat="1" applyFont="1" applyFill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6" fillId="2" borderId="50" xfId="6" applyNumberFormat="1" applyFont="1" applyFill="1" applyBorder="1" applyAlignment="1">
      <alignment horizontal="center" vertical="center"/>
    </xf>
    <xf numFmtId="0" fontId="36" fillId="2" borderId="51" xfId="6" applyNumberFormat="1" applyFont="1" applyFill="1" applyBorder="1" applyAlignment="1">
      <alignment horizontal="center" vertical="center"/>
    </xf>
    <xf numFmtId="0" fontId="36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47" fillId="0" borderId="12" xfId="3" applyFont="1" applyBorder="1" applyAlignment="1">
      <alignment horizontal="center" vertical="center"/>
    </xf>
    <xf numFmtId="0" fontId="47" fillId="0" borderId="27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5" fillId="10" borderId="9" xfId="3" applyFont="1" applyFill="1" applyBorder="1" applyAlignment="1">
      <alignment horizontal="center" vertical="center"/>
    </xf>
    <xf numFmtId="0" fontId="45" fillId="10" borderId="10" xfId="3" applyFont="1" applyFill="1" applyBorder="1" applyAlignment="1">
      <alignment horizontal="center" vertical="center"/>
    </xf>
    <xf numFmtId="0" fontId="45" fillId="10" borderId="11" xfId="3" applyFont="1" applyFill="1" applyBorder="1" applyAlignment="1">
      <alignment horizontal="center" vertical="center"/>
    </xf>
    <xf numFmtId="49" fontId="45" fillId="10" borderId="9" xfId="3" applyNumberFormat="1" applyFont="1" applyFill="1" applyBorder="1" applyAlignment="1">
      <alignment horizontal="center" vertical="center"/>
    </xf>
    <xf numFmtId="182" fontId="45" fillId="10" borderId="9" xfId="3" applyNumberFormat="1" applyFont="1" applyFill="1" applyBorder="1" applyAlignment="1">
      <alignment horizontal="center"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5" fillId="10" borderId="9" xfId="0" applyFont="1" applyFill="1" applyBorder="1" applyAlignment="1">
      <alignment horizontal="center" vertical="center"/>
    </xf>
    <xf numFmtId="49" fontId="45" fillId="10" borderId="9" xfId="0" applyNumberFormat="1" applyFont="1" applyFill="1" applyBorder="1" applyAlignment="1">
      <alignment horizontal="center" vertical="center"/>
    </xf>
    <xf numFmtId="43" fontId="45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189" fontId="0" fillId="0" borderId="9" xfId="0" applyNumberFormat="1" applyBorder="1">
      <alignment vertical="center"/>
    </xf>
    <xf numFmtId="189" fontId="0" fillId="0" borderId="0" xfId="6" applyNumberFormat="1" applyFont="1">
      <alignment vertical="center"/>
    </xf>
    <xf numFmtId="191" fontId="0" fillId="0" borderId="0" xfId="0" applyNumberFormat="1">
      <alignment vertical="center"/>
    </xf>
  </cellXfs>
  <cellStyles count="18">
    <cellStyle name="백분율" xfId="7" builtinId="5"/>
    <cellStyle name="백분율 2" xfId="5" xr:uid="{00000000-0005-0000-0000-000001000000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쉼표 [0]_태준제약 기성청구서(3회)050219" xfId="17" xr:uid="{484DD91E-DF06-4F8D-9F15-86140A7D630D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2 3" xfId="16" xr:uid="{DC46E561-9842-4383-B625-7F00C5AAF1AE}"/>
    <cellStyle name="표준 4" xfId="11" xr:uid="{72A51C34-A30B-44FF-BE15-2AE28992F6DB}"/>
    <cellStyle name="표준_QF-0402-25_일용직_노무비명세서_V1.0(07.07.12) - 7월" xfId="9" xr:uid="{00000000-0005-0000-0000-000009000000}"/>
    <cellStyle name="표준_설계 변경 내역서-1" xfId="15" xr:uid="{EC15A06E-7EA5-4098-A48A-5847AD6DA932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554131</xdr:colOff>
      <xdr:row>52</xdr:row>
      <xdr:rowOff>30816</xdr:rowOff>
    </xdr:from>
    <xdr:to>
      <xdr:col>12</xdr:col>
      <xdr:colOff>1229286</xdr:colOff>
      <xdr:row>59</xdr:row>
      <xdr:rowOff>7284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6C70A8-C987-5ECC-F446-2ADC39A41BF7}"/>
            </a:ext>
          </a:extLst>
        </xdr:cNvPr>
        <xdr:cNvGrpSpPr>
          <a:grpSpLocks noChangeAspect="1"/>
        </xdr:cNvGrpSpPr>
      </xdr:nvGrpSpPr>
      <xdr:grpSpPr bwMode="auto">
        <a:xfrm>
          <a:off x="13280203" y="9665970"/>
          <a:ext cx="3437517" cy="1549101"/>
          <a:chOff x="1797" y="1715"/>
          <a:chExt cx="305" cy="154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8D3BA742-557C-277C-06A8-B0FB34E95C0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797" y="1715"/>
            <a:ext cx="303" cy="1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AA7EAB80-F631-6505-E07B-4164583CC611}"/>
              </a:ext>
            </a:extLst>
          </xdr:cNvPr>
          <xdr:cNvSpPr>
            <a:spLocks noChangeArrowheads="1"/>
          </xdr:cNvSpPr>
        </xdr:nvSpPr>
        <xdr:spPr bwMode="auto">
          <a:xfrm>
            <a:off x="1821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DE682D9-4274-47CE-35F6-368796EFA9A8}"/>
              </a:ext>
            </a:extLst>
          </xdr:cNvPr>
          <xdr:cNvSpPr>
            <a:spLocks noChangeArrowheads="1"/>
          </xdr:cNvSpPr>
        </xdr:nvSpPr>
        <xdr:spPr bwMode="auto">
          <a:xfrm>
            <a:off x="1973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72EF5D5-B462-2118-47B8-724F9216B22D}"/>
              </a:ext>
            </a:extLst>
          </xdr:cNvPr>
          <xdr:cNvSpPr>
            <a:spLocks noChangeArrowheads="1"/>
          </xdr:cNvSpPr>
        </xdr:nvSpPr>
        <xdr:spPr bwMode="auto">
          <a:xfrm>
            <a:off x="1830" y="1773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84D632FC-6DCA-967B-6348-DE8D919085E9}"/>
              </a:ext>
            </a:extLst>
          </xdr:cNvPr>
          <xdr:cNvSpPr>
            <a:spLocks noChangeArrowheads="1"/>
          </xdr:cNvSpPr>
        </xdr:nvSpPr>
        <xdr:spPr bwMode="auto">
          <a:xfrm>
            <a:off x="1934" y="1773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6CEC37A8-64FF-F37C-EAA1-4F341F1722FC}"/>
              </a:ext>
            </a:extLst>
          </xdr:cNvPr>
          <xdr:cNvSpPr>
            <a:spLocks noChangeArrowheads="1"/>
          </xdr:cNvSpPr>
        </xdr:nvSpPr>
        <xdr:spPr bwMode="auto">
          <a:xfrm>
            <a:off x="204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DCB82A43-A7AC-9C16-2F9B-387830B7D5AD}"/>
              </a:ext>
            </a:extLst>
          </xdr:cNvPr>
          <xdr:cNvSpPr>
            <a:spLocks noChangeArrowheads="1"/>
          </xdr:cNvSpPr>
        </xdr:nvSpPr>
        <xdr:spPr bwMode="auto">
          <a:xfrm>
            <a:off x="2048" y="1773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41F45E10-9BE0-5B3D-E73D-EBEBB2C57AAF}"/>
              </a:ext>
            </a:extLst>
          </xdr:cNvPr>
          <xdr:cNvSpPr>
            <a:spLocks noChangeArrowheads="1"/>
          </xdr:cNvSpPr>
        </xdr:nvSpPr>
        <xdr:spPr bwMode="auto">
          <a:xfrm>
            <a:off x="207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850B4A79-864A-BBCA-8CD9-BE5885D72E7B}"/>
              </a:ext>
            </a:extLst>
          </xdr:cNvPr>
          <xdr:cNvSpPr>
            <a:spLocks noChangeArrowheads="1"/>
          </xdr:cNvSpPr>
        </xdr:nvSpPr>
        <xdr:spPr bwMode="auto">
          <a:xfrm>
            <a:off x="1830" y="1824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494217F2-351B-DE0D-9E80-857FB4D11165}"/>
              </a:ext>
            </a:extLst>
          </xdr:cNvPr>
          <xdr:cNvSpPr>
            <a:spLocks noChangeArrowheads="1"/>
          </xdr:cNvSpPr>
        </xdr:nvSpPr>
        <xdr:spPr bwMode="auto">
          <a:xfrm>
            <a:off x="1934" y="1824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51328843-52D2-B50D-BA2E-B8A6652E1540}"/>
              </a:ext>
            </a:extLst>
          </xdr:cNvPr>
          <xdr:cNvSpPr>
            <a:spLocks noChangeArrowheads="1"/>
          </xdr:cNvSpPr>
        </xdr:nvSpPr>
        <xdr:spPr bwMode="auto">
          <a:xfrm>
            <a:off x="204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26E5B699-25FC-847D-83A9-B837D8A9FB0E}"/>
              </a:ext>
            </a:extLst>
          </xdr:cNvPr>
          <xdr:cNvSpPr>
            <a:spLocks noChangeArrowheads="1"/>
          </xdr:cNvSpPr>
        </xdr:nvSpPr>
        <xdr:spPr bwMode="auto">
          <a:xfrm>
            <a:off x="2048" y="1824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D8CC14C7-8C96-58EE-076B-798C78EDE0E8}"/>
              </a:ext>
            </a:extLst>
          </xdr:cNvPr>
          <xdr:cNvSpPr>
            <a:spLocks noChangeArrowheads="1"/>
          </xdr:cNvSpPr>
        </xdr:nvSpPr>
        <xdr:spPr bwMode="auto">
          <a:xfrm>
            <a:off x="207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32AD7B7D-AF76-B157-9DE2-68EC2DB6F9E5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3EB6628A-134A-D754-79F1-D88DB0367275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6747E572-D785-DE90-9CD3-6B9703E2D882}"/>
              </a:ext>
            </a:extLst>
          </xdr:cNvPr>
          <xdr:cNvSpPr>
            <a:spLocks noChangeShapeType="1"/>
          </xdr:cNvSpPr>
        </xdr:nvSpPr>
        <xdr:spPr bwMode="auto">
          <a:xfrm>
            <a:off x="1799" y="17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F7FC5B5B-F96E-BA04-6518-13E1160420CF}"/>
              </a:ext>
            </a:extLst>
          </xdr:cNvPr>
          <xdr:cNvSpPr>
            <a:spLocks noChangeArrowheads="1"/>
          </xdr:cNvSpPr>
        </xdr:nvSpPr>
        <xdr:spPr bwMode="auto">
          <a:xfrm>
            <a:off x="1799" y="17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B9238FE6-4F2B-92B1-EA63-8086CDC687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53FE6084-AC59-4E0C-CEC7-D1D98815F8F5}"/>
              </a:ext>
            </a:extLst>
          </xdr:cNvPr>
          <xdr:cNvSpPr>
            <a:spLocks noChangeShapeType="1"/>
          </xdr:cNvSpPr>
        </xdr:nvSpPr>
        <xdr:spPr bwMode="auto">
          <a:xfrm>
            <a:off x="1799" y="176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5CA6331F-CDDE-E14B-930D-229FCD34841E}"/>
              </a:ext>
            </a:extLst>
          </xdr:cNvPr>
          <xdr:cNvSpPr>
            <a:spLocks noChangeArrowheads="1"/>
          </xdr:cNvSpPr>
        </xdr:nvSpPr>
        <xdr:spPr bwMode="auto">
          <a:xfrm>
            <a:off x="1799" y="176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9F430FD9-9E66-3EF6-82A0-81521C6DB2F4}"/>
              </a:ext>
            </a:extLst>
          </xdr:cNvPr>
          <xdr:cNvSpPr>
            <a:spLocks noChangeShapeType="1"/>
          </xdr:cNvSpPr>
        </xdr:nvSpPr>
        <xdr:spPr bwMode="auto">
          <a:xfrm>
            <a:off x="1799" y="18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2A950621-F289-A41C-328A-F705176571BB}"/>
              </a:ext>
            </a:extLst>
          </xdr:cNvPr>
          <xdr:cNvSpPr>
            <a:spLocks noChangeArrowheads="1"/>
          </xdr:cNvSpPr>
        </xdr:nvSpPr>
        <xdr:spPr bwMode="auto">
          <a:xfrm>
            <a:off x="1799" y="18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533C0995-37F0-DB05-FF87-283B28CEBDC1}"/>
              </a:ext>
            </a:extLst>
          </xdr:cNvPr>
          <xdr:cNvSpPr>
            <a:spLocks noChangeShapeType="1"/>
          </xdr:cNvSpPr>
        </xdr:nvSpPr>
        <xdr:spPr bwMode="auto">
          <a:xfrm>
            <a:off x="1797" y="1715"/>
            <a:ext cx="0" cy="15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5EA6A7DA-FA39-D21B-04F9-3BC8442D6EAF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5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273618BE-6506-3660-5FFC-F1B7EA00D125}"/>
              </a:ext>
            </a:extLst>
          </xdr:cNvPr>
          <xdr:cNvSpPr>
            <a:spLocks noChangeShapeType="1"/>
          </xdr:cNvSpPr>
        </xdr:nvSpPr>
        <xdr:spPr bwMode="auto">
          <a:xfrm>
            <a:off x="1912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82072431-959B-EEBF-921E-03E3F0B96FCF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D5B38B77-C2E3-9BBF-C2AD-E5B09F861544}"/>
              </a:ext>
            </a:extLst>
          </xdr:cNvPr>
          <xdr:cNvSpPr>
            <a:spLocks noChangeShapeType="1"/>
          </xdr:cNvSpPr>
        </xdr:nvSpPr>
        <xdr:spPr bwMode="auto">
          <a:xfrm>
            <a:off x="1799" y="1866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D28AFE4E-C4C2-AAD5-B52F-60D3C6BAAE79}"/>
              </a:ext>
            </a:extLst>
          </xdr:cNvPr>
          <xdr:cNvSpPr>
            <a:spLocks noChangeArrowheads="1"/>
          </xdr:cNvSpPr>
        </xdr:nvSpPr>
        <xdr:spPr bwMode="auto">
          <a:xfrm>
            <a:off x="1799" y="1866"/>
            <a:ext cx="30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7B19F28C-8DB8-709E-EF78-DFC9C0C0D537}"/>
              </a:ext>
            </a:extLst>
          </xdr:cNvPr>
          <xdr:cNvSpPr>
            <a:spLocks noChangeShapeType="1"/>
          </xdr:cNvSpPr>
        </xdr:nvSpPr>
        <xdr:spPr bwMode="auto">
          <a:xfrm>
            <a:off x="2099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08173407-DC08-5DE6-E113-5663711A8132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99806136-9F4C-2595-E911-C90241DA432B}"/>
              </a:ext>
            </a:extLst>
          </xdr:cNvPr>
          <xdr:cNvSpPr>
            <a:spLocks noChangeShapeType="1"/>
          </xdr:cNvSpPr>
        </xdr:nvSpPr>
        <xdr:spPr bwMode="auto">
          <a:xfrm>
            <a:off x="1797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0BBB53EB-8C55-9EB6-711E-20E409208204}"/>
              </a:ext>
            </a:extLst>
          </xdr:cNvPr>
          <xdr:cNvSpPr>
            <a:spLocks noChangeArrowheads="1"/>
          </xdr:cNvSpPr>
        </xdr:nvSpPr>
        <xdr:spPr bwMode="auto">
          <a:xfrm>
            <a:off x="1797" y="1867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CF40CCCA-80D1-4005-8E4F-E2A0570B1868}"/>
              </a:ext>
            </a:extLst>
          </xdr:cNvPr>
          <xdr:cNvSpPr>
            <a:spLocks noChangeShapeType="1"/>
          </xdr:cNvSpPr>
        </xdr:nvSpPr>
        <xdr:spPr bwMode="auto">
          <a:xfrm>
            <a:off x="1912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6914C050-8AC1-51C5-2BBD-DB1482DE6C1C}"/>
              </a:ext>
            </a:extLst>
          </xdr:cNvPr>
          <xdr:cNvSpPr>
            <a:spLocks noChangeArrowheads="1"/>
          </xdr:cNvSpPr>
        </xdr:nvSpPr>
        <xdr:spPr bwMode="auto">
          <a:xfrm>
            <a:off x="1912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16A4F1C2-CC7D-1A35-EC79-E2D13E2C27F7}"/>
              </a:ext>
            </a:extLst>
          </xdr:cNvPr>
          <xdr:cNvSpPr>
            <a:spLocks noChangeShapeType="1"/>
          </xdr:cNvSpPr>
        </xdr:nvSpPr>
        <xdr:spPr bwMode="auto">
          <a:xfrm>
            <a:off x="2099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8EE8F548-FDDF-BD09-5B5C-5149DBA12C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0F49B72A-0747-6A35-659B-09BBD844EF61}"/>
              </a:ext>
            </a:extLst>
          </xdr:cNvPr>
          <xdr:cNvSpPr>
            <a:spLocks noChangeShapeType="1"/>
          </xdr:cNvSpPr>
        </xdr:nvSpPr>
        <xdr:spPr bwMode="auto">
          <a:xfrm>
            <a:off x="2100" y="17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DED63CD7-E07C-8F9C-00BC-BA0B1CF87666}"/>
              </a:ext>
            </a:extLst>
          </xdr:cNvPr>
          <xdr:cNvSpPr>
            <a:spLocks noChangeArrowheads="1"/>
          </xdr:cNvSpPr>
        </xdr:nvSpPr>
        <xdr:spPr bwMode="auto">
          <a:xfrm>
            <a:off x="2100" y="17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B5EC9152-7FFA-FBA5-1883-CBBAA6257263}"/>
              </a:ext>
            </a:extLst>
          </xdr:cNvPr>
          <xdr:cNvSpPr>
            <a:spLocks noChangeShapeType="1"/>
          </xdr:cNvSpPr>
        </xdr:nvSpPr>
        <xdr:spPr bwMode="auto">
          <a:xfrm>
            <a:off x="2100" y="176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9565177-7E05-C3DA-3E34-FF8EE9B3D619}"/>
              </a:ext>
            </a:extLst>
          </xdr:cNvPr>
          <xdr:cNvSpPr>
            <a:spLocks noChangeArrowheads="1"/>
          </xdr:cNvSpPr>
        </xdr:nvSpPr>
        <xdr:spPr bwMode="auto">
          <a:xfrm>
            <a:off x="2100" y="176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7C06D48B-4607-B1F3-A3B9-5A77F233C732}"/>
              </a:ext>
            </a:extLst>
          </xdr:cNvPr>
          <xdr:cNvSpPr>
            <a:spLocks noChangeShapeType="1"/>
          </xdr:cNvSpPr>
        </xdr:nvSpPr>
        <xdr:spPr bwMode="auto">
          <a:xfrm>
            <a:off x="2100" y="18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12E34373-ABF0-30E3-E9BB-AEF4E13F9FB0}"/>
              </a:ext>
            </a:extLst>
          </xdr:cNvPr>
          <xdr:cNvSpPr>
            <a:spLocks noChangeArrowheads="1"/>
          </xdr:cNvSpPr>
        </xdr:nvSpPr>
        <xdr:spPr bwMode="auto">
          <a:xfrm>
            <a:off x="2100" y="18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6D496BE5-EB65-4250-02D2-03D300179DD9}"/>
              </a:ext>
            </a:extLst>
          </xdr:cNvPr>
          <xdr:cNvSpPr>
            <a:spLocks noChangeShapeType="1"/>
          </xdr:cNvSpPr>
        </xdr:nvSpPr>
        <xdr:spPr bwMode="auto">
          <a:xfrm>
            <a:off x="2100" y="18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EA081357-12C6-D71B-2879-0EA781B7EC2B}"/>
              </a:ext>
            </a:extLst>
          </xdr:cNvPr>
          <xdr:cNvSpPr>
            <a:spLocks noChangeArrowheads="1"/>
          </xdr:cNvSpPr>
        </xdr:nvSpPr>
        <xdr:spPr bwMode="auto">
          <a:xfrm>
            <a:off x="2100" y="1866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J31" sqref="J31:J40"/>
    </sheetView>
  </sheetViews>
  <sheetFormatPr defaultRowHeight="17.399999999999999"/>
  <cols>
    <col min="1" max="6" width="21.59765625" customWidth="1"/>
  </cols>
  <sheetData>
    <row r="1" spans="1:6" ht="21.9" customHeight="1" thickTop="1">
      <c r="A1" s="1"/>
      <c r="B1" s="2"/>
      <c r="C1" s="2"/>
      <c r="D1" s="2"/>
      <c r="E1" s="2"/>
      <c r="F1" s="3"/>
    </row>
    <row r="2" spans="1:6" ht="21.9" customHeight="1">
      <c r="A2" s="4"/>
      <c r="B2" s="5"/>
      <c r="C2" s="5"/>
      <c r="D2" s="6"/>
      <c r="E2" s="5"/>
      <c r="F2" s="7"/>
    </row>
    <row r="3" spans="1:6" ht="21.9" customHeight="1">
      <c r="A3" s="4"/>
      <c r="B3" s="5"/>
      <c r="C3" s="5"/>
      <c r="D3" s="5"/>
      <c r="E3" s="5"/>
      <c r="F3" s="7"/>
    </row>
    <row r="4" spans="1:6" ht="21.9" customHeight="1">
      <c r="A4" s="4"/>
      <c r="B4" s="249" t="s">
        <v>0</v>
      </c>
      <c r="C4" s="249"/>
      <c r="D4" s="249"/>
      <c r="E4" s="249"/>
      <c r="F4" s="7"/>
    </row>
    <row r="5" spans="1:6" ht="21.9" customHeight="1">
      <c r="A5" s="8"/>
      <c r="B5" s="249"/>
      <c r="C5" s="249"/>
      <c r="D5" s="249"/>
      <c r="E5" s="249"/>
      <c r="F5" s="9"/>
    </row>
    <row r="6" spans="1:6" ht="21.9" customHeight="1">
      <c r="A6" s="10"/>
      <c r="B6" s="249"/>
      <c r="C6" s="249"/>
      <c r="D6" s="249"/>
      <c r="E6" s="249"/>
      <c r="F6" s="11"/>
    </row>
    <row r="7" spans="1:6" ht="36.9" customHeight="1">
      <c r="A7" s="12"/>
      <c r="B7" s="250" t="s">
        <v>1</v>
      </c>
      <c r="C7" s="250"/>
      <c r="D7" s="250"/>
      <c r="E7" s="250"/>
      <c r="F7" s="11"/>
    </row>
    <row r="8" spans="1:6" ht="29.1" customHeight="1">
      <c r="A8" s="8"/>
      <c r="B8" s="13"/>
      <c r="C8" s="251" t="s">
        <v>291</v>
      </c>
      <c r="D8" s="252"/>
      <c r="E8" s="13"/>
      <c r="F8" s="9"/>
    </row>
    <row r="9" spans="1:6" ht="21.9" customHeight="1">
      <c r="A9" s="8"/>
      <c r="B9" s="13"/>
      <c r="C9" s="13"/>
      <c r="D9" s="13"/>
      <c r="E9" s="13"/>
      <c r="F9" s="9"/>
    </row>
    <row r="10" spans="1:6" ht="21.9" customHeight="1">
      <c r="A10" s="8"/>
      <c r="B10" s="13"/>
      <c r="C10" s="13"/>
      <c r="D10" s="13"/>
      <c r="E10" s="13"/>
      <c r="F10" s="9"/>
    </row>
    <row r="11" spans="1:6" ht="21.9" customHeight="1">
      <c r="A11" s="8"/>
      <c r="B11" s="13"/>
      <c r="C11" s="13"/>
      <c r="D11" s="13"/>
      <c r="E11" s="13"/>
      <c r="F11" s="9"/>
    </row>
    <row r="12" spans="1:6" ht="21.9" customHeight="1">
      <c r="A12" s="8"/>
      <c r="B12" s="13"/>
      <c r="C12" s="13"/>
      <c r="D12" s="13"/>
      <c r="E12" s="13"/>
      <c r="F12" s="9"/>
    </row>
    <row r="13" spans="1:6" ht="21.9" customHeight="1">
      <c r="A13" s="8"/>
      <c r="B13" s="13"/>
      <c r="C13" s="13"/>
      <c r="D13" s="13"/>
      <c r="E13" s="13"/>
      <c r="F13" s="9"/>
    </row>
    <row r="14" spans="1:6" ht="21.9" customHeight="1">
      <c r="A14" s="8"/>
      <c r="B14" s="13"/>
      <c r="C14" s="253" t="s">
        <v>322</v>
      </c>
      <c r="D14" s="253"/>
      <c r="E14" s="13"/>
      <c r="F14" s="9"/>
    </row>
    <row r="15" spans="1:6" ht="21.9" customHeight="1">
      <c r="A15" s="8"/>
      <c r="B15" s="13"/>
      <c r="C15" s="254" t="s">
        <v>302</v>
      </c>
      <c r="D15" s="254"/>
      <c r="E15" s="13"/>
      <c r="F15" s="9"/>
    </row>
    <row r="16" spans="1:6" ht="21.9" customHeight="1">
      <c r="A16" s="8"/>
      <c r="B16" s="13"/>
      <c r="C16" s="13"/>
      <c r="D16" s="13"/>
      <c r="E16" s="13"/>
      <c r="F16" s="9"/>
    </row>
    <row r="17" spans="1:6" ht="21.9" customHeight="1">
      <c r="A17" s="8"/>
      <c r="B17" s="13"/>
      <c r="C17" s="13"/>
      <c r="D17" s="13"/>
      <c r="E17" s="13"/>
      <c r="F17" s="9"/>
    </row>
    <row r="18" spans="1:6" ht="21.9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48"/>
      <c r="D19" s="248"/>
      <c r="E19" s="13"/>
      <c r="F19" s="9"/>
    </row>
    <row r="20" spans="1:6" ht="21.9" customHeight="1">
      <c r="A20" s="8"/>
      <c r="B20" s="13"/>
      <c r="C20" s="13"/>
      <c r="D20" s="13"/>
      <c r="E20" s="13"/>
      <c r="F20" s="9"/>
    </row>
    <row r="21" spans="1:6" ht="21.9" customHeight="1" thickBot="1">
      <c r="A21" s="14"/>
      <c r="B21" s="15"/>
      <c r="C21" s="15"/>
      <c r="D21" s="15"/>
      <c r="E21" s="15"/>
      <c r="F21" s="16"/>
    </row>
    <row r="22" spans="1:6" ht="18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J31" sqref="J31:J40"/>
    </sheetView>
  </sheetViews>
  <sheetFormatPr defaultRowHeight="17.399999999999999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>
      <c r="A1" s="255" t="s">
        <v>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</row>
    <row r="2" spans="1:12" ht="21.9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>
      <c r="A5" s="20">
        <v>3</v>
      </c>
      <c r="B5" s="21" t="s">
        <v>7</v>
      </c>
      <c r="C5" s="21" t="s">
        <v>4</v>
      </c>
      <c r="D5" s="25">
        <f>ROUNDUP(E5,0)</f>
        <v>1220000000</v>
      </c>
      <c r="E5" s="22">
        <f>집계장!I22</f>
        <v>1220000000</v>
      </c>
      <c r="F5" s="26" t="s">
        <v>8</v>
      </c>
      <c r="G5" s="18"/>
      <c r="H5" s="18"/>
      <c r="I5" s="18"/>
      <c r="J5" s="18"/>
      <c r="K5" s="18"/>
    </row>
    <row r="6" spans="1:12" ht="21.9" customHeight="1">
      <c r="A6" s="20">
        <v>4</v>
      </c>
      <c r="B6" s="27" t="s">
        <v>9</v>
      </c>
      <c r="C6" s="21" t="s">
        <v>4</v>
      </c>
      <c r="D6" s="25">
        <f t="shared" ref="D6:D14" si="0">ROUNDUP(E6,0)</f>
        <v>1220000000</v>
      </c>
      <c r="E6" s="22">
        <f>E7+E13</f>
        <v>1220000000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>
      <c r="A7" s="20">
        <v>5</v>
      </c>
      <c r="B7" s="21" t="s">
        <v>11</v>
      </c>
      <c r="C7" s="21" t="s">
        <v>12</v>
      </c>
      <c r="D7" s="25">
        <f t="shared" si="0"/>
        <v>820000000</v>
      </c>
      <c r="E7" s="22">
        <f>집계장!G22</f>
        <v>820000000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>
      <c r="A8" s="20">
        <v>6</v>
      </c>
      <c r="B8" s="21" t="s">
        <v>14</v>
      </c>
      <c r="C8" s="21" t="s">
        <v>4</v>
      </c>
      <c r="D8" s="25">
        <f t="shared" si="0"/>
        <v>400000000</v>
      </c>
      <c r="E8" s="22">
        <f>집계장!F22</f>
        <v>400000000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>
      <c r="A13" s="20">
        <v>11</v>
      </c>
      <c r="B13" s="24" t="s">
        <v>22</v>
      </c>
      <c r="C13" s="21" t="s">
        <v>23</v>
      </c>
      <c r="D13" s="31">
        <f>ROUNDUP(E13,0)</f>
        <v>400000000</v>
      </c>
      <c r="E13" s="32">
        <f>집계장!F22</f>
        <v>400000000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>
      <c r="A16" s="20">
        <v>14</v>
      </c>
      <c r="B16" s="21" t="s">
        <v>27</v>
      </c>
      <c r="C16" s="21" t="s">
        <v>28</v>
      </c>
      <c r="D16" s="33" t="s">
        <v>324</v>
      </c>
      <c r="E16" s="34"/>
      <c r="F16" s="21"/>
      <c r="G16" s="21"/>
      <c r="H16" s="21"/>
      <c r="I16" s="21"/>
      <c r="J16" s="21"/>
      <c r="K16" s="21"/>
    </row>
    <row r="17" spans="1:11" ht="21.9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>
      <c r="A18" s="20"/>
      <c r="B18" s="256" t="s">
        <v>29</v>
      </c>
      <c r="C18" s="256"/>
      <c r="D18" s="256"/>
      <c r="E18" s="256"/>
      <c r="F18" s="256"/>
      <c r="G18" s="256"/>
      <c r="H18" s="256"/>
      <c r="I18" s="256"/>
      <c r="J18" s="257"/>
      <c r="K18" s="21"/>
    </row>
    <row r="19" spans="1:11" ht="21.9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>
      <c r="A21" s="35"/>
      <c r="B21" s="21"/>
      <c r="C21" s="21"/>
      <c r="D21" s="21"/>
      <c r="E21" s="34"/>
      <c r="F21" s="24" t="s">
        <v>323</v>
      </c>
      <c r="G21" s="24"/>
      <c r="H21" s="24"/>
      <c r="I21" s="24"/>
      <c r="J21" s="21"/>
      <c r="K21" s="21"/>
    </row>
    <row r="22" spans="1:11" ht="21.9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>
      <c r="A23" s="35"/>
      <c r="B23" s="21"/>
      <c r="C23" s="21"/>
      <c r="D23" s="21"/>
      <c r="E23" s="34"/>
      <c r="F23" s="24" t="s">
        <v>32</v>
      </c>
      <c r="G23" s="258" t="s">
        <v>303</v>
      </c>
      <c r="H23" s="258"/>
      <c r="I23" s="258"/>
      <c r="J23" s="258"/>
      <c r="K23" s="258"/>
    </row>
    <row r="24" spans="1:11" ht="21.9" customHeight="1">
      <c r="A24" s="35"/>
      <c r="B24" s="21" t="s">
        <v>33</v>
      </c>
      <c r="C24" s="21"/>
      <c r="D24" s="21"/>
      <c r="E24" s="34"/>
      <c r="F24" s="24" t="s">
        <v>34</v>
      </c>
      <c r="G24" s="258" t="s">
        <v>304</v>
      </c>
      <c r="H24" s="258"/>
      <c r="I24" s="258"/>
      <c r="J24" s="258"/>
      <c r="K24" s="258"/>
    </row>
    <row r="25" spans="1:11" ht="21.9" customHeight="1">
      <c r="A25" s="18"/>
      <c r="B25" s="21"/>
      <c r="C25" s="21"/>
      <c r="D25" s="21"/>
      <c r="E25" s="34"/>
      <c r="F25" s="24" t="s">
        <v>35</v>
      </c>
      <c r="G25" s="258" t="s">
        <v>305</v>
      </c>
      <c r="H25" s="258"/>
      <c r="I25" s="23" t="s">
        <v>306</v>
      </c>
      <c r="J25" s="24"/>
      <c r="K25" s="24"/>
    </row>
    <row r="26" spans="1:11" ht="21.9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83" fitToHeight="0" orientation="landscape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7.399999999999999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>
      <c r="A1" s="259" t="s">
        <v>81</v>
      </c>
      <c r="B1" s="260"/>
      <c r="C1" s="260"/>
      <c r="D1" s="260"/>
      <c r="E1" s="260"/>
      <c r="F1" s="260"/>
      <c r="G1" s="260"/>
    </row>
    <row r="2" spans="1:7" ht="39.9" customHeight="1" thickBot="1">
      <c r="A2" s="41" t="s">
        <v>82</v>
      </c>
      <c r="G2" s="42" t="s">
        <v>83</v>
      </c>
    </row>
    <row r="3" spans="1:7" ht="27.9" customHeight="1">
      <c r="A3" s="261" t="s">
        <v>84</v>
      </c>
      <c r="B3" s="263" t="s">
        <v>85</v>
      </c>
      <c r="C3" s="263" t="s">
        <v>86</v>
      </c>
      <c r="D3" s="263" t="s">
        <v>87</v>
      </c>
      <c r="E3" s="263" t="s">
        <v>88</v>
      </c>
      <c r="F3" s="263"/>
      <c r="G3" s="265"/>
    </row>
    <row r="4" spans="1:7" ht="27.9" customHeight="1">
      <c r="A4" s="262"/>
      <c r="B4" s="264"/>
      <c r="C4" s="264"/>
      <c r="D4" s="264"/>
      <c r="E4" s="43" t="s">
        <v>89</v>
      </c>
      <c r="F4" s="43" t="s">
        <v>90</v>
      </c>
      <c r="G4" s="44" t="s">
        <v>91</v>
      </c>
    </row>
    <row r="5" spans="1:7" ht="27.9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>
      <c r="A12" s="45"/>
      <c r="B12" s="46"/>
      <c r="C12" s="46"/>
      <c r="D12" s="46"/>
      <c r="E12" s="46"/>
      <c r="F12" s="46"/>
      <c r="G12" s="48"/>
    </row>
    <row r="13" spans="1:7" ht="27.9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>
      <c r="A14" s="45"/>
      <c r="B14" s="46"/>
      <c r="C14" s="46"/>
      <c r="D14" s="46"/>
      <c r="E14" s="46"/>
      <c r="F14" s="46"/>
      <c r="G14" s="48"/>
    </row>
    <row r="15" spans="1:7" ht="27.9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1D32-6E2C-4203-AA47-2A2BE9488A41}">
  <sheetPr>
    <pageSetUpPr fitToPage="1"/>
  </sheetPr>
  <dimension ref="A1:L42"/>
  <sheetViews>
    <sheetView view="pageBreakPreview" zoomScale="80" zoomScaleNormal="100" zoomScaleSheetLayoutView="80" workbookViewId="0">
      <selection activeCell="E11" sqref="E11"/>
    </sheetView>
  </sheetViews>
  <sheetFormatPr defaultColWidth="9" defaultRowHeight="17.399999999999999"/>
  <cols>
    <col min="1" max="1" width="25.59765625" style="18" customWidth="1"/>
    <col min="2" max="2" width="20.09765625" style="18" customWidth="1"/>
    <col min="3" max="3" width="7.3984375" style="18" customWidth="1"/>
    <col min="4" max="4" width="10.59765625" style="241" customWidth="1"/>
    <col min="5" max="5" width="9.8984375" style="18" customWidth="1"/>
    <col min="6" max="6" width="17.59765625" style="18" customWidth="1"/>
    <col min="7" max="7" width="15.59765625" style="18" customWidth="1"/>
    <col min="8" max="11" width="9" style="18"/>
    <col min="12" max="12" width="15.59765625" style="18" bestFit="1" customWidth="1"/>
    <col min="13" max="16384" width="9" style="18"/>
  </cols>
  <sheetData>
    <row r="1" spans="1:12" ht="69" customHeight="1">
      <c r="A1" s="266" t="s">
        <v>308</v>
      </c>
      <c r="B1" s="266"/>
      <c r="C1" s="266"/>
      <c r="D1" s="266"/>
      <c r="E1" s="266"/>
      <c r="F1" s="266"/>
      <c r="G1" s="266"/>
    </row>
    <row r="2" spans="1:12" ht="39.75" customHeight="1" thickBot="1">
      <c r="A2" s="189" t="s">
        <v>82</v>
      </c>
      <c r="B2" s="190"/>
      <c r="C2" s="190"/>
      <c r="D2" s="190"/>
      <c r="E2" s="191"/>
      <c r="F2" s="192"/>
      <c r="G2" s="192" t="s">
        <v>309</v>
      </c>
    </row>
    <row r="3" spans="1:12" ht="27.9" customHeight="1">
      <c r="A3" s="267" t="s">
        <v>310</v>
      </c>
      <c r="B3" s="269" t="s">
        <v>311</v>
      </c>
      <c r="C3" s="269" t="s">
        <v>312</v>
      </c>
      <c r="D3" s="271" t="s">
        <v>313</v>
      </c>
      <c r="E3" s="271" t="s">
        <v>314</v>
      </c>
      <c r="F3" s="271"/>
      <c r="G3" s="273" t="s">
        <v>315</v>
      </c>
    </row>
    <row r="4" spans="1:12" ht="27.9" customHeight="1">
      <c r="A4" s="268"/>
      <c r="B4" s="270"/>
      <c r="C4" s="270"/>
      <c r="D4" s="272"/>
      <c r="E4" s="193" t="s">
        <v>316</v>
      </c>
      <c r="F4" s="193" t="s">
        <v>317</v>
      </c>
      <c r="G4" s="274"/>
    </row>
    <row r="5" spans="1:12" ht="27.9" customHeight="1">
      <c r="A5" s="194" t="s">
        <v>92</v>
      </c>
      <c r="B5" s="195" t="s">
        <v>93</v>
      </c>
      <c r="C5" s="195" t="s">
        <v>94</v>
      </c>
      <c r="D5" s="196">
        <v>1400000</v>
      </c>
      <c r="E5" s="197">
        <v>80</v>
      </c>
      <c r="F5" s="197">
        <f>D5*E5</f>
        <v>112000000</v>
      </c>
      <c r="G5" s="198"/>
    </row>
    <row r="6" spans="1:12" ht="27.9" customHeight="1">
      <c r="A6" s="194" t="s">
        <v>318</v>
      </c>
      <c r="B6" s="195" t="s">
        <v>95</v>
      </c>
      <c r="C6" s="195" t="s">
        <v>94</v>
      </c>
      <c r="D6" s="196">
        <v>1200000</v>
      </c>
      <c r="E6" s="197">
        <v>70</v>
      </c>
      <c r="F6" s="197">
        <f t="shared" ref="F6:F11" si="0">D6*E6</f>
        <v>84000000</v>
      </c>
      <c r="G6" s="199" t="s">
        <v>319</v>
      </c>
    </row>
    <row r="7" spans="1:12" ht="27.9" customHeight="1">
      <c r="A7" s="194" t="s">
        <v>97</v>
      </c>
      <c r="B7" s="195" t="s">
        <v>98</v>
      </c>
      <c r="C7" s="195" t="s">
        <v>94</v>
      </c>
      <c r="D7" s="196">
        <v>1000000</v>
      </c>
      <c r="E7" s="197">
        <v>60</v>
      </c>
      <c r="F7" s="197">
        <f t="shared" si="0"/>
        <v>60000000</v>
      </c>
      <c r="G7" s="200" t="s">
        <v>319</v>
      </c>
      <c r="I7" s="30"/>
    </row>
    <row r="8" spans="1:12" ht="27.9" customHeight="1">
      <c r="A8" s="194" t="s">
        <v>97</v>
      </c>
      <c r="B8" s="195" t="s">
        <v>100</v>
      </c>
      <c r="C8" s="195" t="s">
        <v>94</v>
      </c>
      <c r="D8" s="196">
        <v>900000</v>
      </c>
      <c r="E8" s="197">
        <v>60</v>
      </c>
      <c r="F8" s="197">
        <f t="shared" si="0"/>
        <v>54000000</v>
      </c>
      <c r="G8" s="200" t="s">
        <v>319</v>
      </c>
      <c r="J8" s="30"/>
    </row>
    <row r="9" spans="1:12" ht="27.9" customHeight="1">
      <c r="A9" s="194" t="s">
        <v>97</v>
      </c>
      <c r="B9" s="195" t="s">
        <v>102</v>
      </c>
      <c r="C9" s="195" t="s">
        <v>94</v>
      </c>
      <c r="D9" s="196">
        <v>800000</v>
      </c>
      <c r="E9" s="197">
        <v>60</v>
      </c>
      <c r="F9" s="197">
        <f t="shared" si="0"/>
        <v>48000000</v>
      </c>
      <c r="G9" s="201"/>
      <c r="J9" s="30"/>
      <c r="L9" s="30"/>
    </row>
    <row r="10" spans="1:12" ht="27.9" customHeight="1">
      <c r="A10" s="194" t="s">
        <v>97</v>
      </c>
      <c r="B10" s="195" t="s">
        <v>104</v>
      </c>
      <c r="C10" s="195" t="s">
        <v>94</v>
      </c>
      <c r="D10" s="196">
        <v>700000</v>
      </c>
      <c r="E10" s="197">
        <v>60</v>
      </c>
      <c r="F10" s="197">
        <f t="shared" si="0"/>
        <v>42000000</v>
      </c>
      <c r="G10" s="200"/>
    </row>
    <row r="11" spans="1:12" ht="27.9" customHeight="1">
      <c r="A11" s="194" t="s">
        <v>320</v>
      </c>
      <c r="B11" s="195" t="s">
        <v>106</v>
      </c>
      <c r="C11" s="195" t="s">
        <v>94</v>
      </c>
      <c r="D11" s="196">
        <v>600000</v>
      </c>
      <c r="E11" s="197"/>
      <c r="F11" s="197">
        <f t="shared" si="0"/>
        <v>0</v>
      </c>
      <c r="G11" s="202"/>
    </row>
    <row r="12" spans="1:12" ht="27.9" customHeight="1">
      <c r="A12" s="203"/>
      <c r="B12" s="195"/>
      <c r="C12" s="204"/>
      <c r="D12" s="196"/>
      <c r="E12" s="197"/>
      <c r="F12" s="197"/>
      <c r="G12" s="202"/>
    </row>
    <row r="13" spans="1:12" ht="27.9" customHeight="1">
      <c r="A13" s="205" t="s">
        <v>108</v>
      </c>
      <c r="B13" s="195"/>
      <c r="C13" s="204"/>
      <c r="D13" s="206"/>
      <c r="E13" s="207">
        <v>0</v>
      </c>
      <c r="F13" s="197">
        <f>SUM(F5:F11)*E13</f>
        <v>0</v>
      </c>
      <c r="G13" s="202"/>
    </row>
    <row r="14" spans="1:12" ht="27.9" customHeight="1">
      <c r="A14" s="203"/>
      <c r="B14" s="195"/>
      <c r="C14" s="204"/>
      <c r="D14" s="206"/>
      <c r="E14" s="197"/>
      <c r="F14" s="197"/>
      <c r="G14" s="202"/>
    </row>
    <row r="15" spans="1:12" ht="27.9" customHeight="1">
      <c r="A15" s="208"/>
      <c r="B15" s="209"/>
      <c r="C15" s="210"/>
      <c r="D15" s="210"/>
      <c r="E15" s="197"/>
      <c r="F15" s="197"/>
      <c r="G15" s="202"/>
    </row>
    <row r="16" spans="1:12" ht="27.9" customHeight="1" thickBot="1">
      <c r="A16" s="211" t="s">
        <v>321</v>
      </c>
      <c r="B16" s="212"/>
      <c r="C16" s="213"/>
      <c r="D16" s="214"/>
      <c r="E16" s="215">
        <f>SUM(E5:E15)</f>
        <v>390</v>
      </c>
      <c r="F16" s="216">
        <f>SUM(F5:F15)</f>
        <v>400000000</v>
      </c>
      <c r="G16" s="217"/>
    </row>
    <row r="17" spans="1:7" ht="27.9" hidden="1" customHeight="1">
      <c r="A17" s="218"/>
      <c r="B17" s="219"/>
      <c r="C17" s="220"/>
      <c r="D17" s="221"/>
      <c r="E17" s="222"/>
      <c r="F17" s="223"/>
      <c r="G17" s="224"/>
    </row>
    <row r="18" spans="1:7" ht="27.9" hidden="1" customHeight="1">
      <c r="A18" s="225"/>
      <c r="B18" s="226"/>
      <c r="C18" s="227"/>
      <c r="D18" s="228"/>
      <c r="E18" s="229"/>
      <c r="F18" s="230"/>
      <c r="G18" s="231"/>
    </row>
    <row r="19" spans="1:7" ht="27.9" hidden="1" customHeight="1">
      <c r="A19" s="225"/>
      <c r="B19" s="226"/>
      <c r="C19" s="227"/>
      <c r="D19" s="228"/>
      <c r="E19" s="229"/>
      <c r="F19" s="230"/>
      <c r="G19" s="231"/>
    </row>
    <row r="20" spans="1:7" ht="27.9" hidden="1" customHeight="1">
      <c r="A20" s="225"/>
      <c r="B20" s="226"/>
      <c r="C20" s="227"/>
      <c r="D20" s="228"/>
      <c r="E20" s="229"/>
      <c r="F20" s="230"/>
      <c r="G20" s="231"/>
    </row>
    <row r="21" spans="1:7" ht="27.9" hidden="1" customHeight="1">
      <c r="A21" s="225"/>
      <c r="B21" s="226"/>
      <c r="C21" s="227"/>
      <c r="D21" s="228"/>
      <c r="E21" s="229"/>
      <c r="F21" s="230"/>
      <c r="G21" s="231"/>
    </row>
    <row r="22" spans="1:7" ht="27.9" hidden="1" customHeight="1">
      <c r="A22" s="225"/>
      <c r="B22" s="226"/>
      <c r="C22" s="227"/>
      <c r="D22" s="228"/>
      <c r="E22" s="229"/>
      <c r="F22" s="230"/>
      <c r="G22" s="231"/>
    </row>
    <row r="23" spans="1:7" ht="27.9" hidden="1" customHeight="1">
      <c r="A23" s="232"/>
      <c r="B23" s="233"/>
      <c r="C23" s="234"/>
      <c r="D23" s="235"/>
      <c r="E23" s="229"/>
      <c r="F23" s="230"/>
      <c r="G23" s="231"/>
    </row>
    <row r="24" spans="1:7" ht="14.4">
      <c r="A24" s="236"/>
      <c r="B24" s="237"/>
      <c r="C24" s="238"/>
      <c r="D24" s="238"/>
    </row>
    <row r="25" spans="1:7" ht="14.4">
      <c r="A25" s="238"/>
      <c r="B25" s="238"/>
      <c r="C25" s="238"/>
      <c r="D25" s="238"/>
      <c r="F25" s="239"/>
    </row>
    <row r="26" spans="1:7" s="30" customFormat="1" ht="14.4">
      <c r="A26" s="238"/>
      <c r="B26" s="238"/>
      <c r="C26" s="238"/>
      <c r="D26" s="238"/>
      <c r="E26" s="18"/>
      <c r="F26" s="18"/>
      <c r="G26" s="18"/>
    </row>
    <row r="27" spans="1:7" s="30" customFormat="1" ht="14.4">
      <c r="A27" s="238"/>
      <c r="B27" s="238"/>
      <c r="C27" s="238"/>
      <c r="D27" s="238"/>
      <c r="E27" s="18"/>
      <c r="F27" s="239"/>
      <c r="G27" s="18"/>
    </row>
    <row r="28" spans="1:7" s="30" customFormat="1" ht="14.4">
      <c r="A28" s="238"/>
      <c r="B28" s="238"/>
      <c r="C28" s="238"/>
      <c r="D28" s="238"/>
      <c r="E28" s="18"/>
      <c r="F28" s="18"/>
      <c r="G28" s="18"/>
    </row>
    <row r="29" spans="1:7" s="30" customFormat="1" ht="14.4">
      <c r="A29" s="240"/>
      <c r="B29" s="240"/>
      <c r="C29" s="240"/>
      <c r="D29" s="240"/>
      <c r="E29" s="18"/>
      <c r="F29" s="18"/>
      <c r="G29" s="18"/>
    </row>
    <row r="30" spans="1:7" s="30" customFormat="1" ht="14.4">
      <c r="A30" s="240"/>
      <c r="B30" s="240"/>
      <c r="C30" s="240"/>
      <c r="D30" s="240"/>
      <c r="E30" s="18"/>
      <c r="F30" s="18"/>
      <c r="G30" s="18"/>
    </row>
    <row r="31" spans="1:7" s="30" customFormat="1" ht="14.4">
      <c r="A31" s="240"/>
      <c r="B31" s="240"/>
      <c r="C31" s="240"/>
      <c r="D31" s="240"/>
      <c r="E31" s="18"/>
      <c r="F31" s="18"/>
      <c r="G31" s="18"/>
    </row>
    <row r="32" spans="1:7" s="30" customFormat="1" ht="14.4">
      <c r="A32" s="240"/>
      <c r="B32" s="240"/>
      <c r="C32" s="240"/>
      <c r="D32" s="240"/>
      <c r="E32" s="18"/>
      <c r="F32" s="18"/>
      <c r="G32" s="18"/>
    </row>
    <row r="33" spans="1:7" s="30" customFormat="1" ht="14.4">
      <c r="A33" s="240"/>
      <c r="B33" s="240"/>
      <c r="C33" s="240"/>
      <c r="D33" s="240"/>
      <c r="E33" s="18"/>
      <c r="F33" s="18"/>
      <c r="G33" s="18"/>
    </row>
    <row r="34" spans="1:7" s="30" customFormat="1" ht="14.4">
      <c r="A34" s="240"/>
      <c r="B34" s="240"/>
      <c r="C34" s="240"/>
      <c r="D34" s="240"/>
      <c r="E34" s="18"/>
      <c r="F34" s="18"/>
      <c r="G34" s="18"/>
    </row>
    <row r="35" spans="1:7" s="30" customFormat="1" ht="14.4">
      <c r="A35" s="240"/>
      <c r="B35" s="18"/>
      <c r="C35" s="240"/>
      <c r="D35" s="240"/>
      <c r="E35" s="18"/>
      <c r="F35" s="18"/>
      <c r="G35" s="18"/>
    </row>
    <row r="36" spans="1:7" s="30" customFormat="1" ht="14.4">
      <c r="A36" s="240"/>
      <c r="B36" s="18"/>
      <c r="C36" s="240"/>
      <c r="D36" s="240"/>
      <c r="E36" s="18"/>
      <c r="F36" s="18"/>
      <c r="G36" s="18"/>
    </row>
    <row r="37" spans="1:7" s="30" customFormat="1" ht="14.4">
      <c r="A37" s="240"/>
      <c r="B37" s="18"/>
      <c r="C37" s="240"/>
      <c r="D37" s="240"/>
      <c r="E37" s="18"/>
      <c r="F37" s="18"/>
      <c r="G37" s="18"/>
    </row>
    <row r="38" spans="1:7" s="30" customFormat="1" ht="14.4">
      <c r="A38" s="240"/>
      <c r="B38" s="18"/>
      <c r="C38" s="240"/>
      <c r="D38" s="240"/>
      <c r="E38" s="18"/>
      <c r="F38" s="18"/>
      <c r="G38" s="18"/>
    </row>
    <row r="39" spans="1:7" s="30" customFormat="1" ht="14.4">
      <c r="A39" s="240"/>
      <c r="B39" s="18"/>
      <c r="C39" s="240"/>
      <c r="D39" s="240"/>
      <c r="E39" s="18"/>
      <c r="F39" s="18"/>
      <c r="G39" s="18"/>
    </row>
    <row r="40" spans="1:7" s="30" customFormat="1" ht="14.4">
      <c r="A40" s="18"/>
      <c r="B40" s="18"/>
      <c r="C40" s="240"/>
      <c r="D40" s="240"/>
      <c r="E40" s="18"/>
      <c r="F40" s="18"/>
      <c r="G40" s="18"/>
    </row>
    <row r="41" spans="1:7" s="30" customFormat="1">
      <c r="A41" s="18"/>
      <c r="B41" s="18"/>
      <c r="C41" s="240"/>
      <c r="D41" s="241"/>
      <c r="E41" s="18"/>
      <c r="F41" s="18"/>
      <c r="G41" s="18"/>
    </row>
    <row r="42" spans="1:7" s="30" customFormat="1">
      <c r="A42" s="18"/>
      <c r="B42" s="18"/>
      <c r="C42" s="240"/>
      <c r="D42" s="241"/>
      <c r="E42" s="18"/>
      <c r="F42" s="18"/>
      <c r="G42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7"/>
  <sheetViews>
    <sheetView tabSelected="1" view="pageBreakPreview" zoomScale="85" zoomScaleNormal="100" zoomScaleSheetLayoutView="85" workbookViewId="0">
      <selection activeCell="F14" sqref="F14"/>
    </sheetView>
  </sheetViews>
  <sheetFormatPr defaultRowHeight="17.399999999999999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  <col min="14" max="14" width="12.59765625" bestFit="1" customWidth="1"/>
    <col min="15" max="15" width="13.59765625" bestFit="1" customWidth="1"/>
  </cols>
  <sheetData>
    <row r="1" spans="1:14" ht="39.9" customHeight="1" thickTop="1">
      <c r="A1" s="297" t="str">
        <f>'용역청구서 표지'!$B$7</f>
        <v>P4 Ph4 GAS 1공구 마감공사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9"/>
    </row>
    <row r="2" spans="1:14" ht="20.100000000000001" customHeight="1">
      <c r="A2" s="54"/>
      <c r="J2" s="56"/>
      <c r="L2" s="57" t="str">
        <f>'용역청구서 표지'!$C$15</f>
        <v>㈜태성하이텍</v>
      </c>
    </row>
    <row r="3" spans="1:14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300" t="s">
        <v>119</v>
      </c>
      <c r="K3" s="300"/>
      <c r="L3" s="301"/>
    </row>
    <row r="4" spans="1:14" ht="30" customHeight="1">
      <c r="A4" s="63" t="s">
        <v>120</v>
      </c>
      <c r="B4" s="64" t="s">
        <v>121</v>
      </c>
      <c r="C4" s="46" t="s">
        <v>122</v>
      </c>
      <c r="D4" s="149">
        <f>SUM('물량 내역서'!$J$5:$J$27)</f>
        <v>666.5</v>
      </c>
      <c r="E4" s="47">
        <f>F4/D4</f>
        <v>437000</v>
      </c>
      <c r="F4" s="65">
        <f>SUM('물량 내역서'!$K$5:$K$27)</f>
        <v>291260500</v>
      </c>
      <c r="G4" s="66">
        <v>5140649500</v>
      </c>
      <c r="H4" s="47">
        <f t="shared" ref="H4:H22" si="0">F4</f>
        <v>291260500</v>
      </c>
      <c r="I4" s="67">
        <f>G4+H4</f>
        <v>5431910000</v>
      </c>
      <c r="J4" s="279"/>
      <c r="K4" s="280"/>
      <c r="L4" s="281"/>
    </row>
    <row r="5" spans="1:14" ht="30" customHeight="1">
      <c r="A5" s="68"/>
      <c r="B5" s="64" t="s">
        <v>123</v>
      </c>
      <c r="C5" s="46" t="s">
        <v>124</v>
      </c>
      <c r="D5" s="148">
        <f>SUM('물량 내역서'!$J$28:$J$50)</f>
        <v>113</v>
      </c>
      <c r="E5" s="47">
        <f>F5/D5</f>
        <v>204037.61061946902</v>
      </c>
      <c r="F5" s="65">
        <f>SUM('물량 내역서'!$K$28:$K$50)</f>
        <v>23056250</v>
      </c>
      <c r="G5" s="66">
        <v>44231250</v>
      </c>
      <c r="H5" s="47">
        <f t="shared" si="0"/>
        <v>23056250</v>
      </c>
      <c r="I5" s="67">
        <f t="shared" ref="I5:I7" si="1">G5+H5</f>
        <v>67287500</v>
      </c>
      <c r="J5" s="279"/>
      <c r="K5" s="280"/>
      <c r="L5" s="281"/>
    </row>
    <row r="6" spans="1:14" ht="30" customHeight="1">
      <c r="A6" s="68"/>
      <c r="B6" s="64" t="s">
        <v>125</v>
      </c>
      <c r="C6" s="46" t="s">
        <v>126</v>
      </c>
      <c r="D6" s="69"/>
      <c r="E6" s="47" t="e">
        <f>F6/D6</f>
        <v>#DIV/0!</v>
      </c>
      <c r="F6" s="65">
        <f>'근로내역 (06월)'!AP87</f>
        <v>0</v>
      </c>
      <c r="G6" s="66">
        <v>0</v>
      </c>
      <c r="H6" s="47">
        <f t="shared" si="0"/>
        <v>0</v>
      </c>
      <c r="I6" s="67">
        <f t="shared" si="1"/>
        <v>0</v>
      </c>
      <c r="J6" s="279"/>
      <c r="K6" s="280"/>
      <c r="L6" s="281"/>
    </row>
    <row r="7" spans="1:14" ht="30" customHeight="1">
      <c r="A7" s="63" t="s">
        <v>127</v>
      </c>
      <c r="B7" s="70"/>
      <c r="C7" s="46" t="s">
        <v>128</v>
      </c>
      <c r="D7" s="46">
        <f>384.5+62.312</f>
        <v>446.81200000000001</v>
      </c>
      <c r="E7" s="47">
        <v>187981</v>
      </c>
      <c r="F7" s="65">
        <f>ROUND(D7*E7,0)</f>
        <v>83992167</v>
      </c>
      <c r="G7" s="66">
        <v>685778223</v>
      </c>
      <c r="H7" s="47">
        <f t="shared" si="0"/>
        <v>83992167</v>
      </c>
      <c r="I7" s="67">
        <f t="shared" si="1"/>
        <v>769770390</v>
      </c>
      <c r="J7" s="279"/>
      <c r="K7" s="280"/>
      <c r="L7" s="281"/>
    </row>
    <row r="8" spans="1:14" ht="30" customHeight="1">
      <c r="A8" s="71" t="s">
        <v>129</v>
      </c>
      <c r="B8" s="282" t="s">
        <v>130</v>
      </c>
      <c r="C8" s="283"/>
      <c r="D8" s="72"/>
      <c r="E8" s="72"/>
      <c r="F8" s="73">
        <f>SUM(F4:F7)</f>
        <v>398308917</v>
      </c>
      <c r="G8" s="74">
        <f>SUM(G4:G7)</f>
        <v>5870658973</v>
      </c>
      <c r="H8" s="75">
        <f t="shared" si="0"/>
        <v>398308917</v>
      </c>
      <c r="I8" s="76">
        <f>G8+H8</f>
        <v>6268967890</v>
      </c>
      <c r="J8" s="284"/>
      <c r="K8" s="285"/>
      <c r="L8" s="286"/>
    </row>
    <row r="9" spans="1:14" ht="30" customHeight="1">
      <c r="A9" s="63" t="s">
        <v>131</v>
      </c>
      <c r="B9" s="64" t="s">
        <v>132</v>
      </c>
      <c r="C9" s="46" t="s">
        <v>133</v>
      </c>
      <c r="D9" s="69">
        <f>'근로내역 (06월)'!AN88</f>
        <v>2282.25</v>
      </c>
      <c r="E9" s="77">
        <f>F9/D9</f>
        <v>184210.20922335415</v>
      </c>
      <c r="F9" s="65">
        <f>'근로내역 (06월)'!AP88</f>
        <v>420413750</v>
      </c>
      <c r="G9" s="66">
        <v>3093818750</v>
      </c>
      <c r="H9" s="47">
        <f t="shared" si="0"/>
        <v>420413750</v>
      </c>
      <c r="I9" s="67">
        <f>G9+H9</f>
        <v>3514232500</v>
      </c>
      <c r="J9" s="279"/>
      <c r="K9" s="280"/>
      <c r="L9" s="281"/>
    </row>
    <row r="10" spans="1:14" ht="30" customHeight="1">
      <c r="A10" s="63" t="s">
        <v>134</v>
      </c>
      <c r="B10" s="64" t="s">
        <v>135</v>
      </c>
      <c r="C10" s="46" t="s">
        <v>128</v>
      </c>
      <c r="D10" s="46">
        <f>SUM(숙소임차료!H4:H8)+SUM(숙소관리비!H4:H8)</f>
        <v>0</v>
      </c>
      <c r="E10" s="47" t="e">
        <f>F10/D10</f>
        <v>#DIV/0!</v>
      </c>
      <c r="F10" s="65">
        <f>숙소임차료!I3+숙소관리비!I3</f>
        <v>13174506.666666666</v>
      </c>
      <c r="G10" s="66">
        <v>129243554.93548387</v>
      </c>
      <c r="H10" s="47">
        <f t="shared" si="0"/>
        <v>13174506.666666666</v>
      </c>
      <c r="I10" s="67">
        <f t="shared" ref="I10:I12" si="2">G10+H10</f>
        <v>142418061.60215053</v>
      </c>
      <c r="J10" s="279"/>
      <c r="K10" s="280"/>
      <c r="L10" s="281"/>
      <c r="N10" s="175">
        <f>+H10+H11</f>
        <v>45429961.666666664</v>
      </c>
    </row>
    <row r="11" spans="1:14" ht="30" customHeight="1">
      <c r="A11" s="63"/>
      <c r="B11" s="64" t="s">
        <v>136</v>
      </c>
      <c r="C11" s="46" t="s">
        <v>137</v>
      </c>
      <c r="D11" s="46">
        <f>SUM(식대비용!G4:G9)</f>
        <v>0</v>
      </c>
      <c r="E11" s="47" t="e">
        <f>F11/D11</f>
        <v>#DIV/0!</v>
      </c>
      <c r="F11" s="65">
        <f>식대비용!I3</f>
        <v>32255455</v>
      </c>
      <c r="G11" s="66">
        <v>213489909</v>
      </c>
      <c r="H11" s="47">
        <f t="shared" si="0"/>
        <v>32255455</v>
      </c>
      <c r="I11" s="67">
        <f t="shared" si="2"/>
        <v>245745364</v>
      </c>
      <c r="J11" s="279"/>
      <c r="K11" s="280"/>
      <c r="L11" s="281"/>
    </row>
    <row r="12" spans="1:14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3">D12*E12</f>
        <v>0</v>
      </c>
      <c r="G12" s="66">
        <v>0</v>
      </c>
      <c r="H12" s="47">
        <f t="shared" si="0"/>
        <v>0</v>
      </c>
      <c r="I12" s="67">
        <f t="shared" si="2"/>
        <v>0</v>
      </c>
      <c r="J12" s="279"/>
      <c r="K12" s="280"/>
      <c r="L12" s="281"/>
    </row>
    <row r="13" spans="1:14" ht="30" customHeight="1">
      <c r="A13" s="71" t="s">
        <v>139</v>
      </c>
      <c r="B13" s="282" t="s">
        <v>140</v>
      </c>
      <c r="C13" s="283"/>
      <c r="D13" s="72"/>
      <c r="E13" s="72"/>
      <c r="F13" s="73">
        <f t="shared" ref="F13" si="4">SUM(F9:F12)</f>
        <v>465843711.66666669</v>
      </c>
      <c r="G13" s="74">
        <f>SUM(G9:G12)</f>
        <v>3436552213.9354839</v>
      </c>
      <c r="H13" s="75">
        <f t="shared" si="0"/>
        <v>465843711.66666669</v>
      </c>
      <c r="I13" s="76">
        <f>G13+H13</f>
        <v>3902395925.6021504</v>
      </c>
      <c r="J13" s="284"/>
      <c r="K13" s="285"/>
      <c r="L13" s="286"/>
      <c r="N13" s="175"/>
    </row>
    <row r="14" spans="1:14" ht="30" customHeight="1">
      <c r="A14" s="71" t="s">
        <v>141</v>
      </c>
      <c r="B14" s="282" t="s">
        <v>142</v>
      </c>
      <c r="C14" s="283"/>
      <c r="D14" s="72"/>
      <c r="E14" s="72"/>
      <c r="F14" s="73">
        <f>F8-F13</f>
        <v>-67534794.666666687</v>
      </c>
      <c r="G14" s="74">
        <f>G8-G13</f>
        <v>2434106759.0645161</v>
      </c>
      <c r="H14" s="75">
        <f t="shared" si="0"/>
        <v>-67534794.666666687</v>
      </c>
      <c r="I14" s="76">
        <f>G14+H14</f>
        <v>2366571964.3978496</v>
      </c>
      <c r="J14" s="284"/>
      <c r="K14" s="285"/>
      <c r="L14" s="286"/>
    </row>
    <row r="15" spans="1:14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>
        <v>-467572449</v>
      </c>
      <c r="G15" s="66">
        <v>1613972449</v>
      </c>
      <c r="H15" s="47">
        <f t="shared" si="0"/>
        <v>-467572449</v>
      </c>
      <c r="I15" s="67">
        <f>G15+H15</f>
        <v>1146400000</v>
      </c>
      <c r="J15" s="279"/>
      <c r="K15" s="280"/>
      <c r="L15" s="281"/>
      <c r="N15" s="175"/>
    </row>
    <row r="16" spans="1:14" ht="30" customHeight="1">
      <c r="A16" s="63" t="s">
        <v>145</v>
      </c>
      <c r="B16" s="78" t="s">
        <v>146</v>
      </c>
      <c r="C16" s="46" t="s">
        <v>147</v>
      </c>
      <c r="D16" s="46"/>
      <c r="E16" s="46"/>
      <c r="F16" s="65"/>
      <c r="G16" s="66"/>
      <c r="H16" s="47">
        <f t="shared" si="0"/>
        <v>0</v>
      </c>
      <c r="I16" s="67">
        <f t="shared" ref="I16:I17" si="5">G16+H16</f>
        <v>0</v>
      </c>
      <c r="J16" s="279"/>
      <c r="K16" s="280"/>
      <c r="L16" s="281"/>
      <c r="N16" s="242"/>
    </row>
    <row r="17" spans="1:14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279"/>
      <c r="K17" s="280"/>
      <c r="L17" s="281"/>
    </row>
    <row r="18" spans="1:14" ht="30" customHeight="1">
      <c r="A18" s="71" t="s">
        <v>151</v>
      </c>
      <c r="B18" s="282" t="s">
        <v>152</v>
      </c>
      <c r="C18" s="283"/>
      <c r="D18" s="72"/>
      <c r="E18" s="72"/>
      <c r="F18" s="73">
        <f>F14-F15-F16-F17</f>
        <v>400037654.33333331</v>
      </c>
      <c r="G18" s="74">
        <f>G14-G15-G16-G17</f>
        <v>820134310.06451607</v>
      </c>
      <c r="H18" s="75">
        <f t="shared" si="0"/>
        <v>400037654.33333331</v>
      </c>
      <c r="I18" s="76">
        <f>G18+H18</f>
        <v>1220171964.3978493</v>
      </c>
      <c r="J18" s="284"/>
      <c r="K18" s="285"/>
      <c r="L18" s="286"/>
      <c r="N18" s="175"/>
    </row>
    <row r="19" spans="1:14" ht="30" customHeight="1">
      <c r="A19" s="287" t="s">
        <v>153</v>
      </c>
      <c r="B19" s="64" t="s">
        <v>154</v>
      </c>
      <c r="C19" s="46" t="s">
        <v>147</v>
      </c>
      <c r="D19" s="46"/>
      <c r="E19" s="46"/>
      <c r="F19" s="65"/>
      <c r="G19" s="66">
        <v>0</v>
      </c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4" ht="30" customHeight="1">
      <c r="A20" s="287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88">
        <v>0</v>
      </c>
      <c r="L20" s="291">
        <f>K20-I20</f>
        <v>0</v>
      </c>
    </row>
    <row r="21" spans="1:14" ht="30" customHeight="1">
      <c r="A21" s="294" t="s">
        <v>159</v>
      </c>
      <c r="B21" s="295"/>
      <c r="C21" s="296"/>
      <c r="D21" s="81"/>
      <c r="E21" s="81"/>
      <c r="F21" s="82">
        <f>F18-F20</f>
        <v>400037654.33333331</v>
      </c>
      <c r="G21" s="83">
        <f>G18-G19</f>
        <v>820134310.06451607</v>
      </c>
      <c r="H21" s="84">
        <f t="shared" si="0"/>
        <v>400037654.33333331</v>
      </c>
      <c r="I21" s="85">
        <f>G21+H21</f>
        <v>1220171964.3978493</v>
      </c>
      <c r="J21" s="81"/>
      <c r="K21" s="289"/>
      <c r="L21" s="292"/>
    </row>
    <row r="22" spans="1:14" ht="30" customHeight="1">
      <c r="A22" s="294" t="s">
        <v>160</v>
      </c>
      <c r="B22" s="295"/>
      <c r="C22" s="296"/>
      <c r="D22" s="81"/>
      <c r="E22" s="81"/>
      <c r="F22" s="82">
        <f>ROUNDDOWN(F21,-5)</f>
        <v>400000000</v>
      </c>
      <c r="G22" s="83">
        <v>820000000</v>
      </c>
      <c r="H22" s="84">
        <f t="shared" si="0"/>
        <v>400000000</v>
      </c>
      <c r="I22" s="85">
        <f>G22+H22</f>
        <v>1220000000</v>
      </c>
      <c r="J22" s="86" t="s">
        <v>158</v>
      </c>
      <c r="K22" s="290"/>
      <c r="L22" s="293"/>
    </row>
    <row r="23" spans="1:14" ht="30" customHeight="1">
      <c r="A23" s="275" t="s">
        <v>161</v>
      </c>
      <c r="B23" s="276"/>
      <c r="C23" s="277"/>
      <c r="D23" s="276" t="s">
        <v>162</v>
      </c>
      <c r="E23" s="276"/>
      <c r="F23" s="276"/>
      <c r="G23" s="276"/>
      <c r="H23" s="276"/>
      <c r="I23" s="276"/>
      <c r="J23" s="276"/>
      <c r="K23" s="276"/>
      <c r="L23" s="278"/>
    </row>
    <row r="24" spans="1:14" ht="21" customHeight="1">
      <c r="A24" s="87" t="s">
        <v>163</v>
      </c>
      <c r="L24" s="88"/>
    </row>
    <row r="25" spans="1:14" ht="21" customHeight="1">
      <c r="A25" s="87" t="s">
        <v>164</v>
      </c>
      <c r="L25" s="88"/>
    </row>
    <row r="26" spans="1:14" ht="21" customHeight="1" thickBot="1">
      <c r="A26" s="89" t="s">
        <v>165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4" ht="18" thickTop="1"/>
  </sheetData>
  <mergeCells count="28">
    <mergeCell ref="J7:L7"/>
    <mergeCell ref="A1:L1"/>
    <mergeCell ref="J3:L3"/>
    <mergeCell ref="J4:L4"/>
    <mergeCell ref="J5:L5"/>
    <mergeCell ref="J6:L6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7" fitToHeight="0" orientation="landscape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55"/>
  <sheetViews>
    <sheetView view="pageBreakPreview" zoomScale="85" zoomScaleNormal="70" zoomScaleSheetLayoutView="85" workbookViewId="0">
      <pane ySplit="4" topLeftCell="A17" activePane="bottomLeft" state="frozen"/>
      <selection activeCell="E29" sqref="E29"/>
      <selection pane="bottomLeft" activeCell="O44" sqref="A31:XFD44"/>
    </sheetView>
  </sheetViews>
  <sheetFormatPr defaultRowHeight="17.399999999999999"/>
  <cols>
    <col min="1" max="1" width="25.59765625" customWidth="1"/>
    <col min="2" max="2" width="20.59765625" customWidth="1"/>
    <col min="3" max="4" width="8.59765625" customWidth="1"/>
    <col min="5" max="6" width="15.59765625" customWidth="1"/>
    <col min="7" max="7" width="20.59765625" customWidth="1"/>
    <col min="8" max="8" width="15.59765625" customWidth="1"/>
    <col min="9" max="9" width="20.59765625" customWidth="1"/>
    <col min="10" max="10" width="15.59765625" customWidth="1"/>
    <col min="11" max="11" width="20.59765625" customWidth="1"/>
    <col min="12" max="12" width="15.59765625" customWidth="1"/>
    <col min="13" max="13" width="20.59765625" customWidth="1"/>
    <col min="15" max="15" width="12.3984375" bestFit="1" customWidth="1"/>
  </cols>
  <sheetData>
    <row r="1" spans="1:16" ht="37.799999999999997">
      <c r="A1" s="305" t="s">
        <v>325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</row>
    <row r="2" spans="1:16" ht="19.2">
      <c r="A2" s="92" t="str">
        <f>'용역청구서 표지'!$B$7</f>
        <v>P4 Ph4 GAS 1공구 마감공사</v>
      </c>
      <c r="M2" s="42" t="s">
        <v>166</v>
      </c>
    </row>
    <row r="3" spans="1:16" ht="27.9" customHeight="1">
      <c r="A3" s="306" t="s">
        <v>167</v>
      </c>
      <c r="B3" s="306" t="s">
        <v>168</v>
      </c>
      <c r="C3" s="306" t="s">
        <v>169</v>
      </c>
      <c r="D3" s="307" t="s">
        <v>170</v>
      </c>
      <c r="E3" s="306" t="s">
        <v>171</v>
      </c>
      <c r="F3" s="306" t="s">
        <v>172</v>
      </c>
      <c r="G3" s="306"/>
      <c r="H3" s="306" t="s">
        <v>173</v>
      </c>
      <c r="I3" s="306"/>
      <c r="J3" s="306" t="s">
        <v>174</v>
      </c>
      <c r="K3" s="306"/>
      <c r="L3" s="306" t="s">
        <v>175</v>
      </c>
      <c r="M3" s="306"/>
    </row>
    <row r="4" spans="1:16" ht="27.9" customHeight="1">
      <c r="A4" s="306"/>
      <c r="B4" s="306"/>
      <c r="C4" s="306"/>
      <c r="D4" s="307"/>
      <c r="E4" s="306"/>
      <c r="F4" s="93" t="s">
        <v>176</v>
      </c>
      <c r="G4" s="93" t="s">
        <v>177</v>
      </c>
      <c r="H4" s="93" t="s">
        <v>176</v>
      </c>
      <c r="I4" s="93" t="s">
        <v>177</v>
      </c>
      <c r="J4" s="93" t="s">
        <v>176</v>
      </c>
      <c r="K4" s="93" t="s">
        <v>178</v>
      </c>
      <c r="L4" s="93" t="s">
        <v>176</v>
      </c>
      <c r="M4" s="93" t="s">
        <v>178</v>
      </c>
    </row>
    <row r="5" spans="1:16" ht="27.9" hidden="1" customHeight="1">
      <c r="A5" s="94" t="s">
        <v>179</v>
      </c>
      <c r="B5" s="38" t="s">
        <v>180</v>
      </c>
      <c r="C5" s="38" t="s">
        <v>181</v>
      </c>
      <c r="D5" s="95">
        <v>0</v>
      </c>
      <c r="E5" s="96">
        <v>437000</v>
      </c>
      <c r="F5" s="99">
        <f>L5</f>
        <v>0</v>
      </c>
      <c r="G5" s="97">
        <f>M5</f>
        <v>0</v>
      </c>
      <c r="H5" s="99">
        <v>0</v>
      </c>
      <c r="I5" s="94">
        <v>0</v>
      </c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6" ht="27.9" hidden="1" customHeight="1">
      <c r="A6" s="94" t="s">
        <v>182</v>
      </c>
      <c r="B6" s="38" t="s">
        <v>183</v>
      </c>
      <c r="C6" s="38" t="s">
        <v>184</v>
      </c>
      <c r="D6" s="95">
        <v>0</v>
      </c>
      <c r="E6" s="96">
        <v>437000</v>
      </c>
      <c r="F6" s="99">
        <f t="shared" ref="F6:G50" si="0">L6</f>
        <v>0</v>
      </c>
      <c r="G6" s="97">
        <f t="shared" si="0"/>
        <v>0</v>
      </c>
      <c r="H6" s="99">
        <v>0</v>
      </c>
      <c r="I6" s="94">
        <v>0</v>
      </c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6" ht="27.9" hidden="1" customHeight="1">
      <c r="A7" s="94" t="s">
        <v>179</v>
      </c>
      <c r="B7" s="38" t="s">
        <v>185</v>
      </c>
      <c r="C7" s="38" t="s">
        <v>181</v>
      </c>
      <c r="D7" s="95">
        <v>0</v>
      </c>
      <c r="E7" s="96">
        <v>437000</v>
      </c>
      <c r="F7" s="99">
        <f t="shared" si="0"/>
        <v>0</v>
      </c>
      <c r="G7" s="97">
        <f t="shared" si="0"/>
        <v>0</v>
      </c>
      <c r="H7" s="99">
        <v>0</v>
      </c>
      <c r="I7" s="94">
        <v>0</v>
      </c>
      <c r="J7" s="99">
        <f>$D7*'DIA-INCH'!$C7</f>
        <v>0</v>
      </c>
      <c r="K7" s="97">
        <f t="shared" si="1"/>
        <v>0</v>
      </c>
      <c r="L7" s="99">
        <f t="shared" si="2"/>
        <v>0</v>
      </c>
      <c r="M7" s="97">
        <f t="shared" si="2"/>
        <v>0</v>
      </c>
    </row>
    <row r="8" spans="1:16" ht="27.9" customHeight="1">
      <c r="A8" s="94" t="s">
        <v>179</v>
      </c>
      <c r="B8" s="38" t="s">
        <v>186</v>
      </c>
      <c r="C8" s="38" t="s">
        <v>181</v>
      </c>
      <c r="D8" s="95">
        <v>152</v>
      </c>
      <c r="E8" s="96">
        <v>437000</v>
      </c>
      <c r="F8" s="99">
        <f>L8</f>
        <v>1056</v>
      </c>
      <c r="G8" s="97">
        <f t="shared" si="0"/>
        <v>461472000</v>
      </c>
      <c r="H8" s="99">
        <v>904</v>
      </c>
      <c r="I8" s="243">
        <v>395048000</v>
      </c>
      <c r="J8" s="99">
        <f>$D8*'DIA-INCH'!$C8</f>
        <v>152</v>
      </c>
      <c r="K8" s="97">
        <f t="shared" si="1"/>
        <v>66424000</v>
      </c>
      <c r="L8" s="99">
        <f t="shared" si="2"/>
        <v>1056</v>
      </c>
      <c r="M8" s="97">
        <f t="shared" si="2"/>
        <v>461472000</v>
      </c>
      <c r="O8" s="175"/>
      <c r="P8" s="185"/>
    </row>
    <row r="9" spans="1:16" ht="27.9" hidden="1" customHeight="1">
      <c r="A9" s="94" t="s">
        <v>179</v>
      </c>
      <c r="B9" s="38" t="s">
        <v>187</v>
      </c>
      <c r="C9" s="38" t="s">
        <v>181</v>
      </c>
      <c r="D9" s="95">
        <v>0</v>
      </c>
      <c r="E9" s="96">
        <v>437000</v>
      </c>
      <c r="F9" s="99">
        <f t="shared" si="0"/>
        <v>0</v>
      </c>
      <c r="G9" s="97">
        <f t="shared" si="0"/>
        <v>0</v>
      </c>
      <c r="H9" s="99">
        <v>0</v>
      </c>
      <c r="I9" s="94">
        <v>0</v>
      </c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  <c r="P9" s="185"/>
    </row>
    <row r="10" spans="1:16" ht="27.9" customHeight="1">
      <c r="A10" s="94" t="s">
        <v>179</v>
      </c>
      <c r="B10" s="38" t="s">
        <v>188</v>
      </c>
      <c r="C10" s="38" t="s">
        <v>184</v>
      </c>
      <c r="D10" s="95">
        <v>56</v>
      </c>
      <c r="E10" s="96">
        <v>437000</v>
      </c>
      <c r="F10" s="99">
        <f t="shared" si="0"/>
        <v>469.5</v>
      </c>
      <c r="G10" s="97">
        <f t="shared" si="0"/>
        <v>205171500</v>
      </c>
      <c r="H10" s="99">
        <v>385.5</v>
      </c>
      <c r="I10" s="94">
        <v>168463500</v>
      </c>
      <c r="J10" s="99">
        <f>$D10*'DIA-INCH'!$C10</f>
        <v>84</v>
      </c>
      <c r="K10" s="97">
        <f t="shared" si="1"/>
        <v>36708000</v>
      </c>
      <c r="L10" s="99">
        <f t="shared" si="2"/>
        <v>469.5</v>
      </c>
      <c r="M10" s="97">
        <f t="shared" si="2"/>
        <v>205171500</v>
      </c>
      <c r="P10" s="185"/>
    </row>
    <row r="11" spans="1:16" ht="27.9" customHeight="1">
      <c r="A11" s="94" t="s">
        <v>179</v>
      </c>
      <c r="B11" s="38" t="s">
        <v>189</v>
      </c>
      <c r="C11" s="38" t="s">
        <v>184</v>
      </c>
      <c r="D11" s="95">
        <v>79</v>
      </c>
      <c r="E11" s="96">
        <v>437000</v>
      </c>
      <c r="F11" s="99">
        <f t="shared" si="0"/>
        <v>1058</v>
      </c>
      <c r="G11" s="97">
        <f t="shared" si="0"/>
        <v>462346000</v>
      </c>
      <c r="H11" s="99">
        <v>900</v>
      </c>
      <c r="I11" s="94">
        <v>393300000</v>
      </c>
      <c r="J11" s="99">
        <f>$D11*'DIA-INCH'!$C11</f>
        <v>158</v>
      </c>
      <c r="K11" s="97">
        <f t="shared" si="1"/>
        <v>69046000</v>
      </c>
      <c r="L11" s="99">
        <f t="shared" si="2"/>
        <v>1058</v>
      </c>
      <c r="M11" s="97">
        <f t="shared" si="2"/>
        <v>462346000</v>
      </c>
      <c r="P11" s="185"/>
    </row>
    <row r="12" spans="1:16" ht="27.9" customHeight="1">
      <c r="A12" s="94" t="s">
        <v>182</v>
      </c>
      <c r="B12" s="38" t="s">
        <v>190</v>
      </c>
      <c r="C12" s="38" t="s">
        <v>181</v>
      </c>
      <c r="D12" s="95">
        <v>27</v>
      </c>
      <c r="E12" s="96">
        <v>437000</v>
      </c>
      <c r="F12" s="99">
        <f t="shared" si="0"/>
        <v>757.5</v>
      </c>
      <c r="G12" s="97">
        <f t="shared" si="0"/>
        <v>331027500</v>
      </c>
      <c r="H12" s="99">
        <v>690</v>
      </c>
      <c r="I12" s="94">
        <v>301530000</v>
      </c>
      <c r="J12" s="99">
        <f>$D12*'DIA-INCH'!$C12</f>
        <v>67.5</v>
      </c>
      <c r="K12" s="97">
        <f t="shared" si="1"/>
        <v>29497500</v>
      </c>
      <c r="L12" s="99">
        <f t="shared" si="2"/>
        <v>757.5</v>
      </c>
      <c r="M12" s="97">
        <f t="shared" si="2"/>
        <v>331027500</v>
      </c>
      <c r="P12" s="185"/>
    </row>
    <row r="13" spans="1:16" ht="27.9" customHeight="1">
      <c r="A13" s="94" t="s">
        <v>179</v>
      </c>
      <c r="B13" s="38" t="s">
        <v>191</v>
      </c>
      <c r="C13" s="38" t="s">
        <v>181</v>
      </c>
      <c r="D13" s="95">
        <v>5</v>
      </c>
      <c r="E13" s="96">
        <v>437000</v>
      </c>
      <c r="F13" s="99">
        <f t="shared" si="0"/>
        <v>639</v>
      </c>
      <c r="G13" s="97">
        <f t="shared" si="0"/>
        <v>279243000</v>
      </c>
      <c r="H13" s="99">
        <v>624</v>
      </c>
      <c r="I13" s="94">
        <v>272688000</v>
      </c>
      <c r="J13" s="99">
        <f>$D13*'DIA-INCH'!$C13</f>
        <v>15</v>
      </c>
      <c r="K13" s="97">
        <f t="shared" si="1"/>
        <v>6555000</v>
      </c>
      <c r="L13" s="99">
        <f t="shared" si="2"/>
        <v>639</v>
      </c>
      <c r="M13" s="97">
        <f t="shared" si="2"/>
        <v>279243000</v>
      </c>
      <c r="P13" s="185"/>
    </row>
    <row r="14" spans="1:16" ht="27.9" customHeight="1">
      <c r="A14" s="94" t="s">
        <v>192</v>
      </c>
      <c r="B14" s="38" t="s">
        <v>193</v>
      </c>
      <c r="C14" s="38" t="s">
        <v>181</v>
      </c>
      <c r="D14" s="95">
        <v>0</v>
      </c>
      <c r="E14" s="96">
        <v>437000</v>
      </c>
      <c r="F14" s="99">
        <f t="shared" si="0"/>
        <v>1292</v>
      </c>
      <c r="G14" s="97">
        <f t="shared" si="0"/>
        <v>564604000</v>
      </c>
      <c r="H14" s="99">
        <v>1292</v>
      </c>
      <c r="I14" s="94">
        <v>564604000</v>
      </c>
      <c r="J14" s="99">
        <f>$D14*'DIA-INCH'!$C14</f>
        <v>0</v>
      </c>
      <c r="K14" s="97">
        <f t="shared" si="1"/>
        <v>0</v>
      </c>
      <c r="L14" s="99">
        <f t="shared" si="2"/>
        <v>1292</v>
      </c>
      <c r="M14" s="97">
        <f t="shared" si="2"/>
        <v>564604000</v>
      </c>
      <c r="P14" s="185"/>
    </row>
    <row r="15" spans="1:16" ht="27.9" hidden="1" customHeight="1">
      <c r="A15" s="94" t="s">
        <v>179</v>
      </c>
      <c r="B15" s="38" t="s">
        <v>194</v>
      </c>
      <c r="C15" s="38" t="s">
        <v>184</v>
      </c>
      <c r="D15" s="95">
        <v>0</v>
      </c>
      <c r="E15" s="96">
        <v>437000</v>
      </c>
      <c r="F15" s="99">
        <f t="shared" si="0"/>
        <v>0</v>
      </c>
      <c r="G15" s="97">
        <f t="shared" si="0"/>
        <v>0</v>
      </c>
      <c r="H15" s="99">
        <v>0</v>
      </c>
      <c r="I15" s="94">
        <v>0</v>
      </c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  <c r="P15" s="185"/>
    </row>
    <row r="16" spans="1:16" ht="27.9" customHeight="1">
      <c r="A16" s="94" t="s">
        <v>182</v>
      </c>
      <c r="B16" s="38" t="s">
        <v>195</v>
      </c>
      <c r="C16" s="38" t="s">
        <v>181</v>
      </c>
      <c r="D16" s="95">
        <v>38</v>
      </c>
      <c r="E16" s="96">
        <v>437000</v>
      </c>
      <c r="F16" s="99">
        <f t="shared" si="0"/>
        <v>2930</v>
      </c>
      <c r="G16" s="97">
        <f t="shared" si="0"/>
        <v>1280410000</v>
      </c>
      <c r="H16" s="99">
        <v>2740</v>
      </c>
      <c r="I16" s="94">
        <v>1197380000</v>
      </c>
      <c r="J16" s="99">
        <f>$D16*'DIA-INCH'!$C16</f>
        <v>190</v>
      </c>
      <c r="K16" s="97">
        <f t="shared" si="1"/>
        <v>83030000</v>
      </c>
      <c r="L16" s="99">
        <f t="shared" si="2"/>
        <v>2930</v>
      </c>
      <c r="M16" s="97">
        <f t="shared" si="2"/>
        <v>1280410000</v>
      </c>
      <c r="P16" s="185"/>
    </row>
    <row r="17" spans="1:17" ht="27.9" customHeight="1">
      <c r="A17" s="94" t="s">
        <v>182</v>
      </c>
      <c r="B17" s="38" t="s">
        <v>196</v>
      </c>
      <c r="C17" s="38" t="s">
        <v>181</v>
      </c>
      <c r="D17" s="95">
        <v>0</v>
      </c>
      <c r="E17" s="96">
        <v>437000</v>
      </c>
      <c r="F17" s="99">
        <f t="shared" si="0"/>
        <v>138</v>
      </c>
      <c r="G17" s="97">
        <f t="shared" si="0"/>
        <v>60306000</v>
      </c>
      <c r="H17" s="99">
        <v>138</v>
      </c>
      <c r="I17" s="94">
        <v>60306000</v>
      </c>
      <c r="J17" s="99">
        <f>$D17*'DIA-INCH'!$C17</f>
        <v>0</v>
      </c>
      <c r="K17" s="97">
        <f t="shared" si="1"/>
        <v>0</v>
      </c>
      <c r="L17" s="99">
        <f t="shared" si="2"/>
        <v>138</v>
      </c>
      <c r="M17" s="97">
        <f t="shared" si="2"/>
        <v>60306000</v>
      </c>
      <c r="P17" s="185"/>
    </row>
    <row r="18" spans="1:17" ht="27.9" hidden="1" customHeight="1">
      <c r="A18" s="94" t="s">
        <v>182</v>
      </c>
      <c r="B18" s="38" t="s">
        <v>197</v>
      </c>
      <c r="C18" s="38" t="s">
        <v>181</v>
      </c>
      <c r="D18" s="95">
        <v>0</v>
      </c>
      <c r="E18" s="96">
        <v>437000</v>
      </c>
      <c r="F18" s="99">
        <f t="shared" si="0"/>
        <v>0</v>
      </c>
      <c r="G18" s="97">
        <f t="shared" si="0"/>
        <v>0</v>
      </c>
      <c r="H18" s="99">
        <v>0</v>
      </c>
      <c r="I18" s="94">
        <v>0</v>
      </c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  <c r="P18" s="185"/>
    </row>
    <row r="19" spans="1:17" ht="27.9" customHeight="1">
      <c r="A19" s="94" t="s">
        <v>182</v>
      </c>
      <c r="B19" s="38" t="s">
        <v>198</v>
      </c>
      <c r="C19" s="38" t="s">
        <v>181</v>
      </c>
      <c r="D19" s="95">
        <v>0</v>
      </c>
      <c r="E19" s="96">
        <v>437000</v>
      </c>
      <c r="F19" s="99">
        <f t="shared" si="0"/>
        <v>888</v>
      </c>
      <c r="G19" s="97">
        <f t="shared" si="0"/>
        <v>388056000</v>
      </c>
      <c r="H19" s="99">
        <v>888</v>
      </c>
      <c r="I19" s="94">
        <v>388056000</v>
      </c>
      <c r="J19" s="99">
        <f>$D19*'DIA-INCH'!$C19</f>
        <v>0</v>
      </c>
      <c r="K19" s="97">
        <f t="shared" si="1"/>
        <v>0</v>
      </c>
      <c r="L19" s="99">
        <f t="shared" si="2"/>
        <v>888</v>
      </c>
      <c r="M19" s="97">
        <f t="shared" si="2"/>
        <v>388056000</v>
      </c>
      <c r="P19" s="185"/>
    </row>
    <row r="20" spans="1:17" ht="27.9" hidden="1" customHeight="1">
      <c r="A20" s="94" t="s">
        <v>179</v>
      </c>
      <c r="B20" s="38" t="s">
        <v>199</v>
      </c>
      <c r="C20" s="38" t="s">
        <v>184</v>
      </c>
      <c r="D20" s="95">
        <v>0</v>
      </c>
      <c r="E20" s="96">
        <v>437000</v>
      </c>
      <c r="F20" s="99">
        <f t="shared" si="0"/>
        <v>0</v>
      </c>
      <c r="G20" s="97">
        <f t="shared" si="0"/>
        <v>0</v>
      </c>
      <c r="H20" s="99">
        <v>0</v>
      </c>
      <c r="I20" s="94">
        <v>0</v>
      </c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  <c r="P20" s="185"/>
    </row>
    <row r="21" spans="1:17" ht="27.9" customHeight="1">
      <c r="A21" s="94" t="s">
        <v>179</v>
      </c>
      <c r="B21" s="38" t="s">
        <v>200</v>
      </c>
      <c r="C21" s="38" t="s">
        <v>201</v>
      </c>
      <c r="D21" s="95">
        <v>0</v>
      </c>
      <c r="E21" s="96">
        <v>437000</v>
      </c>
      <c r="F21" s="99">
        <f t="shared" si="0"/>
        <v>1030</v>
      </c>
      <c r="G21" s="97">
        <f t="shared" si="0"/>
        <v>450110000</v>
      </c>
      <c r="H21" s="99">
        <v>1030</v>
      </c>
      <c r="I21" s="94">
        <v>450110000</v>
      </c>
      <c r="J21" s="99">
        <f>$D21*'DIA-INCH'!$C21</f>
        <v>0</v>
      </c>
      <c r="K21" s="97">
        <f t="shared" si="1"/>
        <v>0</v>
      </c>
      <c r="L21" s="99">
        <f t="shared" si="2"/>
        <v>1030</v>
      </c>
      <c r="M21" s="97">
        <f t="shared" si="2"/>
        <v>450110000</v>
      </c>
      <c r="P21" s="185"/>
    </row>
    <row r="22" spans="1:17" ht="27.9" customHeight="1">
      <c r="A22" s="94" t="s">
        <v>182</v>
      </c>
      <c r="B22" s="38" t="s">
        <v>202</v>
      </c>
      <c r="C22" s="38" t="s">
        <v>203</v>
      </c>
      <c r="D22" s="95">
        <v>0</v>
      </c>
      <c r="E22" s="96">
        <v>437000</v>
      </c>
      <c r="F22" s="99">
        <f t="shared" si="0"/>
        <v>2172</v>
      </c>
      <c r="G22" s="97">
        <f t="shared" si="0"/>
        <v>949164000</v>
      </c>
      <c r="H22" s="99">
        <v>2172</v>
      </c>
      <c r="I22" s="94">
        <v>949164000</v>
      </c>
      <c r="J22" s="99">
        <f>$D22*'DIA-INCH'!$C22</f>
        <v>0</v>
      </c>
      <c r="K22" s="97">
        <f t="shared" si="1"/>
        <v>0</v>
      </c>
      <c r="L22" s="99">
        <f t="shared" si="2"/>
        <v>2172</v>
      </c>
      <c r="M22" s="97">
        <f t="shared" si="2"/>
        <v>949164000</v>
      </c>
      <c r="P22" s="185"/>
    </row>
    <row r="23" spans="1:17" ht="27.9" hidden="1" customHeight="1">
      <c r="A23" s="94" t="s">
        <v>204</v>
      </c>
      <c r="B23" s="38" t="s">
        <v>205</v>
      </c>
      <c r="C23" s="38" t="s">
        <v>181</v>
      </c>
      <c r="D23" s="95">
        <v>0</v>
      </c>
      <c r="E23" s="96">
        <v>437000</v>
      </c>
      <c r="F23" s="99">
        <f t="shared" si="0"/>
        <v>0</v>
      </c>
      <c r="G23" s="97">
        <f t="shared" si="0"/>
        <v>0</v>
      </c>
      <c r="H23" s="99">
        <v>0</v>
      </c>
      <c r="I23" s="94">
        <v>0</v>
      </c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7" ht="27.9" hidden="1" customHeight="1">
      <c r="A24" s="94" t="s">
        <v>179</v>
      </c>
      <c r="B24" s="38" t="s">
        <v>206</v>
      </c>
      <c r="C24" s="38" t="s">
        <v>184</v>
      </c>
      <c r="D24" s="95">
        <v>0</v>
      </c>
      <c r="E24" s="96">
        <v>437000</v>
      </c>
      <c r="F24" s="99">
        <f t="shared" si="0"/>
        <v>0</v>
      </c>
      <c r="G24" s="97">
        <f t="shared" si="0"/>
        <v>0</v>
      </c>
      <c r="H24" s="99">
        <v>0</v>
      </c>
      <c r="I24" s="94">
        <v>0</v>
      </c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7" ht="27.9" hidden="1" customHeight="1">
      <c r="A25" s="94" t="s">
        <v>192</v>
      </c>
      <c r="B25" s="38" t="s">
        <v>207</v>
      </c>
      <c r="C25" s="38" t="s">
        <v>208</v>
      </c>
      <c r="D25" s="95">
        <v>0</v>
      </c>
      <c r="E25" s="96">
        <v>437000</v>
      </c>
      <c r="F25" s="99">
        <f t="shared" si="0"/>
        <v>0</v>
      </c>
      <c r="G25" s="97">
        <f t="shared" si="0"/>
        <v>0</v>
      </c>
      <c r="H25" s="99">
        <v>0</v>
      </c>
      <c r="I25" s="94">
        <v>0</v>
      </c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7" ht="27.9" hidden="1" customHeight="1">
      <c r="A26" s="94" t="s">
        <v>182</v>
      </c>
      <c r="B26" s="38" t="s">
        <v>209</v>
      </c>
      <c r="C26" s="38" t="s">
        <v>181</v>
      </c>
      <c r="D26" s="95">
        <v>0</v>
      </c>
      <c r="E26" s="96">
        <v>437000</v>
      </c>
      <c r="F26" s="99">
        <f t="shared" si="0"/>
        <v>0</v>
      </c>
      <c r="G26" s="97">
        <f t="shared" si="0"/>
        <v>0</v>
      </c>
      <c r="H26" s="99">
        <v>0</v>
      </c>
      <c r="I26" s="94">
        <v>0</v>
      </c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7" ht="27.9" hidden="1" customHeight="1">
      <c r="A27" s="94" t="s">
        <v>192</v>
      </c>
      <c r="B27" s="38" t="s">
        <v>210</v>
      </c>
      <c r="C27" s="38" t="s">
        <v>181</v>
      </c>
      <c r="D27" s="95">
        <v>0</v>
      </c>
      <c r="E27" s="96">
        <v>437000</v>
      </c>
      <c r="F27" s="99">
        <f t="shared" si="0"/>
        <v>0</v>
      </c>
      <c r="G27" s="97">
        <f t="shared" si="0"/>
        <v>0</v>
      </c>
      <c r="H27" s="99">
        <v>0</v>
      </c>
      <c r="I27" s="94">
        <v>0</v>
      </c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7" ht="27.9" hidden="1" customHeight="1">
      <c r="A28" s="94" t="s">
        <v>211</v>
      </c>
      <c r="B28" s="38" t="s">
        <v>180</v>
      </c>
      <c r="C28" s="38" t="s">
        <v>212</v>
      </c>
      <c r="D28" s="95">
        <v>0</v>
      </c>
      <c r="E28" s="96">
        <f>$E$31*'DIA-INCH'!$C5</f>
        <v>21875</v>
      </c>
      <c r="F28" s="97">
        <f t="shared" si="0"/>
        <v>0</v>
      </c>
      <c r="G28" s="97">
        <f t="shared" si="0"/>
        <v>0</v>
      </c>
      <c r="H28" s="94">
        <v>0</v>
      </c>
      <c r="I28" s="94">
        <v>0</v>
      </c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7" ht="27.9" hidden="1" customHeight="1">
      <c r="A29" s="94" t="s">
        <v>213</v>
      </c>
      <c r="B29" s="38" t="s">
        <v>183</v>
      </c>
      <c r="C29" s="38" t="s">
        <v>212</v>
      </c>
      <c r="D29" s="95">
        <v>0</v>
      </c>
      <c r="E29" s="96">
        <f>$E$31*'DIA-INCH'!$C6</f>
        <v>43750</v>
      </c>
      <c r="F29" s="97">
        <f t="shared" si="0"/>
        <v>0</v>
      </c>
      <c r="G29" s="97">
        <f t="shared" si="0"/>
        <v>0</v>
      </c>
      <c r="H29" s="94">
        <v>0</v>
      </c>
      <c r="I29" s="94">
        <v>0</v>
      </c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7" ht="27.9" hidden="1" customHeight="1">
      <c r="A30" s="94" t="s">
        <v>214</v>
      </c>
      <c r="B30" s="38" t="s">
        <v>185</v>
      </c>
      <c r="C30" s="38" t="s">
        <v>212</v>
      </c>
      <c r="D30" s="95">
        <v>0</v>
      </c>
      <c r="E30" s="96">
        <f>$E$31*'DIA-INCH'!$C7</f>
        <v>65625</v>
      </c>
      <c r="F30" s="97">
        <f t="shared" si="0"/>
        <v>0</v>
      </c>
      <c r="G30" s="97">
        <f t="shared" si="0"/>
        <v>0</v>
      </c>
      <c r="H30" s="94">
        <v>0</v>
      </c>
      <c r="I30" s="94">
        <v>0</v>
      </c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7" ht="27.9" customHeight="1">
      <c r="A31" s="94" t="s">
        <v>215</v>
      </c>
      <c r="B31" s="38" t="s">
        <v>186</v>
      </c>
      <c r="C31" s="38" t="s">
        <v>216</v>
      </c>
      <c r="D31" s="95">
        <v>35</v>
      </c>
      <c r="E31" s="96">
        <v>87500</v>
      </c>
      <c r="F31" s="97">
        <f t="shared" si="0"/>
        <v>165</v>
      </c>
      <c r="G31" s="97">
        <f t="shared" si="0"/>
        <v>14437500</v>
      </c>
      <c r="H31" s="94">
        <v>130</v>
      </c>
      <c r="I31" s="94">
        <v>11375000</v>
      </c>
      <c r="J31" s="352">
        <f t="shared" si="3"/>
        <v>35</v>
      </c>
      <c r="K31" s="97">
        <f t="shared" si="4"/>
        <v>3062500</v>
      </c>
      <c r="L31" s="97">
        <f t="shared" si="2"/>
        <v>165</v>
      </c>
      <c r="M31" s="97">
        <f t="shared" si="2"/>
        <v>14437500</v>
      </c>
      <c r="N31" s="353">
        <v>1</v>
      </c>
      <c r="O31" s="354">
        <f t="shared" ref="O31:O43" si="5">+N31*J31</f>
        <v>35</v>
      </c>
    </row>
    <row r="32" spans="1:17" ht="27.9" customHeight="1">
      <c r="A32" s="94" t="s">
        <v>215</v>
      </c>
      <c r="B32" s="38" t="s">
        <v>187</v>
      </c>
      <c r="C32" s="38" t="s">
        <v>212</v>
      </c>
      <c r="D32" s="95">
        <v>6</v>
      </c>
      <c r="E32" s="96">
        <f>$E$31*'DIA-INCH'!$C9</f>
        <v>109375</v>
      </c>
      <c r="F32" s="97">
        <f t="shared" si="0"/>
        <v>90</v>
      </c>
      <c r="G32" s="97">
        <f t="shared" si="0"/>
        <v>9843750</v>
      </c>
      <c r="H32" s="94">
        <v>84</v>
      </c>
      <c r="I32" s="94">
        <v>9187500</v>
      </c>
      <c r="J32" s="352">
        <f t="shared" si="3"/>
        <v>6</v>
      </c>
      <c r="K32" s="97">
        <f t="shared" si="4"/>
        <v>656250</v>
      </c>
      <c r="L32" s="97">
        <f t="shared" si="2"/>
        <v>90</v>
      </c>
      <c r="M32" s="97">
        <f t="shared" si="2"/>
        <v>9843750</v>
      </c>
      <c r="N32" s="353">
        <v>1.25</v>
      </c>
      <c r="O32" s="354">
        <f t="shared" si="5"/>
        <v>7.5</v>
      </c>
      <c r="Q32">
        <f>32/25</f>
        <v>1.28</v>
      </c>
    </row>
    <row r="33" spans="1:15" ht="27.9" customHeight="1">
      <c r="A33" s="94" t="s">
        <v>215</v>
      </c>
      <c r="B33" s="38" t="s">
        <v>188</v>
      </c>
      <c r="C33" s="38" t="s">
        <v>124</v>
      </c>
      <c r="D33" s="95">
        <v>11</v>
      </c>
      <c r="E33" s="96">
        <f>$E$31*'DIA-INCH'!$C10</f>
        <v>131250</v>
      </c>
      <c r="F33" s="97">
        <f t="shared" si="0"/>
        <v>33</v>
      </c>
      <c r="G33" s="97">
        <f t="shared" si="0"/>
        <v>4331250</v>
      </c>
      <c r="H33" s="94">
        <v>22</v>
      </c>
      <c r="I33" s="94">
        <v>2887500</v>
      </c>
      <c r="J33" s="352">
        <f t="shared" si="3"/>
        <v>11</v>
      </c>
      <c r="K33" s="97">
        <f t="shared" si="4"/>
        <v>1443750</v>
      </c>
      <c r="L33" s="97">
        <f t="shared" si="2"/>
        <v>33</v>
      </c>
      <c r="M33" s="97">
        <f t="shared" si="2"/>
        <v>4331250</v>
      </c>
      <c r="N33" s="353">
        <v>1.5</v>
      </c>
      <c r="O33" s="354">
        <f t="shared" si="5"/>
        <v>16.5</v>
      </c>
    </row>
    <row r="34" spans="1:15" ht="27.9" customHeight="1">
      <c r="A34" s="94" t="s">
        <v>215</v>
      </c>
      <c r="B34" s="38" t="s">
        <v>189</v>
      </c>
      <c r="C34" s="38" t="s">
        <v>212</v>
      </c>
      <c r="D34" s="95">
        <v>16</v>
      </c>
      <c r="E34" s="96">
        <f>$E$31*'DIA-INCH'!$C11</f>
        <v>175000</v>
      </c>
      <c r="F34" s="97">
        <f t="shared" si="0"/>
        <v>29</v>
      </c>
      <c r="G34" s="97">
        <f t="shared" si="0"/>
        <v>5075000</v>
      </c>
      <c r="H34" s="94">
        <v>13</v>
      </c>
      <c r="I34" s="94">
        <v>2275000</v>
      </c>
      <c r="J34" s="352">
        <f t="shared" si="3"/>
        <v>16</v>
      </c>
      <c r="K34" s="97">
        <f t="shared" si="4"/>
        <v>2800000</v>
      </c>
      <c r="L34" s="97">
        <f t="shared" si="2"/>
        <v>29</v>
      </c>
      <c r="M34" s="97">
        <f t="shared" si="2"/>
        <v>5075000</v>
      </c>
      <c r="N34" s="353">
        <v>2</v>
      </c>
      <c r="O34" s="354">
        <f t="shared" si="5"/>
        <v>32</v>
      </c>
    </row>
    <row r="35" spans="1:15" ht="27.9" customHeight="1">
      <c r="A35" s="94" t="s">
        <v>211</v>
      </c>
      <c r="B35" s="38" t="s">
        <v>190</v>
      </c>
      <c r="C35" s="38" t="s">
        <v>124</v>
      </c>
      <c r="D35" s="95">
        <v>1</v>
      </c>
      <c r="E35" s="96">
        <f>$E$31*'DIA-INCH'!$C12</f>
        <v>218750</v>
      </c>
      <c r="F35" s="97">
        <f t="shared" si="0"/>
        <v>10</v>
      </c>
      <c r="G35" s="97">
        <f t="shared" si="0"/>
        <v>2187500</v>
      </c>
      <c r="H35" s="94">
        <v>9</v>
      </c>
      <c r="I35" s="94">
        <v>1968750</v>
      </c>
      <c r="J35" s="352">
        <f t="shared" si="3"/>
        <v>1</v>
      </c>
      <c r="K35" s="97">
        <f t="shared" si="4"/>
        <v>218750</v>
      </c>
      <c r="L35" s="97">
        <f t="shared" si="2"/>
        <v>10</v>
      </c>
      <c r="M35" s="97">
        <f t="shared" si="2"/>
        <v>2187500</v>
      </c>
      <c r="N35" s="353">
        <v>2.5</v>
      </c>
      <c r="O35" s="354">
        <f t="shared" si="5"/>
        <v>2.5</v>
      </c>
    </row>
    <row r="36" spans="1:15" ht="27.9" customHeight="1">
      <c r="A36" s="94" t="s">
        <v>211</v>
      </c>
      <c r="B36" s="38" t="s">
        <v>191</v>
      </c>
      <c r="C36" s="38" t="s">
        <v>212</v>
      </c>
      <c r="D36" s="95">
        <v>27</v>
      </c>
      <c r="E36" s="96">
        <f>$E$31*'DIA-INCH'!$C13</f>
        <v>262500</v>
      </c>
      <c r="F36" s="97">
        <f t="shared" si="0"/>
        <v>34</v>
      </c>
      <c r="G36" s="97">
        <f t="shared" si="0"/>
        <v>8925000</v>
      </c>
      <c r="H36" s="94">
        <v>7</v>
      </c>
      <c r="I36" s="94">
        <v>1837500</v>
      </c>
      <c r="J36" s="352">
        <f t="shared" si="3"/>
        <v>27</v>
      </c>
      <c r="K36" s="97">
        <f t="shared" si="4"/>
        <v>7087500</v>
      </c>
      <c r="L36" s="97">
        <f t="shared" si="2"/>
        <v>34</v>
      </c>
      <c r="M36" s="97">
        <f t="shared" si="2"/>
        <v>8925000</v>
      </c>
      <c r="N36" s="353">
        <v>3</v>
      </c>
      <c r="O36" s="354">
        <f t="shared" si="5"/>
        <v>81</v>
      </c>
    </row>
    <row r="37" spans="1:15" ht="27.9" customHeight="1">
      <c r="A37" s="94" t="s">
        <v>213</v>
      </c>
      <c r="B37" s="38" t="s">
        <v>193</v>
      </c>
      <c r="C37" s="38" t="s">
        <v>212</v>
      </c>
      <c r="D37" s="95">
        <v>1</v>
      </c>
      <c r="E37" s="96">
        <f>$E$31*'DIA-INCH'!$C14</f>
        <v>350000</v>
      </c>
      <c r="F37" s="97">
        <f t="shared" si="0"/>
        <v>2</v>
      </c>
      <c r="G37" s="97">
        <f t="shared" si="0"/>
        <v>700000</v>
      </c>
      <c r="H37" s="94">
        <v>1</v>
      </c>
      <c r="I37" s="94">
        <v>350000</v>
      </c>
      <c r="J37" s="352">
        <f t="shared" si="3"/>
        <v>1</v>
      </c>
      <c r="K37" s="97">
        <f t="shared" si="4"/>
        <v>350000</v>
      </c>
      <c r="L37" s="97">
        <f t="shared" si="2"/>
        <v>2</v>
      </c>
      <c r="M37" s="97">
        <f t="shared" si="2"/>
        <v>700000</v>
      </c>
      <c r="N37" s="353">
        <v>4</v>
      </c>
      <c r="O37" s="354">
        <f t="shared" si="5"/>
        <v>4</v>
      </c>
    </row>
    <row r="38" spans="1:15" ht="27.9" hidden="1" customHeight="1">
      <c r="A38" s="94" t="s">
        <v>211</v>
      </c>
      <c r="B38" s="38" t="s">
        <v>194</v>
      </c>
      <c r="C38" s="38" t="s">
        <v>217</v>
      </c>
      <c r="D38" s="95">
        <v>0</v>
      </c>
      <c r="E38" s="96">
        <f>$E$31*'DIA-INCH'!$C15</f>
        <v>350000</v>
      </c>
      <c r="F38" s="97">
        <f t="shared" si="0"/>
        <v>0</v>
      </c>
      <c r="G38" s="97">
        <f t="shared" si="0"/>
        <v>0</v>
      </c>
      <c r="H38" s="94">
        <v>0</v>
      </c>
      <c r="I38" s="94">
        <v>0</v>
      </c>
      <c r="J38" s="352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  <c r="N38" s="353"/>
      <c r="O38" s="354">
        <f t="shared" si="5"/>
        <v>0</v>
      </c>
    </row>
    <row r="39" spans="1:15" ht="27.9" customHeight="1">
      <c r="A39" s="94" t="s">
        <v>211</v>
      </c>
      <c r="B39" s="38" t="s">
        <v>195</v>
      </c>
      <c r="C39" s="38" t="s">
        <v>218</v>
      </c>
      <c r="D39" s="95">
        <v>15</v>
      </c>
      <c r="E39" s="96">
        <f>$E$31*'DIA-INCH'!$C16</f>
        <v>437500</v>
      </c>
      <c r="F39" s="97">
        <f t="shared" si="0"/>
        <v>43</v>
      </c>
      <c r="G39" s="97">
        <f t="shared" si="0"/>
        <v>18812500</v>
      </c>
      <c r="H39" s="94">
        <v>28</v>
      </c>
      <c r="I39" s="94">
        <v>12250000</v>
      </c>
      <c r="J39" s="352">
        <f t="shared" si="3"/>
        <v>15</v>
      </c>
      <c r="K39" s="97">
        <f t="shared" si="4"/>
        <v>6562500</v>
      </c>
      <c r="L39" s="97">
        <f t="shared" si="2"/>
        <v>43</v>
      </c>
      <c r="M39" s="97">
        <f t="shared" si="2"/>
        <v>18812500</v>
      </c>
      <c r="N39" s="353">
        <v>5</v>
      </c>
      <c r="O39" s="354">
        <f t="shared" si="5"/>
        <v>75</v>
      </c>
    </row>
    <row r="40" spans="1:15" ht="27.9" customHeight="1">
      <c r="A40" s="94" t="s">
        <v>211</v>
      </c>
      <c r="B40" s="38" t="s">
        <v>196</v>
      </c>
      <c r="C40" s="38" t="s">
        <v>212</v>
      </c>
      <c r="D40" s="95">
        <v>0</v>
      </c>
      <c r="E40" s="96">
        <f>$E$31*'DIA-INCH'!$C17</f>
        <v>525000</v>
      </c>
      <c r="F40" s="97">
        <f t="shared" si="0"/>
        <v>1</v>
      </c>
      <c r="G40" s="97">
        <f t="shared" si="0"/>
        <v>525000</v>
      </c>
      <c r="H40" s="94">
        <v>1</v>
      </c>
      <c r="I40" s="94">
        <v>525000</v>
      </c>
      <c r="J40" s="352">
        <f t="shared" si="3"/>
        <v>0</v>
      </c>
      <c r="K40" s="97">
        <f t="shared" si="4"/>
        <v>0</v>
      </c>
      <c r="L40" s="97">
        <f t="shared" si="2"/>
        <v>1</v>
      </c>
      <c r="M40" s="97">
        <f t="shared" si="2"/>
        <v>525000</v>
      </c>
      <c r="N40" s="353">
        <v>6</v>
      </c>
      <c r="O40" s="354">
        <f t="shared" si="5"/>
        <v>0</v>
      </c>
    </row>
    <row r="41" spans="1:15" ht="27.9" hidden="1" customHeight="1">
      <c r="A41" s="94" t="s">
        <v>211</v>
      </c>
      <c r="B41" s="38" t="s">
        <v>197</v>
      </c>
      <c r="C41" s="38" t="s">
        <v>124</v>
      </c>
      <c r="D41" s="95">
        <v>0</v>
      </c>
      <c r="E41" s="96">
        <f>$E$31*'DIA-INCH'!$C18</f>
        <v>612500</v>
      </c>
      <c r="F41" s="97">
        <f t="shared" si="0"/>
        <v>0</v>
      </c>
      <c r="G41" s="97">
        <f t="shared" si="0"/>
        <v>0</v>
      </c>
      <c r="H41" s="94">
        <v>0</v>
      </c>
      <c r="I41" s="94">
        <v>0</v>
      </c>
      <c r="J41" s="352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  <c r="N41" s="353"/>
      <c r="O41" s="354">
        <f t="shared" si="5"/>
        <v>0</v>
      </c>
    </row>
    <row r="42" spans="1:15" ht="27.9" customHeight="1">
      <c r="A42" s="94" t="s">
        <v>211</v>
      </c>
      <c r="B42" s="38" t="s">
        <v>198</v>
      </c>
      <c r="C42" s="38" t="s">
        <v>212</v>
      </c>
      <c r="D42" s="95">
        <v>0</v>
      </c>
      <c r="E42" s="96">
        <f>$E$31*'DIA-INCH'!$C19</f>
        <v>700000</v>
      </c>
      <c r="F42" s="97">
        <f t="shared" si="0"/>
        <v>1</v>
      </c>
      <c r="G42" s="97">
        <f t="shared" si="0"/>
        <v>700000</v>
      </c>
      <c r="H42" s="94">
        <v>1</v>
      </c>
      <c r="I42" s="94">
        <v>700000</v>
      </c>
      <c r="J42" s="352">
        <f t="shared" si="3"/>
        <v>0</v>
      </c>
      <c r="K42" s="97">
        <f t="shared" si="4"/>
        <v>0</v>
      </c>
      <c r="L42" s="97">
        <f t="shared" si="2"/>
        <v>1</v>
      </c>
      <c r="M42" s="97">
        <f t="shared" si="2"/>
        <v>700000</v>
      </c>
      <c r="N42" s="353">
        <v>8</v>
      </c>
      <c r="O42" s="354">
        <f t="shared" si="5"/>
        <v>0</v>
      </c>
    </row>
    <row r="43" spans="1:15" ht="27.9" hidden="1" customHeight="1">
      <c r="A43" s="94" t="s">
        <v>211</v>
      </c>
      <c r="B43" s="38" t="s">
        <v>199</v>
      </c>
      <c r="C43" s="38" t="s">
        <v>212</v>
      </c>
      <c r="D43" s="95">
        <v>0</v>
      </c>
      <c r="E43" s="96">
        <f>$E$31*'DIA-INCH'!$C20</f>
        <v>787500</v>
      </c>
      <c r="F43" s="97">
        <f t="shared" si="0"/>
        <v>0</v>
      </c>
      <c r="G43" s="97">
        <f t="shared" si="0"/>
        <v>0</v>
      </c>
      <c r="H43" s="94">
        <v>0</v>
      </c>
      <c r="I43" s="94">
        <v>0</v>
      </c>
      <c r="J43" s="352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  <c r="N43" s="353"/>
      <c r="O43" s="354">
        <f t="shared" si="5"/>
        <v>0</v>
      </c>
    </row>
    <row r="44" spans="1:15" ht="27.9" customHeight="1">
      <c r="A44" s="94" t="s">
        <v>211</v>
      </c>
      <c r="B44" s="38" t="s">
        <v>200</v>
      </c>
      <c r="C44" s="38" t="s">
        <v>124</v>
      </c>
      <c r="D44" s="95">
        <v>1</v>
      </c>
      <c r="E44" s="96">
        <f>$E$31*'DIA-INCH'!$C21</f>
        <v>875000</v>
      </c>
      <c r="F44" s="97">
        <f t="shared" si="0"/>
        <v>2</v>
      </c>
      <c r="G44" s="97">
        <f t="shared" si="0"/>
        <v>1750000</v>
      </c>
      <c r="H44" s="94">
        <v>1</v>
      </c>
      <c r="I44" s="94">
        <v>875000</v>
      </c>
      <c r="J44" s="352">
        <f t="shared" si="3"/>
        <v>1</v>
      </c>
      <c r="K44" s="97">
        <f t="shared" si="4"/>
        <v>875000</v>
      </c>
      <c r="L44" s="97">
        <f t="shared" si="2"/>
        <v>2</v>
      </c>
      <c r="M44" s="97">
        <f t="shared" si="2"/>
        <v>1750000</v>
      </c>
      <c r="N44" s="353">
        <v>10</v>
      </c>
      <c r="O44" s="354">
        <f>+N44*J44</f>
        <v>10</v>
      </c>
    </row>
    <row r="45" spans="1:15" ht="27.9" hidden="1" customHeight="1">
      <c r="A45" s="94" t="s">
        <v>213</v>
      </c>
      <c r="B45" s="38" t="s">
        <v>202</v>
      </c>
      <c r="C45" s="38" t="s">
        <v>124</v>
      </c>
      <c r="D45" s="95">
        <v>0</v>
      </c>
      <c r="E45" s="96">
        <f>$E$31*'DIA-INCH'!$C22</f>
        <v>1050000</v>
      </c>
      <c r="F45" s="97">
        <f t="shared" si="0"/>
        <v>0</v>
      </c>
      <c r="G45" s="97">
        <f t="shared" si="0"/>
        <v>0</v>
      </c>
      <c r="H45" s="94">
        <v>0</v>
      </c>
      <c r="I45" s="94">
        <v>0</v>
      </c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5" ht="27.9" hidden="1" customHeight="1">
      <c r="A46" s="94" t="s">
        <v>211</v>
      </c>
      <c r="B46" s="38" t="s">
        <v>205</v>
      </c>
      <c r="C46" s="38" t="s">
        <v>212</v>
      </c>
      <c r="D46" s="95">
        <v>0</v>
      </c>
      <c r="E46" s="96">
        <f>$E$31*'DIA-INCH'!$C23</f>
        <v>1225000</v>
      </c>
      <c r="F46" s="97">
        <f t="shared" si="0"/>
        <v>0</v>
      </c>
      <c r="G46" s="97">
        <f t="shared" si="0"/>
        <v>0</v>
      </c>
      <c r="H46" s="94">
        <v>0</v>
      </c>
      <c r="I46" s="94">
        <v>0</v>
      </c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5" ht="27.9" hidden="1" customHeight="1">
      <c r="A47" s="94" t="s">
        <v>211</v>
      </c>
      <c r="B47" s="38" t="s">
        <v>206</v>
      </c>
      <c r="C47" s="38" t="s">
        <v>217</v>
      </c>
      <c r="D47" s="95">
        <v>0</v>
      </c>
      <c r="E47" s="96">
        <f>$E$31*'DIA-INCH'!$C24</f>
        <v>1400000</v>
      </c>
      <c r="F47" s="97">
        <f t="shared" si="0"/>
        <v>0</v>
      </c>
      <c r="G47" s="97">
        <f t="shared" si="0"/>
        <v>0</v>
      </c>
      <c r="H47" s="94">
        <v>0</v>
      </c>
      <c r="I47" s="94">
        <v>0</v>
      </c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5" ht="27.9" hidden="1" customHeight="1">
      <c r="A48" s="94" t="s">
        <v>214</v>
      </c>
      <c r="B48" s="38" t="s">
        <v>207</v>
      </c>
      <c r="C48" s="38" t="s">
        <v>212</v>
      </c>
      <c r="D48" s="95">
        <v>0</v>
      </c>
      <c r="E48" s="96">
        <f>$E$31*'DIA-INCH'!$C25</f>
        <v>1575000</v>
      </c>
      <c r="F48" s="97">
        <f t="shared" si="0"/>
        <v>0</v>
      </c>
      <c r="G48" s="97">
        <f t="shared" si="0"/>
        <v>0</v>
      </c>
      <c r="H48" s="94">
        <v>0</v>
      </c>
      <c r="I48" s="94">
        <v>0</v>
      </c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" hidden="1" customHeight="1">
      <c r="A49" s="94" t="s">
        <v>211</v>
      </c>
      <c r="B49" s="38" t="s">
        <v>209</v>
      </c>
      <c r="C49" s="38" t="s">
        <v>212</v>
      </c>
      <c r="D49" s="95">
        <v>0</v>
      </c>
      <c r="E49" s="96">
        <f>$E$31*'DIA-INCH'!$C26</f>
        <v>1750000</v>
      </c>
      <c r="F49" s="97">
        <f t="shared" si="0"/>
        <v>0</v>
      </c>
      <c r="G49" s="97">
        <f t="shared" si="0"/>
        <v>0</v>
      </c>
      <c r="H49" s="94">
        <v>0</v>
      </c>
      <c r="I49" s="94">
        <v>0</v>
      </c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" hidden="1" customHeight="1">
      <c r="A50" s="94" t="s">
        <v>214</v>
      </c>
      <c r="B50" s="38" t="s">
        <v>210</v>
      </c>
      <c r="C50" s="38" t="s">
        <v>217</v>
      </c>
      <c r="D50" s="95">
        <v>0</v>
      </c>
      <c r="E50" s="96">
        <f>$E$31*'DIA-INCH'!$C27</f>
        <v>1925000</v>
      </c>
      <c r="F50" s="97">
        <f t="shared" si="0"/>
        <v>0</v>
      </c>
      <c r="G50" s="97">
        <f t="shared" si="0"/>
        <v>0</v>
      </c>
      <c r="H50" s="94">
        <v>0</v>
      </c>
      <c r="I50" s="94">
        <v>0</v>
      </c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" customHeight="1">
      <c r="A51" s="302" t="s">
        <v>219</v>
      </c>
      <c r="B51" s="303"/>
      <c r="C51" s="303"/>
      <c r="D51" s="303"/>
      <c r="E51" s="304"/>
      <c r="F51" s="150">
        <f>SUM(F5:F50)</f>
        <v>12840</v>
      </c>
      <c r="G51" s="98">
        <f t="shared" ref="G51:M51" si="6">SUM(G5:G50)</f>
        <v>5499197500</v>
      </c>
      <c r="H51" s="150">
        <f t="shared" si="6"/>
        <v>12060.5</v>
      </c>
      <c r="I51" s="98">
        <f t="shared" si="6"/>
        <v>5184880750</v>
      </c>
      <c r="J51" s="150">
        <f t="shared" si="6"/>
        <v>779.5</v>
      </c>
      <c r="K51" s="98">
        <f t="shared" si="6"/>
        <v>314316750</v>
      </c>
      <c r="L51" s="150">
        <f t="shared" si="6"/>
        <v>12840</v>
      </c>
      <c r="M51" s="98">
        <f t="shared" si="6"/>
        <v>5499197500</v>
      </c>
    </row>
    <row r="55" spans="1:13">
      <c r="G55" s="175"/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0" fitToHeight="0" orientation="landscape" r:id="rId1"/>
  <headerFooter>
    <oddFooter>&amp;C&amp;P/&amp;N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69"/>
  <sheetViews>
    <sheetView view="pageBreakPreview" topLeftCell="E16" zoomScale="60" zoomScaleNormal="70" workbookViewId="0">
      <selection activeCell="E29" sqref="E29"/>
    </sheetView>
  </sheetViews>
  <sheetFormatPr defaultRowHeight="17.399999999999999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9" width="7.59765625" style="100" customWidth="1"/>
    <col min="40" max="40" width="11.8984375" style="100" customWidth="1"/>
    <col min="41" max="41" width="15.8984375" style="137" bestFit="1" customWidth="1"/>
    <col min="42" max="42" width="18.19921875" style="139" bestFit="1" customWidth="1"/>
  </cols>
  <sheetData>
    <row r="1" spans="1:42" ht="32.1" customHeight="1">
      <c r="A1" s="314" t="s">
        <v>326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6"/>
      <c r="AH1" s="323" t="s">
        <v>220</v>
      </c>
      <c r="AI1" s="324"/>
      <c r="AJ1" s="324"/>
      <c r="AK1" s="324"/>
      <c r="AL1" s="325"/>
      <c r="AM1" s="326" t="str">
        <f>'용역청구서 표지'!$B$7</f>
        <v>P4 Ph4 GAS 1공구 마감공사</v>
      </c>
      <c r="AN1" s="327"/>
      <c r="AO1" s="327"/>
      <c r="AP1" s="328"/>
    </row>
    <row r="2" spans="1:42" ht="32.1" customHeight="1">
      <c r="A2" s="317"/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9"/>
      <c r="AH2" s="323" t="s">
        <v>221</v>
      </c>
      <c r="AI2" s="324"/>
      <c r="AJ2" s="324"/>
      <c r="AK2" s="324"/>
      <c r="AL2" s="325"/>
      <c r="AM2" s="326" t="s">
        <v>301</v>
      </c>
      <c r="AN2" s="327"/>
      <c r="AO2" s="327"/>
      <c r="AP2" s="328"/>
    </row>
    <row r="3" spans="1:42" ht="32.1" customHeight="1">
      <c r="A3" s="320"/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2"/>
      <c r="AH3" s="323" t="s">
        <v>222</v>
      </c>
      <c r="AI3" s="324"/>
      <c r="AJ3" s="324"/>
      <c r="AK3" s="324"/>
      <c r="AL3" s="325"/>
      <c r="AM3" s="326" t="str">
        <f>'용역청구서 표지'!$C$8</f>
        <v>S25-004</v>
      </c>
      <c r="AN3" s="327"/>
      <c r="AO3" s="327"/>
      <c r="AP3" s="328"/>
    </row>
    <row r="4" spans="1:42" ht="24.9" customHeight="1" thickBot="1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>
      <c r="A5" s="105" t="s">
        <v>223</v>
      </c>
      <c r="B5" s="106" t="s">
        <v>224</v>
      </c>
      <c r="C5" s="106" t="s">
        <v>225</v>
      </c>
      <c r="D5" s="106" t="s">
        <v>226</v>
      </c>
      <c r="E5" s="106" t="s">
        <v>227</v>
      </c>
      <c r="F5" s="106" t="s">
        <v>228</v>
      </c>
      <c r="G5" s="107" t="s">
        <v>229</v>
      </c>
      <c r="H5" s="108" t="s">
        <v>230</v>
      </c>
      <c r="I5" s="245">
        <v>1</v>
      </c>
      <c r="J5" s="186">
        <v>2</v>
      </c>
      <c r="K5" s="110">
        <v>3</v>
      </c>
      <c r="L5" s="186">
        <v>4</v>
      </c>
      <c r="M5" s="186">
        <v>5</v>
      </c>
      <c r="N5" s="110">
        <v>6</v>
      </c>
      <c r="O5" s="110">
        <v>7</v>
      </c>
      <c r="P5" s="186">
        <v>8</v>
      </c>
      <c r="Q5" s="186">
        <v>9</v>
      </c>
      <c r="R5" s="186">
        <v>10</v>
      </c>
      <c r="S5" s="186">
        <v>11</v>
      </c>
      <c r="T5" s="186">
        <v>12</v>
      </c>
      <c r="U5" s="109">
        <v>13</v>
      </c>
      <c r="V5" s="110">
        <v>14</v>
      </c>
      <c r="W5" s="186">
        <v>15</v>
      </c>
      <c r="X5" s="186">
        <v>16</v>
      </c>
      <c r="Y5" s="186">
        <v>17</v>
      </c>
      <c r="Z5" s="186">
        <v>18</v>
      </c>
      <c r="AA5" s="186">
        <v>19</v>
      </c>
      <c r="AB5" s="109">
        <v>20</v>
      </c>
      <c r="AC5" s="110">
        <v>21</v>
      </c>
      <c r="AD5" s="186">
        <v>22</v>
      </c>
      <c r="AE5" s="186">
        <v>23</v>
      </c>
      <c r="AF5" s="186">
        <v>24</v>
      </c>
      <c r="AG5" s="186">
        <v>25</v>
      </c>
      <c r="AH5" s="186">
        <v>26</v>
      </c>
      <c r="AI5" s="109">
        <v>27</v>
      </c>
      <c r="AJ5" s="110">
        <v>28</v>
      </c>
      <c r="AK5" s="186">
        <v>29</v>
      </c>
      <c r="AL5" s="186">
        <v>30</v>
      </c>
      <c r="AM5" s="246"/>
      <c r="AN5" s="111" t="s">
        <v>231</v>
      </c>
      <c r="AO5" s="106" t="s">
        <v>232</v>
      </c>
      <c r="AP5" s="112" t="s">
        <v>233</v>
      </c>
    </row>
    <row r="6" spans="1:42" ht="24.9" customHeight="1">
      <c r="A6" s="113">
        <v>1</v>
      </c>
      <c r="B6" s="114" t="s">
        <v>327</v>
      </c>
      <c r="C6" s="115" t="s">
        <v>328</v>
      </c>
      <c r="D6" s="115" t="s">
        <v>329</v>
      </c>
      <c r="E6" s="115" t="s">
        <v>330</v>
      </c>
      <c r="F6" s="116" t="s">
        <v>331</v>
      </c>
      <c r="G6" s="117" t="s">
        <v>327</v>
      </c>
      <c r="H6" s="118" t="s">
        <v>332</v>
      </c>
      <c r="I6" s="119">
        <v>2</v>
      </c>
      <c r="J6" s="119">
        <v>1.5</v>
      </c>
      <c r="K6" s="119">
        <v>1.5</v>
      </c>
      <c r="L6" s="119">
        <v>2</v>
      </c>
      <c r="M6" s="119">
        <v>2</v>
      </c>
      <c r="N6" s="119">
        <v>1.3125</v>
      </c>
      <c r="O6" s="119"/>
      <c r="P6" s="119">
        <v>2</v>
      </c>
      <c r="Q6" s="119">
        <v>2</v>
      </c>
      <c r="R6" s="119">
        <v>2</v>
      </c>
      <c r="S6" s="119">
        <v>1.875</v>
      </c>
      <c r="T6" s="119">
        <v>2</v>
      </c>
      <c r="U6" s="119">
        <v>0.875</v>
      </c>
      <c r="V6" s="119"/>
      <c r="W6" s="119">
        <v>1.5</v>
      </c>
      <c r="X6" s="119">
        <v>1.375</v>
      </c>
      <c r="Y6" s="119">
        <v>0.5</v>
      </c>
      <c r="Z6" s="119">
        <v>1.375</v>
      </c>
      <c r="AA6" s="119">
        <v>1.5</v>
      </c>
      <c r="AB6" s="119">
        <v>1</v>
      </c>
      <c r="AC6" s="119"/>
      <c r="AD6" s="119">
        <v>1</v>
      </c>
      <c r="AE6" s="119">
        <v>1</v>
      </c>
      <c r="AF6" s="119">
        <v>1.5</v>
      </c>
      <c r="AG6" s="119">
        <v>1.5</v>
      </c>
      <c r="AH6" s="119">
        <v>1</v>
      </c>
      <c r="AI6" s="119"/>
      <c r="AJ6" s="119"/>
      <c r="AK6" s="119">
        <v>1</v>
      </c>
      <c r="AL6" s="119">
        <v>1.5</v>
      </c>
      <c r="AM6" s="119"/>
      <c r="AN6" s="120">
        <f>SUM(I6:AM6)</f>
        <v>36.8125</v>
      </c>
      <c r="AO6" s="116">
        <v>200000</v>
      </c>
      <c r="AP6" s="121">
        <f>AN6*AO6</f>
        <v>7362500</v>
      </c>
    </row>
    <row r="7" spans="1:42" ht="24.9" customHeight="1">
      <c r="A7" s="122">
        <v>2</v>
      </c>
      <c r="B7" s="114" t="s">
        <v>333</v>
      </c>
      <c r="C7" s="115" t="s">
        <v>334</v>
      </c>
      <c r="D7" s="123" t="s">
        <v>335</v>
      </c>
      <c r="E7" s="115" t="s">
        <v>336</v>
      </c>
      <c r="F7" s="124" t="s">
        <v>337</v>
      </c>
      <c r="G7" s="117" t="s">
        <v>333</v>
      </c>
      <c r="H7" s="118" t="s">
        <v>338</v>
      </c>
      <c r="I7" s="119">
        <v>2</v>
      </c>
      <c r="J7" s="119">
        <v>2</v>
      </c>
      <c r="K7" s="119">
        <v>1.5</v>
      </c>
      <c r="L7" s="119">
        <v>2</v>
      </c>
      <c r="M7" s="119">
        <v>2</v>
      </c>
      <c r="N7" s="119">
        <v>1.5</v>
      </c>
      <c r="O7" s="119"/>
      <c r="P7" s="119">
        <v>2</v>
      </c>
      <c r="Q7" s="119">
        <v>2</v>
      </c>
      <c r="R7" s="119">
        <v>2</v>
      </c>
      <c r="S7" s="119">
        <v>2</v>
      </c>
      <c r="T7" s="119">
        <v>2</v>
      </c>
      <c r="U7" s="119">
        <v>1</v>
      </c>
      <c r="V7" s="119"/>
      <c r="W7" s="119">
        <v>1.5</v>
      </c>
      <c r="X7" s="119">
        <v>1.5</v>
      </c>
      <c r="Y7" s="119">
        <v>1</v>
      </c>
      <c r="Z7" s="119">
        <v>1.5</v>
      </c>
      <c r="AA7" s="119">
        <v>1.5</v>
      </c>
      <c r="AB7" s="119">
        <v>1</v>
      </c>
      <c r="AC7" s="119"/>
      <c r="AD7" s="119">
        <v>1</v>
      </c>
      <c r="AE7" s="119">
        <v>1</v>
      </c>
      <c r="AF7" s="119">
        <v>1.5</v>
      </c>
      <c r="AG7" s="119">
        <v>1.5</v>
      </c>
      <c r="AH7" s="119">
        <v>1</v>
      </c>
      <c r="AI7" s="119">
        <v>0.875</v>
      </c>
      <c r="AJ7" s="119"/>
      <c r="AK7" s="119">
        <v>1</v>
      </c>
      <c r="AL7" s="119">
        <v>1.5</v>
      </c>
      <c r="AM7" s="119"/>
      <c r="AN7" s="120">
        <f t="shared" ref="AN7:AN11" si="0">SUM(I7:AM7)</f>
        <v>39.375</v>
      </c>
      <c r="AO7" s="116">
        <v>170000</v>
      </c>
      <c r="AP7" s="121">
        <f t="shared" ref="AP7:AP11" si="1">AN7*AO7</f>
        <v>6693750</v>
      </c>
    </row>
    <row r="8" spans="1:42" ht="24.9" customHeight="1">
      <c r="A8" s="122">
        <v>3</v>
      </c>
      <c r="B8" s="114" t="s">
        <v>339</v>
      </c>
      <c r="C8" s="115" t="s">
        <v>340</v>
      </c>
      <c r="D8" s="125" t="s">
        <v>335</v>
      </c>
      <c r="E8" s="115" t="s">
        <v>341</v>
      </c>
      <c r="F8" s="124" t="s">
        <v>342</v>
      </c>
      <c r="G8" s="117" t="s">
        <v>339</v>
      </c>
      <c r="H8" s="118" t="s">
        <v>343</v>
      </c>
      <c r="I8" s="119">
        <v>2</v>
      </c>
      <c r="J8" s="119">
        <v>2</v>
      </c>
      <c r="K8" s="119">
        <v>1.5</v>
      </c>
      <c r="L8" s="119">
        <v>2</v>
      </c>
      <c r="M8" s="119">
        <v>2</v>
      </c>
      <c r="N8" s="119">
        <v>1.5</v>
      </c>
      <c r="O8" s="119"/>
      <c r="P8" s="119">
        <v>2</v>
      </c>
      <c r="Q8" s="119">
        <v>2</v>
      </c>
      <c r="R8" s="119">
        <v>2</v>
      </c>
      <c r="S8" s="119">
        <v>2</v>
      </c>
      <c r="T8" s="119">
        <v>2</v>
      </c>
      <c r="U8" s="119">
        <v>1</v>
      </c>
      <c r="V8" s="119"/>
      <c r="W8" s="119">
        <v>1.5</v>
      </c>
      <c r="X8" s="119">
        <v>1.5</v>
      </c>
      <c r="Y8" s="119">
        <v>1</v>
      </c>
      <c r="Z8" s="119">
        <v>1.5</v>
      </c>
      <c r="AA8" s="119">
        <v>1.5</v>
      </c>
      <c r="AB8" s="119">
        <v>1</v>
      </c>
      <c r="AC8" s="119"/>
      <c r="AD8" s="119">
        <v>1</v>
      </c>
      <c r="AE8" s="119">
        <v>1</v>
      </c>
      <c r="AF8" s="119">
        <v>1.5</v>
      </c>
      <c r="AG8" s="119">
        <v>1.5</v>
      </c>
      <c r="AH8" s="119">
        <v>1</v>
      </c>
      <c r="AI8" s="119"/>
      <c r="AJ8" s="119"/>
      <c r="AK8" s="119">
        <v>1</v>
      </c>
      <c r="AL8" s="119">
        <v>1.5</v>
      </c>
      <c r="AM8" s="119"/>
      <c r="AN8" s="120">
        <f t="shared" si="0"/>
        <v>38.5</v>
      </c>
      <c r="AO8" s="116">
        <v>180000</v>
      </c>
      <c r="AP8" s="121">
        <f t="shared" si="1"/>
        <v>6930000</v>
      </c>
    </row>
    <row r="9" spans="1:42" ht="24.9" customHeight="1">
      <c r="A9" s="122">
        <v>4</v>
      </c>
      <c r="B9" s="114" t="s">
        <v>344</v>
      </c>
      <c r="C9" s="115" t="s">
        <v>345</v>
      </c>
      <c r="D9" s="123" t="s">
        <v>335</v>
      </c>
      <c r="E9" s="115" t="s">
        <v>346</v>
      </c>
      <c r="F9" s="124" t="s">
        <v>347</v>
      </c>
      <c r="G9" s="117" t="s">
        <v>344</v>
      </c>
      <c r="H9" s="118" t="s">
        <v>348</v>
      </c>
      <c r="I9" s="119">
        <v>2</v>
      </c>
      <c r="J9" s="119">
        <v>2</v>
      </c>
      <c r="K9" s="119">
        <v>1.5</v>
      </c>
      <c r="L9" s="119">
        <v>2</v>
      </c>
      <c r="M9" s="119">
        <v>2</v>
      </c>
      <c r="N9" s="119">
        <v>1.5</v>
      </c>
      <c r="O9" s="119"/>
      <c r="P9" s="119">
        <v>2</v>
      </c>
      <c r="Q9" s="119">
        <v>2</v>
      </c>
      <c r="R9" s="119">
        <v>1.5</v>
      </c>
      <c r="S9" s="119">
        <v>1.5</v>
      </c>
      <c r="T9" s="119">
        <v>1.5</v>
      </c>
      <c r="U9" s="119">
        <v>1</v>
      </c>
      <c r="V9" s="119"/>
      <c r="W9" s="119">
        <v>1.5</v>
      </c>
      <c r="X9" s="119">
        <v>1.5</v>
      </c>
      <c r="Y9" s="119">
        <v>1</v>
      </c>
      <c r="Z9" s="119">
        <v>1.5</v>
      </c>
      <c r="AA9" s="119">
        <v>1.5</v>
      </c>
      <c r="AB9" s="119">
        <v>1</v>
      </c>
      <c r="AC9" s="119"/>
      <c r="AD9" s="119">
        <v>1</v>
      </c>
      <c r="AE9" s="119">
        <v>1</v>
      </c>
      <c r="AF9" s="119">
        <v>1.5</v>
      </c>
      <c r="AG9" s="119">
        <v>1.5</v>
      </c>
      <c r="AH9" s="119">
        <v>1</v>
      </c>
      <c r="AI9" s="119"/>
      <c r="AJ9" s="119"/>
      <c r="AK9" s="119">
        <v>1</v>
      </c>
      <c r="AL9" s="119">
        <v>1.5</v>
      </c>
      <c r="AM9" s="119"/>
      <c r="AN9" s="120">
        <f t="shared" si="0"/>
        <v>37</v>
      </c>
      <c r="AO9" s="116">
        <v>180000</v>
      </c>
      <c r="AP9" s="121">
        <f t="shared" si="1"/>
        <v>6660000</v>
      </c>
    </row>
    <row r="10" spans="1:42" ht="24.9" customHeight="1">
      <c r="A10" s="122">
        <v>5</v>
      </c>
      <c r="B10" s="114" t="s">
        <v>349</v>
      </c>
      <c r="C10" s="115" t="s">
        <v>350</v>
      </c>
      <c r="D10" s="123" t="s">
        <v>351</v>
      </c>
      <c r="E10" s="115" t="s">
        <v>352</v>
      </c>
      <c r="F10" s="124" t="s">
        <v>353</v>
      </c>
      <c r="G10" s="117" t="s">
        <v>349</v>
      </c>
      <c r="H10" s="118" t="s">
        <v>354</v>
      </c>
      <c r="I10" s="119">
        <v>2</v>
      </c>
      <c r="J10" s="119">
        <v>2</v>
      </c>
      <c r="K10" s="119">
        <v>1.5</v>
      </c>
      <c r="L10" s="119">
        <v>2</v>
      </c>
      <c r="M10" s="119">
        <v>2</v>
      </c>
      <c r="N10" s="119">
        <v>1.5</v>
      </c>
      <c r="O10" s="119"/>
      <c r="P10" s="119">
        <v>2</v>
      </c>
      <c r="Q10" s="119">
        <v>2</v>
      </c>
      <c r="R10" s="119">
        <v>2</v>
      </c>
      <c r="S10" s="119">
        <v>2</v>
      </c>
      <c r="T10" s="119">
        <v>2</v>
      </c>
      <c r="U10" s="119">
        <v>1</v>
      </c>
      <c r="V10" s="119"/>
      <c r="W10" s="119">
        <v>1.5</v>
      </c>
      <c r="X10" s="119">
        <v>1.5</v>
      </c>
      <c r="Y10" s="119">
        <v>1</v>
      </c>
      <c r="Z10" s="119">
        <v>1.5</v>
      </c>
      <c r="AA10" s="119">
        <v>1.5</v>
      </c>
      <c r="AB10" s="119">
        <v>1</v>
      </c>
      <c r="AC10" s="119"/>
      <c r="AD10" s="119">
        <v>1</v>
      </c>
      <c r="AE10" s="119">
        <v>0.5</v>
      </c>
      <c r="AF10" s="119">
        <v>1.5</v>
      </c>
      <c r="AG10" s="119">
        <v>1.5</v>
      </c>
      <c r="AH10" s="119">
        <v>1</v>
      </c>
      <c r="AI10" s="119"/>
      <c r="AJ10" s="119"/>
      <c r="AK10" s="119">
        <v>1</v>
      </c>
      <c r="AL10" s="119">
        <v>1.5</v>
      </c>
      <c r="AM10" s="119"/>
      <c r="AN10" s="120">
        <f t="shared" si="0"/>
        <v>38</v>
      </c>
      <c r="AO10" s="116">
        <v>240000</v>
      </c>
      <c r="AP10" s="121">
        <f t="shared" si="1"/>
        <v>9120000</v>
      </c>
    </row>
    <row r="11" spans="1:42" ht="24.9" customHeight="1">
      <c r="A11" s="122">
        <v>6</v>
      </c>
      <c r="B11" s="114" t="s">
        <v>355</v>
      </c>
      <c r="C11" s="115" t="s">
        <v>356</v>
      </c>
      <c r="D11" s="125" t="s">
        <v>357</v>
      </c>
      <c r="E11" s="115" t="s">
        <v>358</v>
      </c>
      <c r="F11" s="124" t="s">
        <v>337</v>
      </c>
      <c r="G11" s="117" t="s">
        <v>355</v>
      </c>
      <c r="H11" s="118" t="s">
        <v>359</v>
      </c>
      <c r="I11" s="119">
        <v>2</v>
      </c>
      <c r="J11" s="119">
        <v>2</v>
      </c>
      <c r="K11" s="119">
        <v>1.5</v>
      </c>
      <c r="L11" s="119">
        <v>2</v>
      </c>
      <c r="M11" s="119">
        <v>2</v>
      </c>
      <c r="N11" s="119">
        <v>1.5</v>
      </c>
      <c r="O11" s="119"/>
      <c r="P11" s="119">
        <v>2</v>
      </c>
      <c r="Q11" s="119">
        <v>2</v>
      </c>
      <c r="R11" s="119">
        <v>2</v>
      </c>
      <c r="S11" s="119">
        <v>2</v>
      </c>
      <c r="T11" s="119">
        <v>2</v>
      </c>
      <c r="U11" s="119"/>
      <c r="V11" s="119"/>
      <c r="W11" s="119">
        <v>1.5</v>
      </c>
      <c r="X11" s="119">
        <v>1.5</v>
      </c>
      <c r="Y11" s="119">
        <v>1</v>
      </c>
      <c r="Z11" s="119">
        <v>1.5</v>
      </c>
      <c r="AA11" s="119">
        <v>1.5</v>
      </c>
      <c r="AB11" s="119">
        <v>1</v>
      </c>
      <c r="AC11" s="119"/>
      <c r="AD11" s="119"/>
      <c r="AE11" s="119">
        <v>1</v>
      </c>
      <c r="AF11" s="119">
        <v>1.5</v>
      </c>
      <c r="AG11" s="119">
        <v>1.5</v>
      </c>
      <c r="AH11" s="119">
        <v>1</v>
      </c>
      <c r="AI11" s="119"/>
      <c r="AJ11" s="119"/>
      <c r="AK11" s="119">
        <v>1</v>
      </c>
      <c r="AL11" s="119">
        <v>1.5</v>
      </c>
      <c r="AM11" s="119"/>
      <c r="AN11" s="120">
        <f t="shared" si="0"/>
        <v>36.5</v>
      </c>
      <c r="AO11" s="116">
        <v>210000</v>
      </c>
      <c r="AP11" s="121">
        <f t="shared" si="1"/>
        <v>7665000</v>
      </c>
    </row>
    <row r="12" spans="1:42" ht="24.9" customHeight="1">
      <c r="A12" s="122">
        <v>7</v>
      </c>
      <c r="B12" s="114" t="s">
        <v>360</v>
      </c>
      <c r="C12" s="115" t="s">
        <v>361</v>
      </c>
      <c r="D12" s="123" t="s">
        <v>335</v>
      </c>
      <c r="E12" s="115" t="s">
        <v>362</v>
      </c>
      <c r="F12" s="124" t="s">
        <v>353</v>
      </c>
      <c r="G12" s="117" t="s">
        <v>360</v>
      </c>
      <c r="H12" s="118" t="s">
        <v>363</v>
      </c>
      <c r="I12" s="119">
        <v>2</v>
      </c>
      <c r="J12" s="119">
        <v>2</v>
      </c>
      <c r="K12" s="119">
        <v>1.5</v>
      </c>
      <c r="L12" s="119">
        <v>2</v>
      </c>
      <c r="M12" s="119">
        <v>2</v>
      </c>
      <c r="N12" s="119">
        <v>1.5</v>
      </c>
      <c r="O12" s="119"/>
      <c r="P12" s="119">
        <v>2</v>
      </c>
      <c r="Q12" s="119">
        <v>2</v>
      </c>
      <c r="R12" s="119">
        <v>2</v>
      </c>
      <c r="S12" s="119">
        <v>2</v>
      </c>
      <c r="T12" s="119">
        <v>2</v>
      </c>
      <c r="U12" s="119">
        <v>1</v>
      </c>
      <c r="V12" s="119"/>
      <c r="W12" s="119">
        <v>1.5</v>
      </c>
      <c r="X12" s="119">
        <v>1.5</v>
      </c>
      <c r="Y12" s="119">
        <v>1</v>
      </c>
      <c r="Z12" s="119">
        <v>1.5</v>
      </c>
      <c r="AA12" s="119">
        <v>1.5</v>
      </c>
      <c r="AB12" s="119">
        <v>1</v>
      </c>
      <c r="AC12" s="119"/>
      <c r="AD12" s="119">
        <v>1</v>
      </c>
      <c r="AE12" s="119">
        <v>1</v>
      </c>
      <c r="AF12" s="119">
        <v>1.5</v>
      </c>
      <c r="AG12" s="119">
        <v>1.5</v>
      </c>
      <c r="AH12" s="119">
        <v>1</v>
      </c>
      <c r="AI12" s="119"/>
      <c r="AJ12" s="119"/>
      <c r="AK12" s="119">
        <v>1</v>
      </c>
      <c r="AL12" s="119">
        <v>1.5</v>
      </c>
      <c r="AM12" s="119"/>
      <c r="AN12" s="120">
        <f t="shared" ref="AN12:AN28" si="2">SUM(I12:AM12)</f>
        <v>38.5</v>
      </c>
      <c r="AO12" s="116">
        <v>190000</v>
      </c>
      <c r="AP12" s="121">
        <f t="shared" ref="AP12:AP28" si="3">AN12*AO12</f>
        <v>7315000</v>
      </c>
    </row>
    <row r="13" spans="1:42" ht="24.9" customHeight="1">
      <c r="A13" s="122">
        <v>8</v>
      </c>
      <c r="B13" s="114" t="s">
        <v>364</v>
      </c>
      <c r="C13" s="115" t="s">
        <v>365</v>
      </c>
      <c r="D13" s="125" t="s">
        <v>335</v>
      </c>
      <c r="E13" s="115" t="s">
        <v>366</v>
      </c>
      <c r="F13" s="124" t="s">
        <v>347</v>
      </c>
      <c r="G13" s="117" t="s">
        <v>364</v>
      </c>
      <c r="H13" s="118" t="s">
        <v>367</v>
      </c>
      <c r="I13" s="119">
        <v>2</v>
      </c>
      <c r="J13" s="119">
        <v>2</v>
      </c>
      <c r="K13" s="119">
        <v>1.5</v>
      </c>
      <c r="L13" s="119">
        <v>2</v>
      </c>
      <c r="M13" s="119">
        <v>2</v>
      </c>
      <c r="N13" s="119"/>
      <c r="O13" s="119"/>
      <c r="P13" s="119">
        <v>2</v>
      </c>
      <c r="Q13" s="119">
        <v>2</v>
      </c>
      <c r="R13" s="119">
        <v>2</v>
      </c>
      <c r="S13" s="119">
        <v>2</v>
      </c>
      <c r="T13" s="119">
        <v>2</v>
      </c>
      <c r="U13" s="119">
        <v>1</v>
      </c>
      <c r="V13" s="119"/>
      <c r="W13" s="119">
        <v>1.5</v>
      </c>
      <c r="X13" s="119">
        <v>1.5</v>
      </c>
      <c r="Y13" s="119">
        <v>1</v>
      </c>
      <c r="Z13" s="119">
        <v>1.5</v>
      </c>
      <c r="AA13" s="119">
        <v>1.5</v>
      </c>
      <c r="AB13" s="119"/>
      <c r="AC13" s="119"/>
      <c r="AD13" s="119">
        <v>1</v>
      </c>
      <c r="AE13" s="119">
        <v>1</v>
      </c>
      <c r="AF13" s="119">
        <v>1.5</v>
      </c>
      <c r="AG13" s="119">
        <v>1.5</v>
      </c>
      <c r="AH13" s="119">
        <v>1</v>
      </c>
      <c r="AI13" s="119"/>
      <c r="AJ13" s="119"/>
      <c r="AK13" s="119">
        <v>1</v>
      </c>
      <c r="AL13" s="119">
        <v>1.5</v>
      </c>
      <c r="AM13" s="119"/>
      <c r="AN13" s="120">
        <f t="shared" si="2"/>
        <v>36</v>
      </c>
      <c r="AO13" s="116">
        <v>150000</v>
      </c>
      <c r="AP13" s="121">
        <f t="shared" si="3"/>
        <v>5400000</v>
      </c>
    </row>
    <row r="14" spans="1:42" ht="24.9" customHeight="1">
      <c r="A14" s="122">
        <v>9</v>
      </c>
      <c r="B14" s="114" t="s">
        <v>368</v>
      </c>
      <c r="C14" s="115" t="s">
        <v>369</v>
      </c>
      <c r="D14" s="125" t="s">
        <v>335</v>
      </c>
      <c r="E14" s="115" t="s">
        <v>370</v>
      </c>
      <c r="F14" s="124" t="s">
        <v>397</v>
      </c>
      <c r="G14" s="117" t="s">
        <v>368</v>
      </c>
      <c r="H14" s="118" t="s">
        <v>633</v>
      </c>
      <c r="I14" s="119">
        <v>2</v>
      </c>
      <c r="J14" s="119">
        <v>2</v>
      </c>
      <c r="K14" s="119">
        <v>1.5</v>
      </c>
      <c r="L14" s="119">
        <v>2</v>
      </c>
      <c r="M14" s="119">
        <v>2</v>
      </c>
      <c r="N14" s="119">
        <v>1.5</v>
      </c>
      <c r="O14" s="119"/>
      <c r="P14" s="119">
        <v>2</v>
      </c>
      <c r="Q14" s="119">
        <v>2</v>
      </c>
      <c r="R14" s="119">
        <v>2</v>
      </c>
      <c r="S14" s="119">
        <v>2</v>
      </c>
      <c r="T14" s="119">
        <v>2</v>
      </c>
      <c r="U14" s="119">
        <v>1</v>
      </c>
      <c r="V14" s="119"/>
      <c r="W14" s="119">
        <v>1.5</v>
      </c>
      <c r="X14" s="119">
        <v>1.5</v>
      </c>
      <c r="Y14" s="119">
        <v>1</v>
      </c>
      <c r="Z14" s="119">
        <v>1.5</v>
      </c>
      <c r="AA14" s="119">
        <v>1.5</v>
      </c>
      <c r="AB14" s="119"/>
      <c r="AC14" s="119"/>
      <c r="AD14" s="119">
        <v>1</v>
      </c>
      <c r="AE14" s="119">
        <v>1</v>
      </c>
      <c r="AF14" s="119">
        <v>1.5</v>
      </c>
      <c r="AG14" s="119">
        <v>1.5</v>
      </c>
      <c r="AH14" s="119">
        <v>1</v>
      </c>
      <c r="AI14" s="119"/>
      <c r="AJ14" s="119"/>
      <c r="AK14" s="119">
        <v>1</v>
      </c>
      <c r="AL14" s="119">
        <v>1.5</v>
      </c>
      <c r="AM14" s="119"/>
      <c r="AN14" s="120">
        <f t="shared" si="2"/>
        <v>37.5</v>
      </c>
      <c r="AO14" s="116">
        <v>150000</v>
      </c>
      <c r="AP14" s="121">
        <f t="shared" si="3"/>
        <v>5625000</v>
      </c>
    </row>
    <row r="15" spans="1:42" ht="24.9" customHeight="1">
      <c r="A15" s="122">
        <v>10</v>
      </c>
      <c r="B15" s="114" t="s">
        <v>371</v>
      </c>
      <c r="C15" s="115" t="s">
        <v>372</v>
      </c>
      <c r="D15" s="125" t="s">
        <v>373</v>
      </c>
      <c r="E15" s="115" t="s">
        <v>374</v>
      </c>
      <c r="F15" s="124" t="s">
        <v>375</v>
      </c>
      <c r="G15" s="117" t="s">
        <v>371</v>
      </c>
      <c r="H15" s="118" t="s">
        <v>376</v>
      </c>
      <c r="I15" s="119">
        <v>2</v>
      </c>
      <c r="J15" s="119">
        <v>2</v>
      </c>
      <c r="K15" s="119">
        <v>1.5</v>
      </c>
      <c r="L15" s="119">
        <v>2</v>
      </c>
      <c r="M15" s="119">
        <v>2</v>
      </c>
      <c r="N15" s="119"/>
      <c r="O15" s="119"/>
      <c r="P15" s="119">
        <v>2</v>
      </c>
      <c r="Q15" s="119">
        <v>2</v>
      </c>
      <c r="R15" s="119">
        <v>2</v>
      </c>
      <c r="S15" s="119">
        <v>2</v>
      </c>
      <c r="T15" s="119">
        <v>1.75</v>
      </c>
      <c r="U15" s="119">
        <v>1</v>
      </c>
      <c r="V15" s="119"/>
      <c r="W15" s="119">
        <v>1.5</v>
      </c>
      <c r="X15" s="119">
        <v>1.5</v>
      </c>
      <c r="Y15" s="119">
        <v>1</v>
      </c>
      <c r="Z15" s="119">
        <v>1.5</v>
      </c>
      <c r="AA15" s="119">
        <v>1.25</v>
      </c>
      <c r="AB15" s="119">
        <v>0.5</v>
      </c>
      <c r="AC15" s="119"/>
      <c r="AD15" s="119">
        <v>1</v>
      </c>
      <c r="AE15" s="119">
        <v>1</v>
      </c>
      <c r="AF15" s="119">
        <v>1.5</v>
      </c>
      <c r="AG15" s="119"/>
      <c r="AH15" s="119">
        <v>1</v>
      </c>
      <c r="AI15" s="119"/>
      <c r="AJ15" s="119"/>
      <c r="AK15" s="119">
        <v>1</v>
      </c>
      <c r="AL15" s="119">
        <v>1.5</v>
      </c>
      <c r="AM15" s="119"/>
      <c r="AN15" s="120">
        <f t="shared" si="2"/>
        <v>34.5</v>
      </c>
      <c r="AO15" s="116">
        <v>190000</v>
      </c>
      <c r="AP15" s="121">
        <f t="shared" si="3"/>
        <v>6555000</v>
      </c>
    </row>
    <row r="16" spans="1:42" ht="24.9" customHeight="1">
      <c r="A16" s="122">
        <v>11</v>
      </c>
      <c r="B16" s="114" t="s">
        <v>377</v>
      </c>
      <c r="C16" s="115" t="s">
        <v>378</v>
      </c>
      <c r="D16" s="123" t="s">
        <v>335</v>
      </c>
      <c r="E16" s="115" t="s">
        <v>379</v>
      </c>
      <c r="F16" s="124" t="s">
        <v>380</v>
      </c>
      <c r="G16" s="117" t="s">
        <v>377</v>
      </c>
      <c r="H16" s="118" t="s">
        <v>381</v>
      </c>
      <c r="I16" s="119">
        <v>2</v>
      </c>
      <c r="J16" s="119">
        <v>2</v>
      </c>
      <c r="K16" s="119">
        <v>1.5</v>
      </c>
      <c r="L16" s="119">
        <v>2</v>
      </c>
      <c r="M16" s="119">
        <v>2</v>
      </c>
      <c r="N16" s="119">
        <v>1.5</v>
      </c>
      <c r="O16" s="119"/>
      <c r="P16" s="119">
        <v>2</v>
      </c>
      <c r="Q16" s="119">
        <v>2</v>
      </c>
      <c r="R16" s="119">
        <v>2</v>
      </c>
      <c r="S16" s="119">
        <v>2</v>
      </c>
      <c r="T16" s="119">
        <v>2</v>
      </c>
      <c r="U16" s="119">
        <v>1</v>
      </c>
      <c r="V16" s="119"/>
      <c r="W16" s="119">
        <v>1.5</v>
      </c>
      <c r="X16" s="119">
        <v>1.5</v>
      </c>
      <c r="Y16" s="119">
        <v>1</v>
      </c>
      <c r="Z16" s="119">
        <v>1.5</v>
      </c>
      <c r="AA16" s="119">
        <v>1.5</v>
      </c>
      <c r="AB16" s="119">
        <v>1</v>
      </c>
      <c r="AC16" s="119"/>
      <c r="AD16" s="119">
        <v>1</v>
      </c>
      <c r="AE16" s="119">
        <v>1</v>
      </c>
      <c r="AF16" s="119">
        <v>1.5</v>
      </c>
      <c r="AG16" s="119">
        <v>1.5</v>
      </c>
      <c r="AH16" s="119">
        <v>0.5</v>
      </c>
      <c r="AI16" s="119"/>
      <c r="AJ16" s="119"/>
      <c r="AK16" s="119">
        <v>1</v>
      </c>
      <c r="AL16" s="119">
        <v>1.5</v>
      </c>
      <c r="AM16" s="119"/>
      <c r="AN16" s="120">
        <f t="shared" si="2"/>
        <v>38</v>
      </c>
      <c r="AO16" s="116">
        <v>150000</v>
      </c>
      <c r="AP16" s="121">
        <f t="shared" si="3"/>
        <v>5700000</v>
      </c>
    </row>
    <row r="17" spans="1:42" ht="24.9" customHeight="1">
      <c r="A17" s="122">
        <v>12</v>
      </c>
      <c r="B17" s="114" t="s">
        <v>382</v>
      </c>
      <c r="C17" s="115" t="s">
        <v>383</v>
      </c>
      <c r="D17" s="123" t="s">
        <v>351</v>
      </c>
      <c r="E17" s="115" t="s">
        <v>384</v>
      </c>
      <c r="F17" s="124" t="s">
        <v>331</v>
      </c>
      <c r="G17" s="117" t="s">
        <v>382</v>
      </c>
      <c r="H17" s="118" t="s">
        <v>385</v>
      </c>
      <c r="I17" s="119">
        <v>2</v>
      </c>
      <c r="J17" s="119">
        <v>0.5</v>
      </c>
      <c r="K17" s="119">
        <v>1.5</v>
      </c>
      <c r="L17" s="119">
        <v>2</v>
      </c>
      <c r="M17" s="119">
        <v>1.5</v>
      </c>
      <c r="N17" s="119"/>
      <c r="O17" s="119"/>
      <c r="P17" s="119">
        <v>2</v>
      </c>
      <c r="Q17" s="119">
        <v>2</v>
      </c>
      <c r="R17" s="119">
        <v>2</v>
      </c>
      <c r="S17" s="119">
        <v>2</v>
      </c>
      <c r="T17" s="119">
        <v>2</v>
      </c>
      <c r="U17" s="119"/>
      <c r="V17" s="119"/>
      <c r="W17" s="119">
        <v>1.5</v>
      </c>
      <c r="X17" s="119"/>
      <c r="Y17" s="119">
        <v>1</v>
      </c>
      <c r="Z17" s="119"/>
      <c r="AA17" s="119">
        <v>1.5</v>
      </c>
      <c r="AB17" s="119"/>
      <c r="AC17" s="119"/>
      <c r="AD17" s="119">
        <v>1</v>
      </c>
      <c r="AE17" s="119">
        <v>1</v>
      </c>
      <c r="AF17" s="119">
        <v>1.5</v>
      </c>
      <c r="AG17" s="119">
        <v>1.5</v>
      </c>
      <c r="AH17" s="119"/>
      <c r="AI17" s="119"/>
      <c r="AJ17" s="119"/>
      <c r="AK17" s="119">
        <v>1</v>
      </c>
      <c r="AL17" s="119">
        <v>1.5</v>
      </c>
      <c r="AM17" s="119"/>
      <c r="AN17" s="120">
        <f t="shared" si="2"/>
        <v>29</v>
      </c>
      <c r="AO17" s="116">
        <v>240000</v>
      </c>
      <c r="AP17" s="121">
        <f t="shared" si="3"/>
        <v>6960000</v>
      </c>
    </row>
    <row r="18" spans="1:42" ht="24.9" customHeight="1">
      <c r="A18" s="122">
        <v>13</v>
      </c>
      <c r="B18" s="114" t="s">
        <v>386</v>
      </c>
      <c r="C18" s="115" t="s">
        <v>387</v>
      </c>
      <c r="D18" s="125" t="s">
        <v>335</v>
      </c>
      <c r="E18" s="115" t="s">
        <v>388</v>
      </c>
      <c r="F18" s="124" t="s">
        <v>353</v>
      </c>
      <c r="G18" s="117" t="s">
        <v>386</v>
      </c>
      <c r="H18" s="118" t="s">
        <v>389</v>
      </c>
      <c r="I18" s="119">
        <v>2</v>
      </c>
      <c r="J18" s="119">
        <v>2</v>
      </c>
      <c r="K18" s="119">
        <v>1.5</v>
      </c>
      <c r="L18" s="119"/>
      <c r="M18" s="119">
        <v>2</v>
      </c>
      <c r="N18" s="119">
        <v>1.5</v>
      </c>
      <c r="O18" s="119"/>
      <c r="P18" s="119"/>
      <c r="Q18" s="119">
        <v>2</v>
      </c>
      <c r="R18" s="119">
        <v>2</v>
      </c>
      <c r="S18" s="119">
        <v>2</v>
      </c>
      <c r="T18" s="119">
        <v>2</v>
      </c>
      <c r="U18" s="119">
        <v>1</v>
      </c>
      <c r="V18" s="119"/>
      <c r="W18" s="119">
        <v>1.5</v>
      </c>
      <c r="X18" s="119">
        <v>1.5</v>
      </c>
      <c r="Y18" s="119">
        <v>1</v>
      </c>
      <c r="Z18" s="119">
        <v>1.5</v>
      </c>
      <c r="AA18" s="119">
        <v>1.5</v>
      </c>
      <c r="AB18" s="119">
        <v>1</v>
      </c>
      <c r="AC18" s="119"/>
      <c r="AD18" s="119">
        <v>1</v>
      </c>
      <c r="AE18" s="119">
        <v>1</v>
      </c>
      <c r="AF18" s="119">
        <v>1.5</v>
      </c>
      <c r="AG18" s="119"/>
      <c r="AH18" s="119">
        <v>1</v>
      </c>
      <c r="AI18" s="119"/>
      <c r="AJ18" s="119"/>
      <c r="AK18" s="119">
        <v>1</v>
      </c>
      <c r="AL18" s="119">
        <v>1.5</v>
      </c>
      <c r="AM18" s="119"/>
      <c r="AN18" s="120">
        <f t="shared" si="2"/>
        <v>33</v>
      </c>
      <c r="AO18" s="116">
        <v>160000</v>
      </c>
      <c r="AP18" s="121">
        <f t="shared" si="3"/>
        <v>5280000</v>
      </c>
    </row>
    <row r="19" spans="1:42" ht="24.9" customHeight="1">
      <c r="A19" s="122">
        <v>14</v>
      </c>
      <c r="B19" s="114" t="s">
        <v>390</v>
      </c>
      <c r="C19" s="115" t="s">
        <v>391</v>
      </c>
      <c r="D19" s="123" t="s">
        <v>335</v>
      </c>
      <c r="E19" s="115" t="s">
        <v>392</v>
      </c>
      <c r="F19" s="124" t="s">
        <v>353</v>
      </c>
      <c r="G19" s="117" t="s">
        <v>390</v>
      </c>
      <c r="H19" s="118" t="s">
        <v>393</v>
      </c>
      <c r="I19" s="119">
        <v>2</v>
      </c>
      <c r="J19" s="119">
        <v>2</v>
      </c>
      <c r="K19" s="119">
        <v>1.5</v>
      </c>
      <c r="L19" s="119">
        <v>2</v>
      </c>
      <c r="M19" s="119">
        <v>2</v>
      </c>
      <c r="N19" s="119">
        <v>1.5</v>
      </c>
      <c r="O19" s="119"/>
      <c r="P19" s="119">
        <v>2</v>
      </c>
      <c r="Q19" s="119">
        <v>2</v>
      </c>
      <c r="R19" s="119">
        <v>2</v>
      </c>
      <c r="S19" s="119">
        <v>2</v>
      </c>
      <c r="T19" s="119">
        <v>2</v>
      </c>
      <c r="U19" s="119">
        <v>1</v>
      </c>
      <c r="V19" s="119"/>
      <c r="W19" s="119">
        <v>1.5</v>
      </c>
      <c r="X19" s="119">
        <v>1.5</v>
      </c>
      <c r="Y19" s="119">
        <v>1</v>
      </c>
      <c r="Z19" s="119">
        <v>1.5</v>
      </c>
      <c r="AA19" s="119">
        <v>1.5</v>
      </c>
      <c r="AB19" s="119">
        <v>1</v>
      </c>
      <c r="AC19" s="119"/>
      <c r="AD19" s="119">
        <v>1</v>
      </c>
      <c r="AE19" s="119">
        <v>1</v>
      </c>
      <c r="AF19" s="119">
        <v>1.5</v>
      </c>
      <c r="AG19" s="119">
        <v>1.5</v>
      </c>
      <c r="AH19" s="119">
        <v>1</v>
      </c>
      <c r="AI19" s="119">
        <v>1</v>
      </c>
      <c r="AJ19" s="119"/>
      <c r="AK19" s="119">
        <v>1</v>
      </c>
      <c r="AL19" s="119">
        <v>1.5</v>
      </c>
      <c r="AM19" s="119"/>
      <c r="AN19" s="120">
        <f t="shared" si="2"/>
        <v>39.5</v>
      </c>
      <c r="AO19" s="116">
        <v>210000</v>
      </c>
      <c r="AP19" s="121">
        <f t="shared" si="3"/>
        <v>8295000</v>
      </c>
    </row>
    <row r="20" spans="1:42" ht="24.9" customHeight="1">
      <c r="A20" s="122">
        <v>15</v>
      </c>
      <c r="B20" s="114" t="s">
        <v>394</v>
      </c>
      <c r="C20" s="115" t="s">
        <v>395</v>
      </c>
      <c r="D20" s="125" t="s">
        <v>335</v>
      </c>
      <c r="E20" s="115" t="s">
        <v>396</v>
      </c>
      <c r="F20" s="124" t="s">
        <v>397</v>
      </c>
      <c r="G20" s="117" t="s">
        <v>394</v>
      </c>
      <c r="H20" s="118" t="s">
        <v>398</v>
      </c>
      <c r="I20" s="119">
        <v>2</v>
      </c>
      <c r="J20" s="119">
        <v>2</v>
      </c>
      <c r="K20" s="119">
        <v>1.5</v>
      </c>
      <c r="L20" s="119">
        <v>2</v>
      </c>
      <c r="M20" s="119">
        <v>1.5</v>
      </c>
      <c r="N20" s="119"/>
      <c r="O20" s="119"/>
      <c r="P20" s="119">
        <v>2</v>
      </c>
      <c r="Q20" s="119">
        <v>2</v>
      </c>
      <c r="R20" s="119">
        <v>2</v>
      </c>
      <c r="S20" s="119">
        <v>2</v>
      </c>
      <c r="T20" s="119">
        <v>2</v>
      </c>
      <c r="U20" s="119">
        <v>1</v>
      </c>
      <c r="V20" s="119"/>
      <c r="W20" s="119">
        <v>1.5</v>
      </c>
      <c r="X20" s="119">
        <v>1.5</v>
      </c>
      <c r="Y20" s="119">
        <v>1</v>
      </c>
      <c r="Z20" s="119">
        <v>1.5</v>
      </c>
      <c r="AA20" s="119">
        <v>1.5</v>
      </c>
      <c r="AB20" s="119">
        <v>1</v>
      </c>
      <c r="AC20" s="119"/>
      <c r="AD20" s="119">
        <v>1</v>
      </c>
      <c r="AE20" s="119">
        <v>1</v>
      </c>
      <c r="AF20" s="119">
        <v>1.5</v>
      </c>
      <c r="AG20" s="119">
        <v>1.5</v>
      </c>
      <c r="AH20" s="119">
        <v>1</v>
      </c>
      <c r="AI20" s="119"/>
      <c r="AJ20" s="119"/>
      <c r="AK20" s="119">
        <v>1</v>
      </c>
      <c r="AL20" s="119">
        <v>1.5</v>
      </c>
      <c r="AM20" s="119"/>
      <c r="AN20" s="120">
        <f t="shared" si="2"/>
        <v>36.5</v>
      </c>
      <c r="AO20" s="116">
        <v>170000</v>
      </c>
      <c r="AP20" s="121">
        <f t="shared" si="3"/>
        <v>6205000</v>
      </c>
    </row>
    <row r="21" spans="1:42" ht="24.9" customHeight="1">
      <c r="A21" s="122">
        <v>16</v>
      </c>
      <c r="B21" s="114" t="s">
        <v>399</v>
      </c>
      <c r="C21" s="115" t="s">
        <v>400</v>
      </c>
      <c r="D21" s="125" t="s">
        <v>634</v>
      </c>
      <c r="E21" s="115" t="s">
        <v>401</v>
      </c>
      <c r="F21" s="124" t="s">
        <v>353</v>
      </c>
      <c r="G21" s="117" t="s">
        <v>399</v>
      </c>
      <c r="H21" s="118" t="s">
        <v>402</v>
      </c>
      <c r="I21" s="119">
        <v>2</v>
      </c>
      <c r="J21" s="119">
        <v>2</v>
      </c>
      <c r="K21" s="119">
        <v>1.5</v>
      </c>
      <c r="L21" s="119">
        <v>2</v>
      </c>
      <c r="M21" s="119">
        <v>2</v>
      </c>
      <c r="N21" s="119"/>
      <c r="O21" s="119"/>
      <c r="P21" s="119">
        <v>2</v>
      </c>
      <c r="Q21" s="119">
        <v>2</v>
      </c>
      <c r="R21" s="119">
        <v>2</v>
      </c>
      <c r="S21" s="119">
        <v>2</v>
      </c>
      <c r="T21" s="119">
        <v>3</v>
      </c>
      <c r="U21" s="119">
        <v>1</v>
      </c>
      <c r="V21" s="119"/>
      <c r="W21" s="119">
        <v>1.5</v>
      </c>
      <c r="X21" s="119">
        <v>1.5</v>
      </c>
      <c r="Y21" s="119">
        <v>1</v>
      </c>
      <c r="Z21" s="119">
        <v>1.5</v>
      </c>
      <c r="AA21" s="119">
        <v>1.5</v>
      </c>
      <c r="AB21" s="119"/>
      <c r="AC21" s="119"/>
      <c r="AD21" s="119">
        <v>1</v>
      </c>
      <c r="AE21" s="119">
        <v>1</v>
      </c>
      <c r="AF21" s="119">
        <v>1.5</v>
      </c>
      <c r="AG21" s="119">
        <v>1.5</v>
      </c>
      <c r="AH21" s="119">
        <v>1</v>
      </c>
      <c r="AI21" s="119">
        <v>1</v>
      </c>
      <c r="AJ21" s="119"/>
      <c r="AK21" s="119">
        <v>1</v>
      </c>
      <c r="AL21" s="119">
        <v>1.5</v>
      </c>
      <c r="AM21" s="119"/>
      <c r="AN21" s="120">
        <f t="shared" si="2"/>
        <v>38</v>
      </c>
      <c r="AO21" s="116">
        <v>230000</v>
      </c>
      <c r="AP21" s="121">
        <f t="shared" si="3"/>
        <v>8740000</v>
      </c>
    </row>
    <row r="22" spans="1:42" ht="24.9" customHeight="1">
      <c r="A22" s="122">
        <v>17</v>
      </c>
      <c r="B22" s="114" t="s">
        <v>403</v>
      </c>
      <c r="C22" s="115" t="s">
        <v>404</v>
      </c>
      <c r="D22" s="125" t="s">
        <v>335</v>
      </c>
      <c r="E22" s="115" t="s">
        <v>405</v>
      </c>
      <c r="F22" s="124" t="s">
        <v>342</v>
      </c>
      <c r="G22" s="117" t="s">
        <v>403</v>
      </c>
      <c r="H22" s="118" t="s">
        <v>406</v>
      </c>
      <c r="I22" s="119">
        <v>2</v>
      </c>
      <c r="J22" s="119">
        <v>2</v>
      </c>
      <c r="K22" s="119">
        <v>1.5</v>
      </c>
      <c r="L22" s="119">
        <v>2</v>
      </c>
      <c r="M22" s="119">
        <v>2</v>
      </c>
      <c r="N22" s="119">
        <v>1.5</v>
      </c>
      <c r="O22" s="119"/>
      <c r="P22" s="119">
        <v>2</v>
      </c>
      <c r="Q22" s="119">
        <v>2</v>
      </c>
      <c r="R22" s="119">
        <v>2</v>
      </c>
      <c r="S22" s="119">
        <v>2</v>
      </c>
      <c r="T22" s="119">
        <v>2</v>
      </c>
      <c r="U22" s="119">
        <v>1</v>
      </c>
      <c r="V22" s="119"/>
      <c r="W22" s="119">
        <v>1.5</v>
      </c>
      <c r="X22" s="119">
        <v>1.5</v>
      </c>
      <c r="Y22" s="119">
        <v>1</v>
      </c>
      <c r="Z22" s="119">
        <v>1.5</v>
      </c>
      <c r="AA22" s="119">
        <v>1.5</v>
      </c>
      <c r="AB22" s="119"/>
      <c r="AC22" s="119"/>
      <c r="AD22" s="119">
        <v>1</v>
      </c>
      <c r="AE22" s="119">
        <v>1</v>
      </c>
      <c r="AF22" s="119">
        <v>1.5</v>
      </c>
      <c r="AG22" s="119">
        <v>1.5</v>
      </c>
      <c r="AH22" s="119">
        <v>1</v>
      </c>
      <c r="AI22" s="119"/>
      <c r="AJ22" s="119"/>
      <c r="AK22" s="119">
        <v>1</v>
      </c>
      <c r="AL22" s="119">
        <v>1.5</v>
      </c>
      <c r="AM22" s="119"/>
      <c r="AN22" s="120">
        <f t="shared" si="2"/>
        <v>37.5</v>
      </c>
      <c r="AO22" s="116">
        <v>150000</v>
      </c>
      <c r="AP22" s="121">
        <f t="shared" si="3"/>
        <v>5625000</v>
      </c>
    </row>
    <row r="23" spans="1:42" ht="24.9" customHeight="1">
      <c r="A23" s="122">
        <v>18</v>
      </c>
      <c r="B23" s="114" t="s">
        <v>407</v>
      </c>
      <c r="C23" s="115" t="s">
        <v>408</v>
      </c>
      <c r="D23" s="123" t="s">
        <v>351</v>
      </c>
      <c r="E23" s="115" t="s">
        <v>409</v>
      </c>
      <c r="F23" s="124" t="s">
        <v>380</v>
      </c>
      <c r="G23" s="117" t="s">
        <v>407</v>
      </c>
      <c r="H23" s="118" t="s">
        <v>410</v>
      </c>
      <c r="I23" s="119">
        <v>2</v>
      </c>
      <c r="J23" s="119">
        <v>2</v>
      </c>
      <c r="K23" s="119">
        <v>1.5</v>
      </c>
      <c r="L23" s="119">
        <v>2</v>
      </c>
      <c r="M23" s="119">
        <v>2</v>
      </c>
      <c r="N23" s="119">
        <v>1.5</v>
      </c>
      <c r="O23" s="119"/>
      <c r="P23" s="119">
        <v>2</v>
      </c>
      <c r="Q23" s="119">
        <v>2</v>
      </c>
      <c r="R23" s="119">
        <v>2</v>
      </c>
      <c r="S23" s="119">
        <v>2</v>
      </c>
      <c r="T23" s="119">
        <v>2</v>
      </c>
      <c r="U23" s="119"/>
      <c r="V23" s="119"/>
      <c r="W23" s="119">
        <v>1.5</v>
      </c>
      <c r="X23" s="119">
        <v>1.5</v>
      </c>
      <c r="Y23" s="119">
        <v>1</v>
      </c>
      <c r="Z23" s="119">
        <v>1.5</v>
      </c>
      <c r="AA23" s="119">
        <v>1.5</v>
      </c>
      <c r="AB23" s="119">
        <v>1</v>
      </c>
      <c r="AC23" s="119"/>
      <c r="AD23" s="119">
        <v>1</v>
      </c>
      <c r="AE23" s="119">
        <v>1</v>
      </c>
      <c r="AF23" s="119">
        <v>1.5</v>
      </c>
      <c r="AG23" s="119">
        <v>1.5</v>
      </c>
      <c r="AH23" s="119">
        <v>1</v>
      </c>
      <c r="AI23" s="119"/>
      <c r="AJ23" s="119"/>
      <c r="AK23" s="119">
        <v>1</v>
      </c>
      <c r="AL23" s="119">
        <v>1.5</v>
      </c>
      <c r="AM23" s="119"/>
      <c r="AN23" s="120">
        <f t="shared" si="2"/>
        <v>37.5</v>
      </c>
      <c r="AO23" s="116">
        <v>240000</v>
      </c>
      <c r="AP23" s="121">
        <f t="shared" si="3"/>
        <v>9000000</v>
      </c>
    </row>
    <row r="24" spans="1:42" ht="24.9" customHeight="1">
      <c r="A24" s="122">
        <v>19</v>
      </c>
      <c r="B24" s="114" t="s">
        <v>411</v>
      </c>
      <c r="C24" s="115" t="s">
        <v>412</v>
      </c>
      <c r="D24" s="123" t="s">
        <v>351</v>
      </c>
      <c r="E24" s="115" t="s">
        <v>413</v>
      </c>
      <c r="F24" s="124" t="s">
        <v>331</v>
      </c>
      <c r="G24" s="117" t="s">
        <v>411</v>
      </c>
      <c r="H24" s="118" t="s">
        <v>414</v>
      </c>
      <c r="I24" s="119">
        <v>2</v>
      </c>
      <c r="J24" s="119">
        <v>2</v>
      </c>
      <c r="K24" s="119">
        <v>1.5</v>
      </c>
      <c r="L24" s="119">
        <v>2</v>
      </c>
      <c r="M24" s="119">
        <v>2</v>
      </c>
      <c r="N24" s="119">
        <v>1.5</v>
      </c>
      <c r="O24" s="119"/>
      <c r="P24" s="119"/>
      <c r="Q24" s="119"/>
      <c r="R24" s="119">
        <v>2</v>
      </c>
      <c r="S24" s="119">
        <v>2</v>
      </c>
      <c r="T24" s="119">
        <v>2</v>
      </c>
      <c r="U24" s="119"/>
      <c r="V24" s="119"/>
      <c r="W24" s="119"/>
      <c r="X24" s="119"/>
      <c r="Y24" s="119"/>
      <c r="Z24" s="119">
        <v>1.5</v>
      </c>
      <c r="AA24" s="119">
        <v>1.5</v>
      </c>
      <c r="AB24" s="119"/>
      <c r="AC24" s="119"/>
      <c r="AD24" s="119">
        <v>1</v>
      </c>
      <c r="AE24" s="119">
        <v>1</v>
      </c>
      <c r="AF24" s="119">
        <v>1.5</v>
      </c>
      <c r="AG24" s="119">
        <v>1.5</v>
      </c>
      <c r="AH24" s="119">
        <v>1</v>
      </c>
      <c r="AI24" s="119"/>
      <c r="AJ24" s="119"/>
      <c r="AK24" s="119"/>
      <c r="AL24" s="119">
        <v>1.5</v>
      </c>
      <c r="AM24" s="119"/>
      <c r="AN24" s="120">
        <f t="shared" si="2"/>
        <v>27.5</v>
      </c>
      <c r="AO24" s="116">
        <v>240000</v>
      </c>
      <c r="AP24" s="121">
        <f t="shared" si="3"/>
        <v>6600000</v>
      </c>
    </row>
    <row r="25" spans="1:42" ht="24.9" customHeight="1">
      <c r="A25" s="122">
        <v>20</v>
      </c>
      <c r="B25" s="114" t="s">
        <v>417</v>
      </c>
      <c r="C25" s="115" t="s">
        <v>415</v>
      </c>
      <c r="D25" s="125" t="s">
        <v>357</v>
      </c>
      <c r="E25" s="115" t="s">
        <v>416</v>
      </c>
      <c r="F25" s="124" t="s">
        <v>331</v>
      </c>
      <c r="G25" s="117" t="s">
        <v>417</v>
      </c>
      <c r="H25" s="118" t="s">
        <v>418</v>
      </c>
      <c r="I25" s="119">
        <v>2</v>
      </c>
      <c r="J25" s="119">
        <v>2</v>
      </c>
      <c r="K25" s="119">
        <v>1.5</v>
      </c>
      <c r="L25" s="119">
        <v>2</v>
      </c>
      <c r="M25" s="119">
        <v>2</v>
      </c>
      <c r="N25" s="119"/>
      <c r="O25" s="119"/>
      <c r="P25" s="119">
        <v>2</v>
      </c>
      <c r="Q25" s="119">
        <v>2</v>
      </c>
      <c r="R25" s="119">
        <v>2</v>
      </c>
      <c r="S25" s="119">
        <v>2</v>
      </c>
      <c r="T25" s="119">
        <v>2</v>
      </c>
      <c r="U25" s="119">
        <v>0.5</v>
      </c>
      <c r="V25" s="119"/>
      <c r="W25" s="119">
        <v>1.5</v>
      </c>
      <c r="X25" s="119">
        <v>1.5</v>
      </c>
      <c r="Y25" s="119">
        <v>1</v>
      </c>
      <c r="Z25" s="119">
        <v>1.5</v>
      </c>
      <c r="AA25" s="119">
        <v>1.5</v>
      </c>
      <c r="AB25" s="119">
        <v>1</v>
      </c>
      <c r="AC25" s="119"/>
      <c r="AD25" s="119">
        <v>1</v>
      </c>
      <c r="AE25" s="119">
        <v>1</v>
      </c>
      <c r="AF25" s="119">
        <v>1.5</v>
      </c>
      <c r="AG25" s="119">
        <v>1.5</v>
      </c>
      <c r="AH25" s="119">
        <v>1</v>
      </c>
      <c r="AI25" s="119">
        <v>1</v>
      </c>
      <c r="AJ25" s="119"/>
      <c r="AK25" s="119">
        <v>1</v>
      </c>
      <c r="AL25" s="119">
        <v>1.5</v>
      </c>
      <c r="AM25" s="119"/>
      <c r="AN25" s="120">
        <f t="shared" si="2"/>
        <v>37.5</v>
      </c>
      <c r="AO25" s="116">
        <v>190000</v>
      </c>
      <c r="AP25" s="121">
        <f t="shared" si="3"/>
        <v>7125000</v>
      </c>
    </row>
    <row r="26" spans="1:42" ht="24.9" customHeight="1">
      <c r="A26" s="122">
        <v>21</v>
      </c>
      <c r="B26" s="114" t="s">
        <v>419</v>
      </c>
      <c r="C26" s="115" t="s">
        <v>420</v>
      </c>
      <c r="D26" s="123" t="s">
        <v>357</v>
      </c>
      <c r="E26" s="115" t="s">
        <v>421</v>
      </c>
      <c r="F26" s="124" t="s">
        <v>397</v>
      </c>
      <c r="G26" s="117" t="s">
        <v>419</v>
      </c>
      <c r="H26" s="118" t="s">
        <v>422</v>
      </c>
      <c r="I26" s="119">
        <v>2</v>
      </c>
      <c r="J26" s="119">
        <v>2</v>
      </c>
      <c r="K26" s="119">
        <v>1.5</v>
      </c>
      <c r="L26" s="119">
        <v>2</v>
      </c>
      <c r="M26" s="119">
        <v>2</v>
      </c>
      <c r="N26" s="119">
        <v>1.5</v>
      </c>
      <c r="O26" s="119"/>
      <c r="P26" s="119">
        <v>2</v>
      </c>
      <c r="Q26" s="119">
        <v>2</v>
      </c>
      <c r="R26" s="119">
        <v>2</v>
      </c>
      <c r="S26" s="119">
        <v>2</v>
      </c>
      <c r="T26" s="119">
        <v>2</v>
      </c>
      <c r="U26" s="119">
        <v>1</v>
      </c>
      <c r="V26" s="119"/>
      <c r="W26" s="119">
        <v>1.5</v>
      </c>
      <c r="X26" s="119">
        <v>1.5</v>
      </c>
      <c r="Y26" s="119">
        <v>1</v>
      </c>
      <c r="Z26" s="119">
        <v>1.5</v>
      </c>
      <c r="AA26" s="119">
        <v>0.5</v>
      </c>
      <c r="AB26" s="119"/>
      <c r="AC26" s="119"/>
      <c r="AD26" s="119">
        <v>1</v>
      </c>
      <c r="AE26" s="119">
        <v>1</v>
      </c>
      <c r="AF26" s="119">
        <v>1.5</v>
      </c>
      <c r="AG26" s="119">
        <v>1.5</v>
      </c>
      <c r="AH26" s="119"/>
      <c r="AI26" s="119"/>
      <c r="AJ26" s="119"/>
      <c r="AK26" s="119">
        <v>1</v>
      </c>
      <c r="AL26" s="119">
        <v>1.5</v>
      </c>
      <c r="AM26" s="119"/>
      <c r="AN26" s="120">
        <f t="shared" si="2"/>
        <v>35.5</v>
      </c>
      <c r="AO26" s="116">
        <v>210000</v>
      </c>
      <c r="AP26" s="121">
        <f t="shared" si="3"/>
        <v>7455000</v>
      </c>
    </row>
    <row r="27" spans="1:42" ht="24.9" customHeight="1">
      <c r="A27" s="122">
        <v>22</v>
      </c>
      <c r="B27" s="114" t="s">
        <v>423</v>
      </c>
      <c r="C27" s="115" t="s">
        <v>424</v>
      </c>
      <c r="D27" s="125" t="s">
        <v>335</v>
      </c>
      <c r="E27" s="115" t="s">
        <v>425</v>
      </c>
      <c r="F27" s="124" t="s">
        <v>331</v>
      </c>
      <c r="G27" s="117" t="s">
        <v>423</v>
      </c>
      <c r="H27" s="118" t="s">
        <v>426</v>
      </c>
      <c r="I27" s="119">
        <v>2</v>
      </c>
      <c r="J27" s="119">
        <v>2</v>
      </c>
      <c r="K27" s="119">
        <v>1.5</v>
      </c>
      <c r="L27" s="119">
        <v>2</v>
      </c>
      <c r="M27" s="119">
        <v>2</v>
      </c>
      <c r="N27" s="119">
        <v>1.5</v>
      </c>
      <c r="O27" s="119"/>
      <c r="P27" s="119">
        <v>2</v>
      </c>
      <c r="Q27" s="119">
        <v>2</v>
      </c>
      <c r="R27" s="119">
        <v>2</v>
      </c>
      <c r="S27" s="119">
        <v>2</v>
      </c>
      <c r="T27" s="119">
        <v>2</v>
      </c>
      <c r="U27" s="119"/>
      <c r="V27" s="119"/>
      <c r="W27" s="119">
        <v>1.5</v>
      </c>
      <c r="X27" s="119">
        <v>1.5</v>
      </c>
      <c r="Y27" s="119">
        <v>1</v>
      </c>
      <c r="Z27" s="119">
        <v>1.5</v>
      </c>
      <c r="AA27" s="119">
        <v>1.5</v>
      </c>
      <c r="AB27" s="119">
        <v>1</v>
      </c>
      <c r="AC27" s="119"/>
      <c r="AD27" s="119">
        <v>1</v>
      </c>
      <c r="AE27" s="119">
        <v>1</v>
      </c>
      <c r="AF27" s="119">
        <v>1.5</v>
      </c>
      <c r="AG27" s="119">
        <v>1.5</v>
      </c>
      <c r="AH27" s="119">
        <v>1</v>
      </c>
      <c r="AI27" s="119"/>
      <c r="AJ27" s="119"/>
      <c r="AK27" s="119">
        <v>1</v>
      </c>
      <c r="AL27" s="119">
        <v>1.5</v>
      </c>
      <c r="AM27" s="119"/>
      <c r="AN27" s="120">
        <f t="shared" si="2"/>
        <v>37.5</v>
      </c>
      <c r="AO27" s="116">
        <v>160000</v>
      </c>
      <c r="AP27" s="121">
        <f t="shared" si="3"/>
        <v>6000000</v>
      </c>
    </row>
    <row r="28" spans="1:42" ht="24.9" customHeight="1">
      <c r="A28" s="122">
        <v>23</v>
      </c>
      <c r="B28" s="114" t="s">
        <v>427</v>
      </c>
      <c r="C28" s="115" t="s">
        <v>428</v>
      </c>
      <c r="D28" s="125" t="s">
        <v>335</v>
      </c>
      <c r="E28" s="115" t="s">
        <v>429</v>
      </c>
      <c r="F28" s="124" t="s">
        <v>380</v>
      </c>
      <c r="G28" s="117" t="s">
        <v>427</v>
      </c>
      <c r="H28" s="118" t="s">
        <v>430</v>
      </c>
      <c r="I28" s="119">
        <v>2</v>
      </c>
      <c r="J28" s="119">
        <v>2</v>
      </c>
      <c r="K28" s="119">
        <v>1.5</v>
      </c>
      <c r="L28" s="119">
        <v>2</v>
      </c>
      <c r="M28" s="119">
        <v>2</v>
      </c>
      <c r="N28" s="119">
        <v>1.5</v>
      </c>
      <c r="O28" s="119"/>
      <c r="P28" s="119">
        <v>2</v>
      </c>
      <c r="Q28" s="119">
        <v>2</v>
      </c>
      <c r="R28" s="119">
        <v>2</v>
      </c>
      <c r="S28" s="119">
        <v>2</v>
      </c>
      <c r="T28" s="119">
        <v>2</v>
      </c>
      <c r="U28" s="119">
        <v>1</v>
      </c>
      <c r="V28" s="119"/>
      <c r="W28" s="119">
        <v>1.5</v>
      </c>
      <c r="X28" s="119">
        <v>1.5</v>
      </c>
      <c r="Y28" s="119">
        <v>1</v>
      </c>
      <c r="Z28" s="119">
        <v>1.5</v>
      </c>
      <c r="AA28" s="119">
        <v>1.5</v>
      </c>
      <c r="AB28" s="119">
        <v>1</v>
      </c>
      <c r="AC28" s="119"/>
      <c r="AD28" s="119">
        <v>1</v>
      </c>
      <c r="AE28" s="119">
        <v>1</v>
      </c>
      <c r="AF28" s="119">
        <v>1.5</v>
      </c>
      <c r="AG28" s="119">
        <v>1.5</v>
      </c>
      <c r="AH28" s="119">
        <v>1</v>
      </c>
      <c r="AI28" s="119"/>
      <c r="AJ28" s="119"/>
      <c r="AK28" s="119"/>
      <c r="AL28" s="119">
        <v>1.5</v>
      </c>
      <c r="AM28" s="119"/>
      <c r="AN28" s="120">
        <f t="shared" si="2"/>
        <v>37.5</v>
      </c>
      <c r="AO28" s="116">
        <v>150000</v>
      </c>
      <c r="AP28" s="121">
        <f t="shared" si="3"/>
        <v>5625000</v>
      </c>
    </row>
    <row r="29" spans="1:42" ht="24.9" customHeight="1">
      <c r="A29" s="122">
        <v>24</v>
      </c>
      <c r="B29" s="114" t="s">
        <v>431</v>
      </c>
      <c r="C29" s="115" t="s">
        <v>432</v>
      </c>
      <c r="D29" s="125" t="s">
        <v>335</v>
      </c>
      <c r="E29" s="115" t="s">
        <v>433</v>
      </c>
      <c r="F29" s="124" t="s">
        <v>347</v>
      </c>
      <c r="G29" s="117" t="s">
        <v>431</v>
      </c>
      <c r="H29" s="118" t="s">
        <v>434</v>
      </c>
      <c r="I29" s="119">
        <v>2</v>
      </c>
      <c r="J29" s="119">
        <v>2</v>
      </c>
      <c r="K29" s="119">
        <v>1.5</v>
      </c>
      <c r="L29" s="119">
        <v>2</v>
      </c>
      <c r="M29" s="119">
        <v>2</v>
      </c>
      <c r="N29" s="119">
        <v>1.5</v>
      </c>
      <c r="O29" s="119"/>
      <c r="P29" s="119">
        <v>0.5</v>
      </c>
      <c r="Q29" s="119">
        <v>2</v>
      </c>
      <c r="R29" s="119">
        <v>2</v>
      </c>
      <c r="S29" s="119">
        <v>2</v>
      </c>
      <c r="T29" s="119">
        <v>2</v>
      </c>
      <c r="U29" s="119"/>
      <c r="V29" s="119"/>
      <c r="W29" s="119"/>
      <c r="X29" s="119">
        <v>1.5</v>
      </c>
      <c r="Y29" s="119">
        <v>1</v>
      </c>
      <c r="Z29" s="119">
        <v>1.5</v>
      </c>
      <c r="AA29" s="119">
        <v>1.5</v>
      </c>
      <c r="AB29" s="119"/>
      <c r="AC29" s="119"/>
      <c r="AD29" s="119">
        <v>1</v>
      </c>
      <c r="AE29" s="119">
        <v>1</v>
      </c>
      <c r="AF29" s="119">
        <v>1.5</v>
      </c>
      <c r="AG29" s="119">
        <v>1.5</v>
      </c>
      <c r="AH29" s="119">
        <v>1</v>
      </c>
      <c r="AI29" s="119"/>
      <c r="AJ29" s="119"/>
      <c r="AK29" s="119">
        <v>1</v>
      </c>
      <c r="AL29" s="119">
        <v>1.5</v>
      </c>
      <c r="AM29" s="119"/>
      <c r="AN29" s="120">
        <f t="shared" ref="AN29:AN80" si="4">SUM(I29:AM29)</f>
        <v>33.5</v>
      </c>
      <c r="AO29" s="116">
        <v>150000</v>
      </c>
      <c r="AP29" s="121">
        <f t="shared" ref="AP29:AP80" si="5">AN29*AO29</f>
        <v>5025000</v>
      </c>
    </row>
    <row r="30" spans="1:42" ht="24.9" customHeight="1">
      <c r="A30" s="122">
        <v>25</v>
      </c>
      <c r="B30" s="114" t="s">
        <v>435</v>
      </c>
      <c r="C30" s="115" t="s">
        <v>436</v>
      </c>
      <c r="D30" s="123" t="s">
        <v>335</v>
      </c>
      <c r="E30" s="115" t="s">
        <v>437</v>
      </c>
      <c r="F30" s="124" t="s">
        <v>342</v>
      </c>
      <c r="G30" s="117" t="s">
        <v>435</v>
      </c>
      <c r="H30" s="118" t="s">
        <v>438</v>
      </c>
      <c r="I30" s="119">
        <v>2</v>
      </c>
      <c r="J30" s="119">
        <v>2</v>
      </c>
      <c r="K30" s="119">
        <v>1.5</v>
      </c>
      <c r="L30" s="119">
        <v>2</v>
      </c>
      <c r="M30" s="119">
        <v>2</v>
      </c>
      <c r="N30" s="119">
        <v>1.5</v>
      </c>
      <c r="O30" s="119"/>
      <c r="P30" s="119">
        <v>2</v>
      </c>
      <c r="Q30" s="119">
        <v>2</v>
      </c>
      <c r="R30" s="119">
        <v>2</v>
      </c>
      <c r="S30" s="119">
        <v>2</v>
      </c>
      <c r="T30" s="119">
        <v>2</v>
      </c>
      <c r="U30" s="119">
        <v>1</v>
      </c>
      <c r="V30" s="119"/>
      <c r="W30" s="119">
        <v>1.5</v>
      </c>
      <c r="X30" s="119">
        <v>1.5</v>
      </c>
      <c r="Y30" s="119">
        <v>1</v>
      </c>
      <c r="Z30" s="119">
        <v>1.5</v>
      </c>
      <c r="AA30" s="119">
        <v>1.5</v>
      </c>
      <c r="AB30" s="119">
        <v>1</v>
      </c>
      <c r="AC30" s="119"/>
      <c r="AD30" s="119">
        <v>1</v>
      </c>
      <c r="AE30" s="119">
        <v>1</v>
      </c>
      <c r="AF30" s="119">
        <v>1.5</v>
      </c>
      <c r="AG30" s="119">
        <v>1.5</v>
      </c>
      <c r="AH30" s="119">
        <v>1</v>
      </c>
      <c r="AI30" s="119"/>
      <c r="AJ30" s="119"/>
      <c r="AK30" s="119">
        <v>1</v>
      </c>
      <c r="AL30" s="119">
        <v>1.5</v>
      </c>
      <c r="AM30" s="119"/>
      <c r="AN30" s="120">
        <f t="shared" si="4"/>
        <v>38.5</v>
      </c>
      <c r="AO30" s="116">
        <v>160000</v>
      </c>
      <c r="AP30" s="121">
        <f t="shared" si="5"/>
        <v>6160000</v>
      </c>
    </row>
    <row r="31" spans="1:42" ht="24.9" customHeight="1">
      <c r="A31" s="122">
        <v>26</v>
      </c>
      <c r="B31" s="114" t="s">
        <v>439</v>
      </c>
      <c r="C31" s="115" t="s">
        <v>440</v>
      </c>
      <c r="D31" s="123" t="s">
        <v>335</v>
      </c>
      <c r="E31" s="115" t="s">
        <v>441</v>
      </c>
      <c r="F31" s="124" t="s">
        <v>353</v>
      </c>
      <c r="G31" s="117" t="s">
        <v>439</v>
      </c>
      <c r="H31" s="118" t="s">
        <v>442</v>
      </c>
      <c r="I31" s="119">
        <v>2</v>
      </c>
      <c r="J31" s="119">
        <v>2</v>
      </c>
      <c r="K31" s="119">
        <v>1.5</v>
      </c>
      <c r="L31" s="119">
        <v>2</v>
      </c>
      <c r="M31" s="119">
        <v>2</v>
      </c>
      <c r="N31" s="119">
        <v>1.5</v>
      </c>
      <c r="O31" s="119"/>
      <c r="P31" s="119">
        <v>2</v>
      </c>
      <c r="Q31" s="119">
        <v>2</v>
      </c>
      <c r="R31" s="119">
        <v>2</v>
      </c>
      <c r="S31" s="119">
        <v>2</v>
      </c>
      <c r="T31" s="119">
        <v>2</v>
      </c>
      <c r="U31" s="119"/>
      <c r="V31" s="119"/>
      <c r="W31" s="119">
        <v>1.5</v>
      </c>
      <c r="X31" s="119">
        <v>1.5</v>
      </c>
      <c r="Y31" s="119">
        <v>1</v>
      </c>
      <c r="Z31" s="119">
        <v>1.5</v>
      </c>
      <c r="AA31" s="119">
        <v>1.5</v>
      </c>
      <c r="AB31" s="119">
        <v>1</v>
      </c>
      <c r="AC31" s="119"/>
      <c r="AD31" s="119">
        <v>1</v>
      </c>
      <c r="AE31" s="119">
        <v>1</v>
      </c>
      <c r="AF31" s="119">
        <v>1.5</v>
      </c>
      <c r="AG31" s="119">
        <v>1.5</v>
      </c>
      <c r="AH31" s="119">
        <v>1</v>
      </c>
      <c r="AI31" s="119"/>
      <c r="AJ31" s="119"/>
      <c r="AK31" s="119">
        <v>1</v>
      </c>
      <c r="AL31" s="119">
        <v>1.5</v>
      </c>
      <c r="AM31" s="119"/>
      <c r="AN31" s="120">
        <f t="shared" si="4"/>
        <v>37.5</v>
      </c>
      <c r="AO31" s="116">
        <v>190000</v>
      </c>
      <c r="AP31" s="121">
        <f t="shared" si="5"/>
        <v>7125000</v>
      </c>
    </row>
    <row r="32" spans="1:42" ht="24.9" customHeight="1">
      <c r="A32" s="122">
        <v>27</v>
      </c>
      <c r="B32" s="114" t="s">
        <v>443</v>
      </c>
      <c r="C32" s="115" t="s">
        <v>444</v>
      </c>
      <c r="D32" s="125" t="s">
        <v>634</v>
      </c>
      <c r="E32" s="115" t="s">
        <v>445</v>
      </c>
      <c r="F32" s="124" t="s">
        <v>446</v>
      </c>
      <c r="G32" s="117" t="s">
        <v>443</v>
      </c>
      <c r="H32" s="118" t="s">
        <v>447</v>
      </c>
      <c r="I32" s="119">
        <v>2</v>
      </c>
      <c r="J32" s="119">
        <v>2</v>
      </c>
      <c r="K32" s="119">
        <v>1.5</v>
      </c>
      <c r="L32" s="119">
        <v>2</v>
      </c>
      <c r="M32" s="119">
        <v>2</v>
      </c>
      <c r="N32" s="119">
        <v>1.5</v>
      </c>
      <c r="O32" s="119"/>
      <c r="P32" s="119">
        <v>2</v>
      </c>
      <c r="Q32" s="119">
        <v>2</v>
      </c>
      <c r="R32" s="119">
        <v>2</v>
      </c>
      <c r="S32" s="119">
        <v>2</v>
      </c>
      <c r="T32" s="119">
        <v>3</v>
      </c>
      <c r="U32" s="119">
        <v>0.875</v>
      </c>
      <c r="V32" s="119"/>
      <c r="W32" s="119">
        <v>1.5</v>
      </c>
      <c r="X32" s="119">
        <v>1.5</v>
      </c>
      <c r="Y32" s="119">
        <v>1</v>
      </c>
      <c r="Z32" s="119">
        <v>1.5</v>
      </c>
      <c r="AA32" s="119">
        <v>1.5</v>
      </c>
      <c r="AB32" s="119">
        <v>1</v>
      </c>
      <c r="AC32" s="119"/>
      <c r="AD32" s="119"/>
      <c r="AE32" s="119">
        <v>1</v>
      </c>
      <c r="AF32" s="119">
        <v>1.5</v>
      </c>
      <c r="AG32" s="119">
        <v>1.5</v>
      </c>
      <c r="AH32" s="119">
        <v>1</v>
      </c>
      <c r="AI32" s="119">
        <v>1</v>
      </c>
      <c r="AJ32" s="119"/>
      <c r="AK32" s="119">
        <v>1</v>
      </c>
      <c r="AL32" s="119">
        <v>1.5</v>
      </c>
      <c r="AM32" s="119"/>
      <c r="AN32" s="120">
        <f t="shared" si="4"/>
        <v>39.375</v>
      </c>
      <c r="AO32" s="116">
        <v>230000</v>
      </c>
      <c r="AP32" s="121">
        <f t="shared" si="5"/>
        <v>9056250</v>
      </c>
    </row>
    <row r="33" spans="1:42" ht="24.9" customHeight="1">
      <c r="A33" s="122">
        <v>28</v>
      </c>
      <c r="B33" s="114" t="s">
        <v>448</v>
      </c>
      <c r="C33" s="115" t="s">
        <v>449</v>
      </c>
      <c r="D33" s="123" t="s">
        <v>335</v>
      </c>
      <c r="E33" s="115" t="s">
        <v>450</v>
      </c>
      <c r="F33" s="124" t="s">
        <v>635</v>
      </c>
      <c r="G33" s="117" t="s">
        <v>448</v>
      </c>
      <c r="H33" s="118" t="s">
        <v>636</v>
      </c>
      <c r="I33" s="119">
        <v>2</v>
      </c>
      <c r="J33" s="119">
        <v>2</v>
      </c>
      <c r="K33" s="119">
        <v>1.5</v>
      </c>
      <c r="L33" s="119">
        <v>2</v>
      </c>
      <c r="M33" s="119">
        <v>2</v>
      </c>
      <c r="N33" s="119">
        <v>1.5</v>
      </c>
      <c r="O33" s="119"/>
      <c r="P33" s="119">
        <v>2</v>
      </c>
      <c r="Q33" s="119">
        <v>2</v>
      </c>
      <c r="R33" s="119">
        <v>2</v>
      </c>
      <c r="S33" s="119">
        <v>2</v>
      </c>
      <c r="T33" s="119">
        <v>2</v>
      </c>
      <c r="U33" s="119">
        <v>0.875</v>
      </c>
      <c r="V33" s="119"/>
      <c r="W33" s="119">
        <v>1.5</v>
      </c>
      <c r="X33" s="119">
        <v>1.5</v>
      </c>
      <c r="Y33" s="119">
        <v>1</v>
      </c>
      <c r="Z33" s="119">
        <v>1</v>
      </c>
      <c r="AA33" s="119">
        <v>1.5</v>
      </c>
      <c r="AB33" s="119">
        <v>1</v>
      </c>
      <c r="AC33" s="119"/>
      <c r="AD33" s="119">
        <v>1</v>
      </c>
      <c r="AE33" s="119">
        <v>1</v>
      </c>
      <c r="AF33" s="119">
        <v>1.5</v>
      </c>
      <c r="AG33" s="119">
        <v>1.5</v>
      </c>
      <c r="AH33" s="119">
        <v>1</v>
      </c>
      <c r="AI33" s="119"/>
      <c r="AJ33" s="119"/>
      <c r="AK33" s="119">
        <v>1</v>
      </c>
      <c r="AL33" s="119">
        <v>1.5</v>
      </c>
      <c r="AM33" s="119"/>
      <c r="AN33" s="120">
        <f t="shared" si="4"/>
        <v>37.875</v>
      </c>
      <c r="AO33" s="116">
        <v>160000</v>
      </c>
      <c r="AP33" s="121">
        <f t="shared" si="5"/>
        <v>6060000</v>
      </c>
    </row>
    <row r="34" spans="1:42" ht="24.9" customHeight="1">
      <c r="A34" s="122">
        <v>29</v>
      </c>
      <c r="B34" s="114" t="s">
        <v>451</v>
      </c>
      <c r="C34" s="115" t="s">
        <v>452</v>
      </c>
      <c r="D34" s="125" t="s">
        <v>335</v>
      </c>
      <c r="E34" s="115" t="s">
        <v>453</v>
      </c>
      <c r="F34" s="124" t="s">
        <v>347</v>
      </c>
      <c r="G34" s="117" t="s">
        <v>451</v>
      </c>
      <c r="H34" s="118" t="s">
        <v>454</v>
      </c>
      <c r="I34" s="119">
        <v>2</v>
      </c>
      <c r="J34" s="119">
        <v>2</v>
      </c>
      <c r="K34" s="119">
        <v>1.5</v>
      </c>
      <c r="L34" s="119">
        <v>2</v>
      </c>
      <c r="M34" s="119">
        <v>2</v>
      </c>
      <c r="N34" s="119">
        <v>1.5</v>
      </c>
      <c r="O34" s="119"/>
      <c r="P34" s="119">
        <v>2</v>
      </c>
      <c r="Q34" s="119">
        <v>2</v>
      </c>
      <c r="R34" s="119">
        <v>2</v>
      </c>
      <c r="S34" s="119">
        <v>2</v>
      </c>
      <c r="T34" s="119">
        <v>2</v>
      </c>
      <c r="U34" s="119">
        <v>1</v>
      </c>
      <c r="V34" s="119"/>
      <c r="W34" s="119">
        <v>1.5</v>
      </c>
      <c r="X34" s="119">
        <v>1.5</v>
      </c>
      <c r="Y34" s="119">
        <v>1</v>
      </c>
      <c r="Z34" s="119">
        <v>1.5</v>
      </c>
      <c r="AA34" s="119">
        <v>1.5</v>
      </c>
      <c r="AB34" s="119">
        <v>1</v>
      </c>
      <c r="AC34" s="119"/>
      <c r="AD34" s="119">
        <v>1</v>
      </c>
      <c r="AE34" s="119">
        <v>1</v>
      </c>
      <c r="AF34" s="119">
        <v>1.5</v>
      </c>
      <c r="AG34" s="119">
        <v>1.5</v>
      </c>
      <c r="AH34" s="119">
        <v>1</v>
      </c>
      <c r="AI34" s="119"/>
      <c r="AJ34" s="119"/>
      <c r="AK34" s="119">
        <v>1</v>
      </c>
      <c r="AL34" s="119">
        <v>1.5</v>
      </c>
      <c r="AM34" s="119"/>
      <c r="AN34" s="120">
        <f t="shared" si="4"/>
        <v>38.5</v>
      </c>
      <c r="AO34" s="116">
        <v>150000</v>
      </c>
      <c r="AP34" s="121">
        <f t="shared" si="5"/>
        <v>5775000</v>
      </c>
    </row>
    <row r="35" spans="1:42" ht="24.9" customHeight="1">
      <c r="A35" s="122">
        <v>30</v>
      </c>
      <c r="B35" s="114" t="s">
        <v>455</v>
      </c>
      <c r="C35" s="115" t="s">
        <v>456</v>
      </c>
      <c r="D35" s="125" t="s">
        <v>634</v>
      </c>
      <c r="E35" s="115" t="s">
        <v>457</v>
      </c>
      <c r="F35" s="124" t="s">
        <v>353</v>
      </c>
      <c r="G35" s="117" t="s">
        <v>455</v>
      </c>
      <c r="H35" s="118" t="s">
        <v>458</v>
      </c>
      <c r="I35" s="119">
        <v>2</v>
      </c>
      <c r="J35" s="119">
        <v>2</v>
      </c>
      <c r="K35" s="119">
        <v>1.5</v>
      </c>
      <c r="L35" s="119">
        <v>2</v>
      </c>
      <c r="M35" s="119">
        <v>2</v>
      </c>
      <c r="N35" s="119">
        <v>1.5</v>
      </c>
      <c r="O35" s="119"/>
      <c r="P35" s="119">
        <v>2</v>
      </c>
      <c r="Q35" s="119">
        <v>2</v>
      </c>
      <c r="R35" s="119">
        <v>2</v>
      </c>
      <c r="S35" s="119">
        <v>2</v>
      </c>
      <c r="T35" s="119">
        <v>2</v>
      </c>
      <c r="U35" s="119">
        <v>1</v>
      </c>
      <c r="V35" s="119"/>
      <c r="W35" s="119">
        <v>1.5</v>
      </c>
      <c r="X35" s="119">
        <v>1.5</v>
      </c>
      <c r="Y35" s="119">
        <v>1</v>
      </c>
      <c r="Z35" s="119">
        <v>1.5</v>
      </c>
      <c r="AA35" s="119">
        <v>1.5</v>
      </c>
      <c r="AB35" s="119">
        <v>1</v>
      </c>
      <c r="AC35" s="119"/>
      <c r="AD35" s="119">
        <v>1</v>
      </c>
      <c r="AE35" s="119">
        <v>1</v>
      </c>
      <c r="AF35" s="119">
        <v>1.5</v>
      </c>
      <c r="AG35" s="119">
        <v>1.5</v>
      </c>
      <c r="AH35" s="119">
        <v>1</v>
      </c>
      <c r="AI35" s="119"/>
      <c r="AJ35" s="119"/>
      <c r="AK35" s="119">
        <v>1</v>
      </c>
      <c r="AL35" s="119">
        <v>1.5</v>
      </c>
      <c r="AM35" s="119"/>
      <c r="AN35" s="120">
        <f t="shared" si="4"/>
        <v>38.5</v>
      </c>
      <c r="AO35" s="116">
        <v>210000</v>
      </c>
      <c r="AP35" s="121">
        <f t="shared" si="5"/>
        <v>8085000</v>
      </c>
    </row>
    <row r="36" spans="1:42" ht="24.9" customHeight="1">
      <c r="A36" s="122">
        <v>31</v>
      </c>
      <c r="B36" s="114" t="s">
        <v>459</v>
      </c>
      <c r="C36" s="115" t="s">
        <v>460</v>
      </c>
      <c r="D36" s="125" t="s">
        <v>357</v>
      </c>
      <c r="E36" s="115" t="s">
        <v>461</v>
      </c>
      <c r="F36" s="124" t="s">
        <v>353</v>
      </c>
      <c r="G36" s="117" t="s">
        <v>459</v>
      </c>
      <c r="H36" s="118" t="s">
        <v>462</v>
      </c>
      <c r="I36" s="119">
        <v>2</v>
      </c>
      <c r="J36" s="119">
        <v>2</v>
      </c>
      <c r="K36" s="119">
        <v>1.5</v>
      </c>
      <c r="L36" s="119">
        <v>2</v>
      </c>
      <c r="M36" s="119">
        <v>2</v>
      </c>
      <c r="N36" s="119">
        <v>1.5</v>
      </c>
      <c r="O36" s="119"/>
      <c r="P36" s="119">
        <v>2</v>
      </c>
      <c r="Q36" s="119">
        <v>2</v>
      </c>
      <c r="R36" s="119">
        <v>2</v>
      </c>
      <c r="S36" s="119">
        <v>2</v>
      </c>
      <c r="T36" s="119">
        <v>2</v>
      </c>
      <c r="U36" s="119">
        <v>1</v>
      </c>
      <c r="V36" s="119"/>
      <c r="W36" s="119">
        <v>1.5</v>
      </c>
      <c r="X36" s="119">
        <v>1.5</v>
      </c>
      <c r="Y36" s="119">
        <v>1</v>
      </c>
      <c r="Z36" s="119">
        <v>1.5</v>
      </c>
      <c r="AA36" s="119">
        <v>1.5</v>
      </c>
      <c r="AB36" s="119"/>
      <c r="AC36" s="119"/>
      <c r="AD36" s="119"/>
      <c r="AE36" s="119">
        <v>1</v>
      </c>
      <c r="AF36" s="119">
        <v>1.5</v>
      </c>
      <c r="AG36" s="119">
        <v>1.5</v>
      </c>
      <c r="AH36" s="119">
        <v>1</v>
      </c>
      <c r="AI36" s="119"/>
      <c r="AJ36" s="119"/>
      <c r="AK36" s="119">
        <v>1</v>
      </c>
      <c r="AL36" s="119">
        <v>1.5</v>
      </c>
      <c r="AM36" s="119"/>
      <c r="AN36" s="120">
        <f t="shared" si="4"/>
        <v>36.5</v>
      </c>
      <c r="AO36" s="116">
        <v>200000</v>
      </c>
      <c r="AP36" s="121">
        <f t="shared" si="5"/>
        <v>7300000</v>
      </c>
    </row>
    <row r="37" spans="1:42" ht="24.9" customHeight="1">
      <c r="A37" s="122">
        <v>32</v>
      </c>
      <c r="B37" s="114" t="s">
        <v>463</v>
      </c>
      <c r="C37" s="115" t="s">
        <v>464</v>
      </c>
      <c r="D37" s="123" t="s">
        <v>335</v>
      </c>
      <c r="E37" s="115" t="s">
        <v>465</v>
      </c>
      <c r="F37" s="124" t="s">
        <v>466</v>
      </c>
      <c r="G37" s="117" t="s">
        <v>463</v>
      </c>
      <c r="H37" s="118" t="s">
        <v>467</v>
      </c>
      <c r="I37" s="119">
        <v>2</v>
      </c>
      <c r="J37" s="119">
        <v>2</v>
      </c>
      <c r="K37" s="119">
        <v>1.5</v>
      </c>
      <c r="L37" s="119">
        <v>2</v>
      </c>
      <c r="M37" s="119">
        <v>2</v>
      </c>
      <c r="N37" s="119">
        <v>1.5</v>
      </c>
      <c r="O37" s="119"/>
      <c r="P37" s="119">
        <v>2</v>
      </c>
      <c r="Q37" s="119">
        <v>2</v>
      </c>
      <c r="R37" s="119">
        <v>2</v>
      </c>
      <c r="S37" s="119">
        <v>2</v>
      </c>
      <c r="T37" s="119">
        <v>2</v>
      </c>
      <c r="U37" s="119"/>
      <c r="V37" s="119"/>
      <c r="W37" s="119"/>
      <c r="X37" s="119">
        <v>1.5</v>
      </c>
      <c r="Y37" s="119">
        <v>1</v>
      </c>
      <c r="Z37" s="119">
        <v>1.5</v>
      </c>
      <c r="AA37" s="119">
        <v>1.5</v>
      </c>
      <c r="AB37" s="119">
        <v>1</v>
      </c>
      <c r="AC37" s="119"/>
      <c r="AD37" s="119">
        <v>1</v>
      </c>
      <c r="AE37" s="119">
        <v>1</v>
      </c>
      <c r="AF37" s="119">
        <v>1.5</v>
      </c>
      <c r="AG37" s="119">
        <v>1.5</v>
      </c>
      <c r="AH37" s="119">
        <v>1</v>
      </c>
      <c r="AI37" s="119"/>
      <c r="AJ37" s="119"/>
      <c r="AK37" s="119">
        <v>1</v>
      </c>
      <c r="AL37" s="119">
        <v>1.5</v>
      </c>
      <c r="AM37" s="119"/>
      <c r="AN37" s="120">
        <f t="shared" si="4"/>
        <v>36</v>
      </c>
      <c r="AO37" s="116">
        <v>160000</v>
      </c>
      <c r="AP37" s="121">
        <f t="shared" si="5"/>
        <v>5760000</v>
      </c>
    </row>
    <row r="38" spans="1:42" ht="24.9" customHeight="1">
      <c r="A38" s="122">
        <v>33</v>
      </c>
      <c r="B38" s="114" t="s">
        <v>468</v>
      </c>
      <c r="C38" s="115" t="s">
        <v>469</v>
      </c>
      <c r="D38" s="123" t="s">
        <v>335</v>
      </c>
      <c r="E38" s="115" t="s">
        <v>470</v>
      </c>
      <c r="F38" s="124" t="s">
        <v>331</v>
      </c>
      <c r="G38" s="117" t="s">
        <v>468</v>
      </c>
      <c r="H38" s="118" t="s">
        <v>471</v>
      </c>
      <c r="I38" s="119">
        <v>2</v>
      </c>
      <c r="J38" s="119">
        <v>2</v>
      </c>
      <c r="K38" s="119">
        <v>1.5</v>
      </c>
      <c r="L38" s="119"/>
      <c r="M38" s="119">
        <v>2</v>
      </c>
      <c r="N38" s="119">
        <v>1.5</v>
      </c>
      <c r="O38" s="119"/>
      <c r="P38" s="119">
        <v>2</v>
      </c>
      <c r="Q38" s="119"/>
      <c r="R38" s="119">
        <v>2</v>
      </c>
      <c r="S38" s="119">
        <v>2</v>
      </c>
      <c r="T38" s="119">
        <v>2</v>
      </c>
      <c r="U38" s="119">
        <v>1</v>
      </c>
      <c r="V38" s="119"/>
      <c r="W38" s="119">
        <v>1.5</v>
      </c>
      <c r="X38" s="119">
        <v>1.5</v>
      </c>
      <c r="Y38" s="119">
        <v>1</v>
      </c>
      <c r="Z38" s="119">
        <v>1.5</v>
      </c>
      <c r="AA38" s="119">
        <v>1.5</v>
      </c>
      <c r="AB38" s="119"/>
      <c r="AC38" s="119"/>
      <c r="AD38" s="119">
        <v>1</v>
      </c>
      <c r="AE38" s="119">
        <v>1</v>
      </c>
      <c r="AF38" s="119">
        <v>1.5</v>
      </c>
      <c r="AG38" s="119">
        <v>1.5</v>
      </c>
      <c r="AH38" s="119">
        <v>1</v>
      </c>
      <c r="AI38" s="119"/>
      <c r="AJ38" s="119"/>
      <c r="AK38" s="119">
        <v>1</v>
      </c>
      <c r="AL38" s="119">
        <v>1.5</v>
      </c>
      <c r="AM38" s="119"/>
      <c r="AN38" s="120">
        <f t="shared" si="4"/>
        <v>33.5</v>
      </c>
      <c r="AO38" s="116">
        <v>150000</v>
      </c>
      <c r="AP38" s="121">
        <f t="shared" si="5"/>
        <v>5025000</v>
      </c>
    </row>
    <row r="39" spans="1:42" ht="24.9" customHeight="1">
      <c r="A39" s="122">
        <v>34</v>
      </c>
      <c r="B39" s="114" t="s">
        <v>472</v>
      </c>
      <c r="C39" s="115" t="s">
        <v>473</v>
      </c>
      <c r="D39" s="125" t="s">
        <v>335</v>
      </c>
      <c r="E39" s="115" t="s">
        <v>474</v>
      </c>
      <c r="F39" s="124" t="s">
        <v>337</v>
      </c>
      <c r="G39" s="117" t="s">
        <v>472</v>
      </c>
      <c r="H39" s="118" t="s">
        <v>475</v>
      </c>
      <c r="I39" s="119">
        <v>2</v>
      </c>
      <c r="J39" s="119">
        <v>2</v>
      </c>
      <c r="K39" s="119">
        <v>1.5</v>
      </c>
      <c r="L39" s="119">
        <v>2</v>
      </c>
      <c r="M39" s="119">
        <v>2</v>
      </c>
      <c r="N39" s="119">
        <v>1.5</v>
      </c>
      <c r="O39" s="119"/>
      <c r="P39" s="119">
        <v>2</v>
      </c>
      <c r="Q39" s="119">
        <v>2</v>
      </c>
      <c r="R39" s="119">
        <v>2</v>
      </c>
      <c r="S39" s="119">
        <v>2</v>
      </c>
      <c r="T39" s="119">
        <v>2</v>
      </c>
      <c r="U39" s="119">
        <v>1</v>
      </c>
      <c r="V39" s="119"/>
      <c r="W39" s="119">
        <v>1.5</v>
      </c>
      <c r="X39" s="119">
        <v>1.5</v>
      </c>
      <c r="Y39" s="119">
        <v>1</v>
      </c>
      <c r="Z39" s="119">
        <v>1.5</v>
      </c>
      <c r="AA39" s="119">
        <v>1.5</v>
      </c>
      <c r="AB39" s="119"/>
      <c r="AC39" s="119"/>
      <c r="AD39" s="119">
        <v>1</v>
      </c>
      <c r="AE39" s="119">
        <v>1</v>
      </c>
      <c r="AF39" s="119">
        <v>1.5</v>
      </c>
      <c r="AG39" s="119">
        <v>1.5</v>
      </c>
      <c r="AH39" s="119">
        <v>1</v>
      </c>
      <c r="AI39" s="119"/>
      <c r="AJ39" s="119"/>
      <c r="AK39" s="119">
        <v>1</v>
      </c>
      <c r="AL39" s="119">
        <v>1.5</v>
      </c>
      <c r="AM39" s="119"/>
      <c r="AN39" s="120">
        <f t="shared" si="4"/>
        <v>37.5</v>
      </c>
      <c r="AO39" s="116">
        <v>150000</v>
      </c>
      <c r="AP39" s="121">
        <f t="shared" si="5"/>
        <v>5625000</v>
      </c>
    </row>
    <row r="40" spans="1:42" ht="24.9" customHeight="1">
      <c r="A40" s="122">
        <v>35</v>
      </c>
      <c r="B40" s="114" t="s">
        <v>476</v>
      </c>
      <c r="C40" s="115" t="s">
        <v>477</v>
      </c>
      <c r="D40" s="123" t="s">
        <v>357</v>
      </c>
      <c r="E40" s="115" t="s">
        <v>478</v>
      </c>
      <c r="F40" s="124" t="s">
        <v>353</v>
      </c>
      <c r="G40" s="117" t="s">
        <v>476</v>
      </c>
      <c r="H40" s="118" t="s">
        <v>479</v>
      </c>
      <c r="I40" s="119">
        <v>2</v>
      </c>
      <c r="J40" s="119">
        <v>2</v>
      </c>
      <c r="K40" s="119">
        <v>1.5</v>
      </c>
      <c r="L40" s="119">
        <v>2</v>
      </c>
      <c r="M40" s="119">
        <v>2</v>
      </c>
      <c r="N40" s="119">
        <v>1.5</v>
      </c>
      <c r="O40" s="119"/>
      <c r="P40" s="119">
        <v>2</v>
      </c>
      <c r="Q40" s="119">
        <v>2</v>
      </c>
      <c r="R40" s="119">
        <v>2</v>
      </c>
      <c r="S40" s="119">
        <v>2</v>
      </c>
      <c r="T40" s="119">
        <v>2</v>
      </c>
      <c r="U40" s="119">
        <v>1</v>
      </c>
      <c r="V40" s="119"/>
      <c r="W40" s="119">
        <v>1.5</v>
      </c>
      <c r="X40" s="119">
        <v>1.5</v>
      </c>
      <c r="Y40" s="119">
        <v>1</v>
      </c>
      <c r="Z40" s="119">
        <v>1.5</v>
      </c>
      <c r="AA40" s="119">
        <v>1.5</v>
      </c>
      <c r="AB40" s="119">
        <v>1</v>
      </c>
      <c r="AC40" s="119"/>
      <c r="AD40" s="119">
        <v>1</v>
      </c>
      <c r="AE40" s="119">
        <v>1</v>
      </c>
      <c r="AF40" s="119">
        <v>1.5</v>
      </c>
      <c r="AG40" s="119">
        <v>1.5</v>
      </c>
      <c r="AH40" s="119">
        <v>1</v>
      </c>
      <c r="AI40" s="119"/>
      <c r="AJ40" s="119"/>
      <c r="AK40" s="119">
        <v>1</v>
      </c>
      <c r="AL40" s="119">
        <v>1.5</v>
      </c>
      <c r="AM40" s="119"/>
      <c r="AN40" s="120">
        <f t="shared" si="4"/>
        <v>38.5</v>
      </c>
      <c r="AO40" s="116">
        <v>220000</v>
      </c>
      <c r="AP40" s="121">
        <f t="shared" si="5"/>
        <v>8470000</v>
      </c>
    </row>
    <row r="41" spans="1:42" ht="24.9" customHeight="1">
      <c r="A41" s="122">
        <v>36</v>
      </c>
      <c r="B41" s="114" t="s">
        <v>480</v>
      </c>
      <c r="C41" s="115" t="s">
        <v>481</v>
      </c>
      <c r="D41" s="125" t="s">
        <v>357</v>
      </c>
      <c r="E41" s="115" t="s">
        <v>482</v>
      </c>
      <c r="F41" s="124" t="s">
        <v>483</v>
      </c>
      <c r="G41" s="117" t="s">
        <v>480</v>
      </c>
      <c r="H41" s="118" t="s">
        <v>484</v>
      </c>
      <c r="I41" s="119">
        <v>2</v>
      </c>
      <c r="J41" s="119">
        <v>2</v>
      </c>
      <c r="K41" s="119">
        <v>1.5</v>
      </c>
      <c r="L41" s="119">
        <v>2</v>
      </c>
      <c r="M41" s="119">
        <v>2</v>
      </c>
      <c r="N41" s="119">
        <v>1.5</v>
      </c>
      <c r="O41" s="119"/>
      <c r="P41" s="119">
        <v>2</v>
      </c>
      <c r="Q41" s="119">
        <v>2</v>
      </c>
      <c r="R41" s="119">
        <v>2</v>
      </c>
      <c r="S41" s="119">
        <v>2</v>
      </c>
      <c r="T41" s="119">
        <v>2</v>
      </c>
      <c r="U41" s="119">
        <v>1</v>
      </c>
      <c r="V41" s="119"/>
      <c r="W41" s="119">
        <v>1.5</v>
      </c>
      <c r="X41" s="119">
        <v>1.5</v>
      </c>
      <c r="Y41" s="119">
        <v>1</v>
      </c>
      <c r="Z41" s="119">
        <v>1.5</v>
      </c>
      <c r="AA41" s="119">
        <v>1.5</v>
      </c>
      <c r="AB41" s="119"/>
      <c r="AC41" s="119"/>
      <c r="AD41" s="119">
        <v>1</v>
      </c>
      <c r="AE41" s="119">
        <v>1</v>
      </c>
      <c r="AF41" s="119">
        <v>1.5</v>
      </c>
      <c r="AG41" s="119">
        <v>1.5</v>
      </c>
      <c r="AH41" s="119"/>
      <c r="AI41" s="119"/>
      <c r="AJ41" s="119"/>
      <c r="AK41" s="119">
        <v>1</v>
      </c>
      <c r="AL41" s="119">
        <v>1.5</v>
      </c>
      <c r="AM41" s="119"/>
      <c r="AN41" s="120">
        <f t="shared" si="4"/>
        <v>36.5</v>
      </c>
      <c r="AO41" s="116">
        <v>230000</v>
      </c>
      <c r="AP41" s="121">
        <f t="shared" si="5"/>
        <v>8395000</v>
      </c>
    </row>
    <row r="42" spans="1:42" ht="24.9" customHeight="1">
      <c r="A42" s="122">
        <v>37</v>
      </c>
      <c r="B42" s="114" t="s">
        <v>485</v>
      </c>
      <c r="C42" s="115" t="s">
        <v>486</v>
      </c>
      <c r="D42" s="125" t="s">
        <v>335</v>
      </c>
      <c r="E42" s="115" t="s">
        <v>487</v>
      </c>
      <c r="F42" s="124" t="s">
        <v>337</v>
      </c>
      <c r="G42" s="117" t="s">
        <v>485</v>
      </c>
      <c r="H42" s="118" t="s">
        <v>488</v>
      </c>
      <c r="I42" s="119">
        <v>2</v>
      </c>
      <c r="J42" s="119">
        <v>2</v>
      </c>
      <c r="K42" s="119">
        <v>1.5</v>
      </c>
      <c r="L42" s="119">
        <v>2</v>
      </c>
      <c r="M42" s="119">
        <v>2</v>
      </c>
      <c r="N42" s="119">
        <v>1.5</v>
      </c>
      <c r="O42" s="119"/>
      <c r="P42" s="119">
        <v>2</v>
      </c>
      <c r="Q42" s="119">
        <v>2</v>
      </c>
      <c r="R42" s="119">
        <v>2</v>
      </c>
      <c r="S42" s="119">
        <v>2</v>
      </c>
      <c r="T42" s="119">
        <v>2</v>
      </c>
      <c r="U42" s="119"/>
      <c r="V42" s="119"/>
      <c r="W42" s="119">
        <v>1.375</v>
      </c>
      <c r="X42" s="119">
        <v>1.5</v>
      </c>
      <c r="Y42" s="119">
        <v>1</v>
      </c>
      <c r="Z42" s="119">
        <v>1.5</v>
      </c>
      <c r="AA42" s="119">
        <v>1.5</v>
      </c>
      <c r="AB42" s="119"/>
      <c r="AC42" s="119"/>
      <c r="AD42" s="119">
        <v>0.5</v>
      </c>
      <c r="AE42" s="119">
        <v>0.875</v>
      </c>
      <c r="AF42" s="119">
        <v>1.5</v>
      </c>
      <c r="AG42" s="119">
        <v>1.5</v>
      </c>
      <c r="AH42" s="119">
        <v>1</v>
      </c>
      <c r="AI42" s="119"/>
      <c r="AJ42" s="119"/>
      <c r="AK42" s="119">
        <v>1</v>
      </c>
      <c r="AL42" s="119">
        <v>1.5</v>
      </c>
      <c r="AM42" s="119"/>
      <c r="AN42" s="120">
        <f t="shared" si="4"/>
        <v>35.75</v>
      </c>
      <c r="AO42" s="116">
        <v>160000</v>
      </c>
      <c r="AP42" s="121">
        <f t="shared" si="5"/>
        <v>5720000</v>
      </c>
    </row>
    <row r="43" spans="1:42" ht="24.9" customHeight="1">
      <c r="A43" s="122">
        <v>38</v>
      </c>
      <c r="B43" s="114" t="s">
        <v>489</v>
      </c>
      <c r="C43" s="115" t="s">
        <v>490</v>
      </c>
      <c r="D43" s="125" t="s">
        <v>335</v>
      </c>
      <c r="E43" s="115" t="s">
        <v>491</v>
      </c>
      <c r="F43" s="124" t="s">
        <v>342</v>
      </c>
      <c r="G43" s="117" t="s">
        <v>489</v>
      </c>
      <c r="H43" s="118" t="s">
        <v>492</v>
      </c>
      <c r="I43" s="119">
        <v>2</v>
      </c>
      <c r="J43" s="119">
        <v>2</v>
      </c>
      <c r="K43" s="119">
        <v>1.5</v>
      </c>
      <c r="L43" s="119">
        <v>2</v>
      </c>
      <c r="M43" s="119">
        <v>2</v>
      </c>
      <c r="N43" s="119">
        <v>1.5</v>
      </c>
      <c r="O43" s="119"/>
      <c r="P43" s="119">
        <v>2</v>
      </c>
      <c r="Q43" s="119">
        <v>2</v>
      </c>
      <c r="R43" s="119">
        <v>0.5</v>
      </c>
      <c r="S43" s="119">
        <v>2</v>
      </c>
      <c r="T43" s="119">
        <v>2</v>
      </c>
      <c r="U43" s="119"/>
      <c r="V43" s="119"/>
      <c r="W43" s="119">
        <v>1.5</v>
      </c>
      <c r="X43" s="119">
        <v>1.5</v>
      </c>
      <c r="Y43" s="119">
        <v>1</v>
      </c>
      <c r="Z43" s="119">
        <v>1.5</v>
      </c>
      <c r="AA43" s="119">
        <v>1.5</v>
      </c>
      <c r="AB43" s="119">
        <v>0.875</v>
      </c>
      <c r="AC43" s="119"/>
      <c r="AD43" s="119">
        <v>1</v>
      </c>
      <c r="AE43" s="119">
        <v>1</v>
      </c>
      <c r="AF43" s="119">
        <v>1.5</v>
      </c>
      <c r="AG43" s="119">
        <v>1.5</v>
      </c>
      <c r="AH43" s="119">
        <v>1</v>
      </c>
      <c r="AI43" s="119">
        <v>1</v>
      </c>
      <c r="AJ43" s="119"/>
      <c r="AK43" s="119">
        <v>1</v>
      </c>
      <c r="AL43" s="119">
        <v>1.5</v>
      </c>
      <c r="AM43" s="119"/>
      <c r="AN43" s="120">
        <f t="shared" si="4"/>
        <v>36.875</v>
      </c>
      <c r="AO43" s="116">
        <v>150000</v>
      </c>
      <c r="AP43" s="121">
        <f t="shared" si="5"/>
        <v>5531250</v>
      </c>
    </row>
    <row r="44" spans="1:42" ht="24.9" customHeight="1">
      <c r="A44" s="122">
        <v>39</v>
      </c>
      <c r="B44" s="114" t="s">
        <v>493</v>
      </c>
      <c r="C44" s="115" t="s">
        <v>494</v>
      </c>
      <c r="D44" s="123" t="s">
        <v>335</v>
      </c>
      <c r="E44" s="115" t="s">
        <v>495</v>
      </c>
      <c r="F44" s="124" t="s">
        <v>342</v>
      </c>
      <c r="G44" s="117" t="s">
        <v>493</v>
      </c>
      <c r="H44" s="118" t="s">
        <v>496</v>
      </c>
      <c r="I44" s="119">
        <v>2</v>
      </c>
      <c r="J44" s="119">
        <v>2</v>
      </c>
      <c r="K44" s="119">
        <v>1.5</v>
      </c>
      <c r="L44" s="119">
        <v>2</v>
      </c>
      <c r="M44" s="119">
        <v>2</v>
      </c>
      <c r="N44" s="119"/>
      <c r="O44" s="119"/>
      <c r="P44" s="119">
        <v>2</v>
      </c>
      <c r="Q44" s="119">
        <v>2</v>
      </c>
      <c r="R44" s="119">
        <v>2</v>
      </c>
      <c r="S44" s="119">
        <v>2</v>
      </c>
      <c r="T44" s="119">
        <v>2</v>
      </c>
      <c r="U44" s="119"/>
      <c r="V44" s="119"/>
      <c r="W44" s="119">
        <v>1.5</v>
      </c>
      <c r="X44" s="119">
        <v>1.5</v>
      </c>
      <c r="Y44" s="119">
        <v>1</v>
      </c>
      <c r="Z44" s="119">
        <v>1.5</v>
      </c>
      <c r="AA44" s="119">
        <v>1.5</v>
      </c>
      <c r="AB44" s="119">
        <v>1</v>
      </c>
      <c r="AC44" s="119"/>
      <c r="AD44" s="119">
        <v>1</v>
      </c>
      <c r="AE44" s="119">
        <v>1</v>
      </c>
      <c r="AF44" s="119">
        <v>1.5</v>
      </c>
      <c r="AG44" s="119">
        <v>1.5</v>
      </c>
      <c r="AH44" s="119">
        <v>1</v>
      </c>
      <c r="AI44" s="119"/>
      <c r="AJ44" s="119"/>
      <c r="AK44" s="119">
        <v>1</v>
      </c>
      <c r="AL44" s="119">
        <v>1.5</v>
      </c>
      <c r="AM44" s="119"/>
      <c r="AN44" s="120">
        <f t="shared" si="4"/>
        <v>36</v>
      </c>
      <c r="AO44" s="116">
        <v>160000</v>
      </c>
      <c r="AP44" s="121">
        <f t="shared" si="5"/>
        <v>5760000</v>
      </c>
    </row>
    <row r="45" spans="1:42" ht="24.9" customHeight="1">
      <c r="A45" s="122">
        <v>40</v>
      </c>
      <c r="B45" s="114" t="s">
        <v>497</v>
      </c>
      <c r="C45" s="115" t="s">
        <v>498</v>
      </c>
      <c r="D45" s="123" t="s">
        <v>357</v>
      </c>
      <c r="E45" s="115" t="s">
        <v>499</v>
      </c>
      <c r="F45" s="124" t="s">
        <v>342</v>
      </c>
      <c r="G45" s="117" t="s">
        <v>497</v>
      </c>
      <c r="H45" s="118" t="s">
        <v>500</v>
      </c>
      <c r="I45" s="119">
        <v>2</v>
      </c>
      <c r="J45" s="119">
        <v>2</v>
      </c>
      <c r="K45" s="119">
        <v>1.5</v>
      </c>
      <c r="L45" s="119">
        <v>2</v>
      </c>
      <c r="M45" s="119">
        <v>2</v>
      </c>
      <c r="N45" s="119">
        <v>1.5</v>
      </c>
      <c r="O45" s="119"/>
      <c r="P45" s="119">
        <v>2</v>
      </c>
      <c r="Q45" s="119">
        <v>2</v>
      </c>
      <c r="R45" s="119">
        <v>2</v>
      </c>
      <c r="S45" s="119">
        <v>2</v>
      </c>
      <c r="T45" s="119">
        <v>2</v>
      </c>
      <c r="U45" s="119">
        <v>1</v>
      </c>
      <c r="V45" s="119"/>
      <c r="W45" s="119">
        <v>1.5</v>
      </c>
      <c r="X45" s="119">
        <v>1.5</v>
      </c>
      <c r="Y45" s="119">
        <v>1</v>
      </c>
      <c r="Z45" s="119">
        <v>1.5</v>
      </c>
      <c r="AA45" s="119">
        <v>1.5</v>
      </c>
      <c r="AB45" s="119"/>
      <c r="AC45" s="119"/>
      <c r="AD45" s="119">
        <v>1</v>
      </c>
      <c r="AE45" s="119">
        <v>1</v>
      </c>
      <c r="AF45" s="119">
        <v>1.5</v>
      </c>
      <c r="AG45" s="119">
        <v>1.5</v>
      </c>
      <c r="AH45" s="119">
        <v>1</v>
      </c>
      <c r="AI45" s="119"/>
      <c r="AJ45" s="119"/>
      <c r="AK45" s="119">
        <v>1</v>
      </c>
      <c r="AL45" s="119">
        <v>1.5</v>
      </c>
      <c r="AM45" s="119"/>
      <c r="AN45" s="120">
        <f t="shared" si="4"/>
        <v>37.5</v>
      </c>
      <c r="AO45" s="116">
        <v>210000</v>
      </c>
      <c r="AP45" s="121">
        <f t="shared" si="5"/>
        <v>7875000</v>
      </c>
    </row>
    <row r="46" spans="1:42" ht="24.9" customHeight="1">
      <c r="A46" s="122">
        <v>41</v>
      </c>
      <c r="B46" s="114" t="s">
        <v>501</v>
      </c>
      <c r="C46" s="115" t="s">
        <v>502</v>
      </c>
      <c r="D46" s="125" t="s">
        <v>335</v>
      </c>
      <c r="E46" s="115" t="s">
        <v>503</v>
      </c>
      <c r="F46" s="124" t="s">
        <v>353</v>
      </c>
      <c r="G46" s="117" t="s">
        <v>501</v>
      </c>
      <c r="H46" s="118" t="s">
        <v>504</v>
      </c>
      <c r="I46" s="119">
        <v>2</v>
      </c>
      <c r="J46" s="119">
        <v>2</v>
      </c>
      <c r="K46" s="119">
        <v>1.5</v>
      </c>
      <c r="L46" s="119">
        <v>2</v>
      </c>
      <c r="M46" s="119">
        <v>1</v>
      </c>
      <c r="N46" s="119">
        <v>1.5</v>
      </c>
      <c r="O46" s="119"/>
      <c r="P46" s="119">
        <v>2</v>
      </c>
      <c r="Q46" s="119">
        <v>2</v>
      </c>
      <c r="R46" s="119">
        <v>2</v>
      </c>
      <c r="S46" s="119">
        <v>2</v>
      </c>
      <c r="T46" s="119">
        <v>2</v>
      </c>
      <c r="U46" s="119">
        <v>1</v>
      </c>
      <c r="V46" s="119"/>
      <c r="W46" s="119">
        <v>1.5</v>
      </c>
      <c r="X46" s="119">
        <v>1.5</v>
      </c>
      <c r="Y46" s="119">
        <v>1</v>
      </c>
      <c r="Z46" s="119">
        <v>1.5</v>
      </c>
      <c r="AA46" s="119">
        <v>1.5</v>
      </c>
      <c r="AB46" s="119">
        <v>0.875</v>
      </c>
      <c r="AC46" s="119"/>
      <c r="AD46" s="119">
        <v>1</v>
      </c>
      <c r="AE46" s="119">
        <v>1</v>
      </c>
      <c r="AF46" s="119">
        <v>1.5</v>
      </c>
      <c r="AG46" s="119">
        <v>1.5</v>
      </c>
      <c r="AH46" s="119">
        <v>1</v>
      </c>
      <c r="AI46" s="119"/>
      <c r="AJ46" s="119"/>
      <c r="AK46" s="119">
        <v>1</v>
      </c>
      <c r="AL46" s="119">
        <v>1.5</v>
      </c>
      <c r="AM46" s="119"/>
      <c r="AN46" s="120">
        <f t="shared" si="4"/>
        <v>37.375</v>
      </c>
      <c r="AO46" s="116">
        <v>150000</v>
      </c>
      <c r="AP46" s="121">
        <f t="shared" si="5"/>
        <v>5606250</v>
      </c>
    </row>
    <row r="47" spans="1:42" ht="24.9" customHeight="1">
      <c r="A47" s="122">
        <v>42</v>
      </c>
      <c r="B47" s="114" t="s">
        <v>505</v>
      </c>
      <c r="C47" s="115" t="s">
        <v>506</v>
      </c>
      <c r="D47" s="123" t="s">
        <v>335</v>
      </c>
      <c r="E47" s="115" t="s">
        <v>507</v>
      </c>
      <c r="F47" s="124" t="s">
        <v>347</v>
      </c>
      <c r="G47" s="117" t="s">
        <v>505</v>
      </c>
      <c r="H47" s="118" t="s">
        <v>508</v>
      </c>
      <c r="I47" s="119">
        <v>2</v>
      </c>
      <c r="J47" s="119">
        <v>2</v>
      </c>
      <c r="K47" s="119">
        <v>1.5</v>
      </c>
      <c r="L47" s="119">
        <v>2</v>
      </c>
      <c r="M47" s="119">
        <v>2</v>
      </c>
      <c r="N47" s="119">
        <v>1.5</v>
      </c>
      <c r="O47" s="119"/>
      <c r="P47" s="119">
        <v>1</v>
      </c>
      <c r="Q47" s="119">
        <v>1</v>
      </c>
      <c r="R47" s="119">
        <v>1</v>
      </c>
      <c r="S47" s="119">
        <v>1</v>
      </c>
      <c r="T47" s="119">
        <v>2</v>
      </c>
      <c r="U47" s="119">
        <v>1</v>
      </c>
      <c r="V47" s="119"/>
      <c r="W47" s="119">
        <v>1.5</v>
      </c>
      <c r="X47" s="119">
        <v>1.5</v>
      </c>
      <c r="Y47" s="119">
        <v>1</v>
      </c>
      <c r="Z47" s="119">
        <v>1.5</v>
      </c>
      <c r="AA47" s="119">
        <v>1.5</v>
      </c>
      <c r="AB47" s="119">
        <v>1</v>
      </c>
      <c r="AC47" s="119"/>
      <c r="AD47" s="119">
        <v>1</v>
      </c>
      <c r="AE47" s="119">
        <v>1</v>
      </c>
      <c r="AF47" s="119">
        <v>1.5</v>
      </c>
      <c r="AG47" s="119">
        <v>1.5</v>
      </c>
      <c r="AH47" s="119">
        <v>1</v>
      </c>
      <c r="AI47" s="119"/>
      <c r="AJ47" s="119"/>
      <c r="AK47" s="119">
        <v>1</v>
      </c>
      <c r="AL47" s="119">
        <v>1.5</v>
      </c>
      <c r="AM47" s="119"/>
      <c r="AN47" s="120">
        <f t="shared" si="4"/>
        <v>34.5</v>
      </c>
      <c r="AO47" s="116">
        <v>150000</v>
      </c>
      <c r="AP47" s="121">
        <f t="shared" si="5"/>
        <v>5175000</v>
      </c>
    </row>
    <row r="48" spans="1:42" ht="24.9" customHeight="1">
      <c r="A48" s="122">
        <v>43</v>
      </c>
      <c r="B48" s="114" t="s">
        <v>637</v>
      </c>
      <c r="C48" s="115" t="s">
        <v>638</v>
      </c>
      <c r="D48" s="125" t="s">
        <v>335</v>
      </c>
      <c r="E48" s="115" t="s">
        <v>639</v>
      </c>
      <c r="F48" s="124" t="s">
        <v>635</v>
      </c>
      <c r="G48" s="117" t="s">
        <v>637</v>
      </c>
      <c r="H48" s="118" t="s">
        <v>640</v>
      </c>
      <c r="I48" s="119">
        <v>2</v>
      </c>
      <c r="J48" s="119">
        <v>2</v>
      </c>
      <c r="K48" s="119"/>
      <c r="L48" s="119">
        <v>2</v>
      </c>
      <c r="M48" s="119">
        <v>0.5</v>
      </c>
      <c r="N48" s="119">
        <v>1.5</v>
      </c>
      <c r="O48" s="119"/>
      <c r="P48" s="119">
        <v>2</v>
      </c>
      <c r="Q48" s="119">
        <v>2</v>
      </c>
      <c r="R48" s="119">
        <v>2</v>
      </c>
      <c r="S48" s="119"/>
      <c r="T48" s="119">
        <v>2</v>
      </c>
      <c r="U48" s="119">
        <v>0.875</v>
      </c>
      <c r="V48" s="119"/>
      <c r="W48" s="119">
        <v>1.5</v>
      </c>
      <c r="X48" s="119">
        <v>1.5</v>
      </c>
      <c r="Y48" s="119">
        <v>1</v>
      </c>
      <c r="Z48" s="119"/>
      <c r="AA48" s="119">
        <v>1.5</v>
      </c>
      <c r="AB48" s="119"/>
      <c r="AC48" s="119"/>
      <c r="AD48" s="119">
        <v>1</v>
      </c>
      <c r="AE48" s="119">
        <v>1</v>
      </c>
      <c r="AF48" s="119">
        <v>1.5</v>
      </c>
      <c r="AG48" s="119">
        <v>1.5</v>
      </c>
      <c r="AH48" s="119">
        <v>1</v>
      </c>
      <c r="AI48" s="119"/>
      <c r="AJ48" s="119"/>
      <c r="AK48" s="119">
        <v>1</v>
      </c>
      <c r="AL48" s="119">
        <v>1.5</v>
      </c>
      <c r="AM48" s="119"/>
      <c r="AN48" s="120">
        <f t="shared" si="4"/>
        <v>30.875</v>
      </c>
      <c r="AO48" s="116">
        <v>150000</v>
      </c>
      <c r="AP48" s="121">
        <f t="shared" si="5"/>
        <v>4631250</v>
      </c>
    </row>
    <row r="49" spans="1:42" ht="24.9" customHeight="1">
      <c r="A49" s="122">
        <v>44</v>
      </c>
      <c r="B49" s="114" t="s">
        <v>641</v>
      </c>
      <c r="C49" s="115" t="s">
        <v>509</v>
      </c>
      <c r="D49" s="125" t="s">
        <v>335</v>
      </c>
      <c r="E49" s="115" t="s">
        <v>510</v>
      </c>
      <c r="F49" s="124" t="s">
        <v>380</v>
      </c>
      <c r="G49" s="117" t="s">
        <v>641</v>
      </c>
      <c r="H49" s="118" t="s">
        <v>511</v>
      </c>
      <c r="I49" s="119"/>
      <c r="J49" s="119"/>
      <c r="K49" s="119">
        <v>1.5</v>
      </c>
      <c r="L49" s="119">
        <v>2</v>
      </c>
      <c r="M49" s="119">
        <v>2</v>
      </c>
      <c r="N49" s="119">
        <v>1.5</v>
      </c>
      <c r="O49" s="119"/>
      <c r="P49" s="119">
        <v>2</v>
      </c>
      <c r="Q49" s="119">
        <v>2</v>
      </c>
      <c r="R49" s="119">
        <v>2</v>
      </c>
      <c r="S49" s="119">
        <v>2</v>
      </c>
      <c r="T49" s="119">
        <v>1.875</v>
      </c>
      <c r="U49" s="119">
        <v>1</v>
      </c>
      <c r="V49" s="119"/>
      <c r="W49" s="119">
        <v>1.5</v>
      </c>
      <c r="X49" s="119">
        <v>1.5</v>
      </c>
      <c r="Y49" s="119">
        <v>1</v>
      </c>
      <c r="Z49" s="119">
        <v>1.5</v>
      </c>
      <c r="AA49" s="119">
        <v>1.5</v>
      </c>
      <c r="AB49" s="119">
        <v>0.875</v>
      </c>
      <c r="AC49" s="119"/>
      <c r="AD49" s="119">
        <v>1</v>
      </c>
      <c r="AE49" s="119">
        <v>1</v>
      </c>
      <c r="AF49" s="119">
        <v>1.5</v>
      </c>
      <c r="AG49" s="119">
        <v>1.5</v>
      </c>
      <c r="AH49" s="119">
        <v>1</v>
      </c>
      <c r="AI49" s="119">
        <v>1</v>
      </c>
      <c r="AJ49" s="119"/>
      <c r="AK49" s="119">
        <v>1</v>
      </c>
      <c r="AL49" s="119">
        <v>1.5</v>
      </c>
      <c r="AM49" s="119"/>
      <c r="AN49" s="120">
        <f t="shared" si="4"/>
        <v>35.25</v>
      </c>
      <c r="AO49" s="116">
        <v>150000</v>
      </c>
      <c r="AP49" s="121">
        <f t="shared" si="5"/>
        <v>5287500</v>
      </c>
    </row>
    <row r="50" spans="1:42" ht="24.9" customHeight="1">
      <c r="A50" s="122">
        <v>45</v>
      </c>
      <c r="B50" s="114" t="s">
        <v>512</v>
      </c>
      <c r="C50" s="115" t="s">
        <v>513</v>
      </c>
      <c r="D50" s="125" t="s">
        <v>351</v>
      </c>
      <c r="E50" s="115" t="s">
        <v>514</v>
      </c>
      <c r="F50" s="124" t="s">
        <v>347</v>
      </c>
      <c r="G50" s="117" t="s">
        <v>512</v>
      </c>
      <c r="H50" s="118" t="s">
        <v>515</v>
      </c>
      <c r="I50" s="119">
        <v>2</v>
      </c>
      <c r="J50" s="119">
        <v>2</v>
      </c>
      <c r="K50" s="119">
        <v>1.5</v>
      </c>
      <c r="L50" s="119">
        <v>2</v>
      </c>
      <c r="M50" s="119">
        <v>2</v>
      </c>
      <c r="N50" s="119">
        <v>1.5</v>
      </c>
      <c r="O50" s="119"/>
      <c r="P50" s="119">
        <v>2</v>
      </c>
      <c r="Q50" s="119">
        <v>2</v>
      </c>
      <c r="R50" s="119">
        <v>2</v>
      </c>
      <c r="S50" s="119">
        <v>2</v>
      </c>
      <c r="T50" s="119">
        <v>1.875</v>
      </c>
      <c r="U50" s="119"/>
      <c r="V50" s="119"/>
      <c r="W50" s="119">
        <v>1.5</v>
      </c>
      <c r="X50" s="119">
        <v>1.5</v>
      </c>
      <c r="Y50" s="119">
        <v>1</v>
      </c>
      <c r="Z50" s="119">
        <v>1.5</v>
      </c>
      <c r="AA50" s="119">
        <v>1.5</v>
      </c>
      <c r="AB50" s="119">
        <v>0.875</v>
      </c>
      <c r="AC50" s="119"/>
      <c r="AD50" s="119">
        <v>1</v>
      </c>
      <c r="AE50" s="119">
        <v>1</v>
      </c>
      <c r="AF50" s="119">
        <v>1.5</v>
      </c>
      <c r="AG50" s="119">
        <v>1.5</v>
      </c>
      <c r="AH50" s="119">
        <v>1</v>
      </c>
      <c r="AI50" s="119"/>
      <c r="AJ50" s="119"/>
      <c r="AK50" s="119">
        <v>0.875</v>
      </c>
      <c r="AL50" s="119">
        <v>1.5</v>
      </c>
      <c r="AM50" s="119"/>
      <c r="AN50" s="120">
        <f t="shared" si="4"/>
        <v>37.125</v>
      </c>
      <c r="AO50" s="116">
        <v>240000</v>
      </c>
      <c r="AP50" s="121">
        <f t="shared" si="5"/>
        <v>8910000</v>
      </c>
    </row>
    <row r="51" spans="1:42" ht="24.9" customHeight="1">
      <c r="A51" s="122">
        <v>46</v>
      </c>
      <c r="B51" s="114" t="s">
        <v>516</v>
      </c>
      <c r="C51" s="115" t="s">
        <v>517</v>
      </c>
      <c r="D51" s="123" t="s">
        <v>335</v>
      </c>
      <c r="E51" s="115" t="s">
        <v>518</v>
      </c>
      <c r="F51" s="124" t="s">
        <v>331</v>
      </c>
      <c r="G51" s="117" t="s">
        <v>516</v>
      </c>
      <c r="H51" s="118" t="s">
        <v>519</v>
      </c>
      <c r="I51" s="119">
        <v>2</v>
      </c>
      <c r="J51" s="119">
        <v>2</v>
      </c>
      <c r="K51" s="119">
        <v>1.5</v>
      </c>
      <c r="L51" s="119">
        <v>0.5</v>
      </c>
      <c r="M51" s="119">
        <v>2</v>
      </c>
      <c r="N51" s="119">
        <v>1.5</v>
      </c>
      <c r="O51" s="119"/>
      <c r="P51" s="119">
        <v>2</v>
      </c>
      <c r="Q51" s="119">
        <v>2</v>
      </c>
      <c r="R51" s="119">
        <v>2</v>
      </c>
      <c r="S51" s="119">
        <v>2</v>
      </c>
      <c r="T51" s="119">
        <v>2</v>
      </c>
      <c r="U51" s="119">
        <v>1</v>
      </c>
      <c r="V51" s="119"/>
      <c r="W51" s="119"/>
      <c r="X51" s="119">
        <v>1.5</v>
      </c>
      <c r="Y51" s="119">
        <v>1</v>
      </c>
      <c r="Z51" s="119">
        <v>1.5</v>
      </c>
      <c r="AA51" s="119">
        <v>1.5</v>
      </c>
      <c r="AB51" s="119">
        <v>1</v>
      </c>
      <c r="AC51" s="119"/>
      <c r="AD51" s="119">
        <v>1</v>
      </c>
      <c r="AE51" s="119">
        <v>1</v>
      </c>
      <c r="AF51" s="119">
        <v>1.375</v>
      </c>
      <c r="AG51" s="119">
        <v>1.5</v>
      </c>
      <c r="AH51" s="119">
        <v>1</v>
      </c>
      <c r="AI51" s="119">
        <v>1</v>
      </c>
      <c r="AJ51" s="119"/>
      <c r="AK51" s="119">
        <v>1</v>
      </c>
      <c r="AL51" s="119"/>
      <c r="AM51" s="119"/>
      <c r="AN51" s="120">
        <f t="shared" si="4"/>
        <v>34.875</v>
      </c>
      <c r="AO51" s="116">
        <v>150000</v>
      </c>
      <c r="AP51" s="121">
        <f t="shared" si="5"/>
        <v>5231250</v>
      </c>
    </row>
    <row r="52" spans="1:42" ht="24.9" customHeight="1">
      <c r="A52" s="122">
        <v>47</v>
      </c>
      <c r="B52" s="114" t="s">
        <v>642</v>
      </c>
      <c r="C52" s="115" t="s">
        <v>643</v>
      </c>
      <c r="D52" s="123" t="s">
        <v>351</v>
      </c>
      <c r="E52" s="115" t="s">
        <v>644</v>
      </c>
      <c r="F52" s="124" t="s">
        <v>353</v>
      </c>
      <c r="G52" s="117" t="s">
        <v>642</v>
      </c>
      <c r="H52" s="118" t="s">
        <v>645</v>
      </c>
      <c r="I52" s="119">
        <v>2</v>
      </c>
      <c r="J52" s="119">
        <v>2</v>
      </c>
      <c r="K52" s="119">
        <v>1.5</v>
      </c>
      <c r="L52" s="119">
        <v>2</v>
      </c>
      <c r="M52" s="119">
        <v>2</v>
      </c>
      <c r="N52" s="119">
        <v>1.5</v>
      </c>
      <c r="O52" s="119"/>
      <c r="P52" s="119">
        <v>2</v>
      </c>
      <c r="Q52" s="119">
        <v>2</v>
      </c>
      <c r="R52" s="119">
        <v>2</v>
      </c>
      <c r="S52" s="119">
        <v>2</v>
      </c>
      <c r="T52" s="119">
        <v>2</v>
      </c>
      <c r="U52" s="119">
        <v>0.5</v>
      </c>
      <c r="V52" s="119"/>
      <c r="W52" s="119">
        <v>1.5</v>
      </c>
      <c r="X52" s="119">
        <v>1.5</v>
      </c>
      <c r="Y52" s="119">
        <v>1</v>
      </c>
      <c r="Z52" s="119">
        <v>1.5</v>
      </c>
      <c r="AA52" s="119">
        <v>1.5</v>
      </c>
      <c r="AB52" s="119"/>
      <c r="AC52" s="119"/>
      <c r="AD52" s="119">
        <v>1</v>
      </c>
      <c r="AE52" s="119"/>
      <c r="AF52" s="119">
        <v>1.5</v>
      </c>
      <c r="AG52" s="119">
        <v>1.5</v>
      </c>
      <c r="AH52" s="119">
        <v>1</v>
      </c>
      <c r="AI52" s="119"/>
      <c r="AJ52" s="119"/>
      <c r="AK52" s="119">
        <v>1</v>
      </c>
      <c r="AL52" s="119">
        <v>1.5</v>
      </c>
      <c r="AM52" s="119"/>
      <c r="AN52" s="120">
        <f t="shared" si="4"/>
        <v>36</v>
      </c>
      <c r="AO52" s="116">
        <v>240000</v>
      </c>
      <c r="AP52" s="121">
        <f t="shared" si="5"/>
        <v>8640000</v>
      </c>
    </row>
    <row r="53" spans="1:42" ht="24.9" customHeight="1">
      <c r="A53" s="122">
        <v>48</v>
      </c>
      <c r="B53" s="114" t="s">
        <v>520</v>
      </c>
      <c r="C53" s="115" t="s">
        <v>521</v>
      </c>
      <c r="D53" s="125" t="s">
        <v>522</v>
      </c>
      <c r="E53" s="115" t="s">
        <v>523</v>
      </c>
      <c r="F53" s="124" t="s">
        <v>353</v>
      </c>
      <c r="G53" s="117" t="s">
        <v>520</v>
      </c>
      <c r="H53" s="118" t="s">
        <v>524</v>
      </c>
      <c r="I53" s="119"/>
      <c r="J53" s="119">
        <v>1.625</v>
      </c>
      <c r="K53" s="119"/>
      <c r="L53" s="119">
        <v>1.5</v>
      </c>
      <c r="M53" s="119">
        <v>0.75</v>
      </c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20">
        <f t="shared" si="4"/>
        <v>3.875</v>
      </c>
      <c r="AO53" s="116">
        <v>270000</v>
      </c>
      <c r="AP53" s="121">
        <f t="shared" si="5"/>
        <v>1046250</v>
      </c>
    </row>
    <row r="54" spans="1:42" ht="24.9" customHeight="1">
      <c r="A54" s="122">
        <v>49</v>
      </c>
      <c r="B54" s="114" t="s">
        <v>525</v>
      </c>
      <c r="C54" s="115" t="s">
        <v>526</v>
      </c>
      <c r="D54" s="123" t="s">
        <v>335</v>
      </c>
      <c r="E54" s="115" t="s">
        <v>527</v>
      </c>
      <c r="F54" s="124" t="s">
        <v>342</v>
      </c>
      <c r="G54" s="117" t="s">
        <v>525</v>
      </c>
      <c r="H54" s="118" t="s">
        <v>528</v>
      </c>
      <c r="I54" s="119">
        <v>2</v>
      </c>
      <c r="J54" s="119">
        <v>2</v>
      </c>
      <c r="K54" s="119">
        <v>1.5</v>
      </c>
      <c r="L54" s="119">
        <v>2</v>
      </c>
      <c r="M54" s="119">
        <v>2</v>
      </c>
      <c r="N54" s="119">
        <v>1.5</v>
      </c>
      <c r="O54" s="119"/>
      <c r="P54" s="119">
        <v>2</v>
      </c>
      <c r="Q54" s="119">
        <v>2</v>
      </c>
      <c r="R54" s="119">
        <v>2</v>
      </c>
      <c r="S54" s="119">
        <v>2</v>
      </c>
      <c r="T54" s="119">
        <v>2</v>
      </c>
      <c r="U54" s="119">
        <v>1</v>
      </c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20">
        <f t="shared" si="4"/>
        <v>22</v>
      </c>
      <c r="AO54" s="116">
        <v>150000</v>
      </c>
      <c r="AP54" s="121">
        <f t="shared" si="5"/>
        <v>3300000</v>
      </c>
    </row>
    <row r="55" spans="1:42" ht="24.9" customHeight="1">
      <c r="A55" s="122">
        <v>50</v>
      </c>
      <c r="B55" s="114" t="s">
        <v>529</v>
      </c>
      <c r="C55" s="115" t="s">
        <v>530</v>
      </c>
      <c r="D55" s="123" t="s">
        <v>335</v>
      </c>
      <c r="E55" s="115" t="s">
        <v>531</v>
      </c>
      <c r="F55" s="124" t="s">
        <v>347</v>
      </c>
      <c r="G55" s="117" t="s">
        <v>529</v>
      </c>
      <c r="H55" s="118" t="s">
        <v>532</v>
      </c>
      <c r="I55" s="119">
        <v>2</v>
      </c>
      <c r="J55" s="119">
        <v>2</v>
      </c>
      <c r="K55" s="119">
        <v>1.5</v>
      </c>
      <c r="L55" s="119">
        <v>2</v>
      </c>
      <c r="M55" s="119">
        <v>2</v>
      </c>
      <c r="N55" s="119">
        <v>1.5</v>
      </c>
      <c r="O55" s="119"/>
      <c r="P55" s="119">
        <v>2</v>
      </c>
      <c r="Q55" s="119">
        <v>2</v>
      </c>
      <c r="R55" s="119">
        <v>2</v>
      </c>
      <c r="S55" s="119">
        <v>2</v>
      </c>
      <c r="T55" s="119">
        <v>2</v>
      </c>
      <c r="U55" s="119">
        <v>1</v>
      </c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20">
        <f t="shared" si="4"/>
        <v>22</v>
      </c>
      <c r="AO55" s="116">
        <v>160000</v>
      </c>
      <c r="AP55" s="121">
        <f t="shared" si="5"/>
        <v>3520000</v>
      </c>
    </row>
    <row r="56" spans="1:42" ht="24.9" customHeight="1">
      <c r="A56" s="122">
        <v>51</v>
      </c>
      <c r="B56" s="114" t="s">
        <v>533</v>
      </c>
      <c r="C56" s="115" t="s">
        <v>534</v>
      </c>
      <c r="D56" s="125" t="s">
        <v>335</v>
      </c>
      <c r="E56" s="115" t="s">
        <v>535</v>
      </c>
      <c r="F56" s="124" t="s">
        <v>347</v>
      </c>
      <c r="G56" s="117" t="s">
        <v>533</v>
      </c>
      <c r="H56" s="118" t="s">
        <v>646</v>
      </c>
      <c r="I56" s="119">
        <v>2</v>
      </c>
      <c r="J56" s="119">
        <v>2</v>
      </c>
      <c r="K56" s="119">
        <v>1.5</v>
      </c>
      <c r="L56" s="119">
        <v>2</v>
      </c>
      <c r="M56" s="119">
        <v>2</v>
      </c>
      <c r="N56" s="119">
        <v>1.5</v>
      </c>
      <c r="O56" s="119"/>
      <c r="P56" s="119">
        <v>1.75</v>
      </c>
      <c r="Q56" s="119">
        <v>2</v>
      </c>
      <c r="R56" s="119">
        <v>2</v>
      </c>
      <c r="S56" s="119">
        <v>1</v>
      </c>
      <c r="T56" s="119">
        <v>2</v>
      </c>
      <c r="U56" s="119">
        <v>1</v>
      </c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20">
        <f t="shared" si="4"/>
        <v>20.75</v>
      </c>
      <c r="AO56" s="116">
        <v>150000</v>
      </c>
      <c r="AP56" s="121">
        <f t="shared" si="5"/>
        <v>3112500</v>
      </c>
    </row>
    <row r="57" spans="1:42" ht="24.9" customHeight="1">
      <c r="A57" s="122">
        <v>52</v>
      </c>
      <c r="B57" s="114" t="s">
        <v>536</v>
      </c>
      <c r="C57" s="115" t="s">
        <v>537</v>
      </c>
      <c r="D57" s="125" t="s">
        <v>335</v>
      </c>
      <c r="E57" s="115" t="s">
        <v>538</v>
      </c>
      <c r="F57" s="124" t="s">
        <v>466</v>
      </c>
      <c r="G57" s="117" t="s">
        <v>536</v>
      </c>
      <c r="H57" s="118" t="s">
        <v>539</v>
      </c>
      <c r="I57" s="119">
        <v>2</v>
      </c>
      <c r="J57" s="119">
        <v>2</v>
      </c>
      <c r="K57" s="119">
        <v>1.5</v>
      </c>
      <c r="L57" s="119">
        <v>2</v>
      </c>
      <c r="M57" s="119"/>
      <c r="N57" s="119"/>
      <c r="O57" s="119"/>
      <c r="P57" s="119">
        <v>2</v>
      </c>
      <c r="Q57" s="119">
        <v>2</v>
      </c>
      <c r="R57" s="119">
        <v>2</v>
      </c>
      <c r="S57" s="119">
        <v>2</v>
      </c>
      <c r="T57" s="119">
        <v>2</v>
      </c>
      <c r="U57" s="119">
        <v>1</v>
      </c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20">
        <f t="shared" si="4"/>
        <v>18.5</v>
      </c>
      <c r="AO57" s="116">
        <v>150000</v>
      </c>
      <c r="AP57" s="121">
        <f t="shared" si="5"/>
        <v>2775000</v>
      </c>
    </row>
    <row r="58" spans="1:42" ht="24.9" customHeight="1">
      <c r="A58" s="122">
        <v>53</v>
      </c>
      <c r="B58" s="114" t="s">
        <v>540</v>
      </c>
      <c r="C58" s="115" t="s">
        <v>541</v>
      </c>
      <c r="D58" s="125" t="s">
        <v>357</v>
      </c>
      <c r="E58" s="115" t="s">
        <v>542</v>
      </c>
      <c r="F58" s="124" t="s">
        <v>347</v>
      </c>
      <c r="G58" s="117" t="s">
        <v>540</v>
      </c>
      <c r="H58" s="118" t="s">
        <v>543</v>
      </c>
      <c r="I58" s="119">
        <v>2</v>
      </c>
      <c r="J58" s="119">
        <v>2</v>
      </c>
      <c r="K58" s="119">
        <v>1.5</v>
      </c>
      <c r="L58" s="119">
        <v>2</v>
      </c>
      <c r="M58" s="119">
        <v>2</v>
      </c>
      <c r="N58" s="119">
        <v>1.5</v>
      </c>
      <c r="O58" s="119"/>
      <c r="P58" s="119">
        <v>2</v>
      </c>
      <c r="Q58" s="119">
        <v>2</v>
      </c>
      <c r="R58" s="119">
        <v>2</v>
      </c>
      <c r="S58" s="119">
        <v>2</v>
      </c>
      <c r="T58" s="119">
        <v>2</v>
      </c>
      <c r="U58" s="119">
        <v>1</v>
      </c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20">
        <f t="shared" si="4"/>
        <v>22</v>
      </c>
      <c r="AO58" s="116">
        <v>230000</v>
      </c>
      <c r="AP58" s="121">
        <f t="shared" si="5"/>
        <v>5060000</v>
      </c>
    </row>
    <row r="59" spans="1:42" ht="24.9" customHeight="1">
      <c r="A59" s="122">
        <v>54</v>
      </c>
      <c r="B59" s="114" t="s">
        <v>544</v>
      </c>
      <c r="C59" s="115" t="s">
        <v>545</v>
      </c>
      <c r="D59" s="123" t="s">
        <v>335</v>
      </c>
      <c r="E59" s="115" t="s">
        <v>546</v>
      </c>
      <c r="F59" s="124" t="s">
        <v>347</v>
      </c>
      <c r="G59" s="117" t="s">
        <v>544</v>
      </c>
      <c r="H59" s="118" t="s">
        <v>547</v>
      </c>
      <c r="I59" s="119">
        <v>2</v>
      </c>
      <c r="J59" s="119">
        <v>2</v>
      </c>
      <c r="K59" s="119">
        <v>1.5</v>
      </c>
      <c r="L59" s="119">
        <v>2</v>
      </c>
      <c r="M59" s="119">
        <v>2</v>
      </c>
      <c r="N59" s="119">
        <v>1.5</v>
      </c>
      <c r="O59" s="119"/>
      <c r="P59" s="119">
        <v>2</v>
      </c>
      <c r="Q59" s="119">
        <v>2</v>
      </c>
      <c r="R59" s="119">
        <v>2</v>
      </c>
      <c r="S59" s="119">
        <v>2</v>
      </c>
      <c r="T59" s="119">
        <v>2</v>
      </c>
      <c r="U59" s="119">
        <v>1</v>
      </c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20">
        <f t="shared" si="4"/>
        <v>22</v>
      </c>
      <c r="AO59" s="116">
        <v>160000</v>
      </c>
      <c r="AP59" s="121">
        <f t="shared" si="5"/>
        <v>3520000</v>
      </c>
    </row>
    <row r="60" spans="1:42" ht="24.9" customHeight="1">
      <c r="A60" s="122">
        <v>55</v>
      </c>
      <c r="B60" s="114" t="s">
        <v>548</v>
      </c>
      <c r="C60" s="115" t="s">
        <v>549</v>
      </c>
      <c r="D60" s="123" t="s">
        <v>335</v>
      </c>
      <c r="E60" s="115" t="s">
        <v>550</v>
      </c>
      <c r="F60" s="124" t="s">
        <v>337</v>
      </c>
      <c r="G60" s="117" t="s">
        <v>548</v>
      </c>
      <c r="H60" s="118" t="s">
        <v>551</v>
      </c>
      <c r="I60" s="119">
        <v>2</v>
      </c>
      <c r="J60" s="119">
        <v>2</v>
      </c>
      <c r="K60" s="119">
        <v>1.5</v>
      </c>
      <c r="L60" s="119">
        <v>2</v>
      </c>
      <c r="M60" s="119">
        <v>2</v>
      </c>
      <c r="N60" s="119">
        <v>1.5</v>
      </c>
      <c r="O60" s="119"/>
      <c r="P60" s="119">
        <v>2</v>
      </c>
      <c r="Q60" s="119">
        <v>2</v>
      </c>
      <c r="R60" s="119">
        <v>2</v>
      </c>
      <c r="S60" s="119">
        <v>2</v>
      </c>
      <c r="T60" s="119">
        <v>2</v>
      </c>
      <c r="U60" s="119">
        <v>1</v>
      </c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20">
        <f t="shared" si="4"/>
        <v>22</v>
      </c>
      <c r="AO60" s="116">
        <v>160000</v>
      </c>
      <c r="AP60" s="121">
        <f t="shared" si="5"/>
        <v>3520000</v>
      </c>
    </row>
    <row r="61" spans="1:42" ht="24.9" customHeight="1">
      <c r="A61" s="122">
        <v>56</v>
      </c>
      <c r="B61" s="114" t="s">
        <v>552</v>
      </c>
      <c r="C61" s="115" t="s">
        <v>553</v>
      </c>
      <c r="D61" s="125" t="s">
        <v>357</v>
      </c>
      <c r="E61" s="115" t="s">
        <v>554</v>
      </c>
      <c r="F61" s="124" t="s">
        <v>380</v>
      </c>
      <c r="G61" s="117" t="s">
        <v>552</v>
      </c>
      <c r="H61" s="118" t="s">
        <v>555</v>
      </c>
      <c r="I61" s="119">
        <v>2</v>
      </c>
      <c r="J61" s="119">
        <v>2</v>
      </c>
      <c r="K61" s="119">
        <v>1.5</v>
      </c>
      <c r="L61" s="119">
        <v>2</v>
      </c>
      <c r="M61" s="119">
        <v>2</v>
      </c>
      <c r="N61" s="119">
        <v>1.5</v>
      </c>
      <c r="O61" s="119"/>
      <c r="P61" s="119">
        <v>2</v>
      </c>
      <c r="Q61" s="119">
        <v>2</v>
      </c>
      <c r="R61" s="119">
        <v>2</v>
      </c>
      <c r="S61" s="119">
        <v>2</v>
      </c>
      <c r="T61" s="119">
        <v>2</v>
      </c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20">
        <f t="shared" si="4"/>
        <v>21</v>
      </c>
      <c r="AO61" s="116">
        <v>220000</v>
      </c>
      <c r="AP61" s="121">
        <f t="shared" si="5"/>
        <v>4620000</v>
      </c>
    </row>
    <row r="62" spans="1:42" ht="24.9" customHeight="1">
      <c r="A62" s="122">
        <v>57</v>
      </c>
      <c r="B62" s="114" t="s">
        <v>556</v>
      </c>
      <c r="C62" s="115" t="s">
        <v>557</v>
      </c>
      <c r="D62" s="123" t="s">
        <v>351</v>
      </c>
      <c r="E62" s="115" t="s">
        <v>558</v>
      </c>
      <c r="F62" s="124" t="s">
        <v>466</v>
      </c>
      <c r="G62" s="117" t="s">
        <v>556</v>
      </c>
      <c r="H62" s="118" t="s">
        <v>559</v>
      </c>
      <c r="I62" s="119">
        <v>2</v>
      </c>
      <c r="J62" s="119">
        <v>2</v>
      </c>
      <c r="K62" s="119">
        <v>1.5</v>
      </c>
      <c r="L62" s="119">
        <v>2</v>
      </c>
      <c r="M62" s="119">
        <v>2</v>
      </c>
      <c r="N62" s="119">
        <v>1.5</v>
      </c>
      <c r="O62" s="119"/>
      <c r="P62" s="119">
        <v>2</v>
      </c>
      <c r="Q62" s="119">
        <v>2</v>
      </c>
      <c r="R62" s="119">
        <v>2</v>
      </c>
      <c r="S62" s="119">
        <v>2</v>
      </c>
      <c r="T62" s="119">
        <v>2</v>
      </c>
      <c r="U62" s="119">
        <v>1</v>
      </c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20">
        <f t="shared" si="4"/>
        <v>22</v>
      </c>
      <c r="AO62" s="116">
        <v>240000</v>
      </c>
      <c r="AP62" s="121">
        <f t="shared" si="5"/>
        <v>5280000</v>
      </c>
    </row>
    <row r="63" spans="1:42" ht="24.9" customHeight="1">
      <c r="A63" s="122">
        <v>58</v>
      </c>
      <c r="B63" s="114" t="s">
        <v>560</v>
      </c>
      <c r="C63" s="115" t="s">
        <v>561</v>
      </c>
      <c r="D63" s="125" t="s">
        <v>335</v>
      </c>
      <c r="E63" s="115" t="s">
        <v>562</v>
      </c>
      <c r="F63" s="124" t="s">
        <v>331</v>
      </c>
      <c r="G63" s="117" t="s">
        <v>560</v>
      </c>
      <c r="H63" s="118" t="s">
        <v>563</v>
      </c>
      <c r="I63" s="119">
        <v>2</v>
      </c>
      <c r="J63" s="119">
        <v>2</v>
      </c>
      <c r="K63" s="119">
        <v>1.5</v>
      </c>
      <c r="L63" s="119">
        <v>2</v>
      </c>
      <c r="M63" s="119">
        <v>2</v>
      </c>
      <c r="N63" s="119">
        <v>1.5</v>
      </c>
      <c r="O63" s="119"/>
      <c r="P63" s="119">
        <v>2</v>
      </c>
      <c r="Q63" s="119">
        <v>2</v>
      </c>
      <c r="R63" s="119">
        <v>2</v>
      </c>
      <c r="S63" s="119">
        <v>2</v>
      </c>
      <c r="T63" s="119">
        <v>2</v>
      </c>
      <c r="U63" s="119">
        <v>1</v>
      </c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20">
        <f t="shared" si="4"/>
        <v>22</v>
      </c>
      <c r="AO63" s="116">
        <v>160000</v>
      </c>
      <c r="AP63" s="121">
        <f t="shared" si="5"/>
        <v>3520000</v>
      </c>
    </row>
    <row r="64" spans="1:42" ht="24.9" customHeight="1">
      <c r="A64" s="122">
        <v>59</v>
      </c>
      <c r="B64" s="114" t="s">
        <v>564</v>
      </c>
      <c r="C64" s="115" t="s">
        <v>565</v>
      </c>
      <c r="D64" s="125" t="s">
        <v>351</v>
      </c>
      <c r="E64" s="115" t="s">
        <v>566</v>
      </c>
      <c r="F64" s="124" t="s">
        <v>342</v>
      </c>
      <c r="G64" s="117" t="s">
        <v>564</v>
      </c>
      <c r="H64" s="118" t="s">
        <v>567</v>
      </c>
      <c r="I64" s="119">
        <v>2</v>
      </c>
      <c r="J64" s="119">
        <v>2</v>
      </c>
      <c r="K64" s="119">
        <v>1.5</v>
      </c>
      <c r="L64" s="119">
        <v>2</v>
      </c>
      <c r="M64" s="119">
        <v>2</v>
      </c>
      <c r="N64" s="119">
        <v>1.5</v>
      </c>
      <c r="O64" s="119"/>
      <c r="P64" s="119">
        <v>2</v>
      </c>
      <c r="Q64" s="119">
        <v>2</v>
      </c>
      <c r="R64" s="119">
        <v>2</v>
      </c>
      <c r="S64" s="119">
        <v>2</v>
      </c>
      <c r="T64" s="119">
        <v>2</v>
      </c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20">
        <f t="shared" si="4"/>
        <v>21</v>
      </c>
      <c r="AO64" s="116">
        <v>240000</v>
      </c>
      <c r="AP64" s="121">
        <f t="shared" si="5"/>
        <v>5040000</v>
      </c>
    </row>
    <row r="65" spans="1:42" ht="24.9" customHeight="1">
      <c r="A65" s="122">
        <v>60</v>
      </c>
      <c r="B65" s="114" t="s">
        <v>568</v>
      </c>
      <c r="C65" s="115" t="s">
        <v>569</v>
      </c>
      <c r="D65" s="125" t="s">
        <v>351</v>
      </c>
      <c r="E65" s="115" t="s">
        <v>570</v>
      </c>
      <c r="F65" s="124" t="s">
        <v>466</v>
      </c>
      <c r="G65" s="117" t="s">
        <v>568</v>
      </c>
      <c r="H65" s="118" t="s">
        <v>571</v>
      </c>
      <c r="I65" s="119">
        <v>2</v>
      </c>
      <c r="J65" s="119">
        <v>2</v>
      </c>
      <c r="K65" s="119">
        <v>1.5</v>
      </c>
      <c r="L65" s="119">
        <v>2</v>
      </c>
      <c r="M65" s="119">
        <v>2</v>
      </c>
      <c r="N65" s="119">
        <v>1.5</v>
      </c>
      <c r="O65" s="119"/>
      <c r="P65" s="119">
        <v>2</v>
      </c>
      <c r="Q65" s="119">
        <v>2</v>
      </c>
      <c r="R65" s="119">
        <v>2</v>
      </c>
      <c r="S65" s="119">
        <v>2</v>
      </c>
      <c r="T65" s="119">
        <v>2</v>
      </c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20">
        <f t="shared" si="4"/>
        <v>21</v>
      </c>
      <c r="AO65" s="116">
        <v>240000</v>
      </c>
      <c r="AP65" s="121">
        <f t="shared" si="5"/>
        <v>5040000</v>
      </c>
    </row>
    <row r="66" spans="1:42" ht="24.9" customHeight="1">
      <c r="A66" s="122">
        <v>61</v>
      </c>
      <c r="B66" s="114" t="s">
        <v>572</v>
      </c>
      <c r="C66" s="115" t="s">
        <v>573</v>
      </c>
      <c r="D66" s="123" t="s">
        <v>335</v>
      </c>
      <c r="E66" s="115" t="s">
        <v>574</v>
      </c>
      <c r="F66" s="124" t="s">
        <v>353</v>
      </c>
      <c r="G66" s="117" t="s">
        <v>572</v>
      </c>
      <c r="H66" s="118" t="s">
        <v>575</v>
      </c>
      <c r="I66" s="119"/>
      <c r="J66" s="119">
        <v>2</v>
      </c>
      <c r="K66" s="119">
        <v>1.5</v>
      </c>
      <c r="L66" s="119">
        <v>2</v>
      </c>
      <c r="M66" s="119">
        <v>2</v>
      </c>
      <c r="N66" s="119">
        <v>1.5</v>
      </c>
      <c r="O66" s="119"/>
      <c r="P66" s="119"/>
      <c r="Q66" s="119">
        <v>2</v>
      </c>
      <c r="R66" s="119">
        <v>2</v>
      </c>
      <c r="S66" s="119">
        <v>2</v>
      </c>
      <c r="T66" s="119">
        <v>2</v>
      </c>
      <c r="U66" s="119">
        <v>1</v>
      </c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20">
        <f t="shared" si="4"/>
        <v>18</v>
      </c>
      <c r="AO66" s="116">
        <v>150000</v>
      </c>
      <c r="AP66" s="121">
        <f t="shared" si="5"/>
        <v>2700000</v>
      </c>
    </row>
    <row r="67" spans="1:42" ht="24.9" customHeight="1">
      <c r="A67" s="122">
        <v>62</v>
      </c>
      <c r="B67" s="114" t="s">
        <v>576</v>
      </c>
      <c r="C67" s="115" t="s">
        <v>577</v>
      </c>
      <c r="D67" s="123" t="s">
        <v>522</v>
      </c>
      <c r="E67" s="115" t="s">
        <v>578</v>
      </c>
      <c r="F67" s="124" t="s">
        <v>397</v>
      </c>
      <c r="G67" s="117" t="s">
        <v>576</v>
      </c>
      <c r="H67" s="118" t="s">
        <v>579</v>
      </c>
      <c r="I67" s="119">
        <v>2</v>
      </c>
      <c r="J67" s="119">
        <v>2</v>
      </c>
      <c r="K67" s="119">
        <v>1.5</v>
      </c>
      <c r="L67" s="119">
        <v>2</v>
      </c>
      <c r="M67" s="119">
        <v>2</v>
      </c>
      <c r="N67" s="119">
        <v>1.5</v>
      </c>
      <c r="O67" s="119"/>
      <c r="P67" s="119">
        <v>0.875</v>
      </c>
      <c r="Q67" s="119">
        <v>2</v>
      </c>
      <c r="R67" s="119">
        <v>2</v>
      </c>
      <c r="S67" s="119">
        <v>2</v>
      </c>
      <c r="T67" s="119">
        <v>2</v>
      </c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20">
        <f t="shared" si="4"/>
        <v>19.875</v>
      </c>
      <c r="AO67" s="116">
        <v>210000</v>
      </c>
      <c r="AP67" s="121">
        <f t="shared" si="5"/>
        <v>4173750</v>
      </c>
    </row>
    <row r="68" spans="1:42" ht="24.9" customHeight="1">
      <c r="A68" s="122">
        <v>63</v>
      </c>
      <c r="B68" s="114" t="s">
        <v>580</v>
      </c>
      <c r="C68" s="115" t="s">
        <v>581</v>
      </c>
      <c r="D68" s="125" t="s">
        <v>335</v>
      </c>
      <c r="E68" s="115" t="s">
        <v>582</v>
      </c>
      <c r="F68" s="124" t="s">
        <v>380</v>
      </c>
      <c r="G68" s="117" t="s">
        <v>580</v>
      </c>
      <c r="H68" s="118" t="s">
        <v>583</v>
      </c>
      <c r="I68" s="119"/>
      <c r="J68" s="119">
        <v>2</v>
      </c>
      <c r="K68" s="119">
        <v>1.5</v>
      </c>
      <c r="L68" s="119">
        <v>2</v>
      </c>
      <c r="M68" s="119">
        <v>0.5</v>
      </c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20">
        <f t="shared" si="4"/>
        <v>6</v>
      </c>
      <c r="AO68" s="116">
        <v>150000</v>
      </c>
      <c r="AP68" s="121">
        <f t="shared" si="5"/>
        <v>900000</v>
      </c>
    </row>
    <row r="69" spans="1:42" ht="24.9" customHeight="1">
      <c r="A69" s="122">
        <v>64</v>
      </c>
      <c r="B69" s="114" t="s">
        <v>584</v>
      </c>
      <c r="C69" s="115" t="s">
        <v>585</v>
      </c>
      <c r="D69" s="123" t="s">
        <v>335</v>
      </c>
      <c r="E69" s="115" t="s">
        <v>647</v>
      </c>
      <c r="F69" s="124" t="s">
        <v>586</v>
      </c>
      <c r="G69" s="117" t="s">
        <v>584</v>
      </c>
      <c r="H69" s="118" t="s">
        <v>587</v>
      </c>
      <c r="I69" s="119">
        <v>2</v>
      </c>
      <c r="J69" s="119">
        <v>2</v>
      </c>
      <c r="K69" s="119">
        <v>1.5</v>
      </c>
      <c r="L69" s="119">
        <v>2</v>
      </c>
      <c r="M69" s="119">
        <v>2</v>
      </c>
      <c r="N69" s="119">
        <v>1.5</v>
      </c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20">
        <f t="shared" si="4"/>
        <v>11</v>
      </c>
      <c r="AO69" s="116">
        <v>160000</v>
      </c>
      <c r="AP69" s="121">
        <f t="shared" si="5"/>
        <v>1760000</v>
      </c>
    </row>
    <row r="70" spans="1:42" ht="24.9" customHeight="1">
      <c r="A70" s="122">
        <v>65</v>
      </c>
      <c r="B70" s="114" t="s">
        <v>588</v>
      </c>
      <c r="C70" s="115" t="s">
        <v>589</v>
      </c>
      <c r="D70" s="125" t="s">
        <v>335</v>
      </c>
      <c r="E70" s="115" t="s">
        <v>590</v>
      </c>
      <c r="F70" s="124" t="s">
        <v>466</v>
      </c>
      <c r="G70" s="117" t="s">
        <v>588</v>
      </c>
      <c r="H70" s="118" t="s">
        <v>591</v>
      </c>
      <c r="I70" s="119">
        <v>2</v>
      </c>
      <c r="J70" s="119">
        <v>2</v>
      </c>
      <c r="K70" s="119">
        <v>1.5</v>
      </c>
      <c r="L70" s="119">
        <v>2</v>
      </c>
      <c r="M70" s="119">
        <v>2</v>
      </c>
      <c r="N70" s="119">
        <v>1.5</v>
      </c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20">
        <f t="shared" si="4"/>
        <v>11</v>
      </c>
      <c r="AO70" s="116">
        <v>160000</v>
      </c>
      <c r="AP70" s="121">
        <f t="shared" si="5"/>
        <v>1760000</v>
      </c>
    </row>
    <row r="71" spans="1:42" ht="24.9" customHeight="1">
      <c r="A71" s="122">
        <v>66</v>
      </c>
      <c r="B71" s="114" t="s">
        <v>592</v>
      </c>
      <c r="C71" s="115" t="s">
        <v>593</v>
      </c>
      <c r="D71" s="125" t="s">
        <v>335</v>
      </c>
      <c r="E71" s="115" t="s">
        <v>594</v>
      </c>
      <c r="F71" s="124" t="s">
        <v>466</v>
      </c>
      <c r="G71" s="117" t="s">
        <v>592</v>
      </c>
      <c r="H71" s="118" t="s">
        <v>595</v>
      </c>
      <c r="I71" s="119">
        <v>2</v>
      </c>
      <c r="J71" s="119">
        <v>2</v>
      </c>
      <c r="K71" s="119">
        <v>1.5</v>
      </c>
      <c r="L71" s="119">
        <v>2</v>
      </c>
      <c r="M71" s="119">
        <v>2</v>
      </c>
      <c r="N71" s="119">
        <v>1.5</v>
      </c>
      <c r="O71" s="119"/>
      <c r="P71" s="119">
        <v>2</v>
      </c>
      <c r="Q71" s="119">
        <v>2</v>
      </c>
      <c r="R71" s="119">
        <v>2</v>
      </c>
      <c r="S71" s="119">
        <v>2</v>
      </c>
      <c r="T71" s="119">
        <v>0.5</v>
      </c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20">
        <f t="shared" si="4"/>
        <v>19.5</v>
      </c>
      <c r="AO71" s="116">
        <v>150000</v>
      </c>
      <c r="AP71" s="121">
        <f t="shared" si="5"/>
        <v>2925000</v>
      </c>
    </row>
    <row r="72" spans="1:42" ht="24.9" customHeight="1">
      <c r="A72" s="122">
        <v>67</v>
      </c>
      <c r="B72" s="114" t="s">
        <v>596</v>
      </c>
      <c r="C72" s="115" t="s">
        <v>597</v>
      </c>
      <c r="D72" s="125" t="s">
        <v>335</v>
      </c>
      <c r="E72" s="115" t="s">
        <v>598</v>
      </c>
      <c r="F72" s="124" t="s">
        <v>380</v>
      </c>
      <c r="G72" s="117" t="s">
        <v>596</v>
      </c>
      <c r="H72" s="118" t="s">
        <v>599</v>
      </c>
      <c r="I72" s="119">
        <v>2</v>
      </c>
      <c r="J72" s="119">
        <v>2</v>
      </c>
      <c r="K72" s="119">
        <v>1.5</v>
      </c>
      <c r="L72" s="119">
        <v>0.125</v>
      </c>
      <c r="M72" s="119">
        <v>2</v>
      </c>
      <c r="N72" s="119"/>
      <c r="O72" s="119"/>
      <c r="P72" s="119">
        <v>2</v>
      </c>
      <c r="Q72" s="119">
        <v>2</v>
      </c>
      <c r="R72" s="119">
        <v>2</v>
      </c>
      <c r="S72" s="119">
        <v>2</v>
      </c>
      <c r="T72" s="119">
        <v>0.5</v>
      </c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20">
        <f t="shared" si="4"/>
        <v>16.125</v>
      </c>
      <c r="AO72" s="116">
        <v>150000</v>
      </c>
      <c r="AP72" s="121">
        <f t="shared" si="5"/>
        <v>2418750</v>
      </c>
    </row>
    <row r="73" spans="1:42" ht="24.9" customHeight="1">
      <c r="A73" s="122">
        <v>68</v>
      </c>
      <c r="B73" s="114" t="s">
        <v>600</v>
      </c>
      <c r="C73" s="115" t="s">
        <v>601</v>
      </c>
      <c r="D73" s="123" t="s">
        <v>335</v>
      </c>
      <c r="E73" s="115" t="s">
        <v>602</v>
      </c>
      <c r="F73" s="124" t="s">
        <v>342</v>
      </c>
      <c r="G73" s="117" t="s">
        <v>600</v>
      </c>
      <c r="H73" s="118" t="s">
        <v>603</v>
      </c>
      <c r="I73" s="119">
        <v>2</v>
      </c>
      <c r="J73" s="119">
        <v>2</v>
      </c>
      <c r="K73" s="119">
        <v>1.5</v>
      </c>
      <c r="L73" s="119">
        <v>2</v>
      </c>
      <c r="M73" s="119">
        <v>2</v>
      </c>
      <c r="N73" s="119">
        <v>1.5</v>
      </c>
      <c r="O73" s="119"/>
      <c r="P73" s="119">
        <v>2</v>
      </c>
      <c r="Q73" s="119">
        <v>2</v>
      </c>
      <c r="R73" s="119">
        <v>2</v>
      </c>
      <c r="S73" s="119">
        <v>2</v>
      </c>
      <c r="T73" s="119">
        <v>2.75</v>
      </c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20">
        <f t="shared" si="4"/>
        <v>21.75</v>
      </c>
      <c r="AO73" s="116">
        <v>170000</v>
      </c>
      <c r="AP73" s="121">
        <f t="shared" si="5"/>
        <v>3697500</v>
      </c>
    </row>
    <row r="74" spans="1:42" ht="24.9" customHeight="1">
      <c r="A74" s="122">
        <v>69</v>
      </c>
      <c r="B74" s="114" t="s">
        <v>604</v>
      </c>
      <c r="C74" s="115" t="s">
        <v>605</v>
      </c>
      <c r="D74" s="123" t="s">
        <v>335</v>
      </c>
      <c r="E74" s="115" t="s">
        <v>606</v>
      </c>
      <c r="F74" s="124" t="s">
        <v>347</v>
      </c>
      <c r="G74" s="117" t="s">
        <v>604</v>
      </c>
      <c r="H74" s="118" t="s">
        <v>607</v>
      </c>
      <c r="I74" s="119">
        <v>2</v>
      </c>
      <c r="J74" s="119">
        <v>2</v>
      </c>
      <c r="K74" s="119">
        <v>1.5</v>
      </c>
      <c r="L74" s="119">
        <v>2</v>
      </c>
      <c r="M74" s="119">
        <v>2</v>
      </c>
      <c r="N74" s="119">
        <v>1.5</v>
      </c>
      <c r="O74" s="119"/>
      <c r="P74" s="119">
        <v>2</v>
      </c>
      <c r="Q74" s="119">
        <v>2</v>
      </c>
      <c r="R74" s="119">
        <v>2</v>
      </c>
      <c r="S74" s="119">
        <v>2</v>
      </c>
      <c r="T74" s="119">
        <v>2</v>
      </c>
      <c r="U74" s="119">
        <v>1</v>
      </c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20">
        <f t="shared" si="4"/>
        <v>22</v>
      </c>
      <c r="AO74" s="116">
        <v>180000</v>
      </c>
      <c r="AP74" s="121">
        <f t="shared" si="5"/>
        <v>3960000</v>
      </c>
    </row>
    <row r="75" spans="1:42" ht="24.9" customHeight="1">
      <c r="A75" s="122">
        <v>70</v>
      </c>
      <c r="B75" s="114" t="s">
        <v>608</v>
      </c>
      <c r="C75" s="115" t="s">
        <v>609</v>
      </c>
      <c r="D75" s="125" t="s">
        <v>335</v>
      </c>
      <c r="E75" s="115" t="s">
        <v>610</v>
      </c>
      <c r="F75" s="124" t="s">
        <v>611</v>
      </c>
      <c r="G75" s="117" t="s">
        <v>608</v>
      </c>
      <c r="H75" s="118" t="s">
        <v>612</v>
      </c>
      <c r="I75" s="119">
        <v>2</v>
      </c>
      <c r="J75" s="119">
        <v>2</v>
      </c>
      <c r="K75" s="119">
        <v>1.5</v>
      </c>
      <c r="L75" s="119">
        <v>2</v>
      </c>
      <c r="M75" s="119">
        <v>2</v>
      </c>
      <c r="N75" s="119">
        <v>1.5</v>
      </c>
      <c r="O75" s="119"/>
      <c r="P75" s="119">
        <v>2</v>
      </c>
      <c r="Q75" s="119">
        <v>2</v>
      </c>
      <c r="R75" s="119">
        <v>2</v>
      </c>
      <c r="S75" s="119">
        <v>2</v>
      </c>
      <c r="T75" s="119">
        <v>2</v>
      </c>
      <c r="U75" s="119"/>
      <c r="V75" s="119"/>
      <c r="W75" s="119">
        <v>1.5</v>
      </c>
      <c r="X75" s="119">
        <v>1.5</v>
      </c>
      <c r="Y75" s="119">
        <v>1</v>
      </c>
      <c r="Z75" s="119">
        <v>1.5</v>
      </c>
      <c r="AA75" s="119">
        <v>1.5</v>
      </c>
      <c r="AB75" s="119">
        <v>1</v>
      </c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20">
        <f t="shared" si="4"/>
        <v>29</v>
      </c>
      <c r="AO75" s="116">
        <v>160000</v>
      </c>
      <c r="AP75" s="121">
        <f t="shared" si="5"/>
        <v>4640000</v>
      </c>
    </row>
    <row r="76" spans="1:42" ht="24.9" customHeight="1">
      <c r="A76" s="122">
        <v>71</v>
      </c>
      <c r="B76" s="114" t="s">
        <v>613</v>
      </c>
      <c r="C76" s="115" t="s">
        <v>614</v>
      </c>
      <c r="D76" s="123" t="s">
        <v>357</v>
      </c>
      <c r="E76" s="115" t="s">
        <v>615</v>
      </c>
      <c r="F76" s="124" t="s">
        <v>342</v>
      </c>
      <c r="G76" s="117" t="s">
        <v>613</v>
      </c>
      <c r="H76" s="118" t="s">
        <v>616</v>
      </c>
      <c r="I76" s="119">
        <v>2</v>
      </c>
      <c r="J76" s="119">
        <v>2</v>
      </c>
      <c r="K76" s="119">
        <v>1.5</v>
      </c>
      <c r="L76" s="119">
        <v>2</v>
      </c>
      <c r="M76" s="119">
        <v>2</v>
      </c>
      <c r="N76" s="119"/>
      <c r="O76" s="119"/>
      <c r="P76" s="119">
        <v>2</v>
      </c>
      <c r="Q76" s="119">
        <v>2</v>
      </c>
      <c r="R76" s="119">
        <v>2</v>
      </c>
      <c r="S76" s="119">
        <v>2</v>
      </c>
      <c r="T76" s="119">
        <v>2</v>
      </c>
      <c r="U76" s="119"/>
      <c r="V76" s="119"/>
      <c r="W76" s="119"/>
      <c r="X76" s="119">
        <v>1.5</v>
      </c>
      <c r="Y76" s="119">
        <v>1</v>
      </c>
      <c r="Z76" s="119">
        <v>1.5</v>
      </c>
      <c r="AA76" s="119">
        <v>1.5</v>
      </c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20">
        <f t="shared" si="4"/>
        <v>25</v>
      </c>
      <c r="AO76" s="116">
        <v>220000</v>
      </c>
      <c r="AP76" s="121">
        <f t="shared" si="5"/>
        <v>5500000</v>
      </c>
    </row>
    <row r="77" spans="1:42" ht="24.9" customHeight="1">
      <c r="A77" s="122">
        <v>72</v>
      </c>
      <c r="B77" s="114" t="s">
        <v>617</v>
      </c>
      <c r="C77" s="115" t="s">
        <v>618</v>
      </c>
      <c r="D77" s="125" t="s">
        <v>351</v>
      </c>
      <c r="E77" s="115" t="s">
        <v>619</v>
      </c>
      <c r="F77" s="124" t="s">
        <v>347</v>
      </c>
      <c r="G77" s="117" t="s">
        <v>617</v>
      </c>
      <c r="H77" s="118" t="s">
        <v>620</v>
      </c>
      <c r="I77" s="119">
        <v>2</v>
      </c>
      <c r="J77" s="119">
        <v>2</v>
      </c>
      <c r="K77" s="119">
        <v>1.5</v>
      </c>
      <c r="L77" s="119">
        <v>2</v>
      </c>
      <c r="M77" s="119">
        <v>2</v>
      </c>
      <c r="N77" s="119">
        <v>1.3125</v>
      </c>
      <c r="O77" s="119"/>
      <c r="P77" s="119">
        <v>2</v>
      </c>
      <c r="Q77" s="119">
        <v>2</v>
      </c>
      <c r="R77" s="119">
        <v>2</v>
      </c>
      <c r="S77" s="119">
        <v>2</v>
      </c>
      <c r="T77" s="119">
        <v>2</v>
      </c>
      <c r="U77" s="119"/>
      <c r="V77" s="119"/>
      <c r="W77" s="119">
        <v>1.5</v>
      </c>
      <c r="X77" s="119">
        <v>1.5</v>
      </c>
      <c r="Y77" s="119">
        <v>1</v>
      </c>
      <c r="Z77" s="119">
        <v>1.5</v>
      </c>
      <c r="AA77" s="119">
        <v>1.5</v>
      </c>
      <c r="AB77" s="119">
        <v>1</v>
      </c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20">
        <f t="shared" si="4"/>
        <v>28.8125</v>
      </c>
      <c r="AO77" s="116">
        <v>240000</v>
      </c>
      <c r="AP77" s="121">
        <f t="shared" si="5"/>
        <v>6915000</v>
      </c>
    </row>
    <row r="78" spans="1:42" ht="24.9" customHeight="1">
      <c r="A78" s="122">
        <v>73</v>
      </c>
      <c r="B78" s="114" t="s">
        <v>621</v>
      </c>
      <c r="C78" s="115" t="s">
        <v>622</v>
      </c>
      <c r="D78" s="125" t="s">
        <v>335</v>
      </c>
      <c r="E78" s="115" t="s">
        <v>623</v>
      </c>
      <c r="F78" s="124" t="s">
        <v>337</v>
      </c>
      <c r="G78" s="117" t="s">
        <v>621</v>
      </c>
      <c r="H78" s="118" t="s">
        <v>624</v>
      </c>
      <c r="I78" s="119">
        <v>2</v>
      </c>
      <c r="J78" s="119">
        <v>2</v>
      </c>
      <c r="K78" s="119">
        <v>1.5</v>
      </c>
      <c r="L78" s="119">
        <v>2</v>
      </c>
      <c r="M78" s="119">
        <v>2</v>
      </c>
      <c r="N78" s="119">
        <v>1.5</v>
      </c>
      <c r="O78" s="119"/>
      <c r="P78" s="119">
        <v>2</v>
      </c>
      <c r="Q78" s="119">
        <v>2</v>
      </c>
      <c r="R78" s="119">
        <v>2</v>
      </c>
      <c r="S78" s="119">
        <v>2</v>
      </c>
      <c r="T78" s="119">
        <v>2.25</v>
      </c>
      <c r="U78" s="119">
        <v>0.5</v>
      </c>
      <c r="V78" s="119"/>
      <c r="W78" s="119">
        <v>1.5</v>
      </c>
      <c r="X78" s="119">
        <v>1.5</v>
      </c>
      <c r="Y78" s="119">
        <v>1</v>
      </c>
      <c r="Z78" s="119">
        <v>1.5</v>
      </c>
      <c r="AA78" s="119">
        <v>1.5</v>
      </c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20">
        <f t="shared" si="4"/>
        <v>28.75</v>
      </c>
      <c r="AO78" s="116">
        <v>200000</v>
      </c>
      <c r="AP78" s="121">
        <f t="shared" si="5"/>
        <v>5750000</v>
      </c>
    </row>
    <row r="79" spans="1:42" ht="24.9" customHeight="1">
      <c r="A79" s="122">
        <v>74</v>
      </c>
      <c r="B79" s="114" t="s">
        <v>625</v>
      </c>
      <c r="C79" s="115" t="s">
        <v>626</v>
      </c>
      <c r="D79" s="125" t="s">
        <v>335</v>
      </c>
      <c r="E79" s="115" t="s">
        <v>627</v>
      </c>
      <c r="F79" s="124" t="s">
        <v>353</v>
      </c>
      <c r="G79" s="117" t="s">
        <v>625</v>
      </c>
      <c r="H79" s="118" t="s">
        <v>628</v>
      </c>
      <c r="I79" s="119">
        <v>2</v>
      </c>
      <c r="J79" s="119">
        <v>2</v>
      </c>
      <c r="K79" s="119">
        <v>1.5</v>
      </c>
      <c r="L79" s="119">
        <v>2</v>
      </c>
      <c r="M79" s="119">
        <v>2</v>
      </c>
      <c r="N79" s="119">
        <v>1.5</v>
      </c>
      <c r="O79" s="119"/>
      <c r="P79" s="119">
        <v>2</v>
      </c>
      <c r="Q79" s="119">
        <v>2</v>
      </c>
      <c r="R79" s="119">
        <v>2</v>
      </c>
      <c r="S79" s="119">
        <v>2</v>
      </c>
      <c r="T79" s="119">
        <v>2</v>
      </c>
      <c r="U79" s="119">
        <v>1</v>
      </c>
      <c r="V79" s="119"/>
      <c r="W79" s="119">
        <v>1.5</v>
      </c>
      <c r="X79" s="119">
        <v>1.5</v>
      </c>
      <c r="Y79" s="119">
        <v>1</v>
      </c>
      <c r="Z79" s="119">
        <v>1.5</v>
      </c>
      <c r="AA79" s="119">
        <v>1.5</v>
      </c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20">
        <f t="shared" si="4"/>
        <v>29</v>
      </c>
      <c r="AO79" s="116">
        <v>150000</v>
      </c>
      <c r="AP79" s="121">
        <f t="shared" si="5"/>
        <v>4350000</v>
      </c>
    </row>
    <row r="80" spans="1:42" ht="24.9" customHeight="1" thickBot="1">
      <c r="A80" s="122">
        <v>75</v>
      </c>
      <c r="B80" s="114" t="s">
        <v>629</v>
      </c>
      <c r="C80" s="115" t="s">
        <v>630</v>
      </c>
      <c r="D80" s="123" t="s">
        <v>357</v>
      </c>
      <c r="E80" s="115" t="s">
        <v>631</v>
      </c>
      <c r="F80" s="124" t="s">
        <v>347</v>
      </c>
      <c r="G80" s="117" t="s">
        <v>629</v>
      </c>
      <c r="H80" s="118" t="s">
        <v>632</v>
      </c>
      <c r="I80" s="119">
        <v>2</v>
      </c>
      <c r="J80" s="119">
        <v>2</v>
      </c>
      <c r="K80" s="119">
        <v>1.5</v>
      </c>
      <c r="L80" s="119">
        <v>0.5</v>
      </c>
      <c r="M80" s="119">
        <v>2</v>
      </c>
      <c r="N80" s="119">
        <v>1.5</v>
      </c>
      <c r="O80" s="119"/>
      <c r="P80" s="119">
        <v>1</v>
      </c>
      <c r="Q80" s="119">
        <v>2</v>
      </c>
      <c r="R80" s="119">
        <v>2</v>
      </c>
      <c r="S80" s="119">
        <v>2</v>
      </c>
      <c r="T80" s="119"/>
      <c r="U80" s="119">
        <v>1</v>
      </c>
      <c r="V80" s="119"/>
      <c r="W80" s="119">
        <v>1.25</v>
      </c>
      <c r="X80" s="119">
        <v>1.5</v>
      </c>
      <c r="Y80" s="119">
        <v>1</v>
      </c>
      <c r="Z80" s="119">
        <v>1.5</v>
      </c>
      <c r="AA80" s="119">
        <v>1.5</v>
      </c>
      <c r="AB80" s="119">
        <v>0.5</v>
      </c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20">
        <f t="shared" si="4"/>
        <v>24.75</v>
      </c>
      <c r="AO80" s="116">
        <v>220000</v>
      </c>
      <c r="AP80" s="121">
        <f t="shared" si="5"/>
        <v>5445000</v>
      </c>
    </row>
    <row r="81" spans="1:42" ht="30" customHeight="1" thickBot="1">
      <c r="A81" s="308" t="s">
        <v>219</v>
      </c>
      <c r="B81" s="309"/>
      <c r="C81" s="309"/>
      <c r="D81" s="309"/>
      <c r="E81" s="309"/>
      <c r="F81" s="309"/>
      <c r="G81" s="309"/>
      <c r="H81" s="310"/>
      <c r="I81" s="126">
        <f t="shared" ref="I81:AN81" si="6">SUM(I6:I80)</f>
        <v>142</v>
      </c>
      <c r="J81" s="127">
        <f t="shared" si="6"/>
        <v>145.625</v>
      </c>
      <c r="K81" s="127">
        <f t="shared" si="6"/>
        <v>109.5</v>
      </c>
      <c r="L81" s="127">
        <f t="shared" si="6"/>
        <v>140.625</v>
      </c>
      <c r="M81" s="127">
        <f t="shared" si="6"/>
        <v>141.75</v>
      </c>
      <c r="N81" s="127">
        <f t="shared" si="6"/>
        <v>94.125</v>
      </c>
      <c r="O81" s="127">
        <f t="shared" si="6"/>
        <v>0</v>
      </c>
      <c r="P81" s="127">
        <f t="shared" si="6"/>
        <v>131.125</v>
      </c>
      <c r="Q81" s="127">
        <f t="shared" si="6"/>
        <v>137</v>
      </c>
      <c r="R81" s="127">
        <f t="shared" si="6"/>
        <v>139</v>
      </c>
      <c r="S81" s="127">
        <f t="shared" si="6"/>
        <v>137.375</v>
      </c>
      <c r="T81" s="127">
        <f t="shared" si="6"/>
        <v>139</v>
      </c>
      <c r="U81" s="127">
        <f t="shared" si="6"/>
        <v>47</v>
      </c>
      <c r="V81" s="127">
        <f t="shared" si="6"/>
        <v>0</v>
      </c>
      <c r="W81" s="127">
        <f t="shared" si="6"/>
        <v>71.625</v>
      </c>
      <c r="X81" s="127">
        <f t="shared" si="6"/>
        <v>76.375</v>
      </c>
      <c r="Y81" s="127">
        <f t="shared" si="6"/>
        <v>51.5</v>
      </c>
      <c r="Z81" s="127">
        <f t="shared" si="6"/>
        <v>75.875</v>
      </c>
      <c r="AA81" s="127">
        <f t="shared" si="6"/>
        <v>78.25</v>
      </c>
      <c r="AB81" s="127">
        <f t="shared" si="6"/>
        <v>32.5</v>
      </c>
      <c r="AC81" s="127">
        <f t="shared" si="6"/>
        <v>0</v>
      </c>
      <c r="AD81" s="127">
        <f t="shared" si="6"/>
        <v>43.5</v>
      </c>
      <c r="AE81" s="127">
        <f t="shared" si="6"/>
        <v>45.375</v>
      </c>
      <c r="AF81" s="127">
        <f t="shared" si="6"/>
        <v>70.375</v>
      </c>
      <c r="AG81" s="127">
        <f t="shared" si="6"/>
        <v>67.5</v>
      </c>
      <c r="AH81" s="127">
        <f t="shared" si="6"/>
        <v>43.5</v>
      </c>
      <c r="AI81" s="127">
        <f t="shared" si="6"/>
        <v>7.875</v>
      </c>
      <c r="AJ81" s="127">
        <f t="shared" si="6"/>
        <v>0</v>
      </c>
      <c r="AK81" s="127">
        <f t="shared" si="6"/>
        <v>44.875</v>
      </c>
      <c r="AL81" s="127">
        <f t="shared" si="6"/>
        <v>69</v>
      </c>
      <c r="AM81" s="128">
        <f t="shared" si="6"/>
        <v>0</v>
      </c>
      <c r="AN81" s="129">
        <f t="shared" si="6"/>
        <v>2282.25</v>
      </c>
      <c r="AO81" s="130">
        <f>AP81/AN81</f>
        <v>184210.20922335415</v>
      </c>
      <c r="AP81" s="131">
        <f>SUM(AP6:AP80)</f>
        <v>420413750</v>
      </c>
    </row>
    <row r="82" spans="1:42" ht="24.9" customHeight="1">
      <c r="A82" s="113">
        <v>1</v>
      </c>
      <c r="B82" s="114"/>
      <c r="C82" s="115"/>
      <c r="D82" s="115"/>
      <c r="E82" s="115"/>
      <c r="F82" s="116"/>
      <c r="G82" s="117"/>
      <c r="H82" s="118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20">
        <f>SUM(I82:AM82)</f>
        <v>0</v>
      </c>
      <c r="AO82" s="116"/>
      <c r="AP82" s="121">
        <f>AN82*AO82</f>
        <v>0</v>
      </c>
    </row>
    <row r="83" spans="1:42" ht="24.9" customHeight="1">
      <c r="A83" s="122">
        <v>2</v>
      </c>
      <c r="B83" s="114"/>
      <c r="C83" s="115"/>
      <c r="D83" s="123"/>
      <c r="E83" s="115"/>
      <c r="F83" s="124"/>
      <c r="G83" s="117"/>
      <c r="H83" s="118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20">
        <f t="shared" ref="AN83:AN86" si="7">SUM(I83:AM83)</f>
        <v>0</v>
      </c>
      <c r="AO83" s="116"/>
      <c r="AP83" s="121">
        <f t="shared" ref="AP83:AP86" si="8">AN83*AO83</f>
        <v>0</v>
      </c>
    </row>
    <row r="84" spans="1:42" ht="24.9" customHeight="1">
      <c r="A84" s="122">
        <v>3</v>
      </c>
      <c r="B84" s="114"/>
      <c r="C84" s="115"/>
      <c r="D84" s="125"/>
      <c r="E84" s="115"/>
      <c r="F84" s="124"/>
      <c r="G84" s="117"/>
      <c r="H84" s="118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20">
        <f t="shared" si="7"/>
        <v>0</v>
      </c>
      <c r="AO84" s="116"/>
      <c r="AP84" s="121">
        <f t="shared" si="8"/>
        <v>0</v>
      </c>
    </row>
    <row r="85" spans="1:42" ht="24.9" customHeight="1">
      <c r="A85" s="122">
        <v>4</v>
      </c>
      <c r="B85" s="114"/>
      <c r="C85" s="115"/>
      <c r="D85" s="123"/>
      <c r="E85" s="115"/>
      <c r="F85" s="124"/>
      <c r="G85" s="117"/>
      <c r="H85" s="118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20">
        <f t="shared" si="7"/>
        <v>0</v>
      </c>
      <c r="AO85" s="116"/>
      <c r="AP85" s="121">
        <f t="shared" si="8"/>
        <v>0</v>
      </c>
    </row>
    <row r="86" spans="1:42" ht="24.9" customHeight="1" thickBot="1">
      <c r="A86" s="122">
        <v>5</v>
      </c>
      <c r="B86" s="114"/>
      <c r="C86" s="115"/>
      <c r="D86" s="123"/>
      <c r="E86" s="115"/>
      <c r="F86" s="124"/>
      <c r="G86" s="117"/>
      <c r="H86" s="118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20">
        <f t="shared" si="7"/>
        <v>0</v>
      </c>
      <c r="AO86" s="116"/>
      <c r="AP86" s="121">
        <f t="shared" si="8"/>
        <v>0</v>
      </c>
    </row>
    <row r="87" spans="1:42" ht="30" customHeight="1" thickBot="1">
      <c r="A87" s="308" t="s">
        <v>234</v>
      </c>
      <c r="B87" s="309"/>
      <c r="C87" s="309"/>
      <c r="D87" s="309"/>
      <c r="E87" s="309"/>
      <c r="F87" s="309"/>
      <c r="G87" s="309"/>
      <c r="H87" s="310"/>
      <c r="I87" s="126">
        <f t="shared" ref="I87:AN87" si="9">SUM(I82:I86)</f>
        <v>0</v>
      </c>
      <c r="J87" s="127">
        <f t="shared" si="9"/>
        <v>0</v>
      </c>
      <c r="K87" s="127">
        <f t="shared" si="9"/>
        <v>0</v>
      </c>
      <c r="L87" s="127">
        <f t="shared" si="9"/>
        <v>0</v>
      </c>
      <c r="M87" s="127">
        <f t="shared" si="9"/>
        <v>0</v>
      </c>
      <c r="N87" s="127">
        <f t="shared" si="9"/>
        <v>0</v>
      </c>
      <c r="O87" s="127">
        <f t="shared" si="9"/>
        <v>0</v>
      </c>
      <c r="P87" s="127">
        <f t="shared" si="9"/>
        <v>0</v>
      </c>
      <c r="Q87" s="127">
        <f t="shared" si="9"/>
        <v>0</v>
      </c>
      <c r="R87" s="127">
        <f t="shared" si="9"/>
        <v>0</v>
      </c>
      <c r="S87" s="127">
        <f t="shared" si="9"/>
        <v>0</v>
      </c>
      <c r="T87" s="127">
        <f t="shared" si="9"/>
        <v>0</v>
      </c>
      <c r="U87" s="127">
        <f t="shared" si="9"/>
        <v>0</v>
      </c>
      <c r="V87" s="127">
        <f t="shared" si="9"/>
        <v>0</v>
      </c>
      <c r="W87" s="127">
        <f t="shared" si="9"/>
        <v>0</v>
      </c>
      <c r="X87" s="127">
        <f t="shared" si="9"/>
        <v>0</v>
      </c>
      <c r="Y87" s="127">
        <f t="shared" si="9"/>
        <v>0</v>
      </c>
      <c r="Z87" s="127">
        <f t="shared" si="9"/>
        <v>0</v>
      </c>
      <c r="AA87" s="127">
        <f t="shared" si="9"/>
        <v>0</v>
      </c>
      <c r="AB87" s="127">
        <f t="shared" si="9"/>
        <v>0</v>
      </c>
      <c r="AC87" s="127">
        <f t="shared" si="9"/>
        <v>0</v>
      </c>
      <c r="AD87" s="127">
        <f t="shared" si="9"/>
        <v>0</v>
      </c>
      <c r="AE87" s="127">
        <f t="shared" si="9"/>
        <v>0</v>
      </c>
      <c r="AF87" s="127">
        <f t="shared" si="9"/>
        <v>0</v>
      </c>
      <c r="AG87" s="127">
        <f t="shared" si="9"/>
        <v>0</v>
      </c>
      <c r="AH87" s="127">
        <f t="shared" si="9"/>
        <v>0</v>
      </c>
      <c r="AI87" s="127">
        <f t="shared" si="9"/>
        <v>0</v>
      </c>
      <c r="AJ87" s="127">
        <f t="shared" si="9"/>
        <v>0</v>
      </c>
      <c r="AK87" s="127">
        <f t="shared" si="9"/>
        <v>0</v>
      </c>
      <c r="AL87" s="127">
        <f t="shared" si="9"/>
        <v>0</v>
      </c>
      <c r="AM87" s="128">
        <f t="shared" si="9"/>
        <v>0</v>
      </c>
      <c r="AN87" s="129">
        <f t="shared" si="9"/>
        <v>0</v>
      </c>
      <c r="AO87" s="130"/>
      <c r="AP87" s="131">
        <f>SUM(AP82:AP86)</f>
        <v>0</v>
      </c>
    </row>
    <row r="88" spans="1:42" ht="35.1" customHeight="1" thickBot="1">
      <c r="A88" s="311" t="s">
        <v>235</v>
      </c>
      <c r="B88" s="312"/>
      <c r="C88" s="312"/>
      <c r="D88" s="312"/>
      <c r="E88" s="312"/>
      <c r="F88" s="312"/>
      <c r="G88" s="312"/>
      <c r="H88" s="313"/>
      <c r="I88" s="132">
        <f t="shared" ref="I88:AN88" si="10">I81+I87</f>
        <v>142</v>
      </c>
      <c r="J88" s="133">
        <f t="shared" si="10"/>
        <v>145.625</v>
      </c>
      <c r="K88" s="133">
        <f t="shared" si="10"/>
        <v>109.5</v>
      </c>
      <c r="L88" s="133">
        <f t="shared" si="10"/>
        <v>140.625</v>
      </c>
      <c r="M88" s="133">
        <f t="shared" si="10"/>
        <v>141.75</v>
      </c>
      <c r="N88" s="133">
        <f t="shared" si="10"/>
        <v>94.125</v>
      </c>
      <c r="O88" s="133">
        <f t="shared" si="10"/>
        <v>0</v>
      </c>
      <c r="P88" s="133">
        <f t="shared" si="10"/>
        <v>131.125</v>
      </c>
      <c r="Q88" s="133">
        <f t="shared" si="10"/>
        <v>137</v>
      </c>
      <c r="R88" s="133">
        <f t="shared" si="10"/>
        <v>139</v>
      </c>
      <c r="S88" s="133">
        <f t="shared" si="10"/>
        <v>137.375</v>
      </c>
      <c r="T88" s="133">
        <f t="shared" si="10"/>
        <v>139</v>
      </c>
      <c r="U88" s="133">
        <f t="shared" si="10"/>
        <v>47</v>
      </c>
      <c r="V88" s="133">
        <f t="shared" si="10"/>
        <v>0</v>
      </c>
      <c r="W88" s="133">
        <f t="shared" si="10"/>
        <v>71.625</v>
      </c>
      <c r="X88" s="133">
        <f t="shared" si="10"/>
        <v>76.375</v>
      </c>
      <c r="Y88" s="133">
        <f t="shared" si="10"/>
        <v>51.5</v>
      </c>
      <c r="Z88" s="133">
        <f t="shared" si="10"/>
        <v>75.875</v>
      </c>
      <c r="AA88" s="133">
        <f t="shared" si="10"/>
        <v>78.25</v>
      </c>
      <c r="AB88" s="133">
        <f t="shared" si="10"/>
        <v>32.5</v>
      </c>
      <c r="AC88" s="133">
        <f t="shared" si="10"/>
        <v>0</v>
      </c>
      <c r="AD88" s="133">
        <f t="shared" si="10"/>
        <v>43.5</v>
      </c>
      <c r="AE88" s="133">
        <f t="shared" si="10"/>
        <v>45.375</v>
      </c>
      <c r="AF88" s="133">
        <f t="shared" si="10"/>
        <v>70.375</v>
      </c>
      <c r="AG88" s="133">
        <f t="shared" si="10"/>
        <v>67.5</v>
      </c>
      <c r="AH88" s="133">
        <f t="shared" si="10"/>
        <v>43.5</v>
      </c>
      <c r="AI88" s="133">
        <f t="shared" si="10"/>
        <v>7.875</v>
      </c>
      <c r="AJ88" s="133">
        <f t="shared" si="10"/>
        <v>0</v>
      </c>
      <c r="AK88" s="133">
        <f t="shared" si="10"/>
        <v>44.875</v>
      </c>
      <c r="AL88" s="133">
        <f t="shared" si="10"/>
        <v>69</v>
      </c>
      <c r="AM88" s="133">
        <f t="shared" si="10"/>
        <v>0</v>
      </c>
      <c r="AN88" s="134">
        <f t="shared" si="10"/>
        <v>2282.25</v>
      </c>
      <c r="AO88" s="135">
        <f>AP88/AN88</f>
        <v>184210.20922335415</v>
      </c>
      <c r="AP88" s="136">
        <f>AP81+AP87</f>
        <v>420413750</v>
      </c>
    </row>
    <row r="89" spans="1:42">
      <c r="G89" s="100"/>
      <c r="H89" s="100"/>
      <c r="AG89" s="137"/>
      <c r="AI89" s="138"/>
      <c r="AO89" s="100"/>
    </row>
    <row r="90" spans="1:42">
      <c r="G90" s="100"/>
      <c r="H90" s="100"/>
      <c r="AG90" s="137"/>
      <c r="AI90" s="138"/>
      <c r="AO90" s="100"/>
    </row>
    <row r="91" spans="1:42">
      <c r="G91" s="100"/>
      <c r="H91" s="100"/>
      <c r="AG91" s="137"/>
      <c r="AI91" s="138"/>
      <c r="AO91" s="100"/>
    </row>
    <row r="92" spans="1:42">
      <c r="G92" s="100"/>
      <c r="H92" s="100"/>
      <c r="AG92" s="137"/>
      <c r="AI92" s="138"/>
      <c r="AO92" s="100"/>
    </row>
    <row r="93" spans="1:42">
      <c r="G93" s="100"/>
      <c r="H93" s="100"/>
      <c r="AI93" s="137"/>
      <c r="AM93" s="138"/>
      <c r="AO93" s="100"/>
    </row>
    <row r="94" spans="1:42">
      <c r="G94" s="100"/>
      <c r="H94" s="100"/>
      <c r="AI94" s="137"/>
      <c r="AJ94" s="137"/>
      <c r="AM94" s="138"/>
      <c r="AO94" s="100"/>
    </row>
    <row r="95" spans="1:42">
      <c r="G95" s="100"/>
      <c r="H95" s="100"/>
      <c r="AJ95" s="137"/>
      <c r="AK95" s="137"/>
      <c r="AL95" s="137"/>
      <c r="AO95" s="100"/>
    </row>
    <row r="96" spans="1:42">
      <c r="G96" s="100"/>
      <c r="H96" s="100"/>
      <c r="AJ96" s="137"/>
      <c r="AK96" s="137"/>
      <c r="AL96" s="137"/>
      <c r="AO96" s="100"/>
    </row>
    <row r="97" spans="3:41">
      <c r="G97" s="100"/>
      <c r="H97" s="100"/>
      <c r="AJ97" s="137"/>
      <c r="AK97" s="137"/>
      <c r="AL97" s="137"/>
      <c r="AO97" s="100"/>
    </row>
    <row r="98" spans="3:41">
      <c r="G98" s="100"/>
      <c r="H98" s="100"/>
      <c r="AK98" s="137"/>
      <c r="AL98" s="137"/>
      <c r="AO98" s="100"/>
    </row>
    <row r="99" spans="3:41">
      <c r="C99" s="101"/>
      <c r="D99" s="101"/>
      <c r="E99" s="101"/>
      <c r="G99" s="100"/>
      <c r="H99" s="100"/>
      <c r="AN99" s="138"/>
      <c r="AO99" s="100"/>
    </row>
    <row r="100" spans="3:41">
      <c r="C100" s="101"/>
      <c r="D100" s="101"/>
      <c r="E100" s="101"/>
      <c r="G100" s="100"/>
      <c r="H100" s="100"/>
      <c r="AN100" s="138"/>
      <c r="AO100" s="100"/>
    </row>
    <row r="101" spans="3:41">
      <c r="C101" s="101"/>
      <c r="D101" s="101"/>
      <c r="E101" s="101"/>
      <c r="G101" s="100"/>
      <c r="H101" s="100"/>
      <c r="AN101" s="138"/>
      <c r="AO101" s="100"/>
    </row>
    <row r="102" spans="3:41">
      <c r="C102" s="101"/>
      <c r="D102" s="101"/>
      <c r="E102" s="101"/>
      <c r="G102" s="100"/>
      <c r="H102" s="100"/>
      <c r="AN102" s="138"/>
      <c r="AO102" s="100"/>
    </row>
    <row r="103" spans="3:41">
      <c r="C103" s="101"/>
      <c r="D103" s="101"/>
      <c r="E103" s="101"/>
      <c r="G103" s="100"/>
      <c r="H103" s="100"/>
      <c r="AN103" s="138"/>
      <c r="AO103" s="100"/>
    </row>
    <row r="104" spans="3:41">
      <c r="E104" s="101"/>
      <c r="F104" s="101"/>
      <c r="G104" s="100"/>
      <c r="H104" s="100"/>
      <c r="AO104" s="138"/>
    </row>
    <row r="105" spans="3:41">
      <c r="E105" s="101"/>
      <c r="F105" s="101"/>
      <c r="G105" s="100"/>
      <c r="H105" s="100"/>
      <c r="AO105" s="138"/>
    </row>
    <row r="106" spans="3:41">
      <c r="E106" s="101"/>
      <c r="F106" s="101"/>
      <c r="G106" s="100"/>
      <c r="H106" s="100"/>
      <c r="AO106" s="138"/>
    </row>
    <row r="107" spans="3:41">
      <c r="E107" s="101"/>
      <c r="F107" s="101"/>
      <c r="G107" s="100"/>
      <c r="H107" s="100"/>
      <c r="AO107" s="138"/>
    </row>
    <row r="108" spans="3:41">
      <c r="E108" s="101"/>
      <c r="F108" s="101"/>
      <c r="G108" s="100"/>
      <c r="H108" s="100"/>
      <c r="AO108" s="138"/>
    </row>
    <row r="109" spans="3:41">
      <c r="E109" s="101"/>
      <c r="F109" s="101"/>
      <c r="G109" s="100"/>
      <c r="H109" s="100"/>
      <c r="AO109" s="138"/>
    </row>
    <row r="110" spans="3:41">
      <c r="E110" s="101"/>
      <c r="F110" s="101"/>
      <c r="G110" s="100"/>
      <c r="H110" s="100"/>
      <c r="AO110" s="138"/>
    </row>
    <row r="111" spans="3:41">
      <c r="E111" s="101"/>
      <c r="F111" s="101"/>
      <c r="G111" s="100"/>
      <c r="H111" s="100"/>
      <c r="AO111" s="138"/>
    </row>
    <row r="112" spans="3:41">
      <c r="E112" s="101"/>
      <c r="F112" s="101"/>
      <c r="G112" s="100"/>
      <c r="H112" s="100"/>
      <c r="AO112" s="138"/>
    </row>
    <row r="113" spans="5:42">
      <c r="E113" s="101"/>
      <c r="F113" s="101"/>
      <c r="G113" s="100"/>
      <c r="H113" s="100"/>
      <c r="AO113" s="138"/>
    </row>
    <row r="114" spans="5:42">
      <c r="E114" s="101"/>
      <c r="F114" s="101"/>
      <c r="G114" s="100"/>
      <c r="H114" s="100"/>
      <c r="AO114" s="138"/>
    </row>
    <row r="115" spans="5:42">
      <c r="E115" s="101"/>
      <c r="F115" s="101"/>
      <c r="G115" s="100"/>
      <c r="H115" s="100"/>
      <c r="AO115" s="138"/>
    </row>
    <row r="116" spans="5:42">
      <c r="E116" s="101"/>
      <c r="F116" s="101"/>
      <c r="G116" s="100"/>
      <c r="H116" s="100"/>
      <c r="AO116" s="138"/>
    </row>
    <row r="117" spans="5:42">
      <c r="E117" s="101"/>
      <c r="F117" s="101"/>
      <c r="G117" s="100"/>
      <c r="H117" s="100"/>
      <c r="AO117" s="138"/>
    </row>
    <row r="118" spans="5:42">
      <c r="E118" s="101"/>
      <c r="F118" s="101"/>
      <c r="G118" s="100"/>
      <c r="H118" s="100"/>
      <c r="AO118" s="138"/>
    </row>
    <row r="119" spans="5:42">
      <c r="E119" s="101"/>
      <c r="F119" s="101"/>
      <c r="G119" s="100"/>
      <c r="H119" s="100"/>
      <c r="AO119" s="138"/>
    </row>
    <row r="120" spans="5:42">
      <c r="E120" s="101"/>
      <c r="F120" s="101"/>
      <c r="G120" s="100"/>
      <c r="H120" s="100"/>
      <c r="AO120" s="138"/>
    </row>
    <row r="121" spans="5:42">
      <c r="E121" s="101"/>
      <c r="F121" s="101"/>
      <c r="G121" s="100"/>
      <c r="H121" s="100"/>
      <c r="AO121" s="138"/>
    </row>
    <row r="122" spans="5:42">
      <c r="E122" s="101"/>
      <c r="F122" s="101"/>
      <c r="G122" s="100"/>
      <c r="H122" s="100"/>
      <c r="AO122" s="138"/>
    </row>
    <row r="123" spans="5:42">
      <c r="E123" s="101"/>
      <c r="F123" s="101"/>
      <c r="G123" s="100"/>
      <c r="H123" s="100"/>
      <c r="AO123" s="138"/>
    </row>
    <row r="124" spans="5:42">
      <c r="E124" s="101"/>
      <c r="F124" s="101"/>
      <c r="G124" s="100"/>
      <c r="H124" s="100"/>
      <c r="AO124" s="138"/>
    </row>
    <row r="125" spans="5:42">
      <c r="E125" s="101"/>
      <c r="F125" s="101"/>
      <c r="G125" s="100"/>
      <c r="H125" s="100"/>
      <c r="AO125" s="138"/>
    </row>
    <row r="126" spans="5:42">
      <c r="E126" s="101"/>
      <c r="F126" s="101"/>
      <c r="G126" s="100"/>
      <c r="H126" s="100"/>
      <c r="AO126" s="138"/>
    </row>
    <row r="127" spans="5:42">
      <c r="E127" s="101"/>
      <c r="F127" s="101"/>
      <c r="G127" s="100"/>
      <c r="H127" s="100"/>
      <c r="AO127" s="138"/>
    </row>
    <row r="128" spans="5:42">
      <c r="F128" s="101"/>
      <c r="H128" s="100"/>
      <c r="AN128" s="137"/>
      <c r="AO128" s="100"/>
      <c r="AP128" s="140"/>
    </row>
    <row r="129" spans="6:42">
      <c r="F129" s="101"/>
      <c r="H129" s="100"/>
      <c r="AN129" s="137"/>
      <c r="AO129" s="100"/>
      <c r="AP129" s="140"/>
    </row>
    <row r="130" spans="6:42">
      <c r="F130" s="101"/>
      <c r="H130" s="100"/>
      <c r="AN130" s="137"/>
      <c r="AO130" s="100"/>
      <c r="AP130" s="140"/>
    </row>
    <row r="131" spans="6:42">
      <c r="F131" s="101"/>
      <c r="H131" s="100"/>
      <c r="AN131" s="137"/>
      <c r="AO131" s="100"/>
      <c r="AP131" s="140"/>
    </row>
    <row r="132" spans="6:42">
      <c r="F132" s="101"/>
      <c r="H132" s="100"/>
      <c r="AN132" s="137"/>
      <c r="AO132" s="100"/>
      <c r="AP132" s="140"/>
    </row>
    <row r="133" spans="6:42">
      <c r="F133" s="101"/>
      <c r="H133" s="100"/>
      <c r="AN133" s="137"/>
      <c r="AO133" s="100"/>
      <c r="AP133" s="140"/>
    </row>
    <row r="134" spans="6:42">
      <c r="F134" s="101"/>
      <c r="H134" s="100"/>
      <c r="AN134" s="137"/>
      <c r="AO134" s="100"/>
      <c r="AP134" s="140"/>
    </row>
    <row r="135" spans="6:42">
      <c r="F135" s="101"/>
      <c r="H135" s="100"/>
      <c r="AN135" s="137"/>
      <c r="AO135" s="100"/>
      <c r="AP135" s="140"/>
    </row>
    <row r="136" spans="6:42">
      <c r="F136" s="101"/>
      <c r="H136" s="100"/>
      <c r="AN136" s="137"/>
      <c r="AO136" s="100"/>
      <c r="AP136" s="140"/>
    </row>
    <row r="137" spans="6:42">
      <c r="F137" s="101"/>
      <c r="H137" s="100"/>
      <c r="AN137" s="137"/>
      <c r="AO137" s="100"/>
      <c r="AP137" s="140"/>
    </row>
    <row r="138" spans="6:42">
      <c r="F138" s="101"/>
      <c r="H138" s="100"/>
      <c r="AN138" s="137"/>
      <c r="AO138" s="100"/>
      <c r="AP138" s="140"/>
    </row>
    <row r="139" spans="6:42">
      <c r="F139" s="101"/>
      <c r="H139" s="100"/>
      <c r="AN139" s="137"/>
      <c r="AO139" s="100"/>
      <c r="AP139" s="140"/>
    </row>
    <row r="140" spans="6:42">
      <c r="F140" s="101"/>
      <c r="H140" s="100"/>
      <c r="AN140" s="137"/>
      <c r="AO140" s="100"/>
      <c r="AP140" s="140"/>
    </row>
    <row r="141" spans="6:42">
      <c r="F141" s="101"/>
      <c r="H141" s="100"/>
      <c r="AN141" s="137"/>
      <c r="AO141" s="100"/>
      <c r="AP141" s="140"/>
    </row>
    <row r="142" spans="6:42">
      <c r="F142" s="101"/>
      <c r="H142" s="100"/>
      <c r="AN142" s="137"/>
      <c r="AO142" s="100"/>
      <c r="AP142" s="140"/>
    </row>
    <row r="143" spans="6:42">
      <c r="F143" s="101"/>
      <c r="H143" s="100"/>
      <c r="AN143" s="137"/>
      <c r="AO143" s="100"/>
      <c r="AP143" s="140"/>
    </row>
    <row r="144" spans="6:42">
      <c r="F144" s="101"/>
      <c r="H144" s="100"/>
      <c r="AN144" s="137"/>
      <c r="AO144" s="100"/>
      <c r="AP144" s="140"/>
    </row>
    <row r="145" spans="6:42">
      <c r="F145" s="101"/>
      <c r="H145" s="100"/>
      <c r="AN145" s="137"/>
      <c r="AO145" s="100"/>
      <c r="AP145" s="140"/>
    </row>
    <row r="146" spans="6:42">
      <c r="F146" s="101"/>
      <c r="H146" s="100"/>
      <c r="AN146" s="137"/>
      <c r="AO146" s="100"/>
      <c r="AP146" s="140"/>
    </row>
    <row r="147" spans="6:42">
      <c r="F147" s="101"/>
      <c r="H147" s="100"/>
      <c r="AN147" s="137"/>
      <c r="AO147" s="100"/>
      <c r="AP147" s="140"/>
    </row>
    <row r="148" spans="6:42">
      <c r="F148" s="101"/>
      <c r="H148" s="100"/>
      <c r="AN148" s="137"/>
      <c r="AO148" s="100"/>
      <c r="AP148" s="140"/>
    </row>
    <row r="149" spans="6:42">
      <c r="F149" s="101"/>
      <c r="H149" s="100"/>
      <c r="AN149" s="137"/>
      <c r="AO149" s="100"/>
      <c r="AP149" s="140"/>
    </row>
    <row r="150" spans="6:42">
      <c r="F150" s="101"/>
      <c r="H150" s="100"/>
      <c r="AN150" s="137"/>
      <c r="AO150" s="100"/>
      <c r="AP150" s="140"/>
    </row>
    <row r="151" spans="6:42">
      <c r="F151" s="101"/>
      <c r="H151" s="100"/>
      <c r="AN151" s="137"/>
      <c r="AO151" s="100"/>
      <c r="AP151" s="140"/>
    </row>
    <row r="152" spans="6:42">
      <c r="F152" s="101"/>
      <c r="H152" s="100"/>
      <c r="AN152" s="137"/>
      <c r="AO152" s="100"/>
      <c r="AP152" s="140"/>
    </row>
    <row r="153" spans="6:42">
      <c r="F153" s="101"/>
      <c r="H153" s="100"/>
      <c r="AN153" s="137"/>
      <c r="AO153" s="100"/>
      <c r="AP153" s="140"/>
    </row>
    <row r="154" spans="6:42">
      <c r="F154" s="101"/>
      <c r="H154" s="100"/>
      <c r="AN154" s="137"/>
      <c r="AO154" s="100"/>
      <c r="AP154" s="140"/>
    </row>
    <row r="155" spans="6:42">
      <c r="F155" s="101"/>
      <c r="H155" s="100"/>
      <c r="AN155" s="137"/>
      <c r="AO155" s="100"/>
      <c r="AP155" s="140"/>
    </row>
    <row r="156" spans="6:42">
      <c r="F156" s="101"/>
      <c r="H156" s="100"/>
      <c r="AN156" s="137"/>
      <c r="AO156" s="100"/>
      <c r="AP156" s="140"/>
    </row>
    <row r="157" spans="6:42">
      <c r="F157" s="101"/>
      <c r="H157" s="100"/>
      <c r="AN157" s="137"/>
      <c r="AO157" s="100"/>
      <c r="AP157" s="140"/>
    </row>
    <row r="158" spans="6:42">
      <c r="F158" s="101"/>
      <c r="H158" s="100"/>
      <c r="AN158" s="137"/>
      <c r="AO158" s="100"/>
      <c r="AP158" s="140"/>
    </row>
    <row r="159" spans="6:42">
      <c r="F159" s="101"/>
      <c r="H159" s="100"/>
      <c r="AN159" s="137"/>
      <c r="AO159" s="100"/>
      <c r="AP159" s="140"/>
    </row>
    <row r="160" spans="6:42">
      <c r="F160" s="101"/>
      <c r="H160" s="100"/>
      <c r="AN160" s="137"/>
      <c r="AO160" s="100"/>
      <c r="AP160" s="140"/>
    </row>
    <row r="161" spans="6:42">
      <c r="F161" s="101"/>
      <c r="H161" s="100"/>
      <c r="AN161" s="137"/>
      <c r="AO161" s="100"/>
      <c r="AP161" s="140"/>
    </row>
    <row r="162" spans="6:42">
      <c r="F162" s="101"/>
      <c r="H162" s="100"/>
      <c r="AN162" s="137"/>
      <c r="AO162" s="100"/>
      <c r="AP162" s="140"/>
    </row>
    <row r="163" spans="6:42">
      <c r="F163" s="101"/>
      <c r="H163" s="100"/>
      <c r="AN163" s="137"/>
      <c r="AO163" s="100"/>
      <c r="AP163" s="140"/>
    </row>
    <row r="164" spans="6:42">
      <c r="F164" s="101"/>
      <c r="H164" s="100"/>
      <c r="AN164" s="137"/>
      <c r="AO164" s="100"/>
      <c r="AP164" s="140"/>
    </row>
    <row r="165" spans="6:42">
      <c r="F165" s="101"/>
      <c r="H165" s="100"/>
      <c r="AN165" s="137"/>
      <c r="AO165" s="100"/>
      <c r="AP165" s="140"/>
    </row>
    <row r="166" spans="6:42">
      <c r="F166" s="101"/>
      <c r="H166" s="100"/>
      <c r="AN166" s="137"/>
      <c r="AO166" s="100"/>
      <c r="AP166" s="140"/>
    </row>
    <row r="167" spans="6:42">
      <c r="F167" s="101"/>
      <c r="H167" s="100"/>
      <c r="AN167" s="137"/>
      <c r="AO167" s="100"/>
      <c r="AP167" s="140"/>
    </row>
    <row r="168" spans="6:42">
      <c r="F168" s="101"/>
      <c r="H168" s="100"/>
      <c r="AN168" s="137"/>
      <c r="AO168" s="100"/>
      <c r="AP168" s="140"/>
    </row>
    <row r="169" spans="6:42">
      <c r="F169" s="101"/>
      <c r="H169" s="100"/>
      <c r="AN169" s="137"/>
      <c r="AO169" s="100"/>
      <c r="AP169" s="140"/>
    </row>
  </sheetData>
  <mergeCells count="10">
    <mergeCell ref="AM1:AP1"/>
    <mergeCell ref="AH2:AL2"/>
    <mergeCell ref="AM2:AP2"/>
    <mergeCell ref="AH3:AL3"/>
    <mergeCell ref="AM3:AP3"/>
    <mergeCell ref="A81:H81"/>
    <mergeCell ref="A87:H87"/>
    <mergeCell ref="A88:H88"/>
    <mergeCell ref="A1:AG3"/>
    <mergeCell ref="AH1:AL1"/>
  </mergeCells>
  <phoneticPr fontId="3" type="noConversion"/>
  <conditionalFormatting sqref="B6:B80">
    <cfRule type="duplicateValues" dxfId="56" priority="302"/>
  </conditionalFormatting>
  <conditionalFormatting sqref="B82:B86">
    <cfRule type="duplicateValues" dxfId="55" priority="105"/>
  </conditionalFormatting>
  <conditionalFormatting sqref="B89:B1048576 B1:B5">
    <cfRule type="duplicateValues" dxfId="54" priority="33"/>
  </conditionalFormatting>
  <conditionalFormatting sqref="B6:C80">
    <cfRule type="duplicateValues" dxfId="53" priority="304"/>
  </conditionalFormatting>
  <conditionalFormatting sqref="B82:C86">
    <cfRule type="duplicateValues" dxfId="52" priority="107"/>
  </conditionalFormatting>
  <conditionalFormatting sqref="B89:C1048576 B1:C5">
    <cfRule type="duplicateValues" dxfId="51" priority="57"/>
  </conditionalFormatting>
  <conditionalFormatting sqref="C5">
    <cfRule type="duplicateValues" dxfId="50" priority="50"/>
    <cfRule type="duplicateValues" dxfId="49" priority="51"/>
    <cfRule type="duplicateValues" dxfId="48" priority="52"/>
  </conditionalFormatting>
  <conditionalFormatting sqref="C6:C80 E6:E80">
    <cfRule type="duplicateValues" dxfId="47" priority="306"/>
  </conditionalFormatting>
  <conditionalFormatting sqref="C6:C80">
    <cfRule type="duplicateValues" dxfId="46" priority="308"/>
    <cfRule type="duplicateValues" dxfId="45" priority="309"/>
    <cfRule type="duplicateValues" dxfId="44" priority="310"/>
  </conditionalFormatting>
  <conditionalFormatting sqref="C82:C86 E82:E86">
    <cfRule type="duplicateValues" dxfId="43" priority="109"/>
  </conditionalFormatting>
  <conditionalFormatting sqref="C82:C86">
    <cfRule type="duplicateValues" dxfId="42" priority="111"/>
    <cfRule type="duplicateValues" dxfId="41" priority="112"/>
    <cfRule type="duplicateValues" dxfId="40" priority="113"/>
  </conditionalFormatting>
  <conditionalFormatting sqref="C89:C1048576 C1:C5">
    <cfRule type="duplicateValues" dxfId="39" priority="34"/>
  </conditionalFormatting>
  <conditionalFormatting sqref="C89:C1048576 C4">
    <cfRule type="duplicateValues" dxfId="38" priority="49"/>
  </conditionalFormatting>
  <conditionalFormatting sqref="C89:C1048576 C4:C5">
    <cfRule type="duplicateValues" dxfId="37" priority="39"/>
    <cfRule type="duplicateValues" dxfId="36" priority="42"/>
    <cfRule type="duplicateValues" dxfId="35" priority="47"/>
  </conditionalFormatting>
  <conditionalFormatting sqref="C89:C1048576">
    <cfRule type="duplicateValues" dxfId="34" priority="43"/>
  </conditionalFormatting>
  <conditionalFormatting sqref="E5">
    <cfRule type="duplicateValues" dxfId="33" priority="53"/>
    <cfRule type="duplicateValues" dxfId="32" priority="54"/>
  </conditionalFormatting>
  <conditionalFormatting sqref="E6:E80">
    <cfRule type="duplicateValues" dxfId="31" priority="317"/>
    <cfRule type="duplicateValues" dxfId="30" priority="318"/>
    <cfRule type="duplicateValues" dxfId="29" priority="319"/>
  </conditionalFormatting>
  <conditionalFormatting sqref="E82:E86">
    <cfRule type="duplicateValues" dxfId="28" priority="119"/>
    <cfRule type="duplicateValues" dxfId="27" priority="120"/>
    <cfRule type="duplicateValues" dxfId="26" priority="121"/>
  </conditionalFormatting>
  <conditionalFormatting sqref="E89:E1048576 C4:C5 E4:E5 C89:C1048576">
    <cfRule type="duplicateValues" dxfId="25" priority="44"/>
  </conditionalFormatting>
  <conditionalFormatting sqref="E89:E1048576 E1:E5">
    <cfRule type="duplicateValues" dxfId="24" priority="36"/>
  </conditionalFormatting>
  <conditionalFormatting sqref="E89:E1048576 E4:E5">
    <cfRule type="duplicateValues" dxfId="23" priority="38"/>
    <cfRule type="duplicateValues" dxfId="22" priority="41"/>
    <cfRule type="duplicateValues" dxfId="21" priority="46"/>
  </conditionalFormatting>
  <conditionalFormatting sqref="G6:H80">
    <cfRule type="duplicateValues" dxfId="20" priority="327"/>
  </conditionalFormatting>
  <conditionalFormatting sqref="G82:H86">
    <cfRule type="duplicateValues" dxfId="19" priority="129"/>
  </conditionalFormatting>
  <conditionalFormatting sqref="G89:H1048576 G1:H5">
    <cfRule type="duplicateValues" dxfId="18" priority="35"/>
  </conditionalFormatting>
  <conditionalFormatting sqref="H5">
    <cfRule type="duplicateValues" dxfId="17" priority="55"/>
    <cfRule type="duplicateValues" dxfId="16" priority="56"/>
  </conditionalFormatting>
  <conditionalFormatting sqref="H6:H80">
    <cfRule type="duplicateValues" dxfId="15" priority="329"/>
    <cfRule type="duplicateValues" dxfId="14" priority="330"/>
    <cfRule type="duplicateValues" dxfId="13" priority="331"/>
    <cfRule type="duplicateValues" dxfId="12" priority="332"/>
    <cfRule type="duplicateValues" dxfId="11" priority="333"/>
    <cfRule type="duplicateValues" dxfId="10" priority="334"/>
  </conditionalFormatting>
  <conditionalFormatting sqref="H82:H86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89:H1048576 H4">
    <cfRule type="duplicateValues" dxfId="3" priority="48"/>
  </conditionalFormatting>
  <conditionalFormatting sqref="H89:H1048576 H4:H5">
    <cfRule type="duplicateValues" dxfId="2" priority="37"/>
    <cfRule type="duplicateValues" dxfId="1" priority="40"/>
    <cfRule type="duplicateValues" dxfId="0" priority="45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34" fitToHeight="0" orientation="landscape" r:id="rId1"/>
  <headerFooter>
    <oddFooter>&amp;C&amp;P/&amp;N</oddFooter>
  </headerFooter>
  <rowBreaks count="2" manualBreakCount="2">
    <brk id="63" max="41" man="1"/>
    <brk id="81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14"/>
  <sheetViews>
    <sheetView view="pageBreakPreview" zoomScale="85" zoomScaleNormal="115" zoomScaleSheetLayoutView="85" workbookViewId="0">
      <selection activeCell="E29" sqref="E29"/>
    </sheetView>
  </sheetViews>
  <sheetFormatPr defaultRowHeight="15.6"/>
  <cols>
    <col min="1" max="1" width="9.3984375" style="161" customWidth="1"/>
    <col min="2" max="2" width="21.59765625" style="162" bestFit="1" customWidth="1"/>
    <col min="3" max="3" width="13.3984375" style="161" customWidth="1"/>
    <col min="4" max="4" width="41.19921875" style="162" bestFit="1" customWidth="1"/>
    <col min="5" max="5" width="41.09765625" style="162" bestFit="1" customWidth="1"/>
    <col min="6" max="6" width="20.09765625" style="162" bestFit="1" customWidth="1"/>
    <col min="7" max="7" width="8" style="163" customWidth="1"/>
    <col min="8" max="8" width="14.19921875" style="164" customWidth="1"/>
    <col min="9" max="9" width="15.09765625" style="164" bestFit="1" customWidth="1"/>
    <col min="10" max="10" width="23.3984375" style="162" customWidth="1"/>
    <col min="11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2" ht="33.75" customHeight="1">
      <c r="A1" s="329" t="s">
        <v>292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2" s="152" customFormat="1" ht="19.5" customHeight="1">
      <c r="A2" s="332" t="s">
        <v>293</v>
      </c>
      <c r="B2" s="333" t="s">
        <v>286</v>
      </c>
      <c r="C2" s="332" t="s">
        <v>250</v>
      </c>
      <c r="D2" s="332" t="s">
        <v>251</v>
      </c>
      <c r="E2" s="335" t="s">
        <v>294</v>
      </c>
      <c r="F2" s="332" t="s">
        <v>279</v>
      </c>
      <c r="G2" s="336" t="s">
        <v>295</v>
      </c>
      <c r="H2" s="337" t="s">
        <v>288</v>
      </c>
      <c r="I2" s="151" t="s">
        <v>289</v>
      </c>
      <c r="J2" s="332" t="s">
        <v>290</v>
      </c>
    </row>
    <row r="3" spans="1:12" s="152" customFormat="1" ht="19.5" customHeight="1">
      <c r="A3" s="332"/>
      <c r="B3" s="334"/>
      <c r="C3" s="332"/>
      <c r="D3" s="332"/>
      <c r="E3" s="335"/>
      <c r="F3" s="332"/>
      <c r="G3" s="336"/>
      <c r="H3" s="337"/>
      <c r="I3" s="147">
        <f>ROUND(SUM(I4:I82),)</f>
        <v>0</v>
      </c>
      <c r="J3" s="332"/>
    </row>
    <row r="4" spans="1:12" s="158" customFormat="1" ht="15" customHeight="1">
      <c r="A4" s="154">
        <f t="shared" ref="A4:A9" si="0">ROW()-3</f>
        <v>1</v>
      </c>
      <c r="B4" s="155"/>
      <c r="C4" s="154"/>
      <c r="D4" s="154"/>
      <c r="E4" s="154"/>
      <c r="F4" s="154"/>
      <c r="G4" s="156"/>
      <c r="H4" s="157"/>
      <c r="I4" s="157"/>
      <c r="J4" s="154"/>
      <c r="L4" s="159" t="s">
        <v>247</v>
      </c>
    </row>
    <row r="5" spans="1:12" s="158" customFormat="1" ht="15" customHeight="1">
      <c r="A5" s="154">
        <f t="shared" si="0"/>
        <v>2</v>
      </c>
      <c r="B5" s="155"/>
      <c r="C5" s="154"/>
      <c r="D5" s="154"/>
      <c r="E5" s="154"/>
      <c r="F5" s="154"/>
      <c r="G5" s="156"/>
      <c r="H5" s="157"/>
      <c r="I5" s="157"/>
      <c r="J5" s="154"/>
      <c r="L5" s="159" t="s">
        <v>296</v>
      </c>
    </row>
    <row r="6" spans="1:12" s="158" customFormat="1" ht="15" customHeight="1">
      <c r="A6" s="154">
        <f t="shared" si="0"/>
        <v>3</v>
      </c>
      <c r="B6" s="155"/>
      <c r="C6" s="154"/>
      <c r="D6" s="154"/>
      <c r="E6" s="154"/>
      <c r="F6" s="154"/>
      <c r="G6" s="156"/>
      <c r="H6" s="157"/>
      <c r="I6" s="157"/>
      <c r="J6" s="154"/>
      <c r="L6" s="159" t="s">
        <v>286</v>
      </c>
    </row>
    <row r="7" spans="1:12" s="158" customFormat="1" ht="15" customHeight="1">
      <c r="A7" s="154">
        <f t="shared" si="0"/>
        <v>4</v>
      </c>
      <c r="B7" s="155"/>
      <c r="C7" s="154"/>
      <c r="D7" s="154"/>
      <c r="E7" s="154"/>
      <c r="F7" s="154"/>
      <c r="G7" s="156"/>
      <c r="H7" s="157"/>
      <c r="I7" s="157"/>
      <c r="J7" s="154"/>
      <c r="L7" s="159" t="s">
        <v>250</v>
      </c>
    </row>
    <row r="8" spans="1:12" s="158" customFormat="1" ht="15" customHeight="1">
      <c r="A8" s="154">
        <f t="shared" si="0"/>
        <v>5</v>
      </c>
      <c r="B8" s="155"/>
      <c r="C8" s="154"/>
      <c r="D8" s="154"/>
      <c r="E8" s="154"/>
      <c r="F8" s="154"/>
      <c r="G8" s="156"/>
      <c r="H8" s="157"/>
      <c r="I8" s="157"/>
      <c r="J8" s="154"/>
      <c r="L8" s="159" t="s">
        <v>251</v>
      </c>
    </row>
    <row r="9" spans="1:12" s="158" customFormat="1" ht="15" customHeight="1">
      <c r="A9" s="154">
        <f t="shared" si="0"/>
        <v>6</v>
      </c>
      <c r="B9" s="155"/>
      <c r="C9" s="154"/>
      <c r="D9" s="154"/>
      <c r="E9" s="154"/>
      <c r="F9" s="154"/>
      <c r="G9" s="156"/>
      <c r="H9" s="157"/>
      <c r="I9" s="157"/>
      <c r="J9" s="154"/>
      <c r="L9" s="159" t="s">
        <v>294</v>
      </c>
    </row>
    <row r="10" spans="1:12" s="158" customFormat="1" ht="15" customHeight="1">
      <c r="A10" s="162"/>
      <c r="B10" s="162"/>
      <c r="C10" s="162"/>
      <c r="D10" s="162"/>
      <c r="E10" s="162"/>
      <c r="F10" s="162"/>
      <c r="G10" s="162"/>
      <c r="H10" s="162"/>
      <c r="I10" s="162"/>
      <c r="J10" s="162"/>
      <c r="L10" s="159" t="s">
        <v>297</v>
      </c>
    </row>
    <row r="11" spans="1:12" s="158" customFormat="1" ht="15" customHeight="1">
      <c r="A11" s="162"/>
      <c r="B11" s="162"/>
      <c r="C11" s="162"/>
      <c r="D11" s="162"/>
      <c r="E11" s="162"/>
      <c r="F11" s="162"/>
      <c r="G11" s="162"/>
      <c r="H11" s="162"/>
      <c r="I11" s="162"/>
      <c r="J11" s="162"/>
      <c r="L11" s="159" t="s">
        <v>298</v>
      </c>
    </row>
    <row r="12" spans="1:12" ht="13.5" customHeight="1">
      <c r="L12" s="158" t="s">
        <v>288</v>
      </c>
    </row>
    <row r="13" spans="1:12">
      <c r="L13" s="158"/>
    </row>
    <row r="14" spans="1:12" ht="17.399999999999999">
      <c r="L14" s="160" t="s">
        <v>299</v>
      </c>
    </row>
  </sheetData>
  <autoFilter ref="A2:J19" xr:uid="{2E421254-DD27-4148-AC38-C00782AEA3D1}">
    <sortState ref="A5:J19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2" fitToHeight="0" orientation="landscape" r:id="rId1"/>
  <headerFoot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N44"/>
  <sheetViews>
    <sheetView view="pageBreakPreview" topLeftCell="A3" zoomScaleNormal="115" zoomScaleSheetLayoutView="100" workbookViewId="0">
      <selection activeCell="E29" sqref="E29"/>
    </sheetView>
  </sheetViews>
  <sheetFormatPr defaultRowHeight="15.6"/>
  <cols>
    <col min="1" max="1" width="9.3984375" style="161" customWidth="1"/>
    <col min="2" max="2" width="21.59765625" style="162" bestFit="1" customWidth="1"/>
    <col min="3" max="3" width="13.3984375" style="161" customWidth="1"/>
    <col min="4" max="4" width="55" style="162" customWidth="1"/>
    <col min="5" max="5" width="41.09765625" style="162" bestFit="1" customWidth="1"/>
    <col min="6" max="6" width="20.09765625" style="162" bestFit="1" customWidth="1"/>
    <col min="7" max="7" width="8" style="163" customWidth="1"/>
    <col min="8" max="8" width="14.19921875" style="164" customWidth="1"/>
    <col min="9" max="9" width="15.09765625" style="164" bestFit="1" customWidth="1"/>
    <col min="10" max="10" width="23.3984375" style="162" customWidth="1"/>
    <col min="11" max="11" width="9" style="17" customWidth="1"/>
    <col min="12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4" ht="33.75" customHeight="1">
      <c r="A1" s="329" t="s">
        <v>300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4" s="152" customFormat="1" ht="19.5" customHeight="1">
      <c r="A2" s="332" t="s">
        <v>293</v>
      </c>
      <c r="B2" s="333" t="s">
        <v>286</v>
      </c>
      <c r="C2" s="332" t="s">
        <v>250</v>
      </c>
      <c r="D2" s="332" t="s">
        <v>251</v>
      </c>
      <c r="E2" s="335" t="s">
        <v>294</v>
      </c>
      <c r="F2" s="332" t="s">
        <v>279</v>
      </c>
      <c r="G2" s="336" t="s">
        <v>295</v>
      </c>
      <c r="H2" s="337" t="s">
        <v>288</v>
      </c>
      <c r="I2" s="151" t="s">
        <v>289</v>
      </c>
      <c r="J2" s="332" t="s">
        <v>290</v>
      </c>
    </row>
    <row r="3" spans="1:14" s="152" customFormat="1" ht="19.5" customHeight="1">
      <c r="A3" s="332"/>
      <c r="B3" s="334"/>
      <c r="C3" s="332"/>
      <c r="D3" s="332"/>
      <c r="E3" s="335"/>
      <c r="F3" s="332"/>
      <c r="G3" s="336"/>
      <c r="H3" s="337"/>
      <c r="I3" s="147">
        <f>ROUND(SUM(I4:I34),)</f>
        <v>1346664</v>
      </c>
      <c r="J3" s="332"/>
      <c r="L3" s="153" t="s">
        <v>247</v>
      </c>
    </row>
    <row r="4" spans="1:14" s="158" customFormat="1" ht="15" customHeight="1">
      <c r="A4" s="154">
        <f t="shared" ref="A4:A34" si="0">ROW()-3</f>
        <v>1</v>
      </c>
      <c r="B4" s="155">
        <v>46174</v>
      </c>
      <c r="C4" s="154" t="s">
        <v>701</v>
      </c>
      <c r="D4" s="154" t="s">
        <v>648</v>
      </c>
      <c r="E4" s="154" t="s">
        <v>649</v>
      </c>
      <c r="F4" s="154" t="s">
        <v>650</v>
      </c>
      <c r="G4" s="156">
        <v>1</v>
      </c>
      <c r="H4" s="157">
        <v>62727.272727272721</v>
      </c>
      <c r="I4" s="157">
        <v>62727.272727272721</v>
      </c>
      <c r="J4" s="154"/>
      <c r="L4" s="159" t="s">
        <v>296</v>
      </c>
    </row>
    <row r="5" spans="1:14" s="158" customFormat="1" ht="15" customHeight="1">
      <c r="A5" s="154">
        <f t="shared" si="0"/>
        <v>2</v>
      </c>
      <c r="B5" s="155">
        <v>46174</v>
      </c>
      <c r="C5" s="154" t="s">
        <v>701</v>
      </c>
      <c r="D5" s="154" t="s">
        <v>651</v>
      </c>
      <c r="E5" s="154" t="s">
        <v>652</v>
      </c>
      <c r="F5" s="154" t="s">
        <v>653</v>
      </c>
      <c r="G5" s="156">
        <v>10</v>
      </c>
      <c r="H5" s="157">
        <v>1500</v>
      </c>
      <c r="I5" s="157">
        <v>15000</v>
      </c>
      <c r="J5" s="154"/>
      <c r="L5" s="159" t="s">
        <v>286</v>
      </c>
    </row>
    <row r="6" spans="1:14" s="158" customFormat="1" ht="15" customHeight="1">
      <c r="A6" s="154">
        <f t="shared" si="0"/>
        <v>3</v>
      </c>
      <c r="B6" s="155">
        <v>46175</v>
      </c>
      <c r="C6" s="154" t="s">
        <v>701</v>
      </c>
      <c r="D6" s="154" t="s">
        <v>654</v>
      </c>
      <c r="E6" s="154" t="s">
        <v>655</v>
      </c>
      <c r="F6" s="154" t="s">
        <v>653</v>
      </c>
      <c r="G6" s="156">
        <v>1</v>
      </c>
      <c r="H6" s="157">
        <v>60100</v>
      </c>
      <c r="I6" s="157">
        <v>60100</v>
      </c>
      <c r="J6" s="154"/>
      <c r="L6" s="159" t="s">
        <v>250</v>
      </c>
    </row>
    <row r="7" spans="1:14" s="158" customFormat="1" ht="15" customHeight="1">
      <c r="A7" s="154">
        <f t="shared" si="0"/>
        <v>4</v>
      </c>
      <c r="B7" s="155">
        <v>46175</v>
      </c>
      <c r="C7" s="154" t="s">
        <v>701</v>
      </c>
      <c r="D7" s="154" t="s">
        <v>654</v>
      </c>
      <c r="E7" s="154" t="s">
        <v>656</v>
      </c>
      <c r="F7" s="154" t="s">
        <v>653</v>
      </c>
      <c r="G7" s="156">
        <v>1</v>
      </c>
      <c r="H7" s="157">
        <v>89500</v>
      </c>
      <c r="I7" s="157">
        <v>89500</v>
      </c>
      <c r="J7" s="244"/>
      <c r="L7" s="159" t="s">
        <v>251</v>
      </c>
    </row>
    <row r="8" spans="1:14" s="158" customFormat="1" ht="15" customHeight="1">
      <c r="A8" s="154">
        <f t="shared" si="0"/>
        <v>5</v>
      </c>
      <c r="B8" s="155">
        <v>46175</v>
      </c>
      <c r="C8" s="154" t="s">
        <v>702</v>
      </c>
      <c r="D8" s="154" t="s">
        <v>657</v>
      </c>
      <c r="E8" s="154" t="s">
        <v>658</v>
      </c>
      <c r="F8" s="154" t="s">
        <v>653</v>
      </c>
      <c r="G8" s="156">
        <v>1</v>
      </c>
      <c r="H8" s="157">
        <v>181000</v>
      </c>
      <c r="I8" s="157">
        <v>181000</v>
      </c>
      <c r="J8" s="244"/>
      <c r="L8" s="159" t="s">
        <v>294</v>
      </c>
    </row>
    <row r="9" spans="1:14" s="158" customFormat="1" ht="15" customHeight="1">
      <c r="A9" s="154">
        <f t="shared" si="0"/>
        <v>6</v>
      </c>
      <c r="B9" s="155">
        <v>46175</v>
      </c>
      <c r="C9" s="154" t="s">
        <v>701</v>
      </c>
      <c r="D9" s="154" t="s">
        <v>657</v>
      </c>
      <c r="E9" s="154" t="s">
        <v>659</v>
      </c>
      <c r="F9" s="154" t="s">
        <v>653</v>
      </c>
      <c r="G9" s="154">
        <v>1</v>
      </c>
      <c r="H9" s="157">
        <v>52000</v>
      </c>
      <c r="I9" s="157">
        <v>52000</v>
      </c>
      <c r="J9" s="154"/>
      <c r="L9" s="159" t="s">
        <v>297</v>
      </c>
    </row>
    <row r="10" spans="1:14" s="158" customFormat="1" ht="15" customHeight="1">
      <c r="A10" s="154">
        <f t="shared" si="0"/>
        <v>7</v>
      </c>
      <c r="B10" s="155">
        <v>46178</v>
      </c>
      <c r="C10" s="154" t="s">
        <v>701</v>
      </c>
      <c r="D10" s="154" t="s">
        <v>660</v>
      </c>
      <c r="E10" s="154" t="s">
        <v>661</v>
      </c>
      <c r="F10" s="154" t="s">
        <v>653</v>
      </c>
      <c r="G10" s="154">
        <v>5</v>
      </c>
      <c r="H10" s="157">
        <v>3600</v>
      </c>
      <c r="I10" s="157">
        <v>18000</v>
      </c>
      <c r="J10" s="154"/>
      <c r="L10" s="159" t="s">
        <v>298</v>
      </c>
    </row>
    <row r="11" spans="1:14" s="158" customFormat="1" ht="15" customHeight="1">
      <c r="A11" s="154">
        <f t="shared" si="0"/>
        <v>8</v>
      </c>
      <c r="B11" s="155">
        <v>46178</v>
      </c>
      <c r="C11" s="154" t="s">
        <v>701</v>
      </c>
      <c r="D11" s="154" t="s">
        <v>662</v>
      </c>
      <c r="E11" s="154" t="s">
        <v>663</v>
      </c>
      <c r="F11" s="154" t="s">
        <v>653</v>
      </c>
      <c r="G11" s="156">
        <v>1</v>
      </c>
      <c r="H11" s="157">
        <v>1200</v>
      </c>
      <c r="I11" s="157">
        <v>1200</v>
      </c>
      <c r="J11" s="154"/>
      <c r="L11" s="159" t="s">
        <v>288</v>
      </c>
    </row>
    <row r="12" spans="1:14" s="158" customFormat="1" ht="15" customHeight="1">
      <c r="A12" s="154">
        <f t="shared" si="0"/>
        <v>9</v>
      </c>
      <c r="B12" s="155">
        <v>46178</v>
      </c>
      <c r="C12" s="154" t="s">
        <v>701</v>
      </c>
      <c r="D12" s="154" t="s">
        <v>664</v>
      </c>
      <c r="E12" s="154" t="s">
        <v>665</v>
      </c>
      <c r="F12" s="154" t="s">
        <v>653</v>
      </c>
      <c r="G12" s="156">
        <v>2</v>
      </c>
      <c r="H12" s="157">
        <v>2400</v>
      </c>
      <c r="I12" s="157">
        <v>4800</v>
      </c>
      <c r="J12" s="154"/>
      <c r="L12" s="159"/>
    </row>
    <row r="13" spans="1:14" s="158" customFormat="1" ht="15" customHeight="1">
      <c r="A13" s="154">
        <f t="shared" si="0"/>
        <v>10</v>
      </c>
      <c r="B13" s="155">
        <v>46178</v>
      </c>
      <c r="C13" s="154" t="s">
        <v>701</v>
      </c>
      <c r="D13" s="154" t="s">
        <v>666</v>
      </c>
      <c r="E13" s="154" t="s">
        <v>667</v>
      </c>
      <c r="F13" s="154" t="s">
        <v>653</v>
      </c>
      <c r="G13" s="156">
        <v>1</v>
      </c>
      <c r="H13" s="157">
        <v>64900</v>
      </c>
      <c r="I13" s="157">
        <v>64900</v>
      </c>
      <c r="J13" s="154"/>
      <c r="N13" s="159" t="s">
        <v>299</v>
      </c>
    </row>
    <row r="14" spans="1:14" s="158" customFormat="1" ht="15" customHeight="1">
      <c r="A14" s="154">
        <f t="shared" si="0"/>
        <v>11</v>
      </c>
      <c r="B14" s="155">
        <v>46182</v>
      </c>
      <c r="C14" s="154" t="s">
        <v>701</v>
      </c>
      <c r="D14" s="154" t="s">
        <v>668</v>
      </c>
      <c r="E14" s="154" t="s">
        <v>669</v>
      </c>
      <c r="F14" s="154" t="s">
        <v>653</v>
      </c>
      <c r="G14" s="156">
        <v>2</v>
      </c>
      <c r="H14" s="157">
        <v>19500</v>
      </c>
      <c r="I14" s="157">
        <v>39000</v>
      </c>
      <c r="J14" s="154"/>
      <c r="L14" s="159"/>
    </row>
    <row r="15" spans="1:14" s="158" customFormat="1" ht="15" customHeight="1">
      <c r="A15" s="154">
        <f t="shared" si="0"/>
        <v>12</v>
      </c>
      <c r="B15" s="155">
        <v>46182</v>
      </c>
      <c r="C15" s="154" t="s">
        <v>701</v>
      </c>
      <c r="D15" s="154" t="s">
        <v>670</v>
      </c>
      <c r="E15" s="154" t="s">
        <v>671</v>
      </c>
      <c r="F15" s="154" t="s">
        <v>653</v>
      </c>
      <c r="G15" s="156">
        <v>2</v>
      </c>
      <c r="H15" s="157">
        <v>1500</v>
      </c>
      <c r="I15" s="157">
        <v>3000</v>
      </c>
      <c r="J15" s="154"/>
      <c r="L15" s="159"/>
    </row>
    <row r="16" spans="1:14" s="158" customFormat="1" ht="15" customHeight="1">
      <c r="A16" s="154">
        <f t="shared" si="0"/>
        <v>13</v>
      </c>
      <c r="B16" s="155">
        <v>46182</v>
      </c>
      <c r="C16" s="154" t="s">
        <v>701</v>
      </c>
      <c r="D16" s="154" t="s">
        <v>672</v>
      </c>
      <c r="E16" s="154" t="s">
        <v>673</v>
      </c>
      <c r="F16" s="154" t="s">
        <v>653</v>
      </c>
      <c r="G16" s="156">
        <v>20</v>
      </c>
      <c r="H16" s="157">
        <v>4500</v>
      </c>
      <c r="I16" s="157">
        <v>90000</v>
      </c>
      <c r="J16" s="154"/>
      <c r="L16" s="159"/>
    </row>
    <row r="17" spans="1:12" s="158" customFormat="1" ht="15" customHeight="1">
      <c r="A17" s="154">
        <f t="shared" si="0"/>
        <v>14</v>
      </c>
      <c r="B17" s="155">
        <v>46182</v>
      </c>
      <c r="C17" s="154" t="s">
        <v>701</v>
      </c>
      <c r="D17" s="154" t="s">
        <v>674</v>
      </c>
      <c r="E17" s="154" t="s">
        <v>675</v>
      </c>
      <c r="F17" s="154" t="s">
        <v>653</v>
      </c>
      <c r="G17" s="156">
        <v>3</v>
      </c>
      <c r="H17" s="157">
        <v>12500</v>
      </c>
      <c r="I17" s="157">
        <v>37500</v>
      </c>
      <c r="J17" s="154"/>
      <c r="L17" s="159"/>
    </row>
    <row r="18" spans="1:12" s="158" customFormat="1" ht="15" customHeight="1">
      <c r="A18" s="154">
        <f t="shared" si="0"/>
        <v>15</v>
      </c>
      <c r="B18" s="155">
        <v>46182</v>
      </c>
      <c r="C18" s="154" t="s">
        <v>701</v>
      </c>
      <c r="D18" s="154" t="s">
        <v>676</v>
      </c>
      <c r="E18" s="154" t="s">
        <v>677</v>
      </c>
      <c r="F18" s="154" t="s">
        <v>653</v>
      </c>
      <c r="G18" s="156">
        <v>2</v>
      </c>
      <c r="H18" s="157">
        <v>45000</v>
      </c>
      <c r="I18" s="157">
        <v>90000</v>
      </c>
      <c r="J18" s="154"/>
      <c r="L18" s="159"/>
    </row>
    <row r="19" spans="1:12" s="158" customFormat="1" ht="15" customHeight="1">
      <c r="A19" s="154">
        <f t="shared" si="0"/>
        <v>16</v>
      </c>
      <c r="B19" s="155">
        <v>46184</v>
      </c>
      <c r="C19" s="154" t="s">
        <v>701</v>
      </c>
      <c r="D19" s="154" t="s">
        <v>678</v>
      </c>
      <c r="E19" s="154" t="s">
        <v>679</v>
      </c>
      <c r="F19" s="154" t="s">
        <v>653</v>
      </c>
      <c r="G19" s="156">
        <v>5</v>
      </c>
      <c r="H19" s="157">
        <v>2700</v>
      </c>
      <c r="I19" s="157">
        <v>13500</v>
      </c>
      <c r="J19" s="154"/>
      <c r="L19" s="159"/>
    </row>
    <row r="20" spans="1:12" s="158" customFormat="1" ht="15" customHeight="1">
      <c r="A20" s="154">
        <f t="shared" si="0"/>
        <v>17</v>
      </c>
      <c r="B20" s="155">
        <v>46184</v>
      </c>
      <c r="C20" s="154" t="s">
        <v>701</v>
      </c>
      <c r="D20" s="154" t="s">
        <v>680</v>
      </c>
      <c r="E20" s="154" t="s">
        <v>681</v>
      </c>
      <c r="F20" s="154" t="s">
        <v>653</v>
      </c>
      <c r="G20" s="156">
        <v>10</v>
      </c>
      <c r="H20" s="157">
        <v>800</v>
      </c>
      <c r="I20" s="157">
        <v>8000</v>
      </c>
      <c r="J20" s="154"/>
      <c r="L20" s="159"/>
    </row>
    <row r="21" spans="1:12" s="158" customFormat="1" ht="15" customHeight="1">
      <c r="A21" s="154">
        <f t="shared" si="0"/>
        <v>18</v>
      </c>
      <c r="B21" s="155">
        <v>46184</v>
      </c>
      <c r="C21" s="154" t="s">
        <v>701</v>
      </c>
      <c r="D21" s="154" t="s">
        <v>682</v>
      </c>
      <c r="E21" s="154" t="s">
        <v>683</v>
      </c>
      <c r="F21" s="154" t="s">
        <v>653</v>
      </c>
      <c r="G21" s="156">
        <v>10</v>
      </c>
      <c r="H21" s="157">
        <v>900</v>
      </c>
      <c r="I21" s="157">
        <v>9000</v>
      </c>
      <c r="J21" s="154"/>
      <c r="L21" s="159"/>
    </row>
    <row r="22" spans="1:12" s="158" customFormat="1" ht="15" customHeight="1">
      <c r="A22" s="154">
        <f t="shared" si="0"/>
        <v>19</v>
      </c>
      <c r="B22" s="155">
        <v>46184</v>
      </c>
      <c r="C22" s="154" t="s">
        <v>701</v>
      </c>
      <c r="D22" s="154" t="s">
        <v>684</v>
      </c>
      <c r="E22" s="154" t="s">
        <v>685</v>
      </c>
      <c r="F22" s="154" t="s">
        <v>653</v>
      </c>
      <c r="G22" s="156">
        <v>10</v>
      </c>
      <c r="H22" s="157">
        <v>12000</v>
      </c>
      <c r="I22" s="157">
        <v>120000</v>
      </c>
      <c r="J22" s="154"/>
      <c r="L22" s="159"/>
    </row>
    <row r="23" spans="1:12" s="158" customFormat="1" ht="15" customHeight="1">
      <c r="A23" s="154">
        <f t="shared" si="0"/>
        <v>20</v>
      </c>
      <c r="B23" s="155">
        <v>46184</v>
      </c>
      <c r="C23" s="154" t="s">
        <v>701</v>
      </c>
      <c r="D23" s="154" t="s">
        <v>686</v>
      </c>
      <c r="E23" s="154" t="s">
        <v>687</v>
      </c>
      <c r="F23" s="154" t="s">
        <v>653</v>
      </c>
      <c r="G23" s="156">
        <v>5</v>
      </c>
      <c r="H23" s="157">
        <v>11200</v>
      </c>
      <c r="I23" s="157">
        <v>56000</v>
      </c>
      <c r="J23" s="154"/>
      <c r="L23" s="159"/>
    </row>
    <row r="24" spans="1:12" s="158" customFormat="1" ht="15" customHeight="1">
      <c r="A24" s="154">
        <f t="shared" si="0"/>
        <v>21</v>
      </c>
      <c r="B24" s="155">
        <v>46195</v>
      </c>
      <c r="C24" s="154" t="s">
        <v>701</v>
      </c>
      <c r="D24" s="154" t="s">
        <v>668</v>
      </c>
      <c r="E24" s="154" t="s">
        <v>669</v>
      </c>
      <c r="F24" s="154" t="s">
        <v>653</v>
      </c>
      <c r="G24" s="156">
        <v>3</v>
      </c>
      <c r="H24" s="157">
        <v>19500</v>
      </c>
      <c r="I24" s="157">
        <v>58500</v>
      </c>
      <c r="J24" s="154"/>
      <c r="L24" s="159"/>
    </row>
    <row r="25" spans="1:12" s="158" customFormat="1" ht="15" customHeight="1">
      <c r="A25" s="154">
        <f t="shared" si="0"/>
        <v>22</v>
      </c>
      <c r="B25" s="155">
        <v>46195</v>
      </c>
      <c r="C25" s="154" t="s">
        <v>701</v>
      </c>
      <c r="D25" s="154" t="s">
        <v>668</v>
      </c>
      <c r="E25" s="154" t="s">
        <v>688</v>
      </c>
      <c r="F25" s="154" t="s">
        <v>653</v>
      </c>
      <c r="G25" s="156">
        <v>3</v>
      </c>
      <c r="H25" s="157">
        <v>15500</v>
      </c>
      <c r="I25" s="157">
        <v>46500</v>
      </c>
      <c r="J25" s="154"/>
      <c r="L25" s="159"/>
    </row>
    <row r="26" spans="1:12" s="158" customFormat="1" ht="15" customHeight="1">
      <c r="A26" s="154">
        <f t="shared" si="0"/>
        <v>23</v>
      </c>
      <c r="B26" s="155">
        <v>46199</v>
      </c>
      <c r="C26" s="154" t="s">
        <v>701</v>
      </c>
      <c r="D26" s="154" t="s">
        <v>672</v>
      </c>
      <c r="E26" s="154" t="s">
        <v>673</v>
      </c>
      <c r="F26" s="154" t="s">
        <v>653</v>
      </c>
      <c r="G26" s="156">
        <v>5</v>
      </c>
      <c r="H26" s="157">
        <v>4500</v>
      </c>
      <c r="I26" s="157">
        <v>22500</v>
      </c>
      <c r="J26" s="154"/>
      <c r="L26" s="159"/>
    </row>
    <row r="27" spans="1:12" s="158" customFormat="1" ht="15" customHeight="1">
      <c r="A27" s="154">
        <f t="shared" si="0"/>
        <v>24</v>
      </c>
      <c r="B27" s="155">
        <v>46199</v>
      </c>
      <c r="C27" s="154" t="s">
        <v>701</v>
      </c>
      <c r="D27" s="154" t="s">
        <v>689</v>
      </c>
      <c r="E27" s="154" t="s">
        <v>690</v>
      </c>
      <c r="F27" s="154" t="s">
        <v>653</v>
      </c>
      <c r="G27" s="156">
        <v>50</v>
      </c>
      <c r="H27" s="157">
        <v>300</v>
      </c>
      <c r="I27" s="157">
        <v>15000</v>
      </c>
      <c r="J27" s="154"/>
      <c r="L27" s="159"/>
    </row>
    <row r="28" spans="1:12" s="158" customFormat="1" ht="15" customHeight="1">
      <c r="A28" s="154">
        <f t="shared" si="0"/>
        <v>25</v>
      </c>
      <c r="B28" s="155">
        <v>46199</v>
      </c>
      <c r="C28" s="154" t="s">
        <v>701</v>
      </c>
      <c r="D28" s="154" t="s">
        <v>674</v>
      </c>
      <c r="E28" s="154" t="s">
        <v>691</v>
      </c>
      <c r="F28" s="154" t="s">
        <v>653</v>
      </c>
      <c r="G28" s="156">
        <v>1</v>
      </c>
      <c r="H28" s="157">
        <v>24400</v>
      </c>
      <c r="I28" s="157">
        <v>24400</v>
      </c>
      <c r="J28" s="154"/>
      <c r="L28" s="159"/>
    </row>
    <row r="29" spans="1:12" s="158" customFormat="1" ht="15" customHeight="1">
      <c r="A29" s="154">
        <f t="shared" si="0"/>
        <v>26</v>
      </c>
      <c r="B29" s="155">
        <v>46199</v>
      </c>
      <c r="C29" s="154" t="s">
        <v>701</v>
      </c>
      <c r="D29" s="154" t="s">
        <v>674</v>
      </c>
      <c r="E29" s="154" t="s">
        <v>692</v>
      </c>
      <c r="F29" s="154" t="s">
        <v>653</v>
      </c>
      <c r="G29" s="156">
        <v>1</v>
      </c>
      <c r="H29" s="157">
        <v>24400</v>
      </c>
      <c r="I29" s="157">
        <v>24400</v>
      </c>
      <c r="J29" s="154"/>
      <c r="L29" s="159"/>
    </row>
    <row r="30" spans="1:12" s="158" customFormat="1" ht="15" customHeight="1">
      <c r="A30" s="154">
        <f t="shared" si="0"/>
        <v>27</v>
      </c>
      <c r="B30" s="155">
        <v>46199</v>
      </c>
      <c r="C30" s="154" t="s">
        <v>701</v>
      </c>
      <c r="D30" s="154" t="s">
        <v>693</v>
      </c>
      <c r="E30" s="154" t="s">
        <v>694</v>
      </c>
      <c r="F30" s="154" t="s">
        <v>653</v>
      </c>
      <c r="G30" s="156">
        <v>2</v>
      </c>
      <c r="H30" s="157">
        <v>5500</v>
      </c>
      <c r="I30" s="157">
        <v>11000</v>
      </c>
      <c r="J30" s="154"/>
      <c r="L30" s="159"/>
    </row>
    <row r="31" spans="1:12" s="158" customFormat="1" ht="15" customHeight="1">
      <c r="A31" s="154">
        <f t="shared" si="0"/>
        <v>28</v>
      </c>
      <c r="B31" s="155">
        <v>46174</v>
      </c>
      <c r="C31" s="154" t="s">
        <v>701</v>
      </c>
      <c r="D31" s="154" t="s">
        <v>695</v>
      </c>
      <c r="E31" s="154"/>
      <c r="F31" s="154" t="s">
        <v>696</v>
      </c>
      <c r="G31" s="156">
        <v>5</v>
      </c>
      <c r="H31" s="157">
        <v>9499.9999999999982</v>
      </c>
      <c r="I31" s="157">
        <v>47499.999999999993</v>
      </c>
      <c r="J31" s="154"/>
      <c r="L31" s="159"/>
    </row>
    <row r="32" spans="1:12" s="158" customFormat="1" ht="15" customHeight="1">
      <c r="A32" s="154">
        <f t="shared" si="0"/>
        <v>29</v>
      </c>
      <c r="B32" s="155">
        <v>46191</v>
      </c>
      <c r="C32" s="154" t="s">
        <v>701</v>
      </c>
      <c r="D32" s="154" t="s">
        <v>697</v>
      </c>
      <c r="E32" s="154" t="s">
        <v>698</v>
      </c>
      <c r="F32" s="154" t="s">
        <v>696</v>
      </c>
      <c r="G32" s="156">
        <v>20</v>
      </c>
      <c r="H32" s="157">
        <v>1863.6363636363635</v>
      </c>
      <c r="I32" s="157">
        <v>37272.727272727272</v>
      </c>
      <c r="J32" s="154"/>
      <c r="L32" s="159"/>
    </row>
    <row r="33" spans="1:12" s="158" customFormat="1" ht="15" customHeight="1">
      <c r="A33" s="154">
        <f t="shared" si="0"/>
        <v>30</v>
      </c>
      <c r="B33" s="155">
        <v>46191</v>
      </c>
      <c r="C33" s="154" t="s">
        <v>701</v>
      </c>
      <c r="D33" s="154" t="s">
        <v>697</v>
      </c>
      <c r="E33" s="154" t="s">
        <v>699</v>
      </c>
      <c r="F33" s="154" t="s">
        <v>696</v>
      </c>
      <c r="G33" s="156">
        <v>10</v>
      </c>
      <c r="H33" s="157">
        <v>2090.909090909091</v>
      </c>
      <c r="I33" s="157">
        <v>20909.090909090908</v>
      </c>
      <c r="J33" s="154"/>
      <c r="L33" s="159"/>
    </row>
    <row r="34" spans="1:12" s="158" customFormat="1" ht="15" customHeight="1">
      <c r="A34" s="154">
        <f t="shared" si="0"/>
        <v>31</v>
      </c>
      <c r="B34" s="155">
        <v>46195</v>
      </c>
      <c r="C34" s="154" t="s">
        <v>701</v>
      </c>
      <c r="D34" s="154" t="s">
        <v>700</v>
      </c>
      <c r="E34" s="154"/>
      <c r="F34" s="154" t="s">
        <v>696</v>
      </c>
      <c r="G34" s="156">
        <v>80</v>
      </c>
      <c r="H34" s="157">
        <v>293.18181818181813</v>
      </c>
      <c r="I34" s="157">
        <v>23454.545454545452</v>
      </c>
      <c r="J34" s="154"/>
      <c r="L34" s="159"/>
    </row>
    <row r="35" spans="1:12" s="158" customFormat="1" ht="15" customHeight="1">
      <c r="A35" s="161"/>
      <c r="B35" s="162"/>
      <c r="C35" s="161"/>
      <c r="D35" s="162"/>
      <c r="E35" s="162"/>
      <c r="F35" s="162"/>
      <c r="G35" s="163"/>
      <c r="H35" s="164"/>
      <c r="I35" s="164"/>
      <c r="J35" s="162"/>
      <c r="L35" s="159"/>
    </row>
    <row r="36" spans="1:12" s="158" customFormat="1" ht="15" customHeight="1">
      <c r="A36" s="161"/>
      <c r="B36" s="162"/>
      <c r="C36" s="161"/>
      <c r="D36" s="162"/>
      <c r="E36" s="162"/>
      <c r="F36" s="162"/>
      <c r="G36" s="163"/>
      <c r="H36" s="164"/>
      <c r="I36" s="164"/>
      <c r="J36" s="162"/>
      <c r="L36" s="159"/>
    </row>
    <row r="37" spans="1:12" s="158" customFormat="1" ht="15" customHeight="1">
      <c r="A37" s="161"/>
      <c r="B37" s="162"/>
      <c r="C37" s="161"/>
      <c r="D37" s="162"/>
      <c r="E37" s="162"/>
      <c r="F37" s="162"/>
      <c r="G37" s="163"/>
      <c r="H37" s="164"/>
      <c r="I37" s="164"/>
      <c r="J37" s="162"/>
      <c r="L37" s="159"/>
    </row>
    <row r="38" spans="1:12" s="158" customFormat="1" ht="15" customHeight="1">
      <c r="A38" s="161"/>
      <c r="B38" s="162"/>
      <c r="C38" s="161"/>
      <c r="D38" s="162"/>
      <c r="E38" s="162"/>
      <c r="F38" s="162"/>
      <c r="G38" s="163"/>
      <c r="H38" s="164"/>
      <c r="I38" s="164"/>
      <c r="J38" s="162"/>
      <c r="L38" s="159"/>
    </row>
    <row r="39" spans="1:12" s="158" customFormat="1" ht="15" customHeight="1">
      <c r="A39" s="161"/>
      <c r="B39" s="162"/>
      <c r="C39" s="161"/>
      <c r="D39" s="162"/>
      <c r="E39" s="162"/>
      <c r="F39" s="162"/>
      <c r="G39" s="163"/>
      <c r="H39" s="164"/>
      <c r="I39" s="164"/>
      <c r="J39" s="162"/>
      <c r="L39" s="159"/>
    </row>
    <row r="40" spans="1:12" s="158" customFormat="1" ht="15" customHeight="1">
      <c r="A40" s="161"/>
      <c r="B40" s="162"/>
      <c r="C40" s="161"/>
      <c r="D40" s="162"/>
      <c r="E40" s="162"/>
      <c r="F40" s="162"/>
      <c r="G40" s="163"/>
      <c r="H40" s="164"/>
      <c r="I40" s="164"/>
      <c r="J40" s="162"/>
      <c r="L40" s="159"/>
    </row>
    <row r="41" spans="1:12" s="158" customFormat="1" ht="15" customHeight="1">
      <c r="A41" s="161"/>
      <c r="B41" s="162"/>
      <c r="C41" s="161"/>
      <c r="D41" s="162"/>
      <c r="E41" s="162"/>
      <c r="F41" s="162"/>
      <c r="G41" s="163"/>
      <c r="H41" s="164"/>
      <c r="I41" s="164"/>
      <c r="J41" s="162"/>
      <c r="L41" s="159"/>
    </row>
    <row r="42" spans="1:12" s="158" customFormat="1" ht="15" customHeight="1">
      <c r="A42" s="161"/>
      <c r="B42" s="162"/>
      <c r="C42" s="161"/>
      <c r="D42" s="162"/>
      <c r="E42" s="162"/>
      <c r="F42" s="162"/>
      <c r="G42" s="163"/>
      <c r="H42" s="164"/>
      <c r="I42" s="164"/>
      <c r="J42" s="162"/>
      <c r="L42" s="159"/>
    </row>
    <row r="43" spans="1:12" s="158" customFormat="1" ht="15" customHeight="1">
      <c r="A43" s="161"/>
      <c r="B43" s="162"/>
      <c r="C43" s="161"/>
      <c r="D43" s="162"/>
      <c r="E43" s="162"/>
      <c r="F43" s="162"/>
      <c r="G43" s="163"/>
      <c r="H43" s="164"/>
      <c r="I43" s="164"/>
      <c r="J43" s="162"/>
      <c r="L43" s="159"/>
    </row>
    <row r="44" spans="1:12" s="158" customFormat="1" ht="15" customHeight="1">
      <c r="A44" s="161"/>
      <c r="B44" s="162"/>
      <c r="C44" s="161"/>
      <c r="D44" s="162"/>
      <c r="E44" s="162"/>
      <c r="F44" s="162"/>
      <c r="G44" s="163"/>
      <c r="H44" s="164"/>
      <c r="I44" s="164"/>
      <c r="J44" s="162"/>
      <c r="L44" s="159"/>
    </row>
  </sheetData>
  <autoFilter ref="A2:J23" xr:uid="{2E421254-DD27-4148-AC38-C00782AEA3D1}">
    <sortState ref="A5:J55">
      <sortCondition ref="F2:F23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8" fitToHeight="0" orientation="landscape" r:id="rId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4"/>
  <sheetViews>
    <sheetView view="pageBreakPreview" zoomScaleNormal="100" zoomScaleSheetLayoutView="100" workbookViewId="0">
      <selection activeCell="E29" sqref="E29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338" t="s">
        <v>236</v>
      </c>
      <c r="B1" s="339"/>
      <c r="C1" s="339"/>
      <c r="D1" s="339"/>
      <c r="E1" s="339"/>
      <c r="F1" s="339"/>
      <c r="G1" s="339"/>
      <c r="H1" s="339"/>
      <c r="I1" s="339"/>
      <c r="J1" s="340"/>
    </row>
    <row r="2" spans="1:12" ht="20.100000000000001" customHeight="1">
      <c r="A2" s="341" t="s">
        <v>237</v>
      </c>
      <c r="B2" s="341" t="s">
        <v>238</v>
      </c>
      <c r="C2" s="341" t="s">
        <v>239</v>
      </c>
      <c r="D2" s="341" t="s">
        <v>240</v>
      </c>
      <c r="E2" s="341" t="s">
        <v>241</v>
      </c>
      <c r="F2" s="341" t="s">
        <v>242</v>
      </c>
      <c r="G2" s="341" t="s">
        <v>243</v>
      </c>
      <c r="H2" s="341" t="s">
        <v>244</v>
      </c>
      <c r="I2" s="141" t="s">
        <v>245</v>
      </c>
      <c r="J2" s="341" t="s">
        <v>246</v>
      </c>
    </row>
    <row r="3" spans="1:12" ht="20.100000000000001" customHeight="1">
      <c r="A3" s="341"/>
      <c r="B3" s="341"/>
      <c r="C3" s="341"/>
      <c r="D3" s="341"/>
      <c r="E3" s="341"/>
      <c r="F3" s="341"/>
      <c r="G3" s="341"/>
      <c r="H3" s="341"/>
      <c r="I3" s="142">
        <f>SUM(I4:I14)</f>
        <v>12046666.666666666</v>
      </c>
      <c r="J3" s="341"/>
      <c r="L3" s="143" t="s">
        <v>247</v>
      </c>
    </row>
    <row r="4" spans="1:12" ht="20.100000000000001" customHeight="1">
      <c r="A4" s="154">
        <f t="shared" ref="A4:A14" si="0">ROW()-3</f>
        <v>1</v>
      </c>
      <c r="B4" s="180">
        <v>46203</v>
      </c>
      <c r="C4" s="46" t="s">
        <v>703</v>
      </c>
      <c r="D4" s="46" t="s">
        <v>704</v>
      </c>
      <c r="E4" s="46" t="s">
        <v>705</v>
      </c>
      <c r="F4" s="46" t="s">
        <v>706</v>
      </c>
      <c r="G4" s="46">
        <v>1</v>
      </c>
      <c r="H4" s="46"/>
      <c r="I4" s="182">
        <f>800000</f>
        <v>800000</v>
      </c>
      <c r="J4" s="46" t="s">
        <v>248</v>
      </c>
      <c r="L4" s="144" t="s">
        <v>249</v>
      </c>
    </row>
    <row r="5" spans="1:12" ht="20.100000000000001" customHeight="1">
      <c r="A5" s="154">
        <f t="shared" si="0"/>
        <v>2</v>
      </c>
      <c r="B5" s="180">
        <v>46203</v>
      </c>
      <c r="C5" s="46" t="s">
        <v>703</v>
      </c>
      <c r="D5" s="46" t="s">
        <v>704</v>
      </c>
      <c r="E5" s="46" t="s">
        <v>707</v>
      </c>
      <c r="F5" s="46" t="s">
        <v>708</v>
      </c>
      <c r="G5" s="46">
        <v>1</v>
      </c>
      <c r="H5" s="46"/>
      <c r="I5" s="182">
        <f>850000/30*5</f>
        <v>141666.66666666666</v>
      </c>
      <c r="J5" s="46" t="s">
        <v>248</v>
      </c>
      <c r="L5" s="144" t="s">
        <v>250</v>
      </c>
    </row>
    <row r="6" spans="1:12" ht="20.100000000000001" customHeight="1">
      <c r="A6" s="154">
        <f t="shared" si="0"/>
        <v>3</v>
      </c>
      <c r="B6" s="180">
        <v>46203</v>
      </c>
      <c r="C6" s="46" t="s">
        <v>703</v>
      </c>
      <c r="D6" s="46" t="s">
        <v>704</v>
      </c>
      <c r="E6" s="46" t="s">
        <v>709</v>
      </c>
      <c r="F6" s="46" t="s">
        <v>710</v>
      </c>
      <c r="G6" s="46">
        <v>1</v>
      </c>
      <c r="H6" s="46"/>
      <c r="I6" s="182">
        <f>950000/30*5+1700000/30*25</f>
        <v>1574999.9999999998</v>
      </c>
      <c r="J6" s="46" t="s">
        <v>248</v>
      </c>
      <c r="L6" s="144" t="s">
        <v>251</v>
      </c>
    </row>
    <row r="7" spans="1:12" ht="20.100000000000001" customHeight="1">
      <c r="A7" s="154">
        <f t="shared" si="0"/>
        <v>4</v>
      </c>
      <c r="B7" s="180">
        <v>46203</v>
      </c>
      <c r="C7" s="46" t="s">
        <v>703</v>
      </c>
      <c r="D7" s="46" t="s">
        <v>704</v>
      </c>
      <c r="E7" s="46" t="s">
        <v>711</v>
      </c>
      <c r="F7" s="46" t="s">
        <v>712</v>
      </c>
      <c r="G7" s="46">
        <v>1</v>
      </c>
      <c r="H7" s="46"/>
      <c r="I7" s="182">
        <f>1000000/30*12+1700000/30*18</f>
        <v>1420000</v>
      </c>
      <c r="J7" s="46" t="s">
        <v>248</v>
      </c>
      <c r="L7" s="144" t="s">
        <v>252</v>
      </c>
    </row>
    <row r="8" spans="1:12" ht="20.100000000000001" customHeight="1">
      <c r="A8" s="154">
        <f t="shared" si="0"/>
        <v>5</v>
      </c>
      <c r="B8" s="180">
        <v>46203</v>
      </c>
      <c r="C8" s="46" t="s">
        <v>703</v>
      </c>
      <c r="D8" s="46" t="s">
        <v>704</v>
      </c>
      <c r="E8" s="46" t="s">
        <v>713</v>
      </c>
      <c r="F8" s="46" t="s">
        <v>714</v>
      </c>
      <c r="G8" s="46">
        <v>1</v>
      </c>
      <c r="H8" s="46"/>
      <c r="I8" s="187">
        <f>850000/30*12+1700000/30*18</f>
        <v>1360000</v>
      </c>
      <c r="J8" s="46" t="s">
        <v>248</v>
      </c>
      <c r="L8" s="145" t="s">
        <v>253</v>
      </c>
    </row>
    <row r="9" spans="1:12" ht="20.100000000000001" customHeight="1">
      <c r="A9" s="154">
        <f t="shared" si="0"/>
        <v>6</v>
      </c>
      <c r="B9" s="180">
        <v>46203</v>
      </c>
      <c r="C9" s="46" t="s">
        <v>703</v>
      </c>
      <c r="D9" s="46" t="s">
        <v>704</v>
      </c>
      <c r="E9" s="46" t="s">
        <v>715</v>
      </c>
      <c r="F9" s="46" t="s">
        <v>716</v>
      </c>
      <c r="G9" s="46">
        <v>1</v>
      </c>
      <c r="H9" s="46"/>
      <c r="I9" s="183">
        <v>1000000</v>
      </c>
      <c r="J9" s="46" t="s">
        <v>248</v>
      </c>
      <c r="L9" s="145" t="s">
        <v>254</v>
      </c>
    </row>
    <row r="10" spans="1:12" ht="20.100000000000001" customHeight="1">
      <c r="A10" s="154">
        <f t="shared" si="0"/>
        <v>7</v>
      </c>
      <c r="B10" s="180">
        <v>46203</v>
      </c>
      <c r="C10" s="46" t="s">
        <v>703</v>
      </c>
      <c r="D10" s="46" t="s">
        <v>704</v>
      </c>
      <c r="E10" s="46" t="s">
        <v>715</v>
      </c>
      <c r="F10" s="46" t="s">
        <v>717</v>
      </c>
      <c r="G10" s="46">
        <v>1</v>
      </c>
      <c r="H10" s="46"/>
      <c r="I10" s="183">
        <v>1000000</v>
      </c>
      <c r="J10" s="46" t="s">
        <v>248</v>
      </c>
      <c r="L10" s="145" t="s">
        <v>255</v>
      </c>
    </row>
    <row r="11" spans="1:12" ht="20.100000000000001" customHeight="1">
      <c r="A11" s="154">
        <f t="shared" si="0"/>
        <v>8</v>
      </c>
      <c r="B11" s="180">
        <v>46203</v>
      </c>
      <c r="C11" s="46" t="s">
        <v>703</v>
      </c>
      <c r="D11" s="46" t="s">
        <v>704</v>
      </c>
      <c r="E11" s="46" t="s">
        <v>718</v>
      </c>
      <c r="F11" s="46" t="s">
        <v>717</v>
      </c>
      <c r="G11" s="46">
        <v>1</v>
      </c>
      <c r="H11" s="46"/>
      <c r="I11" s="183">
        <v>950000</v>
      </c>
      <c r="J11" s="46" t="s">
        <v>248</v>
      </c>
      <c r="L11" s="145"/>
    </row>
    <row r="12" spans="1:12" ht="20.100000000000001" customHeight="1">
      <c r="A12" s="154">
        <f t="shared" si="0"/>
        <v>9</v>
      </c>
      <c r="B12" s="180">
        <v>46203</v>
      </c>
      <c r="C12" s="46" t="s">
        <v>703</v>
      </c>
      <c r="D12" s="46" t="s">
        <v>704</v>
      </c>
      <c r="E12" s="46" t="s">
        <v>719</v>
      </c>
      <c r="F12" s="46" t="s">
        <v>720</v>
      </c>
      <c r="G12" s="46">
        <v>1</v>
      </c>
      <c r="H12" s="46"/>
      <c r="I12" s="183">
        <v>1000000</v>
      </c>
      <c r="J12" s="46" t="s">
        <v>248</v>
      </c>
      <c r="L12" s="143" t="s">
        <v>256</v>
      </c>
    </row>
    <row r="13" spans="1:12" ht="20.100000000000001" customHeight="1">
      <c r="A13" s="154">
        <f t="shared" si="0"/>
        <v>10</v>
      </c>
      <c r="B13" s="180">
        <v>46203</v>
      </c>
      <c r="C13" s="46" t="s">
        <v>703</v>
      </c>
      <c r="D13" s="46" t="s">
        <v>704</v>
      </c>
      <c r="E13" s="46" t="s">
        <v>721</v>
      </c>
      <c r="F13" s="46" t="s">
        <v>717</v>
      </c>
      <c r="G13" s="46">
        <v>1</v>
      </c>
      <c r="H13" s="46"/>
      <c r="I13" s="183">
        <v>1700000</v>
      </c>
      <c r="J13" s="46" t="s">
        <v>248</v>
      </c>
    </row>
    <row r="14" spans="1:12" ht="20.100000000000001" customHeight="1">
      <c r="A14" s="154">
        <f t="shared" si="0"/>
        <v>11</v>
      </c>
      <c r="B14" s="180">
        <v>46203</v>
      </c>
      <c r="C14" s="46" t="s">
        <v>703</v>
      </c>
      <c r="D14" s="46" t="s">
        <v>704</v>
      </c>
      <c r="E14" s="46" t="s">
        <v>722</v>
      </c>
      <c r="F14" s="46" t="s">
        <v>720</v>
      </c>
      <c r="G14" s="46">
        <v>1</v>
      </c>
      <c r="H14" s="46"/>
      <c r="I14" s="183">
        <v>1100000</v>
      </c>
      <c r="J14" s="46" t="s">
        <v>248</v>
      </c>
      <c r="L14" s="145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conditionalFormatting sqref="E4">
    <cfRule type="expression" priority="1" stopIfTrue="1">
      <formula>AND(COUNTIF(#REF!, E4)+COUNTIF(#REF!, E4)+COUNTIF(#REF!, E4)&gt;1,NOT(ISBLANK(E4)))</formula>
    </cfRule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3" fitToHeight="0" orientation="landscape" r:id="rId1"/>
  <headerFooter>
    <oddFooter>&amp;C&amp;P/&amp;N</oddFooter>
  </headerFooter>
  <colBreaks count="1" manualBreakCount="1">
    <brk id="10" max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5"/>
  <sheetViews>
    <sheetView view="pageBreakPreview" zoomScaleNormal="100" zoomScaleSheetLayoutView="100" workbookViewId="0">
      <selection activeCell="J20" sqref="J20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>
      <c r="A1" s="338" t="s">
        <v>257</v>
      </c>
      <c r="B1" s="339"/>
      <c r="C1" s="339"/>
      <c r="D1" s="339"/>
      <c r="E1" s="339"/>
      <c r="F1" s="339"/>
      <c r="G1" s="339"/>
      <c r="H1" s="339"/>
      <c r="I1" s="339"/>
      <c r="J1" s="340"/>
    </row>
    <row r="2" spans="1:10" ht="20.100000000000001" customHeight="1">
      <c r="A2" s="341" t="s">
        <v>258</v>
      </c>
      <c r="B2" s="341" t="s">
        <v>238</v>
      </c>
      <c r="C2" s="341" t="s">
        <v>259</v>
      </c>
      <c r="D2" s="341" t="s">
        <v>240</v>
      </c>
      <c r="E2" s="341" t="s">
        <v>260</v>
      </c>
      <c r="F2" s="341" t="s">
        <v>242</v>
      </c>
      <c r="G2" s="341" t="s">
        <v>261</v>
      </c>
      <c r="H2" s="341" t="s">
        <v>262</v>
      </c>
      <c r="I2" s="141" t="s">
        <v>263</v>
      </c>
      <c r="J2" s="341" t="s">
        <v>264</v>
      </c>
    </row>
    <row r="3" spans="1:10" ht="20.100000000000001" customHeight="1">
      <c r="A3" s="341"/>
      <c r="B3" s="341"/>
      <c r="C3" s="341"/>
      <c r="D3" s="341"/>
      <c r="E3" s="341"/>
      <c r="F3" s="341"/>
      <c r="G3" s="341"/>
      <c r="H3" s="341"/>
      <c r="I3" s="142">
        <f>SUM(I4:I25)</f>
        <v>1127840</v>
      </c>
      <c r="J3" s="341"/>
    </row>
    <row r="4" spans="1:10" ht="20.100000000000001" customHeight="1">
      <c r="A4" s="165">
        <f t="shared" ref="A4:A25" si="0">ROW()-3</f>
        <v>1</v>
      </c>
      <c r="B4" s="166">
        <v>46173</v>
      </c>
      <c r="C4" s="167" t="s">
        <v>723</v>
      </c>
      <c r="D4" s="168" t="s">
        <v>724</v>
      </c>
      <c r="E4" s="46" t="s">
        <v>725</v>
      </c>
      <c r="F4" s="46" t="s">
        <v>706</v>
      </c>
      <c r="G4" s="169">
        <v>1</v>
      </c>
      <c r="H4" s="188"/>
      <c r="I4" s="171">
        <v>67990</v>
      </c>
      <c r="J4" s="172"/>
    </row>
    <row r="5" spans="1:10" ht="20.100000000000001" customHeight="1">
      <c r="A5" s="165">
        <f t="shared" si="0"/>
        <v>2</v>
      </c>
      <c r="B5" s="166">
        <v>46173</v>
      </c>
      <c r="C5" s="167" t="s">
        <v>723</v>
      </c>
      <c r="D5" s="168" t="s">
        <v>724</v>
      </c>
      <c r="E5" s="46" t="s">
        <v>726</v>
      </c>
      <c r="F5" s="46" t="s">
        <v>727</v>
      </c>
      <c r="G5" s="169">
        <v>1</v>
      </c>
      <c r="H5" s="170"/>
      <c r="I5" s="171">
        <v>52090</v>
      </c>
      <c r="J5" s="172"/>
    </row>
    <row r="6" spans="1:10" ht="20.100000000000001" customHeight="1">
      <c r="A6" s="165">
        <f t="shared" si="0"/>
        <v>3</v>
      </c>
      <c r="B6" s="166">
        <v>46173</v>
      </c>
      <c r="C6" s="167" t="s">
        <v>723</v>
      </c>
      <c r="D6" s="168" t="s">
        <v>724</v>
      </c>
      <c r="E6" s="184" t="s">
        <v>728</v>
      </c>
      <c r="F6" s="46" t="s">
        <v>729</v>
      </c>
      <c r="G6" s="169">
        <v>1</v>
      </c>
      <c r="H6" s="179"/>
      <c r="I6" s="183">
        <v>77780</v>
      </c>
      <c r="J6" s="172"/>
    </row>
    <row r="7" spans="1:10" ht="20.100000000000001" customHeight="1">
      <c r="A7" s="165">
        <f t="shared" si="0"/>
        <v>4</v>
      </c>
      <c r="B7" s="166">
        <v>46173</v>
      </c>
      <c r="C7" s="167" t="s">
        <v>723</v>
      </c>
      <c r="D7" s="168" t="s">
        <v>724</v>
      </c>
      <c r="E7" s="46" t="s">
        <v>715</v>
      </c>
      <c r="F7" s="46" t="s">
        <v>706</v>
      </c>
      <c r="G7" s="169">
        <v>1</v>
      </c>
      <c r="H7" s="179"/>
      <c r="I7" s="183">
        <v>50990</v>
      </c>
      <c r="J7" s="172"/>
    </row>
    <row r="8" spans="1:10" ht="20.100000000000001" customHeight="1">
      <c r="A8" s="165">
        <f t="shared" si="0"/>
        <v>5</v>
      </c>
      <c r="B8" s="166">
        <v>46173</v>
      </c>
      <c r="C8" s="167" t="s">
        <v>723</v>
      </c>
      <c r="D8" s="168" t="s">
        <v>724</v>
      </c>
      <c r="E8" s="46" t="s">
        <v>715</v>
      </c>
      <c r="F8" s="46" t="s">
        <v>730</v>
      </c>
      <c r="G8" s="169">
        <v>1</v>
      </c>
      <c r="H8" s="179"/>
      <c r="I8" s="183">
        <v>21180</v>
      </c>
      <c r="J8" s="179"/>
    </row>
    <row r="9" spans="1:10" ht="20.100000000000001" customHeight="1">
      <c r="A9" s="165">
        <f t="shared" si="0"/>
        <v>6</v>
      </c>
      <c r="B9" s="166">
        <v>46173</v>
      </c>
      <c r="C9" s="167" t="s">
        <v>723</v>
      </c>
      <c r="D9" s="168" t="s">
        <v>724</v>
      </c>
      <c r="E9" s="46" t="s">
        <v>721</v>
      </c>
      <c r="F9" s="46" t="s">
        <v>730</v>
      </c>
      <c r="G9" s="169">
        <v>1</v>
      </c>
      <c r="H9" s="188"/>
      <c r="I9" s="171">
        <v>47120</v>
      </c>
      <c r="J9" s="179"/>
    </row>
    <row r="10" spans="1:10" ht="20.100000000000001" customHeight="1">
      <c r="A10" s="165">
        <f t="shared" si="0"/>
        <v>7</v>
      </c>
      <c r="B10" s="166">
        <v>46173</v>
      </c>
      <c r="C10" s="167" t="s">
        <v>723</v>
      </c>
      <c r="D10" s="168" t="s">
        <v>731</v>
      </c>
      <c r="E10" s="46" t="s">
        <v>725</v>
      </c>
      <c r="F10" s="46" t="s">
        <v>706</v>
      </c>
      <c r="G10" s="169">
        <v>1</v>
      </c>
      <c r="H10" s="179"/>
      <c r="I10" s="183">
        <v>45050</v>
      </c>
      <c r="J10" s="179"/>
    </row>
    <row r="11" spans="1:10" ht="20.100000000000001" customHeight="1">
      <c r="A11" s="165">
        <f t="shared" si="0"/>
        <v>8</v>
      </c>
      <c r="B11" s="166">
        <v>46173</v>
      </c>
      <c r="C11" s="167" t="s">
        <v>723</v>
      </c>
      <c r="D11" s="168" t="s">
        <v>731</v>
      </c>
      <c r="E11" s="46" t="s">
        <v>726</v>
      </c>
      <c r="F11" s="46" t="s">
        <v>727</v>
      </c>
      <c r="G11" s="169">
        <v>1</v>
      </c>
      <c r="H11" s="179"/>
      <c r="I11" s="183">
        <v>110240</v>
      </c>
      <c r="J11" s="179"/>
    </row>
    <row r="12" spans="1:10" ht="20.100000000000001" customHeight="1">
      <c r="A12" s="165">
        <f t="shared" si="0"/>
        <v>9</v>
      </c>
      <c r="B12" s="166">
        <v>46173</v>
      </c>
      <c r="C12" s="167" t="s">
        <v>723</v>
      </c>
      <c r="D12" s="168" t="s">
        <v>731</v>
      </c>
      <c r="E12" s="184" t="s">
        <v>728</v>
      </c>
      <c r="F12" s="46" t="s">
        <v>729</v>
      </c>
      <c r="G12" s="169">
        <v>1</v>
      </c>
      <c r="H12" s="179"/>
      <c r="I12" s="183">
        <v>12280</v>
      </c>
      <c r="J12" s="179"/>
    </row>
    <row r="13" spans="1:10" ht="20.100000000000001" customHeight="1">
      <c r="A13" s="165">
        <f t="shared" si="0"/>
        <v>10</v>
      </c>
      <c r="B13" s="166">
        <v>46173</v>
      </c>
      <c r="C13" s="167" t="s">
        <v>723</v>
      </c>
      <c r="D13" s="168" t="s">
        <v>731</v>
      </c>
      <c r="E13" s="46" t="s">
        <v>715</v>
      </c>
      <c r="F13" s="46" t="s">
        <v>706</v>
      </c>
      <c r="G13" s="169">
        <v>1</v>
      </c>
      <c r="H13" s="179"/>
      <c r="I13" s="183">
        <v>32300</v>
      </c>
      <c r="J13" s="172"/>
    </row>
    <row r="14" spans="1:10" ht="20.100000000000001" customHeight="1">
      <c r="A14" s="165">
        <f t="shared" si="0"/>
        <v>11</v>
      </c>
      <c r="B14" s="166">
        <v>46173</v>
      </c>
      <c r="C14" s="167" t="s">
        <v>723</v>
      </c>
      <c r="D14" s="168" t="s">
        <v>731</v>
      </c>
      <c r="E14" s="46" t="s">
        <v>715</v>
      </c>
      <c r="F14" s="46" t="s">
        <v>730</v>
      </c>
      <c r="G14" s="169">
        <v>1</v>
      </c>
      <c r="H14" s="179"/>
      <c r="I14" s="183">
        <v>49160</v>
      </c>
      <c r="J14" s="172"/>
    </row>
    <row r="15" spans="1:10" ht="20.100000000000001" customHeight="1">
      <c r="A15" s="165">
        <f t="shared" si="0"/>
        <v>12</v>
      </c>
      <c r="B15" s="166">
        <v>46173</v>
      </c>
      <c r="C15" s="167" t="s">
        <v>723</v>
      </c>
      <c r="D15" s="168" t="s">
        <v>731</v>
      </c>
      <c r="E15" s="46" t="s">
        <v>721</v>
      </c>
      <c r="F15" s="46" t="s">
        <v>730</v>
      </c>
      <c r="G15" s="169">
        <v>1</v>
      </c>
      <c r="H15" s="179"/>
      <c r="I15" s="183">
        <v>41860</v>
      </c>
      <c r="J15" s="179"/>
    </row>
    <row r="16" spans="1:10" ht="20.100000000000001" customHeight="1">
      <c r="A16" s="165">
        <f t="shared" si="0"/>
        <v>13</v>
      </c>
      <c r="B16" s="166">
        <v>46173</v>
      </c>
      <c r="C16" s="167" t="s">
        <v>723</v>
      </c>
      <c r="D16" s="168" t="s">
        <v>732</v>
      </c>
      <c r="E16" s="46" t="s">
        <v>725</v>
      </c>
      <c r="F16" s="46" t="s">
        <v>706</v>
      </c>
      <c r="G16" s="169">
        <v>1</v>
      </c>
      <c r="H16" s="179"/>
      <c r="I16" s="183">
        <v>46140</v>
      </c>
      <c r="J16" s="179"/>
    </row>
    <row r="17" spans="1:10" ht="20.100000000000001" customHeight="1">
      <c r="A17" s="165">
        <f t="shared" si="0"/>
        <v>14</v>
      </c>
      <c r="B17" s="166">
        <v>46173</v>
      </c>
      <c r="C17" s="167" t="s">
        <v>723</v>
      </c>
      <c r="D17" s="168" t="s">
        <v>732</v>
      </c>
      <c r="E17" s="46" t="s">
        <v>726</v>
      </c>
      <c r="F17" s="46" t="s">
        <v>727</v>
      </c>
      <c r="G17" s="169">
        <v>1</v>
      </c>
      <c r="H17" s="179"/>
      <c r="I17" s="183">
        <v>35770</v>
      </c>
      <c r="J17" s="179"/>
    </row>
    <row r="18" spans="1:10" ht="20.100000000000001" customHeight="1">
      <c r="A18" s="165">
        <f t="shared" si="0"/>
        <v>15</v>
      </c>
      <c r="B18" s="166">
        <v>46173</v>
      </c>
      <c r="C18" s="167" t="s">
        <v>723</v>
      </c>
      <c r="D18" s="168" t="s">
        <v>732</v>
      </c>
      <c r="E18" s="184" t="s">
        <v>728</v>
      </c>
      <c r="F18" s="46" t="s">
        <v>729</v>
      </c>
      <c r="G18" s="169">
        <v>1</v>
      </c>
      <c r="H18" s="179"/>
      <c r="I18" s="183">
        <v>18480</v>
      </c>
      <c r="J18" s="179"/>
    </row>
    <row r="19" spans="1:10" ht="20.100000000000001" customHeight="1">
      <c r="A19" s="165">
        <f t="shared" si="0"/>
        <v>16</v>
      </c>
      <c r="B19" s="166">
        <v>46173</v>
      </c>
      <c r="C19" s="167" t="s">
        <v>723</v>
      </c>
      <c r="D19" s="168" t="s">
        <v>732</v>
      </c>
      <c r="E19" s="46" t="s">
        <v>715</v>
      </c>
      <c r="F19" s="46" t="s">
        <v>706</v>
      </c>
      <c r="G19" s="169">
        <v>1</v>
      </c>
      <c r="H19" s="179"/>
      <c r="I19" s="183">
        <v>40950</v>
      </c>
      <c r="J19" s="179"/>
    </row>
    <row r="20" spans="1:10" ht="20.100000000000001" customHeight="1">
      <c r="A20" s="165">
        <f t="shared" si="0"/>
        <v>17</v>
      </c>
      <c r="B20" s="166">
        <v>46173</v>
      </c>
      <c r="C20" s="167" t="s">
        <v>723</v>
      </c>
      <c r="D20" s="168" t="s">
        <v>732</v>
      </c>
      <c r="E20" s="46" t="s">
        <v>715</v>
      </c>
      <c r="F20" s="46" t="s">
        <v>730</v>
      </c>
      <c r="G20" s="169">
        <v>1</v>
      </c>
      <c r="H20" s="179"/>
      <c r="I20" s="183">
        <v>35770</v>
      </c>
      <c r="J20" s="179"/>
    </row>
    <row r="21" spans="1:10" ht="20.100000000000001" customHeight="1">
      <c r="A21" s="165">
        <f t="shared" si="0"/>
        <v>18</v>
      </c>
      <c r="B21" s="166">
        <v>46173</v>
      </c>
      <c r="C21" s="167" t="s">
        <v>723</v>
      </c>
      <c r="D21" s="168" t="s">
        <v>732</v>
      </c>
      <c r="E21" s="46" t="s">
        <v>721</v>
      </c>
      <c r="F21" s="46" t="s">
        <v>730</v>
      </c>
      <c r="G21" s="169">
        <v>1</v>
      </c>
      <c r="H21" s="179"/>
      <c r="I21" s="183">
        <v>28850</v>
      </c>
      <c r="J21" s="179"/>
    </row>
    <row r="22" spans="1:10" ht="20.100000000000001" customHeight="1">
      <c r="A22" s="165">
        <f t="shared" si="0"/>
        <v>19</v>
      </c>
      <c r="B22" s="166">
        <v>46173</v>
      </c>
      <c r="C22" s="167" t="s">
        <v>723</v>
      </c>
      <c r="D22" s="168" t="s">
        <v>724</v>
      </c>
      <c r="E22" s="46" t="s">
        <v>733</v>
      </c>
      <c r="F22" s="46" t="s">
        <v>717</v>
      </c>
      <c r="G22" s="169">
        <v>1</v>
      </c>
      <c r="H22" s="188"/>
      <c r="I22" s="171">
        <v>19970</v>
      </c>
      <c r="J22" s="179"/>
    </row>
    <row r="23" spans="1:10" ht="20.100000000000001" customHeight="1">
      <c r="A23" s="165">
        <f t="shared" si="0"/>
        <v>20</v>
      </c>
      <c r="B23" s="166">
        <v>46173</v>
      </c>
      <c r="C23" s="167" t="s">
        <v>723</v>
      </c>
      <c r="D23" s="168" t="s">
        <v>731</v>
      </c>
      <c r="E23" s="46" t="s">
        <v>733</v>
      </c>
      <c r="F23" s="46" t="s">
        <v>717</v>
      </c>
      <c r="G23" s="169">
        <v>1</v>
      </c>
      <c r="H23" s="179"/>
      <c r="I23" s="183">
        <v>17940</v>
      </c>
      <c r="J23" s="179"/>
    </row>
    <row r="24" spans="1:10" ht="20.100000000000001" customHeight="1">
      <c r="A24" s="165">
        <f t="shared" si="0"/>
        <v>21</v>
      </c>
      <c r="B24" s="166">
        <v>46173</v>
      </c>
      <c r="C24" s="167" t="s">
        <v>723</v>
      </c>
      <c r="D24" s="168" t="s">
        <v>732</v>
      </c>
      <c r="E24" s="46" t="s">
        <v>733</v>
      </c>
      <c r="F24" s="46" t="s">
        <v>717</v>
      </c>
      <c r="G24" s="169">
        <v>1</v>
      </c>
      <c r="H24" s="179"/>
      <c r="I24" s="183">
        <v>25930</v>
      </c>
      <c r="J24" s="179"/>
    </row>
    <row r="25" spans="1:10" ht="20.100000000000001" customHeight="1">
      <c r="A25" s="165">
        <f t="shared" si="0"/>
        <v>22</v>
      </c>
      <c r="B25" s="166">
        <v>46173</v>
      </c>
      <c r="C25" s="167" t="s">
        <v>723</v>
      </c>
      <c r="D25" s="168" t="s">
        <v>734</v>
      </c>
      <c r="E25" s="46" t="s">
        <v>733</v>
      </c>
      <c r="F25" s="46" t="s">
        <v>717</v>
      </c>
      <c r="G25" s="169">
        <v>1</v>
      </c>
      <c r="H25" s="179"/>
      <c r="I25" s="183">
        <v>250000</v>
      </c>
      <c r="J25" s="179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">
    <cfRule type="duplicateValues" priority="10"/>
  </conditionalFormatting>
  <conditionalFormatting sqref="E5">
    <cfRule type="duplicateValues" priority="9"/>
  </conditionalFormatting>
  <conditionalFormatting sqref="E9">
    <cfRule type="duplicateValues" priority="8"/>
  </conditionalFormatting>
  <conditionalFormatting sqref="E10">
    <cfRule type="duplicateValues" priority="6"/>
  </conditionalFormatting>
  <conditionalFormatting sqref="E11">
    <cfRule type="duplicateValues" priority="5"/>
  </conditionalFormatting>
  <conditionalFormatting sqref="E15">
    <cfRule type="duplicateValues" priority="4"/>
  </conditionalFormatting>
  <conditionalFormatting sqref="E16">
    <cfRule type="duplicateValues" priority="3"/>
  </conditionalFormatting>
  <conditionalFormatting sqref="E17">
    <cfRule type="duplicateValues" priority="2"/>
  </conditionalFormatting>
  <conditionalFormatting sqref="E21">
    <cfRule type="duplicateValues" priority="1"/>
  </conditionalFormatting>
  <conditionalFormatting sqref="E22:E25">
    <cfRule type="duplicateValues" priority="7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3" fitToHeight="0" orientation="landscape" r:id="rId1"/>
  <headerFoot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3"/>
  <sheetViews>
    <sheetView view="pageBreakPreview" zoomScale="115" zoomScaleNormal="100" zoomScaleSheetLayoutView="115" workbookViewId="0">
      <selection activeCell="E29" sqref="E29"/>
    </sheetView>
  </sheetViews>
  <sheetFormatPr defaultRowHeight="17.399999999999999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338" t="s">
        <v>265</v>
      </c>
      <c r="B1" s="339"/>
      <c r="C1" s="339"/>
      <c r="D1" s="339"/>
      <c r="E1" s="339"/>
      <c r="F1" s="339"/>
      <c r="G1" s="339"/>
      <c r="H1" s="339"/>
      <c r="I1" s="339"/>
      <c r="J1" s="340"/>
    </row>
    <row r="2" spans="1:12" ht="24.9" customHeight="1">
      <c r="A2" s="341" t="s">
        <v>266</v>
      </c>
      <c r="B2" s="341" t="s">
        <v>267</v>
      </c>
      <c r="C2" s="341" t="s">
        <v>110</v>
      </c>
      <c r="D2" s="341" t="s">
        <v>268</v>
      </c>
      <c r="E2" s="341" t="s">
        <v>269</v>
      </c>
      <c r="F2" s="341" t="s">
        <v>270</v>
      </c>
      <c r="G2" s="341" t="s">
        <v>271</v>
      </c>
      <c r="H2" s="341" t="s">
        <v>272</v>
      </c>
      <c r="I2" s="141" t="s">
        <v>273</v>
      </c>
      <c r="J2" s="341" t="s">
        <v>246</v>
      </c>
    </row>
    <row r="3" spans="1:12" ht="24.9" customHeight="1">
      <c r="A3" s="341"/>
      <c r="B3" s="341"/>
      <c r="C3" s="341"/>
      <c r="D3" s="341"/>
      <c r="E3" s="341"/>
      <c r="F3" s="341"/>
      <c r="G3" s="341"/>
      <c r="H3" s="341"/>
      <c r="I3" s="142">
        <f>SUM(I4:I10)</f>
        <v>32255455</v>
      </c>
      <c r="J3" s="341"/>
      <c r="L3" s="143" t="s">
        <v>274</v>
      </c>
    </row>
    <row r="4" spans="1:12" ht="15" customHeight="1">
      <c r="A4" s="154">
        <f>ROW()-3</f>
        <v>1</v>
      </c>
      <c r="B4" s="180">
        <v>46198</v>
      </c>
      <c r="C4" s="46" t="s">
        <v>735</v>
      </c>
      <c r="D4" s="46" t="s">
        <v>736</v>
      </c>
      <c r="E4" s="46" t="s">
        <v>737</v>
      </c>
      <c r="F4" s="46">
        <v>1</v>
      </c>
      <c r="G4" s="46"/>
      <c r="H4" s="182">
        <v>948364</v>
      </c>
      <c r="I4" s="182">
        <f>F4*H4</f>
        <v>948364</v>
      </c>
      <c r="J4" s="46" t="s">
        <v>248</v>
      </c>
      <c r="L4" s="144" t="s">
        <v>275</v>
      </c>
    </row>
    <row r="5" spans="1:12" ht="15" customHeight="1">
      <c r="A5" s="154">
        <f>ROW()-3</f>
        <v>2</v>
      </c>
      <c r="B5" s="180">
        <v>46198</v>
      </c>
      <c r="C5" s="46" t="s">
        <v>735</v>
      </c>
      <c r="D5" s="46" t="s">
        <v>736</v>
      </c>
      <c r="E5" s="46" t="s">
        <v>738</v>
      </c>
      <c r="F5" s="46">
        <v>59</v>
      </c>
      <c r="G5" s="46"/>
      <c r="H5" s="182">
        <v>7000</v>
      </c>
      <c r="I5" s="182">
        <f t="shared" ref="I5:I11" si="0">F5*H5</f>
        <v>413000</v>
      </c>
      <c r="J5" s="46" t="s">
        <v>248</v>
      </c>
      <c r="L5" s="144" t="s">
        <v>276</v>
      </c>
    </row>
    <row r="6" spans="1:12" ht="15" customHeight="1">
      <c r="A6" s="154">
        <f t="shared" ref="A6:A11" si="1">ROW()-3</f>
        <v>3</v>
      </c>
      <c r="B6" s="180">
        <v>46198</v>
      </c>
      <c r="C6" s="46" t="s">
        <v>735</v>
      </c>
      <c r="D6" s="46" t="s">
        <v>736</v>
      </c>
      <c r="E6" s="46" t="s">
        <v>739</v>
      </c>
      <c r="F6" s="46">
        <v>1</v>
      </c>
      <c r="G6" s="46"/>
      <c r="H6" s="182">
        <v>2124545</v>
      </c>
      <c r="I6" s="182">
        <f t="shared" si="0"/>
        <v>2124545</v>
      </c>
      <c r="J6" s="46" t="s">
        <v>248</v>
      </c>
      <c r="L6" s="144" t="s">
        <v>277</v>
      </c>
    </row>
    <row r="7" spans="1:12" ht="15" customHeight="1">
      <c r="A7" s="154">
        <f t="shared" si="1"/>
        <v>4</v>
      </c>
      <c r="B7" s="180">
        <v>46198</v>
      </c>
      <c r="C7" s="46" t="s">
        <v>735</v>
      </c>
      <c r="D7" s="46" t="s">
        <v>736</v>
      </c>
      <c r="E7" s="46" t="s">
        <v>740</v>
      </c>
      <c r="F7" s="46">
        <v>3788</v>
      </c>
      <c r="G7" s="46"/>
      <c r="H7" s="182">
        <v>7000</v>
      </c>
      <c r="I7" s="182">
        <f t="shared" si="0"/>
        <v>26516000</v>
      </c>
      <c r="J7" s="46" t="s">
        <v>248</v>
      </c>
      <c r="L7" s="144" t="s">
        <v>278</v>
      </c>
    </row>
    <row r="8" spans="1:12" ht="15" customHeight="1">
      <c r="A8" s="154">
        <f t="shared" si="1"/>
        <v>5</v>
      </c>
      <c r="B8" s="180">
        <v>46198</v>
      </c>
      <c r="C8" s="46" t="s">
        <v>735</v>
      </c>
      <c r="D8" s="46" t="s">
        <v>736</v>
      </c>
      <c r="E8" s="46" t="s">
        <v>741</v>
      </c>
      <c r="F8" s="46">
        <v>81</v>
      </c>
      <c r="G8" s="46"/>
      <c r="H8" s="182">
        <v>7000</v>
      </c>
      <c r="I8" s="182">
        <f t="shared" si="0"/>
        <v>567000</v>
      </c>
      <c r="J8" s="46" t="s">
        <v>248</v>
      </c>
      <c r="L8" s="145" t="s">
        <v>279</v>
      </c>
    </row>
    <row r="9" spans="1:12" ht="15" customHeight="1">
      <c r="A9" s="154">
        <f t="shared" si="1"/>
        <v>6</v>
      </c>
      <c r="B9" s="180">
        <v>46198</v>
      </c>
      <c r="C9" s="46" t="s">
        <v>735</v>
      </c>
      <c r="D9" s="46" t="s">
        <v>736</v>
      </c>
      <c r="E9" s="46" t="s">
        <v>742</v>
      </c>
      <c r="F9" s="46">
        <v>1</v>
      </c>
      <c r="G9" s="46"/>
      <c r="H9" s="182">
        <v>1522273</v>
      </c>
      <c r="I9" s="182">
        <f t="shared" si="0"/>
        <v>1522273</v>
      </c>
      <c r="J9" s="46" t="s">
        <v>248</v>
      </c>
      <c r="L9" s="145" t="s">
        <v>280</v>
      </c>
    </row>
    <row r="10" spans="1:12" ht="15" customHeight="1">
      <c r="A10" s="154">
        <f t="shared" si="1"/>
        <v>7</v>
      </c>
      <c r="B10" s="180">
        <v>46198</v>
      </c>
      <c r="C10" s="46" t="s">
        <v>735</v>
      </c>
      <c r="D10" s="46" t="s">
        <v>736</v>
      </c>
      <c r="E10" s="46" t="s">
        <v>743</v>
      </c>
      <c r="F10" s="46">
        <v>1</v>
      </c>
      <c r="G10" s="46"/>
      <c r="H10" s="182">
        <v>164273</v>
      </c>
      <c r="I10" s="182">
        <f t="shared" si="0"/>
        <v>164273</v>
      </c>
      <c r="J10" s="46" t="s">
        <v>248</v>
      </c>
      <c r="L10" s="145" t="s">
        <v>281</v>
      </c>
    </row>
    <row r="11" spans="1:12" ht="15" customHeight="1">
      <c r="A11" s="154">
        <f t="shared" si="1"/>
        <v>8</v>
      </c>
      <c r="B11" s="180">
        <v>46203</v>
      </c>
      <c r="C11" s="46" t="s">
        <v>744</v>
      </c>
      <c r="D11" s="46"/>
      <c r="E11" s="46" t="s">
        <v>745</v>
      </c>
      <c r="F11" s="46">
        <v>1</v>
      </c>
      <c r="G11" s="46"/>
      <c r="H11" s="182">
        <v>1900455</v>
      </c>
      <c r="I11" s="182">
        <f t="shared" si="0"/>
        <v>1900455</v>
      </c>
      <c r="J11" s="46"/>
      <c r="L11" s="145" t="s">
        <v>282</v>
      </c>
    </row>
    <row r="12" spans="1:12" ht="15" customHeight="1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L12" s="145"/>
    </row>
    <row r="13" spans="1:12">
      <c r="A13" s="181"/>
      <c r="B13" s="181"/>
      <c r="C13" s="181"/>
      <c r="D13" s="181"/>
      <c r="E13" s="181"/>
      <c r="F13" s="181"/>
      <c r="G13" s="181"/>
      <c r="H13" s="181"/>
      <c r="I13" s="181"/>
      <c r="J13" s="181"/>
      <c r="L13" s="55" t="s">
        <v>283</v>
      </c>
    </row>
    <row r="14" spans="1:12">
      <c r="D14" s="181"/>
    </row>
    <row r="15" spans="1:12">
      <c r="D15" s="181"/>
    </row>
    <row r="16" spans="1:12">
      <c r="D16" s="181"/>
    </row>
    <row r="17" spans="4:9">
      <c r="D17" s="181"/>
      <c r="I17" s="176"/>
    </row>
    <row r="18" spans="4:9">
      <c r="D18" s="181"/>
      <c r="I18" s="176"/>
    </row>
    <row r="19" spans="4:9">
      <c r="D19" s="181"/>
    </row>
    <row r="20" spans="4:9">
      <c r="D20" s="181"/>
    </row>
    <row r="21" spans="4:9">
      <c r="D21" s="181"/>
    </row>
    <row r="22" spans="4:9">
      <c r="D22" s="181"/>
    </row>
    <row r="23" spans="4:9">
      <c r="D23" s="181"/>
    </row>
    <row r="24" spans="4:9">
      <c r="D24" s="181"/>
    </row>
    <row r="25" spans="4:9">
      <c r="D25" s="181"/>
    </row>
    <row r="26" spans="4:9">
      <c r="D26" s="181"/>
    </row>
    <row r="27" spans="4:9">
      <c r="D27" s="181"/>
    </row>
    <row r="28" spans="4:9">
      <c r="D28" s="181"/>
    </row>
    <row r="29" spans="4:9">
      <c r="D29" s="181"/>
    </row>
    <row r="30" spans="4:9">
      <c r="D30" s="181"/>
    </row>
    <row r="31" spans="4:9">
      <c r="D31" s="181"/>
    </row>
    <row r="32" spans="4:9">
      <c r="D32" s="181"/>
    </row>
    <row r="33" spans="4:4">
      <c r="D33" s="181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77" fitToHeight="0" orientation="landscape" r:id="rId1"/>
  <headerFooter>
    <oddFooter>&amp;C&amp;P/&amp;N</oddFooter>
  </headerFooter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19"/>
  <sheetViews>
    <sheetView view="pageBreakPreview" zoomScale="85" zoomScaleNormal="100" zoomScaleSheetLayoutView="85" workbookViewId="0">
      <selection activeCell="E29" sqref="E29"/>
    </sheetView>
  </sheetViews>
  <sheetFormatPr defaultRowHeight="17.399999999999999"/>
  <cols>
    <col min="2" max="2" width="11.09765625" bestFit="1" customWidth="1"/>
    <col min="3" max="3" width="10.59765625" bestFit="1" customWidth="1"/>
    <col min="4" max="4" width="32.19921875" customWidth="1"/>
    <col min="5" max="5" width="19.8984375" style="37" bestFit="1" customWidth="1"/>
    <col min="6" max="6" width="9" style="37"/>
    <col min="7" max="7" width="10.5" style="37" bestFit="1" customWidth="1"/>
    <col min="8" max="8" width="10.5" style="37" customWidth="1"/>
    <col min="9" max="9" width="18" customWidth="1"/>
    <col min="12" max="12" width="10" bestFit="1" customWidth="1"/>
  </cols>
  <sheetData>
    <row r="1" spans="1:20" ht="35.1" customHeight="1">
      <c r="A1" s="342" t="s">
        <v>284</v>
      </c>
      <c r="B1" s="342"/>
      <c r="C1" s="342"/>
      <c r="D1" s="342"/>
      <c r="E1" s="342"/>
      <c r="F1" s="342"/>
      <c r="G1" s="342"/>
      <c r="H1" s="342"/>
      <c r="I1" s="342"/>
      <c r="J1" s="55"/>
      <c r="K1" s="55"/>
      <c r="L1" s="55"/>
    </row>
    <row r="2" spans="1:20" ht="24.9" customHeight="1">
      <c r="A2" s="341" t="s">
        <v>285</v>
      </c>
      <c r="B2" s="343" t="s">
        <v>286</v>
      </c>
      <c r="C2" s="343" t="s">
        <v>287</v>
      </c>
      <c r="D2" s="344" t="s">
        <v>278</v>
      </c>
      <c r="E2" s="343" t="s">
        <v>279</v>
      </c>
      <c r="F2" s="343" t="s">
        <v>254</v>
      </c>
      <c r="G2" s="345" t="s">
        <v>288</v>
      </c>
      <c r="H2" s="146" t="s">
        <v>289</v>
      </c>
      <c r="I2" s="343" t="s">
        <v>290</v>
      </c>
      <c r="J2" s="55"/>
      <c r="K2" s="55"/>
      <c r="L2" s="55"/>
    </row>
    <row r="3" spans="1:20" ht="24.9" customHeight="1">
      <c r="A3" s="341"/>
      <c r="B3" s="343"/>
      <c r="C3" s="343"/>
      <c r="D3" s="344"/>
      <c r="E3" s="343"/>
      <c r="F3" s="343"/>
      <c r="G3" s="345"/>
      <c r="H3" s="147">
        <f>SUM(H4:H19)</f>
        <v>1313990.9090909089</v>
      </c>
      <c r="I3" s="343"/>
      <c r="J3" s="55"/>
      <c r="K3" s="177" t="s">
        <v>247</v>
      </c>
      <c r="L3" s="145"/>
      <c r="M3" s="145"/>
      <c r="N3" s="145"/>
      <c r="O3" s="145"/>
      <c r="P3" s="145"/>
      <c r="Q3" s="145"/>
      <c r="R3" s="145"/>
      <c r="S3" s="145"/>
      <c r="T3" s="145"/>
    </row>
    <row r="4" spans="1:20" ht="15" customHeight="1">
      <c r="A4" s="154">
        <f t="shared" ref="A4:A19" si="0">ROW()-3</f>
        <v>1</v>
      </c>
      <c r="B4" s="166">
        <v>46174</v>
      </c>
      <c r="C4" s="247" t="s">
        <v>753</v>
      </c>
      <c r="D4" s="172" t="s">
        <v>746</v>
      </c>
      <c r="E4" s="173" t="s">
        <v>747</v>
      </c>
      <c r="F4" s="172">
        <v>1</v>
      </c>
      <c r="G4" s="174">
        <f>70000/1.1</f>
        <v>63636.363636363632</v>
      </c>
      <c r="H4" s="174">
        <f>F4*G4</f>
        <v>63636.363636363632</v>
      </c>
      <c r="I4" s="182"/>
      <c r="J4" s="55"/>
      <c r="K4" s="144" t="s">
        <v>296</v>
      </c>
      <c r="L4" s="145"/>
      <c r="M4" s="145"/>
      <c r="N4" s="145"/>
      <c r="O4" s="145"/>
      <c r="P4" s="145"/>
      <c r="Q4" s="145"/>
      <c r="R4" s="145"/>
      <c r="S4" s="145"/>
      <c r="T4" s="145"/>
    </row>
    <row r="5" spans="1:20" ht="15" customHeight="1">
      <c r="A5" s="154">
        <f t="shared" si="0"/>
        <v>2</v>
      </c>
      <c r="B5" s="166">
        <v>46176</v>
      </c>
      <c r="C5" s="247" t="s">
        <v>753</v>
      </c>
      <c r="D5" s="172" t="s">
        <v>746</v>
      </c>
      <c r="E5" s="173" t="s">
        <v>747</v>
      </c>
      <c r="F5" s="172">
        <v>1</v>
      </c>
      <c r="G5" s="174">
        <f t="shared" ref="G5:G14" si="1">70000/1.1</f>
        <v>63636.363636363632</v>
      </c>
      <c r="H5" s="174">
        <f t="shared" ref="H5:H14" si="2">F5*G5</f>
        <v>63636.363636363632</v>
      </c>
      <c r="I5" s="182"/>
      <c r="J5" s="55"/>
      <c r="K5" s="144" t="s">
        <v>286</v>
      </c>
      <c r="L5" s="145"/>
      <c r="M5" s="145"/>
      <c r="N5" s="145"/>
      <c r="O5" s="145"/>
      <c r="P5" s="145"/>
      <c r="Q5" s="145"/>
      <c r="R5" s="145"/>
      <c r="S5" s="145"/>
      <c r="T5" s="145"/>
    </row>
    <row r="6" spans="1:20" ht="15" customHeight="1">
      <c r="A6" s="154">
        <f t="shared" si="0"/>
        <v>3</v>
      </c>
      <c r="B6" s="166">
        <v>46178</v>
      </c>
      <c r="C6" s="247" t="s">
        <v>753</v>
      </c>
      <c r="D6" s="172" t="s">
        <v>746</v>
      </c>
      <c r="E6" s="173" t="s">
        <v>747</v>
      </c>
      <c r="F6" s="172">
        <v>1</v>
      </c>
      <c r="G6" s="174">
        <f t="shared" si="1"/>
        <v>63636.363636363632</v>
      </c>
      <c r="H6" s="174">
        <f t="shared" si="2"/>
        <v>63636.363636363632</v>
      </c>
      <c r="I6" s="182"/>
      <c r="J6" s="55"/>
      <c r="K6" s="144" t="s">
        <v>250</v>
      </c>
      <c r="L6" s="145"/>
      <c r="M6" s="145"/>
      <c r="N6" s="145"/>
      <c r="O6" s="145"/>
      <c r="P6" s="145"/>
      <c r="Q6" s="145"/>
      <c r="R6" s="145"/>
      <c r="S6" s="145"/>
      <c r="T6" s="145"/>
    </row>
    <row r="7" spans="1:20" ht="15" customHeight="1">
      <c r="A7" s="154">
        <f t="shared" si="0"/>
        <v>4</v>
      </c>
      <c r="B7" s="166">
        <v>46181</v>
      </c>
      <c r="C7" s="247" t="s">
        <v>753</v>
      </c>
      <c r="D7" s="172" t="s">
        <v>746</v>
      </c>
      <c r="E7" s="173" t="s">
        <v>747</v>
      </c>
      <c r="F7" s="172">
        <v>1</v>
      </c>
      <c r="G7" s="174">
        <f t="shared" si="1"/>
        <v>63636.363636363632</v>
      </c>
      <c r="H7" s="174">
        <f t="shared" si="2"/>
        <v>63636.363636363632</v>
      </c>
      <c r="I7" s="182"/>
      <c r="J7" s="55"/>
      <c r="K7" s="144" t="s">
        <v>251</v>
      </c>
      <c r="L7" s="145"/>
      <c r="M7" s="145"/>
      <c r="N7" s="145"/>
      <c r="O7" s="145"/>
      <c r="P7" s="145"/>
      <c r="Q7" s="145"/>
      <c r="R7" s="145"/>
      <c r="S7" s="145"/>
      <c r="T7" s="145"/>
    </row>
    <row r="8" spans="1:20" ht="15" customHeight="1">
      <c r="A8" s="154">
        <f t="shared" si="0"/>
        <v>5</v>
      </c>
      <c r="B8" s="166">
        <v>46183</v>
      </c>
      <c r="C8" s="247" t="s">
        <v>753</v>
      </c>
      <c r="D8" s="172" t="s">
        <v>746</v>
      </c>
      <c r="E8" s="173" t="s">
        <v>747</v>
      </c>
      <c r="F8" s="172">
        <v>1</v>
      </c>
      <c r="G8" s="174">
        <f t="shared" si="1"/>
        <v>63636.363636363632</v>
      </c>
      <c r="H8" s="174">
        <f t="shared" si="2"/>
        <v>63636.363636363632</v>
      </c>
      <c r="I8" s="182"/>
      <c r="J8" s="55"/>
      <c r="K8" s="144" t="s">
        <v>297</v>
      </c>
      <c r="L8" s="145"/>
      <c r="M8" s="145"/>
      <c r="N8" s="145"/>
      <c r="O8" s="145"/>
      <c r="P8" s="145"/>
      <c r="Q8" s="145"/>
      <c r="R8" s="145"/>
      <c r="S8" s="145"/>
      <c r="T8" s="145"/>
    </row>
    <row r="9" spans="1:20" ht="15" customHeight="1">
      <c r="A9" s="154">
        <f t="shared" si="0"/>
        <v>6</v>
      </c>
      <c r="B9" s="166">
        <v>46185</v>
      </c>
      <c r="C9" s="247" t="s">
        <v>753</v>
      </c>
      <c r="D9" s="172" t="s">
        <v>746</v>
      </c>
      <c r="E9" s="173" t="s">
        <v>747</v>
      </c>
      <c r="F9" s="172">
        <v>1</v>
      </c>
      <c r="G9" s="174">
        <f t="shared" si="1"/>
        <v>63636.363636363632</v>
      </c>
      <c r="H9" s="174">
        <f t="shared" si="2"/>
        <v>63636.363636363632</v>
      </c>
      <c r="I9" s="182"/>
      <c r="J9" s="55"/>
      <c r="K9" s="145" t="s">
        <v>254</v>
      </c>
      <c r="L9" s="145"/>
      <c r="M9" s="145"/>
      <c r="N9" s="145"/>
      <c r="O9" s="145"/>
      <c r="P9" s="145"/>
      <c r="Q9" s="145"/>
      <c r="R9" s="145"/>
      <c r="S9" s="145"/>
      <c r="T9" s="145"/>
    </row>
    <row r="10" spans="1:20" ht="15" customHeight="1">
      <c r="A10" s="154">
        <f t="shared" si="0"/>
        <v>7</v>
      </c>
      <c r="B10" s="166">
        <v>46188</v>
      </c>
      <c r="C10" s="247" t="s">
        <v>753</v>
      </c>
      <c r="D10" s="172" t="s">
        <v>746</v>
      </c>
      <c r="E10" s="173" t="s">
        <v>747</v>
      </c>
      <c r="F10" s="172">
        <v>1</v>
      </c>
      <c r="G10" s="174">
        <f t="shared" si="1"/>
        <v>63636.363636363632</v>
      </c>
      <c r="H10" s="174">
        <f t="shared" si="2"/>
        <v>63636.363636363632</v>
      </c>
      <c r="I10" s="182"/>
      <c r="J10" s="55"/>
      <c r="K10" s="145" t="s">
        <v>288</v>
      </c>
      <c r="L10" s="178"/>
      <c r="M10" s="145"/>
      <c r="N10" s="145"/>
      <c r="O10" s="145"/>
      <c r="P10" s="145"/>
      <c r="Q10" s="145"/>
      <c r="R10" s="145"/>
      <c r="S10" s="145"/>
      <c r="T10" s="145"/>
    </row>
    <row r="11" spans="1:20" ht="15" customHeight="1">
      <c r="A11" s="154">
        <f t="shared" si="0"/>
        <v>8</v>
      </c>
      <c r="B11" s="166">
        <v>46190</v>
      </c>
      <c r="C11" s="247" t="s">
        <v>753</v>
      </c>
      <c r="D11" s="172" t="s">
        <v>746</v>
      </c>
      <c r="E11" s="173" t="s">
        <v>747</v>
      </c>
      <c r="F11" s="172">
        <v>1</v>
      </c>
      <c r="G11" s="174">
        <f t="shared" si="1"/>
        <v>63636.363636363632</v>
      </c>
      <c r="H11" s="174">
        <f t="shared" si="2"/>
        <v>63636.363636363632</v>
      </c>
      <c r="I11" s="182"/>
      <c r="J11" s="55"/>
      <c r="K11" s="145"/>
      <c r="L11" s="178"/>
      <c r="M11" s="145"/>
      <c r="N11" s="145"/>
      <c r="O11" s="145"/>
      <c r="P11" s="145"/>
      <c r="Q11" s="145"/>
      <c r="R11" s="145"/>
      <c r="S11" s="145"/>
      <c r="T11" s="145"/>
    </row>
    <row r="12" spans="1:20" ht="15" customHeight="1">
      <c r="A12" s="154">
        <f t="shared" si="0"/>
        <v>9</v>
      </c>
      <c r="B12" s="166">
        <v>46192</v>
      </c>
      <c r="C12" s="247" t="s">
        <v>753</v>
      </c>
      <c r="D12" s="172" t="s">
        <v>746</v>
      </c>
      <c r="E12" s="173" t="s">
        <v>747</v>
      </c>
      <c r="F12" s="172">
        <v>1</v>
      </c>
      <c r="G12" s="174">
        <f>60000/1.1</f>
        <v>54545.454545454544</v>
      </c>
      <c r="H12" s="174">
        <f t="shared" si="2"/>
        <v>54545.454545454544</v>
      </c>
      <c r="I12" s="182"/>
      <c r="J12" s="55"/>
      <c r="K12" s="177" t="s">
        <v>307</v>
      </c>
      <c r="L12" s="178"/>
      <c r="M12" s="178"/>
      <c r="N12" s="178"/>
      <c r="O12" s="178"/>
      <c r="P12" s="178"/>
      <c r="Q12" s="178"/>
      <c r="R12" s="178"/>
      <c r="S12" s="178"/>
      <c r="T12" s="178"/>
    </row>
    <row r="13" spans="1:20" ht="15" customHeight="1">
      <c r="A13" s="154">
        <f t="shared" si="0"/>
        <v>10</v>
      </c>
      <c r="B13" s="166">
        <v>46197</v>
      </c>
      <c r="C13" s="247" t="s">
        <v>753</v>
      </c>
      <c r="D13" s="172" t="s">
        <v>746</v>
      </c>
      <c r="E13" s="173" t="s">
        <v>747</v>
      </c>
      <c r="F13" s="172">
        <v>1</v>
      </c>
      <c r="G13" s="174">
        <f t="shared" si="1"/>
        <v>63636.363636363632</v>
      </c>
      <c r="H13" s="174">
        <f t="shared" si="2"/>
        <v>63636.363636363632</v>
      </c>
      <c r="I13" s="182"/>
      <c r="J13" s="55"/>
      <c r="K13" s="55"/>
      <c r="L13" s="55"/>
    </row>
    <row r="14" spans="1:20" ht="15" customHeight="1">
      <c r="A14" s="154">
        <f t="shared" si="0"/>
        <v>11</v>
      </c>
      <c r="B14" s="166">
        <v>46199</v>
      </c>
      <c r="C14" s="247" t="s">
        <v>753</v>
      </c>
      <c r="D14" s="172" t="s">
        <v>746</v>
      </c>
      <c r="E14" s="173" t="s">
        <v>747</v>
      </c>
      <c r="F14" s="172">
        <v>1</v>
      </c>
      <c r="G14" s="174">
        <f t="shared" si="1"/>
        <v>63636.363636363632</v>
      </c>
      <c r="H14" s="174">
        <f t="shared" si="2"/>
        <v>63636.363636363632</v>
      </c>
      <c r="I14" s="182"/>
      <c r="J14" s="55"/>
      <c r="L14" s="55"/>
    </row>
    <row r="15" spans="1:20" ht="15" customHeight="1">
      <c r="A15" s="154">
        <f t="shared" si="0"/>
        <v>12</v>
      </c>
      <c r="B15" s="166">
        <v>46198</v>
      </c>
      <c r="C15" s="247" t="s">
        <v>753</v>
      </c>
      <c r="D15" s="172" t="s">
        <v>748</v>
      </c>
      <c r="E15" s="173" t="s">
        <v>749</v>
      </c>
      <c r="F15" s="172">
        <v>1</v>
      </c>
      <c r="G15" s="174">
        <v>407272.72727272724</v>
      </c>
      <c r="H15" s="174">
        <v>407272.72727272724</v>
      </c>
      <c r="I15" s="182"/>
      <c r="J15" s="55"/>
      <c r="L15" s="55"/>
    </row>
    <row r="16" spans="1:20" ht="15" customHeight="1">
      <c r="A16" s="154">
        <f t="shared" si="0"/>
        <v>13</v>
      </c>
      <c r="B16" s="166">
        <v>46190</v>
      </c>
      <c r="C16" s="172" t="s">
        <v>754</v>
      </c>
      <c r="D16" s="172" t="s">
        <v>750</v>
      </c>
      <c r="E16" s="173" t="s">
        <v>696</v>
      </c>
      <c r="F16" s="172">
        <v>24</v>
      </c>
      <c r="G16" s="174">
        <v>493.93939393939394</v>
      </c>
      <c r="H16" s="174">
        <v>11854.545454545454</v>
      </c>
      <c r="I16" s="182"/>
      <c r="J16" s="55"/>
      <c r="L16" s="55"/>
    </row>
    <row r="17" spans="1:12" ht="15" customHeight="1">
      <c r="A17" s="154">
        <f t="shared" si="0"/>
        <v>14</v>
      </c>
      <c r="B17" s="166">
        <v>46192</v>
      </c>
      <c r="C17" s="172" t="s">
        <v>754</v>
      </c>
      <c r="D17" s="172" t="s">
        <v>751</v>
      </c>
      <c r="E17" s="173" t="s">
        <v>696</v>
      </c>
      <c r="F17" s="172">
        <v>10</v>
      </c>
      <c r="G17" s="174">
        <v>16718.181818181816</v>
      </c>
      <c r="H17" s="174">
        <v>167181.81818181818</v>
      </c>
      <c r="I17" s="182"/>
      <c r="J17" s="55"/>
      <c r="L17" s="55"/>
    </row>
    <row r="18" spans="1:12" ht="15" customHeight="1">
      <c r="A18" s="154">
        <f t="shared" si="0"/>
        <v>15</v>
      </c>
      <c r="B18" s="166">
        <v>46195</v>
      </c>
      <c r="C18" s="172" t="s">
        <v>754</v>
      </c>
      <c r="D18" s="172" t="s">
        <v>752</v>
      </c>
      <c r="E18" s="173" t="s">
        <v>696</v>
      </c>
      <c r="F18" s="172">
        <v>5</v>
      </c>
      <c r="G18" s="174">
        <v>6081.818181818182</v>
      </c>
      <c r="H18" s="174">
        <v>30409.090909090908</v>
      </c>
      <c r="I18" s="182"/>
      <c r="J18" s="55"/>
      <c r="L18" s="55"/>
    </row>
    <row r="19" spans="1:12" ht="15" customHeight="1">
      <c r="A19" s="154">
        <f t="shared" si="0"/>
        <v>16</v>
      </c>
      <c r="B19" s="166">
        <v>46195</v>
      </c>
      <c r="C19" s="172" t="s">
        <v>754</v>
      </c>
      <c r="D19" s="172" t="s">
        <v>750</v>
      </c>
      <c r="E19" s="173" t="s">
        <v>696</v>
      </c>
      <c r="F19" s="172">
        <v>12</v>
      </c>
      <c r="G19" s="174">
        <v>530.30303030303025</v>
      </c>
      <c r="H19" s="174">
        <v>6363.6363636363631</v>
      </c>
      <c r="I19" s="182"/>
      <c r="J19" s="55"/>
      <c r="L19" s="55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99" fitToHeight="0" orientation="landscape" r:id="rId1"/>
  <headerFoot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>
      <c r="B2" s="346" t="s">
        <v>41</v>
      </c>
      <c r="C2" s="38" t="s">
        <v>37</v>
      </c>
      <c r="D2" s="38"/>
      <c r="E2" s="38" t="s">
        <v>40</v>
      </c>
    </row>
    <row r="3" spans="2:18" ht="30" customHeight="1">
      <c r="B3" s="347"/>
      <c r="C3" s="38" t="s">
        <v>38</v>
      </c>
      <c r="D3" s="38"/>
      <c r="E3" s="38" t="s">
        <v>40</v>
      </c>
    </row>
    <row r="4" spans="2:18" ht="30" customHeight="1">
      <c r="B4" s="347"/>
      <c r="C4" s="38" t="s">
        <v>39</v>
      </c>
      <c r="D4" s="38"/>
      <c r="E4" s="38" t="s">
        <v>40</v>
      </c>
    </row>
    <row r="6" spans="2:18" ht="48.9" customHeight="1">
      <c r="G6" s="346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>
      <c r="G7" s="346"/>
      <c r="H7" s="38"/>
      <c r="I7" s="38"/>
      <c r="J7" s="38"/>
      <c r="K7" s="37"/>
      <c r="L7" s="37"/>
      <c r="M7" s="37"/>
      <c r="N7" s="37"/>
      <c r="O7" s="37"/>
    </row>
    <row r="8" spans="2:18" ht="24.9" customHeight="1">
      <c r="G8" s="37"/>
      <c r="H8" s="37"/>
      <c r="I8" s="37"/>
      <c r="J8" s="37"/>
      <c r="K8" s="37"/>
      <c r="L8" s="348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>
      <c r="G9" s="37"/>
      <c r="H9" s="37"/>
      <c r="I9" s="37"/>
      <c r="J9" s="37"/>
      <c r="K9" s="37"/>
      <c r="L9" s="349"/>
      <c r="M9" s="38"/>
      <c r="N9" s="38"/>
      <c r="O9" s="38"/>
    </row>
    <row r="11" spans="2:18" ht="24.9" customHeight="1">
      <c r="Q11" s="38" t="s">
        <v>50</v>
      </c>
      <c r="R11" s="38" t="s">
        <v>53</v>
      </c>
    </row>
    <row r="12" spans="2:18" ht="24.9" customHeight="1">
      <c r="Q12" s="38" t="s">
        <v>51</v>
      </c>
      <c r="R12" s="38" t="s">
        <v>54</v>
      </c>
    </row>
    <row r="13" spans="2:18" ht="24.9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7.399999999999999"/>
  <sheetData>
    <row r="3" spans="2:3">
      <c r="B3" s="350" t="s">
        <v>55</v>
      </c>
      <c r="C3" s="351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11</vt:i4>
      </vt:variant>
    </vt:vector>
  </HeadingPairs>
  <TitlesOfParts>
    <vt:vector size="26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(06월)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집계장!Print_Area</vt:lpstr>
      <vt:lpstr>'내역서(을지)'!Print_Titles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2026-07-05T23:12:34Z</cp:lastPrinted>
  <dcterms:created xsi:type="dcterms:W3CDTF">2025-09-12T00:04:15Z</dcterms:created>
  <dcterms:modified xsi:type="dcterms:W3CDTF">2026-07-06T08:07:11Z</dcterms:modified>
</cp:coreProperties>
</file>