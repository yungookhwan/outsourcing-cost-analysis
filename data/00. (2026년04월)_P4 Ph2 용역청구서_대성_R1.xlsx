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92.168.237.6\Kcenc_구매전략\현장별 기성 내역서\2026년\4월\S26-001\"/>
    </mc:Choice>
  </mc:AlternateContent>
  <xr:revisionPtr revIDLastSave="0" documentId="13_ncr:1_{B3AC4114-A3EC-40DE-927F-94B6C5E9F0DA}" xr6:coauthVersionLast="36" xr6:coauthVersionMax="47" xr10:uidLastSave="{00000000-0000-0000-0000-000000000000}"/>
  <bookViews>
    <workbookView xWindow="28680" yWindow="-120" windowWidth="29040" windowHeight="15720" tabRatio="839" activeTab="4" xr2:uid="{00000000-000D-0000-FFFF-FFFF00000000}"/>
  </bookViews>
  <sheets>
    <sheet name="용역청구서 표지" sheetId="1" r:id="rId1"/>
    <sheet name="용역 청구서(갑지)" sheetId="2" r:id="rId2"/>
    <sheet name="용역 내역서(을지)" sheetId="5" state="hidden" r:id="rId3"/>
    <sheet name="내역서(을지)" sheetId="13" r:id="rId4"/>
    <sheet name="집계장" sheetId="6" r:id="rId5"/>
    <sheet name="물량 내역서" sheetId="7" r:id="rId6"/>
    <sheet name="근로내역 (04월)" sheetId="8" r:id="rId7"/>
    <sheet name="숙소임차료" sheetId="9" r:id="rId8"/>
    <sheet name="숙소관리비" sheetId="10" r:id="rId9"/>
    <sheet name="식대비용" sheetId="11" r:id="rId10"/>
    <sheet name="기타비용" sheetId="12" r:id="rId11"/>
    <sheet name="서명란" sheetId="3" state="hidden" r:id="rId12"/>
    <sheet name="DIA-INCH" sheetId="4" r:id="rId13"/>
  </sheets>
  <definedNames>
    <definedName name="_xlnm._FilterDatabase" localSheetId="5" hidden="1">'물량 내역서'!$A$5:$M$52</definedName>
    <definedName name="_xlnm._FilterDatabase" localSheetId="8" hidden="1">숙소관리비!$A$3:$J$45</definedName>
    <definedName name="_xlnm.Print_Area" localSheetId="4">집계장!$B$1:$M$29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6" l="1"/>
  <c r="G19" i="6" l="1"/>
  <c r="I19" i="6" s="1"/>
  <c r="J12" i="7" l="1"/>
  <c r="J13" i="6" l="1"/>
  <c r="I16" i="6"/>
  <c r="J16" i="6"/>
  <c r="G21" i="6"/>
  <c r="H21" i="6"/>
  <c r="J19" i="6"/>
  <c r="I20" i="6"/>
  <c r="J20" i="6" s="1"/>
  <c r="J21" i="6" l="1"/>
  <c r="I21" i="6"/>
  <c r="H13" i="6" l="1"/>
  <c r="H14" i="6" s="1"/>
  <c r="H18" i="6" s="1"/>
  <c r="H24" i="6" s="1"/>
  <c r="H3" i="12"/>
  <c r="H62" i="12"/>
  <c r="H61" i="12"/>
  <c r="H60" i="12"/>
  <c r="H59" i="12"/>
  <c r="H58" i="12"/>
  <c r="H57" i="12"/>
  <c r="H56" i="12"/>
  <c r="H55" i="12"/>
  <c r="H54" i="12"/>
  <c r="H53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25" i="6" l="1"/>
  <c r="I5" i="11"/>
  <c r="I3" i="10" l="1"/>
  <c r="I3" i="9"/>
  <c r="AM83" i="8" l="1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AO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AN70" i="8"/>
  <c r="AP70" i="8" s="1"/>
  <c r="AN69" i="8"/>
  <c r="AP69" i="8" s="1"/>
  <c r="AN68" i="8"/>
  <c r="AP68" i="8" s="1"/>
  <c r="AN67" i="8"/>
  <c r="AP67" i="8" s="1"/>
  <c r="AN66" i="8"/>
  <c r="AP66" i="8" s="1"/>
  <c r="AN65" i="8"/>
  <c r="AP65" i="8" s="1"/>
  <c r="AN64" i="8"/>
  <c r="AP64" i="8" s="1"/>
  <c r="AN63" i="8"/>
  <c r="AP63" i="8" s="1"/>
  <c r="AN62" i="8"/>
  <c r="AP62" i="8" s="1"/>
  <c r="AN61" i="8"/>
  <c r="AP61" i="8" s="1"/>
  <c r="AN60" i="8"/>
  <c r="AP60" i="8" s="1"/>
  <c r="AN59" i="8"/>
  <c r="AP59" i="8" s="1"/>
  <c r="AN58" i="8"/>
  <c r="AP58" i="8" s="1"/>
  <c r="AN57" i="8"/>
  <c r="AP57" i="8" s="1"/>
  <c r="AN56" i="8"/>
  <c r="AP56" i="8" s="1"/>
  <c r="AN55" i="8"/>
  <c r="AP55" i="8" s="1"/>
  <c r="AN54" i="8"/>
  <c r="AP54" i="8" s="1"/>
  <c r="AN53" i="8"/>
  <c r="AP53" i="8" s="1"/>
  <c r="AN52" i="8"/>
  <c r="AP52" i="8" s="1"/>
  <c r="AN51" i="8"/>
  <c r="AP51" i="8" s="1"/>
  <c r="AN50" i="8"/>
  <c r="AP50" i="8" s="1"/>
  <c r="AN49" i="8"/>
  <c r="AP49" i="8" s="1"/>
  <c r="AN48" i="8"/>
  <c r="AP48" i="8" s="1"/>
  <c r="AN47" i="8"/>
  <c r="AP47" i="8" s="1"/>
  <c r="AN46" i="8"/>
  <c r="AP46" i="8" s="1"/>
  <c r="AN45" i="8"/>
  <c r="AP45" i="8" s="1"/>
  <c r="AN44" i="8"/>
  <c r="AP44" i="8" s="1"/>
  <c r="AN43" i="8"/>
  <c r="AP43" i="8" s="1"/>
  <c r="AN42" i="8"/>
  <c r="AP42" i="8" s="1"/>
  <c r="AN82" i="8" l="1"/>
  <c r="AP82" i="8" s="1"/>
  <c r="AN81" i="8"/>
  <c r="AP81" i="8" s="1"/>
  <c r="AN80" i="8"/>
  <c r="AP80" i="8" s="1"/>
  <c r="AN79" i="8"/>
  <c r="AP79" i="8" s="1"/>
  <c r="AN78" i="8"/>
  <c r="AP78" i="8" s="1"/>
  <c r="AN77" i="8"/>
  <c r="AP77" i="8" s="1"/>
  <c r="AN76" i="8"/>
  <c r="AP76" i="8" s="1"/>
  <c r="F5" i="13"/>
  <c r="F6" i="13"/>
  <c r="F7" i="13"/>
  <c r="F8" i="13"/>
  <c r="F9" i="13"/>
  <c r="F10" i="13"/>
  <c r="F11" i="13"/>
  <c r="E27" i="13"/>
  <c r="F27" i="13" l="1"/>
  <c r="D14" i="2" l="1"/>
  <c r="H37" i="12"/>
  <c r="H36" i="12"/>
  <c r="H35" i="12"/>
  <c r="H34" i="12"/>
  <c r="H33" i="12"/>
  <c r="H32" i="12"/>
  <c r="AO84" i="8" l="1"/>
  <c r="AN72" i="8" l="1"/>
  <c r="AN73" i="8"/>
  <c r="AP73" i="8" s="1"/>
  <c r="AN74" i="8"/>
  <c r="AP74" i="8" s="1"/>
  <c r="AN75" i="8"/>
  <c r="AP75" i="8" s="1"/>
  <c r="H13" i="12"/>
  <c r="AN41" i="8"/>
  <c r="AP41" i="8" s="1"/>
  <c r="AN40" i="8"/>
  <c r="AP40" i="8" s="1"/>
  <c r="AN39" i="8"/>
  <c r="AP39" i="8" s="1"/>
  <c r="AP72" i="8" l="1"/>
  <c r="AP83" i="8" s="1"/>
  <c r="AN83" i="8"/>
  <c r="H31" i="12" l="1"/>
  <c r="H30" i="12"/>
  <c r="H29" i="12"/>
  <c r="H28" i="12"/>
  <c r="H27" i="12"/>
  <c r="H26" i="12"/>
  <c r="H25" i="12"/>
  <c r="H24" i="12"/>
  <c r="H23" i="12"/>
  <c r="H22" i="12"/>
  <c r="AN38" i="8" l="1"/>
  <c r="AP38" i="8" s="1"/>
  <c r="AN37" i="8"/>
  <c r="AP37" i="8" s="1"/>
  <c r="AN36" i="8"/>
  <c r="AP36" i="8" s="1"/>
  <c r="AN35" i="8"/>
  <c r="AP35" i="8" s="1"/>
  <c r="AN34" i="8"/>
  <c r="AP34" i="8" s="1"/>
  <c r="AN33" i="8"/>
  <c r="AP33" i="8" s="1"/>
  <c r="AN32" i="8"/>
  <c r="AP32" i="8" s="1"/>
  <c r="AN31" i="8"/>
  <c r="AP31" i="8" s="1"/>
  <c r="AN30" i="8"/>
  <c r="AP30" i="8" s="1"/>
  <c r="AN29" i="8"/>
  <c r="AP29" i="8" s="1"/>
  <c r="AN28" i="8"/>
  <c r="AP28" i="8" s="1"/>
  <c r="AN27" i="8"/>
  <c r="AP27" i="8" s="1"/>
  <c r="AN26" i="8"/>
  <c r="AP26" i="8" s="1"/>
  <c r="AN25" i="8"/>
  <c r="AP25" i="8" s="1"/>
  <c r="H21" i="12" l="1"/>
  <c r="H20" i="12"/>
  <c r="H19" i="12"/>
  <c r="H18" i="12"/>
  <c r="H17" i="12"/>
  <c r="H16" i="12"/>
  <c r="H15" i="12"/>
  <c r="H14" i="12"/>
  <c r="H12" i="12"/>
  <c r="H11" i="12"/>
  <c r="H10" i="12"/>
  <c r="H9" i="12"/>
  <c r="H8" i="12"/>
  <c r="H7" i="12"/>
  <c r="I3" i="11" l="1"/>
  <c r="AN24" i="8" l="1"/>
  <c r="AP24" i="8" s="1"/>
  <c r="AN23" i="8"/>
  <c r="AP23" i="8" s="1"/>
  <c r="AN22" i="8"/>
  <c r="AP22" i="8" s="1"/>
  <c r="AN21" i="8"/>
  <c r="AP21" i="8" s="1"/>
  <c r="AN20" i="8"/>
  <c r="AP20" i="8" s="1"/>
  <c r="AN19" i="8"/>
  <c r="AP19" i="8" s="1"/>
  <c r="AN18" i="8"/>
  <c r="AP18" i="8" s="1"/>
  <c r="E11" i="6" l="1"/>
  <c r="E10" i="6"/>
  <c r="AN17" i="8" l="1"/>
  <c r="AP17" i="8" s="1"/>
  <c r="AN16" i="8"/>
  <c r="AP16" i="8" s="1"/>
  <c r="E10" i="2" l="1"/>
  <c r="E9" i="2"/>
  <c r="J51" i="7" l="1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K32" i="7" s="1"/>
  <c r="J31" i="7"/>
  <c r="J30" i="7"/>
  <c r="J29" i="7"/>
  <c r="E6" i="6" l="1"/>
  <c r="H6" i="12"/>
  <c r="H5" i="12"/>
  <c r="H4" i="12"/>
  <c r="G11" i="6" l="1"/>
  <c r="I11" i="6" s="1"/>
  <c r="G10" i="6"/>
  <c r="I10" i="6" s="1"/>
  <c r="AM3" i="8" l="1"/>
  <c r="AM1" i="8"/>
  <c r="AB84" i="8"/>
  <c r="AA84" i="8"/>
  <c r="Z84" i="8"/>
  <c r="X84" i="8"/>
  <c r="Q84" i="8"/>
  <c r="L84" i="8"/>
  <c r="K84" i="8"/>
  <c r="J84" i="8"/>
  <c r="AN15" i="8"/>
  <c r="AP15" i="8" s="1"/>
  <c r="AN14" i="8"/>
  <c r="AP14" i="8" s="1"/>
  <c r="AN13" i="8"/>
  <c r="AP13" i="8" s="1"/>
  <c r="AN12" i="8"/>
  <c r="AP12" i="8" s="1"/>
  <c r="AN11" i="8"/>
  <c r="AP11" i="8" s="1"/>
  <c r="AN10" i="8"/>
  <c r="AP10" i="8" s="1"/>
  <c r="AN9" i="8"/>
  <c r="AP9" i="8" s="1"/>
  <c r="AN8" i="8"/>
  <c r="AP8" i="8" s="1"/>
  <c r="AN7" i="8"/>
  <c r="AP7" i="8" s="1"/>
  <c r="AN6" i="8"/>
  <c r="AN71" i="8" s="1"/>
  <c r="E9" i="6" l="1"/>
  <c r="AG84" i="8"/>
  <c r="AH84" i="8"/>
  <c r="N84" i="8"/>
  <c r="AD84" i="8"/>
  <c r="O84" i="8"/>
  <c r="AE84" i="8"/>
  <c r="R84" i="8"/>
  <c r="I84" i="8"/>
  <c r="Y84" i="8"/>
  <c r="P84" i="8"/>
  <c r="AF84" i="8"/>
  <c r="AI84" i="8"/>
  <c r="T84" i="8"/>
  <c r="AJ84" i="8"/>
  <c r="S84" i="8"/>
  <c r="U84" i="8"/>
  <c r="AK84" i="8"/>
  <c r="V84" i="8"/>
  <c r="AL84" i="8"/>
  <c r="W84" i="8"/>
  <c r="AM84" i="8"/>
  <c r="M84" i="8"/>
  <c r="AC84" i="8"/>
  <c r="AP6" i="8"/>
  <c r="AP71" i="8" s="1"/>
  <c r="E51" i="7"/>
  <c r="K51" i="7" s="1"/>
  <c r="E50" i="7"/>
  <c r="K50" i="7" s="1"/>
  <c r="M50" i="7" s="1"/>
  <c r="G50" i="7" s="1"/>
  <c r="E49" i="7"/>
  <c r="K49" i="7" s="1"/>
  <c r="E48" i="7"/>
  <c r="K48" i="7" s="1"/>
  <c r="M48" i="7" s="1"/>
  <c r="G48" i="7" s="1"/>
  <c r="E47" i="7"/>
  <c r="K47" i="7" s="1"/>
  <c r="M47" i="7" s="1"/>
  <c r="G47" i="7" s="1"/>
  <c r="E46" i="7"/>
  <c r="K46" i="7" s="1"/>
  <c r="M46" i="7" s="1"/>
  <c r="G46" i="7" s="1"/>
  <c r="E45" i="7"/>
  <c r="K45" i="7" s="1"/>
  <c r="M45" i="7" s="1"/>
  <c r="G45" i="7" s="1"/>
  <c r="E44" i="7"/>
  <c r="K44" i="7" s="1"/>
  <c r="M44" i="7" s="1"/>
  <c r="G44" i="7" s="1"/>
  <c r="E43" i="7"/>
  <c r="E42" i="7"/>
  <c r="E41" i="7"/>
  <c r="E40" i="7"/>
  <c r="E39" i="7"/>
  <c r="E38" i="7"/>
  <c r="E37" i="7"/>
  <c r="E36" i="7"/>
  <c r="E35" i="7"/>
  <c r="K35" i="7" s="1"/>
  <c r="E34" i="7"/>
  <c r="K34" i="7" s="1"/>
  <c r="M34" i="7" s="1"/>
  <c r="G34" i="7" s="1"/>
  <c r="E33" i="7"/>
  <c r="K33" i="7" s="1"/>
  <c r="M33" i="7" s="1"/>
  <c r="G33" i="7" s="1"/>
  <c r="E31" i="7"/>
  <c r="E30" i="7"/>
  <c r="K30" i="7" s="1"/>
  <c r="M30" i="7" s="1"/>
  <c r="G30" i="7" s="1"/>
  <c r="E29" i="7"/>
  <c r="J28" i="7"/>
  <c r="J27" i="7"/>
  <c r="L27" i="7" s="1"/>
  <c r="F27" i="7" s="1"/>
  <c r="J26" i="7"/>
  <c r="K26" i="7" s="1"/>
  <c r="M26" i="7" s="1"/>
  <c r="G26" i="7" s="1"/>
  <c r="J25" i="7"/>
  <c r="K25" i="7" s="1"/>
  <c r="M25" i="7" s="1"/>
  <c r="G25" i="7" s="1"/>
  <c r="J24" i="7"/>
  <c r="L24" i="7" s="1"/>
  <c r="F24" i="7" s="1"/>
  <c r="J23" i="7"/>
  <c r="L23" i="7" s="1"/>
  <c r="F23" i="7" s="1"/>
  <c r="J22" i="7"/>
  <c r="K22" i="7" s="1"/>
  <c r="M22" i="7" s="1"/>
  <c r="G22" i="7" s="1"/>
  <c r="J21" i="7"/>
  <c r="L21" i="7" s="1"/>
  <c r="F21" i="7" s="1"/>
  <c r="J20" i="7"/>
  <c r="L20" i="7" s="1"/>
  <c r="F20" i="7" s="1"/>
  <c r="J19" i="7"/>
  <c r="K19" i="7" s="1"/>
  <c r="M19" i="7" s="1"/>
  <c r="G19" i="7" s="1"/>
  <c r="J18" i="7"/>
  <c r="L18" i="7" s="1"/>
  <c r="F18" i="7" s="1"/>
  <c r="J17" i="7"/>
  <c r="L17" i="7" s="1"/>
  <c r="F17" i="7" s="1"/>
  <c r="J16" i="7"/>
  <c r="L16" i="7" s="1"/>
  <c r="F16" i="7" s="1"/>
  <c r="J15" i="7"/>
  <c r="L15" i="7" s="1"/>
  <c r="F15" i="7" s="1"/>
  <c r="J14" i="7"/>
  <c r="K14" i="7" s="1"/>
  <c r="M14" i="7" s="1"/>
  <c r="G14" i="7" s="1"/>
  <c r="J13" i="7"/>
  <c r="L13" i="7" s="1"/>
  <c r="F13" i="7" s="1"/>
  <c r="L12" i="7"/>
  <c r="F12" i="7" s="1"/>
  <c r="J11" i="7"/>
  <c r="L11" i="7" s="1"/>
  <c r="F11" i="7" s="1"/>
  <c r="J10" i="7"/>
  <c r="L10" i="7" s="1"/>
  <c r="F10" i="7" s="1"/>
  <c r="J9" i="7"/>
  <c r="K9" i="7" s="1"/>
  <c r="M9" i="7" s="1"/>
  <c r="G9" i="7" s="1"/>
  <c r="J8" i="7"/>
  <c r="J7" i="7"/>
  <c r="L7" i="7" s="1"/>
  <c r="F7" i="7" s="1"/>
  <c r="J6" i="7"/>
  <c r="A2" i="7"/>
  <c r="I52" i="7"/>
  <c r="H52" i="7"/>
  <c r="M51" i="7"/>
  <c r="G51" i="7" s="1"/>
  <c r="L50" i="7"/>
  <c r="F50" i="7" s="1"/>
  <c r="M49" i="7"/>
  <c r="G49" i="7" s="1"/>
  <c r="L49" i="7"/>
  <c r="F49" i="7" s="1"/>
  <c r="L48" i="7"/>
  <c r="F48" i="7" s="1"/>
  <c r="L47" i="7"/>
  <c r="F47" i="7" s="1"/>
  <c r="L46" i="7"/>
  <c r="F46" i="7" s="1"/>
  <c r="L35" i="7"/>
  <c r="F35" i="7" s="1"/>
  <c r="L34" i="7"/>
  <c r="F34" i="7" s="1"/>
  <c r="L33" i="7"/>
  <c r="F33" i="7" s="1"/>
  <c r="L32" i="7"/>
  <c r="F32" i="7" s="1"/>
  <c r="M32" i="7"/>
  <c r="G32" i="7" s="1"/>
  <c r="B2" i="6"/>
  <c r="A2" i="13" s="1"/>
  <c r="M3" i="6"/>
  <c r="E19" i="6" l="1"/>
  <c r="F19" i="6" s="1"/>
  <c r="K27" i="7"/>
  <c r="M27" i="7" s="1"/>
  <c r="G27" i="7" s="1"/>
  <c r="L8" i="7"/>
  <c r="F8" i="7" s="1"/>
  <c r="J52" i="7"/>
  <c r="G9" i="6"/>
  <c r="L19" i="7"/>
  <c r="F19" i="7" s="1"/>
  <c r="K17" i="7"/>
  <c r="M17" i="7" s="1"/>
  <c r="G17" i="7" s="1"/>
  <c r="AN84" i="8"/>
  <c r="K24" i="7"/>
  <c r="M24" i="7" s="1"/>
  <c r="G24" i="7" s="1"/>
  <c r="K37" i="7"/>
  <c r="M37" i="7" s="1"/>
  <c r="G37" i="7" s="1"/>
  <c r="K38" i="7"/>
  <c r="M38" i="7" s="1"/>
  <c r="G38" i="7" s="1"/>
  <c r="K41" i="7"/>
  <c r="M41" i="7" s="1"/>
  <c r="G41" i="7" s="1"/>
  <c r="K42" i="7"/>
  <c r="M42" i="7" s="1"/>
  <c r="G42" i="7" s="1"/>
  <c r="L43" i="7"/>
  <c r="F43" i="7" s="1"/>
  <c r="K43" i="7"/>
  <c r="M43" i="7" s="1"/>
  <c r="G43" i="7" s="1"/>
  <c r="L9" i="7"/>
  <c r="F9" i="7" s="1"/>
  <c r="K39" i="7"/>
  <c r="K40" i="7"/>
  <c r="M40" i="7" s="1"/>
  <c r="G40" i="7" s="1"/>
  <c r="K11" i="7"/>
  <c r="M11" i="7" s="1"/>
  <c r="G11" i="7" s="1"/>
  <c r="K29" i="7"/>
  <c r="M29" i="7" s="1"/>
  <c r="G29" i="7" s="1"/>
  <c r="K31" i="7"/>
  <c r="M31" i="7" s="1"/>
  <c r="G31" i="7" s="1"/>
  <c r="K36" i="7"/>
  <c r="M36" i="7" s="1"/>
  <c r="G36" i="7" s="1"/>
  <c r="E7" i="6"/>
  <c r="G7" i="6" s="1"/>
  <c r="I7" i="6" s="1"/>
  <c r="J7" i="6" s="1"/>
  <c r="K8" i="7"/>
  <c r="E5" i="6"/>
  <c r="L28" i="7"/>
  <c r="F28" i="7" s="1"/>
  <c r="L25" i="7"/>
  <c r="F25" i="7" s="1"/>
  <c r="AP84" i="8"/>
  <c r="L41" i="7"/>
  <c r="F41" i="7" s="1"/>
  <c r="L39" i="7"/>
  <c r="F39" i="7" s="1"/>
  <c r="K7" i="7"/>
  <c r="M7" i="7" s="1"/>
  <c r="G7" i="7" s="1"/>
  <c r="K15" i="7"/>
  <c r="M15" i="7" s="1"/>
  <c r="G15" i="7" s="1"/>
  <c r="K23" i="7"/>
  <c r="M23" i="7" s="1"/>
  <c r="G23" i="7" s="1"/>
  <c r="K16" i="7"/>
  <c r="M16" i="7" s="1"/>
  <c r="G16" i="7" s="1"/>
  <c r="K6" i="7"/>
  <c r="L6" i="7"/>
  <c r="L14" i="7"/>
  <c r="F14" i="7" s="1"/>
  <c r="L22" i="7"/>
  <c r="F22" i="7" s="1"/>
  <c r="L30" i="7"/>
  <c r="F30" i="7" s="1"/>
  <c r="L37" i="7"/>
  <c r="F37" i="7" s="1"/>
  <c r="L44" i="7"/>
  <c r="F44" i="7" s="1"/>
  <c r="L51" i="7"/>
  <c r="F51" i="7" s="1"/>
  <c r="K12" i="7"/>
  <c r="M12" i="7" s="1"/>
  <c r="G12" i="7" s="1"/>
  <c r="K20" i="7"/>
  <c r="M20" i="7" s="1"/>
  <c r="G20" i="7" s="1"/>
  <c r="K28" i="7"/>
  <c r="M35" i="7"/>
  <c r="G35" i="7" s="1"/>
  <c r="L42" i="7"/>
  <c r="F42" i="7" s="1"/>
  <c r="L31" i="7"/>
  <c r="F31" i="7" s="1"/>
  <c r="L38" i="7"/>
  <c r="F38" i="7" s="1"/>
  <c r="L40" i="7"/>
  <c r="F40" i="7" s="1"/>
  <c r="K18" i="7"/>
  <c r="M18" i="7" s="1"/>
  <c r="G18" i="7" s="1"/>
  <c r="L26" i="7"/>
  <c r="F26" i="7" s="1"/>
  <c r="L45" i="7"/>
  <c r="F45" i="7" s="1"/>
  <c r="K10" i="7"/>
  <c r="M10" i="7" s="1"/>
  <c r="G10" i="7" s="1"/>
  <c r="K13" i="7"/>
  <c r="M13" i="7" s="1"/>
  <c r="G13" i="7" s="1"/>
  <c r="K21" i="7"/>
  <c r="M21" i="7" s="1"/>
  <c r="G21" i="7" s="1"/>
  <c r="L29" i="7"/>
  <c r="F29" i="7" s="1"/>
  <c r="L36" i="7"/>
  <c r="F36" i="7" s="1"/>
  <c r="G23" i="6"/>
  <c r="I22" i="6"/>
  <c r="J22" i="6" s="1"/>
  <c r="I17" i="6"/>
  <c r="I15" i="6"/>
  <c r="J15" i="6" s="1"/>
  <c r="G12" i="6"/>
  <c r="M8" i="7" l="1"/>
  <c r="G8" i="7" s="1"/>
  <c r="G5" i="6"/>
  <c r="I23" i="6"/>
  <c r="J23" i="6" s="1"/>
  <c r="E11" i="2"/>
  <c r="G6" i="6"/>
  <c r="M39" i="7"/>
  <c r="G39" i="7" s="1"/>
  <c r="M28" i="7"/>
  <c r="G28" i="7" s="1"/>
  <c r="L52" i="7"/>
  <c r="F6" i="7"/>
  <c r="F52" i="7" s="1"/>
  <c r="K52" i="7"/>
  <c r="M6" i="7"/>
  <c r="F11" i="6"/>
  <c r="J11" i="6"/>
  <c r="F10" i="6"/>
  <c r="I12" i="6"/>
  <c r="J12" i="6" s="1"/>
  <c r="J10" i="6"/>
  <c r="F6" i="5"/>
  <c r="F7" i="5"/>
  <c r="F8" i="5"/>
  <c r="F9" i="5"/>
  <c r="F10" i="5"/>
  <c r="F11" i="5"/>
  <c r="F5" i="5"/>
  <c r="E15" i="5"/>
  <c r="E3" i="2"/>
  <c r="D3" i="2"/>
  <c r="I5" i="6" l="1"/>
  <c r="G8" i="6"/>
  <c r="I8" i="6" s="1"/>
  <c r="E12" i="2"/>
  <c r="D12" i="2" s="1"/>
  <c r="J8" i="6"/>
  <c r="I9" i="6"/>
  <c r="J9" i="6" s="1"/>
  <c r="G13" i="6"/>
  <c r="F6" i="6"/>
  <c r="I6" i="6"/>
  <c r="J6" i="6" s="1"/>
  <c r="F9" i="6"/>
  <c r="J5" i="6"/>
  <c r="F5" i="6"/>
  <c r="M52" i="7"/>
  <c r="G6" i="7"/>
  <c r="G52" i="7" s="1"/>
  <c r="F13" i="5"/>
  <c r="F15" i="5"/>
  <c r="D11" i="2"/>
  <c r="D10" i="2"/>
  <c r="D9" i="2"/>
  <c r="D7" i="2"/>
  <c r="G14" i="6" l="1"/>
  <c r="G18" i="6" s="1"/>
  <c r="I13" i="6"/>
  <c r="G24" i="6" l="1"/>
  <c r="G25" i="6" s="1"/>
  <c r="I14" i="6"/>
  <c r="I18" i="6" s="1"/>
  <c r="I24" i="6" s="1"/>
  <c r="I25" i="6" s="1"/>
  <c r="J14" i="6" l="1"/>
  <c r="J18" i="6" s="1"/>
  <c r="J24" i="6" s="1"/>
  <c r="E8" i="2" l="1"/>
  <c r="D8" i="2" s="1"/>
  <c r="J25" i="6" l="1"/>
  <c r="E5" i="2" s="1"/>
  <c r="D5" i="2" s="1"/>
  <c r="E13" i="2"/>
  <c r="D13" i="2" s="1"/>
  <c r="E6" i="2" l="1"/>
  <c r="D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KCENC</author>
  </authors>
  <commentList>
    <comment ref="E5" authorId="0" shapeId="0" xr:uid="{00000000-0006-0000-0500-000001000000}">
      <text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연락처로
급여명세서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발송됨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<sst xmlns="http://schemas.openxmlformats.org/spreadsheetml/2006/main" count="1487" uniqueCount="709">
  <si>
    <t>용 역 청 구 서</t>
    <phoneticPr fontId="5" type="noConversion"/>
  </si>
  <si>
    <t>용 역 청 구 서</t>
    <phoneticPr fontId="5" type="noConversion"/>
  </si>
  <si>
    <t>공      사      명</t>
    <phoneticPr fontId="8" type="noConversion"/>
  </si>
  <si>
    <t>:</t>
    <phoneticPr fontId="8" type="noConversion"/>
  </si>
  <si>
    <t>공               종</t>
    <phoneticPr fontId="8" type="noConversion"/>
  </si>
  <si>
    <t xml:space="preserve"> 외주용역(M/M부분)</t>
    <phoneticPr fontId="3" type="noConversion"/>
  </si>
  <si>
    <t>계   약    금   액</t>
    <phoneticPr fontId="8" type="noConversion"/>
  </si>
  <si>
    <t>(VAT 별도)</t>
    <phoneticPr fontId="8" type="noConversion"/>
  </si>
  <si>
    <t>누 계 기 성 금 액</t>
    <phoneticPr fontId="8" type="noConversion"/>
  </si>
  <si>
    <t>(VAT 별도)</t>
    <phoneticPr fontId="8" type="noConversion"/>
  </si>
  <si>
    <t>전 회 기 성 금 액</t>
    <phoneticPr fontId="8" type="noConversion"/>
  </si>
  <si>
    <t>:</t>
    <phoneticPr fontId="8" type="noConversion"/>
  </si>
  <si>
    <t>(VAT 별도)</t>
    <phoneticPr fontId="8" type="noConversion"/>
  </si>
  <si>
    <t>금 회 기 성 금 액</t>
    <phoneticPr fontId="8" type="noConversion"/>
  </si>
  <si>
    <t>(VAT 별도)</t>
    <phoneticPr fontId="8" type="noConversion"/>
  </si>
  <si>
    <t>선      금       액</t>
    <phoneticPr fontId="8" type="noConversion"/>
  </si>
  <si>
    <t>:</t>
    <phoneticPr fontId="8" type="noConversion"/>
  </si>
  <si>
    <t xml:space="preserve">선 금 전 회 공 제    </t>
    <phoneticPr fontId="8" type="noConversion"/>
  </si>
  <si>
    <t>:</t>
    <phoneticPr fontId="3" type="noConversion"/>
  </si>
  <si>
    <t>선 금 금 회 공 제</t>
    <phoneticPr fontId="8" type="noConversion"/>
  </si>
  <si>
    <t>선 금 잔 여 금 액</t>
    <phoneticPr fontId="8" type="noConversion"/>
  </si>
  <si>
    <t>금 회 청 구 금 액</t>
    <phoneticPr fontId="8" type="noConversion"/>
  </si>
  <si>
    <t>:</t>
    <phoneticPr fontId="8" type="noConversion"/>
  </si>
  <si>
    <t>잔 여 기 성 금 액</t>
    <phoneticPr fontId="8" type="noConversion"/>
  </si>
  <si>
    <t xml:space="preserve">공      정      율      </t>
    <phoneticPr fontId="5" type="noConversion"/>
  </si>
  <si>
    <t>:</t>
    <phoneticPr fontId="3" type="noConversion"/>
  </si>
  <si>
    <t xml:space="preserve">청 구 공 사 기 간 </t>
    <phoneticPr fontId="3" type="noConversion"/>
  </si>
  <si>
    <t>:</t>
    <phoneticPr fontId="3" type="noConversion"/>
  </si>
  <si>
    <t>위 공사의 하도급에 있어서 공사설계도서, 시방서,품질관리 기준 및 약정대로 시공 되었음을 확인하오며. 만약 귀사의 현장담당의 검사에</t>
    <phoneticPr fontId="8" type="noConversion"/>
  </si>
  <si>
    <t>관하여 하자가 발견된 때에는 즉시 실액배상 또는 재 시공할것을 서약하고 이에 기성 청구서를 제출합니다.</t>
    <phoneticPr fontId="8" type="noConversion"/>
  </si>
  <si>
    <t>상기건과 관련하여 본 청구 이전까지의 모든 대금은 수령하였음을 확약합니다.</t>
    <phoneticPr fontId="3" type="noConversion"/>
  </si>
  <si>
    <t>상      호 :</t>
    <phoneticPr fontId="8" type="noConversion"/>
  </si>
  <si>
    <t xml:space="preserve">※첨  부 : 기성내역서            1부. </t>
    <phoneticPr fontId="8" type="noConversion"/>
  </si>
  <si>
    <t>주      소 :</t>
    <phoneticPr fontId="8" type="noConversion"/>
  </si>
  <si>
    <t>대표이사 :</t>
    <phoneticPr fontId="8" type="noConversion"/>
  </si>
  <si>
    <t>㈜케이씨이앤씨 귀하</t>
    <phoneticPr fontId="8" type="noConversion"/>
  </si>
  <si>
    <t>소   장</t>
    <phoneticPr fontId="3" type="noConversion"/>
  </si>
  <si>
    <t>공   사</t>
    <phoneticPr fontId="3" type="noConversion"/>
  </si>
  <si>
    <t>공   무</t>
    <phoneticPr fontId="3" type="noConversion"/>
  </si>
  <si>
    <t>(서명)</t>
    <phoneticPr fontId="3" type="noConversion"/>
  </si>
  <si>
    <t>현 장
확 인</t>
    <phoneticPr fontId="3" type="noConversion"/>
  </si>
  <si>
    <t>Frontier 사업부
GNP 본부장</t>
    <phoneticPr fontId="3" type="noConversion"/>
  </si>
  <si>
    <t>BOC
센터장</t>
    <phoneticPr fontId="3" type="noConversion"/>
  </si>
  <si>
    <t>담   당</t>
    <phoneticPr fontId="3" type="noConversion"/>
  </si>
  <si>
    <t>검   토</t>
    <phoneticPr fontId="3" type="noConversion"/>
  </si>
  <si>
    <t>검   토</t>
    <phoneticPr fontId="3" type="noConversion"/>
  </si>
  <si>
    <t>Frontier
사업부장</t>
    <phoneticPr fontId="3" type="noConversion"/>
  </si>
  <si>
    <t>본
사</t>
    <phoneticPr fontId="3" type="noConversion"/>
  </si>
  <si>
    <t>사
업
부</t>
    <phoneticPr fontId="3" type="noConversion"/>
  </si>
  <si>
    <t>구   분</t>
    <phoneticPr fontId="3" type="noConversion"/>
  </si>
  <si>
    <t>품 질</t>
    <phoneticPr fontId="3" type="noConversion"/>
  </si>
  <si>
    <t>공 무</t>
    <phoneticPr fontId="3" type="noConversion"/>
  </si>
  <si>
    <t>확   인</t>
    <phoneticPr fontId="3" type="noConversion"/>
  </si>
  <si>
    <t>O O O     (인)</t>
    <phoneticPr fontId="3" type="noConversion"/>
  </si>
  <si>
    <t>SIZE</t>
    <phoneticPr fontId="3" type="noConversion"/>
  </si>
  <si>
    <t>A(mm)</t>
    <phoneticPr fontId="3" type="noConversion"/>
  </si>
  <si>
    <t>Inch</t>
    <phoneticPr fontId="3" type="noConversion"/>
  </si>
  <si>
    <t>8A</t>
    <phoneticPr fontId="3" type="noConversion"/>
  </si>
  <si>
    <t>15A</t>
    <phoneticPr fontId="3" type="noConversion"/>
  </si>
  <si>
    <t>20A</t>
    <phoneticPr fontId="3" type="noConversion"/>
  </si>
  <si>
    <t>25A</t>
    <phoneticPr fontId="3" type="noConversion"/>
  </si>
  <si>
    <t>32A</t>
    <phoneticPr fontId="3" type="noConversion"/>
  </si>
  <si>
    <t>40A</t>
    <phoneticPr fontId="3" type="noConversion"/>
  </si>
  <si>
    <t>50A</t>
    <phoneticPr fontId="3" type="noConversion"/>
  </si>
  <si>
    <t>65A</t>
    <phoneticPr fontId="3" type="noConversion"/>
  </si>
  <si>
    <t>80A</t>
    <phoneticPr fontId="3" type="noConversion"/>
  </si>
  <si>
    <t>100A</t>
    <phoneticPr fontId="3" type="noConversion"/>
  </si>
  <si>
    <t>110A</t>
    <phoneticPr fontId="3" type="noConversion"/>
  </si>
  <si>
    <t>125A</t>
    <phoneticPr fontId="3" type="noConversion"/>
  </si>
  <si>
    <t>150A</t>
    <phoneticPr fontId="3" type="noConversion"/>
  </si>
  <si>
    <t>175A</t>
    <phoneticPr fontId="3" type="noConversion"/>
  </si>
  <si>
    <t>200A</t>
    <phoneticPr fontId="3" type="noConversion"/>
  </si>
  <si>
    <t>225A</t>
    <phoneticPr fontId="3" type="noConversion"/>
  </si>
  <si>
    <t>250A</t>
    <phoneticPr fontId="3" type="noConversion"/>
  </si>
  <si>
    <t>300A</t>
    <phoneticPr fontId="3" type="noConversion"/>
  </si>
  <si>
    <t>350A</t>
    <phoneticPr fontId="3" type="noConversion"/>
  </si>
  <si>
    <t>400A</t>
    <phoneticPr fontId="3" type="noConversion"/>
  </si>
  <si>
    <t>450A</t>
    <phoneticPr fontId="3" type="noConversion"/>
  </si>
  <si>
    <t>500A</t>
    <phoneticPr fontId="3" type="noConversion"/>
  </si>
  <si>
    <t>550A</t>
    <phoneticPr fontId="3" type="noConversion"/>
  </si>
  <si>
    <t>용 역 내 역 서</t>
    <phoneticPr fontId="3" type="noConversion"/>
  </si>
  <si>
    <t>P4 Ph4 GAS 1공구 마감공사</t>
    <phoneticPr fontId="3" type="noConversion"/>
  </si>
  <si>
    <t>단위 : 원</t>
    <phoneticPr fontId="3" type="noConversion"/>
  </si>
  <si>
    <t>품          명</t>
    <phoneticPr fontId="3" type="noConversion"/>
  </si>
  <si>
    <t>규   격</t>
    <phoneticPr fontId="3" type="noConversion"/>
  </si>
  <si>
    <t>단위</t>
    <phoneticPr fontId="3" type="noConversion"/>
  </si>
  <si>
    <t>단  가</t>
    <phoneticPr fontId="3" type="noConversion"/>
  </si>
  <si>
    <t>금 회 청 구</t>
    <phoneticPr fontId="3" type="noConversion"/>
  </si>
  <si>
    <t>수 량</t>
    <phoneticPr fontId="3" type="noConversion"/>
  </si>
  <si>
    <t>금 액</t>
    <phoneticPr fontId="3" type="noConversion"/>
  </si>
  <si>
    <t>비  고</t>
    <phoneticPr fontId="3" type="noConversion"/>
  </si>
  <si>
    <t>고급기술인</t>
    <phoneticPr fontId="3" type="noConversion"/>
  </si>
  <si>
    <t>S+</t>
    <phoneticPr fontId="3" type="noConversion"/>
  </si>
  <si>
    <t>M/M</t>
    <phoneticPr fontId="3" type="noConversion"/>
  </si>
  <si>
    <t>S</t>
    <phoneticPr fontId="3" type="noConversion"/>
  </si>
  <si>
    <t>M/M</t>
    <phoneticPr fontId="3" type="noConversion"/>
  </si>
  <si>
    <t>중급기술인</t>
    <phoneticPr fontId="3" type="noConversion"/>
  </si>
  <si>
    <t>A+</t>
    <phoneticPr fontId="3" type="noConversion"/>
  </si>
  <si>
    <t>중급기술인</t>
    <phoneticPr fontId="3" type="noConversion"/>
  </si>
  <si>
    <t>A</t>
    <phoneticPr fontId="3" type="noConversion"/>
  </si>
  <si>
    <t>M/M</t>
    <phoneticPr fontId="3" type="noConversion"/>
  </si>
  <si>
    <t>B+</t>
    <phoneticPr fontId="3" type="noConversion"/>
  </si>
  <si>
    <t>중급기술인</t>
    <phoneticPr fontId="3" type="noConversion"/>
  </si>
  <si>
    <t>B</t>
    <phoneticPr fontId="3" type="noConversion"/>
  </si>
  <si>
    <t>초급 기술인</t>
    <phoneticPr fontId="3" type="noConversion"/>
  </si>
  <si>
    <t>C</t>
    <phoneticPr fontId="3" type="noConversion"/>
  </si>
  <si>
    <t>M/M</t>
    <phoneticPr fontId="3" type="noConversion"/>
  </si>
  <si>
    <t>인센티브</t>
    <phoneticPr fontId="3" type="noConversion"/>
  </si>
  <si>
    <t>총   계</t>
    <phoneticPr fontId="3" type="noConversion"/>
  </si>
  <si>
    <t>구분</t>
    <phoneticPr fontId="3" type="noConversion"/>
  </si>
  <si>
    <t>내역</t>
    <phoneticPr fontId="3" type="noConversion"/>
  </si>
  <si>
    <t>단위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</si>
  <si>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</si>
  <si>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</si>
  <si>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</si>
  <si>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전회기성</t>
    <phoneticPr fontId="3" type="noConversion"/>
  </si>
  <si>
    <t>금회기성</t>
    <phoneticPr fontId="3" type="noConversion"/>
  </si>
  <si>
    <t>누계기성</t>
    <phoneticPr fontId="3" type="noConversion"/>
  </si>
  <si>
    <t>비   고</t>
    <phoneticPr fontId="3" type="noConversion"/>
  </si>
  <si>
    <t xml:space="preserve"> 1. 물량</t>
    <phoneticPr fontId="3" type="noConversion"/>
  </si>
  <si>
    <t>WELDING POINT</t>
    <phoneticPr fontId="3" type="noConversion"/>
  </si>
  <si>
    <t>D/I</t>
    <phoneticPr fontId="3" type="noConversion"/>
  </si>
  <si>
    <t>VALVE 설치비</t>
    <phoneticPr fontId="3" type="noConversion"/>
  </si>
  <si>
    <t>EA</t>
    <phoneticPr fontId="3" type="noConversion"/>
  </si>
  <si>
    <t>인원 실투입</t>
    <phoneticPr fontId="3" type="noConversion"/>
  </si>
  <si>
    <t>M/D</t>
    <phoneticPr fontId="3" type="noConversion"/>
  </si>
  <si>
    <t>式</t>
    <phoneticPr fontId="3" type="noConversion"/>
  </si>
  <si>
    <t>소 계</t>
    <phoneticPr fontId="3" type="noConversion"/>
  </si>
  <si>
    <t>물량</t>
    <phoneticPr fontId="3" type="noConversion"/>
  </si>
  <si>
    <t>직접노무비</t>
    <phoneticPr fontId="3" type="noConversion"/>
  </si>
  <si>
    <t>式</t>
    <phoneticPr fontId="3" type="noConversion"/>
  </si>
  <si>
    <t>임대료+관리비</t>
    <phoneticPr fontId="3" type="noConversion"/>
  </si>
  <si>
    <t>식대</t>
    <phoneticPr fontId="3" type="noConversion"/>
  </si>
  <si>
    <t>式</t>
    <phoneticPr fontId="3" type="noConversion"/>
  </si>
  <si>
    <t>소 계</t>
    <phoneticPr fontId="3" type="noConversion"/>
  </si>
  <si>
    <t>공제</t>
    <phoneticPr fontId="3" type="noConversion"/>
  </si>
  <si>
    <t>합 계</t>
    <phoneticPr fontId="3" type="noConversion"/>
  </si>
  <si>
    <t>기성 (물량-공제)</t>
    <phoneticPr fontId="3" type="noConversion"/>
  </si>
  <si>
    <t>기성금*XX%</t>
    <phoneticPr fontId="3" type="noConversion"/>
  </si>
  <si>
    <t>式</t>
    <phoneticPr fontId="3" type="noConversion"/>
  </si>
  <si>
    <t>NEGO</t>
    <phoneticPr fontId="3" type="noConversion"/>
  </si>
  <si>
    <t>式</t>
    <phoneticPr fontId="3" type="noConversion"/>
  </si>
  <si>
    <t>총 계</t>
    <phoneticPr fontId="3" type="noConversion"/>
  </si>
  <si>
    <t>최종기성</t>
    <phoneticPr fontId="3" type="noConversion"/>
  </si>
  <si>
    <t>선급금</t>
    <phoneticPr fontId="3" type="noConversion"/>
  </si>
  <si>
    <t>선수공제</t>
    <phoneticPr fontId="3" type="noConversion"/>
  </si>
  <si>
    <t>지급 선급금</t>
    <phoneticPr fontId="3" type="noConversion"/>
  </si>
  <si>
    <t>선급금 차액</t>
    <phoneticPr fontId="3" type="noConversion"/>
  </si>
  <si>
    <t>단수정리</t>
    <phoneticPr fontId="3" type="noConversion"/>
  </si>
  <si>
    <t>만 단위 이하 절사</t>
    <phoneticPr fontId="3" type="noConversion"/>
  </si>
  <si>
    <t>공제 후 실 지급액</t>
    <phoneticPr fontId="3" type="noConversion"/>
  </si>
  <si>
    <t>세금계산서 기준</t>
    <phoneticPr fontId="3" type="noConversion"/>
  </si>
  <si>
    <t>TERMS AND CONDITIONS</t>
    <phoneticPr fontId="3" type="noConversion"/>
  </si>
  <si>
    <t>NOTE</t>
    <phoneticPr fontId="3" type="noConversion"/>
  </si>
  <si>
    <t>1. 납      기 : KCEnC 지정 납기로 별도 협의 하에 결정하는 것으로 함.</t>
    <phoneticPr fontId="3" type="noConversion"/>
  </si>
  <si>
    <t>2. 지불조건 : KCEnC 지불 조건에 따름.</t>
    <phoneticPr fontId="3" type="noConversion"/>
  </si>
  <si>
    <t>3. 유효기간 : 기성 제출일로 부터 30일 이내</t>
    <phoneticPr fontId="3" type="noConversion"/>
  </si>
  <si>
    <t>단위 : 원</t>
    <phoneticPr fontId="3" type="noConversion"/>
  </si>
  <si>
    <t>품     명</t>
    <phoneticPr fontId="3" type="noConversion"/>
  </si>
  <si>
    <t>규   격</t>
    <phoneticPr fontId="3" type="noConversion"/>
  </si>
  <si>
    <t>단위</t>
    <phoneticPr fontId="3" type="noConversion"/>
  </si>
  <si>
    <t>W/P
수량</t>
    <phoneticPr fontId="3" type="noConversion"/>
  </si>
  <si>
    <t>단   가</t>
    <phoneticPr fontId="3" type="noConversion"/>
  </si>
  <si>
    <t>계 약 내 역</t>
    <phoneticPr fontId="3" type="noConversion"/>
  </si>
  <si>
    <t>전 회 누 계 물 량</t>
    <phoneticPr fontId="3" type="noConversion"/>
  </si>
  <si>
    <t>금 회 물 량</t>
    <phoneticPr fontId="3" type="noConversion"/>
  </si>
  <si>
    <t>누 계 물 량</t>
    <phoneticPr fontId="3" type="noConversion"/>
  </si>
  <si>
    <t>D/I 수량</t>
    <phoneticPr fontId="3" type="noConversion"/>
  </si>
  <si>
    <t>금액</t>
    <phoneticPr fontId="3" type="noConversion"/>
  </si>
  <si>
    <t>금액</t>
    <phoneticPr fontId="3" type="noConversion"/>
  </si>
  <si>
    <t>WEDING POINT</t>
    <phoneticPr fontId="3" type="noConversion"/>
  </si>
  <si>
    <t>8A</t>
  </si>
  <si>
    <t>POINT</t>
    <phoneticPr fontId="3" type="noConversion"/>
  </si>
  <si>
    <t>WEDING POINT</t>
    <phoneticPr fontId="3" type="noConversion"/>
  </si>
  <si>
    <t>15A</t>
  </si>
  <si>
    <t>POINT</t>
    <phoneticPr fontId="3" type="noConversion"/>
  </si>
  <si>
    <t>20A</t>
  </si>
  <si>
    <t>25A</t>
  </si>
  <si>
    <t>32A</t>
  </si>
  <si>
    <t>40A</t>
  </si>
  <si>
    <t>50A</t>
  </si>
  <si>
    <t>65A</t>
  </si>
  <si>
    <t>80A</t>
  </si>
  <si>
    <t>WEDING POINT</t>
    <phoneticPr fontId="3" type="noConversion"/>
  </si>
  <si>
    <t>100A</t>
  </si>
  <si>
    <t>110A</t>
  </si>
  <si>
    <t>125A</t>
  </si>
  <si>
    <t>150A</t>
  </si>
  <si>
    <t>175A</t>
  </si>
  <si>
    <t>200A</t>
  </si>
  <si>
    <t>225A</t>
  </si>
  <si>
    <t>250A</t>
  </si>
  <si>
    <t>POINT</t>
    <phoneticPr fontId="3" type="noConversion"/>
  </si>
  <si>
    <t>300A</t>
  </si>
  <si>
    <t>POINT</t>
    <phoneticPr fontId="3" type="noConversion"/>
  </si>
  <si>
    <t>WEDING POINT</t>
    <phoneticPr fontId="3" type="noConversion"/>
  </si>
  <si>
    <t>350A</t>
  </si>
  <si>
    <t>400A</t>
  </si>
  <si>
    <t>450A</t>
  </si>
  <si>
    <t>POINT</t>
    <phoneticPr fontId="3" type="noConversion"/>
  </si>
  <si>
    <t>500A</t>
  </si>
  <si>
    <t>550A</t>
  </si>
  <si>
    <t>VALVE 설치비</t>
    <phoneticPr fontId="3" type="noConversion"/>
  </si>
  <si>
    <t>EA</t>
    <phoneticPr fontId="3" type="noConversion"/>
  </si>
  <si>
    <t>VALVE 설치비</t>
    <phoneticPr fontId="3" type="noConversion"/>
  </si>
  <si>
    <t>VALVE 설치비</t>
    <phoneticPr fontId="3" type="noConversion"/>
  </si>
  <si>
    <t>VALVE 설치비</t>
    <phoneticPr fontId="3" type="noConversion"/>
  </si>
  <si>
    <t>EA</t>
    <phoneticPr fontId="3" type="noConversion"/>
  </si>
  <si>
    <t>EA</t>
    <phoneticPr fontId="3" type="noConversion"/>
  </si>
  <si>
    <t>EA</t>
    <phoneticPr fontId="3" type="noConversion"/>
  </si>
  <si>
    <t>합   계</t>
    <phoneticPr fontId="3" type="noConversion"/>
  </si>
  <si>
    <t>현장명</t>
    <phoneticPr fontId="3" type="noConversion"/>
  </si>
  <si>
    <t>현장소장</t>
    <phoneticPr fontId="3" type="noConversion"/>
  </si>
  <si>
    <t>잡코드</t>
    <phoneticPr fontId="3" type="noConversion"/>
  </si>
  <si>
    <t>번호</t>
    <phoneticPr fontId="3" type="noConversion"/>
  </si>
  <si>
    <t>성명</t>
    <phoneticPr fontId="3" type="noConversion"/>
  </si>
  <si>
    <t>주민등록번호</t>
    <phoneticPr fontId="3" type="noConversion"/>
  </si>
  <si>
    <t>직종</t>
    <phoneticPr fontId="3" type="noConversion"/>
  </si>
  <si>
    <t>연락처(H.P)</t>
    <phoneticPr fontId="3" type="noConversion"/>
  </si>
  <si>
    <t>은행명</t>
    <phoneticPr fontId="3" type="noConversion"/>
  </si>
  <si>
    <t>예금주</t>
    <phoneticPr fontId="3" type="noConversion"/>
  </si>
  <si>
    <t>계좌번호</t>
    <phoneticPr fontId="3" type="noConversion"/>
  </si>
  <si>
    <t>공수</t>
    <phoneticPr fontId="3" type="noConversion"/>
  </si>
  <si>
    <t>단가</t>
    <phoneticPr fontId="3" type="noConversion"/>
  </si>
  <si>
    <t>총액</t>
    <phoneticPr fontId="3" type="noConversion"/>
  </si>
  <si>
    <t>보통인부</t>
  </si>
  <si>
    <t>국민</t>
  </si>
  <si>
    <t>용접공</t>
  </si>
  <si>
    <t>배관공</t>
  </si>
  <si>
    <t>농협</t>
  </si>
  <si>
    <t>신한</t>
  </si>
  <si>
    <t>총   합   계</t>
    <phoneticPr fontId="3" type="noConversion"/>
  </si>
  <si>
    <t>숙소 임차료</t>
    <phoneticPr fontId="3" type="noConversion"/>
  </si>
  <si>
    <t>No.</t>
    <phoneticPr fontId="3" type="noConversion"/>
  </si>
  <si>
    <t>납부일</t>
    <phoneticPr fontId="3" type="noConversion"/>
  </si>
  <si>
    <t>구분</t>
    <phoneticPr fontId="3" type="noConversion"/>
  </si>
  <si>
    <t>품명</t>
    <phoneticPr fontId="3" type="noConversion"/>
  </si>
  <si>
    <t>주소</t>
    <phoneticPr fontId="3" type="noConversion"/>
  </si>
  <si>
    <t>호수</t>
    <phoneticPr fontId="3" type="noConversion"/>
  </si>
  <si>
    <t>수량</t>
    <phoneticPr fontId="3" type="noConversion"/>
  </si>
  <si>
    <t>사용인원</t>
    <phoneticPr fontId="3" type="noConversion"/>
  </si>
  <si>
    <t>임차료</t>
    <phoneticPr fontId="3" type="noConversion"/>
  </si>
  <si>
    <t>비     고</t>
    <phoneticPr fontId="3" type="noConversion"/>
  </si>
  <si>
    <t>입력해야하는 항목 외 수정 금지</t>
    <phoneticPr fontId="5" type="noConversion"/>
  </si>
  <si>
    <t>KC대납 임대료</t>
  </si>
  <si>
    <t>301호</t>
  </si>
  <si>
    <t>KC 대납</t>
  </si>
  <si>
    <t>납부일</t>
    <phoneticPr fontId="5" type="noConversion"/>
  </si>
  <si>
    <t>구분</t>
    <phoneticPr fontId="5" type="noConversion"/>
  </si>
  <si>
    <t>품명</t>
    <phoneticPr fontId="5" type="noConversion"/>
  </si>
  <si>
    <t>주소</t>
    <phoneticPr fontId="5" type="noConversion"/>
  </si>
  <si>
    <t>호수</t>
    <phoneticPr fontId="5" type="noConversion"/>
  </si>
  <si>
    <t>수량</t>
    <phoneticPr fontId="5" type="noConversion"/>
  </si>
  <si>
    <t>사용인원</t>
    <phoneticPr fontId="5" type="noConversion"/>
  </si>
  <si>
    <t>■ 구분은 [KC대납 임대료 및 임대료] 이외 항목은 입력금지</t>
    <phoneticPr fontId="5" type="noConversion"/>
  </si>
  <si>
    <t>숙소 관리비</t>
    <phoneticPr fontId="3" type="noConversion"/>
  </si>
  <si>
    <t>No.</t>
    <phoneticPr fontId="3" type="noConversion"/>
  </si>
  <si>
    <t>구분</t>
    <phoneticPr fontId="3" type="noConversion"/>
  </si>
  <si>
    <t>주소</t>
    <phoneticPr fontId="3" type="noConversion"/>
  </si>
  <si>
    <t>수량</t>
    <phoneticPr fontId="3" type="noConversion"/>
  </si>
  <si>
    <t>사용인원</t>
    <phoneticPr fontId="3" type="noConversion"/>
  </si>
  <si>
    <t>비     고</t>
    <phoneticPr fontId="3" type="noConversion"/>
  </si>
  <si>
    <t>KC대납 관리비</t>
    <phoneticPr fontId="3" type="noConversion"/>
  </si>
  <si>
    <t>KC대납 관리비</t>
    <phoneticPr fontId="3" type="noConversion"/>
  </si>
  <si>
    <t>식대 비용</t>
    <phoneticPr fontId="3" type="noConversion"/>
  </si>
  <si>
    <t>No.</t>
    <phoneticPr fontId="3" type="noConversion"/>
  </si>
  <si>
    <t>납부일</t>
    <phoneticPr fontId="3" type="noConversion"/>
  </si>
  <si>
    <t>품명</t>
    <phoneticPr fontId="3" type="noConversion"/>
  </si>
  <si>
    <t xml:space="preserve"> 거래처명</t>
    <phoneticPr fontId="3" type="noConversion"/>
  </si>
  <si>
    <t>수량</t>
    <phoneticPr fontId="3" type="noConversion"/>
  </si>
  <si>
    <t>식수인원</t>
    <phoneticPr fontId="3" type="noConversion"/>
  </si>
  <si>
    <t>단가</t>
    <phoneticPr fontId="3" type="noConversion"/>
  </si>
  <si>
    <t>합   계</t>
    <phoneticPr fontId="3" type="noConversion"/>
  </si>
  <si>
    <t>입력해야하는 항목 외 수정 금지</t>
  </si>
  <si>
    <t>KC대납 식대</t>
  </si>
  <si>
    <t>기술인및관리자 (현장 식당)</t>
  </si>
  <si>
    <t>입력항목</t>
  </si>
  <si>
    <t>납부일</t>
  </si>
  <si>
    <t>구분</t>
  </si>
  <si>
    <t>품명</t>
  </si>
  <si>
    <t>거래처명</t>
  </si>
  <si>
    <t>수량</t>
  </si>
  <si>
    <t>식수인원</t>
  </si>
  <si>
    <t>단가</t>
  </si>
  <si>
    <t>■ 구분은 [KC대납 식대 및 식대] 이외 항목은 입력금지</t>
  </si>
  <si>
    <t>기타 비용</t>
    <phoneticPr fontId="3" type="noConversion"/>
  </si>
  <si>
    <t>No.</t>
    <phoneticPr fontId="3" type="noConversion"/>
  </si>
  <si>
    <t>구매일</t>
    <phoneticPr fontId="5" type="noConversion"/>
  </si>
  <si>
    <t>구분</t>
    <phoneticPr fontId="5" type="noConversion"/>
  </si>
  <si>
    <t>단가</t>
    <phoneticPr fontId="5" type="noConversion"/>
  </si>
  <si>
    <t>합계</t>
    <phoneticPr fontId="5" type="noConversion"/>
  </si>
  <si>
    <t>비고</t>
    <phoneticPr fontId="5" type="noConversion"/>
  </si>
  <si>
    <t>소모품비</t>
  </si>
  <si>
    <t>대성이엔지</t>
    <phoneticPr fontId="5" type="noConversion"/>
  </si>
  <si>
    <t>경기도 파주시 파주읍 주라위길 380</t>
    <phoneticPr fontId="3" type="noConversion"/>
  </si>
  <si>
    <t>정 성 기</t>
    <phoneticPr fontId="3" type="noConversion"/>
  </si>
  <si>
    <t>(인)</t>
    <phoneticPr fontId="8" type="noConversion"/>
  </si>
  <si>
    <t>우리</t>
  </si>
  <si>
    <t>기업</t>
  </si>
  <si>
    <t>202호</t>
  </si>
  <si>
    <t>202호</t>
    <phoneticPr fontId="3" type="noConversion"/>
  </si>
  <si>
    <t>301호</t>
    <phoneticPr fontId="3" type="noConversion"/>
  </si>
  <si>
    <t>관리비</t>
    <phoneticPr fontId="3" type="noConversion"/>
  </si>
  <si>
    <t>포세카</t>
    <phoneticPr fontId="3" type="noConversion"/>
  </si>
  <si>
    <t>미래공구</t>
    <phoneticPr fontId="3" type="noConversion"/>
  </si>
  <si>
    <t>거래명세서 첨부</t>
    <phoneticPr fontId="3" type="noConversion"/>
  </si>
  <si>
    <t>밥심</t>
    <phoneticPr fontId="3" type="noConversion"/>
  </si>
  <si>
    <t>하나</t>
  </si>
  <si>
    <t>우체국</t>
  </si>
  <si>
    <t>401호</t>
  </si>
  <si>
    <t>석임수</t>
  </si>
  <si>
    <t>911020-1685317</t>
  </si>
  <si>
    <t>공사보조</t>
    <phoneticPr fontId="3" type="noConversion"/>
  </si>
  <si>
    <t>안전보조</t>
    <phoneticPr fontId="3" type="noConversion"/>
  </si>
  <si>
    <t>238-910260-47407</t>
  </si>
  <si>
    <t>010-4183-1119</t>
  </si>
  <si>
    <t>보루 [5KG,면 [백호]]</t>
  </si>
  <si>
    <t>건전지 [AAA,2개 [벡셀]]</t>
  </si>
  <si>
    <t>절연테이프 [19*10m,검정,CTX [금성]]</t>
  </si>
  <si>
    <t>수세미 [MIGHTY BLUE PAD,녹색 [3M]]</t>
  </si>
  <si>
    <t>번호열쇠 [XD-40,4열 [자커]]</t>
  </si>
  <si>
    <t>총   계</t>
    <phoneticPr fontId="5" type="noConversion"/>
  </si>
  <si>
    <t>M/M</t>
  </si>
  <si>
    <t>C</t>
  </si>
  <si>
    <t>초급기술인</t>
  </si>
  <si>
    <t>B</t>
  </si>
  <si>
    <t>중급기술인</t>
  </si>
  <si>
    <t>B+</t>
  </si>
  <si>
    <t/>
  </si>
  <si>
    <t>A</t>
  </si>
  <si>
    <t>A+</t>
  </si>
  <si>
    <t>S</t>
  </si>
  <si>
    <t>고급기술인</t>
  </si>
  <si>
    <t>S+</t>
  </si>
  <si>
    <t>금  액</t>
    <phoneticPr fontId="5" type="noConversion"/>
  </si>
  <si>
    <t>수 량</t>
    <phoneticPr fontId="5" type="noConversion"/>
  </si>
  <si>
    <t>비 고</t>
    <phoneticPr fontId="51" type="noConversion"/>
  </si>
  <si>
    <t>금 회 청 구</t>
    <phoneticPr fontId="5" type="noConversion"/>
  </si>
  <si>
    <t>단 가</t>
    <phoneticPr fontId="5" type="noConversion"/>
  </si>
  <si>
    <t>단위</t>
  </si>
  <si>
    <t>규   격</t>
    <phoneticPr fontId="5" type="noConversion"/>
  </si>
  <si>
    <t>품          명</t>
  </si>
  <si>
    <t>단위 : 원</t>
    <phoneticPr fontId="5" type="noConversion"/>
  </si>
  <si>
    <t>용 역 내 역 서</t>
    <phoneticPr fontId="5" type="noConversion"/>
  </si>
  <si>
    <t>S26-001</t>
    <phoneticPr fontId="5" type="noConversion"/>
  </si>
  <si>
    <t>조 수 원</t>
    <phoneticPr fontId="3" type="noConversion"/>
  </si>
  <si>
    <t>강민석</t>
  </si>
  <si>
    <t>000819-3823434</t>
  </si>
  <si>
    <t>010-4796-2063</t>
  </si>
  <si>
    <t>110-552-336273</t>
  </si>
  <si>
    <t>강희수</t>
  </si>
  <si>
    <t>730210-1029411</t>
  </si>
  <si>
    <t>도비공</t>
  </si>
  <si>
    <t>010-9561-6101</t>
  </si>
  <si>
    <t>110-490-486591</t>
  </si>
  <si>
    <t>김금성</t>
  </si>
  <si>
    <t>870118-1162639</t>
  </si>
  <si>
    <t>010-5125-5154</t>
  </si>
  <si>
    <t>351-1130-0614-23</t>
  </si>
  <si>
    <t>김동욱</t>
  </si>
  <si>
    <t>810302-1830628</t>
  </si>
  <si>
    <t>010-5022-0444</t>
  </si>
  <si>
    <t>302-5022-0444-11</t>
  </si>
  <si>
    <t>김마태</t>
  </si>
  <si>
    <t>830224-1912010</t>
  </si>
  <si>
    <t>010-2725-6089</t>
  </si>
  <si>
    <t>175-073189-01-013</t>
  </si>
  <si>
    <t>김승태</t>
  </si>
  <si>
    <t>720112-1019646</t>
  </si>
  <si>
    <t>010-7166-5282</t>
  </si>
  <si>
    <t>토스뱅크</t>
  </si>
  <si>
    <t>1000-2078-6151</t>
  </si>
  <si>
    <t>김정인</t>
  </si>
  <si>
    <t>911224-1235320</t>
  </si>
  <si>
    <t>010-3175-7994</t>
  </si>
  <si>
    <t>김진</t>
  </si>
  <si>
    <t>840728-1235014</t>
  </si>
  <si>
    <t>010-6246-4588</t>
  </si>
  <si>
    <t>458-013758-02-012</t>
  </si>
  <si>
    <t>김치헌</t>
  </si>
  <si>
    <t>790914-1567115</t>
  </si>
  <si>
    <t>010-4191-6886</t>
  </si>
  <si>
    <t>257602-04-003063</t>
  </si>
  <si>
    <t>김형태</t>
  </si>
  <si>
    <t>700430-1069427</t>
  </si>
  <si>
    <t>010-3186-7175</t>
  </si>
  <si>
    <t>352-1156-5484-53</t>
  </si>
  <si>
    <t>남현빈</t>
  </si>
  <si>
    <t>990907-1842410</t>
  </si>
  <si>
    <t>010-7131-4342</t>
  </si>
  <si>
    <t>카카오뱅크</t>
  </si>
  <si>
    <t>3333-13-8378173</t>
  </si>
  <si>
    <t>빈상원</t>
  </si>
  <si>
    <t>810410-1522211</t>
  </si>
  <si>
    <t>010-8778-9123</t>
  </si>
  <si>
    <t>신협</t>
  </si>
  <si>
    <t>137-012-596819</t>
  </si>
  <si>
    <t>성지현</t>
  </si>
  <si>
    <t>861110-1351114</t>
  </si>
  <si>
    <t>010-9197-9732</t>
  </si>
  <si>
    <t>3333-01-9967097</t>
  </si>
  <si>
    <t>신민철</t>
  </si>
  <si>
    <t>830814-1183120</t>
  </si>
  <si>
    <t>010-7706-5000</t>
  </si>
  <si>
    <t>289-082628-01-018</t>
  </si>
  <si>
    <t>양정운</t>
  </si>
  <si>
    <t>821019-1449616</t>
  </si>
  <si>
    <t>010-3641-8181</t>
  </si>
  <si>
    <t>302-1350-3060-51</t>
  </si>
  <si>
    <t>양정인</t>
  </si>
  <si>
    <t>810207-1455012</t>
  </si>
  <si>
    <t>010-8824-6401</t>
  </si>
  <si>
    <t>472301-04-019277</t>
  </si>
  <si>
    <t>연승렬</t>
  </si>
  <si>
    <t>700216-1011916</t>
  </si>
  <si>
    <t>010-8098-3356</t>
  </si>
  <si>
    <t>186-086062-01-011</t>
  </si>
  <si>
    <t>옥유정</t>
  </si>
  <si>
    <t>850715-2093511</t>
  </si>
  <si>
    <t>010-2313-8731</t>
  </si>
  <si>
    <t>3333-17-6983150</t>
  </si>
  <si>
    <t>이강남</t>
  </si>
  <si>
    <t>750810-1106711</t>
  </si>
  <si>
    <t>010-2369-7579</t>
  </si>
  <si>
    <t>102319-02-095386</t>
  </si>
  <si>
    <t>이백창</t>
  </si>
  <si>
    <t>761016-1110611</t>
  </si>
  <si>
    <t>010-9815-0818</t>
  </si>
  <si>
    <t>NH투자증권</t>
  </si>
  <si>
    <t>207-01-565429</t>
  </si>
  <si>
    <t>이상덕</t>
  </si>
  <si>
    <t>730801-1545424</t>
  </si>
  <si>
    <t>010-2495-1870</t>
  </si>
  <si>
    <t>183-015807-01020</t>
  </si>
  <si>
    <t>이수빈</t>
  </si>
  <si>
    <t>940912-1105528</t>
  </si>
  <si>
    <t>010-7774-4872</t>
  </si>
  <si>
    <t>110802-04-289399</t>
  </si>
  <si>
    <t>이진</t>
  </si>
  <si>
    <t>900815-1066311</t>
  </si>
  <si>
    <t>010-8738-7072</t>
  </si>
  <si>
    <t>757102-04-212989</t>
  </si>
  <si>
    <t>이희준</t>
  </si>
  <si>
    <t>840808-1002416</t>
  </si>
  <si>
    <t>010-7612-6003</t>
  </si>
  <si>
    <t>1000-3396-8736</t>
  </si>
  <si>
    <t>정춘식</t>
  </si>
  <si>
    <t>870321-1050411</t>
  </si>
  <si>
    <t xml:space="preserve">010-3413-8703 </t>
  </si>
  <si>
    <t>352-1195-1823-93</t>
  </si>
  <si>
    <t>조봉연</t>
  </si>
  <si>
    <t>911016-1030818</t>
  </si>
  <si>
    <t>010-7608-9991</t>
  </si>
  <si>
    <t>3333-17-3476329</t>
  </si>
  <si>
    <t>조영래</t>
  </si>
  <si>
    <t>690909-1458513</t>
  </si>
  <si>
    <t>010-5345-0591</t>
  </si>
  <si>
    <t>078-24-0643-341</t>
  </si>
  <si>
    <t>최대용</t>
  </si>
  <si>
    <t>760327-1842514</t>
  </si>
  <si>
    <t>010-2264-7990</t>
  </si>
  <si>
    <t>354-910341-40407</t>
  </si>
  <si>
    <t>최원석</t>
  </si>
  <si>
    <t>791023-1065216</t>
  </si>
  <si>
    <t>010-6307-9819</t>
  </si>
  <si>
    <t>604401-01-239264</t>
  </si>
  <si>
    <t>최형권</t>
  </si>
  <si>
    <t>820625-1411930</t>
  </si>
  <si>
    <t>010-3121-3146</t>
  </si>
  <si>
    <t>1002-337-154871</t>
  </si>
  <si>
    <t>하성호</t>
  </si>
  <si>
    <t>770108-1468427</t>
  </si>
  <si>
    <t>010-8962-6247</t>
  </si>
  <si>
    <t>110-175-083529</t>
  </si>
  <si>
    <t>허남일</t>
  </si>
  <si>
    <t>771202-1452815</t>
  </si>
  <si>
    <t>010-8096-7102</t>
  </si>
  <si>
    <t>312363-02-228401</t>
  </si>
  <si>
    <t>황동우</t>
  </si>
  <si>
    <t>770113-1558817</t>
  </si>
  <si>
    <t>010-2360-6689</t>
  </si>
  <si>
    <t>688801-00-122509</t>
  </si>
  <si>
    <t>황민일</t>
  </si>
  <si>
    <t>030404-3253526</t>
  </si>
  <si>
    <t>010-5539-7068</t>
  </si>
  <si>
    <t>110-512-016280</t>
  </si>
  <si>
    <t>황순일</t>
  </si>
  <si>
    <t>960117-1254015</t>
  </si>
  <si>
    <t>010-3900-7068</t>
  </si>
  <si>
    <t>401호</t>
    <phoneticPr fontId="3" type="noConversion"/>
  </si>
  <si>
    <t>고덕갈평10길 40, 301호</t>
    <phoneticPr fontId="3" type="noConversion"/>
  </si>
  <si>
    <t>고덕갈평10길 40, 301호</t>
    <phoneticPr fontId="3" type="noConversion"/>
  </si>
  <si>
    <t>함박산1길 50, 401호</t>
    <phoneticPr fontId="3" type="noConversion"/>
  </si>
  <si>
    <t>함박산1길 50, 401호</t>
    <phoneticPr fontId="3" type="noConversion"/>
  </si>
  <si>
    <t>함박산4길 3, 301호</t>
    <phoneticPr fontId="3" type="noConversion"/>
  </si>
  <si>
    <t>함박산4길 3, 301호</t>
    <phoneticPr fontId="3" type="noConversion"/>
  </si>
  <si>
    <t>고덕여염11길 14, 202호</t>
    <phoneticPr fontId="3" type="noConversion"/>
  </si>
  <si>
    <t>고덕여염11길 14, 202호</t>
    <phoneticPr fontId="3" type="noConversion"/>
  </si>
  <si>
    <t>함박산3길37, 301호</t>
    <phoneticPr fontId="3" type="noConversion"/>
  </si>
  <si>
    <t>함박산3길37, 301호</t>
    <phoneticPr fontId="3" type="noConversion"/>
  </si>
  <si>
    <t>함박산9길28, 401호(복층)</t>
    <phoneticPr fontId="3" type="noConversion"/>
  </si>
  <si>
    <t>함박산9길28, 401호(복층)</t>
    <phoneticPr fontId="3" type="noConversion"/>
  </si>
  <si>
    <t>고덕국제4길 60-16 202호</t>
    <phoneticPr fontId="3" type="noConversion"/>
  </si>
  <si>
    <t>고덕국제4길 60-16 202호</t>
    <phoneticPr fontId="3" type="noConversion"/>
  </si>
  <si>
    <t>고덕여염11길 149, 202호</t>
    <phoneticPr fontId="3" type="noConversion"/>
  </si>
  <si>
    <t>고덕여염6길 199 202호</t>
    <phoneticPr fontId="3" type="noConversion"/>
  </si>
  <si>
    <t>고덕여염6길 199 202호</t>
    <phoneticPr fontId="3" type="noConversion"/>
  </si>
  <si>
    <t>함박산1길 34 301호</t>
    <phoneticPr fontId="3" type="noConversion"/>
  </si>
  <si>
    <t>함박산1길 34 301호</t>
    <phoneticPr fontId="3" type="noConversion"/>
  </si>
  <si>
    <t>함박산9길26, 202호</t>
    <phoneticPr fontId="3" type="noConversion"/>
  </si>
  <si>
    <t>함박산9길26, 202호</t>
    <phoneticPr fontId="3" type="noConversion"/>
  </si>
  <si>
    <t>301호</t>
    <phoneticPr fontId="3" type="noConversion"/>
  </si>
  <si>
    <t>401호</t>
    <phoneticPr fontId="3" type="noConversion"/>
  </si>
  <si>
    <t>가위 [SB-P300,CTX [세신]]</t>
  </si>
  <si>
    <t>물파스 [90ML [현대약품]]</t>
  </si>
  <si>
    <t>알곤게이지 [KX-3 [코리아나]]</t>
  </si>
  <si>
    <t>피스복 [아야지도장복,투피스,3XL [수입/SW]]</t>
  </si>
  <si>
    <t>2026년 04월</t>
    <phoneticPr fontId="5" type="noConversion"/>
  </si>
  <si>
    <t>2026. 04. 01 ~ 2026. 04. 30</t>
    <phoneticPr fontId="3" type="noConversion"/>
  </si>
  <si>
    <t>작 성 일 :   2026  년  04 월   30일</t>
    <phoneticPr fontId="8" type="noConversion"/>
  </si>
  <si>
    <t>2026년 (04)월 물량 내역서</t>
    <phoneticPr fontId="3" type="noConversion"/>
  </si>
  <si>
    <t>강채연</t>
  </si>
  <si>
    <t>구윤하</t>
  </si>
  <si>
    <t>권중섭</t>
  </si>
  <si>
    <t>김윤호</t>
  </si>
  <si>
    <t>김의찬</t>
  </si>
  <si>
    <t>김정규</t>
  </si>
  <si>
    <t>김지민</t>
  </si>
  <si>
    <t>김택수</t>
  </si>
  <si>
    <t>김희강</t>
  </si>
  <si>
    <t>박지원</t>
  </si>
  <si>
    <t>박혁</t>
  </si>
  <si>
    <t>배찬영</t>
  </si>
  <si>
    <t>서지우</t>
  </si>
  <si>
    <t>신경진</t>
  </si>
  <si>
    <t>심완</t>
  </si>
  <si>
    <t>안수현</t>
  </si>
  <si>
    <t>윤대성</t>
  </si>
  <si>
    <t>이동은</t>
  </si>
  <si>
    <t>이은희</t>
  </si>
  <si>
    <t>이진석</t>
  </si>
  <si>
    <t>이철호</t>
  </si>
  <si>
    <t>이현우</t>
  </si>
  <si>
    <t>전현수</t>
  </si>
  <si>
    <t>정익수</t>
  </si>
  <si>
    <t>정재윤</t>
  </si>
  <si>
    <t>최수종</t>
  </si>
  <si>
    <t>최정민</t>
  </si>
  <si>
    <t>추호윤</t>
  </si>
  <si>
    <t>함지원</t>
  </si>
  <si>
    <t>2026년 (    04   )월 일용 노무비명세서</t>
    <phoneticPr fontId="3" type="noConversion"/>
  </si>
  <si>
    <t>980703-2192257</t>
  </si>
  <si>
    <t>680130-2162814</t>
  </si>
  <si>
    <t>830806-1697210</t>
  </si>
  <si>
    <t>900519-1066917</t>
  </si>
  <si>
    <t>810916-1090421</t>
  </si>
  <si>
    <t>821122-1047416</t>
  </si>
  <si>
    <t>930707-1150011</t>
  </si>
  <si>
    <t>751221-1663222</t>
  </si>
  <si>
    <t>010617-3234118</t>
  </si>
  <si>
    <t>960502-1784039</t>
  </si>
  <si>
    <t>741010-1241714</t>
  </si>
  <si>
    <t>771214 -1906312</t>
  </si>
  <si>
    <t>720416-2101811</t>
  </si>
  <si>
    <t>880103-1105818</t>
  </si>
  <si>
    <t>870602-1417011</t>
  </si>
  <si>
    <t>970206-2728016</t>
  </si>
  <si>
    <t xml:space="preserve">870228-1800810 </t>
  </si>
  <si>
    <t>900720-1156817</t>
  </si>
  <si>
    <t>950520-2522712</t>
  </si>
  <si>
    <t>931005-1019124</t>
  </si>
  <si>
    <t>740901-1345439</t>
  </si>
  <si>
    <t>910319-1078115</t>
  </si>
  <si>
    <t>880725-1001710</t>
  </si>
  <si>
    <t>940126-1081741</t>
  </si>
  <si>
    <t>830225-1009714</t>
  </si>
  <si>
    <t>990511-1024713</t>
  </si>
  <si>
    <t>000904-3247314</t>
  </si>
  <si>
    <t>020222-3095822</t>
  </si>
  <si>
    <t>951003-1042312</t>
  </si>
  <si>
    <t>보통인부</t>
    <phoneticPr fontId="3" type="noConversion"/>
  </si>
  <si>
    <t>010-5725-9067</t>
  </si>
  <si>
    <t>010-3259-2177</t>
  </si>
  <si>
    <t>010-9742-9790</t>
  </si>
  <si>
    <t>010-6371-4420</t>
  </si>
  <si>
    <t xml:space="preserve">010-7748-9382 </t>
  </si>
  <si>
    <t>010-3240-6194</t>
  </si>
  <si>
    <t>010-8000-2457</t>
  </si>
  <si>
    <t xml:space="preserve">010-7942-1751 </t>
  </si>
  <si>
    <t>010-7728-5274</t>
  </si>
  <si>
    <t>010-2498-2025</t>
  </si>
  <si>
    <t>010 4943-6825</t>
  </si>
  <si>
    <t>010-8896-7746</t>
  </si>
  <si>
    <t>010-5120-0531</t>
  </si>
  <si>
    <t>010-6540-2229</t>
  </si>
  <si>
    <t>010-5101-6010</t>
  </si>
  <si>
    <t>010-5045-9210</t>
  </si>
  <si>
    <t xml:space="preserve">010-6690-3570 </t>
  </si>
  <si>
    <t>010-5581-1814</t>
  </si>
  <si>
    <t>010-2359-1912</t>
  </si>
  <si>
    <t>010-2320-8531</t>
  </si>
  <si>
    <t>010-9742-4992</t>
  </si>
  <si>
    <t>010-9685-6744</t>
  </si>
  <si>
    <t>010-2678-5126</t>
  </si>
  <si>
    <t>010-2323-7788</t>
  </si>
  <si>
    <t>010-4215-4580</t>
  </si>
  <si>
    <t>010-9439-3189</t>
  </si>
  <si>
    <t>010-6258-9703</t>
  </si>
  <si>
    <t>010-2101-6076</t>
  </si>
  <si>
    <t xml:space="preserve">010-7281-8411 </t>
  </si>
  <si>
    <t>399102-04-168176</t>
  </si>
  <si>
    <t>206-910258-60907</t>
  </si>
  <si>
    <t>110-430-392742</t>
  </si>
  <si>
    <t>3333-13-2754524</t>
  </si>
  <si>
    <t xml:space="preserve">121802-04-157456 </t>
  </si>
  <si>
    <t>757101-04-044154</t>
  </si>
  <si>
    <t>3333-13-9046173</t>
  </si>
  <si>
    <t>1002-339-327014</t>
  </si>
  <si>
    <t>1002-564-210008</t>
  </si>
  <si>
    <t>737302-01-193557</t>
  </si>
  <si>
    <t>502901-01-043350</t>
  </si>
  <si>
    <t>352-1366-3636-53</t>
  </si>
  <si>
    <t>781601-00-100125</t>
  </si>
  <si>
    <t>507-027831-01-010</t>
  </si>
  <si>
    <t>292-910293-88807</t>
  </si>
  <si>
    <t>110-404-264147</t>
  </si>
  <si>
    <t>3333-17-1177994</t>
  </si>
  <si>
    <t>3333-13-0258058</t>
  </si>
  <si>
    <t>110-354-776553</t>
  </si>
  <si>
    <t>104893-02-161818</t>
  </si>
  <si>
    <t>923801-00-052642</t>
  </si>
  <si>
    <t>카카오</t>
  </si>
  <si>
    <t>3333-20-7007974</t>
  </si>
  <si>
    <t>110-398-862753</t>
  </si>
  <si>
    <t>1000-1986-6427</t>
  </si>
  <si>
    <t>3333-08-8329737</t>
  </si>
  <si>
    <t>356-1161-8531-13</t>
  </si>
  <si>
    <t>103-108101-01-015</t>
  </si>
  <si>
    <t>933502-00-554904</t>
  </si>
  <si>
    <t xml:space="preserve">숙소임대료(04월분) </t>
    <phoneticPr fontId="3" type="noConversion"/>
  </si>
  <si>
    <t>고덕여염16길115, 202호</t>
  </si>
  <si>
    <t xml:space="preserve">숙소수도세(04월분) </t>
  </si>
  <si>
    <t xml:space="preserve">숙소가스료(04월분) </t>
  </si>
  <si>
    <t xml:space="preserve">숙소전기료(04월분) </t>
  </si>
  <si>
    <t>함박산 11길 9-1, 202호</t>
    <phoneticPr fontId="3" type="noConversion"/>
  </si>
  <si>
    <t>함박산 11길 9-1, 202호</t>
    <phoneticPr fontId="3" type="noConversion"/>
  </si>
  <si>
    <t>함박산 3길 11, 301호</t>
    <phoneticPr fontId="3" type="noConversion"/>
  </si>
  <si>
    <t>함박산 3길 11, 301호</t>
    <phoneticPr fontId="3" type="noConversion"/>
  </si>
  <si>
    <t>고덕여염16길115, 202호</t>
    <phoneticPr fontId="3" type="noConversion"/>
  </si>
  <si>
    <t>고덕여염16길115, 202호</t>
    <phoneticPr fontId="3" type="noConversion"/>
  </si>
  <si>
    <t>301호</t>
    <phoneticPr fontId="3" type="noConversion"/>
  </si>
  <si>
    <t>공용수도</t>
    <phoneticPr fontId="3" type="noConversion"/>
  </si>
  <si>
    <t>익월청구예정</t>
    <phoneticPr fontId="3" type="noConversion"/>
  </si>
  <si>
    <t>[수리]보쉬 GDX19V-180(3) [좌우레바/엔빌스프링]</t>
  </si>
  <si>
    <t>[수리]보쉬 GDX19V-180(4) [엔빌스프링]</t>
  </si>
  <si>
    <t>[수리]보쉬 GDX19V-200(7) [비트제거/엔빌스프링]</t>
  </si>
  <si>
    <t>청보호랩 [500mm*150m,40mic [AS]]</t>
  </si>
  <si>
    <t>에폭시접착제 [매직스틱,다목적용,114G,CTX [엑시아]]</t>
  </si>
  <si>
    <t>귀마개 [1100,끈없음,200개 [3M]]</t>
  </si>
  <si>
    <t>레이저거리측정기 [SABER mini [맥파이]]</t>
  </si>
  <si>
    <t>우의 [일회용,크래커,백색 [SW]]</t>
  </si>
  <si>
    <t>가위집 [PVC [AK]]</t>
  </si>
  <si>
    <t>컷쏘날 [S1122BF,철재,바이메탈,5개입 [보쉬]]</t>
  </si>
  <si>
    <t>장갑클립 [일반형]</t>
  </si>
  <si>
    <t>체인컷쏘날 [200*8T(4"),골드 61503,5개입 [아사다]]</t>
  </si>
  <si>
    <t>체인컷쏘날 [320*8T(4"),골드 61507,5개입 [아사다]]</t>
  </si>
  <si>
    <t>PP로프 [16mm*100m [HNS]]</t>
  </si>
  <si>
    <t>드라이버비트 [OTP-065,PH2*65L(+) [오토코]]</t>
  </si>
  <si>
    <t>수리비,레이저레벨기 [RX20,축수리,모터1개 교환,센서수리,수평/수직교정]</t>
  </si>
  <si>
    <t>건전지 [AA,2개 [벡셀]]</t>
  </si>
  <si>
    <t>케이블타이 [300mm(1봉=500개),백색 [HNS]]</t>
  </si>
  <si>
    <t>직쏘날 [301CD,5개 [보쉬]]</t>
  </si>
  <si>
    <t>순간접착제 [401,50g,CTX [록타이트]]</t>
  </si>
  <si>
    <t>알곤스위치 [350A [조영]]</t>
  </si>
  <si>
    <t>알곤토치헤드 [350A,플렉시블,CT-35F,CTX [크레토스]]</t>
  </si>
  <si>
    <t>철직자 [BD-FJ150,CTX [블루텍]]</t>
  </si>
  <si>
    <t>칫솔브러쉬 [브러쉬,스텐 [스마토]]</t>
  </si>
  <si>
    <t>SDS PLUS BIT [4날,17*210 [드라켄]]</t>
  </si>
  <si>
    <t>변성실리콘 [에코씰KG900,백색,실란트 [수달코리아]]</t>
  </si>
  <si>
    <t>네임펜 [양면,흑색,12개 [모나미]]</t>
  </si>
  <si>
    <t>직쏘날 [101B,5개 [보쉬]]</t>
  </si>
  <si>
    <t>직쏘날 [121AFC(=T121AF),5개 [보쉬]]</t>
  </si>
  <si>
    <t>페인트붓 [1" [동양]]</t>
  </si>
  <si>
    <t>피스복 [아야지도장복,투피스,2XL [수입/SW]]</t>
  </si>
  <si>
    <t>가위 [P-300 [화신]]</t>
  </si>
  <si>
    <t>텅스텐봉 [3.2Q,10개,란탄2%,CTX [크레토스]]</t>
  </si>
  <si>
    <t>PP로프 [6mm*100m [HNS]]</t>
  </si>
  <si>
    <t>분진흡입기 [충전함마용,GDE18V-16(1600A013FK) [보쉬]]</t>
  </si>
  <si>
    <t>검교정비,레이저레벨 [RX20,수평,수직,유리교환,하우징교환,코라스성적서 [코텐]]</t>
  </si>
  <si>
    <t>검교정비,레이저레벨 [RX20,코라스성적서 [코텐]]</t>
  </si>
  <si>
    <t>수리비,레이저레벨 [RX20,수평,수직,센서,유리교환2,하우징교환,정준나사 [코텐]]</t>
  </si>
  <si>
    <t>충전기 [GAL18V6-80,6구 [보쉬/DI]]</t>
  </si>
  <si>
    <t>PP로프 [6mm [HNS]]</t>
  </si>
  <si>
    <t>열쇠 [400L,LONG,CTX [금강산업]]</t>
  </si>
  <si>
    <t>추가 공사건 투입인원 합   계</t>
    <phoneticPr fontId="3" type="noConversion"/>
  </si>
  <si>
    <t>만 단위 이하 절사</t>
    <phoneticPr fontId="8" type="noConversion"/>
  </si>
  <si>
    <t>기타지급 운영비</t>
    <phoneticPr fontId="3" type="noConversion"/>
  </si>
  <si>
    <t xml:space="preserve"> 2. 노무비</t>
    <phoneticPr fontId="3" type="noConversion"/>
  </si>
  <si>
    <t xml:space="preserve"> 3. 숙소 및 식대</t>
    <phoneticPr fontId="3" type="noConversion"/>
  </si>
  <si>
    <t xml:space="preserve"> 4. 기타 공제 내역</t>
    <phoneticPr fontId="3" type="noConversion"/>
  </si>
  <si>
    <t xml:space="preserve"> 5. 유보금</t>
    <phoneticPr fontId="3" type="noConversion"/>
  </si>
  <si>
    <t xml:space="preserve"> 6. 유보금 차액</t>
    <phoneticPr fontId="3" type="noConversion"/>
  </si>
  <si>
    <t xml:space="preserve"> 7. NEGO</t>
    <phoneticPr fontId="3" type="noConversion"/>
  </si>
  <si>
    <t xml:space="preserve"> 8. 기타지급운영비</t>
    <phoneticPr fontId="3" type="noConversion"/>
  </si>
  <si>
    <t>전회 누계유보금</t>
    <phoneticPr fontId="3" type="noConversion"/>
  </si>
  <si>
    <t>누계 적자기성액</t>
    <phoneticPr fontId="3" type="noConversion"/>
  </si>
  <si>
    <t>P4 Ph2 GAS&amp;PCW 1공구</t>
    <phoneticPr fontId="8" type="noConversion"/>
  </si>
  <si>
    <t>전월 적자 기성액 (139,160,193원)</t>
  </si>
  <si>
    <t>(익월 기성 차감 예정)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</si>
</sst>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-* #,##0_-;\-* #,##0_-;_-* &quot;-&quot;_-;_-@_-"/>
    <numFmt numFmtId="43" formatCode="_-* #,##0.00_-;\-* #,##0.00_-;_-* &quot;-&quot;??_-;_-@_-"/>
    <numFmt numFmtId="176" formatCode="&quot;제&quot;\(\ \ #\ \ \)&quot;회&quot;\ \ &quot;기&quot;\ &quot;성&quot;\ &quot;청&quot;\ &quot;구&quot;\ &quot;서&quot;"/>
    <numFmt numFmtId="177" formatCode="mm&quot;월&quot;\ dd&quot;일&quot;"/>
    <numFmt numFmtId="178" formatCode="[DBNum4]&quot;一&quot;&quot;金&quot;[$-412]General&quot;원&quot;&quot;정&quot;"/>
    <numFmt numFmtId="179" formatCode="0.000"/>
    <numFmt numFmtId="180" formatCode="_-* #,##0.00_-;\-* #,##0.00_-;_-* &quot;-&quot;_-;_-@_-"/>
    <numFmt numFmtId="181" formatCode="#,##0.000;[Red]\-#,##0.000"/>
    <numFmt numFmtId="182" formatCode="0_);[Red]\(0\)"/>
    <numFmt numFmtId="183" formatCode="000000\-0000000"/>
    <numFmt numFmtId="184" formatCode="#,##0_ "/>
    <numFmt numFmtId="185" formatCode="_-* #,##0.000_-;\-* #,##0.000_-;_-* &quot;-&quot;_-;_-@_-"/>
    <numFmt numFmtId="186" formatCode="_-* #,##0.0_-;\-* #,##0.0_-;_-* &quot;-&quot;_-;_-@_-"/>
    <numFmt numFmtId="187" formatCode="_-* #,##0_-;&quot;₩&quot;\!\-* #,##0_-;_-* &quot;-&quot;_-;_-@_-"/>
    <numFmt numFmtId="188" formatCode="0.00000000000000000000000"/>
    <numFmt numFmtId="189" formatCode="_-* #,##0_-;\-* #,##0_-;_-* &quot;-&quot;??_-;_-@_-"/>
    <numFmt numFmtId="190" formatCode="_-* #,##0.0000_-;\-* #,##0.0000_-;_-* &quot;-&quot;_-;_-@_-"/>
  </numFmts>
  <fonts count="57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5"/>
      <name val="새굴림"/>
      <family val="1"/>
      <charset val="129"/>
    </font>
    <font>
      <sz val="8"/>
      <name val="맑은 고딕"/>
      <family val="2"/>
      <charset val="129"/>
      <scheme val="minor"/>
    </font>
    <font>
      <b/>
      <sz val="25"/>
      <name val="새굴림"/>
      <family val="1"/>
      <charset val="129"/>
    </font>
    <font>
      <sz val="8"/>
      <name val="돋움"/>
      <family val="3"/>
      <charset val="129"/>
    </font>
    <font>
      <sz val="11"/>
      <name val="새굴림"/>
      <family val="1"/>
      <charset val="129"/>
    </font>
    <font>
      <sz val="20"/>
      <name val="새굴림"/>
      <family val="1"/>
      <charset val="129"/>
    </font>
    <font>
      <sz val="8"/>
      <name val="맑은 고딕"/>
      <family val="3"/>
      <charset val="129"/>
    </font>
    <font>
      <b/>
      <sz val="15"/>
      <name val="새굴림"/>
      <family val="1"/>
      <charset val="129"/>
    </font>
    <font>
      <b/>
      <sz val="20"/>
      <name val="굴림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25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7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indexed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0"/>
      <name val="새굴림"/>
      <family val="1"/>
      <charset val="129"/>
    </font>
    <font>
      <b/>
      <sz val="10"/>
      <name val="새굴림"/>
      <family val="1"/>
      <charset val="129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b/>
      <sz val="10"/>
      <name val="굴림체"/>
      <family val="3"/>
      <charset val="129"/>
    </font>
    <font>
      <b/>
      <sz val="12"/>
      <name val="돋움"/>
      <family val="3"/>
      <charset val="129"/>
    </font>
    <font>
      <sz val="12"/>
      <name val="굴림체"/>
      <family val="3"/>
      <charset val="129"/>
    </font>
    <font>
      <sz val="12"/>
      <name val="돋움"/>
      <family val="3"/>
      <charset val="129"/>
    </font>
    <font>
      <b/>
      <sz val="20"/>
      <name val="돋움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20"/>
      <color theme="1"/>
      <name val="새굴림"/>
      <family val="1"/>
      <charset val="129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</fills>
  <borders count="5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horizontal="centerContinuous" vertical="center"/>
    </xf>
    <xf numFmtId="0" fontId="7" fillId="0" borderId="4" xfId="0" applyFont="1" applyBorder="1" applyAlignment="1">
      <alignment horizontal="centerContinuous" vertical="center"/>
    </xf>
    <xf numFmtId="0" fontId="6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41" fontId="0" fillId="0" borderId="0" xfId="0" applyNumberFormat="1" applyFont="1" applyFill="1" applyBorder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3" fillId="0" borderId="0" xfId="0" applyFont="1" applyAlignment="1">
      <alignment horizontal="right" vertical="center"/>
    </xf>
    <xf numFmtId="0" fontId="13" fillId="0" borderId="0" xfId="0" applyFont="1">
      <alignment vertical="center"/>
    </xf>
    <xf numFmtId="178" fontId="1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vertical="center" shrinkToFit="1"/>
    </xf>
    <xf numFmtId="9" fontId="0" fillId="0" borderId="0" xfId="0" applyNumberFormat="1" applyFont="1">
      <alignment vertical="center"/>
    </xf>
    <xf numFmtId="41" fontId="0" fillId="0" borderId="0" xfId="0" applyNumberFormat="1" applyFont="1">
      <alignment vertical="center"/>
    </xf>
    <xf numFmtId="41" fontId="1" fillId="0" borderId="0" xfId="0" applyNumberFormat="1" applyFont="1">
      <alignment vertical="center"/>
    </xf>
    <xf numFmtId="178" fontId="13" fillId="0" borderId="0" xfId="0" applyNumberFormat="1" applyFont="1" applyAlignment="1">
      <alignment horizontal="left" vertical="center"/>
    </xf>
    <xf numFmtId="41" fontId="13" fillId="0" borderId="0" xfId="0" applyNumberFormat="1" applyFont="1">
      <alignment vertical="center"/>
    </xf>
    <xf numFmtId="9" fontId="13" fillId="0" borderId="0" xfId="0" applyNumberFormat="1" applyFont="1" applyFill="1" applyAlignment="1">
      <alignment horizontal="left" vertical="center"/>
    </xf>
    <xf numFmtId="41" fontId="12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/>
    </xf>
    <xf numFmtId="0" fontId="15" fillId="2" borderId="0" xfId="0" applyFont="1" applyFill="1">
      <alignment vertical="center"/>
    </xf>
    <xf numFmtId="0" fontId="0" fillId="0" borderId="0" xfId="0" applyAlignment="1">
      <alignment horizontal="right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8" xfId="0" applyFont="1" applyFill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1" fontId="15" fillId="0" borderId="20" xfId="0" applyNumberFormat="1" applyFont="1" applyBorder="1" applyAlignment="1">
      <alignment horizontal="center" vertical="center"/>
    </xf>
    <xf numFmtId="0" fontId="21" fillId="0" borderId="0" xfId="0" applyFont="1">
      <alignment vertical="center"/>
    </xf>
    <xf numFmtId="0" fontId="13" fillId="5" borderId="13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41" fontId="22" fillId="0" borderId="9" xfId="0" applyNumberFormat="1" applyFont="1" applyBorder="1">
      <alignment vertical="center"/>
    </xf>
    <xf numFmtId="41" fontId="12" fillId="0" borderId="23" xfId="0" applyNumberFormat="1" applyFont="1" applyBorder="1" applyAlignment="1">
      <alignment horizontal="center" vertical="center"/>
    </xf>
    <xf numFmtId="41" fontId="12" fillId="0" borderId="13" xfId="0" applyNumberFormat="1" applyFont="1" applyBorder="1" applyAlignment="1">
      <alignment horizontal="center" vertical="center"/>
    </xf>
    <xf numFmtId="41" fontId="12" fillId="0" borderId="12" xfId="0" applyNumberFormat="1" applyFont="1" applyBorder="1" applyAlignment="1">
      <alignment horizontal="center" vertical="center"/>
    </xf>
    <xf numFmtId="179" fontId="12" fillId="0" borderId="9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41" fontId="13" fillId="6" borderId="23" xfId="0" applyNumberFormat="1" applyFont="1" applyFill="1" applyBorder="1" applyAlignment="1">
      <alignment horizontal="center" vertical="center"/>
    </xf>
    <xf numFmtId="41" fontId="13" fillId="6" borderId="13" xfId="0" applyNumberFormat="1" applyFont="1" applyFill="1" applyBorder="1" applyAlignment="1">
      <alignment horizontal="center" vertical="center"/>
    </xf>
    <xf numFmtId="41" fontId="13" fillId="6" borderId="9" xfId="0" applyNumberFormat="1" applyFont="1" applyFill="1" applyBorder="1" applyAlignment="1">
      <alignment horizontal="center" vertical="center"/>
    </xf>
    <xf numFmtId="41" fontId="13" fillId="6" borderId="12" xfId="0" applyNumberFormat="1" applyFont="1" applyFill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41" fontId="22" fillId="0" borderId="9" xfId="0" applyNumberFormat="1" applyFont="1" applyBorder="1" applyAlignment="1">
      <alignment vertical="center" shrinkToFit="1"/>
    </xf>
    <xf numFmtId="0" fontId="13" fillId="4" borderId="9" xfId="0" applyFont="1" applyFill="1" applyBorder="1" applyAlignment="1">
      <alignment horizontal="center" vertical="center"/>
    </xf>
    <xf numFmtId="0" fontId="15" fillId="0" borderId="0" xfId="0" applyFont="1">
      <alignment vertical="center"/>
    </xf>
    <xf numFmtId="0" fontId="20" fillId="7" borderId="9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41" fontId="0" fillId="0" borderId="9" xfId="0" applyNumberFormat="1" applyBorder="1" applyAlignment="1">
      <alignment horizontal="center" vertical="center"/>
    </xf>
    <xf numFmtId="41" fontId="0" fillId="0" borderId="9" xfId="0" applyNumberFormat="1" applyFont="1" applyBorder="1">
      <alignment vertical="center"/>
    </xf>
    <xf numFmtId="41" fontId="0" fillId="0" borderId="9" xfId="0" applyNumberFormat="1" applyBorder="1">
      <alignment vertical="center"/>
    </xf>
    <xf numFmtId="41" fontId="25" fillId="2" borderId="9" xfId="0" applyNumberFormat="1" applyFont="1" applyFill="1" applyBorder="1">
      <alignment vertical="center"/>
    </xf>
    <xf numFmtId="180" fontId="0" fillId="0" borderId="9" xfId="0" applyNumberFormat="1" applyBorder="1">
      <alignment vertical="center"/>
    </xf>
    <xf numFmtId="0" fontId="29" fillId="0" borderId="0" xfId="0" applyFont="1">
      <alignment vertical="center"/>
    </xf>
    <xf numFmtId="182" fontId="29" fillId="0" borderId="0" xfId="0" applyNumberFormat="1" applyFont="1">
      <alignment vertical="center"/>
    </xf>
    <xf numFmtId="0" fontId="30" fillId="0" borderId="0" xfId="0" applyFont="1" applyAlignment="1" applyProtection="1">
      <alignment horizontal="left" vertical="center"/>
      <protection locked="0"/>
    </xf>
    <xf numFmtId="40" fontId="31" fillId="0" borderId="0" xfId="0" applyNumberFormat="1" applyFont="1" applyAlignment="1" applyProtection="1">
      <alignment horizontal="left" vertical="center"/>
      <protection locked="0"/>
    </xf>
    <xf numFmtId="181" fontId="31" fillId="0" borderId="0" xfId="0" applyNumberFormat="1" applyFont="1" applyAlignment="1" applyProtection="1">
      <alignment horizontal="right" vertical="center"/>
      <protection locked="0"/>
    </xf>
    <xf numFmtId="41" fontId="13" fillId="5" borderId="33" xfId="0" applyNumberFormat="1" applyFont="1" applyFill="1" applyBorder="1" applyAlignment="1">
      <alignment horizontal="center" vertical="center"/>
    </xf>
    <xf numFmtId="41" fontId="13" fillId="5" borderId="34" xfId="0" applyNumberFormat="1" applyFont="1" applyFill="1" applyBorder="1" applyAlignment="1">
      <alignment horizontal="center" vertical="center"/>
    </xf>
    <xf numFmtId="182" fontId="13" fillId="5" borderId="34" xfId="0" applyNumberFormat="1" applyFont="1" applyFill="1" applyBorder="1" applyAlignment="1">
      <alignment horizontal="center" vertical="center"/>
    </xf>
    <xf numFmtId="182" fontId="13" fillId="5" borderId="35" xfId="0" applyNumberFormat="1" applyFont="1" applyFill="1" applyBorder="1" applyAlignment="1">
      <alignment horizontal="center" vertical="center"/>
    </xf>
    <xf numFmtId="181" fontId="13" fillId="5" borderId="33" xfId="0" applyNumberFormat="1" applyFont="1" applyFill="1" applyBorder="1" applyAlignment="1">
      <alignment horizontal="center" vertical="center"/>
    </xf>
    <xf numFmtId="181" fontId="13" fillId="5" borderId="35" xfId="0" applyNumberFormat="1" applyFont="1" applyFill="1" applyBorder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83" fontId="13" fillId="0" borderId="11" xfId="0" applyNumberFormat="1" applyFont="1" applyFill="1" applyBorder="1" applyAlignment="1">
      <alignment horizontal="center" vertical="center"/>
    </xf>
    <xf numFmtId="41" fontId="13" fillId="0" borderId="11" xfId="0" applyNumberFormat="1" applyFont="1" applyFill="1" applyBorder="1" applyAlignment="1">
      <alignment horizontal="center" vertical="center"/>
    </xf>
    <xf numFmtId="182" fontId="13" fillId="0" borderId="11" xfId="0" applyNumberFormat="1" applyFont="1" applyFill="1" applyBorder="1" applyAlignment="1">
      <alignment horizontal="center" vertical="center"/>
    </xf>
    <xf numFmtId="182" fontId="13" fillId="0" borderId="38" xfId="0" applyNumberFormat="1" applyFont="1" applyFill="1" applyBorder="1" applyAlignment="1">
      <alignment horizontal="center" vertical="center"/>
    </xf>
    <xf numFmtId="179" fontId="0" fillId="0" borderId="39" xfId="0" applyNumberFormat="1" applyBorder="1" applyAlignment="1">
      <alignment horizontal="center" vertical="center"/>
    </xf>
    <xf numFmtId="181" fontId="13" fillId="0" borderId="40" xfId="0" applyNumberFormat="1" applyFont="1" applyFill="1" applyBorder="1" applyAlignment="1">
      <alignment horizontal="center" vertical="center"/>
    </xf>
    <xf numFmtId="184" fontId="13" fillId="0" borderId="38" xfId="0" applyNumberFormat="1" applyFont="1" applyBorder="1">
      <alignment vertical="center"/>
    </xf>
    <xf numFmtId="0" fontId="13" fillId="0" borderId="9" xfId="0" applyNumberFormat="1" applyFont="1" applyFill="1" applyBorder="1" applyAlignment="1">
      <alignment horizontal="center" vertical="center"/>
    </xf>
    <xf numFmtId="183" fontId="13" fillId="0" borderId="9" xfId="0" applyNumberFormat="1" applyFont="1" applyFill="1" applyBorder="1" applyAlignment="1">
      <alignment horizontal="center" vertical="center"/>
    </xf>
    <xf numFmtId="41" fontId="13" fillId="0" borderId="9" xfId="0" applyNumberFormat="1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41" fontId="13" fillId="0" borderId="10" xfId="0" applyNumberFormat="1" applyFont="1" applyFill="1" applyBorder="1" applyAlignment="1">
      <alignment horizontal="center" vertical="center"/>
    </xf>
    <xf numFmtId="185" fontId="15" fillId="6" borderId="36" xfId="0" applyNumberFormat="1" applyFont="1" applyFill="1" applyBorder="1" applyAlignment="1">
      <alignment horizontal="center" vertical="center" shrinkToFit="1"/>
    </xf>
    <xf numFmtId="185" fontId="15" fillId="6" borderId="37" xfId="0" applyNumberFormat="1" applyFont="1" applyFill="1" applyBorder="1" applyAlignment="1">
      <alignment horizontal="center" vertical="center" shrinkToFit="1"/>
    </xf>
    <xf numFmtId="185" fontId="15" fillId="6" borderId="33" xfId="0" applyNumberFormat="1" applyFont="1" applyFill="1" applyBorder="1" applyAlignment="1">
      <alignment horizontal="center" vertical="center" shrinkToFit="1"/>
    </xf>
    <xf numFmtId="41" fontId="15" fillId="6" borderId="34" xfId="0" applyNumberFormat="1" applyFont="1" applyFill="1" applyBorder="1" applyAlignment="1">
      <alignment horizontal="center" vertical="center" shrinkToFit="1"/>
    </xf>
    <xf numFmtId="41" fontId="15" fillId="6" borderId="35" xfId="0" applyNumberFormat="1" applyFont="1" applyFill="1" applyBorder="1" applyAlignment="1">
      <alignment horizontal="center" vertical="center" shrinkToFit="1"/>
    </xf>
    <xf numFmtId="185" fontId="33" fillId="2" borderId="36" xfId="0" applyNumberFormat="1" applyFont="1" applyFill="1" applyBorder="1" applyAlignment="1">
      <alignment horizontal="center" vertical="center" shrinkToFit="1"/>
    </xf>
    <xf numFmtId="185" fontId="33" fillId="2" borderId="34" xfId="0" applyNumberFormat="1" applyFont="1" applyFill="1" applyBorder="1" applyAlignment="1">
      <alignment horizontal="center" vertical="center" shrinkToFit="1"/>
    </xf>
    <xf numFmtId="185" fontId="33" fillId="2" borderId="33" xfId="0" applyNumberFormat="1" applyFont="1" applyFill="1" applyBorder="1" applyAlignment="1">
      <alignment horizontal="center" vertical="center" shrinkToFit="1"/>
    </xf>
    <xf numFmtId="41" fontId="33" fillId="2" borderId="34" xfId="0" applyNumberFormat="1" applyFont="1" applyFill="1" applyBorder="1" applyAlignment="1">
      <alignment horizontal="center" vertical="center" shrinkToFit="1"/>
    </xf>
    <xf numFmtId="41" fontId="33" fillId="2" borderId="35" xfId="0" applyNumberFormat="1" applyFont="1" applyFill="1" applyBorder="1" applyAlignment="1">
      <alignment horizontal="center" vertical="center" shrinkToFit="1"/>
    </xf>
    <xf numFmtId="40" fontId="29" fillId="0" borderId="0" xfId="0" applyNumberFormat="1" applyFont="1">
      <alignment vertical="center"/>
    </xf>
    <xf numFmtId="0" fontId="29" fillId="0" borderId="0" xfId="0" applyFont="1" applyAlignment="1">
      <alignment horizontal="center" vertical="center"/>
    </xf>
    <xf numFmtId="181" fontId="29" fillId="0" borderId="0" xfId="0" applyNumberFormat="1" applyFont="1">
      <alignment vertical="center"/>
    </xf>
    <xf numFmtId="181" fontId="29" fillId="0" borderId="0" xfId="0" applyNumberFormat="1" applyFont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41" fontId="38" fillId="9" borderId="9" xfId="0" applyNumberFormat="1" applyFont="1" applyFill="1" applyBorder="1">
      <alignment vertical="center"/>
    </xf>
    <xf numFmtId="0" fontId="39" fillId="0" borderId="0" xfId="0" applyFont="1">
      <alignment vertical="center"/>
    </xf>
    <xf numFmtId="0" fontId="21" fillId="0" borderId="9" xfId="0" applyFont="1" applyBorder="1" applyAlignment="1">
      <alignment horizontal="center" vertical="center"/>
    </xf>
    <xf numFmtId="41" fontId="21" fillId="0" borderId="9" xfId="0" applyNumberFormat="1" applyFont="1" applyBorder="1" applyAlignment="1">
      <alignment horizontal="center" vertical="center"/>
    </xf>
    <xf numFmtId="0" fontId="40" fillId="0" borderId="0" xfId="0" applyFont="1">
      <alignment vertical="center"/>
    </xf>
    <xf numFmtId="0" fontId="41" fillId="0" borderId="0" xfId="0" applyFont="1">
      <alignment vertical="center"/>
    </xf>
    <xf numFmtId="43" fontId="42" fillId="10" borderId="9" xfId="0" applyNumberFormat="1" applyFont="1" applyFill="1" applyBorder="1" applyAlignment="1">
      <alignment horizontal="center" vertical="center"/>
    </xf>
    <xf numFmtId="41" fontId="43" fillId="11" borderId="9" xfId="0" applyNumberFormat="1" applyFont="1" applyFill="1" applyBorder="1" applyAlignment="1">
      <alignment horizontal="center" vertical="center"/>
    </xf>
    <xf numFmtId="41" fontId="12" fillId="0" borderId="9" xfId="0" applyNumberFormat="1" applyFont="1" applyBorder="1" applyAlignment="1">
      <alignment horizontal="center" vertical="center"/>
    </xf>
    <xf numFmtId="180" fontId="12" fillId="0" borderId="9" xfId="0" applyNumberFormat="1" applyFont="1" applyBorder="1" applyAlignment="1">
      <alignment horizontal="center" vertical="center"/>
    </xf>
    <xf numFmtId="180" fontId="25" fillId="2" borderId="9" xfId="0" applyNumberFormat="1" applyFont="1" applyFill="1" applyBorder="1">
      <alignment vertical="center"/>
    </xf>
    <xf numFmtId="41" fontId="29" fillId="0" borderId="0" xfId="0" applyNumberFormat="1" applyFont="1">
      <alignment vertical="center"/>
    </xf>
    <xf numFmtId="14" fontId="21" fillId="0" borderId="9" xfId="0" applyNumberFormat="1" applyFont="1" applyBorder="1" applyAlignment="1">
      <alignment horizontal="center" vertical="center"/>
    </xf>
    <xf numFmtId="0" fontId="21" fillId="0" borderId="9" xfId="0" applyFont="1" applyBorder="1" applyAlignment="1">
      <alignment horizontal="left" vertical="center"/>
    </xf>
    <xf numFmtId="177" fontId="21" fillId="0" borderId="9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182" fontId="32" fillId="5" borderId="15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1" fontId="21" fillId="0" borderId="9" xfId="0" applyNumberFormat="1" applyFont="1" applyFill="1" applyBorder="1" applyAlignment="1">
      <alignment horizontal="center" vertical="center"/>
    </xf>
    <xf numFmtId="0" fontId="44" fillId="0" borderId="9" xfId="0" applyFont="1" applyBorder="1" applyAlignment="1">
      <alignment horizontal="center" vertical="center"/>
    </xf>
    <xf numFmtId="41" fontId="1" fillId="0" borderId="0" xfId="0" applyNumberFormat="1" applyFont="1">
      <alignment vertical="center"/>
    </xf>
    <xf numFmtId="41" fontId="0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0" xfId="0" applyFont="1" applyAlignment="1">
      <alignment horizontal="center" vertical="center"/>
    </xf>
    <xf numFmtId="0" fontId="45" fillId="0" borderId="21" xfId="0" applyFont="1" applyBorder="1">
      <alignment vertical="center"/>
    </xf>
    <xf numFmtId="41" fontId="47" fillId="0" borderId="20" xfId="0" applyNumberFormat="1" applyFont="1" applyBorder="1" applyAlignment="1">
      <alignment vertical="center" shrinkToFit="1"/>
    </xf>
    <xf numFmtId="186" fontId="47" fillId="0" borderId="20" xfId="0" applyNumberFormat="1" applyFont="1" applyBorder="1" applyAlignment="1">
      <alignment horizontal="center" vertical="center"/>
    </xf>
    <xf numFmtId="41" fontId="47" fillId="0" borderId="20" xfId="0" applyNumberFormat="1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/>
    </xf>
    <xf numFmtId="0" fontId="47" fillId="0" borderId="20" xfId="0" applyFont="1" applyBorder="1" applyAlignment="1">
      <alignment horizontal="center" vertical="center" shrinkToFit="1"/>
    </xf>
    <xf numFmtId="0" fontId="48" fillId="0" borderId="19" xfId="0" applyFont="1" applyBorder="1" applyAlignment="1">
      <alignment horizontal="center" vertical="center"/>
    </xf>
    <xf numFmtId="0" fontId="45" fillId="0" borderId="18" xfId="0" applyFont="1" applyBorder="1">
      <alignment vertical="center"/>
    </xf>
    <xf numFmtId="41" fontId="47" fillId="0" borderId="9" xfId="0" applyNumberFormat="1" applyFont="1" applyFill="1" applyBorder="1" applyAlignment="1">
      <alignment vertical="center" shrinkToFit="1"/>
    </xf>
    <xf numFmtId="41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 shrinkToFit="1"/>
    </xf>
    <xf numFmtId="0" fontId="48" fillId="0" borderId="17" xfId="0" applyFont="1" applyBorder="1" applyAlignment="1">
      <alignment horizontal="left" vertical="center"/>
    </xf>
    <xf numFmtId="41" fontId="47" fillId="0" borderId="9" xfId="0" applyNumberFormat="1" applyFont="1" applyBorder="1" applyAlignment="1">
      <alignment vertical="center"/>
    </xf>
    <xf numFmtId="41" fontId="47" fillId="0" borderId="9" xfId="0" applyNumberFormat="1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horizontal="left" vertical="center" indent="1"/>
    </xf>
    <xf numFmtId="0" fontId="47" fillId="0" borderId="9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7" xfId="0" applyFont="1" applyBorder="1" applyAlignment="1">
      <alignment horizontal="left" vertical="center" wrapText="1" indent="1"/>
    </xf>
    <xf numFmtId="0" fontId="47" fillId="0" borderId="9" xfId="0" applyFont="1" applyBorder="1" applyAlignment="1">
      <alignment horizontal="center" vertical="center" shrinkToFit="1"/>
    </xf>
    <xf numFmtId="0" fontId="47" fillId="0" borderId="17" xfId="0" applyFont="1" applyBorder="1" applyAlignment="1">
      <alignment vertical="center" shrinkToFit="1"/>
    </xf>
    <xf numFmtId="41" fontId="47" fillId="0" borderId="9" xfId="0" applyNumberFormat="1" applyFont="1" applyBorder="1" applyAlignment="1">
      <alignment vertical="center" shrinkToFit="1"/>
    </xf>
    <xf numFmtId="0" fontId="47" fillId="12" borderId="17" xfId="0" applyFont="1" applyFill="1" applyBorder="1" applyAlignment="1">
      <alignment horizontal="left" vertical="center" indent="1"/>
    </xf>
    <xf numFmtId="187" fontId="47" fillId="0" borderId="9" xfId="0" applyNumberFormat="1" applyFont="1" applyFill="1" applyBorder="1" applyAlignment="1">
      <alignment horizontal="center" vertical="center"/>
    </xf>
    <xf numFmtId="0" fontId="47" fillId="0" borderId="17" xfId="0" applyFont="1" applyBorder="1" applyAlignment="1">
      <alignment horizontal="left" vertical="center" wrapText="1"/>
    </xf>
    <xf numFmtId="0" fontId="47" fillId="0" borderId="9" xfId="0" applyFont="1" applyBorder="1" applyAlignment="1">
      <alignment horizontal="center" vertical="center"/>
    </xf>
    <xf numFmtId="188" fontId="1" fillId="0" borderId="0" xfId="0" applyNumberFormat="1" applyFont="1">
      <alignment vertical="center"/>
    </xf>
    <xf numFmtId="10" fontId="1" fillId="0" borderId="0" xfId="0" applyNumberFormat="1" applyFont="1">
      <alignment vertical="center"/>
    </xf>
    <xf numFmtId="189" fontId="47" fillId="0" borderId="9" xfId="0" applyNumberFormat="1" applyFont="1" applyFill="1" applyBorder="1" applyAlignment="1">
      <alignment vertical="center" shrinkToFit="1"/>
    </xf>
    <xf numFmtId="9" fontId="47" fillId="0" borderId="9" xfId="0" applyNumberFormat="1" applyFont="1" applyFill="1" applyBorder="1" applyAlignment="1">
      <alignment vertical="center" shrinkToFit="1"/>
    </xf>
    <xf numFmtId="0" fontId="47" fillId="0" borderId="17" xfId="0" applyFont="1" applyBorder="1" applyAlignment="1">
      <alignment horizontal="center" vertical="center" wrapText="1"/>
    </xf>
    <xf numFmtId="41" fontId="47" fillId="0" borderId="9" xfId="0" applyNumberFormat="1" applyFont="1" applyBorder="1" applyAlignment="1">
      <alignment horizontal="center" vertical="center"/>
    </xf>
    <xf numFmtId="41" fontId="47" fillId="0" borderId="17" xfId="0" applyNumberFormat="1" applyFont="1" applyBorder="1" applyAlignment="1">
      <alignment horizontal="center" vertical="center"/>
    </xf>
    <xf numFmtId="184" fontId="45" fillId="0" borderId="18" xfId="0" quotePrefix="1" applyNumberFormat="1" applyFont="1" applyBorder="1" applyAlignment="1">
      <alignment vertical="center" shrinkToFit="1"/>
    </xf>
    <xf numFmtId="43" fontId="1" fillId="0" borderId="0" xfId="0" applyNumberFormat="1" applyFont="1">
      <alignment vertical="center"/>
    </xf>
    <xf numFmtId="41" fontId="1" fillId="0" borderId="0" xfId="0" applyNumberFormat="1" applyFont="1" applyAlignment="1">
      <alignment vertical="center"/>
    </xf>
    <xf numFmtId="0" fontId="1" fillId="0" borderId="18" xfId="0" applyFont="1" applyBorder="1">
      <alignment vertical="center"/>
    </xf>
    <xf numFmtId="184" fontId="46" fillId="0" borderId="18" xfId="0" quotePrefix="1" applyNumberFormat="1" applyFont="1" applyBorder="1" applyAlignment="1">
      <alignment vertical="center" shrinkToFit="1"/>
    </xf>
    <xf numFmtId="184" fontId="46" fillId="0" borderId="18" xfId="0" applyNumberFormat="1" applyFont="1" applyBorder="1" applyAlignment="1">
      <alignment vertical="center" shrinkToFit="1"/>
    </xf>
    <xf numFmtId="41" fontId="50" fillId="13" borderId="9" xfId="0" applyNumberFormat="1" applyFont="1" applyFill="1" applyBorder="1" applyAlignment="1">
      <alignment horizontal="center" vertical="center"/>
    </xf>
    <xf numFmtId="0" fontId="52" fillId="0" borderId="0" xfId="0" applyFont="1" applyAlignment="1">
      <alignment horizontal="right" vertical="center"/>
    </xf>
    <xf numFmtId="0" fontId="52" fillId="0" borderId="0" xfId="0" quotePrefix="1" applyFont="1">
      <alignment vertical="center"/>
    </xf>
    <xf numFmtId="0" fontId="50" fillId="0" borderId="0" xfId="0" quotePrefix="1" applyFont="1">
      <alignment vertical="center"/>
    </xf>
    <xf numFmtId="190" fontId="15" fillId="6" borderId="33" xfId="0" applyNumberFormat="1" applyFont="1" applyFill="1" applyBorder="1" applyAlignment="1">
      <alignment horizontal="center" vertical="center" shrinkToFit="1"/>
    </xf>
    <xf numFmtId="0" fontId="13" fillId="5" borderId="9" xfId="0" applyFont="1" applyFill="1" applyBorder="1" applyAlignment="1">
      <alignment horizontal="center" vertical="center"/>
    </xf>
    <xf numFmtId="0" fontId="13" fillId="5" borderId="23" xfId="0" applyFont="1" applyFill="1" applyBorder="1" applyAlignment="1">
      <alignment horizontal="center" vertical="center"/>
    </xf>
    <xf numFmtId="41" fontId="13" fillId="6" borderId="22" xfId="0" applyNumberFormat="1" applyFont="1" applyFill="1" applyBorder="1" applyAlignment="1">
      <alignment horizontal="center" vertical="center"/>
    </xf>
    <xf numFmtId="0" fontId="54" fillId="2" borderId="9" xfId="0" applyFont="1" applyFill="1" applyBorder="1" applyAlignment="1">
      <alignment horizontal="center" vertical="center"/>
    </xf>
    <xf numFmtId="41" fontId="54" fillId="2" borderId="23" xfId="0" applyNumberFormat="1" applyFont="1" applyFill="1" applyBorder="1" applyAlignment="1">
      <alignment horizontal="center" vertical="center"/>
    </xf>
    <xf numFmtId="41" fontId="54" fillId="2" borderId="13" xfId="0" applyNumberFormat="1" applyFont="1" applyFill="1" applyBorder="1" applyAlignment="1">
      <alignment horizontal="center" vertical="center"/>
    </xf>
    <xf numFmtId="41" fontId="54" fillId="2" borderId="9" xfId="0" applyNumberFormat="1" applyFont="1" applyFill="1" applyBorder="1" applyAlignment="1">
      <alignment horizontal="center" vertical="center"/>
    </xf>
    <xf numFmtId="41" fontId="54" fillId="2" borderId="12" xfId="0" applyNumberFormat="1" applyFont="1" applyFill="1" applyBorder="1" applyAlignment="1">
      <alignment horizontal="center" vertical="center"/>
    </xf>
    <xf numFmtId="41" fontId="55" fillId="2" borderId="9" xfId="0" applyNumberFormat="1" applyFont="1" applyFill="1" applyBorder="1" applyAlignment="1">
      <alignment vertical="center"/>
    </xf>
    <xf numFmtId="41" fontId="50" fillId="0" borderId="0" xfId="0" applyNumberFormat="1" applyFont="1" applyFill="1">
      <alignment vertical="center"/>
    </xf>
    <xf numFmtId="0" fontId="12" fillId="0" borderId="12" xfId="0" applyFont="1" applyBorder="1" applyAlignment="1">
      <alignment vertical="center"/>
    </xf>
    <xf numFmtId="41" fontId="22" fillId="0" borderId="9" xfId="0" applyNumberFormat="1" applyFont="1" applyBorder="1" applyAlignment="1">
      <alignment vertical="center"/>
    </xf>
    <xf numFmtId="41" fontId="22" fillId="0" borderId="12" xfId="0" applyNumberFormat="1" applyFont="1" applyBorder="1" applyAlignment="1">
      <alignment vertical="center"/>
    </xf>
    <xf numFmtId="0" fontId="21" fillId="0" borderId="44" xfId="0" applyFont="1" applyBorder="1">
      <alignment vertical="center"/>
    </xf>
    <xf numFmtId="0" fontId="21" fillId="0" borderId="0" xfId="0" applyFont="1" applyBorder="1">
      <alignment vertical="center"/>
    </xf>
    <xf numFmtId="0" fontId="13" fillId="0" borderId="0" xfId="0" applyFont="1" applyBorder="1" applyAlignment="1">
      <alignment horizontal="right"/>
    </xf>
    <xf numFmtId="0" fontId="13" fillId="0" borderId="45" xfId="0" applyFont="1" applyBorder="1" applyAlignment="1">
      <alignment horizontal="right" vertical="center"/>
    </xf>
    <xf numFmtId="0" fontId="13" fillId="5" borderId="17" xfId="0" applyFont="1" applyFill="1" applyBorder="1" applyAlignment="1">
      <alignment horizontal="center" vertical="center"/>
    </xf>
    <xf numFmtId="0" fontId="13" fillId="0" borderId="17" xfId="0" applyFont="1" applyBorder="1">
      <alignment vertical="center"/>
    </xf>
    <xf numFmtId="0" fontId="12" fillId="0" borderId="17" xfId="0" applyFont="1" applyBorder="1">
      <alignment vertical="center"/>
    </xf>
    <xf numFmtId="0" fontId="13" fillId="0" borderId="17" xfId="0" applyFont="1" applyBorder="1" applyAlignment="1">
      <alignment horizontal="left" vertical="center"/>
    </xf>
    <xf numFmtId="41" fontId="23" fillId="6" borderId="17" xfId="0" applyNumberFormat="1" applyFont="1" applyFill="1" applyBorder="1" applyAlignment="1">
      <alignment horizontal="left" vertical="center" indent="1"/>
    </xf>
    <xf numFmtId="0" fontId="13" fillId="4" borderId="18" xfId="0" applyFont="1" applyFill="1" applyBorder="1" applyAlignment="1">
      <alignment horizontal="center" vertical="center"/>
    </xf>
    <xf numFmtId="0" fontId="13" fillId="0" borderId="44" xfId="0" applyFont="1" applyBorder="1">
      <alignment vertical="center"/>
    </xf>
    <xf numFmtId="0" fontId="21" fillId="0" borderId="45" xfId="0" applyFont="1" applyBorder="1">
      <alignment vertical="center"/>
    </xf>
    <xf numFmtId="0" fontId="13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0" fontId="54" fillId="2" borderId="12" xfId="0" applyFont="1" applyFill="1" applyBorder="1" applyAlignment="1">
      <alignment vertical="center"/>
    </xf>
    <xf numFmtId="41" fontId="13" fillId="6" borderId="24" xfId="0" applyNumberFormat="1" applyFont="1" applyFill="1" applyBorder="1" applyAlignment="1">
      <alignment horizontal="center" vertical="center"/>
    </xf>
    <xf numFmtId="41" fontId="12" fillId="0" borderId="10" xfId="0" applyNumberFormat="1" applyFont="1" applyBorder="1" applyAlignment="1">
      <alignment horizontal="center" vertical="center"/>
    </xf>
    <xf numFmtId="41" fontId="12" fillId="0" borderId="11" xfId="0" applyNumberFormat="1" applyFont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177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3" fillId="0" borderId="0" xfId="0" applyFont="1">
      <alignment vertical="center"/>
    </xf>
    <xf numFmtId="0" fontId="18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4" borderId="14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20" fillId="4" borderId="9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0" fontId="53" fillId="2" borderId="0" xfId="0" applyFont="1" applyFill="1" applyAlignment="1">
      <alignment horizontal="center" vertical="center"/>
    </xf>
    <xf numFmtId="184" fontId="50" fillId="13" borderId="14" xfId="0" applyNumberFormat="1" applyFont="1" applyFill="1" applyBorder="1" applyAlignment="1">
      <alignment horizontal="center" vertical="center"/>
    </xf>
    <xf numFmtId="184" fontId="50" fillId="13" borderId="17" xfId="0" applyNumberFormat="1" applyFont="1" applyFill="1" applyBorder="1" applyAlignment="1">
      <alignment horizontal="center" vertical="center"/>
    </xf>
    <xf numFmtId="184" fontId="50" fillId="13" borderId="15" xfId="0" applyNumberFormat="1" applyFont="1" applyFill="1" applyBorder="1" applyAlignment="1">
      <alignment horizontal="center" vertical="center"/>
    </xf>
    <xf numFmtId="184" fontId="50" fillId="13" borderId="9" xfId="0" applyNumberFormat="1" applyFont="1" applyFill="1" applyBorder="1" applyAlignment="1">
      <alignment horizontal="center" vertical="center"/>
    </xf>
    <xf numFmtId="41" fontId="50" fillId="13" borderId="15" xfId="0" applyNumberFormat="1" applyFont="1" applyFill="1" applyBorder="1" applyAlignment="1">
      <alignment horizontal="center" vertical="center"/>
    </xf>
    <xf numFmtId="41" fontId="50" fillId="13" borderId="9" xfId="0" applyNumberFormat="1" applyFont="1" applyFill="1" applyBorder="1" applyAlignment="1">
      <alignment horizontal="center" vertical="center"/>
    </xf>
    <xf numFmtId="41" fontId="49" fillId="13" borderId="16" xfId="0" applyNumberFormat="1" applyFont="1" applyFill="1" applyBorder="1" applyAlignment="1">
      <alignment horizontal="center" vertical="center" shrinkToFit="1"/>
    </xf>
    <xf numFmtId="41" fontId="49" fillId="13" borderId="18" xfId="0" applyNumberFormat="1" applyFont="1" applyFill="1" applyBorder="1" applyAlignment="1">
      <alignment horizontal="center" vertical="center" shrinkToFit="1"/>
    </xf>
    <xf numFmtId="0" fontId="13" fillId="0" borderId="47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4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41" fontId="23" fillId="6" borderId="12" xfId="0" applyNumberFormat="1" applyFont="1" applyFill="1" applyBorder="1" applyAlignment="1">
      <alignment horizontal="center" vertical="center"/>
    </xf>
    <xf numFmtId="41" fontId="23" fillId="6" borderId="13" xfId="0" applyNumberFormat="1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6" borderId="24" xfId="0" applyFont="1" applyFill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54" fillId="2" borderId="47" xfId="0" applyFont="1" applyFill="1" applyBorder="1" applyAlignment="1">
      <alignment horizontal="center" vertical="center"/>
    </xf>
    <xf numFmtId="0" fontId="54" fillId="2" borderId="24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13" fillId="5" borderId="1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3" fillId="4" borderId="48" xfId="0" applyFont="1" applyFill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/>
    </xf>
    <xf numFmtId="0" fontId="25" fillId="2" borderId="24" xfId="0" applyFont="1" applyFill="1" applyBorder="1" applyAlignment="1">
      <alignment horizontal="center" vertical="center"/>
    </xf>
    <xf numFmtId="0" fontId="25" fillId="2" borderId="13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 wrapText="1"/>
    </xf>
    <xf numFmtId="0" fontId="15" fillId="6" borderId="41" xfId="0" applyNumberFormat="1" applyFont="1" applyFill="1" applyBorder="1" applyAlignment="1">
      <alignment horizontal="center" vertical="center"/>
    </xf>
    <xf numFmtId="0" fontId="15" fillId="6" borderId="42" xfId="0" applyNumberFormat="1" applyFont="1" applyFill="1" applyBorder="1" applyAlignment="1">
      <alignment horizontal="center" vertical="center"/>
    </xf>
    <xf numFmtId="0" fontId="15" fillId="6" borderId="43" xfId="0" applyNumberFormat="1" applyFont="1" applyFill="1" applyBorder="1" applyAlignment="1">
      <alignment horizontal="center" vertical="center"/>
    </xf>
    <xf numFmtId="0" fontId="33" fillId="2" borderId="41" xfId="0" applyNumberFormat="1" applyFont="1" applyFill="1" applyBorder="1" applyAlignment="1">
      <alignment horizontal="center" vertical="center"/>
    </xf>
    <xf numFmtId="0" fontId="33" fillId="2" borderId="42" xfId="0" applyNumberFormat="1" applyFont="1" applyFill="1" applyBorder="1" applyAlignment="1">
      <alignment horizontal="center" vertical="center"/>
    </xf>
    <xf numFmtId="0" fontId="33" fillId="2" borderId="43" xfId="0" applyNumberFormat="1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0" fontId="26" fillId="0" borderId="32" xfId="0" applyFont="1" applyBorder="1" applyAlignment="1">
      <alignment horizontal="center" vertical="center" wrapText="1"/>
    </xf>
    <xf numFmtId="0" fontId="27" fillId="5" borderId="12" xfId="0" applyFont="1" applyFill="1" applyBorder="1" applyAlignment="1">
      <alignment horizontal="center" vertical="center" wrapText="1"/>
    </xf>
    <xf numFmtId="0" fontId="27" fillId="5" borderId="24" xfId="0" applyFont="1" applyFill="1" applyBorder="1" applyAlignment="1">
      <alignment horizontal="center" vertical="center" wrapText="1"/>
    </xf>
    <xf numFmtId="0" fontId="27" fillId="5" borderId="13" xfId="0" applyFont="1" applyFill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24" xfId="0" applyFont="1" applyBorder="1" applyAlignment="1">
      <alignment horizontal="center" vertical="center" wrapText="1"/>
    </xf>
    <xf numFmtId="181" fontId="28" fillId="0" borderId="13" xfId="0" applyNumberFormat="1" applyFont="1" applyBorder="1" applyAlignment="1">
      <alignment horizontal="center" vertical="center" wrapText="1"/>
    </xf>
    <xf numFmtId="0" fontId="37" fillId="0" borderId="12" xfId="0" applyFont="1" applyBorder="1" applyAlignment="1">
      <alignment horizontal="center" vertical="center"/>
    </xf>
    <xf numFmtId="0" fontId="37" fillId="0" borderId="24" xfId="0" applyFont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21" fillId="8" borderId="9" xfId="0" applyFont="1" applyFill="1" applyBorder="1" applyAlignment="1">
      <alignment horizontal="center" vertical="center"/>
    </xf>
    <xf numFmtId="0" fontId="37" fillId="0" borderId="9" xfId="0" applyFont="1" applyBorder="1" applyAlignment="1">
      <alignment horizontal="center" vertical="center"/>
    </xf>
    <xf numFmtId="0" fontId="42" fillId="10" borderId="9" xfId="0" applyFont="1" applyFill="1" applyBorder="1" applyAlignment="1">
      <alignment horizontal="center" vertical="center"/>
    </xf>
    <xf numFmtId="49" fontId="42" fillId="10" borderId="9" xfId="0" applyNumberFormat="1" applyFont="1" applyFill="1" applyBorder="1" applyAlignment="1">
      <alignment horizontal="center" vertical="center"/>
    </xf>
    <xf numFmtId="43" fontId="42" fillId="1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</cellXfs>
  <cellStyles count="1">
    <cellStyle name="표준" xfId="0" builtinId="0"/>
  </cellStyles>
  <dxfs count="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11</xdr:col>
      <xdr:colOff>0</xdr:colOff>
      <xdr:row>5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504265"/>
          <a:ext cx="3675530" cy="11682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5</xdr:row>
      <xdr:rowOff>161925</xdr:rowOff>
    </xdr:from>
    <xdr:to>
      <xdr:col>11</xdr:col>
      <xdr:colOff>9525</xdr:colOff>
      <xdr:row>10</xdr:row>
      <xdr:rowOff>100853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1786778"/>
          <a:ext cx="3685055" cy="1339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10</xdr:row>
      <xdr:rowOff>179293</xdr:rowOff>
    </xdr:from>
    <xdr:to>
      <xdr:col>11</xdr:col>
      <xdr:colOff>0</xdr:colOff>
      <xdr:row>14</xdr:row>
      <xdr:rowOff>179294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7882" y="3204881"/>
          <a:ext cx="3675530" cy="11205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8</xdr:col>
      <xdr:colOff>313764</xdr:colOff>
      <xdr:row>23</xdr:row>
      <xdr:rowOff>156882</xdr:rowOff>
    </xdr:from>
    <xdr:ext cx="628401" cy="591366"/>
    <xdr:pic>
      <xdr:nvPicPr>
        <xdr:cNvPr id="5" name="Picture 24">
          <a:extLst>
            <a:ext uri="{FF2B5EF4-FFF2-40B4-BE49-F238E27FC236}">
              <a16:creationId xmlns:a16="http://schemas.microsoft.com/office/drawing/2014/main" id="{68B73E7A-128C-4B68-98D4-0199792AD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114864" y="6424332"/>
          <a:ext cx="628401" cy="5913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777875</xdr:colOff>
      <xdr:row>52</xdr:row>
      <xdr:rowOff>79375</xdr:rowOff>
    </xdr:from>
    <xdr:to>
      <xdr:col>10</xdr:col>
      <xdr:colOff>682870</xdr:colOff>
      <xdr:row>59</xdr:row>
      <xdr:rowOff>31750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2A696AD-36D6-6DA6-E48A-1B7E3CC8363A}"/>
            </a:ext>
          </a:extLst>
        </xdr:cNvPr>
        <xdr:cNvSpPr/>
      </xdr:nvSpPr>
      <xdr:spPr>
        <a:xfrm>
          <a:off x="11398250" y="17891125"/>
          <a:ext cx="920995" cy="1397000"/>
        </a:xfrm>
        <a:prstGeom prst="rect">
          <a:avLst/>
        </a:prstGeom>
        <a:noFill/>
        <a:ln w="19050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539750</xdr:colOff>
      <xdr:row>1</xdr:row>
      <xdr:rowOff>79375</xdr:rowOff>
    </xdr:from>
    <xdr:to>
      <xdr:col>4</xdr:col>
      <xdr:colOff>158750</xdr:colOff>
      <xdr:row>51</xdr:row>
      <xdr:rowOff>190500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4064000" y="555625"/>
          <a:ext cx="933450" cy="17246600"/>
        </a:xfrm>
        <a:prstGeom prst="rect">
          <a:avLst/>
        </a:prstGeom>
        <a:noFill/>
        <a:ln w="1270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677741</xdr:colOff>
      <xdr:row>52</xdr:row>
      <xdr:rowOff>82794</xdr:rowOff>
    </xdr:from>
    <xdr:to>
      <xdr:col>12</xdr:col>
      <xdr:colOff>1334966</xdr:colOff>
      <xdr:row>59</xdr:row>
      <xdr:rowOff>54219</xdr:rowOff>
    </xdr:to>
    <xdr:grpSp>
      <xdr:nvGrpSpPr>
        <xdr:cNvPr id="2051" name="Group 3">
          <a:extLst>
            <a:ext uri="{FF2B5EF4-FFF2-40B4-BE49-F238E27FC236}">
              <a16:creationId xmlns:a16="http://schemas.microsoft.com/office/drawing/2014/main" id="{1C091012-2E0E-7E53-D48B-C7CC0100074E}"/>
            </a:ext>
          </a:extLst>
        </xdr:cNvPr>
        <xdr:cNvGrpSpPr>
          <a:grpSpLocks noChangeAspect="1"/>
        </xdr:cNvGrpSpPr>
      </xdr:nvGrpSpPr>
      <xdr:grpSpPr bwMode="auto">
        <a:xfrm>
          <a:off x="12296336" y="3244758"/>
          <a:ext cx="3012365" cy="1542153"/>
          <a:chOff x="475" y="1880"/>
          <a:chExt cx="303" cy="151"/>
        </a:xfrm>
      </xdr:grpSpPr>
      <xdr:sp macro="" textlink="">
        <xdr:nvSpPr>
          <xdr:cNvPr id="2052" name="Rectangle 4">
            <a:extLst>
              <a:ext uri="{FF2B5EF4-FFF2-40B4-BE49-F238E27FC236}">
                <a16:creationId xmlns:a16="http://schemas.microsoft.com/office/drawing/2014/main" id="{8B88C853-E828-1B6A-FF21-E65F6C46E1E0}"/>
              </a:ext>
            </a:extLst>
          </xdr:cNvPr>
          <xdr:cNvSpPr>
            <a:spLocks noChangeArrowheads="1"/>
          </xdr:cNvSpPr>
        </xdr:nvSpPr>
        <xdr:spPr bwMode="auto">
          <a:xfrm>
            <a:off x="500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구   분</a:t>
            </a:r>
          </a:p>
        </xdr:txBody>
      </xdr:sp>
      <xdr:sp macro="" textlink="">
        <xdr:nvSpPr>
          <xdr:cNvPr id="2053" name="Rectangle 5">
            <a:extLst>
              <a:ext uri="{FF2B5EF4-FFF2-40B4-BE49-F238E27FC236}">
                <a16:creationId xmlns:a16="http://schemas.microsoft.com/office/drawing/2014/main" id="{CD880D5C-7101-7DAC-9376-7367D2890F19}"/>
              </a:ext>
            </a:extLst>
          </xdr:cNvPr>
          <xdr:cNvSpPr>
            <a:spLocks noChangeArrowheads="1"/>
          </xdr:cNvSpPr>
        </xdr:nvSpPr>
        <xdr:spPr bwMode="auto">
          <a:xfrm>
            <a:off x="651" y="1889"/>
            <a:ext cx="70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확   인</a:t>
            </a:r>
          </a:p>
        </xdr:txBody>
      </xdr:sp>
      <xdr:sp macro="" textlink="">
        <xdr:nvSpPr>
          <xdr:cNvPr id="2054" name="Rectangle 6">
            <a:extLst>
              <a:ext uri="{FF2B5EF4-FFF2-40B4-BE49-F238E27FC236}">
                <a16:creationId xmlns:a16="http://schemas.microsoft.com/office/drawing/2014/main" id="{61E1C243-ABEA-1EFA-F847-7BEE6630373B}"/>
              </a:ext>
            </a:extLst>
          </xdr:cNvPr>
          <xdr:cNvSpPr>
            <a:spLocks noChangeArrowheads="1"/>
          </xdr:cNvSpPr>
        </xdr:nvSpPr>
        <xdr:spPr bwMode="auto">
          <a:xfrm>
            <a:off x="508" y="1938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품 질</a:t>
            </a:r>
          </a:p>
        </xdr:txBody>
      </xdr:sp>
      <xdr:sp macro="" textlink="">
        <xdr:nvSpPr>
          <xdr:cNvPr id="2055" name="Rectangle 7">
            <a:extLst>
              <a:ext uri="{FF2B5EF4-FFF2-40B4-BE49-F238E27FC236}">
                <a16:creationId xmlns:a16="http://schemas.microsoft.com/office/drawing/2014/main" id="{15D3B28B-3354-78A6-B10C-1C9F4884F2E0}"/>
              </a:ext>
            </a:extLst>
          </xdr:cNvPr>
          <xdr:cNvSpPr>
            <a:spLocks noChangeArrowheads="1"/>
          </xdr:cNvSpPr>
        </xdr:nvSpPr>
        <xdr:spPr bwMode="auto">
          <a:xfrm>
            <a:off x="612" y="1938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재 윤     </a:t>
            </a:r>
          </a:p>
        </xdr:txBody>
      </xdr:sp>
      <xdr:sp macro="" textlink="">
        <xdr:nvSpPr>
          <xdr:cNvPr id="2056" name="Rectangle 8">
            <a:extLst>
              <a:ext uri="{FF2B5EF4-FFF2-40B4-BE49-F238E27FC236}">
                <a16:creationId xmlns:a16="http://schemas.microsoft.com/office/drawing/2014/main" id="{3D1BA967-ECE0-6F05-FFF5-DE000FFBE2DB}"/>
              </a:ext>
            </a:extLst>
          </xdr:cNvPr>
          <xdr:cNvSpPr>
            <a:spLocks noChangeArrowheads="1"/>
          </xdr:cNvSpPr>
        </xdr:nvSpPr>
        <xdr:spPr bwMode="auto">
          <a:xfrm>
            <a:off x="718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57" name="Rectangle 9">
            <a:extLst>
              <a:ext uri="{FF2B5EF4-FFF2-40B4-BE49-F238E27FC236}">
                <a16:creationId xmlns:a16="http://schemas.microsoft.com/office/drawing/2014/main" id="{521A5B01-EB1C-6392-7504-536D1A11C869}"/>
              </a:ext>
            </a:extLst>
          </xdr:cNvPr>
          <xdr:cNvSpPr>
            <a:spLocks noChangeArrowheads="1"/>
          </xdr:cNvSpPr>
        </xdr:nvSpPr>
        <xdr:spPr bwMode="auto">
          <a:xfrm>
            <a:off x="725" y="1938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58" name="Rectangle 10">
            <a:extLst>
              <a:ext uri="{FF2B5EF4-FFF2-40B4-BE49-F238E27FC236}">
                <a16:creationId xmlns:a16="http://schemas.microsoft.com/office/drawing/2014/main" id="{BF2B5AC6-75CD-0719-D2FD-B6E1A1BD2D55}"/>
              </a:ext>
            </a:extLst>
          </xdr:cNvPr>
          <xdr:cNvSpPr>
            <a:spLocks noChangeArrowheads="1"/>
          </xdr:cNvSpPr>
        </xdr:nvSpPr>
        <xdr:spPr bwMode="auto">
          <a:xfrm>
            <a:off x="747" y="1938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59" name="Rectangle 11">
            <a:extLst>
              <a:ext uri="{FF2B5EF4-FFF2-40B4-BE49-F238E27FC236}">
                <a16:creationId xmlns:a16="http://schemas.microsoft.com/office/drawing/2014/main" id="{53E8B429-87C7-4C09-D14B-EA16EDFA4427}"/>
              </a:ext>
            </a:extLst>
          </xdr:cNvPr>
          <xdr:cNvSpPr>
            <a:spLocks noChangeArrowheads="1"/>
          </xdr:cNvSpPr>
        </xdr:nvSpPr>
        <xdr:spPr bwMode="auto">
          <a:xfrm>
            <a:off x="508" y="1987"/>
            <a:ext cx="54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공 무</a:t>
            </a:r>
          </a:p>
        </xdr:txBody>
      </xdr:sp>
      <xdr:sp macro="" textlink="">
        <xdr:nvSpPr>
          <xdr:cNvPr id="2060" name="Rectangle 12">
            <a:extLst>
              <a:ext uri="{FF2B5EF4-FFF2-40B4-BE49-F238E27FC236}">
                <a16:creationId xmlns:a16="http://schemas.microsoft.com/office/drawing/2014/main" id="{AC2BAA3D-CBE8-915D-16B4-4660E3D3DAC1}"/>
              </a:ext>
            </a:extLst>
          </xdr:cNvPr>
          <xdr:cNvSpPr>
            <a:spLocks noChangeArrowheads="1"/>
          </xdr:cNvSpPr>
        </xdr:nvSpPr>
        <xdr:spPr bwMode="auto">
          <a:xfrm>
            <a:off x="612" y="1987"/>
            <a:ext cx="120" cy="3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김 정 환     </a:t>
            </a:r>
          </a:p>
        </xdr:txBody>
      </xdr:sp>
      <xdr:sp macro="" textlink="">
        <xdr:nvSpPr>
          <xdr:cNvPr id="2061" name="Rectangle 13">
            <a:extLst>
              <a:ext uri="{FF2B5EF4-FFF2-40B4-BE49-F238E27FC236}">
                <a16:creationId xmlns:a16="http://schemas.microsoft.com/office/drawing/2014/main" id="{80A577B4-8EAD-EED6-42D7-D150B716D44D}"/>
              </a:ext>
            </a:extLst>
          </xdr:cNvPr>
          <xdr:cNvSpPr>
            <a:spLocks noChangeArrowheads="1"/>
          </xdr:cNvSpPr>
        </xdr:nvSpPr>
        <xdr:spPr bwMode="auto">
          <a:xfrm>
            <a:off x="718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(</a:t>
            </a:r>
          </a:p>
        </xdr:txBody>
      </xdr:sp>
      <xdr:sp macro="" textlink="">
        <xdr:nvSpPr>
          <xdr:cNvPr id="2062" name="Rectangle 14">
            <a:extLst>
              <a:ext uri="{FF2B5EF4-FFF2-40B4-BE49-F238E27FC236}">
                <a16:creationId xmlns:a16="http://schemas.microsoft.com/office/drawing/2014/main" id="{C7AA1A71-90E1-4FD7-F72C-F1A7ADB8860C}"/>
              </a:ext>
            </a:extLst>
          </xdr:cNvPr>
          <xdr:cNvSpPr>
            <a:spLocks noChangeArrowheads="1"/>
          </xdr:cNvSpPr>
        </xdr:nvSpPr>
        <xdr:spPr bwMode="auto">
          <a:xfrm>
            <a:off x="725" y="1987"/>
            <a:ext cx="23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인</a:t>
            </a:r>
          </a:p>
        </xdr:txBody>
      </xdr:sp>
      <xdr:sp macro="" textlink="">
        <xdr:nvSpPr>
          <xdr:cNvPr id="2063" name="Rectangle 15">
            <a:extLst>
              <a:ext uri="{FF2B5EF4-FFF2-40B4-BE49-F238E27FC236}">
                <a16:creationId xmlns:a16="http://schemas.microsoft.com/office/drawing/2014/main" id="{1FA31970-1CE4-DE3D-795E-6CA6EFBD739D}"/>
              </a:ext>
            </a:extLst>
          </xdr:cNvPr>
          <xdr:cNvSpPr>
            <a:spLocks noChangeArrowheads="1"/>
          </xdr:cNvSpPr>
        </xdr:nvSpPr>
        <xdr:spPr bwMode="auto">
          <a:xfrm>
            <a:off x="747" y="1987"/>
            <a:ext cx="7" cy="4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7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)</a:t>
            </a:r>
          </a:p>
        </xdr:txBody>
      </xdr:sp>
      <xdr:sp macro="" textlink="">
        <xdr:nvSpPr>
          <xdr:cNvPr id="2064" name="Rectangle 16">
            <a:extLst>
              <a:ext uri="{FF2B5EF4-FFF2-40B4-BE49-F238E27FC236}">
                <a16:creationId xmlns:a16="http://schemas.microsoft.com/office/drawing/2014/main" id="{F4983D6B-2B7A-21D1-1D4B-A493FA2854F8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17">
            <a:extLst>
              <a:ext uri="{FF2B5EF4-FFF2-40B4-BE49-F238E27FC236}">
                <a16:creationId xmlns:a16="http://schemas.microsoft.com/office/drawing/2014/main" id="{891C768F-9AF8-81C5-0FFF-FD24EC1DE45A}"/>
              </a:ext>
            </a:extLst>
          </xdr:cNvPr>
          <xdr:cNvSpPr>
            <a:spLocks noChangeArrowheads="1"/>
          </xdr:cNvSpPr>
        </xdr:nvSpPr>
        <xdr:spPr bwMode="auto">
          <a:xfrm>
            <a:off x="590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83AA3BFA-AAF5-F8D9-5AD7-772B1A5D68AF}"/>
              </a:ext>
            </a:extLst>
          </xdr:cNvPr>
          <xdr:cNvSpPr>
            <a:spLocks noChangeShapeType="1"/>
          </xdr:cNvSpPr>
        </xdr:nvSpPr>
        <xdr:spPr bwMode="auto">
          <a:xfrm>
            <a:off x="477" y="1880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Rectangle 19">
            <a:extLst>
              <a:ext uri="{FF2B5EF4-FFF2-40B4-BE49-F238E27FC236}">
                <a16:creationId xmlns:a16="http://schemas.microsoft.com/office/drawing/2014/main" id="{6F2BC1FB-9E2D-7659-6C61-5EA31EE5176E}"/>
              </a:ext>
            </a:extLst>
          </xdr:cNvPr>
          <xdr:cNvSpPr>
            <a:spLocks noChangeArrowheads="1"/>
          </xdr:cNvSpPr>
        </xdr:nvSpPr>
        <xdr:spPr bwMode="auto">
          <a:xfrm>
            <a:off x="477" y="1880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8" name="Rectangle 20">
            <a:extLst>
              <a:ext uri="{FF2B5EF4-FFF2-40B4-BE49-F238E27FC236}">
                <a16:creationId xmlns:a16="http://schemas.microsoft.com/office/drawing/2014/main" id="{6C60A9BF-CD0E-E68E-848B-D46DB6CFDC7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0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D6FDBF84-EE64-8086-D042-B0FB7554D456}"/>
              </a:ext>
            </a:extLst>
          </xdr:cNvPr>
          <xdr:cNvSpPr>
            <a:spLocks noChangeShapeType="1"/>
          </xdr:cNvSpPr>
        </xdr:nvSpPr>
        <xdr:spPr bwMode="auto">
          <a:xfrm>
            <a:off x="477" y="1929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0" name="Rectangle 22">
            <a:extLst>
              <a:ext uri="{FF2B5EF4-FFF2-40B4-BE49-F238E27FC236}">
                <a16:creationId xmlns:a16="http://schemas.microsoft.com/office/drawing/2014/main" id="{0F002B9E-E815-0A23-0B06-BB622F336897}"/>
              </a:ext>
            </a:extLst>
          </xdr:cNvPr>
          <xdr:cNvSpPr>
            <a:spLocks noChangeArrowheads="1"/>
          </xdr:cNvSpPr>
        </xdr:nvSpPr>
        <xdr:spPr bwMode="auto">
          <a:xfrm>
            <a:off x="477" y="1929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C9BF5E87-B6DC-2287-71AD-B2965BC06CF6}"/>
              </a:ext>
            </a:extLst>
          </xdr:cNvPr>
          <xdr:cNvSpPr>
            <a:spLocks noChangeShapeType="1"/>
          </xdr:cNvSpPr>
        </xdr:nvSpPr>
        <xdr:spPr bwMode="auto">
          <a:xfrm>
            <a:off x="477" y="197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Rectangle 24">
            <a:extLst>
              <a:ext uri="{FF2B5EF4-FFF2-40B4-BE49-F238E27FC236}">
                <a16:creationId xmlns:a16="http://schemas.microsoft.com/office/drawing/2014/main" id="{ABF8EF7E-E612-E118-7FE1-47F0B2FE9BD5}"/>
              </a:ext>
            </a:extLst>
          </xdr:cNvPr>
          <xdr:cNvSpPr>
            <a:spLocks noChangeArrowheads="1"/>
          </xdr:cNvSpPr>
        </xdr:nvSpPr>
        <xdr:spPr bwMode="auto">
          <a:xfrm>
            <a:off x="477" y="1978"/>
            <a:ext cx="300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Line 25">
            <a:extLst>
              <a:ext uri="{FF2B5EF4-FFF2-40B4-BE49-F238E27FC236}">
                <a16:creationId xmlns:a16="http://schemas.microsoft.com/office/drawing/2014/main" id="{A59BE880-23DB-D008-290D-DBED1393D0FC}"/>
              </a:ext>
            </a:extLst>
          </xdr:cNvPr>
          <xdr:cNvSpPr>
            <a:spLocks noChangeShapeType="1"/>
          </xdr:cNvSpPr>
        </xdr:nvSpPr>
        <xdr:spPr bwMode="auto">
          <a:xfrm>
            <a:off x="475" y="1880"/>
            <a:ext cx="0" cy="149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4" name="Rectangle 26">
            <a:extLst>
              <a:ext uri="{FF2B5EF4-FFF2-40B4-BE49-F238E27FC236}">
                <a16:creationId xmlns:a16="http://schemas.microsoft.com/office/drawing/2014/main" id="{35395A9C-F173-6913-789A-05B03DA30C2A}"/>
              </a:ext>
            </a:extLst>
          </xdr:cNvPr>
          <xdr:cNvSpPr>
            <a:spLocks noChangeArrowheads="1"/>
          </xdr:cNvSpPr>
        </xdr:nvSpPr>
        <xdr:spPr bwMode="auto">
          <a:xfrm>
            <a:off x="475" y="1880"/>
            <a:ext cx="2" cy="149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A4FE1D6B-5807-3B73-8D10-B84BEEF6A6B5}"/>
              </a:ext>
            </a:extLst>
          </xdr:cNvPr>
          <xdr:cNvSpPr>
            <a:spLocks noChangeShapeType="1"/>
          </xdr:cNvSpPr>
        </xdr:nvSpPr>
        <xdr:spPr bwMode="auto">
          <a:xfrm>
            <a:off x="590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6" name="Rectangle 28">
            <a:extLst>
              <a:ext uri="{FF2B5EF4-FFF2-40B4-BE49-F238E27FC236}">
                <a16:creationId xmlns:a16="http://schemas.microsoft.com/office/drawing/2014/main" id="{5979402F-1249-19FF-12F6-1610C4F6FF0B}"/>
              </a:ext>
            </a:extLst>
          </xdr:cNvPr>
          <xdr:cNvSpPr>
            <a:spLocks noChangeArrowheads="1"/>
          </xdr:cNvSpPr>
        </xdr:nvSpPr>
        <xdr:spPr bwMode="auto">
          <a:xfrm>
            <a:off x="590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E3F9D6CB-5DC3-C2FA-1742-C9A88C8B8C84}"/>
              </a:ext>
            </a:extLst>
          </xdr:cNvPr>
          <xdr:cNvSpPr>
            <a:spLocks noChangeShapeType="1"/>
          </xdr:cNvSpPr>
        </xdr:nvSpPr>
        <xdr:spPr bwMode="auto">
          <a:xfrm>
            <a:off x="477" y="2028"/>
            <a:ext cx="300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Rectangle 30">
            <a:extLst>
              <a:ext uri="{FF2B5EF4-FFF2-40B4-BE49-F238E27FC236}">
                <a16:creationId xmlns:a16="http://schemas.microsoft.com/office/drawing/2014/main" id="{7713BB59-670F-1430-579F-3BE12CEC0AC8}"/>
              </a:ext>
            </a:extLst>
          </xdr:cNvPr>
          <xdr:cNvSpPr>
            <a:spLocks noChangeArrowheads="1"/>
          </xdr:cNvSpPr>
        </xdr:nvSpPr>
        <xdr:spPr bwMode="auto">
          <a:xfrm>
            <a:off x="477" y="2028"/>
            <a:ext cx="300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9" name="Line 31">
            <a:extLst>
              <a:ext uri="{FF2B5EF4-FFF2-40B4-BE49-F238E27FC236}">
                <a16:creationId xmlns:a16="http://schemas.microsoft.com/office/drawing/2014/main" id="{09A41913-E0EF-60FC-BC0F-9203D03845AD}"/>
              </a:ext>
            </a:extLst>
          </xdr:cNvPr>
          <xdr:cNvSpPr>
            <a:spLocks noChangeShapeType="1"/>
          </xdr:cNvSpPr>
        </xdr:nvSpPr>
        <xdr:spPr bwMode="auto">
          <a:xfrm>
            <a:off x="776" y="1882"/>
            <a:ext cx="0" cy="14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0" name="Rectangle 32">
            <a:extLst>
              <a:ext uri="{FF2B5EF4-FFF2-40B4-BE49-F238E27FC236}">
                <a16:creationId xmlns:a16="http://schemas.microsoft.com/office/drawing/2014/main" id="{79CB723C-7130-40D0-11F6-426B023F8316}"/>
              </a:ext>
            </a:extLst>
          </xdr:cNvPr>
          <xdr:cNvSpPr>
            <a:spLocks noChangeArrowheads="1"/>
          </xdr:cNvSpPr>
        </xdr:nvSpPr>
        <xdr:spPr bwMode="auto">
          <a:xfrm>
            <a:off x="776" y="1882"/>
            <a:ext cx="1" cy="14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Line 33">
            <a:extLst>
              <a:ext uri="{FF2B5EF4-FFF2-40B4-BE49-F238E27FC236}">
                <a16:creationId xmlns:a16="http://schemas.microsoft.com/office/drawing/2014/main" id="{F06D04DA-5D7C-AAF3-9CB0-0EADECF35868}"/>
              </a:ext>
            </a:extLst>
          </xdr:cNvPr>
          <xdr:cNvSpPr>
            <a:spLocks noChangeShapeType="1"/>
          </xdr:cNvSpPr>
        </xdr:nvSpPr>
        <xdr:spPr bwMode="auto">
          <a:xfrm>
            <a:off x="475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2" name="Rectangle 34">
            <a:extLst>
              <a:ext uri="{FF2B5EF4-FFF2-40B4-BE49-F238E27FC236}">
                <a16:creationId xmlns:a16="http://schemas.microsoft.com/office/drawing/2014/main" id="{36244F1C-B625-7721-65C6-D853B49D41D2}"/>
              </a:ext>
            </a:extLst>
          </xdr:cNvPr>
          <xdr:cNvSpPr>
            <a:spLocks noChangeArrowheads="1"/>
          </xdr:cNvSpPr>
        </xdr:nvSpPr>
        <xdr:spPr bwMode="auto">
          <a:xfrm>
            <a:off x="475" y="2029"/>
            <a:ext cx="2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5CF2E9E6-6C64-5B89-C680-6536AB6AF452}"/>
              </a:ext>
            </a:extLst>
          </xdr:cNvPr>
          <xdr:cNvSpPr>
            <a:spLocks noChangeShapeType="1"/>
          </xdr:cNvSpPr>
        </xdr:nvSpPr>
        <xdr:spPr bwMode="auto">
          <a:xfrm>
            <a:off x="590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4" name="Rectangle 36">
            <a:extLst>
              <a:ext uri="{FF2B5EF4-FFF2-40B4-BE49-F238E27FC236}">
                <a16:creationId xmlns:a16="http://schemas.microsoft.com/office/drawing/2014/main" id="{D1788C9D-B2A1-3B9A-B9A4-1E2FD2F1B5AF}"/>
              </a:ext>
            </a:extLst>
          </xdr:cNvPr>
          <xdr:cNvSpPr>
            <a:spLocks noChangeArrowheads="1"/>
          </xdr:cNvSpPr>
        </xdr:nvSpPr>
        <xdr:spPr bwMode="auto">
          <a:xfrm>
            <a:off x="590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Line 37">
            <a:extLst>
              <a:ext uri="{FF2B5EF4-FFF2-40B4-BE49-F238E27FC236}">
                <a16:creationId xmlns:a16="http://schemas.microsoft.com/office/drawing/2014/main" id="{8AB53304-9501-1D85-D8F9-3D54B411D0B8}"/>
              </a:ext>
            </a:extLst>
          </xdr:cNvPr>
          <xdr:cNvSpPr>
            <a:spLocks noChangeShapeType="1"/>
          </xdr:cNvSpPr>
        </xdr:nvSpPr>
        <xdr:spPr bwMode="auto">
          <a:xfrm>
            <a:off x="776" y="20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6" name="Rectangle 38">
            <a:extLst>
              <a:ext uri="{FF2B5EF4-FFF2-40B4-BE49-F238E27FC236}">
                <a16:creationId xmlns:a16="http://schemas.microsoft.com/office/drawing/2014/main" id="{931511A3-9088-6168-89AF-418F719F634B}"/>
              </a:ext>
            </a:extLst>
          </xdr:cNvPr>
          <xdr:cNvSpPr>
            <a:spLocks noChangeArrowheads="1"/>
          </xdr:cNvSpPr>
        </xdr:nvSpPr>
        <xdr:spPr bwMode="auto">
          <a:xfrm>
            <a:off x="776" y="20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39F8CB06-0A51-B068-FA64-3BBF9871B0BE}"/>
              </a:ext>
            </a:extLst>
          </xdr:cNvPr>
          <xdr:cNvSpPr>
            <a:spLocks noChangeShapeType="1"/>
          </xdr:cNvSpPr>
        </xdr:nvSpPr>
        <xdr:spPr bwMode="auto">
          <a:xfrm>
            <a:off x="777" y="1880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Rectangle 40">
            <a:extLst>
              <a:ext uri="{FF2B5EF4-FFF2-40B4-BE49-F238E27FC236}">
                <a16:creationId xmlns:a16="http://schemas.microsoft.com/office/drawing/2014/main" id="{6A429A0D-F910-68B9-4285-4DCC2476ABC6}"/>
              </a:ext>
            </a:extLst>
          </xdr:cNvPr>
          <xdr:cNvSpPr>
            <a:spLocks noChangeArrowheads="1"/>
          </xdr:cNvSpPr>
        </xdr:nvSpPr>
        <xdr:spPr bwMode="auto">
          <a:xfrm>
            <a:off x="777" y="1880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9" name="Line 41">
            <a:extLst>
              <a:ext uri="{FF2B5EF4-FFF2-40B4-BE49-F238E27FC236}">
                <a16:creationId xmlns:a16="http://schemas.microsoft.com/office/drawing/2014/main" id="{15A87687-A171-4CD5-031D-74AEB4452FA9}"/>
              </a:ext>
            </a:extLst>
          </xdr:cNvPr>
          <xdr:cNvSpPr>
            <a:spLocks noChangeShapeType="1"/>
          </xdr:cNvSpPr>
        </xdr:nvSpPr>
        <xdr:spPr bwMode="auto">
          <a:xfrm>
            <a:off x="777" y="1929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0" name="Rectangle 42">
            <a:extLst>
              <a:ext uri="{FF2B5EF4-FFF2-40B4-BE49-F238E27FC236}">
                <a16:creationId xmlns:a16="http://schemas.microsoft.com/office/drawing/2014/main" id="{3D159731-8FBA-A424-7F6E-F2EBFA205B24}"/>
              </a:ext>
            </a:extLst>
          </xdr:cNvPr>
          <xdr:cNvSpPr>
            <a:spLocks noChangeArrowheads="1"/>
          </xdr:cNvSpPr>
        </xdr:nvSpPr>
        <xdr:spPr bwMode="auto">
          <a:xfrm>
            <a:off x="777" y="1929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Line 43">
            <a:extLst>
              <a:ext uri="{FF2B5EF4-FFF2-40B4-BE49-F238E27FC236}">
                <a16:creationId xmlns:a16="http://schemas.microsoft.com/office/drawing/2014/main" id="{C42EBEFB-99BC-2662-5A28-357EB6725CF6}"/>
              </a:ext>
            </a:extLst>
          </xdr:cNvPr>
          <xdr:cNvSpPr>
            <a:spLocks noChangeShapeType="1"/>
          </xdr:cNvSpPr>
        </xdr:nvSpPr>
        <xdr:spPr bwMode="auto">
          <a:xfrm>
            <a:off x="777" y="197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2" name="Rectangle 44">
            <a:extLst>
              <a:ext uri="{FF2B5EF4-FFF2-40B4-BE49-F238E27FC236}">
                <a16:creationId xmlns:a16="http://schemas.microsoft.com/office/drawing/2014/main" id="{C4CA0C80-34C3-18A1-51E0-F9DB5A665D21}"/>
              </a:ext>
            </a:extLst>
          </xdr:cNvPr>
          <xdr:cNvSpPr>
            <a:spLocks noChangeArrowheads="1"/>
          </xdr:cNvSpPr>
        </xdr:nvSpPr>
        <xdr:spPr bwMode="auto">
          <a:xfrm>
            <a:off x="777" y="1978"/>
            <a:ext cx="1" cy="2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0BB13F34-4C12-EC41-085D-6CAC026EF376}"/>
              </a:ext>
            </a:extLst>
          </xdr:cNvPr>
          <xdr:cNvSpPr>
            <a:spLocks noChangeShapeType="1"/>
          </xdr:cNvSpPr>
        </xdr:nvSpPr>
        <xdr:spPr bwMode="auto">
          <a:xfrm>
            <a:off x="777" y="2028"/>
            <a:ext cx="1" cy="1"/>
          </a:xfrm>
          <a:prstGeom prst="line">
            <a:avLst/>
          </a:prstGeom>
          <a:noFill/>
          <a:ln w="0">
            <a:solidFill>
              <a:srgbClr val="D4D4D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Rectangle 46">
            <a:extLst>
              <a:ext uri="{FF2B5EF4-FFF2-40B4-BE49-F238E27FC236}">
                <a16:creationId xmlns:a16="http://schemas.microsoft.com/office/drawing/2014/main" id="{4F1AEAC3-09EA-BDD5-7210-D1ED03A2F287}"/>
              </a:ext>
            </a:extLst>
          </xdr:cNvPr>
          <xdr:cNvSpPr>
            <a:spLocks noChangeArrowheads="1"/>
          </xdr:cNvSpPr>
        </xdr:nvSpPr>
        <xdr:spPr bwMode="auto">
          <a:xfrm>
            <a:off x="777" y="2028"/>
            <a:ext cx="1" cy="1"/>
          </a:xfrm>
          <a:prstGeom prst="rect">
            <a:avLst/>
          </a:prstGeom>
          <a:solidFill>
            <a:srgbClr val="D4D4D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oneCellAnchor>
    <xdr:from>
      <xdr:col>10</xdr:col>
      <xdr:colOff>52510</xdr:colOff>
      <xdr:row>53</xdr:row>
      <xdr:rowOff>108682</xdr:rowOff>
    </xdr:from>
    <xdr:ext cx="364202" cy="93243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A0B1ED8-217B-6915-029B-EB20BC7D4BF0}"/>
            </a:ext>
          </a:extLst>
        </xdr:cNvPr>
        <xdr:cNvSpPr txBox="1"/>
      </xdr:nvSpPr>
      <xdr:spPr>
        <a:xfrm>
          <a:off x="11688885" y="18126807"/>
          <a:ext cx="364202" cy="9324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400"/>
            <a:t>검</a:t>
          </a:r>
          <a:endParaRPr lang="en-US" altLang="ko-KR" sz="1400"/>
        </a:p>
        <a:p>
          <a:endParaRPr lang="en-US" altLang="ko-KR" sz="1400"/>
        </a:p>
        <a:p>
          <a:r>
            <a:rPr lang="ko-KR" altLang="en-US" sz="1400"/>
            <a:t>토</a:t>
          </a:r>
          <a:endParaRPr lang="en-US" altLang="ko-KR" sz="14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"/>
  <sheetViews>
    <sheetView showGridLines="0" view="pageBreakPreview" zoomScale="85" zoomScaleNormal="100" zoomScaleSheetLayoutView="85" workbookViewId="0">
      <selection activeCell="B8" sqref="B8"/>
    </sheetView>
  </sheetViews>
  <sheetFormatPr defaultRowHeight="17.399999999999999"/>
  <cols>
    <col min="1" max="6" width="21.59765625" customWidth="1"/>
  </cols>
  <sheetData>
    <row r="1" spans="1:6" ht="21.9" customHeight="1" thickTop="1">
      <c r="A1" s="1"/>
      <c r="B1" s="2"/>
      <c r="C1" s="2"/>
      <c r="D1" s="2"/>
      <c r="E1" s="2"/>
      <c r="F1" s="3"/>
    </row>
    <row r="2" spans="1:6" ht="21.9" customHeight="1">
      <c r="A2" s="4"/>
      <c r="B2" s="5"/>
      <c r="C2" s="5"/>
      <c r="D2" s="6"/>
      <c r="E2" s="5"/>
      <c r="F2" s="7"/>
    </row>
    <row r="3" spans="1:6" ht="21.9" customHeight="1">
      <c r="A3" s="4"/>
      <c r="B3" s="5"/>
      <c r="C3" s="5"/>
      <c r="D3" s="5"/>
      <c r="E3" s="5"/>
      <c r="F3" s="7"/>
    </row>
    <row r="4" spans="1:6" ht="21.9" customHeight="1">
      <c r="A4" s="4"/>
      <c r="B4" s="223" t="s">
        <v>0</v>
      </c>
      <c r="C4" s="223"/>
      <c r="D4" s="223"/>
      <c r="E4" s="223"/>
      <c r="F4" s="7"/>
    </row>
    <row r="5" spans="1:6" ht="21.9" customHeight="1">
      <c r="A5" s="8"/>
      <c r="B5" s="223"/>
      <c r="C5" s="223"/>
      <c r="D5" s="223"/>
      <c r="E5" s="223"/>
      <c r="F5" s="9"/>
    </row>
    <row r="6" spans="1:6" ht="21.9" customHeight="1">
      <c r="A6" s="10"/>
      <c r="B6" s="223"/>
      <c r="C6" s="223"/>
      <c r="D6" s="223"/>
      <c r="E6" s="223"/>
      <c r="F6" s="11"/>
    </row>
    <row r="7" spans="1:6" ht="36.9" customHeight="1">
      <c r="A7" s="12"/>
      <c r="B7" s="224" t="s">
        <v>706</v>
      </c>
      <c r="C7" s="224"/>
      <c r="D7" s="224"/>
      <c r="E7" s="224"/>
      <c r="F7" s="11"/>
    </row>
    <row r="8" spans="1:6" ht="29.1" customHeight="1">
      <c r="A8" s="8"/>
      <c r="B8" s="13"/>
      <c r="C8" s="225" t="s">
        <v>344</v>
      </c>
      <c r="D8" s="226"/>
      <c r="E8" s="13"/>
      <c r="F8" s="9"/>
    </row>
    <row r="9" spans="1:6" ht="21.9" customHeight="1">
      <c r="A9" s="8"/>
      <c r="B9" s="13"/>
      <c r="C9" s="13"/>
      <c r="D9" s="13"/>
      <c r="E9" s="13"/>
      <c r="F9" s="9"/>
    </row>
    <row r="10" spans="1:6" ht="21.9" customHeight="1">
      <c r="A10" s="8"/>
      <c r="B10" s="13"/>
      <c r="C10" s="13"/>
      <c r="D10" s="13"/>
      <c r="E10" s="13"/>
      <c r="F10" s="9"/>
    </row>
    <row r="11" spans="1:6" ht="21.9" customHeight="1">
      <c r="A11" s="8"/>
      <c r="B11" s="13"/>
      <c r="C11" s="13"/>
      <c r="D11" s="13"/>
      <c r="E11" s="13"/>
      <c r="F11" s="9"/>
    </row>
    <row r="12" spans="1:6" ht="21.9" customHeight="1">
      <c r="A12" s="8"/>
      <c r="B12" s="13"/>
      <c r="C12" s="13"/>
      <c r="D12" s="13"/>
      <c r="E12" s="13"/>
      <c r="F12" s="9"/>
    </row>
    <row r="13" spans="1:6" ht="21.9" customHeight="1">
      <c r="A13" s="8"/>
      <c r="B13" s="13"/>
      <c r="C13" s="13"/>
      <c r="D13" s="13"/>
      <c r="E13" s="13"/>
      <c r="F13" s="9"/>
    </row>
    <row r="14" spans="1:6" ht="21.9" customHeight="1">
      <c r="A14" s="8"/>
      <c r="B14" s="13"/>
      <c r="C14" s="227" t="s">
        <v>517</v>
      </c>
      <c r="D14" s="227"/>
      <c r="E14" s="13"/>
      <c r="F14" s="9"/>
    </row>
    <row r="15" spans="1:6" ht="21.9" customHeight="1">
      <c r="A15" s="8"/>
      <c r="B15" s="13"/>
      <c r="C15" s="228" t="s">
        <v>293</v>
      </c>
      <c r="D15" s="228"/>
      <c r="E15" s="13"/>
      <c r="F15" s="9"/>
    </row>
    <row r="16" spans="1:6" ht="21.9" customHeight="1">
      <c r="A16" s="8"/>
      <c r="B16" s="13"/>
      <c r="C16" s="13"/>
      <c r="D16" s="13"/>
      <c r="E16" s="13"/>
      <c r="F16" s="9"/>
    </row>
    <row r="17" spans="1:6" ht="21.9" customHeight="1">
      <c r="A17" s="8"/>
      <c r="B17" s="13"/>
      <c r="C17" s="13"/>
      <c r="D17" s="13"/>
      <c r="E17" s="13"/>
      <c r="F17" s="9"/>
    </row>
    <row r="18" spans="1:6" ht="21.9" customHeight="1">
      <c r="A18" s="8"/>
      <c r="B18" s="13"/>
      <c r="C18" s="13"/>
      <c r="D18" s="13"/>
      <c r="E18" s="13"/>
      <c r="F18" s="9"/>
    </row>
    <row r="19" spans="1:6" ht="48" customHeight="1">
      <c r="A19" s="8"/>
      <c r="B19" s="13"/>
      <c r="C19" s="222"/>
      <c r="D19" s="222"/>
      <c r="E19" s="13"/>
      <c r="F19" s="9"/>
    </row>
    <row r="20" spans="1:6" ht="21.9" customHeight="1">
      <c r="A20" s="8"/>
      <c r="B20" s="13"/>
      <c r="C20" s="13"/>
      <c r="D20" s="13"/>
      <c r="E20" s="13"/>
      <c r="F20" s="9"/>
    </row>
    <row r="21" spans="1:6" ht="21.9" customHeight="1" thickBot="1">
      <c r="A21" s="14"/>
      <c r="B21" s="15"/>
      <c r="C21" s="15"/>
      <c r="D21" s="15"/>
      <c r="E21" s="15"/>
      <c r="F21" s="16"/>
    </row>
    <row r="22" spans="1:6" ht="18" thickTop="1"/>
  </sheetData>
  <mergeCells count="6">
    <mergeCell ref="C19:D19"/>
    <mergeCell ref="B4:E6"/>
    <mergeCell ref="B7:E7"/>
    <mergeCell ref="C8:D8"/>
    <mergeCell ref="C14:D14"/>
    <mergeCell ref="C15:D15"/>
  </mergeCells>
  <phoneticPr fontId="3" type="noConversion"/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26"/>
  <sheetViews>
    <sheetView showGridLines="0" view="pageBreakPreview" zoomScaleNormal="100" zoomScaleSheetLayoutView="100" workbookViewId="0">
      <selection activeCell="F15" sqref="F15"/>
    </sheetView>
  </sheetViews>
  <sheetFormatPr defaultRowHeight="17.399999999999999"/>
  <cols>
    <col min="1" max="1" width="5.3984375" style="17" customWidth="1"/>
    <col min="2" max="2" width="18.09765625" style="17" customWidth="1"/>
    <col min="3" max="3" width="3.09765625" style="17" customWidth="1"/>
    <col min="4" max="4" width="47.19921875" style="17" customWidth="1"/>
    <col min="5" max="5" width="17" style="17" customWidth="1"/>
    <col min="6" max="6" width="10.8984375" style="17" customWidth="1"/>
    <col min="7" max="7" width="5.19921875" style="17" customWidth="1"/>
    <col min="8" max="8" width="8.5" style="17" customWidth="1"/>
    <col min="9" max="9" width="10.5" style="17" customWidth="1"/>
    <col min="10" max="10" width="16.3984375" style="17" customWidth="1"/>
    <col min="11" max="11" width="13" style="17" customWidth="1"/>
    <col min="12" max="12" width="0.8984375" style="17" customWidth="1"/>
  </cols>
  <sheetData>
    <row r="1" spans="1:12" ht="39.9" customHeight="1">
      <c r="A1" s="229" t="s">
        <v>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</row>
    <row r="2" spans="1:12" ht="21.9" customHeight="1">
      <c r="A2" s="18"/>
      <c r="B2" s="18"/>
      <c r="C2" s="18"/>
      <c r="D2" s="18"/>
      <c r="E2" s="19"/>
      <c r="F2" s="18"/>
      <c r="G2" s="18"/>
      <c r="H2" s="18"/>
      <c r="I2" s="18"/>
      <c r="J2" s="18"/>
      <c r="K2" s="18"/>
    </row>
    <row r="3" spans="1:12" ht="21.9" customHeight="1">
      <c r="A3" s="20">
        <v>1</v>
      </c>
      <c r="B3" s="21" t="s">
        <v>2</v>
      </c>
      <c r="C3" s="21" t="s">
        <v>3</v>
      </c>
      <c r="D3" s="22" t="str">
        <f>'용역청구서 표지'!$B$7</f>
        <v>P4 Ph2 GAS&amp;PCW 1공구</v>
      </c>
      <c r="E3" s="23" t="str">
        <f>'용역청구서 표지'!$C$8</f>
        <v>S26-001</v>
      </c>
      <c r="F3" s="23"/>
      <c r="G3" s="18"/>
      <c r="H3" s="18"/>
      <c r="I3" s="18"/>
      <c r="J3" s="18"/>
      <c r="K3" s="18"/>
    </row>
    <row r="4" spans="1:12" ht="21.9" customHeight="1">
      <c r="A4" s="20">
        <v>2</v>
      </c>
      <c r="B4" s="21" t="s">
        <v>4</v>
      </c>
      <c r="C4" s="21" t="s">
        <v>3</v>
      </c>
      <c r="D4" s="24" t="s">
        <v>5</v>
      </c>
      <c r="E4" s="22"/>
      <c r="F4" s="21"/>
      <c r="G4" s="18"/>
      <c r="H4" s="18"/>
      <c r="I4" s="18"/>
      <c r="J4" s="18"/>
      <c r="K4" s="18"/>
    </row>
    <row r="5" spans="1:12" ht="21.9" customHeight="1">
      <c r="A5" s="20">
        <v>3</v>
      </c>
      <c r="B5" s="21" t="s">
        <v>6</v>
      </c>
      <c r="C5" s="21" t="s">
        <v>3</v>
      </c>
      <c r="D5" s="25">
        <f>ROUNDUP(E5,0)</f>
        <v>30000000</v>
      </c>
      <c r="E5" s="22">
        <f>집계장!J25</f>
        <v>30000000</v>
      </c>
      <c r="F5" s="26" t="s">
        <v>7</v>
      </c>
      <c r="G5" s="18"/>
      <c r="H5" s="18"/>
      <c r="I5" s="18"/>
      <c r="J5" s="18"/>
      <c r="K5" s="18"/>
    </row>
    <row r="6" spans="1:12" ht="21.9" customHeight="1">
      <c r="A6" s="20">
        <v>4</v>
      </c>
      <c r="B6" s="27" t="s">
        <v>8</v>
      </c>
      <c r="C6" s="21" t="s">
        <v>3</v>
      </c>
      <c r="D6" s="25">
        <f t="shared" ref="D6:D12" si="0">ROUNDUP(E6,0)</f>
        <v>30000000</v>
      </c>
      <c r="E6" s="22">
        <f>E7+E13</f>
        <v>30000000</v>
      </c>
      <c r="F6" s="26" t="s">
        <v>9</v>
      </c>
      <c r="G6" s="18"/>
      <c r="H6" s="18"/>
      <c r="I6" s="18"/>
      <c r="J6" s="18"/>
      <c r="K6" s="18"/>
      <c r="L6" s="18"/>
    </row>
    <row r="7" spans="1:12" ht="21.9" customHeight="1">
      <c r="A7" s="20">
        <v>5</v>
      </c>
      <c r="B7" s="21" t="s">
        <v>10</v>
      </c>
      <c r="C7" s="21" t="s">
        <v>11</v>
      </c>
      <c r="D7" s="25">
        <f t="shared" si="0"/>
        <v>0</v>
      </c>
      <c r="E7" s="22">
        <v>0</v>
      </c>
      <c r="F7" s="26" t="s">
        <v>12</v>
      </c>
      <c r="G7" s="18"/>
      <c r="H7" s="18"/>
      <c r="I7" s="18"/>
      <c r="J7" s="18"/>
      <c r="K7" s="18"/>
      <c r="L7" s="18"/>
    </row>
    <row r="8" spans="1:12" ht="21.9" customHeight="1">
      <c r="A8" s="20">
        <v>6</v>
      </c>
      <c r="B8" s="21" t="s">
        <v>13</v>
      </c>
      <c r="C8" s="21" t="s">
        <v>3</v>
      </c>
      <c r="D8" s="25">
        <f t="shared" si="0"/>
        <v>30000000</v>
      </c>
      <c r="E8" s="22">
        <f>집계장!I25</f>
        <v>30000000</v>
      </c>
      <c r="F8" s="26" t="s">
        <v>14</v>
      </c>
      <c r="G8" s="18"/>
      <c r="H8" s="18"/>
      <c r="I8" s="18"/>
      <c r="J8" s="18"/>
      <c r="K8" s="18"/>
      <c r="L8" s="28"/>
    </row>
    <row r="9" spans="1:12" ht="21.9" customHeight="1">
      <c r="A9" s="20">
        <v>7</v>
      </c>
      <c r="B9" s="21" t="s">
        <v>15</v>
      </c>
      <c r="C9" s="21" t="s">
        <v>16</v>
      </c>
      <c r="D9" s="25">
        <f t="shared" si="0"/>
        <v>0</v>
      </c>
      <c r="E9" s="22">
        <f>집계장!L23</f>
        <v>0</v>
      </c>
      <c r="F9" s="26" t="s">
        <v>9</v>
      </c>
      <c r="G9" s="18"/>
      <c r="H9" s="18"/>
      <c r="I9" s="18"/>
      <c r="J9" s="18"/>
      <c r="K9" s="18"/>
      <c r="L9" s="28"/>
    </row>
    <row r="10" spans="1:12" ht="21.9" customHeight="1">
      <c r="A10" s="20">
        <v>8</v>
      </c>
      <c r="B10" s="21" t="s">
        <v>17</v>
      </c>
      <c r="C10" s="21" t="s">
        <v>18</v>
      </c>
      <c r="D10" s="25">
        <f t="shared" si="0"/>
        <v>0</v>
      </c>
      <c r="E10" s="22">
        <f>집계장!H23</f>
        <v>0</v>
      </c>
      <c r="F10" s="26" t="s">
        <v>7</v>
      </c>
      <c r="G10" s="18"/>
      <c r="H10" s="18"/>
      <c r="I10" s="18"/>
      <c r="J10" s="18"/>
      <c r="K10" s="18"/>
      <c r="L10" s="18"/>
    </row>
    <row r="11" spans="1:12" ht="21.9" customHeight="1">
      <c r="A11" s="20">
        <v>9</v>
      </c>
      <c r="B11" s="21" t="s">
        <v>19</v>
      </c>
      <c r="C11" s="21" t="s">
        <v>16</v>
      </c>
      <c r="D11" s="25">
        <f t="shared" si="0"/>
        <v>0</v>
      </c>
      <c r="E11" s="22">
        <f>집계장!G23</f>
        <v>0</v>
      </c>
      <c r="F11" s="26" t="s">
        <v>14</v>
      </c>
      <c r="G11" s="18"/>
      <c r="H11" s="18"/>
      <c r="I11" s="18"/>
      <c r="J11" s="18"/>
      <c r="K11" s="18"/>
      <c r="L11" s="29"/>
    </row>
    <row r="12" spans="1:12" ht="21.9" customHeight="1">
      <c r="A12" s="20">
        <v>10</v>
      </c>
      <c r="B12" s="21" t="s">
        <v>20</v>
      </c>
      <c r="C12" s="21" t="s">
        <v>3</v>
      </c>
      <c r="D12" s="25">
        <f t="shared" si="0"/>
        <v>0</v>
      </c>
      <c r="E12" s="22">
        <f>집계장!M23</f>
        <v>0</v>
      </c>
      <c r="F12" s="26" t="s">
        <v>7</v>
      </c>
      <c r="G12" s="18"/>
      <c r="H12" s="18"/>
      <c r="I12" s="18"/>
      <c r="J12" s="18"/>
      <c r="K12" s="18"/>
      <c r="L12" s="30"/>
    </row>
    <row r="13" spans="1:12" ht="21.9" customHeight="1">
      <c r="A13" s="20">
        <v>11</v>
      </c>
      <c r="B13" s="24" t="s">
        <v>21</v>
      </c>
      <c r="C13" s="21" t="s">
        <v>22</v>
      </c>
      <c r="D13" s="31">
        <f>ROUNDUP(E13,0)</f>
        <v>30000000</v>
      </c>
      <c r="E13" s="32">
        <f>집계장!G25</f>
        <v>30000000</v>
      </c>
      <c r="F13" s="26" t="s">
        <v>12</v>
      </c>
      <c r="G13" s="18"/>
      <c r="H13" s="18"/>
      <c r="I13" s="18"/>
      <c r="J13" s="18"/>
      <c r="K13" s="18"/>
      <c r="L13" s="18"/>
    </row>
    <row r="14" spans="1:12" ht="21.9" customHeight="1">
      <c r="A14" s="20">
        <v>12</v>
      </c>
      <c r="B14" s="21" t="s">
        <v>23</v>
      </c>
      <c r="C14" s="21" t="s">
        <v>22</v>
      </c>
      <c r="D14" s="25">
        <f>ROUNDUP(E14,0)</f>
        <v>0</v>
      </c>
      <c r="E14" s="22"/>
      <c r="F14" s="26" t="s">
        <v>7</v>
      </c>
      <c r="G14" s="18"/>
      <c r="H14" s="18"/>
      <c r="I14" s="18"/>
      <c r="J14" s="18"/>
      <c r="K14" s="18"/>
      <c r="L14" s="18"/>
    </row>
    <row r="15" spans="1:12" ht="21.9" customHeight="1">
      <c r="A15" s="20">
        <v>13</v>
      </c>
      <c r="B15" s="21" t="s">
        <v>24</v>
      </c>
      <c r="C15" s="21" t="s">
        <v>25</v>
      </c>
      <c r="D15" s="33">
        <v>1</v>
      </c>
      <c r="E15" s="34"/>
      <c r="F15" s="21"/>
      <c r="G15" s="21"/>
      <c r="H15" s="21"/>
      <c r="I15" s="21"/>
      <c r="J15" s="21"/>
      <c r="K15" s="21"/>
      <c r="L15" s="18"/>
    </row>
    <row r="16" spans="1:12" ht="21.9" customHeight="1">
      <c r="A16" s="20">
        <v>14</v>
      </c>
      <c r="B16" s="21" t="s">
        <v>26</v>
      </c>
      <c r="C16" s="21" t="s">
        <v>27</v>
      </c>
      <c r="D16" s="33" t="s">
        <v>518</v>
      </c>
      <c r="E16" s="34"/>
      <c r="F16" s="21"/>
      <c r="G16" s="21"/>
      <c r="H16" s="21"/>
      <c r="I16" s="21"/>
      <c r="J16" s="21"/>
      <c r="K16" s="21"/>
    </row>
    <row r="17" spans="1:11" ht="21.9" customHeight="1">
      <c r="A17" s="20"/>
      <c r="B17" s="21"/>
      <c r="C17" s="21"/>
      <c r="D17" s="33"/>
      <c r="E17" s="34"/>
      <c r="F17" s="21"/>
      <c r="G17" s="21"/>
      <c r="H17" s="21"/>
      <c r="I17" s="21"/>
      <c r="J17" s="21"/>
      <c r="K17" s="21"/>
    </row>
    <row r="18" spans="1:11" ht="21.9" customHeight="1">
      <c r="A18" s="20"/>
      <c r="B18" s="230" t="s">
        <v>28</v>
      </c>
      <c r="C18" s="230"/>
      <c r="D18" s="230"/>
      <c r="E18" s="230"/>
      <c r="F18" s="230"/>
      <c r="G18" s="230"/>
      <c r="H18" s="230"/>
      <c r="I18" s="230"/>
      <c r="J18" s="231"/>
      <c r="K18" s="21"/>
    </row>
    <row r="19" spans="1:11" ht="21.9" customHeight="1">
      <c r="A19" s="20"/>
      <c r="B19" s="21" t="s">
        <v>29</v>
      </c>
      <c r="C19" s="21"/>
      <c r="D19" s="21"/>
      <c r="E19" s="34"/>
      <c r="F19" s="21"/>
      <c r="G19" s="21"/>
      <c r="H19" s="21"/>
      <c r="I19" s="21"/>
      <c r="J19" s="21"/>
      <c r="K19" s="21"/>
    </row>
    <row r="20" spans="1:11" ht="21.9" customHeight="1">
      <c r="A20" s="20"/>
      <c r="B20" s="21" t="s">
        <v>30</v>
      </c>
      <c r="C20" s="21"/>
      <c r="D20" s="21"/>
      <c r="E20" s="34"/>
      <c r="F20" s="21"/>
      <c r="G20" s="21"/>
      <c r="H20" s="21"/>
      <c r="I20" s="21"/>
      <c r="J20" s="21"/>
      <c r="K20" s="21"/>
    </row>
    <row r="21" spans="1:11" ht="21.9" customHeight="1">
      <c r="A21" s="35"/>
      <c r="B21" s="21"/>
      <c r="C21" s="21"/>
      <c r="D21" s="21"/>
      <c r="E21" s="34"/>
      <c r="F21" s="24" t="s">
        <v>519</v>
      </c>
      <c r="G21" s="24"/>
      <c r="H21" s="24"/>
      <c r="I21" s="24"/>
      <c r="J21" s="21"/>
      <c r="K21" s="21"/>
    </row>
    <row r="22" spans="1:11" ht="21.9" customHeight="1">
      <c r="A22" s="35"/>
      <c r="B22" s="21"/>
      <c r="C22" s="21"/>
      <c r="D22" s="21"/>
      <c r="E22" s="34"/>
      <c r="F22" s="21"/>
      <c r="G22" s="21"/>
      <c r="H22" s="21"/>
      <c r="I22" s="21"/>
      <c r="J22" s="21"/>
      <c r="K22" s="21"/>
    </row>
    <row r="23" spans="1:11" ht="21.9" customHeight="1">
      <c r="A23" s="35"/>
      <c r="B23" s="21"/>
      <c r="C23" s="21"/>
      <c r="D23" s="21"/>
      <c r="E23" s="34"/>
      <c r="F23" s="24" t="s">
        <v>31</v>
      </c>
      <c r="G23" s="232" t="s">
        <v>293</v>
      </c>
      <c r="H23" s="232"/>
      <c r="I23" s="232"/>
      <c r="J23" s="232"/>
      <c r="K23" s="232"/>
    </row>
    <row r="24" spans="1:11" ht="21.9" customHeight="1">
      <c r="A24" s="35"/>
      <c r="B24" s="21" t="s">
        <v>32</v>
      </c>
      <c r="C24" s="21"/>
      <c r="D24" s="21"/>
      <c r="E24" s="34"/>
      <c r="F24" s="24" t="s">
        <v>33</v>
      </c>
      <c r="G24" s="232" t="s">
        <v>294</v>
      </c>
      <c r="H24" s="232"/>
      <c r="I24" s="232"/>
      <c r="J24" s="232"/>
      <c r="K24" s="232"/>
    </row>
    <row r="25" spans="1:11" ht="21.9" customHeight="1">
      <c r="A25" s="18"/>
      <c r="B25" s="21"/>
      <c r="C25" s="21"/>
      <c r="D25" s="21"/>
      <c r="E25" s="34"/>
      <c r="F25" s="24" t="s">
        <v>34</v>
      </c>
      <c r="G25" s="232" t="s">
        <v>295</v>
      </c>
      <c r="H25" s="232"/>
      <c r="I25" s="23" t="s">
        <v>296</v>
      </c>
      <c r="J25" s="24"/>
      <c r="K25" s="24"/>
    </row>
    <row r="26" spans="1:11" ht="21.9" customHeight="1">
      <c r="A26" s="18"/>
      <c r="B26" s="18"/>
      <c r="C26" s="18"/>
      <c r="D26" s="36" t="s">
        <v>35</v>
      </c>
      <c r="E26" s="30"/>
      <c r="F26" s="18"/>
      <c r="G26" s="18"/>
      <c r="H26" s="18"/>
      <c r="I26" s="18"/>
      <c r="J26" s="18"/>
      <c r="K26" s="18"/>
    </row>
  </sheetData>
  <mergeCells count="5">
    <mergeCell ref="A1:K1"/>
    <mergeCell ref="B18:J18"/>
    <mergeCell ref="G23:K23"/>
    <mergeCell ref="G24:K24"/>
    <mergeCell ref="G25:H25"/>
  </mergeCells>
  <phoneticPr fontId="3" type="noConversion"/>
  <pageMargins left="0.7" right="0.7" top="0.75" bottom="0.75" header="0.3" footer="0.3"/>
  <pageSetup paperSize="9" scale="77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view="pageBreakPreview" zoomScale="85" zoomScaleNormal="100" zoomScaleSheetLayoutView="85" workbookViewId="0">
      <selection activeCell="L12" sqref="L11:L12"/>
    </sheetView>
  </sheetViews>
  <sheetFormatPr defaultRowHeight="17.399999999999999"/>
  <cols>
    <col min="1" max="1" width="29.19921875" style="37" bestFit="1" customWidth="1"/>
    <col min="2" max="2" width="18.59765625" style="37" customWidth="1"/>
    <col min="3" max="3" width="9" style="37"/>
    <col min="4" max="4" width="12.3984375" style="37" bestFit="1" customWidth="1"/>
    <col min="5" max="5" width="8.59765625" style="37" customWidth="1"/>
    <col min="6" max="6" width="15.59765625" style="37" customWidth="1"/>
    <col min="7" max="7" width="13.59765625" style="37" customWidth="1"/>
  </cols>
  <sheetData>
    <row r="1" spans="1:7" ht="69.900000000000006" customHeight="1">
      <c r="A1" s="233" t="s">
        <v>80</v>
      </c>
      <c r="B1" s="234"/>
      <c r="C1" s="234"/>
      <c r="D1" s="234"/>
      <c r="E1" s="234"/>
      <c r="F1" s="234"/>
      <c r="G1" s="234"/>
    </row>
    <row r="2" spans="1:7" ht="39.9" customHeight="1" thickBot="1">
      <c r="A2" s="41" t="s">
        <v>81</v>
      </c>
      <c r="G2" s="42" t="s">
        <v>82</v>
      </c>
    </row>
    <row r="3" spans="1:7" ht="27.9" customHeight="1">
      <c r="A3" s="235" t="s">
        <v>83</v>
      </c>
      <c r="B3" s="237" t="s">
        <v>84</v>
      </c>
      <c r="C3" s="237" t="s">
        <v>85</v>
      </c>
      <c r="D3" s="237" t="s">
        <v>86</v>
      </c>
      <c r="E3" s="237" t="s">
        <v>87</v>
      </c>
      <c r="F3" s="237"/>
      <c r="G3" s="239"/>
    </row>
    <row r="4" spans="1:7" ht="27.9" customHeight="1">
      <c r="A4" s="236"/>
      <c r="B4" s="238"/>
      <c r="C4" s="238"/>
      <c r="D4" s="238"/>
      <c r="E4" s="43" t="s">
        <v>88</v>
      </c>
      <c r="F4" s="43" t="s">
        <v>89</v>
      </c>
      <c r="G4" s="44" t="s">
        <v>90</v>
      </c>
    </row>
    <row r="5" spans="1:7" ht="27.9" customHeight="1">
      <c r="A5" s="45" t="s">
        <v>91</v>
      </c>
      <c r="B5" s="46" t="s">
        <v>92</v>
      </c>
      <c r="C5" s="46" t="s">
        <v>93</v>
      </c>
      <c r="D5" s="47">
        <v>1400000</v>
      </c>
      <c r="E5" s="46">
        <v>1</v>
      </c>
      <c r="F5" s="47">
        <f>D5*E5</f>
        <v>1400000</v>
      </c>
      <c r="G5" s="48"/>
    </row>
    <row r="6" spans="1:7" ht="27.9" customHeight="1">
      <c r="A6" s="45" t="s">
        <v>91</v>
      </c>
      <c r="B6" s="46" t="s">
        <v>94</v>
      </c>
      <c r="C6" s="46" t="s">
        <v>95</v>
      </c>
      <c r="D6" s="47">
        <v>1200000</v>
      </c>
      <c r="E6" s="46"/>
      <c r="F6" s="47">
        <f t="shared" ref="F6:F11" si="0">D6*E6</f>
        <v>0</v>
      </c>
      <c r="G6" s="48"/>
    </row>
    <row r="7" spans="1:7" ht="27.9" customHeight="1">
      <c r="A7" s="45" t="s">
        <v>96</v>
      </c>
      <c r="B7" s="46" t="s">
        <v>97</v>
      </c>
      <c r="C7" s="46" t="s">
        <v>95</v>
      </c>
      <c r="D7" s="47">
        <v>1000000</v>
      </c>
      <c r="E7" s="46"/>
      <c r="F7" s="47">
        <f t="shared" si="0"/>
        <v>0</v>
      </c>
      <c r="G7" s="48"/>
    </row>
    <row r="8" spans="1:7" ht="27.9" customHeight="1">
      <c r="A8" s="45" t="s">
        <v>98</v>
      </c>
      <c r="B8" s="46" t="s">
        <v>99</v>
      </c>
      <c r="C8" s="46" t="s">
        <v>100</v>
      </c>
      <c r="D8" s="47">
        <v>900000</v>
      </c>
      <c r="E8" s="46"/>
      <c r="F8" s="47">
        <f t="shared" si="0"/>
        <v>0</v>
      </c>
      <c r="G8" s="48"/>
    </row>
    <row r="9" spans="1:7" ht="27.9" customHeight="1">
      <c r="A9" s="45" t="s">
        <v>96</v>
      </c>
      <c r="B9" s="46" t="s">
        <v>101</v>
      </c>
      <c r="C9" s="46" t="s">
        <v>93</v>
      </c>
      <c r="D9" s="47">
        <v>800000</v>
      </c>
      <c r="E9" s="46"/>
      <c r="F9" s="47">
        <f t="shared" si="0"/>
        <v>0</v>
      </c>
      <c r="G9" s="48"/>
    </row>
    <row r="10" spans="1:7" ht="27.9" customHeight="1">
      <c r="A10" s="45" t="s">
        <v>102</v>
      </c>
      <c r="B10" s="46" t="s">
        <v>103</v>
      </c>
      <c r="C10" s="46" t="s">
        <v>93</v>
      </c>
      <c r="D10" s="47">
        <v>700000</v>
      </c>
      <c r="E10" s="46"/>
      <c r="F10" s="47">
        <f t="shared" si="0"/>
        <v>0</v>
      </c>
      <c r="G10" s="48"/>
    </row>
    <row r="11" spans="1:7" ht="27.9" customHeight="1">
      <c r="A11" s="45" t="s">
        <v>104</v>
      </c>
      <c r="B11" s="46" t="s">
        <v>105</v>
      </c>
      <c r="C11" s="46" t="s">
        <v>106</v>
      </c>
      <c r="D11" s="47">
        <v>600000</v>
      </c>
      <c r="E11" s="46"/>
      <c r="F11" s="47">
        <f t="shared" si="0"/>
        <v>0</v>
      </c>
      <c r="G11" s="48"/>
    </row>
    <row r="12" spans="1:7" ht="27.9" customHeight="1">
      <c r="A12" s="45"/>
      <c r="B12" s="46"/>
      <c r="C12" s="46"/>
      <c r="D12" s="46"/>
      <c r="E12" s="46"/>
      <c r="F12" s="46"/>
      <c r="G12" s="48"/>
    </row>
    <row r="13" spans="1:7" ht="27.9" customHeight="1">
      <c r="A13" s="45" t="s">
        <v>107</v>
      </c>
      <c r="B13" s="46"/>
      <c r="C13" s="46"/>
      <c r="D13" s="46"/>
      <c r="E13" s="49">
        <v>0.01</v>
      </c>
      <c r="F13" s="47">
        <f>SUM(F5:F11)*E13</f>
        <v>14000</v>
      </c>
      <c r="G13" s="48"/>
    </row>
    <row r="14" spans="1:7" ht="27.9" customHeight="1">
      <c r="A14" s="45"/>
      <c r="B14" s="46"/>
      <c r="C14" s="46"/>
      <c r="D14" s="46"/>
      <c r="E14" s="46"/>
      <c r="F14" s="46"/>
      <c r="G14" s="48"/>
    </row>
    <row r="15" spans="1:7" ht="27.9" customHeight="1" thickBot="1">
      <c r="A15" s="50" t="s">
        <v>108</v>
      </c>
      <c r="B15" s="51"/>
      <c r="C15" s="51"/>
      <c r="D15" s="51"/>
      <c r="E15" s="51">
        <f>SUM(E5:E11)</f>
        <v>1</v>
      </c>
      <c r="F15" s="53">
        <f>SUM(F5:F13)</f>
        <v>1414000</v>
      </c>
      <c r="G15" s="52"/>
    </row>
  </sheetData>
  <mergeCells count="6">
    <mergeCell ref="A1:G1"/>
    <mergeCell ref="A3:A4"/>
    <mergeCell ref="B3:B4"/>
    <mergeCell ref="C3:C4"/>
    <mergeCell ref="D3:D4"/>
    <mergeCell ref="E3:G3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3ADE-E2D6-4136-A5D5-7AE6A68A2D02}">
  <dimension ref="A1:L46"/>
  <sheetViews>
    <sheetView zoomScale="85" zoomScaleNormal="85" zoomScaleSheetLayoutView="80" workbookViewId="0">
      <selection activeCell="I15" sqref="I15"/>
    </sheetView>
  </sheetViews>
  <sheetFormatPr defaultColWidth="9" defaultRowHeight="17.399999999999999"/>
  <cols>
    <col min="1" max="1" width="25.59765625" style="18" customWidth="1"/>
    <col min="2" max="2" width="20.19921875" style="18" customWidth="1"/>
    <col min="3" max="3" width="7.3984375" style="18" customWidth="1"/>
    <col min="4" max="4" width="10.59765625" style="139" customWidth="1"/>
    <col min="5" max="5" width="9.8984375" style="18" customWidth="1"/>
    <col min="6" max="6" width="17.69921875" style="18" customWidth="1"/>
    <col min="7" max="7" width="15.59765625" style="18" customWidth="1"/>
    <col min="8" max="8" width="9" style="18"/>
    <col min="9" max="9" width="15.59765625" style="138" customWidth="1"/>
    <col min="10" max="10" width="7" style="18" bestFit="1" customWidth="1"/>
    <col min="11" max="11" width="14.19921875" style="18" bestFit="1" customWidth="1"/>
    <col min="12" max="12" width="35.69921875" style="18" customWidth="1"/>
    <col min="13" max="16384" width="9" style="18"/>
  </cols>
  <sheetData>
    <row r="1" spans="1:12" ht="69" customHeight="1">
      <c r="A1" s="240" t="s">
        <v>343</v>
      </c>
      <c r="B1" s="240"/>
      <c r="C1" s="240"/>
      <c r="D1" s="240"/>
      <c r="E1" s="240"/>
      <c r="F1" s="240"/>
      <c r="G1" s="240"/>
    </row>
    <row r="2" spans="1:12" ht="39.75" customHeight="1" thickBot="1">
      <c r="A2" s="197" t="str">
        <f>집계장!B2</f>
        <v>P4 Ph2 GAS&amp;PCW 1공구</v>
      </c>
      <c r="B2" s="186"/>
      <c r="C2" s="186"/>
      <c r="D2" s="186"/>
      <c r="E2" s="185"/>
      <c r="F2" s="184"/>
      <c r="G2" s="184" t="s">
        <v>342</v>
      </c>
    </row>
    <row r="3" spans="1:12" ht="27.9" customHeight="1">
      <c r="A3" s="241" t="s">
        <v>341</v>
      </c>
      <c r="B3" s="243" t="s">
        <v>340</v>
      </c>
      <c r="C3" s="243" t="s">
        <v>339</v>
      </c>
      <c r="D3" s="245" t="s">
        <v>338</v>
      </c>
      <c r="E3" s="245" t="s">
        <v>337</v>
      </c>
      <c r="F3" s="245"/>
      <c r="G3" s="247" t="s">
        <v>336</v>
      </c>
    </row>
    <row r="4" spans="1:12" ht="27.9" customHeight="1">
      <c r="A4" s="242"/>
      <c r="B4" s="244"/>
      <c r="C4" s="244"/>
      <c r="D4" s="246"/>
      <c r="E4" s="183" t="s">
        <v>335</v>
      </c>
      <c r="F4" s="183" t="s">
        <v>334</v>
      </c>
      <c r="G4" s="248"/>
    </row>
    <row r="5" spans="1:12" ht="27.9" customHeight="1">
      <c r="A5" s="176" t="s">
        <v>332</v>
      </c>
      <c r="B5" s="169" t="s">
        <v>333</v>
      </c>
      <c r="C5" s="169" t="s">
        <v>322</v>
      </c>
      <c r="D5" s="175">
        <v>1400000</v>
      </c>
      <c r="E5" s="152">
        <v>8</v>
      </c>
      <c r="F5" s="152">
        <f t="shared" ref="F5:F11" si="0">D5*E5</f>
        <v>11200000</v>
      </c>
      <c r="G5" s="182"/>
    </row>
    <row r="6" spans="1:12" ht="27.9" customHeight="1">
      <c r="A6" s="176" t="s">
        <v>332</v>
      </c>
      <c r="B6" s="169" t="s">
        <v>331</v>
      </c>
      <c r="C6" s="169" t="s">
        <v>322</v>
      </c>
      <c r="D6" s="175">
        <v>1200000</v>
      </c>
      <c r="E6" s="152">
        <v>2</v>
      </c>
      <c r="F6" s="152">
        <f t="shared" si="0"/>
        <v>2400000</v>
      </c>
      <c r="G6" s="181" t="s">
        <v>328</v>
      </c>
    </row>
    <row r="7" spans="1:12" ht="27.9" customHeight="1">
      <c r="A7" s="176" t="s">
        <v>326</v>
      </c>
      <c r="B7" s="169" t="s">
        <v>330</v>
      </c>
      <c r="C7" s="169" t="s">
        <v>322</v>
      </c>
      <c r="D7" s="175">
        <v>1000000</v>
      </c>
      <c r="E7" s="152">
        <v>6</v>
      </c>
      <c r="F7" s="152">
        <f t="shared" si="0"/>
        <v>6000000</v>
      </c>
      <c r="G7" s="177" t="s">
        <v>328</v>
      </c>
    </row>
    <row r="8" spans="1:12" ht="27.9" customHeight="1">
      <c r="A8" s="176" t="s">
        <v>326</v>
      </c>
      <c r="B8" s="169" t="s">
        <v>329</v>
      </c>
      <c r="C8" s="169" t="s">
        <v>322</v>
      </c>
      <c r="D8" s="175">
        <v>900000</v>
      </c>
      <c r="E8" s="152">
        <v>1</v>
      </c>
      <c r="F8" s="152">
        <f t="shared" si="0"/>
        <v>900000</v>
      </c>
      <c r="G8" s="177" t="s">
        <v>328</v>
      </c>
    </row>
    <row r="9" spans="1:12" ht="27.9" customHeight="1">
      <c r="A9" s="176" t="s">
        <v>326</v>
      </c>
      <c r="B9" s="169" t="s">
        <v>327</v>
      </c>
      <c r="C9" s="169" t="s">
        <v>322</v>
      </c>
      <c r="D9" s="175">
        <v>800000</v>
      </c>
      <c r="E9" s="152">
        <v>4</v>
      </c>
      <c r="F9" s="152">
        <f t="shared" si="0"/>
        <v>3200000</v>
      </c>
      <c r="G9" s="180"/>
      <c r="K9" s="179"/>
      <c r="L9" s="178"/>
    </row>
    <row r="10" spans="1:12" ht="27.9" customHeight="1">
      <c r="A10" s="176" t="s">
        <v>326</v>
      </c>
      <c r="B10" s="169" t="s">
        <v>325</v>
      </c>
      <c r="C10" s="169" t="s">
        <v>322</v>
      </c>
      <c r="D10" s="175">
        <v>700000</v>
      </c>
      <c r="E10" s="152">
        <v>9</v>
      </c>
      <c r="F10" s="152">
        <f t="shared" si="0"/>
        <v>6300000</v>
      </c>
      <c r="G10" s="177"/>
    </row>
    <row r="11" spans="1:12" ht="27.9" customHeight="1">
      <c r="A11" s="176" t="s">
        <v>324</v>
      </c>
      <c r="B11" s="169" t="s">
        <v>323</v>
      </c>
      <c r="C11" s="169" t="s">
        <v>322</v>
      </c>
      <c r="D11" s="175">
        <v>600000</v>
      </c>
      <c r="E11" s="152"/>
      <c r="F11" s="152">
        <f t="shared" si="0"/>
        <v>0</v>
      </c>
      <c r="G11" s="151"/>
    </row>
    <row r="12" spans="1:12" ht="27.9" customHeight="1">
      <c r="A12" s="168"/>
      <c r="B12" s="169"/>
      <c r="C12" s="160"/>
      <c r="D12" s="175"/>
      <c r="E12" s="152"/>
      <c r="F12" s="152"/>
      <c r="G12" s="151"/>
    </row>
    <row r="13" spans="1:12" ht="27.9" customHeight="1">
      <c r="A13" s="174"/>
      <c r="B13" s="169"/>
      <c r="C13" s="160"/>
      <c r="D13" s="167"/>
      <c r="E13" s="173"/>
      <c r="F13" s="172"/>
      <c r="G13" s="151"/>
      <c r="J13" s="171"/>
      <c r="K13" s="30"/>
      <c r="L13" s="170"/>
    </row>
    <row r="14" spans="1:12" ht="27.9" customHeight="1">
      <c r="A14" s="168"/>
      <c r="B14" s="169"/>
      <c r="C14" s="160"/>
      <c r="D14" s="167"/>
      <c r="E14" s="152"/>
      <c r="F14" s="152"/>
      <c r="G14" s="151"/>
      <c r="K14" s="30"/>
    </row>
    <row r="15" spans="1:12" ht="27.9" customHeight="1">
      <c r="A15" s="168"/>
      <c r="B15" s="161"/>
      <c r="C15" s="160"/>
      <c r="D15" s="167"/>
      <c r="E15" s="152"/>
      <c r="F15" s="152"/>
      <c r="G15" s="151"/>
      <c r="K15" s="30"/>
    </row>
    <row r="16" spans="1:12" ht="27.9" customHeight="1">
      <c r="A16" s="168"/>
      <c r="B16" s="161"/>
      <c r="C16" s="160"/>
      <c r="D16" s="167"/>
      <c r="E16" s="152"/>
      <c r="F16" s="152"/>
      <c r="G16" s="151"/>
    </row>
    <row r="17" spans="1:9" ht="27.9" customHeight="1">
      <c r="A17" s="168"/>
      <c r="B17" s="161"/>
      <c r="C17" s="160"/>
      <c r="D17" s="167"/>
      <c r="E17" s="152"/>
      <c r="F17" s="152"/>
      <c r="G17" s="151"/>
    </row>
    <row r="18" spans="1:9" ht="27.9" customHeight="1">
      <c r="A18" s="166"/>
      <c r="B18" s="158"/>
      <c r="C18" s="157"/>
      <c r="D18" s="165"/>
      <c r="E18" s="152"/>
      <c r="F18" s="152"/>
      <c r="G18" s="151"/>
    </row>
    <row r="19" spans="1:9" ht="27.9" customHeight="1">
      <c r="A19" s="164"/>
      <c r="B19" s="163"/>
      <c r="C19" s="160"/>
      <c r="D19" s="156"/>
      <c r="E19" s="152"/>
      <c r="F19" s="152"/>
      <c r="G19" s="151"/>
    </row>
    <row r="20" spans="1:9" ht="27.9" customHeight="1">
      <c r="A20" s="164"/>
      <c r="B20" s="163"/>
      <c r="C20" s="160"/>
      <c r="D20" s="156"/>
      <c r="E20" s="152"/>
      <c r="F20" s="152"/>
      <c r="G20" s="151"/>
    </row>
    <row r="21" spans="1:9" ht="27.9" customHeight="1">
      <c r="A21" s="162"/>
      <c r="B21" s="161"/>
      <c r="C21" s="160"/>
      <c r="D21" s="156"/>
      <c r="E21" s="152"/>
      <c r="F21" s="152"/>
      <c r="G21" s="151"/>
    </row>
    <row r="22" spans="1:9" ht="27.9" customHeight="1">
      <c r="A22" s="162"/>
      <c r="B22" s="161"/>
      <c r="C22" s="160"/>
      <c r="D22" s="156"/>
      <c r="E22" s="152"/>
      <c r="F22" s="152"/>
      <c r="G22" s="151"/>
    </row>
    <row r="23" spans="1:9" ht="27.9" customHeight="1">
      <c r="A23" s="159"/>
      <c r="B23" s="158"/>
      <c r="C23" s="157"/>
      <c r="D23" s="156"/>
      <c r="E23" s="152"/>
      <c r="F23" s="152"/>
      <c r="G23" s="151"/>
    </row>
    <row r="24" spans="1:9" ht="27.9" customHeight="1">
      <c r="A24" s="162"/>
      <c r="B24" s="161"/>
      <c r="C24" s="160"/>
      <c r="D24" s="156"/>
      <c r="E24" s="152"/>
      <c r="F24" s="152"/>
      <c r="G24" s="151"/>
    </row>
    <row r="25" spans="1:9" ht="27.9" customHeight="1">
      <c r="A25" s="159"/>
      <c r="B25" s="158"/>
      <c r="C25" s="157"/>
      <c r="D25" s="156"/>
      <c r="E25" s="152"/>
      <c r="F25" s="152"/>
      <c r="G25" s="151"/>
    </row>
    <row r="26" spans="1:9" ht="27.9" customHeight="1">
      <c r="A26" s="155"/>
      <c r="B26" s="154"/>
      <c r="C26" s="153"/>
      <c r="D26" s="153"/>
      <c r="E26" s="152"/>
      <c r="F26" s="152"/>
      <c r="G26" s="151"/>
    </row>
    <row r="27" spans="1:9" ht="27.9" customHeight="1" thickBot="1">
      <c r="A27" s="150" t="s">
        <v>321</v>
      </c>
      <c r="B27" s="149"/>
      <c r="C27" s="148"/>
      <c r="D27" s="147"/>
      <c r="E27" s="146">
        <f>SUM(E5:E11)</f>
        <v>30</v>
      </c>
      <c r="F27" s="145">
        <f>SUM(F5:F26)</f>
        <v>30000000</v>
      </c>
      <c r="G27" s="144"/>
    </row>
    <row r="28" spans="1:9" ht="14.4">
      <c r="A28" s="143"/>
      <c r="B28" s="142"/>
      <c r="C28" s="141"/>
      <c r="D28" s="141"/>
    </row>
    <row r="29" spans="1:9" ht="14.4">
      <c r="A29" s="141"/>
      <c r="B29" s="141"/>
      <c r="C29" s="141"/>
      <c r="D29" s="141"/>
    </row>
    <row r="30" spans="1:9" s="30" customFormat="1" ht="14.4">
      <c r="A30" s="141"/>
      <c r="B30" s="141"/>
      <c r="C30" s="141"/>
      <c r="D30" s="141"/>
      <c r="E30" s="18"/>
      <c r="F30" s="18"/>
      <c r="G30" s="18"/>
      <c r="I30" s="138"/>
    </row>
    <row r="31" spans="1:9" s="30" customFormat="1" ht="14.4">
      <c r="A31" s="141"/>
      <c r="B31" s="141"/>
      <c r="C31" s="141"/>
      <c r="D31" s="141"/>
      <c r="E31" s="18"/>
      <c r="F31" s="18"/>
      <c r="G31" s="18"/>
      <c r="I31" s="138"/>
    </row>
    <row r="32" spans="1:9" s="30" customFormat="1" ht="14.4">
      <c r="A32" s="141"/>
      <c r="B32" s="141"/>
      <c r="C32" s="141"/>
      <c r="D32" s="141"/>
      <c r="E32" s="18"/>
      <c r="F32" s="18"/>
      <c r="G32" s="18"/>
      <c r="I32" s="138"/>
    </row>
    <row r="33" spans="1:9" s="30" customFormat="1" ht="14.4">
      <c r="A33" s="140"/>
      <c r="B33" s="140"/>
      <c r="C33" s="140"/>
      <c r="D33" s="140"/>
      <c r="E33" s="18"/>
      <c r="F33" s="18"/>
      <c r="G33" s="18"/>
      <c r="I33" s="138"/>
    </row>
    <row r="34" spans="1:9" s="30" customFormat="1" ht="14.4">
      <c r="A34" s="140"/>
      <c r="B34" s="140"/>
      <c r="C34" s="140"/>
      <c r="D34" s="140"/>
      <c r="E34" s="18"/>
      <c r="F34" s="18"/>
      <c r="G34" s="18"/>
      <c r="I34" s="138"/>
    </row>
    <row r="35" spans="1:9" s="30" customFormat="1" ht="14.4">
      <c r="A35" s="140"/>
      <c r="B35" s="140"/>
      <c r="C35" s="140"/>
      <c r="D35" s="140"/>
      <c r="E35" s="18"/>
      <c r="F35" s="18"/>
      <c r="G35" s="18"/>
      <c r="I35" s="138"/>
    </row>
    <row r="36" spans="1:9" s="30" customFormat="1" ht="14.4">
      <c r="A36" s="140"/>
      <c r="B36" s="140"/>
      <c r="C36" s="140"/>
      <c r="D36" s="140"/>
      <c r="E36" s="18"/>
      <c r="F36" s="18"/>
      <c r="G36" s="18"/>
      <c r="I36" s="138"/>
    </row>
    <row r="37" spans="1:9" s="30" customFormat="1" ht="14.4">
      <c r="A37" s="140"/>
      <c r="B37" s="140"/>
      <c r="C37" s="140"/>
      <c r="D37" s="140"/>
      <c r="E37" s="18"/>
      <c r="F37" s="18"/>
      <c r="G37" s="18"/>
      <c r="I37" s="138"/>
    </row>
    <row r="38" spans="1:9" s="30" customFormat="1" ht="14.4">
      <c r="A38" s="140"/>
      <c r="B38" s="140"/>
      <c r="C38" s="140"/>
      <c r="D38" s="140"/>
      <c r="E38" s="18"/>
      <c r="F38" s="18"/>
      <c r="G38" s="18"/>
      <c r="I38" s="138"/>
    </row>
    <row r="39" spans="1:9" s="30" customFormat="1" ht="14.4">
      <c r="A39" s="140"/>
      <c r="B39" s="18"/>
      <c r="C39" s="140"/>
      <c r="D39" s="140"/>
      <c r="E39" s="18"/>
      <c r="F39" s="18"/>
      <c r="G39" s="18"/>
      <c r="I39" s="138"/>
    </row>
    <row r="40" spans="1:9" s="30" customFormat="1" ht="14.4">
      <c r="A40" s="140"/>
      <c r="B40" s="18"/>
      <c r="C40" s="140"/>
      <c r="D40" s="140"/>
      <c r="E40" s="18"/>
      <c r="F40" s="18"/>
      <c r="G40" s="18"/>
      <c r="I40" s="138"/>
    </row>
    <row r="41" spans="1:9" s="30" customFormat="1" ht="14.4">
      <c r="A41" s="140"/>
      <c r="B41" s="18"/>
      <c r="C41" s="140"/>
      <c r="D41" s="140"/>
      <c r="E41" s="18"/>
      <c r="F41" s="18"/>
      <c r="G41" s="18"/>
      <c r="I41" s="138"/>
    </row>
    <row r="42" spans="1:9" s="30" customFormat="1" ht="14.4">
      <c r="A42" s="140"/>
      <c r="B42" s="18"/>
      <c r="C42" s="140"/>
      <c r="D42" s="140"/>
      <c r="E42" s="18"/>
      <c r="F42" s="18"/>
      <c r="G42" s="18"/>
      <c r="I42" s="138"/>
    </row>
    <row r="43" spans="1:9" s="30" customFormat="1" ht="14.4">
      <c r="A43" s="140"/>
      <c r="B43" s="18"/>
      <c r="C43" s="140"/>
      <c r="D43" s="140"/>
      <c r="E43" s="18"/>
      <c r="F43" s="18"/>
      <c r="G43" s="18"/>
      <c r="I43" s="138"/>
    </row>
    <row r="44" spans="1:9" s="30" customFormat="1" ht="14.4">
      <c r="A44" s="18"/>
      <c r="B44" s="18"/>
      <c r="C44" s="140"/>
      <c r="D44" s="140"/>
      <c r="E44" s="18"/>
      <c r="F44" s="18"/>
      <c r="G44" s="18"/>
      <c r="I44" s="138"/>
    </row>
    <row r="45" spans="1:9" s="30" customFormat="1">
      <c r="A45" s="18"/>
      <c r="B45" s="18"/>
      <c r="C45" s="140"/>
      <c r="D45" s="139"/>
      <c r="E45" s="18"/>
      <c r="F45" s="18"/>
      <c r="G45" s="18"/>
      <c r="I45" s="138"/>
    </row>
    <row r="46" spans="1:9" s="30" customFormat="1">
      <c r="A46" s="18"/>
      <c r="B46" s="18"/>
      <c r="C46" s="140"/>
      <c r="D46" s="139"/>
      <c r="E46" s="18"/>
      <c r="F46" s="18"/>
      <c r="G46" s="18"/>
      <c r="I46" s="138"/>
    </row>
  </sheetData>
  <mergeCells count="7">
    <mergeCell ref="A1:G1"/>
    <mergeCell ref="A3:A4"/>
    <mergeCell ref="B3:B4"/>
    <mergeCell ref="C3:C4"/>
    <mergeCell ref="D3:D4"/>
    <mergeCell ref="E3:F3"/>
    <mergeCell ref="G3:G4"/>
  </mergeCells>
  <phoneticPr fontId="3" type="noConversion"/>
  <printOptions horizontalCentered="1"/>
  <pageMargins left="0.31496062992125984" right="0.31496062992125984" top="0.35433070866141736" bottom="0.51181102362204722" header="0.15748031496062992" footer="0.27559055118110237"/>
  <pageSetup paperSize="9" scale="64" orientation="landscape" r:id="rId1"/>
  <headerFooter>
    <oddFooter>&amp;C&amp;P/&amp;N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O29"/>
  <sheetViews>
    <sheetView tabSelected="1" view="pageBreakPreview" zoomScale="85" zoomScaleNormal="70" zoomScaleSheetLayoutView="85" zoomScalePageLayoutView="85" workbookViewId="0">
      <selection activeCell="O10" sqref="O10"/>
    </sheetView>
  </sheetViews>
  <sheetFormatPr defaultRowHeight="17.399999999999999"/>
  <cols>
    <col min="2" max="2" width="21.59765625" style="54" customWidth="1"/>
    <col min="3" max="3" width="20.59765625" style="54" customWidth="1"/>
    <col min="4" max="4" width="6.59765625" style="54" customWidth="1"/>
    <col min="5" max="5" width="12.09765625" style="54" customWidth="1"/>
    <col min="6" max="6" width="16.59765625" style="54" customWidth="1"/>
    <col min="7" max="10" width="19.59765625" style="54" customWidth="1"/>
    <col min="11" max="11" width="15.59765625" style="54" customWidth="1"/>
    <col min="12" max="13" width="11.59765625" style="54" customWidth="1"/>
    <col min="15" max="15" width="13.59765625" bestFit="1" customWidth="1"/>
  </cols>
  <sheetData>
    <row r="1" spans="2:15" ht="18" thickBot="1"/>
    <row r="2" spans="2:15" ht="39.9" customHeight="1">
      <c r="B2" s="265" t="str">
        <f>'용역청구서 표지'!$B$7</f>
        <v>P4 Ph2 GAS&amp;PCW 1공구</v>
      </c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7"/>
    </row>
    <row r="3" spans="2:15" ht="20.100000000000001" customHeight="1">
      <c r="B3" s="201"/>
      <c r="C3" s="202"/>
      <c r="D3" s="202"/>
      <c r="E3" s="202"/>
      <c r="F3" s="202"/>
      <c r="G3" s="202"/>
      <c r="H3" s="202"/>
      <c r="I3" s="202"/>
      <c r="J3" s="202"/>
      <c r="K3" s="203"/>
      <c r="L3" s="202"/>
      <c r="M3" s="204" t="str">
        <f>'용역청구서 표지'!$C$15</f>
        <v>대성이엔지</v>
      </c>
    </row>
    <row r="4" spans="2:15" ht="30" customHeight="1">
      <c r="B4" s="205" t="s">
        <v>109</v>
      </c>
      <c r="C4" s="188" t="s">
        <v>110</v>
      </c>
      <c r="D4" s="188" t="s">
        <v>111</v>
      </c>
      <c r="E4" s="188" t="s">
        <v>112</v>
      </c>
      <c r="F4" s="188" t="s">
        <v>113</v>
      </c>
      <c r="G4" s="189" t="s">
        <v>114</v>
      </c>
      <c r="H4" s="55" t="s">
        <v>115</v>
      </c>
      <c r="I4" s="188" t="s">
        <v>116</v>
      </c>
      <c r="J4" s="56" t="s">
        <v>117</v>
      </c>
      <c r="K4" s="268" t="s">
        <v>118</v>
      </c>
      <c r="L4" s="268"/>
      <c r="M4" s="269"/>
    </row>
    <row r="5" spans="2:15" ht="30" customHeight="1">
      <c r="B5" s="206" t="s">
        <v>119</v>
      </c>
      <c r="C5" s="57" t="s">
        <v>120</v>
      </c>
      <c r="D5" s="46" t="s">
        <v>121</v>
      </c>
      <c r="E5" s="127">
        <f>SUM('물량 내역서'!$J$6:$J$28)</f>
        <v>550</v>
      </c>
      <c r="F5" s="47">
        <f>G5/E5</f>
        <v>475000</v>
      </c>
      <c r="G5" s="58">
        <f>SUM('물량 내역서'!$K$6:$K$28)</f>
        <v>261250000</v>
      </c>
      <c r="H5" s="59">
        <v>0</v>
      </c>
      <c r="I5" s="47">
        <f>G5</f>
        <v>261250000</v>
      </c>
      <c r="J5" s="60">
        <f>H5+I5</f>
        <v>261250000</v>
      </c>
      <c r="K5" s="253"/>
      <c r="L5" s="254"/>
      <c r="M5" s="255"/>
    </row>
    <row r="6" spans="2:15" ht="30" customHeight="1">
      <c r="B6" s="207"/>
      <c r="C6" s="57" t="s">
        <v>122</v>
      </c>
      <c r="D6" s="46" t="s">
        <v>123</v>
      </c>
      <c r="E6" s="126">
        <f>SUM('물량 내역서'!$J$29:$J$51)</f>
        <v>0</v>
      </c>
      <c r="F6" s="47" t="e">
        <f>G6/E6</f>
        <v>#DIV/0!</v>
      </c>
      <c r="G6" s="58">
        <f>SUM('물량 내역서'!$K$29:$K$51)</f>
        <v>0</v>
      </c>
      <c r="H6" s="59">
        <v>0</v>
      </c>
      <c r="I6" s="47">
        <f t="shared" ref="I6:I23" si="0">G6</f>
        <v>0</v>
      </c>
      <c r="J6" s="60">
        <f t="shared" ref="J6:J7" si="1">H6+I6</f>
        <v>0</v>
      </c>
      <c r="K6" s="253"/>
      <c r="L6" s="254"/>
      <c r="M6" s="255"/>
    </row>
    <row r="7" spans="2:15" ht="30" customHeight="1">
      <c r="B7" s="208"/>
      <c r="C7" s="57" t="s">
        <v>124</v>
      </c>
      <c r="D7" s="46" t="s">
        <v>125</v>
      </c>
      <c r="E7" s="61">
        <f>'근로내역 (04월)'!AN83</f>
        <v>0</v>
      </c>
      <c r="F7" s="47">
        <v>0</v>
      </c>
      <c r="G7" s="58">
        <f>E7*F7</f>
        <v>0</v>
      </c>
      <c r="H7" s="59">
        <v>0</v>
      </c>
      <c r="I7" s="47">
        <f t="shared" si="0"/>
        <v>0</v>
      </c>
      <c r="J7" s="60">
        <f t="shared" si="1"/>
        <v>0</v>
      </c>
      <c r="K7" s="253"/>
      <c r="L7" s="254"/>
      <c r="M7" s="255"/>
    </row>
    <row r="8" spans="2:15" ht="30" customHeight="1">
      <c r="B8" s="209" t="s">
        <v>127</v>
      </c>
      <c r="C8" s="256" t="s">
        <v>128</v>
      </c>
      <c r="D8" s="257"/>
      <c r="E8" s="62"/>
      <c r="F8" s="62"/>
      <c r="G8" s="63">
        <f>SUM(G5:G7)</f>
        <v>261250000</v>
      </c>
      <c r="H8" s="64"/>
      <c r="I8" s="65">
        <f t="shared" si="0"/>
        <v>261250000</v>
      </c>
      <c r="J8" s="66">
        <f>H8+I8</f>
        <v>261250000</v>
      </c>
      <c r="K8" s="258"/>
      <c r="L8" s="259"/>
      <c r="M8" s="260"/>
      <c r="O8" s="135"/>
    </row>
    <row r="9" spans="2:15" ht="30" customHeight="1">
      <c r="B9" s="206" t="s">
        <v>697</v>
      </c>
      <c r="C9" s="57" t="s">
        <v>129</v>
      </c>
      <c r="D9" s="46" t="s">
        <v>130</v>
      </c>
      <c r="E9" s="61">
        <f>'근로내역 (04월)'!AN71</f>
        <v>1328.3125</v>
      </c>
      <c r="F9" s="67">
        <f>G9/E9</f>
        <v>194712.74643579731</v>
      </c>
      <c r="G9" s="58">
        <f>'근로내역 (04월)'!AP71</f>
        <v>258639375</v>
      </c>
      <c r="H9" s="59">
        <v>112889375</v>
      </c>
      <c r="I9" s="47">
        <f>G9</f>
        <v>258639375</v>
      </c>
      <c r="J9" s="60">
        <f>H9+I9</f>
        <v>371528750</v>
      </c>
      <c r="K9" s="253"/>
      <c r="L9" s="254"/>
      <c r="M9" s="255"/>
    </row>
    <row r="10" spans="2:15" ht="30" customHeight="1">
      <c r="B10" s="206" t="s">
        <v>698</v>
      </c>
      <c r="C10" s="57" t="s">
        <v>131</v>
      </c>
      <c r="D10" s="46" t="s">
        <v>126</v>
      </c>
      <c r="E10" s="46">
        <f>SUM(숙소임차료!H4:H6)+SUM(숙소관리비!H4:H8)</f>
        <v>37</v>
      </c>
      <c r="F10" s="47">
        <f>G10/E10</f>
        <v>676798.37837837834</v>
      </c>
      <c r="G10" s="58">
        <f>숙소임차료!I3+숙소관리비!I3</f>
        <v>25041540</v>
      </c>
      <c r="H10" s="59">
        <v>18330000</v>
      </c>
      <c r="I10" s="47">
        <f>G10</f>
        <v>25041540</v>
      </c>
      <c r="J10" s="60">
        <f t="shared" ref="J10:J12" si="2">H10+I10</f>
        <v>43371540</v>
      </c>
      <c r="K10" s="253"/>
      <c r="L10" s="254"/>
      <c r="M10" s="255"/>
      <c r="O10" s="135">
        <f>+I10+I11</f>
        <v>44574676</v>
      </c>
    </row>
    <row r="11" spans="2:15" ht="30" customHeight="1">
      <c r="B11" s="206"/>
      <c r="C11" s="57" t="s">
        <v>132</v>
      </c>
      <c r="D11" s="46" t="s">
        <v>133</v>
      </c>
      <c r="E11" s="46">
        <f>SUM(식대비용!G4:G4)</f>
        <v>56</v>
      </c>
      <c r="F11" s="47">
        <f>G11/E11</f>
        <v>348806</v>
      </c>
      <c r="G11" s="58">
        <f>식대비용!I3</f>
        <v>19533136</v>
      </c>
      <c r="H11" s="59">
        <v>7940818</v>
      </c>
      <c r="I11" s="47">
        <f>G11</f>
        <v>19533136</v>
      </c>
      <c r="J11" s="60">
        <f t="shared" si="2"/>
        <v>27473954</v>
      </c>
      <c r="K11" s="253"/>
      <c r="L11" s="254"/>
      <c r="M11" s="255"/>
    </row>
    <row r="12" spans="2:15" ht="30" customHeight="1">
      <c r="B12" s="206" t="s">
        <v>699</v>
      </c>
      <c r="C12" s="57"/>
      <c r="D12" s="46" t="s">
        <v>126</v>
      </c>
      <c r="E12" s="46"/>
      <c r="F12" s="47">
        <v>0</v>
      </c>
      <c r="G12" s="58">
        <f t="shared" ref="G12" si="3">E12*F12</f>
        <v>0</v>
      </c>
      <c r="H12" s="59"/>
      <c r="I12" s="47">
        <f t="shared" si="0"/>
        <v>0</v>
      </c>
      <c r="J12" s="60">
        <f t="shared" si="2"/>
        <v>0</v>
      </c>
      <c r="K12" s="253"/>
      <c r="L12" s="254"/>
      <c r="M12" s="255"/>
    </row>
    <row r="13" spans="2:15" ht="30" customHeight="1">
      <c r="B13" s="209" t="s">
        <v>134</v>
      </c>
      <c r="C13" s="256" t="s">
        <v>135</v>
      </c>
      <c r="D13" s="257"/>
      <c r="E13" s="62"/>
      <c r="F13" s="62"/>
      <c r="G13" s="63">
        <f>SUM(G9:G12)</f>
        <v>303214051</v>
      </c>
      <c r="H13" s="66">
        <f>SUM(H9:H12)</f>
        <v>139160193</v>
      </c>
      <c r="I13" s="65">
        <f t="shared" si="0"/>
        <v>303214051</v>
      </c>
      <c r="J13" s="66">
        <f>H13+I13</f>
        <v>442374244</v>
      </c>
      <c r="K13" s="258" t="s">
        <v>707</v>
      </c>
      <c r="L13" s="259"/>
      <c r="M13" s="260"/>
    </row>
    <row r="14" spans="2:15" ht="30" customHeight="1">
      <c r="B14" s="209" t="s">
        <v>136</v>
      </c>
      <c r="C14" s="256" t="s">
        <v>137</v>
      </c>
      <c r="D14" s="257"/>
      <c r="E14" s="62"/>
      <c r="F14" s="62"/>
      <c r="G14" s="63">
        <f>G8-G13</f>
        <v>-41964051</v>
      </c>
      <c r="H14" s="66">
        <f>H8-H13</f>
        <v>-139160193</v>
      </c>
      <c r="I14" s="65">
        <f>G14</f>
        <v>-41964051</v>
      </c>
      <c r="J14" s="66">
        <f>H14+I14</f>
        <v>-181124244</v>
      </c>
      <c r="K14" s="258"/>
      <c r="L14" s="259"/>
      <c r="M14" s="260"/>
    </row>
    <row r="15" spans="2:15" ht="30" customHeight="1">
      <c r="B15" s="206" t="s">
        <v>700</v>
      </c>
      <c r="C15" s="57" t="s">
        <v>138</v>
      </c>
      <c r="D15" s="46" t="s">
        <v>126</v>
      </c>
      <c r="E15" s="46"/>
      <c r="F15" s="46"/>
      <c r="G15" s="58"/>
      <c r="H15" s="59"/>
      <c r="I15" s="47">
        <f t="shared" si="0"/>
        <v>0</v>
      </c>
      <c r="J15" s="60">
        <f>H15+I15</f>
        <v>0</v>
      </c>
      <c r="K15" s="253"/>
      <c r="L15" s="254"/>
      <c r="M15" s="255"/>
      <c r="O15" s="135"/>
    </row>
    <row r="16" spans="2:15" ht="30" customHeight="1">
      <c r="B16" s="206" t="s">
        <v>701</v>
      </c>
      <c r="C16" s="68" t="s">
        <v>704</v>
      </c>
      <c r="D16" s="46" t="s">
        <v>139</v>
      </c>
      <c r="E16" s="46"/>
      <c r="F16" s="47"/>
      <c r="G16" s="58"/>
      <c r="H16" s="59"/>
      <c r="I16" s="47">
        <f t="shared" ref="I16" si="4">G16</f>
        <v>0</v>
      </c>
      <c r="J16" s="60">
        <f>H16+I16</f>
        <v>0</v>
      </c>
      <c r="K16" s="253"/>
      <c r="L16" s="254"/>
      <c r="M16" s="255"/>
    </row>
    <row r="17" spans="2:13" ht="30" customHeight="1">
      <c r="B17" s="206" t="s">
        <v>702</v>
      </c>
      <c r="C17" s="57" t="s">
        <v>140</v>
      </c>
      <c r="D17" s="46" t="s">
        <v>141</v>
      </c>
      <c r="E17" s="46"/>
      <c r="F17" s="202"/>
      <c r="G17" s="58"/>
      <c r="H17" s="202"/>
      <c r="I17" s="47">
        <f>G17</f>
        <v>0</v>
      </c>
      <c r="J17" s="60"/>
      <c r="K17" s="253"/>
      <c r="L17" s="254"/>
      <c r="M17" s="255"/>
    </row>
    <row r="18" spans="2:13" ht="30" customHeight="1">
      <c r="B18" s="209" t="s">
        <v>142</v>
      </c>
      <c r="C18" s="256" t="s">
        <v>143</v>
      </c>
      <c r="D18" s="257"/>
      <c r="E18" s="62"/>
      <c r="F18" s="62"/>
      <c r="G18" s="63">
        <f>G14+G15+G16+G17</f>
        <v>-41964051</v>
      </c>
      <c r="H18" s="190">
        <f t="shared" ref="H18:J18" si="5">H14+H15+H16+H17</f>
        <v>-139160193</v>
      </c>
      <c r="I18" s="64">
        <f t="shared" si="5"/>
        <v>-41964051</v>
      </c>
      <c r="J18" s="66">
        <f t="shared" si="5"/>
        <v>-181124244</v>
      </c>
      <c r="K18" s="258"/>
      <c r="L18" s="259"/>
      <c r="M18" s="260"/>
    </row>
    <row r="19" spans="2:13" ht="30" customHeight="1">
      <c r="B19" s="206" t="s">
        <v>703</v>
      </c>
      <c r="C19" s="199" t="s">
        <v>696</v>
      </c>
      <c r="D19" s="46" t="s">
        <v>126</v>
      </c>
      <c r="E19" s="127">
        <f>SUM('물량 내역서'!$J$6:$J$28)</f>
        <v>550</v>
      </c>
      <c r="F19" s="47">
        <f>G19/E19</f>
        <v>383862.26181818184</v>
      </c>
      <c r="G19" s="58">
        <f>211200000-75756</f>
        <v>211124244</v>
      </c>
      <c r="H19" s="59"/>
      <c r="I19" s="47">
        <f>G19</f>
        <v>211124244</v>
      </c>
      <c r="J19" s="60">
        <f t="shared" ref="J19" si="6">H19+I19</f>
        <v>211124244</v>
      </c>
      <c r="K19" s="253" t="s">
        <v>708</v>
      </c>
      <c r="L19" s="254"/>
      <c r="M19" s="255"/>
    </row>
    <row r="20" spans="2:13" ht="30" customHeight="1">
      <c r="B20" s="206"/>
      <c r="C20" s="200" t="s">
        <v>705</v>
      </c>
      <c r="D20" s="46" t="s">
        <v>126</v>
      </c>
      <c r="E20" s="127"/>
      <c r="F20" s="47"/>
      <c r="G20" s="58">
        <v>-139160193</v>
      </c>
      <c r="H20" s="59"/>
      <c r="I20" s="218">
        <f t="shared" ref="I20" si="7">G20</f>
        <v>-139160193</v>
      </c>
      <c r="J20" s="60">
        <f t="shared" ref="J20" si="8">H20+I20</f>
        <v>-139160193</v>
      </c>
      <c r="K20" s="253"/>
      <c r="L20" s="254"/>
      <c r="M20" s="255"/>
    </row>
    <row r="21" spans="2:13" ht="30" customHeight="1">
      <c r="B21" s="209" t="s">
        <v>127</v>
      </c>
      <c r="C21" s="256"/>
      <c r="D21" s="257"/>
      <c r="E21" s="62"/>
      <c r="F21" s="62"/>
      <c r="G21" s="63">
        <f>SUM(G19:G20)</f>
        <v>71964051</v>
      </c>
      <c r="H21" s="217">
        <f t="shared" ref="H21" si="9">SUM(H19)</f>
        <v>0</v>
      </c>
      <c r="I21" s="65">
        <f>SUM(I19:I20)</f>
        <v>71964051</v>
      </c>
      <c r="J21" s="217">
        <f>SUM(J19:J20)</f>
        <v>71964051</v>
      </c>
      <c r="K21" s="258"/>
      <c r="L21" s="259"/>
      <c r="M21" s="260"/>
    </row>
    <row r="22" spans="2:13" ht="30" customHeight="1">
      <c r="B22" s="261" t="s">
        <v>144</v>
      </c>
      <c r="C22" s="57" t="s">
        <v>145</v>
      </c>
      <c r="D22" s="46" t="s">
        <v>139</v>
      </c>
      <c r="E22" s="46"/>
      <c r="F22" s="46"/>
      <c r="G22" s="58">
        <v>0</v>
      </c>
      <c r="H22" s="59"/>
      <c r="I22" s="219">
        <f>G22</f>
        <v>0</v>
      </c>
      <c r="J22" s="60">
        <f t="shared" ref="J22:J23" si="10">H22+I22</f>
        <v>0</v>
      </c>
      <c r="K22" s="198"/>
      <c r="L22" s="69" t="s">
        <v>146</v>
      </c>
      <c r="M22" s="210" t="s">
        <v>147</v>
      </c>
    </row>
    <row r="23" spans="2:13" ht="30" customHeight="1">
      <c r="B23" s="261"/>
      <c r="C23" s="57" t="s">
        <v>148</v>
      </c>
      <c r="D23" s="46" t="s">
        <v>139</v>
      </c>
      <c r="E23" s="46"/>
      <c r="F23" s="46"/>
      <c r="G23" s="58">
        <f>ROUNDDOWN(G22,-5)</f>
        <v>0</v>
      </c>
      <c r="H23" s="59"/>
      <c r="I23" s="47">
        <f t="shared" si="0"/>
        <v>0</v>
      </c>
      <c r="J23" s="60">
        <f t="shared" si="10"/>
        <v>0</v>
      </c>
      <c r="K23" s="200" t="s">
        <v>149</v>
      </c>
      <c r="L23" s="270"/>
      <c r="M23" s="271"/>
    </row>
    <row r="24" spans="2:13" ht="30" customHeight="1">
      <c r="B24" s="262" t="s">
        <v>150</v>
      </c>
      <c r="C24" s="263"/>
      <c r="D24" s="264"/>
      <c r="E24" s="191"/>
      <c r="F24" s="191"/>
      <c r="G24" s="192">
        <f>G18-G23</f>
        <v>-41964051</v>
      </c>
      <c r="H24" s="193">
        <f>H18-H23</f>
        <v>-139160193</v>
      </c>
      <c r="I24" s="194">
        <f>I18-I23</f>
        <v>-41964051</v>
      </c>
      <c r="J24" s="195">
        <f>J18-J23</f>
        <v>-181124244</v>
      </c>
      <c r="K24" s="216"/>
      <c r="L24" s="270"/>
      <c r="M24" s="272"/>
    </row>
    <row r="25" spans="2:13" ht="30" customHeight="1">
      <c r="B25" s="262" t="s">
        <v>151</v>
      </c>
      <c r="C25" s="263"/>
      <c r="D25" s="264"/>
      <c r="E25" s="191"/>
      <c r="F25" s="191"/>
      <c r="G25" s="192">
        <f>G24+G21</f>
        <v>30000000</v>
      </c>
      <c r="H25" s="193">
        <f>ROUNDDOWN(H24+H21,-5)</f>
        <v>-139100000</v>
      </c>
      <c r="I25" s="194">
        <f>I24+I21</f>
        <v>30000000</v>
      </c>
      <c r="J25" s="195">
        <f>ROUNDDOWN(J24+J19,-5)</f>
        <v>30000000</v>
      </c>
      <c r="K25" s="196" t="s">
        <v>695</v>
      </c>
      <c r="L25" s="270"/>
      <c r="M25" s="273"/>
    </row>
    <row r="26" spans="2:13" ht="30" customHeight="1">
      <c r="B26" s="249" t="s">
        <v>152</v>
      </c>
      <c r="C26" s="250"/>
      <c r="D26" s="251"/>
      <c r="E26" s="250" t="s">
        <v>153</v>
      </c>
      <c r="F26" s="250"/>
      <c r="G26" s="250"/>
      <c r="H26" s="250"/>
      <c r="I26" s="250"/>
      <c r="J26" s="250"/>
      <c r="K26" s="250"/>
      <c r="L26" s="250"/>
      <c r="M26" s="252"/>
    </row>
    <row r="27" spans="2:13" ht="21" customHeight="1">
      <c r="B27" s="211" t="s">
        <v>154</v>
      </c>
      <c r="C27" s="202"/>
      <c r="D27" s="202"/>
      <c r="E27" s="202"/>
      <c r="F27" s="202"/>
      <c r="G27" s="202"/>
      <c r="H27" s="202"/>
      <c r="I27" s="202"/>
      <c r="J27" s="202"/>
      <c r="K27" s="202"/>
      <c r="L27" s="202"/>
      <c r="M27" s="212"/>
    </row>
    <row r="28" spans="2:13" ht="21" customHeight="1">
      <c r="B28" s="211" t="s">
        <v>155</v>
      </c>
      <c r="C28" s="202"/>
      <c r="D28" s="202"/>
      <c r="E28" s="202"/>
      <c r="F28" s="202"/>
      <c r="G28" s="202"/>
      <c r="H28" s="202"/>
      <c r="I28" s="202"/>
      <c r="J28" s="202"/>
      <c r="K28" s="202"/>
      <c r="L28" s="202"/>
      <c r="M28" s="212"/>
    </row>
    <row r="29" spans="2:13" ht="21" customHeight="1" thickBot="1">
      <c r="B29" s="213" t="s">
        <v>156</v>
      </c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5"/>
    </row>
  </sheetData>
  <mergeCells count="31">
    <mergeCell ref="K12:M12"/>
    <mergeCell ref="C13:D13"/>
    <mergeCell ref="K13:M13"/>
    <mergeCell ref="C14:D14"/>
    <mergeCell ref="L23:L25"/>
    <mergeCell ref="M23:M25"/>
    <mergeCell ref="K20:M20"/>
    <mergeCell ref="C21:D21"/>
    <mergeCell ref="K21:M21"/>
    <mergeCell ref="K14:M14"/>
    <mergeCell ref="K15:M15"/>
    <mergeCell ref="K16:M16"/>
    <mergeCell ref="C8:D8"/>
    <mergeCell ref="K8:M8"/>
    <mergeCell ref="K9:M9"/>
    <mergeCell ref="K10:M10"/>
    <mergeCell ref="K11:M11"/>
    <mergeCell ref="B2:M2"/>
    <mergeCell ref="K4:M4"/>
    <mergeCell ref="K5:M5"/>
    <mergeCell ref="K6:M6"/>
    <mergeCell ref="K7:M7"/>
    <mergeCell ref="B26:D26"/>
    <mergeCell ref="E26:M26"/>
    <mergeCell ref="K17:M17"/>
    <mergeCell ref="C18:D18"/>
    <mergeCell ref="K18:M18"/>
    <mergeCell ref="B22:B23"/>
    <mergeCell ref="B24:D24"/>
    <mergeCell ref="B25:D25"/>
    <mergeCell ref="K19:M19"/>
  </mergeCells>
  <phoneticPr fontId="3" type="noConversion"/>
  <pageMargins left="0.7" right="0.7" top="0.48" bottom="0.51" header="0.3" footer="0.3"/>
  <pageSetup paperSize="9" scale="62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pageSetUpPr fitToPage="1"/>
  </sheetPr>
  <dimension ref="A1:M52"/>
  <sheetViews>
    <sheetView view="pageBreakPreview" zoomScale="85" zoomScaleNormal="70" zoomScaleSheetLayoutView="85" workbookViewId="0">
      <pane ySplit="4" topLeftCell="A5" activePane="bottomLeft" state="frozen"/>
      <selection pane="bottomLeft" activeCell="J12" sqref="J12"/>
    </sheetView>
  </sheetViews>
  <sheetFormatPr defaultRowHeight="17.399999999999999"/>
  <cols>
    <col min="1" max="1" width="25.59765625" customWidth="1"/>
    <col min="2" max="2" width="20.59765625" customWidth="1"/>
    <col min="3" max="4" width="8.59765625" customWidth="1"/>
    <col min="5" max="5" width="15.59765625" customWidth="1"/>
    <col min="6" max="6" width="13.19921875" bestFit="1" customWidth="1"/>
    <col min="7" max="7" width="17.59765625" customWidth="1"/>
    <col min="8" max="8" width="11.59765625" customWidth="1"/>
    <col min="9" max="9" width="17.59765625" customWidth="1"/>
    <col min="10" max="10" width="13.19921875" bestFit="1" customWidth="1"/>
    <col min="11" max="11" width="17.59765625" customWidth="1"/>
    <col min="12" max="12" width="13.19921875" bestFit="1" customWidth="1"/>
    <col min="13" max="13" width="17.59765625" customWidth="1"/>
  </cols>
  <sheetData>
    <row r="1" spans="1:13" ht="37.799999999999997">
      <c r="A1" s="277" t="s">
        <v>520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</row>
    <row r="2" spans="1:13" ht="19.2">
      <c r="A2" s="70" t="str">
        <f>'용역청구서 표지'!$B$7</f>
        <v>P4 Ph2 GAS&amp;PCW 1공구</v>
      </c>
      <c r="M2" s="42" t="s">
        <v>157</v>
      </c>
    </row>
    <row r="3" spans="1:13" ht="27.9" customHeight="1">
      <c r="A3" s="278" t="s">
        <v>158</v>
      </c>
      <c r="B3" s="278" t="s">
        <v>159</v>
      </c>
      <c r="C3" s="278" t="s">
        <v>160</v>
      </c>
      <c r="D3" s="279" t="s">
        <v>161</v>
      </c>
      <c r="E3" s="278" t="s">
        <v>162</v>
      </c>
      <c r="F3" s="278" t="s">
        <v>163</v>
      </c>
      <c r="G3" s="278"/>
      <c r="H3" s="278" t="s">
        <v>164</v>
      </c>
      <c r="I3" s="278"/>
      <c r="J3" s="278" t="s">
        <v>165</v>
      </c>
      <c r="K3" s="278"/>
      <c r="L3" s="278" t="s">
        <v>166</v>
      </c>
      <c r="M3" s="278"/>
    </row>
    <row r="4" spans="1:13" ht="27.9" customHeight="1">
      <c r="A4" s="278"/>
      <c r="B4" s="278"/>
      <c r="C4" s="278"/>
      <c r="D4" s="279"/>
      <c r="E4" s="278"/>
      <c r="F4" s="71" t="s">
        <v>167</v>
      </c>
      <c r="G4" s="71" t="s">
        <v>168</v>
      </c>
      <c r="H4" s="71" t="s">
        <v>167</v>
      </c>
      <c r="I4" s="71" t="s">
        <v>168</v>
      </c>
      <c r="J4" s="71" t="s">
        <v>167</v>
      </c>
      <c r="K4" s="71" t="s">
        <v>169</v>
      </c>
      <c r="L4" s="71" t="s">
        <v>167</v>
      </c>
      <c r="M4" s="71" t="s">
        <v>169</v>
      </c>
    </row>
    <row r="5" spans="1:13" ht="27.9" customHeight="1">
      <c r="A5" s="220"/>
      <c r="B5" s="220"/>
      <c r="C5" s="220"/>
      <c r="D5" s="221"/>
      <c r="E5" s="220"/>
      <c r="F5" s="220"/>
      <c r="G5" s="220"/>
      <c r="H5" s="220"/>
      <c r="I5" s="220"/>
      <c r="J5" s="220"/>
      <c r="K5" s="220"/>
      <c r="L5" s="220"/>
      <c r="M5" s="220"/>
    </row>
    <row r="6" spans="1:13" ht="27.9" hidden="1" customHeight="1">
      <c r="A6" s="72" t="s">
        <v>170</v>
      </c>
      <c r="B6" s="38" t="s">
        <v>171</v>
      </c>
      <c r="C6" s="38" t="s">
        <v>172</v>
      </c>
      <c r="D6" s="73"/>
      <c r="E6" s="74">
        <v>475000</v>
      </c>
      <c r="F6" s="77">
        <f>L6</f>
        <v>0</v>
      </c>
      <c r="G6" s="75">
        <f>M6</f>
        <v>0</v>
      </c>
      <c r="H6" s="77"/>
      <c r="I6" s="74"/>
      <c r="J6" s="77">
        <f>$D6*'DIA-INCH'!$C5</f>
        <v>0</v>
      </c>
      <c r="K6" s="75">
        <f>$E6*$J6</f>
        <v>0</v>
      </c>
      <c r="L6" s="77">
        <f>H6+J6</f>
        <v>0</v>
      </c>
      <c r="M6" s="75">
        <f>I6+K6</f>
        <v>0</v>
      </c>
    </row>
    <row r="7" spans="1:13" ht="27.9" hidden="1" customHeight="1">
      <c r="A7" s="72" t="s">
        <v>173</v>
      </c>
      <c r="B7" s="38" t="s">
        <v>174</v>
      </c>
      <c r="C7" s="38" t="s">
        <v>175</v>
      </c>
      <c r="D7" s="73"/>
      <c r="E7" s="74">
        <v>475000</v>
      </c>
      <c r="F7" s="77">
        <f t="shared" ref="F7:G51" si="0">L7</f>
        <v>0</v>
      </c>
      <c r="G7" s="75">
        <f t="shared" si="0"/>
        <v>0</v>
      </c>
      <c r="H7" s="77"/>
      <c r="I7" s="74"/>
      <c r="J7" s="77">
        <f>$D7*'DIA-INCH'!$C6</f>
        <v>0</v>
      </c>
      <c r="K7" s="75">
        <f t="shared" ref="K7:K28" si="1">$E7*$J7</f>
        <v>0</v>
      </c>
      <c r="L7" s="77">
        <f t="shared" ref="L7:M51" si="2">H7+J7</f>
        <v>0</v>
      </c>
      <c r="M7" s="75">
        <f t="shared" si="2"/>
        <v>0</v>
      </c>
    </row>
    <row r="8" spans="1:13" ht="27.9" hidden="1" customHeight="1">
      <c r="A8" s="72" t="s">
        <v>170</v>
      </c>
      <c r="B8" s="38" t="s">
        <v>176</v>
      </c>
      <c r="C8" s="38" t="s">
        <v>172</v>
      </c>
      <c r="D8" s="73"/>
      <c r="E8" s="74">
        <v>475000</v>
      </c>
      <c r="F8" s="77">
        <f t="shared" si="0"/>
        <v>0</v>
      </c>
      <c r="G8" s="75">
        <f t="shared" si="0"/>
        <v>0</v>
      </c>
      <c r="H8" s="77"/>
      <c r="I8" s="74"/>
      <c r="J8" s="77">
        <f>$D8*'DIA-INCH'!$C7</f>
        <v>0</v>
      </c>
      <c r="K8" s="75">
        <f t="shared" si="1"/>
        <v>0</v>
      </c>
      <c r="L8" s="77">
        <f t="shared" si="2"/>
        <v>0</v>
      </c>
      <c r="M8" s="75">
        <f t="shared" si="2"/>
        <v>0</v>
      </c>
    </row>
    <row r="9" spans="1:13" ht="27.9" hidden="1" customHeight="1">
      <c r="A9" s="72" t="s">
        <v>170</v>
      </c>
      <c r="B9" s="38" t="s">
        <v>177</v>
      </c>
      <c r="C9" s="38" t="s">
        <v>172</v>
      </c>
      <c r="D9" s="73"/>
      <c r="E9" s="74">
        <v>475000</v>
      </c>
      <c r="F9" s="77">
        <f t="shared" si="0"/>
        <v>0</v>
      </c>
      <c r="G9" s="75">
        <f t="shared" si="0"/>
        <v>0</v>
      </c>
      <c r="H9" s="77"/>
      <c r="I9" s="74"/>
      <c r="J9" s="77">
        <f>$D9*'DIA-INCH'!$C8</f>
        <v>0</v>
      </c>
      <c r="K9" s="75">
        <f t="shared" si="1"/>
        <v>0</v>
      </c>
      <c r="L9" s="77">
        <f t="shared" si="2"/>
        <v>0</v>
      </c>
      <c r="M9" s="75">
        <f t="shared" si="2"/>
        <v>0</v>
      </c>
    </row>
    <row r="10" spans="1:13" ht="27.9" hidden="1" customHeight="1">
      <c r="A10" s="72" t="s">
        <v>170</v>
      </c>
      <c r="B10" s="38" t="s">
        <v>178</v>
      </c>
      <c r="C10" s="38" t="s">
        <v>172</v>
      </c>
      <c r="D10" s="73"/>
      <c r="E10" s="74">
        <v>475000</v>
      </c>
      <c r="F10" s="77">
        <f t="shared" si="0"/>
        <v>0</v>
      </c>
      <c r="G10" s="75">
        <f t="shared" si="0"/>
        <v>0</v>
      </c>
      <c r="H10" s="77"/>
      <c r="I10" s="74"/>
      <c r="J10" s="77">
        <f>$D10*'DIA-INCH'!$C9</f>
        <v>0</v>
      </c>
      <c r="K10" s="75">
        <f t="shared" si="1"/>
        <v>0</v>
      </c>
      <c r="L10" s="77">
        <f t="shared" si="2"/>
        <v>0</v>
      </c>
      <c r="M10" s="75">
        <f t="shared" si="2"/>
        <v>0</v>
      </c>
    </row>
    <row r="11" spans="1:13" ht="27.9" hidden="1" customHeight="1">
      <c r="A11" s="72" t="s">
        <v>170</v>
      </c>
      <c r="B11" s="38" t="s">
        <v>179</v>
      </c>
      <c r="C11" s="38" t="s">
        <v>175</v>
      </c>
      <c r="D11" s="73"/>
      <c r="E11" s="74">
        <v>475000</v>
      </c>
      <c r="F11" s="77">
        <f t="shared" si="0"/>
        <v>0</v>
      </c>
      <c r="G11" s="75">
        <f t="shared" si="0"/>
        <v>0</v>
      </c>
      <c r="H11" s="77"/>
      <c r="I11" s="74"/>
      <c r="J11" s="77">
        <f>$D11*'DIA-INCH'!$C10</f>
        <v>0</v>
      </c>
      <c r="K11" s="75">
        <f t="shared" si="1"/>
        <v>0</v>
      </c>
      <c r="L11" s="77">
        <f t="shared" si="2"/>
        <v>0</v>
      </c>
      <c r="M11" s="75">
        <f t="shared" si="2"/>
        <v>0</v>
      </c>
    </row>
    <row r="12" spans="1:13" ht="27.9" customHeight="1">
      <c r="A12" s="72" t="s">
        <v>170</v>
      </c>
      <c r="B12" s="38" t="s">
        <v>180</v>
      </c>
      <c r="C12" s="38" t="s">
        <v>175</v>
      </c>
      <c r="D12" s="73">
        <v>83</v>
      </c>
      <c r="E12" s="74">
        <v>475000</v>
      </c>
      <c r="F12" s="77">
        <f t="shared" si="0"/>
        <v>166</v>
      </c>
      <c r="G12" s="75">
        <f t="shared" si="0"/>
        <v>78850000</v>
      </c>
      <c r="H12" s="77"/>
      <c r="I12" s="74"/>
      <c r="J12" s="77">
        <f>$D12*'DIA-INCH'!$C11</f>
        <v>166</v>
      </c>
      <c r="K12" s="75">
        <f t="shared" si="1"/>
        <v>78850000</v>
      </c>
      <c r="L12" s="77">
        <f t="shared" si="2"/>
        <v>166</v>
      </c>
      <c r="M12" s="75">
        <f t="shared" si="2"/>
        <v>78850000</v>
      </c>
    </row>
    <row r="13" spans="1:13" ht="27.9" hidden="1" customHeight="1">
      <c r="A13" s="72" t="s">
        <v>173</v>
      </c>
      <c r="B13" s="38" t="s">
        <v>181</v>
      </c>
      <c r="C13" s="38" t="s">
        <v>172</v>
      </c>
      <c r="D13" s="73"/>
      <c r="E13" s="74">
        <v>475000</v>
      </c>
      <c r="F13" s="77">
        <f t="shared" si="0"/>
        <v>0</v>
      </c>
      <c r="G13" s="75">
        <f t="shared" si="0"/>
        <v>0</v>
      </c>
      <c r="H13" s="77"/>
      <c r="I13" s="74"/>
      <c r="J13" s="77">
        <f>$D13*'DIA-INCH'!$C12</f>
        <v>0</v>
      </c>
      <c r="K13" s="75">
        <f t="shared" si="1"/>
        <v>0</v>
      </c>
      <c r="L13" s="77">
        <f t="shared" si="2"/>
        <v>0</v>
      </c>
      <c r="M13" s="75">
        <f t="shared" si="2"/>
        <v>0</v>
      </c>
    </row>
    <row r="14" spans="1:13" ht="27.9" hidden="1" customHeight="1">
      <c r="A14" s="72" t="s">
        <v>170</v>
      </c>
      <c r="B14" s="38" t="s">
        <v>182</v>
      </c>
      <c r="C14" s="38" t="s">
        <v>172</v>
      </c>
      <c r="D14" s="73"/>
      <c r="E14" s="74">
        <v>475000</v>
      </c>
      <c r="F14" s="77">
        <f t="shared" si="0"/>
        <v>0</v>
      </c>
      <c r="G14" s="75">
        <f t="shared" si="0"/>
        <v>0</v>
      </c>
      <c r="H14" s="77"/>
      <c r="I14" s="74"/>
      <c r="J14" s="77">
        <f>$D14*'DIA-INCH'!$C13</f>
        <v>0</v>
      </c>
      <c r="K14" s="75">
        <f t="shared" si="1"/>
        <v>0</v>
      </c>
      <c r="L14" s="77">
        <f t="shared" si="2"/>
        <v>0</v>
      </c>
      <c r="M14" s="75">
        <f t="shared" si="2"/>
        <v>0</v>
      </c>
    </row>
    <row r="15" spans="1:13" ht="27.9" customHeight="1">
      <c r="A15" s="72" t="s">
        <v>183</v>
      </c>
      <c r="B15" s="38" t="s">
        <v>184</v>
      </c>
      <c r="C15" s="38" t="s">
        <v>172</v>
      </c>
      <c r="D15" s="73">
        <v>66</v>
      </c>
      <c r="E15" s="74">
        <v>475000</v>
      </c>
      <c r="F15" s="77">
        <f t="shared" si="0"/>
        <v>264</v>
      </c>
      <c r="G15" s="75">
        <f t="shared" si="0"/>
        <v>125400000</v>
      </c>
      <c r="H15" s="77"/>
      <c r="I15" s="74"/>
      <c r="J15" s="77">
        <f>$D15*'DIA-INCH'!$C14</f>
        <v>264</v>
      </c>
      <c r="K15" s="75">
        <f t="shared" si="1"/>
        <v>125400000</v>
      </c>
      <c r="L15" s="77">
        <f t="shared" si="2"/>
        <v>264</v>
      </c>
      <c r="M15" s="75">
        <f t="shared" si="2"/>
        <v>125400000</v>
      </c>
    </row>
    <row r="16" spans="1:13" ht="27.9" hidden="1" customHeight="1">
      <c r="A16" s="72" t="s">
        <v>170</v>
      </c>
      <c r="B16" s="38" t="s">
        <v>185</v>
      </c>
      <c r="C16" s="38" t="s">
        <v>175</v>
      </c>
      <c r="D16" s="73"/>
      <c r="E16" s="74">
        <v>475000</v>
      </c>
      <c r="F16" s="77">
        <f t="shared" si="0"/>
        <v>0</v>
      </c>
      <c r="G16" s="75">
        <f t="shared" si="0"/>
        <v>0</v>
      </c>
      <c r="H16" s="77"/>
      <c r="I16" s="74"/>
      <c r="J16" s="77">
        <f>$D16*'DIA-INCH'!$C15</f>
        <v>0</v>
      </c>
      <c r="K16" s="75">
        <f t="shared" si="1"/>
        <v>0</v>
      </c>
      <c r="L16" s="77">
        <f t="shared" si="2"/>
        <v>0</v>
      </c>
      <c r="M16" s="75">
        <f t="shared" si="2"/>
        <v>0</v>
      </c>
    </row>
    <row r="17" spans="1:13" ht="27.9" hidden="1" customHeight="1">
      <c r="A17" s="72" t="s">
        <v>173</v>
      </c>
      <c r="B17" s="38" t="s">
        <v>186</v>
      </c>
      <c r="C17" s="38" t="s">
        <v>172</v>
      </c>
      <c r="D17" s="73"/>
      <c r="E17" s="74">
        <v>475000</v>
      </c>
      <c r="F17" s="77">
        <f t="shared" si="0"/>
        <v>0</v>
      </c>
      <c r="G17" s="75">
        <f t="shared" si="0"/>
        <v>0</v>
      </c>
      <c r="H17" s="77"/>
      <c r="I17" s="74"/>
      <c r="J17" s="77">
        <f>$D17*'DIA-INCH'!$C16</f>
        <v>0</v>
      </c>
      <c r="K17" s="75">
        <f t="shared" si="1"/>
        <v>0</v>
      </c>
      <c r="L17" s="77">
        <f t="shared" si="2"/>
        <v>0</v>
      </c>
      <c r="M17" s="75">
        <f t="shared" si="2"/>
        <v>0</v>
      </c>
    </row>
    <row r="18" spans="1:13" ht="27.9" hidden="1" customHeight="1">
      <c r="A18" s="72" t="s">
        <v>173</v>
      </c>
      <c r="B18" s="38" t="s">
        <v>187</v>
      </c>
      <c r="C18" s="38" t="s">
        <v>172</v>
      </c>
      <c r="D18" s="73"/>
      <c r="E18" s="74">
        <v>475000</v>
      </c>
      <c r="F18" s="77">
        <f t="shared" si="0"/>
        <v>0</v>
      </c>
      <c r="G18" s="75">
        <f t="shared" si="0"/>
        <v>0</v>
      </c>
      <c r="H18" s="77"/>
      <c r="I18" s="74"/>
      <c r="J18" s="77">
        <f>$D18*'DIA-INCH'!$C17</f>
        <v>0</v>
      </c>
      <c r="K18" s="75">
        <f t="shared" si="1"/>
        <v>0</v>
      </c>
      <c r="L18" s="77">
        <f t="shared" si="2"/>
        <v>0</v>
      </c>
      <c r="M18" s="75">
        <f t="shared" si="2"/>
        <v>0</v>
      </c>
    </row>
    <row r="19" spans="1:13" ht="27.9" hidden="1" customHeight="1">
      <c r="A19" s="72" t="s">
        <v>173</v>
      </c>
      <c r="B19" s="38" t="s">
        <v>188</v>
      </c>
      <c r="C19" s="38" t="s">
        <v>172</v>
      </c>
      <c r="D19" s="73"/>
      <c r="E19" s="74">
        <v>475000</v>
      </c>
      <c r="F19" s="77">
        <f t="shared" si="0"/>
        <v>0</v>
      </c>
      <c r="G19" s="75">
        <f t="shared" si="0"/>
        <v>0</v>
      </c>
      <c r="H19" s="77"/>
      <c r="I19" s="74"/>
      <c r="J19" s="77">
        <f>$D19*'DIA-INCH'!$C18</f>
        <v>0</v>
      </c>
      <c r="K19" s="75">
        <f t="shared" si="1"/>
        <v>0</v>
      </c>
      <c r="L19" s="77">
        <f t="shared" si="2"/>
        <v>0</v>
      </c>
      <c r="M19" s="75">
        <f t="shared" si="2"/>
        <v>0</v>
      </c>
    </row>
    <row r="20" spans="1:13" ht="27.9" customHeight="1">
      <c r="A20" s="72" t="s">
        <v>173</v>
      </c>
      <c r="B20" s="38" t="s">
        <v>189</v>
      </c>
      <c r="C20" s="38" t="s">
        <v>172</v>
      </c>
      <c r="D20" s="73">
        <v>15</v>
      </c>
      <c r="E20" s="74">
        <v>475000</v>
      </c>
      <c r="F20" s="77">
        <f t="shared" si="0"/>
        <v>120</v>
      </c>
      <c r="G20" s="75">
        <f t="shared" si="0"/>
        <v>57000000</v>
      </c>
      <c r="H20" s="77"/>
      <c r="I20" s="74"/>
      <c r="J20" s="77">
        <f>$D20*'DIA-INCH'!$C19</f>
        <v>120</v>
      </c>
      <c r="K20" s="75">
        <f t="shared" si="1"/>
        <v>57000000</v>
      </c>
      <c r="L20" s="77">
        <f t="shared" si="2"/>
        <v>120</v>
      </c>
      <c r="M20" s="75">
        <f t="shared" si="2"/>
        <v>57000000</v>
      </c>
    </row>
    <row r="21" spans="1:13" ht="27.9" hidden="1" customHeight="1">
      <c r="A21" s="72" t="s">
        <v>170</v>
      </c>
      <c r="B21" s="38" t="s">
        <v>190</v>
      </c>
      <c r="C21" s="38" t="s">
        <v>175</v>
      </c>
      <c r="D21" s="73"/>
      <c r="E21" s="74">
        <v>475000</v>
      </c>
      <c r="F21" s="77">
        <f t="shared" si="0"/>
        <v>0</v>
      </c>
      <c r="G21" s="75">
        <f t="shared" si="0"/>
        <v>0</v>
      </c>
      <c r="H21" s="77"/>
      <c r="I21" s="74"/>
      <c r="J21" s="77">
        <f>$D21*'DIA-INCH'!$C20</f>
        <v>0</v>
      </c>
      <c r="K21" s="75">
        <f t="shared" si="1"/>
        <v>0</v>
      </c>
      <c r="L21" s="77">
        <f t="shared" si="2"/>
        <v>0</v>
      </c>
      <c r="M21" s="75">
        <f t="shared" si="2"/>
        <v>0</v>
      </c>
    </row>
    <row r="22" spans="1:13" ht="27.9" hidden="1" customHeight="1">
      <c r="A22" s="72" t="s">
        <v>170</v>
      </c>
      <c r="B22" s="38" t="s">
        <v>191</v>
      </c>
      <c r="C22" s="38" t="s">
        <v>192</v>
      </c>
      <c r="D22" s="73"/>
      <c r="E22" s="74">
        <v>475000</v>
      </c>
      <c r="F22" s="77">
        <f t="shared" si="0"/>
        <v>0</v>
      </c>
      <c r="G22" s="75">
        <f t="shared" si="0"/>
        <v>0</v>
      </c>
      <c r="H22" s="77"/>
      <c r="I22" s="74"/>
      <c r="J22" s="77">
        <f>$D22*'DIA-INCH'!$C21</f>
        <v>0</v>
      </c>
      <c r="K22" s="75">
        <f t="shared" si="1"/>
        <v>0</v>
      </c>
      <c r="L22" s="77">
        <f t="shared" si="2"/>
        <v>0</v>
      </c>
      <c r="M22" s="75">
        <f t="shared" si="2"/>
        <v>0</v>
      </c>
    </row>
    <row r="23" spans="1:13" ht="27.9" hidden="1" customHeight="1">
      <c r="A23" s="72" t="s">
        <v>173</v>
      </c>
      <c r="B23" s="38" t="s">
        <v>193</v>
      </c>
      <c r="C23" s="38" t="s">
        <v>194</v>
      </c>
      <c r="D23" s="73"/>
      <c r="E23" s="74">
        <v>475000</v>
      </c>
      <c r="F23" s="77">
        <f t="shared" si="0"/>
        <v>0</v>
      </c>
      <c r="G23" s="75">
        <f t="shared" si="0"/>
        <v>0</v>
      </c>
      <c r="H23" s="77"/>
      <c r="I23" s="74"/>
      <c r="J23" s="77">
        <f>$D23*'DIA-INCH'!$C22</f>
        <v>0</v>
      </c>
      <c r="K23" s="75">
        <f t="shared" si="1"/>
        <v>0</v>
      </c>
      <c r="L23" s="77">
        <f t="shared" si="2"/>
        <v>0</v>
      </c>
      <c r="M23" s="75">
        <f t="shared" si="2"/>
        <v>0</v>
      </c>
    </row>
    <row r="24" spans="1:13" ht="27.9" hidden="1" customHeight="1">
      <c r="A24" s="72" t="s">
        <v>195</v>
      </c>
      <c r="B24" s="38" t="s">
        <v>196</v>
      </c>
      <c r="C24" s="38" t="s">
        <v>172</v>
      </c>
      <c r="D24" s="73"/>
      <c r="E24" s="74">
        <v>475000</v>
      </c>
      <c r="F24" s="77">
        <f t="shared" si="0"/>
        <v>0</v>
      </c>
      <c r="G24" s="75">
        <f t="shared" si="0"/>
        <v>0</v>
      </c>
      <c r="H24" s="77"/>
      <c r="I24" s="74"/>
      <c r="J24" s="77">
        <f>$D24*'DIA-INCH'!$C23</f>
        <v>0</v>
      </c>
      <c r="K24" s="75">
        <f t="shared" si="1"/>
        <v>0</v>
      </c>
      <c r="L24" s="77">
        <f t="shared" si="2"/>
        <v>0</v>
      </c>
      <c r="M24" s="75">
        <f t="shared" si="2"/>
        <v>0</v>
      </c>
    </row>
    <row r="25" spans="1:13" ht="27.9" hidden="1" customHeight="1">
      <c r="A25" s="72" t="s">
        <v>170</v>
      </c>
      <c r="B25" s="38" t="s">
        <v>197</v>
      </c>
      <c r="C25" s="38" t="s">
        <v>175</v>
      </c>
      <c r="D25" s="73"/>
      <c r="E25" s="74">
        <v>475000</v>
      </c>
      <c r="F25" s="77">
        <f t="shared" si="0"/>
        <v>0</v>
      </c>
      <c r="G25" s="75">
        <f t="shared" si="0"/>
        <v>0</v>
      </c>
      <c r="H25" s="77"/>
      <c r="I25" s="74"/>
      <c r="J25" s="77">
        <f>$D25*'DIA-INCH'!$C24</f>
        <v>0</v>
      </c>
      <c r="K25" s="75">
        <f t="shared" si="1"/>
        <v>0</v>
      </c>
      <c r="L25" s="77">
        <f t="shared" si="2"/>
        <v>0</v>
      </c>
      <c r="M25" s="75">
        <f t="shared" si="2"/>
        <v>0</v>
      </c>
    </row>
    <row r="26" spans="1:13" ht="27.9" hidden="1" customHeight="1">
      <c r="A26" s="72" t="s">
        <v>183</v>
      </c>
      <c r="B26" s="38" t="s">
        <v>198</v>
      </c>
      <c r="C26" s="38" t="s">
        <v>199</v>
      </c>
      <c r="D26" s="73"/>
      <c r="E26" s="74">
        <v>475000</v>
      </c>
      <c r="F26" s="77">
        <f t="shared" si="0"/>
        <v>0</v>
      </c>
      <c r="G26" s="75">
        <f t="shared" si="0"/>
        <v>0</v>
      </c>
      <c r="H26" s="77"/>
      <c r="I26" s="74"/>
      <c r="J26" s="77">
        <f>$D26*'DIA-INCH'!$C25</f>
        <v>0</v>
      </c>
      <c r="K26" s="75">
        <f t="shared" si="1"/>
        <v>0</v>
      </c>
      <c r="L26" s="77">
        <f t="shared" si="2"/>
        <v>0</v>
      </c>
      <c r="M26" s="75">
        <f t="shared" si="2"/>
        <v>0</v>
      </c>
    </row>
    <row r="27" spans="1:13" ht="27.9" hidden="1" customHeight="1">
      <c r="A27" s="72" t="s">
        <v>173</v>
      </c>
      <c r="B27" s="38" t="s">
        <v>200</v>
      </c>
      <c r="C27" s="38" t="s">
        <v>172</v>
      </c>
      <c r="D27" s="73"/>
      <c r="E27" s="74">
        <v>475000</v>
      </c>
      <c r="F27" s="77">
        <f t="shared" si="0"/>
        <v>0</v>
      </c>
      <c r="G27" s="75">
        <f t="shared" si="0"/>
        <v>0</v>
      </c>
      <c r="H27" s="77"/>
      <c r="I27" s="74"/>
      <c r="J27" s="77">
        <f>$D27*'DIA-INCH'!$C26</f>
        <v>0</v>
      </c>
      <c r="K27" s="75">
        <f t="shared" si="1"/>
        <v>0</v>
      </c>
      <c r="L27" s="77">
        <f t="shared" si="2"/>
        <v>0</v>
      </c>
      <c r="M27" s="75">
        <f t="shared" si="2"/>
        <v>0</v>
      </c>
    </row>
    <row r="28" spans="1:13" ht="27.9" hidden="1" customHeight="1">
      <c r="A28" s="72" t="s">
        <v>183</v>
      </c>
      <c r="B28" s="38" t="s">
        <v>201</v>
      </c>
      <c r="C28" s="38" t="s">
        <v>172</v>
      </c>
      <c r="D28" s="73"/>
      <c r="E28" s="74">
        <v>475000</v>
      </c>
      <c r="F28" s="77">
        <f t="shared" si="0"/>
        <v>0</v>
      </c>
      <c r="G28" s="75">
        <f t="shared" si="0"/>
        <v>0</v>
      </c>
      <c r="H28" s="77"/>
      <c r="I28" s="74"/>
      <c r="J28" s="77">
        <f>$D28*'DIA-INCH'!$C27</f>
        <v>0</v>
      </c>
      <c r="K28" s="75">
        <f t="shared" si="1"/>
        <v>0</v>
      </c>
      <c r="L28" s="77">
        <f t="shared" si="2"/>
        <v>0</v>
      </c>
      <c r="M28" s="75">
        <f t="shared" si="2"/>
        <v>0</v>
      </c>
    </row>
    <row r="29" spans="1:13" ht="27.9" hidden="1" customHeight="1">
      <c r="A29" s="72" t="s">
        <v>202</v>
      </c>
      <c r="B29" s="38" t="s">
        <v>171</v>
      </c>
      <c r="C29" s="38" t="s">
        <v>203</v>
      </c>
      <c r="D29" s="73"/>
      <c r="E29" s="74">
        <f>$E$32*'DIA-INCH'!$C5</f>
        <v>12500</v>
      </c>
      <c r="F29" s="75">
        <f t="shared" si="0"/>
        <v>0</v>
      </c>
      <c r="G29" s="75">
        <f t="shared" si="0"/>
        <v>0</v>
      </c>
      <c r="H29" s="72"/>
      <c r="I29" s="74"/>
      <c r="J29" s="75">
        <f>D29</f>
        <v>0</v>
      </c>
      <c r="K29" s="75">
        <f>$J29*$E29</f>
        <v>0</v>
      </c>
      <c r="L29" s="75">
        <f t="shared" si="2"/>
        <v>0</v>
      </c>
      <c r="M29" s="75">
        <f t="shared" si="2"/>
        <v>0</v>
      </c>
    </row>
    <row r="30" spans="1:13" ht="27.9" hidden="1" customHeight="1">
      <c r="A30" s="72" t="s">
        <v>204</v>
      </c>
      <c r="B30" s="38" t="s">
        <v>174</v>
      </c>
      <c r="C30" s="38" t="s">
        <v>203</v>
      </c>
      <c r="D30" s="73"/>
      <c r="E30" s="74">
        <f>$E$32*'DIA-INCH'!$C6</f>
        <v>25000</v>
      </c>
      <c r="F30" s="75">
        <f t="shared" si="0"/>
        <v>0</v>
      </c>
      <c r="G30" s="75">
        <f t="shared" si="0"/>
        <v>0</v>
      </c>
      <c r="H30" s="72"/>
      <c r="I30" s="74"/>
      <c r="J30" s="75">
        <f t="shared" ref="J30:J51" si="3">D30</f>
        <v>0</v>
      </c>
      <c r="K30" s="75">
        <f t="shared" ref="K30:K51" si="4">$J30*$E30</f>
        <v>0</v>
      </c>
      <c r="L30" s="75">
        <f t="shared" si="2"/>
        <v>0</v>
      </c>
      <c r="M30" s="75">
        <f t="shared" si="2"/>
        <v>0</v>
      </c>
    </row>
    <row r="31" spans="1:13" ht="27.9" hidden="1" customHeight="1">
      <c r="A31" s="72" t="s">
        <v>205</v>
      </c>
      <c r="B31" s="38" t="s">
        <v>176</v>
      </c>
      <c r="C31" s="38" t="s">
        <v>203</v>
      </c>
      <c r="D31" s="73"/>
      <c r="E31" s="74">
        <f>$E$32*'DIA-INCH'!$C7</f>
        <v>37500</v>
      </c>
      <c r="F31" s="75">
        <f t="shared" si="0"/>
        <v>0</v>
      </c>
      <c r="G31" s="75">
        <f t="shared" si="0"/>
        <v>0</v>
      </c>
      <c r="H31" s="72"/>
      <c r="I31" s="74"/>
      <c r="J31" s="75">
        <f t="shared" si="3"/>
        <v>0</v>
      </c>
      <c r="K31" s="75">
        <f t="shared" si="4"/>
        <v>0</v>
      </c>
      <c r="L31" s="75">
        <f t="shared" si="2"/>
        <v>0</v>
      </c>
      <c r="M31" s="75">
        <f t="shared" si="2"/>
        <v>0</v>
      </c>
    </row>
    <row r="32" spans="1:13" ht="27.9" hidden="1" customHeight="1">
      <c r="A32" s="72" t="s">
        <v>206</v>
      </c>
      <c r="B32" s="38" t="s">
        <v>177</v>
      </c>
      <c r="C32" s="38" t="s">
        <v>207</v>
      </c>
      <c r="D32" s="73"/>
      <c r="E32" s="74">
        <v>50000</v>
      </c>
      <c r="F32" s="75">
        <f t="shared" si="0"/>
        <v>0</v>
      </c>
      <c r="G32" s="75">
        <f t="shared" si="0"/>
        <v>0</v>
      </c>
      <c r="H32" s="72"/>
      <c r="I32" s="74"/>
      <c r="J32" s="75">
        <f t="shared" si="3"/>
        <v>0</v>
      </c>
      <c r="K32" s="75">
        <f t="shared" si="4"/>
        <v>0</v>
      </c>
      <c r="L32" s="75">
        <f t="shared" si="2"/>
        <v>0</v>
      </c>
      <c r="M32" s="75">
        <f t="shared" si="2"/>
        <v>0</v>
      </c>
    </row>
    <row r="33" spans="1:13" ht="27.9" hidden="1" customHeight="1">
      <c r="A33" s="72" t="s">
        <v>206</v>
      </c>
      <c r="B33" s="38" t="s">
        <v>178</v>
      </c>
      <c r="C33" s="38" t="s">
        <v>203</v>
      </c>
      <c r="D33" s="73"/>
      <c r="E33" s="74">
        <f>$E$32*'DIA-INCH'!$C9</f>
        <v>62500</v>
      </c>
      <c r="F33" s="75">
        <f t="shared" si="0"/>
        <v>0</v>
      </c>
      <c r="G33" s="75">
        <f t="shared" si="0"/>
        <v>0</v>
      </c>
      <c r="H33" s="72"/>
      <c r="I33" s="74"/>
      <c r="J33" s="75">
        <f t="shared" si="3"/>
        <v>0</v>
      </c>
      <c r="K33" s="75">
        <f t="shared" si="4"/>
        <v>0</v>
      </c>
      <c r="L33" s="75">
        <f t="shared" si="2"/>
        <v>0</v>
      </c>
      <c r="M33" s="75">
        <f t="shared" si="2"/>
        <v>0</v>
      </c>
    </row>
    <row r="34" spans="1:13" ht="27.9" hidden="1" customHeight="1">
      <c r="A34" s="72" t="s">
        <v>206</v>
      </c>
      <c r="B34" s="38" t="s">
        <v>179</v>
      </c>
      <c r="C34" s="38" t="s">
        <v>123</v>
      </c>
      <c r="D34" s="73"/>
      <c r="E34" s="74">
        <f>$E$32*'DIA-INCH'!$C10</f>
        <v>75000</v>
      </c>
      <c r="F34" s="75">
        <f t="shared" si="0"/>
        <v>0</v>
      </c>
      <c r="G34" s="75">
        <f t="shared" si="0"/>
        <v>0</v>
      </c>
      <c r="H34" s="72"/>
      <c r="I34" s="74"/>
      <c r="J34" s="75">
        <f t="shared" si="3"/>
        <v>0</v>
      </c>
      <c r="K34" s="75">
        <f t="shared" si="4"/>
        <v>0</v>
      </c>
      <c r="L34" s="75">
        <f t="shared" si="2"/>
        <v>0</v>
      </c>
      <c r="M34" s="75">
        <f t="shared" si="2"/>
        <v>0</v>
      </c>
    </row>
    <row r="35" spans="1:13" ht="27.9" hidden="1" customHeight="1">
      <c r="A35" s="72" t="s">
        <v>206</v>
      </c>
      <c r="B35" s="38" t="s">
        <v>180</v>
      </c>
      <c r="C35" s="38" t="s">
        <v>203</v>
      </c>
      <c r="D35" s="73"/>
      <c r="E35" s="74">
        <f>$E$32*'DIA-INCH'!$C11</f>
        <v>100000</v>
      </c>
      <c r="F35" s="75">
        <f t="shared" si="0"/>
        <v>0</v>
      </c>
      <c r="G35" s="75">
        <f t="shared" si="0"/>
        <v>0</v>
      </c>
      <c r="H35" s="72"/>
      <c r="I35" s="74"/>
      <c r="J35" s="75">
        <f t="shared" si="3"/>
        <v>0</v>
      </c>
      <c r="K35" s="75">
        <f t="shared" si="4"/>
        <v>0</v>
      </c>
      <c r="L35" s="75">
        <f t="shared" si="2"/>
        <v>0</v>
      </c>
      <c r="M35" s="75">
        <f t="shared" si="2"/>
        <v>0</v>
      </c>
    </row>
    <row r="36" spans="1:13" ht="27.9" hidden="1" customHeight="1">
      <c r="A36" s="72" t="s">
        <v>202</v>
      </c>
      <c r="B36" s="38" t="s">
        <v>181</v>
      </c>
      <c r="C36" s="38" t="s">
        <v>123</v>
      </c>
      <c r="D36" s="73"/>
      <c r="E36" s="74">
        <f>$E$32*'DIA-INCH'!$C12</f>
        <v>125000</v>
      </c>
      <c r="F36" s="75">
        <f t="shared" si="0"/>
        <v>0</v>
      </c>
      <c r="G36" s="75">
        <f t="shared" si="0"/>
        <v>0</v>
      </c>
      <c r="H36" s="72"/>
      <c r="I36" s="74"/>
      <c r="J36" s="75">
        <f t="shared" si="3"/>
        <v>0</v>
      </c>
      <c r="K36" s="75">
        <f t="shared" si="4"/>
        <v>0</v>
      </c>
      <c r="L36" s="75">
        <f t="shared" si="2"/>
        <v>0</v>
      </c>
      <c r="M36" s="75">
        <f t="shared" si="2"/>
        <v>0</v>
      </c>
    </row>
    <row r="37" spans="1:13" ht="27.9" hidden="1" customHeight="1">
      <c r="A37" s="72" t="s">
        <v>202</v>
      </c>
      <c r="B37" s="38" t="s">
        <v>182</v>
      </c>
      <c r="C37" s="38" t="s">
        <v>203</v>
      </c>
      <c r="D37" s="73"/>
      <c r="E37" s="74">
        <f>$E$32*'DIA-INCH'!$C13</f>
        <v>150000</v>
      </c>
      <c r="F37" s="75">
        <f t="shared" si="0"/>
        <v>0</v>
      </c>
      <c r="G37" s="75">
        <f t="shared" si="0"/>
        <v>0</v>
      </c>
      <c r="H37" s="72"/>
      <c r="I37" s="74"/>
      <c r="J37" s="75">
        <f t="shared" si="3"/>
        <v>0</v>
      </c>
      <c r="K37" s="75">
        <f t="shared" si="4"/>
        <v>0</v>
      </c>
      <c r="L37" s="75">
        <f t="shared" si="2"/>
        <v>0</v>
      </c>
      <c r="M37" s="75">
        <f t="shared" si="2"/>
        <v>0</v>
      </c>
    </row>
    <row r="38" spans="1:13" ht="27.9" hidden="1" customHeight="1">
      <c r="A38" s="72" t="s">
        <v>204</v>
      </c>
      <c r="B38" s="38" t="s">
        <v>184</v>
      </c>
      <c r="C38" s="38" t="s">
        <v>203</v>
      </c>
      <c r="D38" s="73"/>
      <c r="E38" s="74">
        <f>$E$32*'DIA-INCH'!$C14</f>
        <v>200000</v>
      </c>
      <c r="F38" s="75">
        <f t="shared" si="0"/>
        <v>0</v>
      </c>
      <c r="G38" s="75">
        <f t="shared" si="0"/>
        <v>0</v>
      </c>
      <c r="H38" s="72"/>
      <c r="I38" s="74"/>
      <c r="J38" s="75">
        <f t="shared" si="3"/>
        <v>0</v>
      </c>
      <c r="K38" s="75">
        <f t="shared" si="4"/>
        <v>0</v>
      </c>
      <c r="L38" s="75">
        <f t="shared" si="2"/>
        <v>0</v>
      </c>
      <c r="M38" s="75">
        <f t="shared" si="2"/>
        <v>0</v>
      </c>
    </row>
    <row r="39" spans="1:13" ht="27.9" hidden="1" customHeight="1">
      <c r="A39" s="72" t="s">
        <v>202</v>
      </c>
      <c r="B39" s="38" t="s">
        <v>185</v>
      </c>
      <c r="C39" s="38" t="s">
        <v>208</v>
      </c>
      <c r="D39" s="73"/>
      <c r="E39" s="74">
        <f>$E$32*'DIA-INCH'!$C15</f>
        <v>200000</v>
      </c>
      <c r="F39" s="75">
        <f t="shared" si="0"/>
        <v>0</v>
      </c>
      <c r="G39" s="75">
        <f t="shared" si="0"/>
        <v>0</v>
      </c>
      <c r="H39" s="72"/>
      <c r="I39" s="74"/>
      <c r="J39" s="75">
        <f t="shared" si="3"/>
        <v>0</v>
      </c>
      <c r="K39" s="75">
        <f t="shared" si="4"/>
        <v>0</v>
      </c>
      <c r="L39" s="75">
        <f t="shared" si="2"/>
        <v>0</v>
      </c>
      <c r="M39" s="75">
        <f t="shared" si="2"/>
        <v>0</v>
      </c>
    </row>
    <row r="40" spans="1:13" ht="27.9" hidden="1" customHeight="1">
      <c r="A40" s="72" t="s">
        <v>202</v>
      </c>
      <c r="B40" s="38" t="s">
        <v>186</v>
      </c>
      <c r="C40" s="38" t="s">
        <v>209</v>
      </c>
      <c r="D40" s="73"/>
      <c r="E40" s="74">
        <f>$E$32*'DIA-INCH'!$C16</f>
        <v>250000</v>
      </c>
      <c r="F40" s="75">
        <f t="shared" si="0"/>
        <v>0</v>
      </c>
      <c r="G40" s="75">
        <f t="shared" si="0"/>
        <v>0</v>
      </c>
      <c r="H40" s="72"/>
      <c r="I40" s="74"/>
      <c r="J40" s="75">
        <f t="shared" si="3"/>
        <v>0</v>
      </c>
      <c r="K40" s="75">
        <f t="shared" si="4"/>
        <v>0</v>
      </c>
      <c r="L40" s="75">
        <f t="shared" si="2"/>
        <v>0</v>
      </c>
      <c r="M40" s="75">
        <f t="shared" si="2"/>
        <v>0</v>
      </c>
    </row>
    <row r="41" spans="1:13" ht="27.9" hidden="1" customHeight="1">
      <c r="A41" s="72" t="s">
        <v>202</v>
      </c>
      <c r="B41" s="38" t="s">
        <v>187</v>
      </c>
      <c r="C41" s="38" t="s">
        <v>203</v>
      </c>
      <c r="D41" s="73"/>
      <c r="E41" s="74">
        <f>$E$32*'DIA-INCH'!$C17</f>
        <v>300000</v>
      </c>
      <c r="F41" s="75">
        <f t="shared" si="0"/>
        <v>0</v>
      </c>
      <c r="G41" s="75">
        <f t="shared" si="0"/>
        <v>0</v>
      </c>
      <c r="H41" s="72"/>
      <c r="I41" s="74"/>
      <c r="J41" s="75">
        <f t="shared" si="3"/>
        <v>0</v>
      </c>
      <c r="K41" s="75">
        <f t="shared" si="4"/>
        <v>0</v>
      </c>
      <c r="L41" s="75">
        <f t="shared" si="2"/>
        <v>0</v>
      </c>
      <c r="M41" s="75">
        <f t="shared" si="2"/>
        <v>0</v>
      </c>
    </row>
    <row r="42" spans="1:13" ht="27.9" hidden="1" customHeight="1">
      <c r="A42" s="72" t="s">
        <v>202</v>
      </c>
      <c r="B42" s="38" t="s">
        <v>188</v>
      </c>
      <c r="C42" s="38" t="s">
        <v>123</v>
      </c>
      <c r="D42" s="73"/>
      <c r="E42" s="74">
        <f>$E$32*'DIA-INCH'!$C18</f>
        <v>350000</v>
      </c>
      <c r="F42" s="75">
        <f t="shared" si="0"/>
        <v>0</v>
      </c>
      <c r="G42" s="75">
        <f t="shared" si="0"/>
        <v>0</v>
      </c>
      <c r="H42" s="72"/>
      <c r="I42" s="74"/>
      <c r="J42" s="75">
        <f t="shared" si="3"/>
        <v>0</v>
      </c>
      <c r="K42" s="75">
        <f t="shared" si="4"/>
        <v>0</v>
      </c>
      <c r="L42" s="75">
        <f t="shared" si="2"/>
        <v>0</v>
      </c>
      <c r="M42" s="75">
        <f t="shared" si="2"/>
        <v>0</v>
      </c>
    </row>
    <row r="43" spans="1:13" ht="27.9" hidden="1" customHeight="1">
      <c r="A43" s="72" t="s">
        <v>202</v>
      </c>
      <c r="B43" s="38" t="s">
        <v>189</v>
      </c>
      <c r="C43" s="38" t="s">
        <v>203</v>
      </c>
      <c r="D43" s="73"/>
      <c r="E43" s="74">
        <f>$E$32*'DIA-INCH'!$C19</f>
        <v>400000</v>
      </c>
      <c r="F43" s="75">
        <f t="shared" si="0"/>
        <v>0</v>
      </c>
      <c r="G43" s="75">
        <f t="shared" si="0"/>
        <v>0</v>
      </c>
      <c r="H43" s="72"/>
      <c r="I43" s="74"/>
      <c r="J43" s="75">
        <f t="shared" si="3"/>
        <v>0</v>
      </c>
      <c r="K43" s="75">
        <f t="shared" si="4"/>
        <v>0</v>
      </c>
      <c r="L43" s="75">
        <f t="shared" si="2"/>
        <v>0</v>
      </c>
      <c r="M43" s="75">
        <f t="shared" si="2"/>
        <v>0</v>
      </c>
    </row>
    <row r="44" spans="1:13" ht="27.9" hidden="1" customHeight="1">
      <c r="A44" s="72" t="s">
        <v>202</v>
      </c>
      <c r="B44" s="38" t="s">
        <v>190</v>
      </c>
      <c r="C44" s="38" t="s">
        <v>203</v>
      </c>
      <c r="D44" s="73"/>
      <c r="E44" s="74">
        <f>$E$32*'DIA-INCH'!$C20</f>
        <v>450000</v>
      </c>
      <c r="F44" s="75">
        <f t="shared" si="0"/>
        <v>0</v>
      </c>
      <c r="G44" s="75">
        <f t="shared" si="0"/>
        <v>0</v>
      </c>
      <c r="H44" s="72"/>
      <c r="I44" s="74"/>
      <c r="J44" s="75">
        <f t="shared" si="3"/>
        <v>0</v>
      </c>
      <c r="K44" s="75">
        <f t="shared" si="4"/>
        <v>0</v>
      </c>
      <c r="L44" s="75">
        <f t="shared" si="2"/>
        <v>0</v>
      </c>
      <c r="M44" s="75">
        <f t="shared" si="2"/>
        <v>0</v>
      </c>
    </row>
    <row r="45" spans="1:13" ht="27.9" hidden="1" customHeight="1">
      <c r="A45" s="72" t="s">
        <v>202</v>
      </c>
      <c r="B45" s="38" t="s">
        <v>191</v>
      </c>
      <c r="C45" s="38" t="s">
        <v>123</v>
      </c>
      <c r="D45" s="73"/>
      <c r="E45" s="74">
        <f>$E$32*'DIA-INCH'!$C21</f>
        <v>500000</v>
      </c>
      <c r="F45" s="75">
        <f t="shared" si="0"/>
        <v>0</v>
      </c>
      <c r="G45" s="75">
        <f t="shared" si="0"/>
        <v>0</v>
      </c>
      <c r="H45" s="72"/>
      <c r="I45" s="74"/>
      <c r="J45" s="75">
        <f t="shared" si="3"/>
        <v>0</v>
      </c>
      <c r="K45" s="75">
        <f t="shared" si="4"/>
        <v>0</v>
      </c>
      <c r="L45" s="75">
        <f t="shared" si="2"/>
        <v>0</v>
      </c>
      <c r="M45" s="75">
        <f t="shared" si="2"/>
        <v>0</v>
      </c>
    </row>
    <row r="46" spans="1:13" ht="27.9" hidden="1" customHeight="1">
      <c r="A46" s="72" t="s">
        <v>204</v>
      </c>
      <c r="B46" s="38" t="s">
        <v>193</v>
      </c>
      <c r="C46" s="38" t="s">
        <v>123</v>
      </c>
      <c r="D46" s="73"/>
      <c r="E46" s="74">
        <f>$E$32*'DIA-INCH'!$C22</f>
        <v>600000</v>
      </c>
      <c r="F46" s="75">
        <f t="shared" si="0"/>
        <v>0</v>
      </c>
      <c r="G46" s="75">
        <f t="shared" si="0"/>
        <v>0</v>
      </c>
      <c r="H46" s="72"/>
      <c r="I46" s="74"/>
      <c r="J46" s="75">
        <f t="shared" si="3"/>
        <v>0</v>
      </c>
      <c r="K46" s="75">
        <f t="shared" si="4"/>
        <v>0</v>
      </c>
      <c r="L46" s="75">
        <f t="shared" si="2"/>
        <v>0</v>
      </c>
      <c r="M46" s="75">
        <f t="shared" si="2"/>
        <v>0</v>
      </c>
    </row>
    <row r="47" spans="1:13" ht="27.9" hidden="1" customHeight="1">
      <c r="A47" s="72" t="s">
        <v>202</v>
      </c>
      <c r="B47" s="38" t="s">
        <v>196</v>
      </c>
      <c r="C47" s="38" t="s">
        <v>203</v>
      </c>
      <c r="D47" s="73"/>
      <c r="E47" s="74">
        <f>$E$32*'DIA-INCH'!$C23</f>
        <v>700000</v>
      </c>
      <c r="F47" s="75">
        <f t="shared" si="0"/>
        <v>0</v>
      </c>
      <c r="G47" s="75">
        <f t="shared" si="0"/>
        <v>0</v>
      </c>
      <c r="H47" s="72"/>
      <c r="I47" s="74"/>
      <c r="J47" s="75">
        <f t="shared" si="3"/>
        <v>0</v>
      </c>
      <c r="K47" s="75">
        <f t="shared" si="4"/>
        <v>0</v>
      </c>
      <c r="L47" s="75">
        <f t="shared" si="2"/>
        <v>0</v>
      </c>
      <c r="M47" s="75">
        <f t="shared" si="2"/>
        <v>0</v>
      </c>
    </row>
    <row r="48" spans="1:13" ht="27.9" hidden="1" customHeight="1">
      <c r="A48" s="72" t="s">
        <v>202</v>
      </c>
      <c r="B48" s="38" t="s">
        <v>197</v>
      </c>
      <c r="C48" s="38" t="s">
        <v>208</v>
      </c>
      <c r="D48" s="73"/>
      <c r="E48" s="74">
        <f>$E$32*'DIA-INCH'!$C24</f>
        <v>800000</v>
      </c>
      <c r="F48" s="75">
        <f t="shared" si="0"/>
        <v>0</v>
      </c>
      <c r="G48" s="75">
        <f t="shared" si="0"/>
        <v>0</v>
      </c>
      <c r="H48" s="72"/>
      <c r="I48" s="74"/>
      <c r="J48" s="75">
        <f t="shared" si="3"/>
        <v>0</v>
      </c>
      <c r="K48" s="75">
        <f t="shared" si="4"/>
        <v>0</v>
      </c>
      <c r="L48" s="75">
        <f t="shared" si="2"/>
        <v>0</v>
      </c>
      <c r="M48" s="75">
        <f t="shared" si="2"/>
        <v>0</v>
      </c>
    </row>
    <row r="49" spans="1:13" ht="27.9" hidden="1" customHeight="1">
      <c r="A49" s="72" t="s">
        <v>205</v>
      </c>
      <c r="B49" s="38" t="s">
        <v>198</v>
      </c>
      <c r="C49" s="38" t="s">
        <v>203</v>
      </c>
      <c r="D49" s="73"/>
      <c r="E49" s="74">
        <f>$E$32*'DIA-INCH'!$C25</f>
        <v>900000</v>
      </c>
      <c r="F49" s="75">
        <f t="shared" si="0"/>
        <v>0</v>
      </c>
      <c r="G49" s="75">
        <f t="shared" si="0"/>
        <v>0</v>
      </c>
      <c r="H49" s="72"/>
      <c r="I49" s="74"/>
      <c r="J49" s="75">
        <f t="shared" si="3"/>
        <v>0</v>
      </c>
      <c r="K49" s="75">
        <f t="shared" si="4"/>
        <v>0</v>
      </c>
      <c r="L49" s="75">
        <f t="shared" si="2"/>
        <v>0</v>
      </c>
      <c r="M49" s="75">
        <f t="shared" si="2"/>
        <v>0</v>
      </c>
    </row>
    <row r="50" spans="1:13" ht="27.9" hidden="1" customHeight="1">
      <c r="A50" s="72" t="s">
        <v>202</v>
      </c>
      <c r="B50" s="38" t="s">
        <v>200</v>
      </c>
      <c r="C50" s="38" t="s">
        <v>203</v>
      </c>
      <c r="D50" s="73"/>
      <c r="E50" s="74">
        <f>$E$32*'DIA-INCH'!$C26</f>
        <v>1000000</v>
      </c>
      <c r="F50" s="75">
        <f t="shared" si="0"/>
        <v>0</v>
      </c>
      <c r="G50" s="75">
        <f t="shared" si="0"/>
        <v>0</v>
      </c>
      <c r="H50" s="72"/>
      <c r="I50" s="74"/>
      <c r="J50" s="75">
        <f t="shared" si="3"/>
        <v>0</v>
      </c>
      <c r="K50" s="75">
        <f t="shared" si="4"/>
        <v>0</v>
      </c>
      <c r="L50" s="75">
        <f t="shared" si="2"/>
        <v>0</v>
      </c>
      <c r="M50" s="75">
        <f t="shared" si="2"/>
        <v>0</v>
      </c>
    </row>
    <row r="51" spans="1:13" ht="27.9" hidden="1" customHeight="1">
      <c r="A51" s="72" t="s">
        <v>205</v>
      </c>
      <c r="B51" s="38" t="s">
        <v>201</v>
      </c>
      <c r="C51" s="38" t="s">
        <v>208</v>
      </c>
      <c r="D51" s="73"/>
      <c r="E51" s="74">
        <f>$E$32*'DIA-INCH'!$C27</f>
        <v>1100000</v>
      </c>
      <c r="F51" s="75">
        <f t="shared" si="0"/>
        <v>0</v>
      </c>
      <c r="G51" s="75">
        <f t="shared" si="0"/>
        <v>0</v>
      </c>
      <c r="H51" s="72"/>
      <c r="I51" s="74"/>
      <c r="J51" s="75">
        <f t="shared" si="3"/>
        <v>0</v>
      </c>
      <c r="K51" s="75">
        <f t="shared" si="4"/>
        <v>0</v>
      </c>
      <c r="L51" s="75">
        <f t="shared" si="2"/>
        <v>0</v>
      </c>
      <c r="M51" s="75">
        <f t="shared" si="2"/>
        <v>0</v>
      </c>
    </row>
    <row r="52" spans="1:13" ht="27.9" customHeight="1">
      <c r="A52" s="274" t="s">
        <v>210</v>
      </c>
      <c r="B52" s="275"/>
      <c r="C52" s="275"/>
      <c r="D52" s="275"/>
      <c r="E52" s="276"/>
      <c r="F52" s="128">
        <f>SUM(F6:F51)</f>
        <v>550</v>
      </c>
      <c r="G52" s="76">
        <f t="shared" ref="G52:M52" si="5">SUM(G6:G51)</f>
        <v>261250000</v>
      </c>
      <c r="H52" s="128">
        <f t="shared" si="5"/>
        <v>0</v>
      </c>
      <c r="I52" s="76">
        <f t="shared" si="5"/>
        <v>0</v>
      </c>
      <c r="J52" s="128">
        <f>SUM(J6:J51)</f>
        <v>550</v>
      </c>
      <c r="K52" s="76">
        <f t="shared" si="5"/>
        <v>261250000</v>
      </c>
      <c r="L52" s="128">
        <f t="shared" si="5"/>
        <v>550</v>
      </c>
      <c r="M52" s="76">
        <f t="shared" si="5"/>
        <v>261250000</v>
      </c>
    </row>
  </sheetData>
  <autoFilter ref="A5:M52" xr:uid="{10522A8F-FD76-48C9-9226-3D4E4FB63175}">
    <filterColumn colId="5">
      <filters>
        <filter val="120.00"/>
        <filter val="166.00"/>
        <filter val="264.00"/>
        <filter val="550.00"/>
      </filters>
    </filterColumn>
  </autoFilter>
  <mergeCells count="11">
    <mergeCell ref="A52:E52"/>
    <mergeCell ref="A1:M1"/>
    <mergeCell ref="A3:A4"/>
    <mergeCell ref="B3:B4"/>
    <mergeCell ref="C3:C4"/>
    <mergeCell ref="D3:D4"/>
    <mergeCell ref="E3:E4"/>
    <mergeCell ref="F3:G3"/>
    <mergeCell ref="H3:I3"/>
    <mergeCell ref="J3:K3"/>
    <mergeCell ref="L3:M3"/>
  </mergeCells>
  <phoneticPr fontId="3" type="noConversion"/>
  <pageMargins left="0.7" right="0.7" top="0.75" bottom="0.75" header="0.3" footer="0.3"/>
  <pageSetup paperSize="9" scale="60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P165"/>
  <sheetViews>
    <sheetView view="pageBreakPreview" topLeftCell="G41" zoomScale="70" zoomScaleNormal="70" zoomScaleSheetLayoutView="70" workbookViewId="0">
      <selection activeCell="AH64" sqref="AH63:AQ64"/>
    </sheetView>
  </sheetViews>
  <sheetFormatPr defaultRowHeight="17.399999999999999"/>
  <cols>
    <col min="1" max="1" width="6.3984375" style="78" bestFit="1" customWidth="1"/>
    <col min="2" max="2" width="9.19921875" style="78" customWidth="1"/>
    <col min="3" max="3" width="18.09765625" style="78" customWidth="1"/>
    <col min="4" max="4" width="11.19921875" style="78" customWidth="1"/>
    <col min="5" max="5" width="18.09765625" style="78" customWidth="1"/>
    <col min="6" max="6" width="11.09765625" style="78" customWidth="1"/>
    <col min="7" max="7" width="9.3984375" style="79" customWidth="1"/>
    <col min="8" max="8" width="21.59765625" style="79" customWidth="1"/>
    <col min="9" max="38" width="7.59765625" style="78" customWidth="1"/>
    <col min="39" max="39" width="7.59765625" style="78" hidden="1" customWidth="1"/>
    <col min="40" max="40" width="11.8984375" style="78" customWidth="1"/>
    <col min="41" max="41" width="15.8984375" style="113" bestFit="1" customWidth="1"/>
    <col min="42" max="42" width="18.19921875" style="115" bestFit="1" customWidth="1"/>
  </cols>
  <sheetData>
    <row r="1" spans="1:42" ht="32.1" customHeight="1">
      <c r="A1" s="286" t="s">
        <v>550</v>
      </c>
      <c r="B1" s="287"/>
      <c r="C1" s="287"/>
      <c r="D1" s="287"/>
      <c r="E1" s="287"/>
      <c r="F1" s="287"/>
      <c r="G1" s="287"/>
      <c r="H1" s="287"/>
      <c r="I1" s="287"/>
      <c r="J1" s="287"/>
      <c r="K1" s="287"/>
      <c r="L1" s="287"/>
      <c r="M1" s="287"/>
      <c r="N1" s="287"/>
      <c r="O1" s="287"/>
      <c r="P1" s="287"/>
      <c r="Q1" s="287"/>
      <c r="R1" s="287"/>
      <c r="S1" s="287"/>
      <c r="T1" s="287"/>
      <c r="U1" s="287"/>
      <c r="V1" s="287"/>
      <c r="W1" s="287"/>
      <c r="X1" s="287"/>
      <c r="Y1" s="287"/>
      <c r="Z1" s="287"/>
      <c r="AA1" s="287"/>
      <c r="AB1" s="287"/>
      <c r="AC1" s="287"/>
      <c r="AD1" s="287"/>
      <c r="AE1" s="287"/>
      <c r="AF1" s="287"/>
      <c r="AG1" s="288"/>
      <c r="AH1" s="295" t="s">
        <v>211</v>
      </c>
      <c r="AI1" s="296"/>
      <c r="AJ1" s="296"/>
      <c r="AK1" s="296"/>
      <c r="AL1" s="297"/>
      <c r="AM1" s="298" t="str">
        <f>'용역청구서 표지'!$B$7</f>
        <v>P4 Ph2 GAS&amp;PCW 1공구</v>
      </c>
      <c r="AN1" s="299"/>
      <c r="AO1" s="299"/>
      <c r="AP1" s="300"/>
    </row>
    <row r="2" spans="1:42" ht="32.1" customHeight="1">
      <c r="A2" s="289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  <c r="AB2" s="290"/>
      <c r="AC2" s="290"/>
      <c r="AD2" s="290"/>
      <c r="AE2" s="290"/>
      <c r="AF2" s="290"/>
      <c r="AG2" s="291"/>
      <c r="AH2" s="295" t="s">
        <v>212</v>
      </c>
      <c r="AI2" s="296"/>
      <c r="AJ2" s="296"/>
      <c r="AK2" s="296"/>
      <c r="AL2" s="297"/>
      <c r="AM2" s="298" t="s">
        <v>345</v>
      </c>
      <c r="AN2" s="299"/>
      <c r="AO2" s="299"/>
      <c r="AP2" s="300"/>
    </row>
    <row r="3" spans="1:42" ht="32.1" customHeight="1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3"/>
      <c r="Y3" s="293"/>
      <c r="Z3" s="293"/>
      <c r="AA3" s="293"/>
      <c r="AB3" s="293"/>
      <c r="AC3" s="293"/>
      <c r="AD3" s="293"/>
      <c r="AE3" s="293"/>
      <c r="AF3" s="293"/>
      <c r="AG3" s="294"/>
      <c r="AH3" s="295" t="s">
        <v>213</v>
      </c>
      <c r="AI3" s="296"/>
      <c r="AJ3" s="296"/>
      <c r="AK3" s="296"/>
      <c r="AL3" s="297"/>
      <c r="AM3" s="298" t="str">
        <f>'용역청구서 표지'!$C$8</f>
        <v>S26-001</v>
      </c>
      <c r="AN3" s="299"/>
      <c r="AO3" s="299"/>
      <c r="AP3" s="300"/>
    </row>
    <row r="4" spans="1:42" ht="24.9" customHeight="1" thickBot="1">
      <c r="AH4" s="80"/>
      <c r="AI4" s="80"/>
      <c r="AJ4" s="80"/>
      <c r="AK4" s="80"/>
      <c r="AL4" s="80"/>
      <c r="AM4" s="80"/>
      <c r="AN4" s="80"/>
      <c r="AO4" s="81"/>
      <c r="AP4" s="82"/>
    </row>
    <row r="5" spans="1:42" ht="24.9" customHeight="1" thickBot="1">
      <c r="A5" s="83" t="s">
        <v>214</v>
      </c>
      <c r="B5" s="84" t="s">
        <v>215</v>
      </c>
      <c r="C5" s="84" t="s">
        <v>216</v>
      </c>
      <c r="D5" s="84" t="s">
        <v>217</v>
      </c>
      <c r="E5" s="84" t="s">
        <v>218</v>
      </c>
      <c r="F5" s="84" t="s">
        <v>219</v>
      </c>
      <c r="G5" s="85" t="s">
        <v>220</v>
      </c>
      <c r="H5" s="86" t="s">
        <v>221</v>
      </c>
      <c r="I5" s="134">
        <v>1</v>
      </c>
      <c r="J5" s="134">
        <v>2</v>
      </c>
      <c r="K5" s="134">
        <v>3</v>
      </c>
      <c r="L5" s="134">
        <v>4</v>
      </c>
      <c r="M5" s="134">
        <v>5</v>
      </c>
      <c r="N5" s="134">
        <v>6</v>
      </c>
      <c r="O5" s="134">
        <v>7</v>
      </c>
      <c r="P5" s="134">
        <v>8</v>
      </c>
      <c r="Q5" s="134">
        <v>9</v>
      </c>
      <c r="R5" s="134">
        <v>10</v>
      </c>
      <c r="S5" s="134">
        <v>11</v>
      </c>
      <c r="T5" s="134">
        <v>12</v>
      </c>
      <c r="U5" s="134">
        <v>13</v>
      </c>
      <c r="V5" s="134">
        <v>14</v>
      </c>
      <c r="W5" s="134">
        <v>15</v>
      </c>
      <c r="X5" s="134">
        <v>16</v>
      </c>
      <c r="Y5" s="134">
        <v>17</v>
      </c>
      <c r="Z5" s="134">
        <v>18</v>
      </c>
      <c r="AA5" s="134">
        <v>19</v>
      </c>
      <c r="AB5" s="134">
        <v>20</v>
      </c>
      <c r="AC5" s="134">
        <v>21</v>
      </c>
      <c r="AD5" s="134">
        <v>22</v>
      </c>
      <c r="AE5" s="134">
        <v>23</v>
      </c>
      <c r="AF5" s="134">
        <v>24</v>
      </c>
      <c r="AG5" s="134">
        <v>25</v>
      </c>
      <c r="AH5" s="134">
        <v>26</v>
      </c>
      <c r="AI5" s="134">
        <v>27</v>
      </c>
      <c r="AJ5" s="134">
        <v>28</v>
      </c>
      <c r="AK5" s="134">
        <v>29</v>
      </c>
      <c r="AL5" s="134">
        <v>30</v>
      </c>
      <c r="AM5" s="134">
        <v>31</v>
      </c>
      <c r="AN5" s="87" t="s">
        <v>222</v>
      </c>
      <c r="AO5" s="84" t="s">
        <v>223</v>
      </c>
      <c r="AP5" s="88" t="s">
        <v>224</v>
      </c>
    </row>
    <row r="6" spans="1:42" ht="24.9" customHeight="1">
      <c r="A6" s="89">
        <v>1</v>
      </c>
      <c r="B6" s="90" t="s">
        <v>346</v>
      </c>
      <c r="C6" s="91" t="s">
        <v>347</v>
      </c>
      <c r="D6" s="38" t="s">
        <v>225</v>
      </c>
      <c r="E6" s="38" t="s">
        <v>348</v>
      </c>
      <c r="F6" s="92" t="s">
        <v>230</v>
      </c>
      <c r="G6" s="93" t="s">
        <v>346</v>
      </c>
      <c r="H6" s="94" t="s">
        <v>349</v>
      </c>
      <c r="I6" s="95">
        <v>1</v>
      </c>
      <c r="J6" s="95">
        <v>1.5</v>
      </c>
      <c r="K6" s="95">
        <v>1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6">
        <f>SUM(I6:AM6)</f>
        <v>3.5</v>
      </c>
      <c r="AO6" s="92">
        <v>160000</v>
      </c>
      <c r="AP6" s="97">
        <f>AN6*AO6</f>
        <v>560000</v>
      </c>
    </row>
    <row r="7" spans="1:42" ht="24.9" customHeight="1">
      <c r="A7" s="89">
        <v>2</v>
      </c>
      <c r="B7" s="90" t="s">
        <v>521</v>
      </c>
      <c r="C7" s="91" t="s">
        <v>551</v>
      </c>
      <c r="D7" s="38" t="s">
        <v>225</v>
      </c>
      <c r="E7" s="133" t="s">
        <v>581</v>
      </c>
      <c r="F7" s="100" t="s">
        <v>226</v>
      </c>
      <c r="G7" s="93" t="s">
        <v>521</v>
      </c>
      <c r="H7" s="94" t="s">
        <v>610</v>
      </c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>
        <v>0.6875</v>
      </c>
      <c r="AC7" s="95">
        <v>0.625</v>
      </c>
      <c r="AD7" s="95"/>
      <c r="AE7" s="95">
        <v>1</v>
      </c>
      <c r="AF7" s="95">
        <v>1</v>
      </c>
      <c r="AG7" s="95"/>
      <c r="AH7" s="95"/>
      <c r="AI7" s="95">
        <v>1</v>
      </c>
      <c r="AJ7" s="95">
        <v>1.5</v>
      </c>
      <c r="AK7" s="95">
        <v>1</v>
      </c>
      <c r="AL7" s="95">
        <v>1.5</v>
      </c>
      <c r="AM7" s="95"/>
      <c r="AN7" s="96">
        <f t="shared" ref="AN7:AN15" si="0">SUM(I7:AM7)</f>
        <v>8.3125</v>
      </c>
      <c r="AO7" s="92">
        <v>150000</v>
      </c>
      <c r="AP7" s="97">
        <f t="shared" ref="AP7:AP15" si="1">AN7*AO7</f>
        <v>1246875</v>
      </c>
    </row>
    <row r="8" spans="1:42" ht="24.9" customHeight="1">
      <c r="A8" s="89">
        <v>3</v>
      </c>
      <c r="B8" s="90" t="s">
        <v>350</v>
      </c>
      <c r="C8" s="91" t="s">
        <v>351</v>
      </c>
      <c r="D8" s="38" t="s">
        <v>352</v>
      </c>
      <c r="E8" s="38" t="s">
        <v>353</v>
      </c>
      <c r="F8" s="100" t="s">
        <v>230</v>
      </c>
      <c r="G8" s="93" t="s">
        <v>350</v>
      </c>
      <c r="H8" s="94" t="s">
        <v>354</v>
      </c>
      <c r="I8" s="95">
        <v>1</v>
      </c>
      <c r="J8" s="95">
        <v>1.5</v>
      </c>
      <c r="K8" s="95">
        <v>1</v>
      </c>
      <c r="L8" s="95">
        <v>1</v>
      </c>
      <c r="M8" s="95"/>
      <c r="N8" s="95">
        <v>1</v>
      </c>
      <c r="O8" s="95">
        <v>1.5</v>
      </c>
      <c r="P8" s="95">
        <v>1</v>
      </c>
      <c r="Q8" s="95">
        <v>1.5</v>
      </c>
      <c r="R8" s="95">
        <v>1</v>
      </c>
      <c r="S8" s="95"/>
      <c r="T8" s="95"/>
      <c r="U8" s="95">
        <v>1</v>
      </c>
      <c r="V8" s="95">
        <v>1.5</v>
      </c>
      <c r="W8" s="95">
        <v>1</v>
      </c>
      <c r="X8" s="95">
        <v>1.5</v>
      </c>
      <c r="Y8" s="95">
        <v>1</v>
      </c>
      <c r="Z8" s="95">
        <v>1</v>
      </c>
      <c r="AA8" s="95"/>
      <c r="AB8" s="95">
        <v>1</v>
      </c>
      <c r="AC8" s="95">
        <v>1.5</v>
      </c>
      <c r="AD8" s="95">
        <v>1</v>
      </c>
      <c r="AE8" s="95"/>
      <c r="AF8" s="95">
        <v>1</v>
      </c>
      <c r="AG8" s="95"/>
      <c r="AH8" s="95"/>
      <c r="AI8" s="95">
        <v>1</v>
      </c>
      <c r="AJ8" s="95">
        <v>1.5</v>
      </c>
      <c r="AK8" s="95">
        <v>1</v>
      </c>
      <c r="AL8" s="95">
        <v>1.5</v>
      </c>
      <c r="AM8" s="95"/>
      <c r="AN8" s="96">
        <f t="shared" si="0"/>
        <v>27</v>
      </c>
      <c r="AO8" s="92">
        <v>210000</v>
      </c>
      <c r="AP8" s="97">
        <f t="shared" si="1"/>
        <v>5670000</v>
      </c>
    </row>
    <row r="9" spans="1:42" ht="24.9" customHeight="1">
      <c r="A9" s="89">
        <v>4</v>
      </c>
      <c r="B9" s="90" t="s">
        <v>522</v>
      </c>
      <c r="C9" s="91" t="s">
        <v>552</v>
      </c>
      <c r="D9" s="38" t="s">
        <v>225</v>
      </c>
      <c r="E9" s="133" t="s">
        <v>582</v>
      </c>
      <c r="F9" s="100" t="s">
        <v>307</v>
      </c>
      <c r="G9" s="93" t="s">
        <v>522</v>
      </c>
      <c r="H9" s="94" t="s">
        <v>611</v>
      </c>
      <c r="I9" s="95"/>
      <c r="J9" s="95"/>
      <c r="K9" s="95"/>
      <c r="L9" s="95"/>
      <c r="M9" s="95"/>
      <c r="N9" s="95">
        <v>0.4375</v>
      </c>
      <c r="O9" s="95"/>
      <c r="P9" s="95">
        <v>1</v>
      </c>
      <c r="Q9" s="95">
        <v>1.5</v>
      </c>
      <c r="R9" s="95">
        <v>1</v>
      </c>
      <c r="S9" s="95"/>
      <c r="T9" s="95"/>
      <c r="U9" s="95">
        <v>1</v>
      </c>
      <c r="V9" s="95">
        <v>1.5</v>
      </c>
      <c r="W9" s="95">
        <v>1</v>
      </c>
      <c r="X9" s="95">
        <v>1.5</v>
      </c>
      <c r="Y9" s="95">
        <v>1</v>
      </c>
      <c r="Z9" s="95">
        <v>1</v>
      </c>
      <c r="AA9" s="95"/>
      <c r="AB9" s="95">
        <v>1</v>
      </c>
      <c r="AC9" s="95">
        <v>1.5</v>
      </c>
      <c r="AD9" s="95">
        <v>1</v>
      </c>
      <c r="AE9" s="95"/>
      <c r="AF9" s="95">
        <v>1</v>
      </c>
      <c r="AG9" s="95">
        <v>1</v>
      </c>
      <c r="AH9" s="95"/>
      <c r="AI9" s="95">
        <v>1</v>
      </c>
      <c r="AJ9" s="95">
        <v>1.5</v>
      </c>
      <c r="AK9" s="95">
        <v>1</v>
      </c>
      <c r="AL9" s="95">
        <v>1.5</v>
      </c>
      <c r="AM9" s="95"/>
      <c r="AN9" s="96">
        <f t="shared" si="0"/>
        <v>21.4375</v>
      </c>
      <c r="AO9" s="92">
        <v>150000</v>
      </c>
      <c r="AP9" s="97">
        <f t="shared" si="1"/>
        <v>3215625</v>
      </c>
    </row>
    <row r="10" spans="1:42" ht="24.9" customHeight="1">
      <c r="A10" s="89">
        <v>5</v>
      </c>
      <c r="B10" s="90" t="s">
        <v>523</v>
      </c>
      <c r="C10" s="91" t="s">
        <v>553</v>
      </c>
      <c r="D10" s="38" t="s">
        <v>228</v>
      </c>
      <c r="E10" s="133" t="s">
        <v>583</v>
      </c>
      <c r="F10" s="100" t="s">
        <v>230</v>
      </c>
      <c r="G10" s="93" t="s">
        <v>523</v>
      </c>
      <c r="H10" s="94" t="s">
        <v>612</v>
      </c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>
        <v>0.6875</v>
      </c>
      <c r="AC10" s="95">
        <v>1.125</v>
      </c>
      <c r="AD10" s="95">
        <v>0.5</v>
      </c>
      <c r="AE10" s="95">
        <v>0.5</v>
      </c>
      <c r="AF10" s="95">
        <v>1</v>
      </c>
      <c r="AG10" s="95"/>
      <c r="AH10" s="95"/>
      <c r="AI10" s="95">
        <v>1</v>
      </c>
      <c r="AJ10" s="95">
        <v>1.5</v>
      </c>
      <c r="AK10" s="95">
        <v>1</v>
      </c>
      <c r="AL10" s="95">
        <v>1.5</v>
      </c>
      <c r="AM10" s="95"/>
      <c r="AN10" s="96">
        <f t="shared" si="0"/>
        <v>8.8125</v>
      </c>
      <c r="AO10" s="92">
        <v>230000</v>
      </c>
      <c r="AP10" s="97">
        <f t="shared" si="1"/>
        <v>2026875</v>
      </c>
    </row>
    <row r="11" spans="1:42" ht="24.9" customHeight="1">
      <c r="A11" s="89">
        <v>6</v>
      </c>
      <c r="B11" s="90" t="s">
        <v>355</v>
      </c>
      <c r="C11" s="91" t="s">
        <v>356</v>
      </c>
      <c r="D11" s="38" t="s">
        <v>225</v>
      </c>
      <c r="E11" s="133" t="s">
        <v>357</v>
      </c>
      <c r="F11" s="100" t="s">
        <v>229</v>
      </c>
      <c r="G11" s="93" t="s">
        <v>355</v>
      </c>
      <c r="H11" s="94" t="s">
        <v>358</v>
      </c>
      <c r="I11" s="95">
        <v>1</v>
      </c>
      <c r="J11" s="95">
        <v>1.5</v>
      </c>
      <c r="K11" s="95">
        <v>1</v>
      </c>
      <c r="L11" s="95">
        <v>1</v>
      </c>
      <c r="M11" s="95"/>
      <c r="N11" s="95">
        <v>1</v>
      </c>
      <c r="O11" s="95">
        <v>1.5</v>
      </c>
      <c r="P11" s="95">
        <v>0.5</v>
      </c>
      <c r="Q11" s="95">
        <v>1.5</v>
      </c>
      <c r="R11" s="95">
        <v>1</v>
      </c>
      <c r="S11" s="95">
        <v>1</v>
      </c>
      <c r="T11" s="95"/>
      <c r="U11" s="95">
        <v>1</v>
      </c>
      <c r="V11" s="95">
        <v>1.5</v>
      </c>
      <c r="W11" s="95">
        <v>1</v>
      </c>
      <c r="X11" s="95">
        <v>1.5</v>
      </c>
      <c r="Y11" s="95">
        <v>1</v>
      </c>
      <c r="Z11" s="95">
        <v>0.5</v>
      </c>
      <c r="AA11" s="95"/>
      <c r="AB11" s="95"/>
      <c r="AC11" s="95">
        <v>1.5</v>
      </c>
      <c r="AD11" s="95">
        <v>1</v>
      </c>
      <c r="AE11" s="95"/>
      <c r="AF11" s="95">
        <v>1</v>
      </c>
      <c r="AG11" s="95">
        <v>0.5</v>
      </c>
      <c r="AH11" s="95"/>
      <c r="AI11" s="95">
        <v>1</v>
      </c>
      <c r="AJ11" s="95">
        <v>1.5</v>
      </c>
      <c r="AK11" s="95">
        <v>1</v>
      </c>
      <c r="AL11" s="95">
        <v>1.5</v>
      </c>
      <c r="AM11" s="95"/>
      <c r="AN11" s="96">
        <f t="shared" si="0"/>
        <v>26.5</v>
      </c>
      <c r="AO11" s="92">
        <v>160000</v>
      </c>
      <c r="AP11" s="97">
        <f t="shared" si="1"/>
        <v>4240000</v>
      </c>
    </row>
    <row r="12" spans="1:42" ht="24.9" customHeight="1">
      <c r="A12" s="89">
        <v>7</v>
      </c>
      <c r="B12" s="90" t="s">
        <v>359</v>
      </c>
      <c r="C12" s="91" t="s">
        <v>360</v>
      </c>
      <c r="D12" s="38" t="s">
        <v>228</v>
      </c>
      <c r="E12" s="133" t="s">
        <v>361</v>
      </c>
      <c r="F12" s="100" t="s">
        <v>229</v>
      </c>
      <c r="G12" s="93" t="s">
        <v>359</v>
      </c>
      <c r="H12" s="94" t="s">
        <v>362</v>
      </c>
      <c r="I12" s="95">
        <v>1</v>
      </c>
      <c r="J12" s="95">
        <v>1.5</v>
      </c>
      <c r="K12" s="95">
        <v>1</v>
      </c>
      <c r="L12" s="95">
        <v>1</v>
      </c>
      <c r="M12" s="95"/>
      <c r="N12" s="95">
        <v>1</v>
      </c>
      <c r="O12" s="95">
        <v>1.5</v>
      </c>
      <c r="P12" s="95">
        <v>1</v>
      </c>
      <c r="Q12" s="95">
        <v>1.5</v>
      </c>
      <c r="R12" s="95">
        <v>1</v>
      </c>
      <c r="S12" s="95"/>
      <c r="T12" s="95"/>
      <c r="U12" s="95">
        <v>1</v>
      </c>
      <c r="V12" s="95">
        <v>1.5</v>
      </c>
      <c r="W12" s="95">
        <v>1</v>
      </c>
      <c r="X12" s="95">
        <v>1.5</v>
      </c>
      <c r="Y12" s="95">
        <v>1</v>
      </c>
      <c r="Z12" s="95">
        <v>1</v>
      </c>
      <c r="AA12" s="95"/>
      <c r="AB12" s="95">
        <v>1</v>
      </c>
      <c r="AC12" s="95">
        <v>1.5</v>
      </c>
      <c r="AD12" s="95">
        <v>1</v>
      </c>
      <c r="AE12" s="95">
        <v>1.5</v>
      </c>
      <c r="AF12" s="95">
        <v>1</v>
      </c>
      <c r="AG12" s="95">
        <v>1</v>
      </c>
      <c r="AH12" s="95"/>
      <c r="AI12" s="95">
        <v>1</v>
      </c>
      <c r="AJ12" s="95">
        <v>0.125</v>
      </c>
      <c r="AK12" s="95">
        <v>1</v>
      </c>
      <c r="AL12" s="95">
        <v>1.5</v>
      </c>
      <c r="AM12" s="95"/>
      <c r="AN12" s="96">
        <f t="shared" si="0"/>
        <v>28.125</v>
      </c>
      <c r="AO12" s="92">
        <v>210000</v>
      </c>
      <c r="AP12" s="97">
        <f t="shared" si="1"/>
        <v>5906250</v>
      </c>
    </row>
    <row r="13" spans="1:42" ht="24.9" customHeight="1">
      <c r="A13" s="89">
        <v>8</v>
      </c>
      <c r="B13" s="90" t="s">
        <v>363</v>
      </c>
      <c r="C13" s="91" t="s">
        <v>364</v>
      </c>
      <c r="D13" s="38" t="s">
        <v>228</v>
      </c>
      <c r="E13" s="133" t="s">
        <v>365</v>
      </c>
      <c r="F13" s="100" t="s">
        <v>298</v>
      </c>
      <c r="G13" s="93" t="s">
        <v>363</v>
      </c>
      <c r="H13" s="94" t="s">
        <v>366</v>
      </c>
      <c r="I13" s="95">
        <v>1</v>
      </c>
      <c r="J13" s="95">
        <v>1.5</v>
      </c>
      <c r="K13" s="95">
        <v>1</v>
      </c>
      <c r="L13" s="95">
        <v>1</v>
      </c>
      <c r="M13" s="95"/>
      <c r="N13" s="95">
        <v>1</v>
      </c>
      <c r="O13" s="95">
        <v>1.5</v>
      </c>
      <c r="P13" s="95">
        <v>1</v>
      </c>
      <c r="Q13" s="95"/>
      <c r="R13" s="95">
        <v>1</v>
      </c>
      <c r="S13" s="95">
        <v>1</v>
      </c>
      <c r="T13" s="95"/>
      <c r="U13" s="95">
        <v>1</v>
      </c>
      <c r="V13" s="95">
        <v>1.5</v>
      </c>
      <c r="W13" s="95">
        <v>1</v>
      </c>
      <c r="X13" s="95">
        <v>1.5</v>
      </c>
      <c r="Y13" s="95">
        <v>1</v>
      </c>
      <c r="Z13" s="95">
        <v>1</v>
      </c>
      <c r="AA13" s="95"/>
      <c r="AB13" s="95">
        <v>1</v>
      </c>
      <c r="AC13" s="95">
        <v>1.5</v>
      </c>
      <c r="AD13" s="95">
        <v>1</v>
      </c>
      <c r="AE13" s="95">
        <v>1.5</v>
      </c>
      <c r="AF13" s="95">
        <v>1</v>
      </c>
      <c r="AG13" s="95"/>
      <c r="AH13" s="95"/>
      <c r="AI13" s="95">
        <v>1</v>
      </c>
      <c r="AJ13" s="95">
        <v>1.5</v>
      </c>
      <c r="AK13" s="95">
        <v>1</v>
      </c>
      <c r="AL13" s="95">
        <v>1.5</v>
      </c>
      <c r="AM13" s="95"/>
      <c r="AN13" s="96">
        <f t="shared" si="0"/>
        <v>28</v>
      </c>
      <c r="AO13" s="92">
        <v>240000</v>
      </c>
      <c r="AP13" s="97">
        <f t="shared" si="1"/>
        <v>6720000</v>
      </c>
    </row>
    <row r="14" spans="1:42" ht="24.9" customHeight="1">
      <c r="A14" s="89">
        <v>9</v>
      </c>
      <c r="B14" s="90" t="s">
        <v>367</v>
      </c>
      <c r="C14" s="91" t="s">
        <v>368</v>
      </c>
      <c r="D14" s="38" t="s">
        <v>225</v>
      </c>
      <c r="E14" s="133" t="s">
        <v>369</v>
      </c>
      <c r="F14" s="100" t="s">
        <v>370</v>
      </c>
      <c r="G14" s="93" t="s">
        <v>367</v>
      </c>
      <c r="H14" s="94" t="s">
        <v>371</v>
      </c>
      <c r="I14" s="95">
        <v>1</v>
      </c>
      <c r="J14" s="95">
        <v>1.5</v>
      </c>
      <c r="K14" s="95">
        <v>1</v>
      </c>
      <c r="L14" s="95">
        <v>1</v>
      </c>
      <c r="M14" s="95"/>
      <c r="N14" s="95">
        <v>1</v>
      </c>
      <c r="O14" s="95">
        <v>1.5</v>
      </c>
      <c r="P14" s="95">
        <v>1</v>
      </c>
      <c r="Q14" s="95">
        <v>1.5</v>
      </c>
      <c r="R14" s="95">
        <v>1</v>
      </c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6">
        <f t="shared" si="0"/>
        <v>10.5</v>
      </c>
      <c r="AO14" s="92">
        <v>160000</v>
      </c>
      <c r="AP14" s="97">
        <f t="shared" si="1"/>
        <v>1680000</v>
      </c>
    </row>
    <row r="15" spans="1:42" ht="24.9" customHeight="1">
      <c r="A15" s="89">
        <v>10</v>
      </c>
      <c r="B15" s="90" t="s">
        <v>524</v>
      </c>
      <c r="C15" s="91" t="s">
        <v>554</v>
      </c>
      <c r="D15" s="137" t="s">
        <v>225</v>
      </c>
      <c r="E15" s="38" t="s">
        <v>584</v>
      </c>
      <c r="F15" s="102" t="s">
        <v>390</v>
      </c>
      <c r="G15" s="93" t="s">
        <v>524</v>
      </c>
      <c r="H15" s="94" t="s">
        <v>613</v>
      </c>
      <c r="I15" s="95">
        <v>0.8125</v>
      </c>
      <c r="J15" s="95"/>
      <c r="K15" s="95"/>
      <c r="L15" s="95"/>
      <c r="M15" s="95"/>
      <c r="N15" s="95">
        <v>1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6">
        <f t="shared" si="0"/>
        <v>1.8125</v>
      </c>
      <c r="AO15" s="92">
        <v>160000</v>
      </c>
      <c r="AP15" s="97">
        <f t="shared" si="1"/>
        <v>290000</v>
      </c>
    </row>
    <row r="16" spans="1:42" ht="24.9" customHeight="1">
      <c r="A16" s="89">
        <v>11</v>
      </c>
      <c r="B16" s="90" t="s">
        <v>525</v>
      </c>
      <c r="C16" s="91" t="s">
        <v>555</v>
      </c>
      <c r="D16" s="38" t="s">
        <v>225</v>
      </c>
      <c r="E16" s="38" t="s">
        <v>585</v>
      </c>
      <c r="F16" s="100" t="s">
        <v>226</v>
      </c>
      <c r="G16" s="93" t="s">
        <v>525</v>
      </c>
      <c r="H16" s="94" t="s">
        <v>614</v>
      </c>
      <c r="I16" s="95"/>
      <c r="J16" s="95"/>
      <c r="K16" s="95"/>
      <c r="L16" s="95"/>
      <c r="M16" s="95"/>
      <c r="N16" s="95">
        <v>0.4375</v>
      </c>
      <c r="O16" s="95"/>
      <c r="P16" s="95">
        <v>1</v>
      </c>
      <c r="Q16" s="95">
        <v>1.5</v>
      </c>
      <c r="R16" s="95">
        <v>1</v>
      </c>
      <c r="S16" s="95">
        <v>1</v>
      </c>
      <c r="T16" s="95"/>
      <c r="U16" s="95">
        <v>1</v>
      </c>
      <c r="V16" s="95">
        <v>1.5</v>
      </c>
      <c r="W16" s="95">
        <v>1</v>
      </c>
      <c r="X16" s="95">
        <v>1.5</v>
      </c>
      <c r="Y16" s="95">
        <v>1</v>
      </c>
      <c r="Z16" s="95">
        <v>1</v>
      </c>
      <c r="AA16" s="95"/>
      <c r="AB16" s="95">
        <v>1</v>
      </c>
      <c r="AC16" s="95">
        <v>1.5</v>
      </c>
      <c r="AD16" s="95">
        <v>0.5</v>
      </c>
      <c r="AE16" s="95">
        <v>1.5</v>
      </c>
      <c r="AF16" s="95">
        <v>1</v>
      </c>
      <c r="AG16" s="95">
        <v>1</v>
      </c>
      <c r="AH16" s="95"/>
      <c r="AI16" s="95">
        <v>1</v>
      </c>
      <c r="AJ16" s="95">
        <v>1.5</v>
      </c>
      <c r="AK16" s="95">
        <v>1</v>
      </c>
      <c r="AL16" s="95">
        <v>1.5</v>
      </c>
      <c r="AM16" s="95"/>
      <c r="AN16" s="96">
        <f t="shared" ref="AN16:AN23" si="2">SUM(I16:AM16)</f>
        <v>23.4375</v>
      </c>
      <c r="AO16" s="92">
        <v>170000</v>
      </c>
      <c r="AP16" s="97">
        <f t="shared" ref="AP16:AP23" si="3">AN16*AO16</f>
        <v>3984375</v>
      </c>
    </row>
    <row r="17" spans="1:42" ht="24.9" customHeight="1">
      <c r="A17" s="89">
        <v>12</v>
      </c>
      <c r="B17" s="90" t="s">
        <v>526</v>
      </c>
      <c r="C17" s="91" t="s">
        <v>556</v>
      </c>
      <c r="D17" s="38" t="s">
        <v>225</v>
      </c>
      <c r="E17" s="133" t="s">
        <v>586</v>
      </c>
      <c r="F17" s="102" t="s">
        <v>226</v>
      </c>
      <c r="G17" s="93" t="s">
        <v>526</v>
      </c>
      <c r="H17" s="94" t="s">
        <v>615</v>
      </c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>
        <v>0.4375</v>
      </c>
      <c r="V17" s="95"/>
      <c r="W17" s="95">
        <v>1</v>
      </c>
      <c r="X17" s="95">
        <v>1.5</v>
      </c>
      <c r="Y17" s="95">
        <v>1</v>
      </c>
      <c r="Z17" s="95"/>
      <c r="AA17" s="95"/>
      <c r="AB17" s="95">
        <v>1</v>
      </c>
      <c r="AC17" s="95">
        <v>1.5</v>
      </c>
      <c r="AD17" s="95">
        <v>0.875</v>
      </c>
      <c r="AE17" s="95">
        <v>1.5</v>
      </c>
      <c r="AF17" s="95">
        <v>1</v>
      </c>
      <c r="AG17" s="95"/>
      <c r="AH17" s="95"/>
      <c r="AI17" s="95">
        <v>1</v>
      </c>
      <c r="AJ17" s="95">
        <v>1.5</v>
      </c>
      <c r="AK17" s="95">
        <v>1</v>
      </c>
      <c r="AL17" s="95">
        <v>1.5</v>
      </c>
      <c r="AM17" s="95"/>
      <c r="AN17" s="96">
        <f t="shared" si="2"/>
        <v>14.8125</v>
      </c>
      <c r="AO17" s="92">
        <v>160000</v>
      </c>
      <c r="AP17" s="97">
        <f t="shared" si="3"/>
        <v>2370000</v>
      </c>
    </row>
    <row r="18" spans="1:42" ht="24.9" customHeight="1">
      <c r="A18" s="89">
        <v>13</v>
      </c>
      <c r="B18" s="90" t="s">
        <v>372</v>
      </c>
      <c r="C18" s="91" t="s">
        <v>373</v>
      </c>
      <c r="D18" s="137" t="s">
        <v>227</v>
      </c>
      <c r="E18" s="133" t="s">
        <v>374</v>
      </c>
      <c r="F18" s="100" t="s">
        <v>298</v>
      </c>
      <c r="G18" s="93" t="s">
        <v>372</v>
      </c>
      <c r="H18" s="94" t="s">
        <v>374</v>
      </c>
      <c r="I18" s="95">
        <v>1</v>
      </c>
      <c r="J18" s="95">
        <v>1.5</v>
      </c>
      <c r="K18" s="95">
        <v>1</v>
      </c>
      <c r="L18" s="95">
        <v>1</v>
      </c>
      <c r="M18" s="95"/>
      <c r="N18" s="95">
        <v>1</v>
      </c>
      <c r="O18" s="95">
        <v>1.5</v>
      </c>
      <c r="P18" s="95">
        <v>1</v>
      </c>
      <c r="Q18" s="95">
        <v>1.5</v>
      </c>
      <c r="R18" s="95">
        <v>1</v>
      </c>
      <c r="S18" s="95">
        <v>1</v>
      </c>
      <c r="T18" s="95"/>
      <c r="U18" s="95">
        <v>1</v>
      </c>
      <c r="V18" s="95">
        <v>1.5</v>
      </c>
      <c r="W18" s="95">
        <v>1</v>
      </c>
      <c r="X18" s="95">
        <v>1.5</v>
      </c>
      <c r="Y18" s="95">
        <v>1</v>
      </c>
      <c r="Z18" s="95"/>
      <c r="AA18" s="95"/>
      <c r="AB18" s="95">
        <v>1</v>
      </c>
      <c r="AC18" s="95">
        <v>1.5</v>
      </c>
      <c r="AD18" s="95">
        <v>1</v>
      </c>
      <c r="AE18" s="95">
        <v>1.5</v>
      </c>
      <c r="AF18" s="95">
        <v>1</v>
      </c>
      <c r="AG18" s="95">
        <v>1</v>
      </c>
      <c r="AH18" s="95"/>
      <c r="AI18" s="95">
        <v>1</v>
      </c>
      <c r="AJ18" s="95">
        <v>1.5</v>
      </c>
      <c r="AK18" s="95">
        <v>1</v>
      </c>
      <c r="AL18" s="95">
        <v>1.5</v>
      </c>
      <c r="AM18" s="95"/>
      <c r="AN18" s="96">
        <f t="shared" si="2"/>
        <v>29.5</v>
      </c>
      <c r="AO18" s="92">
        <v>240000</v>
      </c>
      <c r="AP18" s="97">
        <f t="shared" si="3"/>
        <v>7080000</v>
      </c>
    </row>
    <row r="19" spans="1:42" ht="24.9" customHeight="1">
      <c r="A19" s="89">
        <v>14</v>
      </c>
      <c r="B19" s="90" t="s">
        <v>527</v>
      </c>
      <c r="C19" s="91" t="s">
        <v>557</v>
      </c>
      <c r="D19" s="38" t="s">
        <v>228</v>
      </c>
      <c r="E19" s="38" t="s">
        <v>587</v>
      </c>
      <c r="F19" s="100" t="s">
        <v>390</v>
      </c>
      <c r="G19" s="93" t="s">
        <v>527</v>
      </c>
      <c r="H19" s="94" t="s">
        <v>616</v>
      </c>
      <c r="I19" s="95"/>
      <c r="J19" s="95"/>
      <c r="K19" s="95"/>
      <c r="L19" s="95"/>
      <c r="M19" s="95"/>
      <c r="N19" s="95">
        <v>0.9375</v>
      </c>
      <c r="O19" s="95">
        <v>1</v>
      </c>
      <c r="P19" s="95">
        <v>1</v>
      </c>
      <c r="Q19" s="95">
        <v>1.5</v>
      </c>
      <c r="R19" s="95">
        <v>1</v>
      </c>
      <c r="S19" s="95"/>
      <c r="T19" s="95"/>
      <c r="U19" s="95">
        <v>1</v>
      </c>
      <c r="V19" s="95">
        <v>1.5</v>
      </c>
      <c r="W19" s="95">
        <v>1</v>
      </c>
      <c r="X19" s="95">
        <v>1.5</v>
      </c>
      <c r="Y19" s="95">
        <v>1</v>
      </c>
      <c r="Z19" s="95">
        <v>1</v>
      </c>
      <c r="AA19" s="95"/>
      <c r="AB19" s="95">
        <v>0.75</v>
      </c>
      <c r="AC19" s="95">
        <v>1.5</v>
      </c>
      <c r="AD19" s="95">
        <v>1</v>
      </c>
      <c r="AE19" s="95">
        <v>1.5</v>
      </c>
      <c r="AF19" s="95">
        <v>1</v>
      </c>
      <c r="AG19" s="95">
        <v>1</v>
      </c>
      <c r="AH19" s="95"/>
      <c r="AI19" s="95">
        <v>1</v>
      </c>
      <c r="AJ19" s="95">
        <v>1.5</v>
      </c>
      <c r="AK19" s="95">
        <v>1</v>
      </c>
      <c r="AL19" s="95">
        <v>1.5</v>
      </c>
      <c r="AM19" s="95"/>
      <c r="AN19" s="96">
        <f t="shared" si="2"/>
        <v>24.1875</v>
      </c>
      <c r="AO19" s="92">
        <v>220000</v>
      </c>
      <c r="AP19" s="97">
        <f t="shared" si="3"/>
        <v>5321250</v>
      </c>
    </row>
    <row r="20" spans="1:42" ht="24.9" customHeight="1">
      <c r="A20" s="89">
        <v>15</v>
      </c>
      <c r="B20" s="90" t="s">
        <v>375</v>
      </c>
      <c r="C20" s="91" t="s">
        <v>376</v>
      </c>
      <c r="D20" s="38" t="s">
        <v>312</v>
      </c>
      <c r="E20" s="38" t="s">
        <v>377</v>
      </c>
      <c r="F20" s="100" t="s">
        <v>298</v>
      </c>
      <c r="G20" s="93" t="s">
        <v>375</v>
      </c>
      <c r="H20" s="94" t="s">
        <v>378</v>
      </c>
      <c r="I20" s="95">
        <v>1</v>
      </c>
      <c r="J20" s="95">
        <v>1.5</v>
      </c>
      <c r="K20" s="95">
        <v>1</v>
      </c>
      <c r="L20" s="95">
        <v>1</v>
      </c>
      <c r="M20" s="95"/>
      <c r="N20" s="95">
        <v>1</v>
      </c>
      <c r="O20" s="95">
        <v>1.5</v>
      </c>
      <c r="P20" s="95">
        <v>1</v>
      </c>
      <c r="Q20" s="95">
        <v>1.5</v>
      </c>
      <c r="R20" s="95">
        <v>1</v>
      </c>
      <c r="S20" s="95"/>
      <c r="T20" s="95"/>
      <c r="U20" s="95">
        <v>1</v>
      </c>
      <c r="V20" s="95">
        <v>1.5</v>
      </c>
      <c r="W20" s="95">
        <v>1</v>
      </c>
      <c r="X20" s="95">
        <v>1.5</v>
      </c>
      <c r="Y20" s="95">
        <v>1</v>
      </c>
      <c r="Z20" s="95">
        <v>1</v>
      </c>
      <c r="AA20" s="95"/>
      <c r="AB20" s="95">
        <v>1</v>
      </c>
      <c r="AC20" s="95">
        <v>1.5</v>
      </c>
      <c r="AD20" s="95">
        <v>1</v>
      </c>
      <c r="AE20" s="95">
        <v>0.25</v>
      </c>
      <c r="AF20" s="95">
        <v>1</v>
      </c>
      <c r="AG20" s="95">
        <v>1</v>
      </c>
      <c r="AH20" s="95"/>
      <c r="AI20" s="95">
        <v>1</v>
      </c>
      <c r="AJ20" s="95">
        <v>1.5</v>
      </c>
      <c r="AK20" s="95">
        <v>1</v>
      </c>
      <c r="AL20" s="95">
        <v>1.5</v>
      </c>
      <c r="AM20" s="95"/>
      <c r="AN20" s="96">
        <f t="shared" si="2"/>
        <v>28.25</v>
      </c>
      <c r="AO20" s="92">
        <v>240000</v>
      </c>
      <c r="AP20" s="97">
        <f t="shared" si="3"/>
        <v>6780000</v>
      </c>
    </row>
    <row r="21" spans="1:42" ht="24.9" customHeight="1">
      <c r="A21" s="89">
        <v>16</v>
      </c>
      <c r="B21" s="90" t="s">
        <v>379</v>
      </c>
      <c r="C21" s="91" t="s">
        <v>380</v>
      </c>
      <c r="D21" s="38" t="s">
        <v>228</v>
      </c>
      <c r="E21" s="38" t="s">
        <v>381</v>
      </c>
      <c r="F21" s="100" t="s">
        <v>226</v>
      </c>
      <c r="G21" s="93" t="s">
        <v>379</v>
      </c>
      <c r="H21" s="94" t="s">
        <v>382</v>
      </c>
      <c r="I21" s="95">
        <v>1</v>
      </c>
      <c r="J21" s="95">
        <v>1.5</v>
      </c>
      <c r="K21" s="95">
        <v>1</v>
      </c>
      <c r="L21" s="95">
        <v>1</v>
      </c>
      <c r="M21" s="95"/>
      <c r="N21" s="95">
        <v>1</v>
      </c>
      <c r="O21" s="95">
        <v>1.5</v>
      </c>
      <c r="P21" s="95">
        <v>1</v>
      </c>
      <c r="Q21" s="95">
        <v>1.5</v>
      </c>
      <c r="R21" s="95">
        <v>1</v>
      </c>
      <c r="S21" s="95"/>
      <c r="T21" s="95"/>
      <c r="U21" s="95">
        <v>1</v>
      </c>
      <c r="V21" s="95">
        <v>1.5</v>
      </c>
      <c r="W21" s="95">
        <v>1</v>
      </c>
      <c r="X21" s="95">
        <v>1.5</v>
      </c>
      <c r="Y21" s="95">
        <v>1</v>
      </c>
      <c r="Z21" s="95">
        <v>1</v>
      </c>
      <c r="AA21" s="95"/>
      <c r="AB21" s="95">
        <v>1</v>
      </c>
      <c r="AC21" s="95">
        <v>1.5</v>
      </c>
      <c r="AD21" s="95">
        <v>1</v>
      </c>
      <c r="AE21" s="95">
        <v>1.5</v>
      </c>
      <c r="AF21" s="95">
        <v>1</v>
      </c>
      <c r="AG21" s="95"/>
      <c r="AH21" s="95"/>
      <c r="AI21" s="95">
        <v>1</v>
      </c>
      <c r="AJ21" s="95">
        <v>1.5</v>
      </c>
      <c r="AK21" s="95">
        <v>1</v>
      </c>
      <c r="AL21" s="95">
        <v>1.5</v>
      </c>
      <c r="AM21" s="95"/>
      <c r="AN21" s="96">
        <f t="shared" si="2"/>
        <v>28.5</v>
      </c>
      <c r="AO21" s="92">
        <v>240000</v>
      </c>
      <c r="AP21" s="97">
        <f t="shared" si="3"/>
        <v>6840000</v>
      </c>
    </row>
    <row r="22" spans="1:42" ht="24.9" customHeight="1">
      <c r="A22" s="89">
        <v>17</v>
      </c>
      <c r="B22" s="90" t="s">
        <v>528</v>
      </c>
      <c r="C22" s="91" t="s">
        <v>558</v>
      </c>
      <c r="D22" s="38" t="s">
        <v>225</v>
      </c>
      <c r="E22" s="38" t="s">
        <v>588</v>
      </c>
      <c r="F22" s="100" t="s">
        <v>297</v>
      </c>
      <c r="G22" s="93" t="s">
        <v>528</v>
      </c>
      <c r="H22" s="94" t="s">
        <v>617</v>
      </c>
      <c r="I22" s="95"/>
      <c r="J22" s="95"/>
      <c r="K22" s="95"/>
      <c r="L22" s="95"/>
      <c r="M22" s="95"/>
      <c r="N22" s="95">
        <v>0.4375</v>
      </c>
      <c r="O22" s="95"/>
      <c r="P22" s="95">
        <v>1</v>
      </c>
      <c r="Q22" s="95">
        <v>1.5</v>
      </c>
      <c r="R22" s="95">
        <v>1</v>
      </c>
      <c r="S22" s="95">
        <v>1</v>
      </c>
      <c r="T22" s="95"/>
      <c r="U22" s="95">
        <v>1</v>
      </c>
      <c r="V22" s="95">
        <v>1.5</v>
      </c>
      <c r="W22" s="95">
        <v>1</v>
      </c>
      <c r="X22" s="95">
        <v>1.5</v>
      </c>
      <c r="Y22" s="95">
        <v>1</v>
      </c>
      <c r="Z22" s="95">
        <v>1</v>
      </c>
      <c r="AA22" s="95"/>
      <c r="AB22" s="95">
        <v>1</v>
      </c>
      <c r="AC22" s="95">
        <v>1.5</v>
      </c>
      <c r="AD22" s="95">
        <v>1</v>
      </c>
      <c r="AE22" s="95">
        <v>1.5</v>
      </c>
      <c r="AF22" s="95">
        <v>1</v>
      </c>
      <c r="AG22" s="95">
        <v>1</v>
      </c>
      <c r="AH22" s="95"/>
      <c r="AI22" s="95">
        <v>1</v>
      </c>
      <c r="AJ22" s="95">
        <v>1.5</v>
      </c>
      <c r="AK22" s="95">
        <v>1</v>
      </c>
      <c r="AL22" s="95">
        <v>1.5</v>
      </c>
      <c r="AM22" s="95"/>
      <c r="AN22" s="96">
        <f t="shared" si="2"/>
        <v>23.9375</v>
      </c>
      <c r="AO22" s="92">
        <v>160000</v>
      </c>
      <c r="AP22" s="97">
        <f t="shared" si="3"/>
        <v>3830000</v>
      </c>
    </row>
    <row r="23" spans="1:42" ht="24.9" customHeight="1">
      <c r="A23" s="89">
        <v>18</v>
      </c>
      <c r="B23" s="90" t="s">
        <v>383</v>
      </c>
      <c r="C23" s="91" t="s">
        <v>384</v>
      </c>
      <c r="D23" s="38" t="s">
        <v>352</v>
      </c>
      <c r="E23" s="38" t="s">
        <v>385</v>
      </c>
      <c r="F23" s="102" t="s">
        <v>229</v>
      </c>
      <c r="G23" s="93" t="s">
        <v>383</v>
      </c>
      <c r="H23" s="94" t="s">
        <v>386</v>
      </c>
      <c r="I23" s="95">
        <v>1</v>
      </c>
      <c r="J23" s="95">
        <v>1.5</v>
      </c>
      <c r="K23" s="95">
        <v>1</v>
      </c>
      <c r="L23" s="95">
        <v>1</v>
      </c>
      <c r="M23" s="95"/>
      <c r="N23" s="95">
        <v>1</v>
      </c>
      <c r="O23" s="95">
        <v>1.5</v>
      </c>
      <c r="P23" s="95">
        <v>1</v>
      </c>
      <c r="Q23" s="95">
        <v>1.5</v>
      </c>
      <c r="R23" s="95">
        <v>1</v>
      </c>
      <c r="S23" s="95">
        <v>1</v>
      </c>
      <c r="T23" s="95"/>
      <c r="U23" s="95">
        <v>1</v>
      </c>
      <c r="V23" s="95">
        <v>1.5</v>
      </c>
      <c r="W23" s="95">
        <v>1</v>
      </c>
      <c r="X23" s="95">
        <v>1.5</v>
      </c>
      <c r="Y23" s="95">
        <v>1</v>
      </c>
      <c r="Z23" s="95">
        <v>1</v>
      </c>
      <c r="AA23" s="95"/>
      <c r="AB23" s="95">
        <v>1</v>
      </c>
      <c r="AC23" s="95">
        <v>1.5</v>
      </c>
      <c r="AD23" s="95">
        <v>1</v>
      </c>
      <c r="AE23" s="95"/>
      <c r="AF23" s="95">
        <v>1</v>
      </c>
      <c r="AG23" s="95">
        <v>1</v>
      </c>
      <c r="AH23" s="95"/>
      <c r="AI23" s="95">
        <v>1</v>
      </c>
      <c r="AJ23" s="95">
        <v>1.5</v>
      </c>
      <c r="AK23" s="95">
        <v>1</v>
      </c>
      <c r="AL23" s="95">
        <v>1.5</v>
      </c>
      <c r="AM23" s="95"/>
      <c r="AN23" s="96">
        <f t="shared" si="2"/>
        <v>29</v>
      </c>
      <c r="AO23" s="92">
        <v>180000</v>
      </c>
      <c r="AP23" s="97">
        <f t="shared" si="3"/>
        <v>5220000</v>
      </c>
    </row>
    <row r="24" spans="1:42" ht="24.9" customHeight="1">
      <c r="A24" s="89">
        <v>19</v>
      </c>
      <c r="B24" s="90" t="s">
        <v>529</v>
      </c>
      <c r="C24" s="91" t="s">
        <v>559</v>
      </c>
      <c r="D24" s="38" t="s">
        <v>225</v>
      </c>
      <c r="E24" s="38" t="s">
        <v>589</v>
      </c>
      <c r="F24" s="100" t="s">
        <v>297</v>
      </c>
      <c r="G24" s="93" t="s">
        <v>529</v>
      </c>
      <c r="H24" s="94" t="s">
        <v>618</v>
      </c>
      <c r="I24" s="95"/>
      <c r="J24" s="95"/>
      <c r="K24" s="95"/>
      <c r="L24" s="95"/>
      <c r="M24" s="95"/>
      <c r="N24" s="95">
        <v>0.4375</v>
      </c>
      <c r="O24" s="95"/>
      <c r="P24" s="95">
        <v>1</v>
      </c>
      <c r="Q24" s="95"/>
      <c r="R24" s="95"/>
      <c r="S24" s="95"/>
      <c r="T24" s="95"/>
      <c r="U24" s="95">
        <v>1</v>
      </c>
      <c r="V24" s="95">
        <v>1.5</v>
      </c>
      <c r="W24" s="95"/>
      <c r="X24" s="95"/>
      <c r="Y24" s="95">
        <v>1</v>
      </c>
      <c r="Z24" s="95">
        <v>1</v>
      </c>
      <c r="AA24" s="95"/>
      <c r="AB24" s="95">
        <v>1</v>
      </c>
      <c r="AC24" s="95">
        <v>1.5</v>
      </c>
      <c r="AD24" s="95"/>
      <c r="AE24" s="95">
        <v>1.5</v>
      </c>
      <c r="AF24" s="95">
        <v>1</v>
      </c>
      <c r="AG24" s="95">
        <v>1</v>
      </c>
      <c r="AH24" s="95"/>
      <c r="AI24" s="95">
        <v>1</v>
      </c>
      <c r="AJ24" s="95">
        <v>1.5</v>
      </c>
      <c r="AK24" s="95">
        <v>1</v>
      </c>
      <c r="AL24" s="95"/>
      <c r="AM24" s="95"/>
      <c r="AN24" s="96">
        <f t="shared" ref="AN24:AN37" si="4">SUM(I24:AM24)</f>
        <v>15.4375</v>
      </c>
      <c r="AO24" s="92">
        <v>160000</v>
      </c>
      <c r="AP24" s="97">
        <f t="shared" ref="AP24:AP37" si="5">AN24*AO24</f>
        <v>2470000</v>
      </c>
    </row>
    <row r="25" spans="1:42" ht="24.9" customHeight="1">
      <c r="A25" s="89">
        <v>20</v>
      </c>
      <c r="B25" s="90" t="s">
        <v>387</v>
      </c>
      <c r="C25" s="91" t="s">
        <v>388</v>
      </c>
      <c r="D25" s="137" t="s">
        <v>228</v>
      </c>
      <c r="E25" s="133" t="s">
        <v>389</v>
      </c>
      <c r="F25" s="100" t="s">
        <v>390</v>
      </c>
      <c r="G25" s="93" t="s">
        <v>387</v>
      </c>
      <c r="H25" s="94" t="s">
        <v>391</v>
      </c>
      <c r="I25" s="95">
        <v>1</v>
      </c>
      <c r="J25" s="95">
        <v>1.5</v>
      </c>
      <c r="K25" s="95">
        <v>1</v>
      </c>
      <c r="L25" s="95">
        <v>1</v>
      </c>
      <c r="M25" s="95"/>
      <c r="N25" s="95">
        <v>1</v>
      </c>
      <c r="O25" s="95">
        <v>1.5</v>
      </c>
      <c r="P25" s="95">
        <v>1</v>
      </c>
      <c r="Q25" s="95"/>
      <c r="R25" s="95">
        <v>1</v>
      </c>
      <c r="S25" s="95">
        <v>1</v>
      </c>
      <c r="T25" s="95"/>
      <c r="U25" s="95">
        <v>1</v>
      </c>
      <c r="V25" s="95">
        <v>1.5</v>
      </c>
      <c r="W25" s="95">
        <v>1</v>
      </c>
      <c r="X25" s="95">
        <v>1.5</v>
      </c>
      <c r="Y25" s="95">
        <v>1</v>
      </c>
      <c r="Z25" s="95"/>
      <c r="AA25" s="95"/>
      <c r="AB25" s="95">
        <v>1</v>
      </c>
      <c r="AC25" s="95">
        <v>1.5</v>
      </c>
      <c r="AD25" s="95">
        <v>1</v>
      </c>
      <c r="AE25" s="95">
        <v>1.5</v>
      </c>
      <c r="AF25" s="95">
        <v>1</v>
      </c>
      <c r="AG25" s="95">
        <v>1</v>
      </c>
      <c r="AH25" s="95"/>
      <c r="AI25" s="95">
        <v>1</v>
      </c>
      <c r="AJ25" s="95">
        <v>1.5</v>
      </c>
      <c r="AK25" s="95">
        <v>1</v>
      </c>
      <c r="AL25" s="95">
        <v>1.5</v>
      </c>
      <c r="AM25" s="95"/>
      <c r="AN25" s="96">
        <f t="shared" si="4"/>
        <v>28</v>
      </c>
      <c r="AO25" s="92">
        <v>190000</v>
      </c>
      <c r="AP25" s="97">
        <f t="shared" si="5"/>
        <v>5320000</v>
      </c>
    </row>
    <row r="26" spans="1:42" ht="24.9" customHeight="1">
      <c r="A26" s="89">
        <v>21</v>
      </c>
      <c r="B26" s="90" t="s">
        <v>530</v>
      </c>
      <c r="C26" s="91" t="s">
        <v>560</v>
      </c>
      <c r="D26" s="38" t="s">
        <v>228</v>
      </c>
      <c r="E26" s="133" t="s">
        <v>590</v>
      </c>
      <c r="F26" s="100" t="s">
        <v>226</v>
      </c>
      <c r="G26" s="93" t="s">
        <v>530</v>
      </c>
      <c r="H26" s="94" t="s">
        <v>619</v>
      </c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>
        <v>0.6875</v>
      </c>
      <c r="AC26" s="95">
        <v>1.125</v>
      </c>
      <c r="AD26" s="95">
        <v>0.5</v>
      </c>
      <c r="AE26" s="95">
        <v>0.5</v>
      </c>
      <c r="AF26" s="95">
        <v>1</v>
      </c>
      <c r="AG26" s="95"/>
      <c r="AH26" s="95"/>
      <c r="AI26" s="95">
        <v>1</v>
      </c>
      <c r="AJ26" s="95">
        <v>1.5</v>
      </c>
      <c r="AK26" s="95">
        <v>1</v>
      </c>
      <c r="AL26" s="95">
        <v>1.5</v>
      </c>
      <c r="AM26" s="95"/>
      <c r="AN26" s="96">
        <f t="shared" si="4"/>
        <v>8.8125</v>
      </c>
      <c r="AO26" s="92">
        <v>230000</v>
      </c>
      <c r="AP26" s="97">
        <f t="shared" si="5"/>
        <v>2026875</v>
      </c>
    </row>
    <row r="27" spans="1:42" ht="24.9" customHeight="1">
      <c r="A27" s="89">
        <v>22</v>
      </c>
      <c r="B27" s="90" t="s">
        <v>531</v>
      </c>
      <c r="C27" s="91" t="s">
        <v>561</v>
      </c>
      <c r="D27" s="137" t="s">
        <v>228</v>
      </c>
      <c r="E27" s="133" t="s">
        <v>591</v>
      </c>
      <c r="F27" s="100" t="s">
        <v>226</v>
      </c>
      <c r="G27" s="93" t="s">
        <v>531</v>
      </c>
      <c r="H27" s="94" t="s">
        <v>620</v>
      </c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>
        <v>0.6875</v>
      </c>
      <c r="AC27" s="95">
        <v>1.125</v>
      </c>
      <c r="AD27" s="95">
        <v>0.5</v>
      </c>
      <c r="AE27" s="95">
        <v>0.5</v>
      </c>
      <c r="AF27" s="95">
        <v>1</v>
      </c>
      <c r="AG27" s="95"/>
      <c r="AH27" s="95"/>
      <c r="AI27" s="95">
        <v>1</v>
      </c>
      <c r="AJ27" s="95">
        <v>0.125</v>
      </c>
      <c r="AK27" s="95">
        <v>1</v>
      </c>
      <c r="AL27" s="95">
        <v>1.5</v>
      </c>
      <c r="AM27" s="95"/>
      <c r="AN27" s="96">
        <f t="shared" si="4"/>
        <v>7.4375</v>
      </c>
      <c r="AO27" s="92">
        <v>230000</v>
      </c>
      <c r="AP27" s="97">
        <f t="shared" si="5"/>
        <v>1710625</v>
      </c>
    </row>
    <row r="28" spans="1:42" ht="24.9" customHeight="1">
      <c r="A28" s="89">
        <v>23</v>
      </c>
      <c r="B28" s="90" t="s">
        <v>532</v>
      </c>
      <c r="C28" s="91" t="s">
        <v>562</v>
      </c>
      <c r="D28" s="38" t="s">
        <v>225</v>
      </c>
      <c r="E28" s="133" t="s">
        <v>592</v>
      </c>
      <c r="F28" s="100" t="s">
        <v>229</v>
      </c>
      <c r="G28" s="93" t="s">
        <v>532</v>
      </c>
      <c r="H28" s="94" t="s">
        <v>621</v>
      </c>
      <c r="I28" s="95">
        <v>0.8125</v>
      </c>
      <c r="J28" s="95"/>
      <c r="K28" s="95"/>
      <c r="L28" s="95"/>
      <c r="M28" s="95"/>
      <c r="N28" s="95">
        <v>1</v>
      </c>
      <c r="O28" s="95">
        <v>1.5</v>
      </c>
      <c r="P28" s="95">
        <v>1</v>
      </c>
      <c r="Q28" s="95">
        <v>1.5</v>
      </c>
      <c r="R28" s="95">
        <v>1</v>
      </c>
      <c r="S28" s="95">
        <v>0.4375</v>
      </c>
      <c r="T28" s="95"/>
      <c r="U28" s="95">
        <v>1</v>
      </c>
      <c r="V28" s="95">
        <v>1.5</v>
      </c>
      <c r="W28" s="95">
        <v>1</v>
      </c>
      <c r="X28" s="95">
        <v>1.5</v>
      </c>
      <c r="Y28" s="95">
        <v>1</v>
      </c>
      <c r="Z28" s="95">
        <v>0.5</v>
      </c>
      <c r="AA28" s="95"/>
      <c r="AB28" s="95">
        <v>1</v>
      </c>
      <c r="AC28" s="95">
        <v>1.5</v>
      </c>
      <c r="AD28" s="95">
        <v>1</v>
      </c>
      <c r="AE28" s="95"/>
      <c r="AF28" s="95">
        <v>1</v>
      </c>
      <c r="AG28" s="95">
        <v>0.5</v>
      </c>
      <c r="AH28" s="95"/>
      <c r="AI28" s="95">
        <v>1</v>
      </c>
      <c r="AJ28" s="95">
        <v>1.5</v>
      </c>
      <c r="AK28" s="95">
        <v>1</v>
      </c>
      <c r="AL28" s="95">
        <v>1.5</v>
      </c>
      <c r="AM28" s="95"/>
      <c r="AN28" s="96">
        <f t="shared" si="4"/>
        <v>23.75</v>
      </c>
      <c r="AO28" s="92">
        <v>160000</v>
      </c>
      <c r="AP28" s="97">
        <f t="shared" si="5"/>
        <v>3800000</v>
      </c>
    </row>
    <row r="29" spans="1:42" ht="24.9" customHeight="1">
      <c r="A29" s="89">
        <v>24</v>
      </c>
      <c r="B29" s="90" t="s">
        <v>392</v>
      </c>
      <c r="C29" s="91" t="s">
        <v>393</v>
      </c>
      <c r="D29" s="38" t="s">
        <v>225</v>
      </c>
      <c r="E29" s="38" t="s">
        <v>394</v>
      </c>
      <c r="F29" s="102" t="s">
        <v>395</v>
      </c>
      <c r="G29" s="93" t="s">
        <v>392</v>
      </c>
      <c r="H29" s="94" t="s">
        <v>396</v>
      </c>
      <c r="I29" s="95">
        <v>1</v>
      </c>
      <c r="J29" s="95">
        <v>1.5</v>
      </c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6">
        <f t="shared" si="4"/>
        <v>2.5</v>
      </c>
      <c r="AO29" s="92">
        <v>160000</v>
      </c>
      <c r="AP29" s="97">
        <f t="shared" si="5"/>
        <v>400000</v>
      </c>
    </row>
    <row r="30" spans="1:42" ht="24.9" customHeight="1">
      <c r="A30" s="89">
        <v>25</v>
      </c>
      <c r="B30" s="90" t="s">
        <v>533</v>
      </c>
      <c r="C30" s="91" t="s">
        <v>563</v>
      </c>
      <c r="D30" s="38" t="s">
        <v>225</v>
      </c>
      <c r="E30" s="38" t="s">
        <v>593</v>
      </c>
      <c r="F30" s="100" t="s">
        <v>226</v>
      </c>
      <c r="G30" s="93" t="s">
        <v>533</v>
      </c>
      <c r="H30" s="94" t="s">
        <v>622</v>
      </c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>
        <v>0.6875</v>
      </c>
      <c r="AC30" s="95">
        <v>0.625</v>
      </c>
      <c r="AD30" s="95"/>
      <c r="AE30" s="95">
        <v>1</v>
      </c>
      <c r="AF30" s="95">
        <v>1</v>
      </c>
      <c r="AG30" s="95"/>
      <c r="AH30" s="95"/>
      <c r="AI30" s="95">
        <v>1</v>
      </c>
      <c r="AJ30" s="95">
        <v>1.5</v>
      </c>
      <c r="AK30" s="95"/>
      <c r="AL30" s="95"/>
      <c r="AM30" s="95"/>
      <c r="AN30" s="96">
        <f t="shared" si="4"/>
        <v>5.8125</v>
      </c>
      <c r="AO30" s="92">
        <v>150000</v>
      </c>
      <c r="AP30" s="97">
        <f t="shared" si="5"/>
        <v>871875</v>
      </c>
    </row>
    <row r="31" spans="1:42" ht="24.9" customHeight="1">
      <c r="A31" s="89">
        <v>26</v>
      </c>
      <c r="B31" s="90" t="s">
        <v>310</v>
      </c>
      <c r="C31" s="91" t="s">
        <v>311</v>
      </c>
      <c r="D31" s="38" t="s">
        <v>313</v>
      </c>
      <c r="E31" s="133" t="s">
        <v>315</v>
      </c>
      <c r="F31" s="102" t="s">
        <v>307</v>
      </c>
      <c r="G31" s="93" t="s">
        <v>310</v>
      </c>
      <c r="H31" s="94" t="s">
        <v>314</v>
      </c>
      <c r="I31" s="95">
        <v>1</v>
      </c>
      <c r="J31" s="95">
        <v>1.5</v>
      </c>
      <c r="K31" s="95">
        <v>1</v>
      </c>
      <c r="L31" s="95">
        <v>1</v>
      </c>
      <c r="M31" s="95"/>
      <c r="N31" s="95">
        <v>1</v>
      </c>
      <c r="O31" s="95">
        <v>1.5</v>
      </c>
      <c r="P31" s="95">
        <v>1</v>
      </c>
      <c r="Q31" s="95">
        <v>1.5</v>
      </c>
      <c r="R31" s="95">
        <v>1</v>
      </c>
      <c r="S31" s="95">
        <v>0.5</v>
      </c>
      <c r="T31" s="95"/>
      <c r="U31" s="95">
        <v>1</v>
      </c>
      <c r="V31" s="95">
        <v>1.5</v>
      </c>
      <c r="W31" s="95">
        <v>1</v>
      </c>
      <c r="X31" s="95">
        <v>1.5</v>
      </c>
      <c r="Y31" s="95">
        <v>1</v>
      </c>
      <c r="Z31" s="95">
        <v>1</v>
      </c>
      <c r="AA31" s="95"/>
      <c r="AB31" s="95">
        <v>1</v>
      </c>
      <c r="AC31" s="95">
        <v>1.5</v>
      </c>
      <c r="AD31" s="95">
        <v>1</v>
      </c>
      <c r="AE31" s="95">
        <v>1.5</v>
      </c>
      <c r="AF31" s="95">
        <v>1</v>
      </c>
      <c r="AG31" s="95"/>
      <c r="AH31" s="95"/>
      <c r="AI31" s="95">
        <v>1</v>
      </c>
      <c r="AJ31" s="95">
        <v>1.5</v>
      </c>
      <c r="AK31" s="95">
        <v>1</v>
      </c>
      <c r="AL31" s="95">
        <v>1.5</v>
      </c>
      <c r="AM31" s="95"/>
      <c r="AN31" s="96">
        <f t="shared" si="4"/>
        <v>29</v>
      </c>
      <c r="AO31" s="92">
        <v>190000</v>
      </c>
      <c r="AP31" s="97">
        <f t="shared" si="5"/>
        <v>5510000</v>
      </c>
    </row>
    <row r="32" spans="1:42" ht="24.9" customHeight="1">
      <c r="A32" s="89">
        <v>27</v>
      </c>
      <c r="B32" s="90" t="s">
        <v>397</v>
      </c>
      <c r="C32" s="91" t="s">
        <v>398</v>
      </c>
      <c r="D32" s="38" t="s">
        <v>580</v>
      </c>
      <c r="E32" s="133" t="s">
        <v>399</v>
      </c>
      <c r="F32" s="100" t="s">
        <v>390</v>
      </c>
      <c r="G32" s="93" t="s">
        <v>397</v>
      </c>
      <c r="H32" s="94" t="s">
        <v>400</v>
      </c>
      <c r="I32" s="95">
        <v>1</v>
      </c>
      <c r="J32" s="95">
        <v>1.5</v>
      </c>
      <c r="K32" s="95">
        <v>1</v>
      </c>
      <c r="L32" s="95">
        <v>1</v>
      </c>
      <c r="M32" s="95"/>
      <c r="N32" s="95">
        <v>1</v>
      </c>
      <c r="O32" s="95">
        <v>1.5</v>
      </c>
      <c r="P32" s="95">
        <v>1</v>
      </c>
      <c r="Q32" s="95">
        <v>1.5</v>
      </c>
      <c r="R32" s="95">
        <v>1</v>
      </c>
      <c r="S32" s="95">
        <v>1</v>
      </c>
      <c r="T32" s="95"/>
      <c r="U32" s="95">
        <v>1</v>
      </c>
      <c r="V32" s="95">
        <v>1.5</v>
      </c>
      <c r="W32" s="95">
        <v>1</v>
      </c>
      <c r="X32" s="95">
        <v>1.5</v>
      </c>
      <c r="Y32" s="95">
        <v>1</v>
      </c>
      <c r="Z32" s="95">
        <v>1</v>
      </c>
      <c r="AA32" s="95"/>
      <c r="AB32" s="95">
        <v>1</v>
      </c>
      <c r="AC32" s="95">
        <v>1.5</v>
      </c>
      <c r="AD32" s="95">
        <v>1</v>
      </c>
      <c r="AE32" s="95">
        <v>1.5</v>
      </c>
      <c r="AF32" s="95">
        <v>1</v>
      </c>
      <c r="AG32" s="95">
        <v>1</v>
      </c>
      <c r="AH32" s="95"/>
      <c r="AI32" s="95">
        <v>1</v>
      </c>
      <c r="AJ32" s="95">
        <v>1.5</v>
      </c>
      <c r="AK32" s="95">
        <v>1</v>
      </c>
      <c r="AL32" s="95">
        <v>1.5</v>
      </c>
      <c r="AM32" s="95"/>
      <c r="AN32" s="96">
        <f t="shared" si="4"/>
        <v>30.5</v>
      </c>
      <c r="AO32" s="92">
        <v>230000</v>
      </c>
      <c r="AP32" s="97">
        <f t="shared" si="5"/>
        <v>7015000</v>
      </c>
    </row>
    <row r="33" spans="1:42" ht="24.9" customHeight="1">
      <c r="A33" s="89">
        <v>28</v>
      </c>
      <c r="B33" s="90" t="s">
        <v>534</v>
      </c>
      <c r="C33" s="91" t="s">
        <v>564</v>
      </c>
      <c r="D33" s="38" t="s">
        <v>227</v>
      </c>
      <c r="E33" s="38" t="s">
        <v>594</v>
      </c>
      <c r="F33" s="100" t="s">
        <v>298</v>
      </c>
      <c r="G33" s="93" t="s">
        <v>534</v>
      </c>
      <c r="H33" s="94" t="s">
        <v>594</v>
      </c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>
        <v>0.9375</v>
      </c>
      <c r="V33" s="95">
        <v>0.5</v>
      </c>
      <c r="W33" s="95">
        <v>1</v>
      </c>
      <c r="X33" s="95">
        <v>1.5</v>
      </c>
      <c r="Y33" s="95">
        <v>1</v>
      </c>
      <c r="Z33" s="95"/>
      <c r="AA33" s="95"/>
      <c r="AB33" s="95">
        <v>1</v>
      </c>
      <c r="AC33" s="95">
        <v>1.5</v>
      </c>
      <c r="AD33" s="95">
        <v>1</v>
      </c>
      <c r="AE33" s="95">
        <v>1.5</v>
      </c>
      <c r="AF33" s="95">
        <v>1</v>
      </c>
      <c r="AG33" s="95">
        <v>1</v>
      </c>
      <c r="AH33" s="95"/>
      <c r="AI33" s="95">
        <v>1</v>
      </c>
      <c r="AJ33" s="95">
        <v>1.5</v>
      </c>
      <c r="AK33" s="95">
        <v>1</v>
      </c>
      <c r="AL33" s="95">
        <v>1.5</v>
      </c>
      <c r="AM33" s="95"/>
      <c r="AN33" s="96">
        <f t="shared" si="4"/>
        <v>16.9375</v>
      </c>
      <c r="AO33" s="92">
        <v>240000</v>
      </c>
      <c r="AP33" s="97">
        <f t="shared" si="5"/>
        <v>4065000</v>
      </c>
    </row>
    <row r="34" spans="1:42" ht="24.9" customHeight="1">
      <c r="A34" s="89">
        <v>29</v>
      </c>
      <c r="B34" s="90" t="s">
        <v>401</v>
      </c>
      <c r="C34" s="91" t="s">
        <v>402</v>
      </c>
      <c r="D34" s="38" t="s">
        <v>312</v>
      </c>
      <c r="E34" s="38" t="s">
        <v>403</v>
      </c>
      <c r="F34" s="100" t="s">
        <v>298</v>
      </c>
      <c r="G34" s="93" t="s">
        <v>401</v>
      </c>
      <c r="H34" s="94" t="s">
        <v>404</v>
      </c>
      <c r="I34" s="95">
        <v>1</v>
      </c>
      <c r="J34" s="95">
        <v>1.5</v>
      </c>
      <c r="K34" s="95">
        <v>1</v>
      </c>
      <c r="L34" s="95">
        <v>1</v>
      </c>
      <c r="M34" s="95"/>
      <c r="N34" s="95">
        <v>1</v>
      </c>
      <c r="O34" s="95">
        <v>1.5</v>
      </c>
      <c r="P34" s="95">
        <v>1</v>
      </c>
      <c r="Q34" s="95">
        <v>1.375</v>
      </c>
      <c r="R34" s="95">
        <v>1</v>
      </c>
      <c r="S34" s="95">
        <v>1</v>
      </c>
      <c r="T34" s="95"/>
      <c r="U34" s="95">
        <v>1</v>
      </c>
      <c r="V34" s="95">
        <v>1.5</v>
      </c>
      <c r="W34" s="95">
        <v>1</v>
      </c>
      <c r="X34" s="95">
        <v>1.5</v>
      </c>
      <c r="Y34" s="95">
        <v>1</v>
      </c>
      <c r="Z34" s="95"/>
      <c r="AA34" s="95"/>
      <c r="AB34" s="95">
        <v>1</v>
      </c>
      <c r="AC34" s="95">
        <v>1.5</v>
      </c>
      <c r="AD34" s="95">
        <v>1</v>
      </c>
      <c r="AE34" s="95">
        <v>0.25</v>
      </c>
      <c r="AF34" s="95">
        <v>1</v>
      </c>
      <c r="AG34" s="95">
        <v>1</v>
      </c>
      <c r="AH34" s="95"/>
      <c r="AI34" s="95">
        <v>1</v>
      </c>
      <c r="AJ34" s="95">
        <v>1.5</v>
      </c>
      <c r="AK34" s="95">
        <v>1</v>
      </c>
      <c r="AL34" s="95">
        <v>1.5</v>
      </c>
      <c r="AM34" s="95"/>
      <c r="AN34" s="96">
        <f t="shared" si="4"/>
        <v>28.125</v>
      </c>
      <c r="AO34" s="92">
        <v>220000</v>
      </c>
      <c r="AP34" s="97">
        <f t="shared" si="5"/>
        <v>6187500</v>
      </c>
    </row>
    <row r="35" spans="1:42" ht="24.9" customHeight="1">
      <c r="A35" s="89">
        <v>30</v>
      </c>
      <c r="B35" s="90" t="s">
        <v>535</v>
      </c>
      <c r="C35" s="91" t="s">
        <v>565</v>
      </c>
      <c r="D35" s="38" t="s">
        <v>227</v>
      </c>
      <c r="E35" s="38" t="s">
        <v>595</v>
      </c>
      <c r="F35" s="100" t="s">
        <v>298</v>
      </c>
      <c r="G35" s="93" t="s">
        <v>535</v>
      </c>
      <c r="H35" s="94" t="s">
        <v>623</v>
      </c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>
        <v>0.6875</v>
      </c>
      <c r="AC35" s="95">
        <v>1.125</v>
      </c>
      <c r="AD35" s="95">
        <v>0.5</v>
      </c>
      <c r="AE35" s="95">
        <v>0.5</v>
      </c>
      <c r="AF35" s="95">
        <v>1</v>
      </c>
      <c r="AG35" s="95"/>
      <c r="AH35" s="95"/>
      <c r="AI35" s="95">
        <v>1</v>
      </c>
      <c r="AJ35" s="95">
        <v>1.5</v>
      </c>
      <c r="AK35" s="95">
        <v>1</v>
      </c>
      <c r="AL35" s="95"/>
      <c r="AM35" s="95"/>
      <c r="AN35" s="96">
        <f t="shared" si="4"/>
        <v>7.3125</v>
      </c>
      <c r="AO35" s="92">
        <v>240000</v>
      </c>
      <c r="AP35" s="97">
        <f t="shared" si="5"/>
        <v>1755000</v>
      </c>
    </row>
    <row r="36" spans="1:42" ht="24.9" customHeight="1">
      <c r="A36" s="89">
        <v>31</v>
      </c>
      <c r="B36" s="90" t="s">
        <v>536</v>
      </c>
      <c r="C36" s="91" t="s">
        <v>566</v>
      </c>
      <c r="D36" s="38" t="s">
        <v>227</v>
      </c>
      <c r="E36" s="38" t="s">
        <v>596</v>
      </c>
      <c r="F36" s="100" t="s">
        <v>307</v>
      </c>
      <c r="G36" s="93" t="s">
        <v>536</v>
      </c>
      <c r="H36" s="94" t="s">
        <v>624</v>
      </c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>
        <v>0.9375</v>
      </c>
      <c r="V36" s="95">
        <v>0.5</v>
      </c>
      <c r="W36" s="95">
        <v>1</v>
      </c>
      <c r="X36" s="95">
        <v>1.5</v>
      </c>
      <c r="Y36" s="95">
        <v>1</v>
      </c>
      <c r="Z36" s="95"/>
      <c r="AA36" s="95"/>
      <c r="AB36" s="95">
        <v>1</v>
      </c>
      <c r="AC36" s="95">
        <v>1.5</v>
      </c>
      <c r="AD36" s="95">
        <v>1</v>
      </c>
      <c r="AE36" s="95">
        <v>1.5</v>
      </c>
      <c r="AF36" s="95">
        <v>1</v>
      </c>
      <c r="AG36" s="95">
        <v>1</v>
      </c>
      <c r="AH36" s="95"/>
      <c r="AI36" s="95">
        <v>1</v>
      </c>
      <c r="AJ36" s="95">
        <v>1.5</v>
      </c>
      <c r="AK36" s="95">
        <v>1</v>
      </c>
      <c r="AL36" s="95">
        <v>1.5</v>
      </c>
      <c r="AM36" s="95"/>
      <c r="AN36" s="96">
        <f t="shared" si="4"/>
        <v>16.9375</v>
      </c>
      <c r="AO36" s="92">
        <v>240000</v>
      </c>
      <c r="AP36" s="97">
        <f t="shared" si="5"/>
        <v>4065000</v>
      </c>
    </row>
    <row r="37" spans="1:42" ht="24.9" customHeight="1">
      <c r="A37" s="89">
        <v>32</v>
      </c>
      <c r="B37" s="90" t="s">
        <v>405</v>
      </c>
      <c r="C37" s="91" t="s">
        <v>406</v>
      </c>
      <c r="D37" s="38" t="s">
        <v>312</v>
      </c>
      <c r="E37" s="38" t="s">
        <v>407</v>
      </c>
      <c r="F37" s="102" t="s">
        <v>229</v>
      </c>
      <c r="G37" s="93" t="s">
        <v>405</v>
      </c>
      <c r="H37" s="94" t="s">
        <v>408</v>
      </c>
      <c r="I37" s="95">
        <v>1</v>
      </c>
      <c r="J37" s="95">
        <v>1.5</v>
      </c>
      <c r="K37" s="95">
        <v>1</v>
      </c>
      <c r="L37" s="95">
        <v>1</v>
      </c>
      <c r="M37" s="95"/>
      <c r="N37" s="95">
        <v>1</v>
      </c>
      <c r="O37" s="95">
        <v>1.5</v>
      </c>
      <c r="P37" s="95">
        <v>1</v>
      </c>
      <c r="Q37" s="95"/>
      <c r="R37" s="95">
        <v>1</v>
      </c>
      <c r="S37" s="95">
        <v>1</v>
      </c>
      <c r="T37" s="95"/>
      <c r="U37" s="95">
        <v>1</v>
      </c>
      <c r="V37" s="95">
        <v>1.5</v>
      </c>
      <c r="W37" s="95">
        <v>1</v>
      </c>
      <c r="X37" s="95">
        <v>1.5</v>
      </c>
      <c r="Y37" s="95">
        <v>1</v>
      </c>
      <c r="Z37" s="95"/>
      <c r="AA37" s="95"/>
      <c r="AB37" s="95">
        <v>1</v>
      </c>
      <c r="AC37" s="95">
        <v>1.5</v>
      </c>
      <c r="AD37" s="95">
        <v>1</v>
      </c>
      <c r="AE37" s="95">
        <v>1.5</v>
      </c>
      <c r="AF37" s="95">
        <v>1</v>
      </c>
      <c r="AG37" s="95">
        <v>1</v>
      </c>
      <c r="AH37" s="95"/>
      <c r="AI37" s="95">
        <v>1</v>
      </c>
      <c r="AJ37" s="95">
        <v>1.5</v>
      </c>
      <c r="AK37" s="95">
        <v>1</v>
      </c>
      <c r="AL37" s="95">
        <v>1.5</v>
      </c>
      <c r="AM37" s="95"/>
      <c r="AN37" s="96">
        <f t="shared" si="4"/>
        <v>28</v>
      </c>
      <c r="AO37" s="92">
        <v>250000</v>
      </c>
      <c r="AP37" s="97">
        <f t="shared" si="5"/>
        <v>7000000</v>
      </c>
    </row>
    <row r="38" spans="1:42" ht="24.9" customHeight="1">
      <c r="A38" s="89">
        <v>33</v>
      </c>
      <c r="B38" s="90" t="s">
        <v>409</v>
      </c>
      <c r="C38" s="91" t="s">
        <v>410</v>
      </c>
      <c r="D38" s="137" t="s">
        <v>225</v>
      </c>
      <c r="E38" s="38" t="s">
        <v>411</v>
      </c>
      <c r="F38" s="100" t="s">
        <v>226</v>
      </c>
      <c r="G38" s="93" t="s">
        <v>409</v>
      </c>
      <c r="H38" s="94" t="s">
        <v>412</v>
      </c>
      <c r="I38" s="95">
        <v>1</v>
      </c>
      <c r="J38" s="95">
        <v>1.5</v>
      </c>
      <c r="K38" s="95">
        <v>1</v>
      </c>
      <c r="L38" s="95">
        <v>1</v>
      </c>
      <c r="M38" s="95"/>
      <c r="N38" s="95">
        <v>1</v>
      </c>
      <c r="O38" s="95">
        <v>1.5</v>
      </c>
      <c r="P38" s="95">
        <v>1</v>
      </c>
      <c r="Q38" s="95">
        <v>1.5</v>
      </c>
      <c r="R38" s="95">
        <v>1</v>
      </c>
      <c r="S38" s="95">
        <v>1</v>
      </c>
      <c r="T38" s="95"/>
      <c r="U38" s="95">
        <v>1</v>
      </c>
      <c r="V38" s="95">
        <v>1.5</v>
      </c>
      <c r="W38" s="95">
        <v>1</v>
      </c>
      <c r="X38" s="95">
        <v>1.5</v>
      </c>
      <c r="Y38" s="95">
        <v>1</v>
      </c>
      <c r="Z38" s="95">
        <v>1</v>
      </c>
      <c r="AA38" s="95"/>
      <c r="AB38" s="95">
        <v>1</v>
      </c>
      <c r="AC38" s="95">
        <v>1.5</v>
      </c>
      <c r="AD38" s="95">
        <v>1</v>
      </c>
      <c r="AE38" s="95">
        <v>1.5</v>
      </c>
      <c r="AF38" s="95">
        <v>0.875</v>
      </c>
      <c r="AG38" s="95">
        <v>1</v>
      </c>
      <c r="AH38" s="95"/>
      <c r="AI38" s="95">
        <v>1</v>
      </c>
      <c r="AJ38" s="95">
        <v>1.5</v>
      </c>
      <c r="AK38" s="95">
        <v>1</v>
      </c>
      <c r="AL38" s="95">
        <v>1.5</v>
      </c>
      <c r="AM38" s="95"/>
      <c r="AN38" s="96">
        <f t="shared" ref="AN38:AN66" si="6">SUM(I38:AM38)</f>
        <v>30.375</v>
      </c>
      <c r="AO38" s="92">
        <v>170000</v>
      </c>
      <c r="AP38" s="97">
        <f t="shared" ref="AP38:AP66" si="7">AN38*AO38</f>
        <v>5163750</v>
      </c>
    </row>
    <row r="39" spans="1:42" ht="24.9" customHeight="1">
      <c r="A39" s="89">
        <v>34</v>
      </c>
      <c r="B39" s="90" t="s">
        <v>413</v>
      </c>
      <c r="C39" s="91" t="s">
        <v>414</v>
      </c>
      <c r="D39" s="137" t="s">
        <v>225</v>
      </c>
      <c r="E39" s="133" t="s">
        <v>415</v>
      </c>
      <c r="F39" s="100" t="s">
        <v>298</v>
      </c>
      <c r="G39" s="93" t="s">
        <v>413</v>
      </c>
      <c r="H39" s="94" t="s">
        <v>416</v>
      </c>
      <c r="I39" s="95">
        <v>1</v>
      </c>
      <c r="J39" s="95">
        <v>1.5</v>
      </c>
      <c r="K39" s="95">
        <v>0.5</v>
      </c>
      <c r="L39" s="95"/>
      <c r="M39" s="95"/>
      <c r="N39" s="95">
        <v>1</v>
      </c>
      <c r="O39" s="95">
        <v>1.5</v>
      </c>
      <c r="P39" s="95">
        <v>1</v>
      </c>
      <c r="Q39" s="95">
        <v>1.5</v>
      </c>
      <c r="R39" s="95">
        <v>1</v>
      </c>
      <c r="S39" s="95">
        <v>1</v>
      </c>
      <c r="T39" s="95"/>
      <c r="U39" s="95">
        <v>1</v>
      </c>
      <c r="V39" s="95">
        <v>1.5</v>
      </c>
      <c r="W39" s="95"/>
      <c r="X39" s="95">
        <v>1.5</v>
      </c>
      <c r="Y39" s="95">
        <v>1</v>
      </c>
      <c r="Z39" s="95">
        <v>1</v>
      </c>
      <c r="AA39" s="95"/>
      <c r="AB39" s="95">
        <v>1</v>
      </c>
      <c r="AC39" s="95">
        <v>1.5</v>
      </c>
      <c r="AD39" s="95">
        <v>1</v>
      </c>
      <c r="AE39" s="95"/>
      <c r="AF39" s="95">
        <v>1</v>
      </c>
      <c r="AG39" s="95">
        <v>0.8125</v>
      </c>
      <c r="AH39" s="95"/>
      <c r="AI39" s="95">
        <v>1</v>
      </c>
      <c r="AJ39" s="95">
        <v>1.5</v>
      </c>
      <c r="AK39" s="95">
        <v>1</v>
      </c>
      <c r="AL39" s="95">
        <v>1.5</v>
      </c>
      <c r="AM39" s="95"/>
      <c r="AN39" s="96">
        <f t="shared" si="6"/>
        <v>26.3125</v>
      </c>
      <c r="AO39" s="92">
        <v>160000</v>
      </c>
      <c r="AP39" s="97">
        <f t="shared" si="7"/>
        <v>4210000</v>
      </c>
    </row>
    <row r="40" spans="1:42" ht="24.9" customHeight="1">
      <c r="A40" s="89">
        <v>35</v>
      </c>
      <c r="B40" s="90" t="s">
        <v>417</v>
      </c>
      <c r="C40" s="91" t="s">
        <v>418</v>
      </c>
      <c r="D40" s="38" t="s">
        <v>225</v>
      </c>
      <c r="E40" s="133" t="s">
        <v>419</v>
      </c>
      <c r="F40" s="100" t="s">
        <v>390</v>
      </c>
      <c r="G40" s="93" t="s">
        <v>417</v>
      </c>
      <c r="H40" s="94" t="s">
        <v>420</v>
      </c>
      <c r="I40" s="95">
        <v>1</v>
      </c>
      <c r="J40" s="95">
        <v>1.5</v>
      </c>
      <c r="K40" s="95">
        <v>1</v>
      </c>
      <c r="L40" s="95"/>
      <c r="M40" s="95"/>
      <c r="N40" s="95">
        <v>1</v>
      </c>
      <c r="O40" s="95">
        <v>1.5</v>
      </c>
      <c r="P40" s="95">
        <v>1</v>
      </c>
      <c r="Q40" s="95"/>
      <c r="R40" s="95">
        <v>1</v>
      </c>
      <c r="S40" s="95"/>
      <c r="T40" s="95"/>
      <c r="U40" s="95">
        <v>0.5</v>
      </c>
      <c r="V40" s="95">
        <v>1.5</v>
      </c>
      <c r="W40" s="95">
        <v>1</v>
      </c>
      <c r="X40" s="95">
        <v>1.5</v>
      </c>
      <c r="Y40" s="95">
        <v>1</v>
      </c>
      <c r="Z40" s="95"/>
      <c r="AA40" s="95"/>
      <c r="AB40" s="95">
        <v>1</v>
      </c>
      <c r="AC40" s="95">
        <v>1.5</v>
      </c>
      <c r="AD40" s="95">
        <v>1</v>
      </c>
      <c r="AE40" s="95"/>
      <c r="AF40" s="95">
        <v>1</v>
      </c>
      <c r="AG40" s="95"/>
      <c r="AH40" s="95"/>
      <c r="AI40" s="95">
        <v>1</v>
      </c>
      <c r="AJ40" s="95">
        <v>1.5</v>
      </c>
      <c r="AK40" s="95">
        <v>1</v>
      </c>
      <c r="AL40" s="95">
        <v>1.5</v>
      </c>
      <c r="AM40" s="95"/>
      <c r="AN40" s="96">
        <f t="shared" si="6"/>
        <v>23</v>
      </c>
      <c r="AO40" s="92">
        <v>150000</v>
      </c>
      <c r="AP40" s="97">
        <f t="shared" si="7"/>
        <v>3450000</v>
      </c>
    </row>
    <row r="41" spans="1:42" ht="24.9" customHeight="1">
      <c r="A41" s="89">
        <v>36</v>
      </c>
      <c r="B41" s="90" t="s">
        <v>537</v>
      </c>
      <c r="C41" s="91" t="s">
        <v>567</v>
      </c>
      <c r="D41" s="38" t="s">
        <v>227</v>
      </c>
      <c r="E41" s="133" t="s">
        <v>597</v>
      </c>
      <c r="F41" s="100" t="s">
        <v>230</v>
      </c>
      <c r="G41" s="93" t="s">
        <v>537</v>
      </c>
      <c r="H41" s="94" t="s">
        <v>625</v>
      </c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>
        <v>0.9375</v>
      </c>
      <c r="V41" s="95"/>
      <c r="W41" s="95">
        <v>1</v>
      </c>
      <c r="X41" s="95">
        <v>1.5</v>
      </c>
      <c r="Y41" s="95">
        <v>1</v>
      </c>
      <c r="Z41" s="95"/>
      <c r="AA41" s="95"/>
      <c r="AB41" s="95">
        <v>1</v>
      </c>
      <c r="AC41" s="95">
        <v>1.5</v>
      </c>
      <c r="AD41" s="95">
        <v>1</v>
      </c>
      <c r="AE41" s="95">
        <v>1.5</v>
      </c>
      <c r="AF41" s="95">
        <v>1</v>
      </c>
      <c r="AG41" s="95">
        <v>1</v>
      </c>
      <c r="AH41" s="95"/>
      <c r="AI41" s="95">
        <v>1</v>
      </c>
      <c r="AJ41" s="95">
        <v>1.5</v>
      </c>
      <c r="AK41" s="95">
        <v>1</v>
      </c>
      <c r="AL41" s="95">
        <v>1.5</v>
      </c>
      <c r="AM41" s="95"/>
      <c r="AN41" s="96">
        <f t="shared" si="6"/>
        <v>16.4375</v>
      </c>
      <c r="AO41" s="92">
        <v>240000</v>
      </c>
      <c r="AP41" s="97">
        <f t="shared" si="7"/>
        <v>3945000</v>
      </c>
    </row>
    <row r="42" spans="1:42" ht="24.9" customHeight="1">
      <c r="A42" s="89">
        <v>37</v>
      </c>
      <c r="B42" s="90" t="s">
        <v>421</v>
      </c>
      <c r="C42" s="91" t="s">
        <v>422</v>
      </c>
      <c r="D42" s="38" t="s">
        <v>225</v>
      </c>
      <c r="E42" s="133" t="s">
        <v>423</v>
      </c>
      <c r="F42" s="100" t="s">
        <v>308</v>
      </c>
      <c r="G42" s="93" t="s">
        <v>421</v>
      </c>
      <c r="H42" s="94" t="s">
        <v>424</v>
      </c>
      <c r="I42" s="95">
        <v>1</v>
      </c>
      <c r="J42" s="95">
        <v>1.5</v>
      </c>
      <c r="K42" s="95">
        <v>1</v>
      </c>
      <c r="L42" s="95">
        <v>1</v>
      </c>
      <c r="M42" s="95"/>
      <c r="N42" s="95">
        <v>1</v>
      </c>
      <c r="O42" s="95">
        <v>1.5</v>
      </c>
      <c r="P42" s="95">
        <v>1</v>
      </c>
      <c r="Q42" s="95">
        <v>1.5</v>
      </c>
      <c r="R42" s="95">
        <v>1</v>
      </c>
      <c r="S42" s="95">
        <v>1</v>
      </c>
      <c r="T42" s="95"/>
      <c r="U42" s="95">
        <v>1</v>
      </c>
      <c r="V42" s="95">
        <v>1.5</v>
      </c>
      <c r="W42" s="95">
        <v>1</v>
      </c>
      <c r="X42" s="95">
        <v>1</v>
      </c>
      <c r="Y42" s="95">
        <v>1</v>
      </c>
      <c r="Z42" s="95">
        <v>1</v>
      </c>
      <c r="AA42" s="95"/>
      <c r="AB42" s="95"/>
      <c r="AC42" s="95"/>
      <c r="AD42" s="95">
        <v>1</v>
      </c>
      <c r="AE42" s="95">
        <v>1.5</v>
      </c>
      <c r="AF42" s="95">
        <v>1</v>
      </c>
      <c r="AG42" s="95">
        <v>1</v>
      </c>
      <c r="AH42" s="95"/>
      <c r="AI42" s="95">
        <v>1</v>
      </c>
      <c r="AJ42" s="95">
        <v>1.5</v>
      </c>
      <c r="AK42" s="95">
        <v>1</v>
      </c>
      <c r="AL42" s="95">
        <v>1.5</v>
      </c>
      <c r="AM42" s="95"/>
      <c r="AN42" s="96">
        <f t="shared" si="6"/>
        <v>27.5</v>
      </c>
      <c r="AO42" s="92">
        <v>160000</v>
      </c>
      <c r="AP42" s="97">
        <f t="shared" si="7"/>
        <v>4400000</v>
      </c>
    </row>
    <row r="43" spans="1:42" ht="24.9" customHeight="1">
      <c r="A43" s="89">
        <v>38</v>
      </c>
      <c r="B43" s="90" t="s">
        <v>538</v>
      </c>
      <c r="C43" s="91" t="s">
        <v>568</v>
      </c>
      <c r="D43" s="38" t="s">
        <v>312</v>
      </c>
      <c r="E43" s="133" t="s">
        <v>598</v>
      </c>
      <c r="F43" s="100" t="s">
        <v>390</v>
      </c>
      <c r="G43" s="93" t="s">
        <v>538</v>
      </c>
      <c r="H43" s="94" t="s">
        <v>626</v>
      </c>
      <c r="I43" s="95"/>
      <c r="J43" s="95"/>
      <c r="K43" s="95">
        <v>0.5</v>
      </c>
      <c r="L43" s="95"/>
      <c r="M43" s="95"/>
      <c r="N43" s="95">
        <v>1</v>
      </c>
      <c r="O43" s="95">
        <v>1.5</v>
      </c>
      <c r="P43" s="95">
        <v>1</v>
      </c>
      <c r="Q43" s="95">
        <v>1.5</v>
      </c>
      <c r="R43" s="95">
        <v>1</v>
      </c>
      <c r="S43" s="95">
        <v>1</v>
      </c>
      <c r="T43" s="95"/>
      <c r="U43" s="95">
        <v>1</v>
      </c>
      <c r="V43" s="95">
        <v>1.5</v>
      </c>
      <c r="W43" s="95">
        <v>1</v>
      </c>
      <c r="X43" s="95">
        <v>1.5</v>
      </c>
      <c r="Y43" s="95">
        <v>1</v>
      </c>
      <c r="Z43" s="95">
        <v>1</v>
      </c>
      <c r="AA43" s="95"/>
      <c r="AB43" s="95">
        <v>0.875</v>
      </c>
      <c r="AC43" s="95">
        <v>1.5</v>
      </c>
      <c r="AD43" s="95">
        <v>0.875</v>
      </c>
      <c r="AE43" s="95">
        <v>1.5</v>
      </c>
      <c r="AF43" s="95">
        <v>1</v>
      </c>
      <c r="AG43" s="95">
        <v>1</v>
      </c>
      <c r="AH43" s="95"/>
      <c r="AI43" s="95">
        <v>1</v>
      </c>
      <c r="AJ43" s="95">
        <v>1.5</v>
      </c>
      <c r="AK43" s="95">
        <v>1</v>
      </c>
      <c r="AL43" s="95">
        <v>1.5</v>
      </c>
      <c r="AM43" s="95"/>
      <c r="AN43" s="96">
        <f t="shared" si="6"/>
        <v>26.25</v>
      </c>
      <c r="AO43" s="92">
        <v>240000</v>
      </c>
      <c r="AP43" s="97">
        <f t="shared" si="7"/>
        <v>6300000</v>
      </c>
    </row>
    <row r="44" spans="1:42" ht="24.9" customHeight="1">
      <c r="A44" s="89">
        <v>39</v>
      </c>
      <c r="B44" s="90" t="s">
        <v>425</v>
      </c>
      <c r="C44" s="91" t="s">
        <v>426</v>
      </c>
      <c r="D44" s="137" t="s">
        <v>225</v>
      </c>
      <c r="E44" s="38" t="s">
        <v>427</v>
      </c>
      <c r="F44" s="102" t="s">
        <v>428</v>
      </c>
      <c r="G44" s="93" t="s">
        <v>425</v>
      </c>
      <c r="H44" s="94" t="s">
        <v>429</v>
      </c>
      <c r="I44" s="95">
        <v>1</v>
      </c>
      <c r="J44" s="95">
        <v>1</v>
      </c>
      <c r="K44" s="95">
        <v>1</v>
      </c>
      <c r="L44" s="95">
        <v>1</v>
      </c>
      <c r="M44" s="95"/>
      <c r="N44" s="95">
        <v>1</v>
      </c>
      <c r="O44" s="95">
        <v>1.5</v>
      </c>
      <c r="P44" s="95">
        <v>1</v>
      </c>
      <c r="Q44" s="95">
        <v>1.5</v>
      </c>
      <c r="R44" s="95">
        <v>1</v>
      </c>
      <c r="S44" s="95">
        <v>1</v>
      </c>
      <c r="T44" s="95"/>
      <c r="U44" s="95">
        <v>1</v>
      </c>
      <c r="V44" s="95">
        <v>1.5</v>
      </c>
      <c r="W44" s="95">
        <v>1</v>
      </c>
      <c r="X44" s="95">
        <v>1.5</v>
      </c>
      <c r="Y44" s="95">
        <v>1</v>
      </c>
      <c r="Z44" s="95"/>
      <c r="AA44" s="95"/>
      <c r="AB44" s="95">
        <v>1</v>
      </c>
      <c r="AC44" s="95">
        <v>1.5</v>
      </c>
      <c r="AD44" s="95">
        <v>1</v>
      </c>
      <c r="AE44" s="95">
        <v>1.5</v>
      </c>
      <c r="AF44" s="95">
        <v>1</v>
      </c>
      <c r="AG44" s="95"/>
      <c r="AH44" s="95"/>
      <c r="AI44" s="95">
        <v>1</v>
      </c>
      <c r="AJ44" s="95">
        <v>1.5</v>
      </c>
      <c r="AK44" s="95">
        <v>1</v>
      </c>
      <c r="AL44" s="95">
        <v>1.5</v>
      </c>
      <c r="AM44" s="95"/>
      <c r="AN44" s="96">
        <f t="shared" si="6"/>
        <v>28</v>
      </c>
      <c r="AO44" s="92">
        <v>170000</v>
      </c>
      <c r="AP44" s="97">
        <f t="shared" si="7"/>
        <v>4760000</v>
      </c>
    </row>
    <row r="45" spans="1:42" ht="24.9" customHeight="1">
      <c r="A45" s="89">
        <v>40</v>
      </c>
      <c r="B45" s="90" t="s">
        <v>430</v>
      </c>
      <c r="C45" s="91" t="s">
        <v>431</v>
      </c>
      <c r="D45" s="38" t="s">
        <v>312</v>
      </c>
      <c r="E45" s="38" t="s">
        <v>432</v>
      </c>
      <c r="F45" s="100" t="s">
        <v>298</v>
      </c>
      <c r="G45" s="93" t="s">
        <v>430</v>
      </c>
      <c r="H45" s="94" t="s">
        <v>433</v>
      </c>
      <c r="I45" s="95">
        <v>1</v>
      </c>
      <c r="J45" s="95">
        <v>1.5</v>
      </c>
      <c r="K45" s="95">
        <v>1</v>
      </c>
      <c r="L45" s="95">
        <v>1</v>
      </c>
      <c r="M45" s="95"/>
      <c r="N45" s="95">
        <v>1</v>
      </c>
      <c r="O45" s="95">
        <v>1.5</v>
      </c>
      <c r="P45" s="95">
        <v>1</v>
      </c>
      <c r="Q45" s="95">
        <v>1.5</v>
      </c>
      <c r="R45" s="95">
        <v>1</v>
      </c>
      <c r="S45" s="95">
        <v>1</v>
      </c>
      <c r="T45" s="95"/>
      <c r="U45" s="95">
        <v>1</v>
      </c>
      <c r="V45" s="95">
        <v>1.5</v>
      </c>
      <c r="W45" s="95">
        <v>1</v>
      </c>
      <c r="X45" s="95">
        <v>1.5</v>
      </c>
      <c r="Y45" s="95">
        <v>1</v>
      </c>
      <c r="Z45" s="95">
        <v>1</v>
      </c>
      <c r="AA45" s="95"/>
      <c r="AB45" s="95">
        <v>1</v>
      </c>
      <c r="AC45" s="95">
        <v>1.5</v>
      </c>
      <c r="AD45" s="95">
        <v>1</v>
      </c>
      <c r="AE45" s="95">
        <v>0.25</v>
      </c>
      <c r="AF45" s="95">
        <v>1</v>
      </c>
      <c r="AG45" s="95">
        <v>1</v>
      </c>
      <c r="AH45" s="95"/>
      <c r="AI45" s="95">
        <v>1</v>
      </c>
      <c r="AJ45" s="95">
        <v>1.5</v>
      </c>
      <c r="AK45" s="95">
        <v>1</v>
      </c>
      <c r="AL45" s="95">
        <v>1.5</v>
      </c>
      <c r="AM45" s="95"/>
      <c r="AN45" s="96">
        <f t="shared" si="6"/>
        <v>29.25</v>
      </c>
      <c r="AO45" s="92">
        <v>270000</v>
      </c>
      <c r="AP45" s="97">
        <f t="shared" si="7"/>
        <v>7897500</v>
      </c>
    </row>
    <row r="46" spans="1:42" ht="24.9" customHeight="1">
      <c r="A46" s="89">
        <v>41</v>
      </c>
      <c r="B46" s="90" t="s">
        <v>434</v>
      </c>
      <c r="C46" s="91" t="s">
        <v>435</v>
      </c>
      <c r="D46" s="38" t="s">
        <v>313</v>
      </c>
      <c r="E46" s="133" t="s">
        <v>436</v>
      </c>
      <c r="F46" s="102" t="s">
        <v>226</v>
      </c>
      <c r="G46" s="93" t="s">
        <v>434</v>
      </c>
      <c r="H46" s="94" t="s">
        <v>437</v>
      </c>
      <c r="I46" s="95">
        <v>1</v>
      </c>
      <c r="J46" s="95">
        <v>1.5</v>
      </c>
      <c r="K46" s="95">
        <v>1</v>
      </c>
      <c r="L46" s="95">
        <v>1</v>
      </c>
      <c r="M46" s="95"/>
      <c r="N46" s="95">
        <v>1</v>
      </c>
      <c r="O46" s="95">
        <v>1.5</v>
      </c>
      <c r="P46" s="95">
        <v>1</v>
      </c>
      <c r="Q46" s="95">
        <v>1.5</v>
      </c>
      <c r="R46" s="95">
        <v>1</v>
      </c>
      <c r="S46" s="95">
        <v>1</v>
      </c>
      <c r="T46" s="95"/>
      <c r="U46" s="95">
        <v>1</v>
      </c>
      <c r="V46" s="95">
        <v>1.5</v>
      </c>
      <c r="W46" s="95">
        <v>1</v>
      </c>
      <c r="X46" s="95">
        <v>1.5</v>
      </c>
      <c r="Y46" s="95">
        <v>1</v>
      </c>
      <c r="Z46" s="95"/>
      <c r="AA46" s="95"/>
      <c r="AB46" s="95">
        <v>1</v>
      </c>
      <c r="AC46" s="95">
        <v>1.5</v>
      </c>
      <c r="AD46" s="95">
        <v>1</v>
      </c>
      <c r="AE46" s="95">
        <v>1.5</v>
      </c>
      <c r="AF46" s="95">
        <v>1</v>
      </c>
      <c r="AG46" s="95">
        <v>1</v>
      </c>
      <c r="AH46" s="95"/>
      <c r="AI46" s="95">
        <v>1</v>
      </c>
      <c r="AJ46" s="95">
        <v>1.5</v>
      </c>
      <c r="AK46" s="95">
        <v>1</v>
      </c>
      <c r="AL46" s="95">
        <v>1.5</v>
      </c>
      <c r="AM46" s="95"/>
      <c r="AN46" s="96">
        <f t="shared" si="6"/>
        <v>29.5</v>
      </c>
      <c r="AO46" s="92">
        <v>180000</v>
      </c>
      <c r="AP46" s="97">
        <f t="shared" si="7"/>
        <v>5310000</v>
      </c>
    </row>
    <row r="47" spans="1:42" ht="24.9" customHeight="1">
      <c r="A47" s="89">
        <v>42</v>
      </c>
      <c r="B47" s="90" t="s">
        <v>539</v>
      </c>
      <c r="C47" s="91" t="s">
        <v>569</v>
      </c>
      <c r="D47" s="137" t="s">
        <v>313</v>
      </c>
      <c r="E47" s="133" t="s">
        <v>599</v>
      </c>
      <c r="F47" s="100" t="s">
        <v>390</v>
      </c>
      <c r="G47" s="93" t="s">
        <v>539</v>
      </c>
      <c r="H47" s="94" t="s">
        <v>627</v>
      </c>
      <c r="I47" s="95"/>
      <c r="J47" s="95"/>
      <c r="K47" s="95">
        <v>0.5</v>
      </c>
      <c r="L47" s="95"/>
      <c r="M47" s="95"/>
      <c r="N47" s="95">
        <v>1</v>
      </c>
      <c r="O47" s="95">
        <v>1.5</v>
      </c>
      <c r="P47" s="95">
        <v>1</v>
      </c>
      <c r="Q47" s="95">
        <v>1.5</v>
      </c>
      <c r="R47" s="95">
        <v>1</v>
      </c>
      <c r="S47" s="95">
        <v>1</v>
      </c>
      <c r="T47" s="95"/>
      <c r="U47" s="95">
        <v>1</v>
      </c>
      <c r="V47" s="95">
        <v>1.5</v>
      </c>
      <c r="W47" s="95">
        <v>1</v>
      </c>
      <c r="X47" s="95">
        <v>1.5</v>
      </c>
      <c r="Y47" s="95">
        <v>1</v>
      </c>
      <c r="Z47" s="95">
        <v>1</v>
      </c>
      <c r="AA47" s="95"/>
      <c r="AB47" s="95">
        <v>1</v>
      </c>
      <c r="AC47" s="95">
        <v>1.5</v>
      </c>
      <c r="AD47" s="95">
        <v>1</v>
      </c>
      <c r="AE47" s="95">
        <v>0.25</v>
      </c>
      <c r="AF47" s="95">
        <v>0.5</v>
      </c>
      <c r="AG47" s="95"/>
      <c r="AH47" s="95"/>
      <c r="AI47" s="95">
        <v>1</v>
      </c>
      <c r="AJ47" s="95">
        <v>1.5</v>
      </c>
      <c r="AK47" s="95">
        <v>1</v>
      </c>
      <c r="AL47" s="95">
        <v>1.5</v>
      </c>
      <c r="AM47" s="95"/>
      <c r="AN47" s="96">
        <f t="shared" si="6"/>
        <v>23.75</v>
      </c>
      <c r="AO47" s="92">
        <v>180000</v>
      </c>
      <c r="AP47" s="97">
        <f t="shared" si="7"/>
        <v>4275000</v>
      </c>
    </row>
    <row r="48" spans="1:42" ht="24.9" customHeight="1">
      <c r="A48" s="89">
        <v>43</v>
      </c>
      <c r="B48" s="90" t="s">
        <v>438</v>
      </c>
      <c r="C48" s="91" t="s">
        <v>439</v>
      </c>
      <c r="D48" s="38" t="s">
        <v>580</v>
      </c>
      <c r="E48" s="38" t="s">
        <v>440</v>
      </c>
      <c r="F48" s="100" t="s">
        <v>226</v>
      </c>
      <c r="G48" s="93" t="s">
        <v>438</v>
      </c>
      <c r="H48" s="94" t="s">
        <v>441</v>
      </c>
      <c r="I48" s="95">
        <v>1</v>
      </c>
      <c r="J48" s="95">
        <v>1.5</v>
      </c>
      <c r="K48" s="95">
        <v>1</v>
      </c>
      <c r="L48" s="95"/>
      <c r="M48" s="95"/>
      <c r="N48" s="95"/>
      <c r="O48" s="95">
        <v>1.5</v>
      </c>
      <c r="P48" s="95">
        <v>1</v>
      </c>
      <c r="Q48" s="95">
        <v>1.5</v>
      </c>
      <c r="R48" s="95">
        <v>1</v>
      </c>
      <c r="S48" s="95">
        <v>1</v>
      </c>
      <c r="T48" s="95"/>
      <c r="U48" s="95">
        <v>1</v>
      </c>
      <c r="V48" s="95">
        <v>1.5</v>
      </c>
      <c r="W48" s="95">
        <v>1</v>
      </c>
      <c r="X48" s="95">
        <v>1.5</v>
      </c>
      <c r="Y48" s="95">
        <v>1</v>
      </c>
      <c r="Z48" s="95">
        <v>1</v>
      </c>
      <c r="AA48" s="95"/>
      <c r="AB48" s="95">
        <v>1</v>
      </c>
      <c r="AC48" s="95">
        <v>1.5</v>
      </c>
      <c r="AD48" s="95">
        <v>1</v>
      </c>
      <c r="AE48" s="95">
        <v>1.5</v>
      </c>
      <c r="AF48" s="95">
        <v>1</v>
      </c>
      <c r="AG48" s="95"/>
      <c r="AH48" s="95"/>
      <c r="AI48" s="95">
        <v>1</v>
      </c>
      <c r="AJ48" s="95">
        <v>1.5</v>
      </c>
      <c r="AK48" s="95">
        <v>1</v>
      </c>
      <c r="AL48" s="95">
        <v>1.5</v>
      </c>
      <c r="AM48" s="95"/>
      <c r="AN48" s="96">
        <f t="shared" si="6"/>
        <v>27.5</v>
      </c>
      <c r="AO48" s="92">
        <v>200000</v>
      </c>
      <c r="AP48" s="97">
        <f t="shared" si="7"/>
        <v>5500000</v>
      </c>
    </row>
    <row r="49" spans="1:42" ht="24.9" customHeight="1">
      <c r="A49" s="89">
        <v>44</v>
      </c>
      <c r="B49" s="90" t="s">
        <v>540</v>
      </c>
      <c r="C49" s="91" t="s">
        <v>570</v>
      </c>
      <c r="D49" s="38" t="s">
        <v>225</v>
      </c>
      <c r="E49" s="38" t="s">
        <v>600</v>
      </c>
      <c r="F49" s="100" t="s">
        <v>230</v>
      </c>
      <c r="G49" s="93" t="s">
        <v>540</v>
      </c>
      <c r="H49" s="94" t="s">
        <v>628</v>
      </c>
      <c r="I49" s="95">
        <v>0.8125</v>
      </c>
      <c r="J49" s="95"/>
      <c r="K49" s="95"/>
      <c r="L49" s="95"/>
      <c r="M49" s="95"/>
      <c r="N49" s="95">
        <v>1</v>
      </c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  <c r="AL49" s="95"/>
      <c r="AM49" s="95"/>
      <c r="AN49" s="96">
        <f t="shared" si="6"/>
        <v>1.8125</v>
      </c>
      <c r="AO49" s="92">
        <v>170000</v>
      </c>
      <c r="AP49" s="97">
        <f t="shared" si="7"/>
        <v>308125</v>
      </c>
    </row>
    <row r="50" spans="1:42" ht="24.9" customHeight="1">
      <c r="A50" s="89">
        <v>45</v>
      </c>
      <c r="B50" s="90" t="s">
        <v>541</v>
      </c>
      <c r="C50" s="91" t="s">
        <v>571</v>
      </c>
      <c r="D50" s="38" t="s">
        <v>352</v>
      </c>
      <c r="E50" s="38" t="s">
        <v>601</v>
      </c>
      <c r="F50" s="100" t="s">
        <v>308</v>
      </c>
      <c r="G50" s="93" t="s">
        <v>541</v>
      </c>
      <c r="H50" s="94" t="s">
        <v>629</v>
      </c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>
        <v>0.6875</v>
      </c>
      <c r="AC50" s="95">
        <v>0.625</v>
      </c>
      <c r="AD50" s="95">
        <v>0.5</v>
      </c>
      <c r="AE50" s="95">
        <v>1</v>
      </c>
      <c r="AF50" s="95">
        <v>1</v>
      </c>
      <c r="AG50" s="95"/>
      <c r="AH50" s="95"/>
      <c r="AI50" s="95">
        <v>1</v>
      </c>
      <c r="AJ50" s="95">
        <v>1.5</v>
      </c>
      <c r="AK50" s="95">
        <v>1</v>
      </c>
      <c r="AL50" s="95">
        <v>1.5</v>
      </c>
      <c r="AM50" s="95"/>
      <c r="AN50" s="96">
        <f t="shared" si="6"/>
        <v>8.8125</v>
      </c>
      <c r="AO50" s="92">
        <v>190000</v>
      </c>
      <c r="AP50" s="97">
        <f t="shared" si="7"/>
        <v>1674375</v>
      </c>
    </row>
    <row r="51" spans="1:42" ht="24.9" customHeight="1">
      <c r="A51" s="89">
        <v>46</v>
      </c>
      <c r="B51" s="90" t="s">
        <v>542</v>
      </c>
      <c r="C51" s="91" t="s">
        <v>572</v>
      </c>
      <c r="D51" s="38" t="s">
        <v>225</v>
      </c>
      <c r="E51" s="38" t="s">
        <v>602</v>
      </c>
      <c r="F51" s="100" t="s">
        <v>226</v>
      </c>
      <c r="G51" s="93" t="s">
        <v>542</v>
      </c>
      <c r="H51" s="94" t="s">
        <v>630</v>
      </c>
      <c r="I51" s="95"/>
      <c r="J51" s="95"/>
      <c r="K51" s="95"/>
      <c r="L51" s="95"/>
      <c r="M51" s="95"/>
      <c r="N51" s="95">
        <v>0.4375</v>
      </c>
      <c r="O51" s="95"/>
      <c r="P51" s="95">
        <v>1</v>
      </c>
      <c r="Q51" s="95">
        <v>1.5</v>
      </c>
      <c r="R51" s="95">
        <v>1</v>
      </c>
      <c r="S51" s="95"/>
      <c r="T51" s="95"/>
      <c r="U51" s="95">
        <v>1</v>
      </c>
      <c r="V51" s="95">
        <v>1.5</v>
      </c>
      <c r="W51" s="95">
        <v>1</v>
      </c>
      <c r="X51" s="95">
        <v>1.5</v>
      </c>
      <c r="Y51" s="95">
        <v>1</v>
      </c>
      <c r="Z51" s="95">
        <v>1</v>
      </c>
      <c r="AA51" s="95"/>
      <c r="AB51" s="95">
        <v>1</v>
      </c>
      <c r="AC51" s="95">
        <v>1.5</v>
      </c>
      <c r="AD51" s="95">
        <v>1</v>
      </c>
      <c r="AE51" s="95">
        <v>1.5</v>
      </c>
      <c r="AF51" s="95">
        <v>1</v>
      </c>
      <c r="AG51" s="95"/>
      <c r="AH51" s="95"/>
      <c r="AI51" s="95">
        <v>1</v>
      </c>
      <c r="AJ51" s="95">
        <v>1.5</v>
      </c>
      <c r="AK51" s="95">
        <v>1</v>
      </c>
      <c r="AL51" s="95">
        <v>1.5</v>
      </c>
      <c r="AM51" s="95"/>
      <c r="AN51" s="96">
        <f t="shared" si="6"/>
        <v>21.9375</v>
      </c>
      <c r="AO51" s="92">
        <v>170000</v>
      </c>
      <c r="AP51" s="97">
        <f t="shared" si="7"/>
        <v>3729375</v>
      </c>
    </row>
    <row r="52" spans="1:42" ht="24.9" customHeight="1">
      <c r="A52" s="89">
        <v>47</v>
      </c>
      <c r="B52" s="90" t="s">
        <v>442</v>
      </c>
      <c r="C52" s="91" t="s">
        <v>443</v>
      </c>
      <c r="D52" s="38" t="s">
        <v>312</v>
      </c>
      <c r="E52" s="38" t="s">
        <v>444</v>
      </c>
      <c r="F52" s="102" t="s">
        <v>370</v>
      </c>
      <c r="G52" s="93" t="s">
        <v>442</v>
      </c>
      <c r="H52" s="94" t="s">
        <v>445</v>
      </c>
      <c r="I52" s="95">
        <v>1</v>
      </c>
      <c r="J52" s="95">
        <v>1.5</v>
      </c>
      <c r="K52" s="95">
        <v>1</v>
      </c>
      <c r="L52" s="95">
        <v>1</v>
      </c>
      <c r="M52" s="95"/>
      <c r="N52" s="95">
        <v>1</v>
      </c>
      <c r="O52" s="95">
        <v>1.5</v>
      </c>
      <c r="P52" s="95">
        <v>1</v>
      </c>
      <c r="Q52" s="95">
        <v>1.5</v>
      </c>
      <c r="R52" s="95">
        <v>1</v>
      </c>
      <c r="S52" s="95">
        <v>0.875</v>
      </c>
      <c r="T52" s="95"/>
      <c r="U52" s="95">
        <v>1</v>
      </c>
      <c r="V52" s="95">
        <v>1.5</v>
      </c>
      <c r="W52" s="95">
        <v>1</v>
      </c>
      <c r="X52" s="95">
        <v>1.5</v>
      </c>
      <c r="Y52" s="95">
        <v>1</v>
      </c>
      <c r="Z52" s="95">
        <v>1</v>
      </c>
      <c r="AA52" s="95"/>
      <c r="AB52" s="95">
        <v>1</v>
      </c>
      <c r="AC52" s="95">
        <v>1.5</v>
      </c>
      <c r="AD52" s="95">
        <v>1</v>
      </c>
      <c r="AE52" s="95"/>
      <c r="AF52" s="95">
        <v>1</v>
      </c>
      <c r="AG52" s="95">
        <v>1</v>
      </c>
      <c r="AH52" s="95"/>
      <c r="AI52" s="95">
        <v>1</v>
      </c>
      <c r="AJ52" s="95">
        <v>1.5</v>
      </c>
      <c r="AK52" s="95">
        <v>0.875</v>
      </c>
      <c r="AL52" s="95">
        <v>1.5</v>
      </c>
      <c r="AM52" s="95"/>
      <c r="AN52" s="96">
        <f t="shared" si="6"/>
        <v>28.75</v>
      </c>
      <c r="AO52" s="92">
        <v>230000</v>
      </c>
      <c r="AP52" s="97">
        <f t="shared" si="7"/>
        <v>6612500</v>
      </c>
    </row>
    <row r="53" spans="1:42" ht="24.9" customHeight="1">
      <c r="A53" s="89">
        <v>48</v>
      </c>
      <c r="B53" s="90" t="s">
        <v>543</v>
      </c>
      <c r="C53" s="91" t="s">
        <v>573</v>
      </c>
      <c r="D53" s="38" t="s">
        <v>225</v>
      </c>
      <c r="E53" s="38" t="s">
        <v>603</v>
      </c>
      <c r="F53" s="100" t="s">
        <v>631</v>
      </c>
      <c r="G53" s="93" t="s">
        <v>543</v>
      </c>
      <c r="H53" s="94" t="s">
        <v>632</v>
      </c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>
        <v>0.6875</v>
      </c>
      <c r="AC53" s="95">
        <v>0.625</v>
      </c>
      <c r="AD53" s="95"/>
      <c r="AE53" s="95">
        <v>1</v>
      </c>
      <c r="AF53" s="95">
        <v>1</v>
      </c>
      <c r="AG53" s="95"/>
      <c r="AH53" s="95"/>
      <c r="AI53" s="95">
        <v>1</v>
      </c>
      <c r="AJ53" s="95">
        <v>1.5</v>
      </c>
      <c r="AK53" s="95">
        <v>1</v>
      </c>
      <c r="AL53" s="95">
        <v>1.5</v>
      </c>
      <c r="AM53" s="95"/>
      <c r="AN53" s="96">
        <f t="shared" si="6"/>
        <v>8.3125</v>
      </c>
      <c r="AO53" s="92">
        <v>180000</v>
      </c>
      <c r="AP53" s="97">
        <f t="shared" si="7"/>
        <v>1496250</v>
      </c>
    </row>
    <row r="54" spans="1:42" ht="24.9" customHeight="1">
      <c r="A54" s="89">
        <v>49</v>
      </c>
      <c r="B54" s="90" t="s">
        <v>544</v>
      </c>
      <c r="C54" s="91" t="s">
        <v>574</v>
      </c>
      <c r="D54" s="137" t="s">
        <v>228</v>
      </c>
      <c r="E54" s="133" t="s">
        <v>604</v>
      </c>
      <c r="F54" s="100" t="s">
        <v>230</v>
      </c>
      <c r="G54" s="93" t="s">
        <v>544</v>
      </c>
      <c r="H54" s="94" t="s">
        <v>633</v>
      </c>
      <c r="I54" s="95"/>
      <c r="J54" s="95"/>
      <c r="K54" s="95"/>
      <c r="L54" s="95"/>
      <c r="M54" s="95"/>
      <c r="N54" s="95">
        <v>0.9375</v>
      </c>
      <c r="O54" s="95">
        <v>1</v>
      </c>
      <c r="P54" s="95">
        <v>1</v>
      </c>
      <c r="Q54" s="95">
        <v>1.5</v>
      </c>
      <c r="R54" s="95">
        <v>1</v>
      </c>
      <c r="S54" s="95"/>
      <c r="T54" s="95"/>
      <c r="U54" s="95">
        <v>1</v>
      </c>
      <c r="V54" s="95">
        <v>1.5</v>
      </c>
      <c r="W54" s="95">
        <v>1</v>
      </c>
      <c r="X54" s="95">
        <v>1.5</v>
      </c>
      <c r="Y54" s="95">
        <v>1</v>
      </c>
      <c r="Z54" s="95">
        <v>1</v>
      </c>
      <c r="AA54" s="95"/>
      <c r="AB54" s="95">
        <v>1</v>
      </c>
      <c r="AC54" s="95">
        <v>1.5</v>
      </c>
      <c r="AD54" s="95">
        <v>1</v>
      </c>
      <c r="AE54" s="95">
        <v>1.5</v>
      </c>
      <c r="AF54" s="95">
        <v>1</v>
      </c>
      <c r="AG54" s="95">
        <v>1</v>
      </c>
      <c r="AH54" s="95"/>
      <c r="AI54" s="95">
        <v>1</v>
      </c>
      <c r="AJ54" s="95">
        <v>1.5</v>
      </c>
      <c r="AK54" s="95">
        <v>1</v>
      </c>
      <c r="AL54" s="95">
        <v>1.5</v>
      </c>
      <c r="AM54" s="95"/>
      <c r="AN54" s="96">
        <f t="shared" si="6"/>
        <v>24.4375</v>
      </c>
      <c r="AO54" s="92">
        <v>210000</v>
      </c>
      <c r="AP54" s="97">
        <f t="shared" si="7"/>
        <v>5131875</v>
      </c>
    </row>
    <row r="55" spans="1:42" ht="24.9" customHeight="1">
      <c r="A55" s="89">
        <v>50</v>
      </c>
      <c r="B55" s="90" t="s">
        <v>545</v>
      </c>
      <c r="C55" s="91" t="s">
        <v>575</v>
      </c>
      <c r="D55" s="38" t="s">
        <v>225</v>
      </c>
      <c r="E55" s="133" t="s">
        <v>605</v>
      </c>
      <c r="F55" s="100" t="s">
        <v>370</v>
      </c>
      <c r="G55" s="93" t="s">
        <v>545</v>
      </c>
      <c r="H55" s="94" t="s">
        <v>634</v>
      </c>
      <c r="I55" s="95"/>
      <c r="J55" s="95"/>
      <c r="K55" s="95"/>
      <c r="L55" s="95"/>
      <c r="M55" s="95"/>
      <c r="N55" s="95">
        <v>0.4375</v>
      </c>
      <c r="O55" s="95"/>
      <c r="P55" s="95">
        <v>1</v>
      </c>
      <c r="Q55" s="95">
        <v>1.5</v>
      </c>
      <c r="R55" s="95">
        <v>1</v>
      </c>
      <c r="S55" s="95"/>
      <c r="T55" s="95"/>
      <c r="U55" s="95">
        <v>1</v>
      </c>
      <c r="V55" s="95">
        <v>1.5</v>
      </c>
      <c r="W55" s="95">
        <v>1</v>
      </c>
      <c r="X55" s="95">
        <v>1.5</v>
      </c>
      <c r="Y55" s="95">
        <v>1</v>
      </c>
      <c r="Z55" s="95">
        <v>1</v>
      </c>
      <c r="AA55" s="95"/>
      <c r="AB55" s="95">
        <v>1</v>
      </c>
      <c r="AC55" s="95"/>
      <c r="AD55" s="95">
        <v>0.875</v>
      </c>
      <c r="AE55" s="95">
        <v>1.5</v>
      </c>
      <c r="AF55" s="95">
        <v>1</v>
      </c>
      <c r="AG55" s="95">
        <v>1</v>
      </c>
      <c r="AH55" s="95"/>
      <c r="AI55" s="95">
        <v>1</v>
      </c>
      <c r="AJ55" s="95">
        <v>1.5</v>
      </c>
      <c r="AK55" s="95">
        <v>1</v>
      </c>
      <c r="AL55" s="95">
        <v>1.5</v>
      </c>
      <c r="AM55" s="95"/>
      <c r="AN55" s="96">
        <f t="shared" si="6"/>
        <v>21.3125</v>
      </c>
      <c r="AO55" s="92">
        <v>150000</v>
      </c>
      <c r="AP55" s="97">
        <f t="shared" si="7"/>
        <v>3196875</v>
      </c>
    </row>
    <row r="56" spans="1:42" ht="24.9" customHeight="1">
      <c r="A56" s="89">
        <v>51</v>
      </c>
      <c r="B56" s="90" t="s">
        <v>446</v>
      </c>
      <c r="C56" s="91" t="s">
        <v>447</v>
      </c>
      <c r="D56" s="137" t="s">
        <v>228</v>
      </c>
      <c r="E56" s="133" t="s">
        <v>448</v>
      </c>
      <c r="F56" s="100" t="s">
        <v>229</v>
      </c>
      <c r="G56" s="93" t="s">
        <v>446</v>
      </c>
      <c r="H56" s="94" t="s">
        <v>449</v>
      </c>
      <c r="I56" s="95">
        <v>1</v>
      </c>
      <c r="J56" s="95">
        <v>1.5</v>
      </c>
      <c r="K56" s="95">
        <v>0.5</v>
      </c>
      <c r="L56" s="95"/>
      <c r="M56" s="95"/>
      <c r="N56" s="95">
        <v>1</v>
      </c>
      <c r="O56" s="95">
        <v>1.5</v>
      </c>
      <c r="P56" s="95">
        <v>1</v>
      </c>
      <c r="Q56" s="95">
        <v>1.5</v>
      </c>
      <c r="R56" s="95"/>
      <c r="S56" s="95">
        <v>1</v>
      </c>
      <c r="T56" s="95"/>
      <c r="U56" s="95">
        <v>1</v>
      </c>
      <c r="V56" s="95">
        <v>1.5</v>
      </c>
      <c r="W56" s="95">
        <v>1</v>
      </c>
      <c r="X56" s="95">
        <v>1.5</v>
      </c>
      <c r="Y56" s="95">
        <v>1</v>
      </c>
      <c r="Z56" s="95"/>
      <c r="AA56" s="95"/>
      <c r="AB56" s="95">
        <v>1</v>
      </c>
      <c r="AC56" s="95"/>
      <c r="AD56" s="95">
        <v>1</v>
      </c>
      <c r="AE56" s="95">
        <v>1.5</v>
      </c>
      <c r="AF56" s="95">
        <v>1</v>
      </c>
      <c r="AG56" s="95">
        <v>1</v>
      </c>
      <c r="AH56" s="95"/>
      <c r="AI56" s="95">
        <v>1</v>
      </c>
      <c r="AJ56" s="95"/>
      <c r="AK56" s="95">
        <v>1</v>
      </c>
      <c r="AL56" s="95">
        <v>0.25</v>
      </c>
      <c r="AM56" s="95"/>
      <c r="AN56" s="96">
        <f t="shared" si="6"/>
        <v>22.75</v>
      </c>
      <c r="AO56" s="92">
        <v>230000</v>
      </c>
      <c r="AP56" s="97">
        <f t="shared" si="7"/>
        <v>5232500</v>
      </c>
    </row>
    <row r="57" spans="1:42" ht="24.9" customHeight="1">
      <c r="A57" s="89">
        <v>52</v>
      </c>
      <c r="B57" s="90" t="s">
        <v>450</v>
      </c>
      <c r="C57" s="91" t="s">
        <v>451</v>
      </c>
      <c r="D57" s="38" t="s">
        <v>225</v>
      </c>
      <c r="E57" s="133" t="s">
        <v>452</v>
      </c>
      <c r="F57" s="100" t="s">
        <v>390</v>
      </c>
      <c r="G57" s="93" t="s">
        <v>450</v>
      </c>
      <c r="H57" s="94" t="s">
        <v>453</v>
      </c>
      <c r="I57" s="95"/>
      <c r="J57" s="95">
        <v>1.5</v>
      </c>
      <c r="K57" s="95">
        <v>1</v>
      </c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  <c r="AL57" s="95"/>
      <c r="AM57" s="95"/>
      <c r="AN57" s="96">
        <f t="shared" si="6"/>
        <v>2.5</v>
      </c>
      <c r="AO57" s="92">
        <v>160000</v>
      </c>
      <c r="AP57" s="97">
        <f t="shared" si="7"/>
        <v>400000</v>
      </c>
    </row>
    <row r="58" spans="1:42" ht="24.9" customHeight="1">
      <c r="A58" s="89">
        <v>53</v>
      </c>
      <c r="B58" s="90" t="s">
        <v>454</v>
      </c>
      <c r="C58" s="91" t="s">
        <v>455</v>
      </c>
      <c r="D58" s="38" t="s">
        <v>352</v>
      </c>
      <c r="E58" s="38" t="s">
        <v>456</v>
      </c>
      <c r="F58" s="102" t="s">
        <v>226</v>
      </c>
      <c r="G58" s="93" t="s">
        <v>454</v>
      </c>
      <c r="H58" s="94" t="s">
        <v>457</v>
      </c>
      <c r="I58" s="95">
        <v>1</v>
      </c>
      <c r="J58" s="95">
        <v>1.5</v>
      </c>
      <c r="K58" s="95">
        <v>1</v>
      </c>
      <c r="L58" s="95"/>
      <c r="M58" s="95"/>
      <c r="N58" s="95">
        <v>1</v>
      </c>
      <c r="O58" s="95">
        <v>1.5</v>
      </c>
      <c r="P58" s="95">
        <v>0.875</v>
      </c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>
        <v>1</v>
      </c>
      <c r="AC58" s="95">
        <v>1.5</v>
      </c>
      <c r="AD58" s="95">
        <v>1</v>
      </c>
      <c r="AE58" s="95"/>
      <c r="AF58" s="95">
        <v>1</v>
      </c>
      <c r="AG58" s="95">
        <v>1</v>
      </c>
      <c r="AH58" s="95"/>
      <c r="AI58" s="95"/>
      <c r="AJ58" s="95"/>
      <c r="AK58" s="95"/>
      <c r="AL58" s="95"/>
      <c r="AM58" s="95"/>
      <c r="AN58" s="96">
        <f t="shared" si="6"/>
        <v>12.375</v>
      </c>
      <c r="AO58" s="92">
        <v>210000</v>
      </c>
      <c r="AP58" s="97">
        <f t="shared" si="7"/>
        <v>2598750</v>
      </c>
    </row>
    <row r="59" spans="1:42" ht="24.9" customHeight="1">
      <c r="A59" s="89">
        <v>54</v>
      </c>
      <c r="B59" s="90" t="s">
        <v>458</v>
      </c>
      <c r="C59" s="91" t="s">
        <v>459</v>
      </c>
      <c r="D59" s="38" t="s">
        <v>225</v>
      </c>
      <c r="E59" s="38" t="s">
        <v>460</v>
      </c>
      <c r="F59" s="100" t="s">
        <v>307</v>
      </c>
      <c r="G59" s="93" t="s">
        <v>458</v>
      </c>
      <c r="H59" s="94" t="s">
        <v>461</v>
      </c>
      <c r="I59" s="95"/>
      <c r="J59" s="95">
        <v>1.5</v>
      </c>
      <c r="K59" s="95">
        <v>1</v>
      </c>
      <c r="L59" s="95">
        <v>1</v>
      </c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  <c r="AL59" s="95"/>
      <c r="AM59" s="95"/>
      <c r="AN59" s="96">
        <f t="shared" si="6"/>
        <v>3.5</v>
      </c>
      <c r="AO59" s="92">
        <v>170000</v>
      </c>
      <c r="AP59" s="97">
        <f t="shared" si="7"/>
        <v>595000</v>
      </c>
    </row>
    <row r="60" spans="1:42" ht="24.9" customHeight="1">
      <c r="A60" s="89">
        <v>55</v>
      </c>
      <c r="B60" s="90" t="s">
        <v>546</v>
      </c>
      <c r="C60" s="91" t="s">
        <v>576</v>
      </c>
      <c r="D60" s="38" t="s">
        <v>225</v>
      </c>
      <c r="E60" s="133" t="s">
        <v>606</v>
      </c>
      <c r="F60" s="102" t="s">
        <v>390</v>
      </c>
      <c r="G60" s="93" t="s">
        <v>546</v>
      </c>
      <c r="H60" s="94" t="s">
        <v>635</v>
      </c>
      <c r="I60" s="95">
        <v>0.8125</v>
      </c>
      <c r="J60" s="95"/>
      <c r="K60" s="95"/>
      <c r="L60" s="95"/>
      <c r="M60" s="95"/>
      <c r="N60" s="95">
        <v>1</v>
      </c>
      <c r="O60" s="95">
        <v>1.5</v>
      </c>
      <c r="P60" s="95">
        <v>1</v>
      </c>
      <c r="Q60" s="95">
        <v>1.5</v>
      </c>
      <c r="R60" s="95">
        <v>1</v>
      </c>
      <c r="S60" s="95">
        <v>1</v>
      </c>
      <c r="T60" s="95"/>
      <c r="U60" s="95">
        <v>1</v>
      </c>
      <c r="V60" s="95">
        <v>1.5</v>
      </c>
      <c r="W60" s="95">
        <v>1</v>
      </c>
      <c r="X60" s="95">
        <v>1.5</v>
      </c>
      <c r="Y60" s="95">
        <v>1</v>
      </c>
      <c r="Z60" s="95">
        <v>1</v>
      </c>
      <c r="AA60" s="95"/>
      <c r="AB60" s="95">
        <v>1</v>
      </c>
      <c r="AC60" s="95">
        <v>1.5</v>
      </c>
      <c r="AD60" s="95">
        <v>1</v>
      </c>
      <c r="AE60" s="95">
        <v>1.5</v>
      </c>
      <c r="AF60" s="95">
        <v>1</v>
      </c>
      <c r="AG60" s="95"/>
      <c r="AH60" s="95"/>
      <c r="AI60" s="95">
        <v>1</v>
      </c>
      <c r="AJ60" s="95">
        <v>1.5</v>
      </c>
      <c r="AK60" s="95">
        <v>1</v>
      </c>
      <c r="AL60" s="95">
        <v>1.5</v>
      </c>
      <c r="AM60" s="95"/>
      <c r="AN60" s="96">
        <f t="shared" si="6"/>
        <v>25.8125</v>
      </c>
      <c r="AO60" s="92">
        <v>160000</v>
      </c>
      <c r="AP60" s="97">
        <f t="shared" si="7"/>
        <v>4130000</v>
      </c>
    </row>
    <row r="61" spans="1:42" ht="24.9" customHeight="1">
      <c r="A61" s="89">
        <v>56</v>
      </c>
      <c r="B61" s="90" t="s">
        <v>462</v>
      </c>
      <c r="C61" s="91" t="s">
        <v>463</v>
      </c>
      <c r="D61" s="38" t="s">
        <v>228</v>
      </c>
      <c r="E61" s="133" t="s">
        <v>464</v>
      </c>
      <c r="F61" s="100" t="s">
        <v>226</v>
      </c>
      <c r="G61" s="93" t="s">
        <v>462</v>
      </c>
      <c r="H61" s="94" t="s">
        <v>465</v>
      </c>
      <c r="I61" s="95">
        <v>1</v>
      </c>
      <c r="J61" s="95">
        <v>1.5</v>
      </c>
      <c r="K61" s="95">
        <v>1</v>
      </c>
      <c r="L61" s="95">
        <v>1</v>
      </c>
      <c r="M61" s="95"/>
      <c r="N61" s="95">
        <v>1</v>
      </c>
      <c r="O61" s="95">
        <v>1.5</v>
      </c>
      <c r="P61" s="95">
        <v>1</v>
      </c>
      <c r="Q61" s="95">
        <v>1.5</v>
      </c>
      <c r="R61" s="95">
        <v>1</v>
      </c>
      <c r="S61" s="95">
        <v>1</v>
      </c>
      <c r="T61" s="95"/>
      <c r="U61" s="95">
        <v>1</v>
      </c>
      <c r="V61" s="95">
        <v>1.5</v>
      </c>
      <c r="W61" s="95">
        <v>1</v>
      </c>
      <c r="X61" s="95">
        <v>1.5</v>
      </c>
      <c r="Y61" s="95">
        <v>1</v>
      </c>
      <c r="Z61" s="95">
        <v>1</v>
      </c>
      <c r="AA61" s="95"/>
      <c r="AB61" s="95">
        <v>1</v>
      </c>
      <c r="AC61" s="95">
        <v>1.5</v>
      </c>
      <c r="AD61" s="95">
        <v>1</v>
      </c>
      <c r="AE61" s="95">
        <v>1.5</v>
      </c>
      <c r="AF61" s="95">
        <v>1</v>
      </c>
      <c r="AG61" s="95">
        <v>1</v>
      </c>
      <c r="AH61" s="95"/>
      <c r="AI61" s="95">
        <v>1</v>
      </c>
      <c r="AJ61" s="95">
        <v>1.5</v>
      </c>
      <c r="AK61" s="95">
        <v>1</v>
      </c>
      <c r="AL61" s="95">
        <v>1.5</v>
      </c>
      <c r="AM61" s="95"/>
      <c r="AN61" s="96">
        <f t="shared" si="6"/>
        <v>30.5</v>
      </c>
      <c r="AO61" s="92">
        <v>230000</v>
      </c>
      <c r="AP61" s="97">
        <f t="shared" si="7"/>
        <v>7015000</v>
      </c>
    </row>
    <row r="62" spans="1:42" ht="24.9" customHeight="1">
      <c r="A62" s="89">
        <v>57</v>
      </c>
      <c r="B62" s="90" t="s">
        <v>547</v>
      </c>
      <c r="C62" s="91" t="s">
        <v>577</v>
      </c>
      <c r="D62" s="38" t="s">
        <v>225</v>
      </c>
      <c r="E62" s="38" t="s">
        <v>607</v>
      </c>
      <c r="F62" s="100" t="s">
        <v>229</v>
      </c>
      <c r="G62" s="93" t="s">
        <v>547</v>
      </c>
      <c r="H62" s="94" t="s">
        <v>636</v>
      </c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>
        <v>0.6875</v>
      </c>
      <c r="AC62" s="95">
        <v>0.625</v>
      </c>
      <c r="AD62" s="95"/>
      <c r="AE62" s="95">
        <v>1</v>
      </c>
      <c r="AF62" s="95">
        <v>1</v>
      </c>
      <c r="AG62" s="95"/>
      <c r="AH62" s="95"/>
      <c r="AI62" s="95">
        <v>1</v>
      </c>
      <c r="AJ62" s="95">
        <v>1.5</v>
      </c>
      <c r="AK62" s="95">
        <v>1</v>
      </c>
      <c r="AL62" s="95">
        <v>1.5</v>
      </c>
      <c r="AM62" s="95"/>
      <c r="AN62" s="96">
        <f t="shared" si="6"/>
        <v>8.3125</v>
      </c>
      <c r="AO62" s="92">
        <v>150000</v>
      </c>
      <c r="AP62" s="97">
        <f t="shared" si="7"/>
        <v>1246875</v>
      </c>
    </row>
    <row r="63" spans="1:42" ht="24.9" customHeight="1">
      <c r="A63" s="89">
        <v>58</v>
      </c>
      <c r="B63" s="90" t="s">
        <v>466</v>
      </c>
      <c r="C63" s="91" t="s">
        <v>467</v>
      </c>
      <c r="D63" s="38" t="s">
        <v>225</v>
      </c>
      <c r="E63" s="38" t="s">
        <v>468</v>
      </c>
      <c r="F63" s="100" t="s">
        <v>297</v>
      </c>
      <c r="G63" s="93" t="s">
        <v>466</v>
      </c>
      <c r="H63" s="94" t="s">
        <v>469</v>
      </c>
      <c r="I63" s="95">
        <v>1</v>
      </c>
      <c r="J63" s="95">
        <v>1.5</v>
      </c>
      <c r="K63" s="95">
        <v>1</v>
      </c>
      <c r="L63" s="95">
        <v>1</v>
      </c>
      <c r="M63" s="95"/>
      <c r="N63" s="95">
        <v>1</v>
      </c>
      <c r="O63" s="95">
        <v>1.5</v>
      </c>
      <c r="P63" s="95">
        <v>1</v>
      </c>
      <c r="Q63" s="95">
        <v>1.5</v>
      </c>
      <c r="R63" s="95">
        <v>1</v>
      </c>
      <c r="S63" s="95">
        <v>1</v>
      </c>
      <c r="T63" s="95"/>
      <c r="U63" s="95"/>
      <c r="V63" s="95">
        <v>1.5</v>
      </c>
      <c r="W63" s="95">
        <v>1</v>
      </c>
      <c r="X63" s="95">
        <v>1.5</v>
      </c>
      <c r="Y63" s="95">
        <v>1</v>
      </c>
      <c r="Z63" s="95">
        <v>1</v>
      </c>
      <c r="AA63" s="95"/>
      <c r="AB63" s="95">
        <v>1</v>
      </c>
      <c r="AC63" s="95">
        <v>1.5</v>
      </c>
      <c r="AD63" s="95">
        <v>1</v>
      </c>
      <c r="AE63" s="95">
        <v>1.5</v>
      </c>
      <c r="AF63" s="95">
        <v>1</v>
      </c>
      <c r="AG63" s="95">
        <v>1</v>
      </c>
      <c r="AH63" s="95"/>
      <c r="AI63" s="95">
        <v>1</v>
      </c>
      <c r="AJ63" s="95">
        <v>1.5</v>
      </c>
      <c r="AK63" s="95">
        <v>1</v>
      </c>
      <c r="AL63" s="95">
        <v>1.5</v>
      </c>
      <c r="AM63" s="95"/>
      <c r="AN63" s="96">
        <f t="shared" si="6"/>
        <v>29.5</v>
      </c>
      <c r="AO63" s="92">
        <v>170000</v>
      </c>
      <c r="AP63" s="97">
        <f t="shared" si="7"/>
        <v>5015000</v>
      </c>
    </row>
    <row r="64" spans="1:42" ht="24.9" customHeight="1">
      <c r="A64" s="89">
        <v>59</v>
      </c>
      <c r="B64" s="90" t="s">
        <v>548</v>
      </c>
      <c r="C64" s="91" t="s">
        <v>578</v>
      </c>
      <c r="D64" s="38" t="s">
        <v>225</v>
      </c>
      <c r="E64" s="38" t="s">
        <v>608</v>
      </c>
      <c r="F64" s="100" t="s">
        <v>298</v>
      </c>
      <c r="G64" s="93" t="s">
        <v>548</v>
      </c>
      <c r="H64" s="94" t="s">
        <v>637</v>
      </c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>
        <v>0.4375</v>
      </c>
      <c r="V64" s="95"/>
      <c r="W64" s="95">
        <v>1</v>
      </c>
      <c r="X64" s="95">
        <v>1.5</v>
      </c>
      <c r="Y64" s="95">
        <v>1</v>
      </c>
      <c r="Z64" s="95"/>
      <c r="AA64" s="95"/>
      <c r="AB64" s="95">
        <v>1</v>
      </c>
      <c r="AC64" s="95">
        <v>1.375</v>
      </c>
      <c r="AD64" s="95">
        <v>1</v>
      </c>
      <c r="AE64" s="95">
        <v>1.5</v>
      </c>
      <c r="AF64" s="95">
        <v>1</v>
      </c>
      <c r="AG64" s="95"/>
      <c r="AH64" s="95"/>
      <c r="AI64" s="95">
        <v>1</v>
      </c>
      <c r="AJ64" s="95">
        <v>1.5</v>
      </c>
      <c r="AK64" s="95">
        <v>1</v>
      </c>
      <c r="AL64" s="95">
        <v>1.5</v>
      </c>
      <c r="AM64" s="95"/>
      <c r="AN64" s="96">
        <f t="shared" si="6"/>
        <v>14.8125</v>
      </c>
      <c r="AO64" s="92">
        <v>150000</v>
      </c>
      <c r="AP64" s="97">
        <f t="shared" si="7"/>
        <v>2221875</v>
      </c>
    </row>
    <row r="65" spans="1:42" ht="24.9" customHeight="1">
      <c r="A65" s="89">
        <v>60</v>
      </c>
      <c r="B65" s="90" t="s">
        <v>470</v>
      </c>
      <c r="C65" s="91" t="s">
        <v>471</v>
      </c>
      <c r="D65" s="38" t="s">
        <v>228</v>
      </c>
      <c r="E65" s="38" t="s">
        <v>472</v>
      </c>
      <c r="F65" s="100" t="s">
        <v>230</v>
      </c>
      <c r="G65" s="93" t="s">
        <v>470</v>
      </c>
      <c r="H65" s="94" t="s">
        <v>473</v>
      </c>
      <c r="I65" s="95">
        <v>1</v>
      </c>
      <c r="J65" s="95">
        <v>1.5</v>
      </c>
      <c r="K65" s="95">
        <v>1</v>
      </c>
      <c r="L65" s="95">
        <v>1</v>
      </c>
      <c r="M65" s="95"/>
      <c r="N65" s="95">
        <v>1</v>
      </c>
      <c r="O65" s="95">
        <v>1.5</v>
      </c>
      <c r="P65" s="95">
        <v>1</v>
      </c>
      <c r="Q65" s="95">
        <v>1.5</v>
      </c>
      <c r="R65" s="95">
        <v>1</v>
      </c>
      <c r="S65" s="95">
        <v>1</v>
      </c>
      <c r="T65" s="95"/>
      <c r="U65" s="95">
        <v>1</v>
      </c>
      <c r="V65" s="95">
        <v>1.5</v>
      </c>
      <c r="W65" s="95">
        <v>1</v>
      </c>
      <c r="X65" s="95">
        <v>1.5</v>
      </c>
      <c r="Y65" s="95">
        <v>1</v>
      </c>
      <c r="Z65" s="95">
        <v>1</v>
      </c>
      <c r="AA65" s="95"/>
      <c r="AB65" s="95">
        <v>1</v>
      </c>
      <c r="AC65" s="95">
        <v>1.5</v>
      </c>
      <c r="AD65" s="95">
        <v>0.5</v>
      </c>
      <c r="AE65" s="95">
        <v>1.5</v>
      </c>
      <c r="AF65" s="95">
        <v>1</v>
      </c>
      <c r="AG65" s="95">
        <v>1</v>
      </c>
      <c r="AH65" s="95"/>
      <c r="AI65" s="95">
        <v>1</v>
      </c>
      <c r="AJ65" s="95">
        <v>1.5</v>
      </c>
      <c r="AK65" s="95">
        <v>1</v>
      </c>
      <c r="AL65" s="95">
        <v>1.5</v>
      </c>
      <c r="AM65" s="95"/>
      <c r="AN65" s="96">
        <f t="shared" si="6"/>
        <v>30</v>
      </c>
      <c r="AO65" s="92">
        <v>190000</v>
      </c>
      <c r="AP65" s="97">
        <f t="shared" si="7"/>
        <v>5700000</v>
      </c>
    </row>
    <row r="66" spans="1:42" ht="24.9" customHeight="1">
      <c r="A66" s="89">
        <v>61</v>
      </c>
      <c r="B66" s="90" t="s">
        <v>549</v>
      </c>
      <c r="C66" s="91" t="s">
        <v>579</v>
      </c>
      <c r="D66" s="38" t="s">
        <v>225</v>
      </c>
      <c r="E66" s="38" t="s">
        <v>609</v>
      </c>
      <c r="F66" s="102" t="s">
        <v>226</v>
      </c>
      <c r="G66" s="93" t="s">
        <v>549</v>
      </c>
      <c r="H66" s="94" t="s">
        <v>638</v>
      </c>
      <c r="I66" s="95"/>
      <c r="J66" s="95"/>
      <c r="K66" s="95"/>
      <c r="L66" s="95"/>
      <c r="M66" s="95"/>
      <c r="N66" s="95">
        <v>0.4375</v>
      </c>
      <c r="O66" s="95"/>
      <c r="P66" s="95">
        <v>1</v>
      </c>
      <c r="Q66" s="95">
        <v>1.5</v>
      </c>
      <c r="R66" s="95">
        <v>1</v>
      </c>
      <c r="S66" s="95">
        <v>1</v>
      </c>
      <c r="T66" s="95"/>
      <c r="U66" s="95">
        <v>1</v>
      </c>
      <c r="V66" s="95">
        <v>1.5</v>
      </c>
      <c r="W66" s="95">
        <v>1</v>
      </c>
      <c r="X66" s="95">
        <v>1.5</v>
      </c>
      <c r="Y66" s="95">
        <v>1</v>
      </c>
      <c r="Z66" s="95"/>
      <c r="AA66" s="95"/>
      <c r="AB66" s="95">
        <v>1</v>
      </c>
      <c r="AC66" s="95">
        <v>1.5</v>
      </c>
      <c r="AD66" s="95">
        <v>1</v>
      </c>
      <c r="AE66" s="95">
        <v>1.5</v>
      </c>
      <c r="AF66" s="95">
        <v>1</v>
      </c>
      <c r="AG66" s="95">
        <v>1</v>
      </c>
      <c r="AH66" s="95"/>
      <c r="AI66" s="95">
        <v>1</v>
      </c>
      <c r="AJ66" s="95">
        <v>1.5</v>
      </c>
      <c r="AK66" s="95">
        <v>1</v>
      </c>
      <c r="AL66" s="95">
        <v>1.5</v>
      </c>
      <c r="AM66" s="95"/>
      <c r="AN66" s="96">
        <f t="shared" si="6"/>
        <v>22.9375</v>
      </c>
      <c r="AO66" s="92">
        <v>170000</v>
      </c>
      <c r="AP66" s="97">
        <f t="shared" si="7"/>
        <v>3899375</v>
      </c>
    </row>
    <row r="67" spans="1:42" ht="24.9" customHeight="1">
      <c r="A67" s="89">
        <v>62</v>
      </c>
      <c r="B67" s="90" t="s">
        <v>474</v>
      </c>
      <c r="C67" s="91" t="s">
        <v>475</v>
      </c>
      <c r="D67" s="137" t="s">
        <v>352</v>
      </c>
      <c r="E67" s="38" t="s">
        <v>476</v>
      </c>
      <c r="F67" s="100" t="s">
        <v>308</v>
      </c>
      <c r="G67" s="93" t="s">
        <v>474</v>
      </c>
      <c r="H67" s="94" t="s">
        <v>477</v>
      </c>
      <c r="I67" s="95">
        <v>1</v>
      </c>
      <c r="J67" s="95">
        <v>1.5</v>
      </c>
      <c r="K67" s="95">
        <v>1</v>
      </c>
      <c r="L67" s="95">
        <v>1</v>
      </c>
      <c r="M67" s="95"/>
      <c r="N67" s="95"/>
      <c r="O67" s="95">
        <v>1.5</v>
      </c>
      <c r="P67" s="95">
        <v>1</v>
      </c>
      <c r="Q67" s="95">
        <v>1.5</v>
      </c>
      <c r="R67" s="95">
        <v>1</v>
      </c>
      <c r="S67" s="95">
        <v>1</v>
      </c>
      <c r="T67" s="95"/>
      <c r="U67" s="95">
        <v>1</v>
      </c>
      <c r="V67" s="95">
        <v>1.5</v>
      </c>
      <c r="W67" s="95">
        <v>1</v>
      </c>
      <c r="X67" s="95">
        <v>1.5</v>
      </c>
      <c r="Y67" s="95">
        <v>1</v>
      </c>
      <c r="Z67" s="95"/>
      <c r="AA67" s="95"/>
      <c r="AB67" s="95">
        <v>1</v>
      </c>
      <c r="AC67" s="95">
        <v>1.5</v>
      </c>
      <c r="AD67" s="95">
        <v>1</v>
      </c>
      <c r="AE67" s="95"/>
      <c r="AF67" s="95">
        <v>1</v>
      </c>
      <c r="AG67" s="95">
        <v>1</v>
      </c>
      <c r="AH67" s="95"/>
      <c r="AI67" s="95">
        <v>1</v>
      </c>
      <c r="AJ67" s="95">
        <v>1.5</v>
      </c>
      <c r="AK67" s="95">
        <v>1</v>
      </c>
      <c r="AL67" s="95">
        <v>1.5</v>
      </c>
      <c r="AM67" s="95"/>
      <c r="AN67" s="96">
        <f t="shared" ref="AN67:AN70" si="8">SUM(I67:AM67)</f>
        <v>27</v>
      </c>
      <c r="AO67" s="92">
        <v>180000</v>
      </c>
      <c r="AP67" s="97">
        <f t="shared" ref="AP67:AP70" si="9">AN67*AO67</f>
        <v>4860000</v>
      </c>
    </row>
    <row r="68" spans="1:42" ht="24.9" customHeight="1">
      <c r="A68" s="89">
        <v>63</v>
      </c>
      <c r="B68" s="90" t="s">
        <v>478</v>
      </c>
      <c r="C68" s="91" t="s">
        <v>479</v>
      </c>
      <c r="D68" s="137" t="s">
        <v>352</v>
      </c>
      <c r="E68" s="133" t="s">
        <v>480</v>
      </c>
      <c r="F68" s="100" t="s">
        <v>226</v>
      </c>
      <c r="G68" s="93" t="s">
        <v>478</v>
      </c>
      <c r="H68" s="94" t="s">
        <v>481</v>
      </c>
      <c r="I68" s="95">
        <v>1</v>
      </c>
      <c r="J68" s="95">
        <v>1.5</v>
      </c>
      <c r="K68" s="95">
        <v>1</v>
      </c>
      <c r="L68" s="95">
        <v>1</v>
      </c>
      <c r="M68" s="95"/>
      <c r="N68" s="95">
        <v>1</v>
      </c>
      <c r="O68" s="95">
        <v>1.5</v>
      </c>
      <c r="P68" s="95">
        <v>1</v>
      </c>
      <c r="Q68" s="95">
        <v>1.5</v>
      </c>
      <c r="R68" s="95">
        <v>1</v>
      </c>
      <c r="S68" s="95"/>
      <c r="T68" s="95"/>
      <c r="U68" s="95">
        <v>1</v>
      </c>
      <c r="V68" s="95">
        <v>1.5</v>
      </c>
      <c r="W68" s="95">
        <v>1</v>
      </c>
      <c r="X68" s="95">
        <v>1.5</v>
      </c>
      <c r="Y68" s="95">
        <v>1</v>
      </c>
      <c r="Z68" s="95">
        <v>0.875</v>
      </c>
      <c r="AA68" s="95"/>
      <c r="AB68" s="95">
        <v>1</v>
      </c>
      <c r="AC68" s="95"/>
      <c r="AD68" s="95">
        <v>1</v>
      </c>
      <c r="AE68" s="95"/>
      <c r="AF68" s="95">
        <v>1</v>
      </c>
      <c r="AG68" s="95">
        <v>1</v>
      </c>
      <c r="AH68" s="95"/>
      <c r="AI68" s="95">
        <v>1</v>
      </c>
      <c r="AJ68" s="95">
        <v>1.5</v>
      </c>
      <c r="AK68" s="95">
        <v>1</v>
      </c>
      <c r="AL68" s="95">
        <v>1.5</v>
      </c>
      <c r="AM68" s="95"/>
      <c r="AN68" s="96">
        <f t="shared" si="8"/>
        <v>26.375</v>
      </c>
      <c r="AO68" s="92">
        <v>190000</v>
      </c>
      <c r="AP68" s="97">
        <f t="shared" si="9"/>
        <v>5011250</v>
      </c>
    </row>
    <row r="69" spans="1:42" ht="24.9" customHeight="1">
      <c r="A69" s="89">
        <v>64</v>
      </c>
      <c r="B69" s="90" t="s">
        <v>482</v>
      </c>
      <c r="C69" s="91" t="s">
        <v>483</v>
      </c>
      <c r="D69" s="38" t="s">
        <v>225</v>
      </c>
      <c r="E69" s="133" t="s">
        <v>484</v>
      </c>
      <c r="F69" s="100" t="s">
        <v>230</v>
      </c>
      <c r="G69" s="93" t="s">
        <v>482</v>
      </c>
      <c r="H69" s="94" t="s">
        <v>485</v>
      </c>
      <c r="I69" s="95">
        <v>1</v>
      </c>
      <c r="J69" s="95">
        <v>1.5</v>
      </c>
      <c r="K69" s="95">
        <v>1</v>
      </c>
      <c r="L69" s="95"/>
      <c r="M69" s="95"/>
      <c r="N69" s="95">
        <v>1</v>
      </c>
      <c r="O69" s="95">
        <v>1.5</v>
      </c>
      <c r="P69" s="95">
        <v>1</v>
      </c>
      <c r="Q69" s="95">
        <v>1.5</v>
      </c>
      <c r="R69" s="95">
        <v>1</v>
      </c>
      <c r="S69" s="95">
        <v>1</v>
      </c>
      <c r="T69" s="95"/>
      <c r="U69" s="95">
        <v>1</v>
      </c>
      <c r="V69" s="95">
        <v>1.5</v>
      </c>
      <c r="W69" s="95">
        <v>1</v>
      </c>
      <c r="X69" s="95">
        <v>1.5</v>
      </c>
      <c r="Y69" s="95">
        <v>1</v>
      </c>
      <c r="Z69" s="95">
        <v>1</v>
      </c>
      <c r="AA69" s="95"/>
      <c r="AB69" s="95">
        <v>1</v>
      </c>
      <c r="AC69" s="95">
        <v>1.5</v>
      </c>
      <c r="AD69" s="95">
        <v>1</v>
      </c>
      <c r="AE69" s="95"/>
      <c r="AF69" s="95">
        <v>1</v>
      </c>
      <c r="AG69" s="95">
        <v>1</v>
      </c>
      <c r="AH69" s="95"/>
      <c r="AI69" s="95">
        <v>1</v>
      </c>
      <c r="AJ69" s="95">
        <v>1.5</v>
      </c>
      <c r="AK69" s="95">
        <v>1</v>
      </c>
      <c r="AL69" s="95">
        <v>1.5</v>
      </c>
      <c r="AM69" s="95"/>
      <c r="AN69" s="96">
        <f t="shared" si="8"/>
        <v>28</v>
      </c>
      <c r="AO69" s="92">
        <v>150000</v>
      </c>
      <c r="AP69" s="97">
        <f t="shared" si="9"/>
        <v>4200000</v>
      </c>
    </row>
    <row r="70" spans="1:42" ht="24.9" customHeight="1" thickBot="1">
      <c r="A70" s="89">
        <v>65</v>
      </c>
      <c r="B70" s="90" t="s">
        <v>486</v>
      </c>
      <c r="C70" s="91" t="s">
        <v>487</v>
      </c>
      <c r="D70" s="38" t="s">
        <v>225</v>
      </c>
      <c r="E70" s="133" t="s">
        <v>488</v>
      </c>
      <c r="F70" s="100" t="s">
        <v>298</v>
      </c>
      <c r="G70" s="93" t="s">
        <v>486</v>
      </c>
      <c r="H70" s="94" t="s">
        <v>488</v>
      </c>
      <c r="I70" s="95">
        <v>1</v>
      </c>
      <c r="J70" s="95">
        <v>1.5</v>
      </c>
      <c r="K70" s="95">
        <v>1</v>
      </c>
      <c r="L70" s="95">
        <v>1</v>
      </c>
      <c r="M70" s="95"/>
      <c r="N70" s="95">
        <v>1</v>
      </c>
      <c r="O70" s="95">
        <v>1.5</v>
      </c>
      <c r="P70" s="95">
        <v>1</v>
      </c>
      <c r="Q70" s="95">
        <v>1.5</v>
      </c>
      <c r="R70" s="95">
        <v>0.5</v>
      </c>
      <c r="S70" s="95"/>
      <c r="T70" s="95"/>
      <c r="U70" s="95">
        <v>1</v>
      </c>
      <c r="V70" s="95">
        <v>1.5</v>
      </c>
      <c r="W70" s="95">
        <v>1</v>
      </c>
      <c r="X70" s="95">
        <v>1.5</v>
      </c>
      <c r="Y70" s="95">
        <v>1</v>
      </c>
      <c r="Z70" s="95">
        <v>1</v>
      </c>
      <c r="AA70" s="95"/>
      <c r="AB70" s="95">
        <v>1</v>
      </c>
      <c r="AC70" s="95">
        <v>1.5</v>
      </c>
      <c r="AD70" s="95">
        <v>1</v>
      </c>
      <c r="AE70" s="95"/>
      <c r="AF70" s="95">
        <v>1</v>
      </c>
      <c r="AG70" s="95"/>
      <c r="AH70" s="95"/>
      <c r="AI70" s="95">
        <v>1</v>
      </c>
      <c r="AJ70" s="95">
        <v>1.5</v>
      </c>
      <c r="AK70" s="95">
        <v>1</v>
      </c>
      <c r="AL70" s="95">
        <v>1.5</v>
      </c>
      <c r="AM70" s="95"/>
      <c r="AN70" s="96">
        <f t="shared" si="8"/>
        <v>26.5</v>
      </c>
      <c r="AO70" s="92">
        <v>150000</v>
      </c>
      <c r="AP70" s="97">
        <f t="shared" si="9"/>
        <v>3975000</v>
      </c>
    </row>
    <row r="71" spans="1:42" ht="30" customHeight="1" thickBot="1">
      <c r="A71" s="280" t="s">
        <v>210</v>
      </c>
      <c r="B71" s="281"/>
      <c r="C71" s="281"/>
      <c r="D71" s="281"/>
      <c r="E71" s="281"/>
      <c r="F71" s="281"/>
      <c r="G71" s="281"/>
      <c r="H71" s="282"/>
      <c r="I71" s="103">
        <f>SUM(I10:I70)</f>
        <v>35.25</v>
      </c>
      <c r="J71" s="103">
        <f t="shared" ref="J71:AM71" si="10">SUM(J10:J70)</f>
        <v>50.5</v>
      </c>
      <c r="K71" s="103">
        <f t="shared" si="10"/>
        <v>33</v>
      </c>
      <c r="L71" s="103">
        <f t="shared" si="10"/>
        <v>26</v>
      </c>
      <c r="M71" s="103">
        <f t="shared" si="10"/>
        <v>0</v>
      </c>
      <c r="N71" s="103">
        <f t="shared" si="10"/>
        <v>39.5</v>
      </c>
      <c r="O71" s="103">
        <f t="shared" si="10"/>
        <v>54.5</v>
      </c>
      <c r="P71" s="103">
        <f t="shared" si="10"/>
        <v>42.375</v>
      </c>
      <c r="Q71" s="103">
        <f t="shared" si="10"/>
        <v>55.375</v>
      </c>
      <c r="R71" s="103">
        <f t="shared" si="10"/>
        <v>39.5</v>
      </c>
      <c r="S71" s="103">
        <f t="shared" si="10"/>
        <v>28.8125</v>
      </c>
      <c r="T71" s="103">
        <f t="shared" si="10"/>
        <v>0</v>
      </c>
      <c r="U71" s="103">
        <f t="shared" si="10"/>
        <v>43.1875</v>
      </c>
      <c r="V71" s="103">
        <f t="shared" si="10"/>
        <v>62.5</v>
      </c>
      <c r="W71" s="103">
        <f t="shared" si="10"/>
        <v>44</v>
      </c>
      <c r="X71" s="103">
        <f t="shared" si="10"/>
        <v>67</v>
      </c>
      <c r="Y71" s="103">
        <f t="shared" si="10"/>
        <v>46</v>
      </c>
      <c r="Z71" s="103">
        <f t="shared" si="10"/>
        <v>29.875</v>
      </c>
      <c r="AA71" s="103">
        <f t="shared" si="10"/>
        <v>0</v>
      </c>
      <c r="AB71" s="103">
        <f t="shared" si="10"/>
        <v>50.125</v>
      </c>
      <c r="AC71" s="103">
        <f t="shared" si="10"/>
        <v>71.375</v>
      </c>
      <c r="AD71" s="103">
        <f t="shared" si="10"/>
        <v>47.125</v>
      </c>
      <c r="AE71" s="103">
        <f t="shared" si="10"/>
        <v>55</v>
      </c>
      <c r="AF71" s="103">
        <f t="shared" si="10"/>
        <v>54.375</v>
      </c>
      <c r="AG71" s="103">
        <f t="shared" si="10"/>
        <v>33.8125</v>
      </c>
      <c r="AH71" s="103">
        <f t="shared" si="10"/>
        <v>0</v>
      </c>
      <c r="AI71" s="103">
        <f t="shared" si="10"/>
        <v>54</v>
      </c>
      <c r="AJ71" s="103">
        <f t="shared" si="10"/>
        <v>76.75</v>
      </c>
      <c r="AK71" s="103">
        <f t="shared" si="10"/>
        <v>52.875</v>
      </c>
      <c r="AL71" s="103">
        <f t="shared" si="10"/>
        <v>75.25</v>
      </c>
      <c r="AM71" s="103">
        <f t="shared" si="10"/>
        <v>0</v>
      </c>
      <c r="AN71" s="187">
        <f>SUM(AN6:AN70)</f>
        <v>1328.3125</v>
      </c>
      <c r="AO71" s="106">
        <f>AVERAGE(AO6:AO70)</f>
        <v>190923.07692307694</v>
      </c>
      <c r="AP71" s="107">
        <f>SUM(AP6:AP70)</f>
        <v>258639375</v>
      </c>
    </row>
    <row r="72" spans="1:42" ht="24.9" hidden="1" customHeight="1">
      <c r="A72" s="89">
        <v>1</v>
      </c>
      <c r="B72" s="90"/>
      <c r="C72" s="91"/>
      <c r="D72" s="101"/>
      <c r="E72" s="91"/>
      <c r="F72" s="92"/>
      <c r="G72" s="93"/>
      <c r="H72" s="94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  <c r="AL72" s="95"/>
      <c r="AM72" s="95"/>
      <c r="AN72" s="96">
        <f>SUM(I72:AM72)</f>
        <v>0</v>
      </c>
      <c r="AO72" s="92"/>
      <c r="AP72" s="97">
        <f>AN72*AO72</f>
        <v>0</v>
      </c>
    </row>
    <row r="73" spans="1:42" ht="24.9" hidden="1" customHeight="1">
      <c r="A73" s="98">
        <v>2</v>
      </c>
      <c r="B73" s="90"/>
      <c r="C73" s="91"/>
      <c r="D73" s="101"/>
      <c r="E73" s="91"/>
      <c r="F73" s="100"/>
      <c r="G73" s="93"/>
      <c r="H73" s="94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L73" s="95"/>
      <c r="AM73" s="95"/>
      <c r="AN73" s="96">
        <f t="shared" ref="AN73:AN75" si="11">SUM(I73:AM73)</f>
        <v>0</v>
      </c>
      <c r="AO73" s="92"/>
      <c r="AP73" s="97">
        <f t="shared" ref="AP73:AP75" si="12">AN73*AO73</f>
        <v>0</v>
      </c>
    </row>
    <row r="74" spans="1:42" ht="24.9" hidden="1" customHeight="1">
      <c r="A74" s="98">
        <v>3</v>
      </c>
      <c r="B74" s="90"/>
      <c r="C74" s="91"/>
      <c r="D74" s="99"/>
      <c r="E74" s="91"/>
      <c r="F74" s="100"/>
      <c r="G74" s="93"/>
      <c r="H74" s="94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  <c r="AL74" s="95"/>
      <c r="AM74" s="95"/>
      <c r="AN74" s="96">
        <f t="shared" si="11"/>
        <v>0</v>
      </c>
      <c r="AO74" s="92"/>
      <c r="AP74" s="97">
        <f t="shared" si="12"/>
        <v>0</v>
      </c>
    </row>
    <row r="75" spans="1:42" ht="24.9" hidden="1" customHeight="1">
      <c r="A75" s="98">
        <v>4</v>
      </c>
      <c r="B75" s="90"/>
      <c r="C75" s="91"/>
      <c r="D75" s="99"/>
      <c r="E75" s="91"/>
      <c r="F75" s="100"/>
      <c r="G75" s="93"/>
      <c r="H75" s="94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  <c r="AL75" s="95"/>
      <c r="AM75" s="95"/>
      <c r="AN75" s="96">
        <f t="shared" si="11"/>
        <v>0</v>
      </c>
      <c r="AO75" s="92"/>
      <c r="AP75" s="97">
        <f t="shared" si="12"/>
        <v>0</v>
      </c>
    </row>
    <row r="76" spans="1:42" ht="24.9" hidden="1" customHeight="1">
      <c r="A76" s="98">
        <v>5</v>
      </c>
      <c r="B76" s="90"/>
      <c r="C76" s="91"/>
      <c r="D76" s="101"/>
      <c r="E76" s="91"/>
      <c r="F76" s="92"/>
      <c r="G76" s="93"/>
      <c r="H76" s="94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N76" s="96">
        <f>SUM(I76:AM76)</f>
        <v>0</v>
      </c>
      <c r="AO76" s="92"/>
      <c r="AP76" s="97">
        <f>AN76*AO76</f>
        <v>0</v>
      </c>
    </row>
    <row r="77" spans="1:42" ht="24.9" hidden="1" customHeight="1">
      <c r="A77" s="98">
        <v>6</v>
      </c>
      <c r="B77" s="90"/>
      <c r="C77" s="91"/>
      <c r="D77" s="101"/>
      <c r="E77" s="91"/>
      <c r="F77" s="100"/>
      <c r="G77" s="93"/>
      <c r="H77" s="94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  <c r="AL77" s="95"/>
      <c r="AM77" s="95"/>
      <c r="AN77" s="96">
        <f t="shared" ref="AN77:AN79" si="13">SUM(I77:AM77)</f>
        <v>0</v>
      </c>
      <c r="AO77" s="92"/>
      <c r="AP77" s="97">
        <f t="shared" ref="AP77:AP79" si="14">AN77*AO77</f>
        <v>0</v>
      </c>
    </row>
    <row r="78" spans="1:42" ht="24.9" hidden="1" customHeight="1">
      <c r="A78" s="98">
        <v>7</v>
      </c>
      <c r="B78" s="90"/>
      <c r="C78" s="91"/>
      <c r="D78" s="99"/>
      <c r="E78" s="91"/>
      <c r="F78" s="100"/>
      <c r="G78" s="93"/>
      <c r="H78" s="94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  <c r="AL78" s="95"/>
      <c r="AM78" s="95"/>
      <c r="AN78" s="96">
        <f t="shared" si="13"/>
        <v>0</v>
      </c>
      <c r="AO78" s="92"/>
      <c r="AP78" s="97">
        <f t="shared" si="14"/>
        <v>0</v>
      </c>
    </row>
    <row r="79" spans="1:42" ht="24.9" hidden="1" customHeight="1">
      <c r="A79" s="98">
        <v>8</v>
      </c>
      <c r="B79" s="90"/>
      <c r="C79" s="91"/>
      <c r="D79" s="99"/>
      <c r="E79" s="91"/>
      <c r="F79" s="100"/>
      <c r="G79" s="93"/>
      <c r="H79" s="94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  <c r="AL79" s="95"/>
      <c r="AM79" s="95"/>
      <c r="AN79" s="96">
        <f t="shared" si="13"/>
        <v>0</v>
      </c>
      <c r="AO79" s="92"/>
      <c r="AP79" s="97">
        <f t="shared" si="14"/>
        <v>0</v>
      </c>
    </row>
    <row r="80" spans="1:42" ht="24.9" hidden="1" customHeight="1">
      <c r="A80" s="98">
        <v>9</v>
      </c>
      <c r="B80" s="90"/>
      <c r="C80" s="91"/>
      <c r="D80" s="101"/>
      <c r="E80" s="91"/>
      <c r="F80" s="100"/>
      <c r="G80" s="93"/>
      <c r="H80" s="94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  <c r="AL80" s="95"/>
      <c r="AM80" s="95"/>
      <c r="AN80" s="96">
        <f t="shared" ref="AN80:AN82" si="15">SUM(I80:AM80)</f>
        <v>0</v>
      </c>
      <c r="AO80" s="92"/>
      <c r="AP80" s="97">
        <f t="shared" ref="AP80:AP82" si="16">AN80*AO80</f>
        <v>0</v>
      </c>
    </row>
    <row r="81" spans="1:42" ht="24.9" hidden="1" customHeight="1">
      <c r="A81" s="98">
        <v>10</v>
      </c>
      <c r="B81" s="90"/>
      <c r="C81" s="91"/>
      <c r="D81" s="99"/>
      <c r="E81" s="91"/>
      <c r="F81" s="100"/>
      <c r="G81" s="93"/>
      <c r="H81" s="94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N81" s="96">
        <f t="shared" si="15"/>
        <v>0</v>
      </c>
      <c r="AO81" s="92"/>
      <c r="AP81" s="97">
        <f t="shared" si="16"/>
        <v>0</v>
      </c>
    </row>
    <row r="82" spans="1:42" ht="24.9" hidden="1" customHeight="1" thickBot="1">
      <c r="A82" s="98">
        <v>11</v>
      </c>
      <c r="B82" s="90"/>
      <c r="C82" s="91"/>
      <c r="D82" s="99"/>
      <c r="E82" s="91"/>
      <c r="F82" s="100"/>
      <c r="G82" s="93"/>
      <c r="H82" s="94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  <c r="AL82" s="95"/>
      <c r="AM82" s="95"/>
      <c r="AN82" s="96">
        <f t="shared" si="15"/>
        <v>0</v>
      </c>
      <c r="AO82" s="92"/>
      <c r="AP82" s="97">
        <f t="shared" si="16"/>
        <v>0</v>
      </c>
    </row>
    <row r="83" spans="1:42" ht="30" hidden="1" customHeight="1" thickBot="1">
      <c r="A83" s="280" t="s">
        <v>694</v>
      </c>
      <c r="B83" s="281"/>
      <c r="C83" s="281"/>
      <c r="D83" s="281"/>
      <c r="E83" s="281"/>
      <c r="F83" s="281"/>
      <c r="G83" s="281"/>
      <c r="H83" s="282"/>
      <c r="I83" s="103">
        <f>SUM(I72:I82)</f>
        <v>0</v>
      </c>
      <c r="J83" s="103">
        <f t="shared" ref="J83:AL83" si="17">SUM(J72:J82)</f>
        <v>0</v>
      </c>
      <c r="K83" s="103">
        <f t="shared" si="17"/>
        <v>0</v>
      </c>
      <c r="L83" s="103">
        <f t="shared" si="17"/>
        <v>0</v>
      </c>
      <c r="M83" s="103">
        <f t="shared" si="17"/>
        <v>0</v>
      </c>
      <c r="N83" s="103">
        <f t="shared" si="17"/>
        <v>0</v>
      </c>
      <c r="O83" s="103">
        <f t="shared" si="17"/>
        <v>0</v>
      </c>
      <c r="P83" s="103">
        <f t="shared" si="17"/>
        <v>0</v>
      </c>
      <c r="Q83" s="103">
        <f t="shared" si="17"/>
        <v>0</v>
      </c>
      <c r="R83" s="103">
        <f t="shared" si="17"/>
        <v>0</v>
      </c>
      <c r="S83" s="103">
        <f t="shared" si="17"/>
        <v>0</v>
      </c>
      <c r="T83" s="103">
        <f t="shared" si="17"/>
        <v>0</v>
      </c>
      <c r="U83" s="103">
        <f t="shared" si="17"/>
        <v>0</v>
      </c>
      <c r="V83" s="103">
        <f t="shared" si="17"/>
        <v>0</v>
      </c>
      <c r="W83" s="103">
        <f t="shared" si="17"/>
        <v>0</v>
      </c>
      <c r="X83" s="103">
        <f t="shared" si="17"/>
        <v>0</v>
      </c>
      <c r="Y83" s="103">
        <f t="shared" si="17"/>
        <v>0</v>
      </c>
      <c r="Z83" s="103">
        <f t="shared" si="17"/>
        <v>0</v>
      </c>
      <c r="AA83" s="103">
        <f t="shared" si="17"/>
        <v>0</v>
      </c>
      <c r="AB83" s="103">
        <f t="shared" si="17"/>
        <v>0</v>
      </c>
      <c r="AC83" s="103">
        <f t="shared" si="17"/>
        <v>0</v>
      </c>
      <c r="AD83" s="103">
        <f t="shared" si="17"/>
        <v>0</v>
      </c>
      <c r="AE83" s="103">
        <f t="shared" si="17"/>
        <v>0</v>
      </c>
      <c r="AF83" s="103">
        <f t="shared" si="17"/>
        <v>0</v>
      </c>
      <c r="AG83" s="103">
        <f t="shared" si="17"/>
        <v>0</v>
      </c>
      <c r="AH83" s="103">
        <f t="shared" si="17"/>
        <v>0</v>
      </c>
      <c r="AI83" s="103">
        <f t="shared" si="17"/>
        <v>0</v>
      </c>
      <c r="AJ83" s="103">
        <f t="shared" si="17"/>
        <v>0</v>
      </c>
      <c r="AK83" s="103">
        <f t="shared" si="17"/>
        <v>0</v>
      </c>
      <c r="AL83" s="103">
        <f t="shared" si="17"/>
        <v>0</v>
      </c>
      <c r="AM83" s="104">
        <f>SUM(AM72:AM82)</f>
        <v>0</v>
      </c>
      <c r="AN83" s="105">
        <f>SUM(AN72:AN82)</f>
        <v>0</v>
      </c>
      <c r="AO83" s="106"/>
      <c r="AP83" s="107">
        <f>SUM(AP72:AP82)</f>
        <v>0</v>
      </c>
    </row>
    <row r="84" spans="1:42" ht="35.1" customHeight="1" thickBot="1">
      <c r="A84" s="283" t="s">
        <v>231</v>
      </c>
      <c r="B84" s="284"/>
      <c r="C84" s="284"/>
      <c r="D84" s="284"/>
      <c r="E84" s="284"/>
      <c r="F84" s="284"/>
      <c r="G84" s="284"/>
      <c r="H84" s="285"/>
      <c r="I84" s="108">
        <f t="shared" ref="I84:AP84" si="18">I71+I83</f>
        <v>35.25</v>
      </c>
      <c r="J84" s="109">
        <f t="shared" si="18"/>
        <v>50.5</v>
      </c>
      <c r="K84" s="109">
        <f t="shared" si="18"/>
        <v>33</v>
      </c>
      <c r="L84" s="109">
        <f t="shared" si="18"/>
        <v>26</v>
      </c>
      <c r="M84" s="109">
        <f t="shared" si="18"/>
        <v>0</v>
      </c>
      <c r="N84" s="109">
        <f t="shared" si="18"/>
        <v>39.5</v>
      </c>
      <c r="O84" s="109">
        <f t="shared" si="18"/>
        <v>54.5</v>
      </c>
      <c r="P84" s="109">
        <f t="shared" si="18"/>
        <v>42.375</v>
      </c>
      <c r="Q84" s="109">
        <f t="shared" si="18"/>
        <v>55.375</v>
      </c>
      <c r="R84" s="109">
        <f t="shared" si="18"/>
        <v>39.5</v>
      </c>
      <c r="S84" s="109">
        <f t="shared" si="18"/>
        <v>28.8125</v>
      </c>
      <c r="T84" s="109">
        <f t="shared" si="18"/>
        <v>0</v>
      </c>
      <c r="U84" s="109">
        <f t="shared" si="18"/>
        <v>43.1875</v>
      </c>
      <c r="V84" s="109">
        <f t="shared" si="18"/>
        <v>62.5</v>
      </c>
      <c r="W84" s="109">
        <f t="shared" si="18"/>
        <v>44</v>
      </c>
      <c r="X84" s="109">
        <f t="shared" si="18"/>
        <v>67</v>
      </c>
      <c r="Y84" s="109">
        <f t="shared" si="18"/>
        <v>46</v>
      </c>
      <c r="Z84" s="109">
        <f t="shared" si="18"/>
        <v>29.875</v>
      </c>
      <c r="AA84" s="109">
        <f t="shared" si="18"/>
        <v>0</v>
      </c>
      <c r="AB84" s="109">
        <f t="shared" si="18"/>
        <v>50.125</v>
      </c>
      <c r="AC84" s="109">
        <f t="shared" si="18"/>
        <v>71.375</v>
      </c>
      <c r="AD84" s="109">
        <f t="shared" si="18"/>
        <v>47.125</v>
      </c>
      <c r="AE84" s="109">
        <f t="shared" si="18"/>
        <v>55</v>
      </c>
      <c r="AF84" s="109">
        <f t="shared" si="18"/>
        <v>54.375</v>
      </c>
      <c r="AG84" s="109">
        <f t="shared" si="18"/>
        <v>33.8125</v>
      </c>
      <c r="AH84" s="109">
        <f t="shared" si="18"/>
        <v>0</v>
      </c>
      <c r="AI84" s="109">
        <f t="shared" si="18"/>
        <v>54</v>
      </c>
      <c r="AJ84" s="109">
        <f t="shared" si="18"/>
        <v>76.75</v>
      </c>
      <c r="AK84" s="109">
        <f t="shared" si="18"/>
        <v>52.875</v>
      </c>
      <c r="AL84" s="109">
        <f t="shared" si="18"/>
        <v>75.25</v>
      </c>
      <c r="AM84" s="109">
        <f t="shared" si="18"/>
        <v>0</v>
      </c>
      <c r="AN84" s="110">
        <f t="shared" si="18"/>
        <v>1328.3125</v>
      </c>
      <c r="AO84" s="111">
        <f t="shared" si="18"/>
        <v>190923.07692307694</v>
      </c>
      <c r="AP84" s="112">
        <f t="shared" si="18"/>
        <v>258639375</v>
      </c>
    </row>
    <row r="85" spans="1:42">
      <c r="G85" s="78"/>
      <c r="H85" s="78"/>
      <c r="AG85" s="113"/>
      <c r="AI85" s="114"/>
      <c r="AO85" s="78"/>
    </row>
    <row r="86" spans="1:42">
      <c r="G86" s="78"/>
      <c r="H86" s="78"/>
      <c r="AG86" s="113"/>
      <c r="AI86" s="114"/>
      <c r="AO86" s="129"/>
    </row>
    <row r="87" spans="1:42">
      <c r="G87" s="78"/>
      <c r="H87" s="78"/>
      <c r="AG87" s="113"/>
      <c r="AI87" s="114"/>
      <c r="AO87" s="78"/>
    </row>
    <row r="88" spans="1:42">
      <c r="G88" s="78"/>
      <c r="H88" s="78"/>
      <c r="AG88" s="113"/>
      <c r="AI88" s="114"/>
      <c r="AO88" s="78"/>
    </row>
    <row r="89" spans="1:42">
      <c r="G89" s="78"/>
      <c r="H89" s="78"/>
      <c r="AI89" s="113"/>
      <c r="AM89" s="114"/>
      <c r="AO89" s="78"/>
    </row>
    <row r="90" spans="1:42">
      <c r="G90" s="78"/>
      <c r="H90" s="78"/>
      <c r="AI90" s="113"/>
      <c r="AJ90" s="113"/>
      <c r="AM90" s="114"/>
      <c r="AO90" s="78"/>
    </row>
    <row r="91" spans="1:42">
      <c r="G91" s="78"/>
      <c r="H91" s="78"/>
      <c r="AJ91" s="113"/>
      <c r="AK91" s="113"/>
      <c r="AL91" s="113"/>
      <c r="AO91" s="78"/>
    </row>
    <row r="92" spans="1:42">
      <c r="G92" s="78"/>
      <c r="H92" s="78"/>
      <c r="AJ92" s="113"/>
      <c r="AK92" s="113"/>
      <c r="AL92" s="113"/>
      <c r="AO92" s="78"/>
    </row>
    <row r="93" spans="1:42">
      <c r="G93" s="78"/>
      <c r="H93" s="78"/>
      <c r="AJ93" s="113"/>
      <c r="AK93" s="113"/>
      <c r="AL93" s="113"/>
      <c r="AO93" s="78"/>
    </row>
    <row r="94" spans="1:42">
      <c r="G94" s="78"/>
      <c r="H94" s="78"/>
      <c r="AK94" s="113"/>
      <c r="AL94" s="113"/>
      <c r="AO94" s="78"/>
    </row>
    <row r="95" spans="1:42">
      <c r="C95" s="79"/>
      <c r="D95" s="79"/>
      <c r="E95" s="79"/>
      <c r="G95" s="78"/>
      <c r="H95" s="78"/>
      <c r="AN95" s="114"/>
      <c r="AO95" s="78"/>
    </row>
    <row r="96" spans="1:42">
      <c r="C96" s="79"/>
      <c r="D96" s="79"/>
      <c r="E96" s="79"/>
      <c r="G96" s="78"/>
      <c r="H96" s="78"/>
      <c r="AN96" s="114"/>
      <c r="AO96" s="78"/>
    </row>
    <row r="97" spans="3:41">
      <c r="C97" s="79"/>
      <c r="D97" s="79"/>
      <c r="E97" s="79"/>
      <c r="G97" s="78"/>
      <c r="H97" s="78"/>
      <c r="AN97" s="114"/>
      <c r="AO97" s="78"/>
    </row>
    <row r="98" spans="3:41">
      <c r="C98" s="79"/>
      <c r="D98" s="79"/>
      <c r="E98" s="79"/>
      <c r="G98" s="78"/>
      <c r="H98" s="78"/>
      <c r="AN98" s="114"/>
      <c r="AO98" s="78"/>
    </row>
    <row r="99" spans="3:41">
      <c r="C99" s="79"/>
      <c r="D99" s="79"/>
      <c r="E99" s="79"/>
      <c r="G99" s="78"/>
      <c r="H99" s="78"/>
      <c r="AN99" s="114"/>
      <c r="AO99" s="78"/>
    </row>
    <row r="100" spans="3:41">
      <c r="E100" s="79"/>
      <c r="F100" s="79"/>
      <c r="G100" s="78"/>
      <c r="H100" s="78"/>
      <c r="AO100" s="114"/>
    </row>
    <row r="101" spans="3:41">
      <c r="E101" s="79"/>
      <c r="F101" s="79"/>
      <c r="G101" s="78"/>
      <c r="H101" s="78"/>
      <c r="AO101" s="114"/>
    </row>
    <row r="102" spans="3:41">
      <c r="E102" s="79"/>
      <c r="F102" s="79"/>
      <c r="G102" s="78"/>
      <c r="H102" s="78"/>
      <c r="AO102" s="114"/>
    </row>
    <row r="103" spans="3:41">
      <c r="E103" s="79"/>
      <c r="F103" s="79"/>
      <c r="G103" s="78"/>
      <c r="H103" s="78"/>
      <c r="AO103" s="114"/>
    </row>
    <row r="104" spans="3:41">
      <c r="E104" s="79"/>
      <c r="F104" s="79"/>
      <c r="G104" s="78"/>
      <c r="H104" s="78"/>
      <c r="AO104" s="114"/>
    </row>
    <row r="105" spans="3:41">
      <c r="E105" s="79"/>
      <c r="F105" s="79"/>
      <c r="G105" s="78"/>
      <c r="H105" s="78"/>
      <c r="AO105" s="114"/>
    </row>
    <row r="106" spans="3:41">
      <c r="E106" s="79"/>
      <c r="F106" s="79"/>
      <c r="G106" s="78"/>
      <c r="H106" s="78"/>
      <c r="AO106" s="114"/>
    </row>
    <row r="107" spans="3:41">
      <c r="E107" s="79"/>
      <c r="F107" s="79"/>
      <c r="G107" s="78"/>
      <c r="H107" s="78"/>
      <c r="AO107" s="114"/>
    </row>
    <row r="108" spans="3:41">
      <c r="E108" s="79"/>
      <c r="F108" s="79"/>
      <c r="G108" s="78"/>
      <c r="H108" s="78"/>
      <c r="AO108" s="114"/>
    </row>
    <row r="109" spans="3:41">
      <c r="E109" s="79"/>
      <c r="F109" s="79"/>
      <c r="G109" s="78"/>
      <c r="H109" s="78"/>
      <c r="AO109" s="114"/>
    </row>
    <row r="110" spans="3:41">
      <c r="E110" s="79"/>
      <c r="F110" s="79"/>
      <c r="G110" s="78"/>
      <c r="H110" s="78"/>
      <c r="AO110" s="114"/>
    </row>
    <row r="111" spans="3:41">
      <c r="E111" s="79"/>
      <c r="F111" s="79"/>
      <c r="G111" s="78"/>
      <c r="H111" s="78"/>
      <c r="AO111" s="114"/>
    </row>
    <row r="112" spans="3:41">
      <c r="E112" s="79"/>
      <c r="F112" s="79"/>
      <c r="G112" s="78"/>
      <c r="H112" s="78"/>
      <c r="AO112" s="114"/>
    </row>
    <row r="113" spans="5:42">
      <c r="E113" s="79"/>
      <c r="F113" s="79"/>
      <c r="G113" s="78"/>
      <c r="H113" s="78"/>
      <c r="AO113" s="114"/>
    </row>
    <row r="114" spans="5:42">
      <c r="E114" s="79"/>
      <c r="F114" s="79"/>
      <c r="G114" s="78"/>
      <c r="H114" s="78"/>
      <c r="AO114" s="114"/>
    </row>
    <row r="115" spans="5:42">
      <c r="E115" s="79"/>
      <c r="F115" s="79"/>
      <c r="G115" s="78"/>
      <c r="H115" s="78"/>
      <c r="AO115" s="114"/>
    </row>
    <row r="116" spans="5:42">
      <c r="E116" s="79"/>
      <c r="F116" s="79"/>
      <c r="G116" s="78"/>
      <c r="H116" s="78"/>
      <c r="AO116" s="114"/>
    </row>
    <row r="117" spans="5:42">
      <c r="E117" s="79"/>
      <c r="F117" s="79"/>
      <c r="G117" s="78"/>
      <c r="H117" s="78"/>
      <c r="AO117" s="114"/>
    </row>
    <row r="118" spans="5:42">
      <c r="E118" s="79"/>
      <c r="F118" s="79"/>
      <c r="G118" s="78"/>
      <c r="H118" s="78"/>
      <c r="AO118" s="114"/>
    </row>
    <row r="119" spans="5:42">
      <c r="E119" s="79"/>
      <c r="F119" s="79"/>
      <c r="G119" s="78"/>
      <c r="H119" s="78"/>
      <c r="AO119" s="114"/>
    </row>
    <row r="120" spans="5:42">
      <c r="E120" s="79"/>
      <c r="F120" s="79"/>
      <c r="G120" s="78"/>
      <c r="H120" s="78"/>
      <c r="AO120" s="114"/>
    </row>
    <row r="121" spans="5:42">
      <c r="E121" s="79"/>
      <c r="F121" s="79"/>
      <c r="G121" s="78"/>
      <c r="H121" s="78"/>
      <c r="AO121" s="114"/>
    </row>
    <row r="122" spans="5:42">
      <c r="E122" s="79"/>
      <c r="F122" s="79"/>
      <c r="G122" s="78"/>
      <c r="H122" s="78"/>
      <c r="AO122" s="114"/>
    </row>
    <row r="123" spans="5:42">
      <c r="E123" s="79"/>
      <c r="F123" s="79"/>
      <c r="G123" s="78"/>
      <c r="H123" s="78"/>
      <c r="AO123" s="114"/>
    </row>
    <row r="124" spans="5:42">
      <c r="F124" s="79"/>
      <c r="H124" s="78"/>
      <c r="AN124" s="113"/>
      <c r="AO124" s="78"/>
      <c r="AP124" s="116"/>
    </row>
    <row r="125" spans="5:42">
      <c r="F125" s="79"/>
      <c r="H125" s="78"/>
      <c r="AN125" s="113"/>
      <c r="AO125" s="78"/>
      <c r="AP125" s="116"/>
    </row>
    <row r="126" spans="5:42">
      <c r="F126" s="79"/>
      <c r="H126" s="78"/>
      <c r="AN126" s="113"/>
      <c r="AO126" s="78"/>
      <c r="AP126" s="116"/>
    </row>
    <row r="127" spans="5:42">
      <c r="F127" s="79"/>
      <c r="H127" s="78"/>
      <c r="AN127" s="113"/>
      <c r="AO127" s="78"/>
      <c r="AP127" s="116"/>
    </row>
    <row r="128" spans="5:42">
      <c r="F128" s="79"/>
      <c r="H128" s="78"/>
      <c r="AN128" s="113"/>
      <c r="AO128" s="78"/>
      <c r="AP128" s="116"/>
    </row>
    <row r="129" spans="6:42">
      <c r="F129" s="79"/>
      <c r="H129" s="78"/>
      <c r="AN129" s="113"/>
      <c r="AO129" s="78"/>
      <c r="AP129" s="116"/>
    </row>
    <row r="130" spans="6:42">
      <c r="F130" s="79"/>
      <c r="H130" s="78"/>
      <c r="AN130" s="113"/>
      <c r="AO130" s="78"/>
      <c r="AP130" s="116"/>
    </row>
    <row r="131" spans="6:42">
      <c r="F131" s="79"/>
      <c r="H131" s="78"/>
      <c r="AN131" s="113"/>
      <c r="AO131" s="78"/>
      <c r="AP131" s="116"/>
    </row>
    <row r="132" spans="6:42">
      <c r="F132" s="79"/>
      <c r="H132" s="78"/>
      <c r="AN132" s="113"/>
      <c r="AO132" s="78"/>
      <c r="AP132" s="116"/>
    </row>
    <row r="133" spans="6:42">
      <c r="F133" s="79"/>
      <c r="H133" s="78"/>
      <c r="AN133" s="113"/>
      <c r="AO133" s="78"/>
      <c r="AP133" s="116"/>
    </row>
    <row r="134" spans="6:42">
      <c r="F134" s="79"/>
      <c r="H134" s="78"/>
      <c r="AN134" s="113"/>
      <c r="AO134" s="78"/>
      <c r="AP134" s="116"/>
    </row>
    <row r="135" spans="6:42">
      <c r="F135" s="79"/>
      <c r="H135" s="78"/>
      <c r="AN135" s="113"/>
      <c r="AO135" s="78"/>
      <c r="AP135" s="116"/>
    </row>
    <row r="136" spans="6:42">
      <c r="F136" s="79"/>
      <c r="H136" s="78"/>
      <c r="AN136" s="113"/>
      <c r="AO136" s="78"/>
      <c r="AP136" s="116"/>
    </row>
    <row r="137" spans="6:42">
      <c r="F137" s="79"/>
      <c r="H137" s="78"/>
      <c r="AN137" s="113"/>
      <c r="AO137" s="78"/>
      <c r="AP137" s="116"/>
    </row>
    <row r="138" spans="6:42">
      <c r="F138" s="79"/>
      <c r="H138" s="78"/>
      <c r="AN138" s="113"/>
      <c r="AO138" s="78"/>
      <c r="AP138" s="116"/>
    </row>
    <row r="139" spans="6:42">
      <c r="F139" s="79"/>
      <c r="H139" s="78"/>
      <c r="AN139" s="113"/>
      <c r="AO139" s="78"/>
      <c r="AP139" s="116"/>
    </row>
    <row r="140" spans="6:42">
      <c r="F140" s="79"/>
      <c r="H140" s="78"/>
      <c r="AN140" s="113"/>
      <c r="AO140" s="78"/>
      <c r="AP140" s="116"/>
    </row>
    <row r="141" spans="6:42">
      <c r="F141" s="79"/>
      <c r="H141" s="78"/>
      <c r="AN141" s="113"/>
      <c r="AO141" s="78"/>
      <c r="AP141" s="116"/>
    </row>
    <row r="142" spans="6:42">
      <c r="F142" s="79"/>
      <c r="H142" s="78"/>
      <c r="AN142" s="113"/>
      <c r="AO142" s="78"/>
      <c r="AP142" s="116"/>
    </row>
    <row r="143" spans="6:42">
      <c r="F143" s="79"/>
      <c r="H143" s="78"/>
      <c r="AN143" s="113"/>
      <c r="AO143" s="78"/>
      <c r="AP143" s="116"/>
    </row>
    <row r="144" spans="6:42">
      <c r="F144" s="79"/>
      <c r="H144" s="78"/>
      <c r="AN144" s="113"/>
      <c r="AO144" s="78"/>
      <c r="AP144" s="116"/>
    </row>
    <row r="145" spans="6:42">
      <c r="F145" s="79"/>
      <c r="H145" s="78"/>
      <c r="AN145" s="113"/>
      <c r="AO145" s="78"/>
      <c r="AP145" s="116"/>
    </row>
    <row r="146" spans="6:42">
      <c r="F146" s="79"/>
      <c r="H146" s="78"/>
      <c r="AN146" s="113"/>
      <c r="AO146" s="78"/>
      <c r="AP146" s="116"/>
    </row>
    <row r="147" spans="6:42">
      <c r="F147" s="79"/>
      <c r="H147" s="78"/>
      <c r="AN147" s="113"/>
      <c r="AO147" s="78"/>
      <c r="AP147" s="116"/>
    </row>
    <row r="148" spans="6:42">
      <c r="F148" s="79"/>
      <c r="H148" s="78"/>
      <c r="AN148" s="113"/>
      <c r="AO148" s="78"/>
      <c r="AP148" s="116"/>
    </row>
    <row r="149" spans="6:42">
      <c r="F149" s="79"/>
      <c r="H149" s="78"/>
      <c r="AN149" s="113"/>
      <c r="AO149" s="78"/>
      <c r="AP149" s="116"/>
    </row>
    <row r="150" spans="6:42">
      <c r="F150" s="79"/>
      <c r="H150" s="78"/>
      <c r="AN150" s="113"/>
      <c r="AO150" s="78"/>
      <c r="AP150" s="116"/>
    </row>
    <row r="151" spans="6:42">
      <c r="F151" s="79"/>
      <c r="H151" s="78"/>
      <c r="AN151" s="113"/>
      <c r="AO151" s="78"/>
      <c r="AP151" s="116"/>
    </row>
    <row r="152" spans="6:42">
      <c r="F152" s="79"/>
      <c r="H152" s="78"/>
      <c r="AN152" s="113"/>
      <c r="AO152" s="78"/>
      <c r="AP152" s="116"/>
    </row>
    <row r="153" spans="6:42">
      <c r="F153" s="79"/>
      <c r="H153" s="78"/>
      <c r="AN153" s="113"/>
      <c r="AO153" s="78"/>
      <c r="AP153" s="116"/>
    </row>
    <row r="154" spans="6:42">
      <c r="F154" s="79"/>
      <c r="H154" s="78"/>
      <c r="AN154" s="113"/>
      <c r="AO154" s="78"/>
      <c r="AP154" s="116"/>
    </row>
    <row r="155" spans="6:42">
      <c r="F155" s="79"/>
      <c r="H155" s="78"/>
      <c r="AN155" s="113"/>
      <c r="AO155" s="78"/>
      <c r="AP155" s="116"/>
    </row>
    <row r="156" spans="6:42">
      <c r="F156" s="79"/>
      <c r="H156" s="78"/>
      <c r="AN156" s="113"/>
      <c r="AO156" s="78"/>
      <c r="AP156" s="116"/>
    </row>
    <row r="157" spans="6:42">
      <c r="F157" s="79"/>
      <c r="H157" s="78"/>
      <c r="AN157" s="113"/>
      <c r="AO157" s="78"/>
      <c r="AP157" s="116"/>
    </row>
    <row r="158" spans="6:42">
      <c r="F158" s="79"/>
      <c r="H158" s="78"/>
      <c r="AN158" s="113"/>
      <c r="AO158" s="78"/>
      <c r="AP158" s="116"/>
    </row>
    <row r="159" spans="6:42">
      <c r="F159" s="79"/>
      <c r="H159" s="78"/>
      <c r="AN159" s="113"/>
      <c r="AO159" s="78"/>
      <c r="AP159" s="116"/>
    </row>
    <row r="160" spans="6:42">
      <c r="F160" s="79"/>
      <c r="H160" s="78"/>
      <c r="AN160" s="113"/>
      <c r="AO160" s="78"/>
      <c r="AP160" s="116"/>
    </row>
    <row r="161" spans="6:42">
      <c r="F161" s="79"/>
      <c r="H161" s="78"/>
      <c r="AN161" s="113"/>
      <c r="AO161" s="78"/>
      <c r="AP161" s="116"/>
    </row>
    <row r="162" spans="6:42">
      <c r="F162" s="79"/>
      <c r="H162" s="78"/>
      <c r="AN162" s="113"/>
      <c r="AO162" s="78"/>
      <c r="AP162" s="116"/>
    </row>
    <row r="163" spans="6:42">
      <c r="F163" s="79"/>
      <c r="H163" s="78"/>
      <c r="AN163" s="113"/>
      <c r="AO163" s="78"/>
      <c r="AP163" s="116"/>
    </row>
    <row r="164" spans="6:42">
      <c r="F164" s="79"/>
      <c r="H164" s="78"/>
      <c r="AN164" s="113"/>
      <c r="AO164" s="78"/>
      <c r="AP164" s="116"/>
    </row>
    <row r="165" spans="6:42">
      <c r="F165" s="79"/>
      <c r="H165" s="78"/>
      <c r="AN165" s="113"/>
      <c r="AO165" s="78"/>
      <c r="AP165" s="116"/>
    </row>
  </sheetData>
  <mergeCells count="10">
    <mergeCell ref="AM1:AP1"/>
    <mergeCell ref="AH2:AL2"/>
    <mergeCell ref="AM2:AP2"/>
    <mergeCell ref="AH3:AL3"/>
    <mergeCell ref="AM3:AP3"/>
    <mergeCell ref="A71:H71"/>
    <mergeCell ref="A83:H83"/>
    <mergeCell ref="A84:H84"/>
    <mergeCell ref="A1:AG3"/>
    <mergeCell ref="AH1:AL1"/>
  </mergeCells>
  <phoneticPr fontId="3" type="noConversion"/>
  <conditionalFormatting sqref="B72:B82">
    <cfRule type="duplicateValues" dxfId="52" priority="117"/>
  </conditionalFormatting>
  <conditionalFormatting sqref="B85:B1048576 B1:B70">
    <cfRule type="duplicateValues" dxfId="51" priority="17"/>
  </conditionalFormatting>
  <conditionalFormatting sqref="B6:C70">
    <cfRule type="duplicateValues" dxfId="50" priority="150"/>
  </conditionalFormatting>
  <conditionalFormatting sqref="B72:C82">
    <cfRule type="duplicateValues" dxfId="49" priority="119"/>
  </conditionalFormatting>
  <conditionalFormatting sqref="B85:C1048576 B1:C5">
    <cfRule type="duplicateValues" dxfId="48" priority="41"/>
  </conditionalFormatting>
  <conditionalFormatting sqref="C5">
    <cfRule type="duplicateValues" dxfId="47" priority="34"/>
    <cfRule type="duplicateValues" dxfId="46" priority="35"/>
    <cfRule type="duplicateValues" dxfId="45" priority="36"/>
  </conditionalFormatting>
  <conditionalFormatting sqref="C6:C70">
    <cfRule type="duplicateValues" dxfId="44" priority="152"/>
    <cfRule type="duplicateValues" dxfId="43" priority="153"/>
    <cfRule type="duplicateValues" dxfId="42" priority="154"/>
    <cfRule type="duplicateValues" dxfId="41" priority="155"/>
  </conditionalFormatting>
  <conditionalFormatting sqref="C72:C82 E72:E82">
    <cfRule type="duplicateValues" dxfId="40" priority="121"/>
  </conditionalFormatting>
  <conditionalFormatting sqref="C72:C82">
    <cfRule type="duplicateValues" dxfId="39" priority="123"/>
    <cfRule type="duplicateValues" dxfId="38" priority="124"/>
    <cfRule type="duplicateValues" dxfId="37" priority="125"/>
  </conditionalFormatting>
  <conditionalFormatting sqref="C85:C1048576 C1:C5">
    <cfRule type="duplicateValues" dxfId="36" priority="18"/>
  </conditionalFormatting>
  <conditionalFormatting sqref="C85:C1048576 C4">
    <cfRule type="duplicateValues" dxfId="35" priority="33"/>
  </conditionalFormatting>
  <conditionalFormatting sqref="C85:C1048576 C4:C5">
    <cfRule type="duplicateValues" dxfId="34" priority="23"/>
    <cfRule type="duplicateValues" dxfId="33" priority="26"/>
    <cfRule type="duplicateValues" dxfId="32" priority="31"/>
  </conditionalFormatting>
  <conditionalFormatting sqref="C85:C1048576">
    <cfRule type="duplicateValues" dxfId="31" priority="27"/>
  </conditionalFormatting>
  <conditionalFormatting sqref="E5">
    <cfRule type="duplicateValues" dxfId="30" priority="37"/>
    <cfRule type="duplicateValues" dxfId="29" priority="38"/>
  </conditionalFormatting>
  <conditionalFormatting sqref="E72:E82">
    <cfRule type="duplicateValues" dxfId="28" priority="131"/>
    <cfRule type="duplicateValues" dxfId="27" priority="132"/>
    <cfRule type="duplicateValues" dxfId="26" priority="133"/>
  </conditionalFormatting>
  <conditionalFormatting sqref="E85:E1048576 C4:C5 E4:E5 C85:C1048576">
    <cfRule type="duplicateValues" dxfId="25" priority="28"/>
  </conditionalFormatting>
  <conditionalFormatting sqref="E85:E1048576 E1:E5">
    <cfRule type="duplicateValues" dxfId="24" priority="20"/>
  </conditionalFormatting>
  <conditionalFormatting sqref="E85:E1048576 E4:E5">
    <cfRule type="duplicateValues" dxfId="23" priority="22"/>
    <cfRule type="duplicateValues" dxfId="22" priority="25"/>
    <cfRule type="duplicateValues" dxfId="21" priority="30"/>
  </conditionalFormatting>
  <conditionalFormatting sqref="G6:H70">
    <cfRule type="duplicateValues" dxfId="20" priority="169"/>
  </conditionalFormatting>
  <conditionalFormatting sqref="G72:H82">
    <cfRule type="duplicateValues" dxfId="19" priority="141"/>
  </conditionalFormatting>
  <conditionalFormatting sqref="G85:H1048576 G1:H5">
    <cfRule type="duplicateValues" dxfId="18" priority="19"/>
  </conditionalFormatting>
  <conditionalFormatting sqref="H5">
    <cfRule type="duplicateValues" dxfId="17" priority="39"/>
    <cfRule type="duplicateValues" dxfId="16" priority="40"/>
  </conditionalFormatting>
  <conditionalFormatting sqref="H6:H70">
    <cfRule type="duplicateValues" dxfId="15" priority="171"/>
    <cfRule type="duplicateValues" dxfId="14" priority="172"/>
    <cfRule type="duplicateValues" dxfId="13" priority="173"/>
    <cfRule type="duplicateValues" dxfId="12" priority="174"/>
    <cfRule type="duplicateValues" dxfId="11" priority="175"/>
    <cfRule type="duplicateValues" dxfId="10" priority="176"/>
  </conditionalFormatting>
  <conditionalFormatting sqref="H72:H82">
    <cfRule type="duplicateValues" dxfId="9" priority="143"/>
    <cfRule type="duplicateValues" dxfId="8" priority="144"/>
    <cfRule type="duplicateValues" dxfId="7" priority="145"/>
    <cfRule type="duplicateValues" dxfId="6" priority="146"/>
    <cfRule type="duplicateValues" dxfId="5" priority="147"/>
    <cfRule type="duplicateValues" dxfId="4" priority="148"/>
  </conditionalFormatting>
  <conditionalFormatting sqref="H85:H1048576 H4">
    <cfRule type="duplicateValues" dxfId="3" priority="32"/>
  </conditionalFormatting>
  <conditionalFormatting sqref="H85:H1048576 H4:H5">
    <cfRule type="duplicateValues" dxfId="2" priority="21"/>
    <cfRule type="duplicateValues" dxfId="1" priority="24"/>
    <cfRule type="duplicateValues" dxfId="0" priority="29"/>
  </conditionalFormatting>
  <pageMargins left="0.7" right="0.7" top="0.75" bottom="0.75" header="0.3" footer="0.3"/>
  <pageSetup paperSize="9" scale="27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17"/>
  <sheetViews>
    <sheetView view="pageBreakPreview" zoomScaleNormal="100" zoomScaleSheetLayoutView="100" workbookViewId="0">
      <selection activeCell="I3" sqref="I3"/>
    </sheetView>
  </sheetViews>
  <sheetFormatPr defaultRowHeight="17.399999999999999"/>
  <cols>
    <col min="1" max="1" width="9" style="54"/>
    <col min="2" max="3" width="12.59765625" style="54" customWidth="1"/>
    <col min="4" max="4" width="16" style="54" bestFit="1" customWidth="1"/>
    <col min="5" max="5" width="31.3984375" style="54" bestFit="1" customWidth="1"/>
    <col min="6" max="6" width="10.59765625" style="54" customWidth="1"/>
    <col min="7" max="8" width="8.09765625" style="54" customWidth="1"/>
    <col min="9" max="9" width="13.59765625" style="54" customWidth="1"/>
    <col min="10" max="10" width="35.59765625" style="54" customWidth="1"/>
    <col min="11" max="12" width="9" style="54"/>
  </cols>
  <sheetData>
    <row r="1" spans="1:12" ht="35.1" customHeight="1">
      <c r="A1" s="301" t="s">
        <v>232</v>
      </c>
      <c r="B1" s="302"/>
      <c r="C1" s="302"/>
      <c r="D1" s="302"/>
      <c r="E1" s="302"/>
      <c r="F1" s="302"/>
      <c r="G1" s="302"/>
      <c r="H1" s="302"/>
      <c r="I1" s="302"/>
      <c r="J1" s="303"/>
    </row>
    <row r="2" spans="1:12" ht="20.100000000000001" customHeight="1">
      <c r="A2" s="304" t="s">
        <v>233</v>
      </c>
      <c r="B2" s="304" t="s">
        <v>234</v>
      </c>
      <c r="C2" s="304" t="s">
        <v>235</v>
      </c>
      <c r="D2" s="304" t="s">
        <v>236</v>
      </c>
      <c r="E2" s="304" t="s">
        <v>237</v>
      </c>
      <c r="F2" s="304" t="s">
        <v>238</v>
      </c>
      <c r="G2" s="304" t="s">
        <v>239</v>
      </c>
      <c r="H2" s="304" t="s">
        <v>240</v>
      </c>
      <c r="I2" s="117" t="s">
        <v>241</v>
      </c>
      <c r="J2" s="304" t="s">
        <v>242</v>
      </c>
    </row>
    <row r="3" spans="1:12" ht="20.100000000000001" customHeight="1">
      <c r="A3" s="304"/>
      <c r="B3" s="304"/>
      <c r="C3" s="304"/>
      <c r="D3" s="304"/>
      <c r="E3" s="304"/>
      <c r="F3" s="304"/>
      <c r="G3" s="304"/>
      <c r="H3" s="304"/>
      <c r="I3" s="118">
        <f>SUM(I4:I17)</f>
        <v>23280000</v>
      </c>
      <c r="J3" s="304"/>
      <c r="L3" s="119" t="s">
        <v>243</v>
      </c>
    </row>
    <row r="4" spans="1:12" ht="20.100000000000001" customHeight="1">
      <c r="A4" s="120">
        <v>1</v>
      </c>
      <c r="B4" s="130">
        <v>46142</v>
      </c>
      <c r="C4" s="120" t="s">
        <v>244</v>
      </c>
      <c r="D4" s="120" t="s">
        <v>639</v>
      </c>
      <c r="E4" s="131" t="s">
        <v>490</v>
      </c>
      <c r="F4" s="120" t="s">
        <v>301</v>
      </c>
      <c r="G4" s="120">
        <v>1</v>
      </c>
      <c r="H4" s="120">
        <v>6</v>
      </c>
      <c r="I4" s="121">
        <v>1600000</v>
      </c>
      <c r="J4" s="120" t="s">
        <v>246</v>
      </c>
      <c r="L4" s="122" t="s">
        <v>247</v>
      </c>
    </row>
    <row r="5" spans="1:12" ht="20.100000000000001" customHeight="1">
      <c r="A5" s="120">
        <v>2</v>
      </c>
      <c r="B5" s="130">
        <v>46142</v>
      </c>
      <c r="C5" s="120" t="s">
        <v>244</v>
      </c>
      <c r="D5" s="120" t="s">
        <v>639</v>
      </c>
      <c r="E5" s="131" t="s">
        <v>492</v>
      </c>
      <c r="F5" s="120" t="s">
        <v>489</v>
      </c>
      <c r="G5" s="120">
        <v>1</v>
      </c>
      <c r="H5" s="120">
        <v>6</v>
      </c>
      <c r="I5" s="121">
        <v>1700000</v>
      </c>
      <c r="J5" s="120" t="s">
        <v>246</v>
      </c>
      <c r="L5" s="122" t="s">
        <v>248</v>
      </c>
    </row>
    <row r="6" spans="1:12" ht="20.100000000000001" customHeight="1">
      <c r="A6" s="120">
        <v>3</v>
      </c>
      <c r="B6" s="130">
        <v>46142</v>
      </c>
      <c r="C6" s="120" t="s">
        <v>244</v>
      </c>
      <c r="D6" s="120" t="s">
        <v>639</v>
      </c>
      <c r="E6" s="131" t="s">
        <v>494</v>
      </c>
      <c r="F6" s="120" t="s">
        <v>301</v>
      </c>
      <c r="G6" s="120">
        <v>1</v>
      </c>
      <c r="H6" s="120">
        <v>6</v>
      </c>
      <c r="I6" s="121">
        <v>1530000</v>
      </c>
      <c r="J6" s="120" t="s">
        <v>246</v>
      </c>
      <c r="L6" s="122" t="s">
        <v>249</v>
      </c>
    </row>
    <row r="7" spans="1:12" ht="20.100000000000001" customHeight="1">
      <c r="A7" s="120">
        <v>4</v>
      </c>
      <c r="B7" s="130">
        <v>46142</v>
      </c>
      <c r="C7" s="120" t="s">
        <v>244</v>
      </c>
      <c r="D7" s="120" t="s">
        <v>639</v>
      </c>
      <c r="E7" s="131" t="s">
        <v>496</v>
      </c>
      <c r="F7" s="120" t="s">
        <v>300</v>
      </c>
      <c r="G7" s="120">
        <v>1</v>
      </c>
      <c r="H7" s="120">
        <v>4</v>
      </c>
      <c r="I7" s="121">
        <v>1300000</v>
      </c>
      <c r="J7" s="120" t="s">
        <v>246</v>
      </c>
      <c r="L7" s="122" t="s">
        <v>250</v>
      </c>
    </row>
    <row r="8" spans="1:12" ht="20.100000000000001" customHeight="1">
      <c r="A8" s="120">
        <v>5</v>
      </c>
      <c r="B8" s="130">
        <v>46142</v>
      </c>
      <c r="C8" s="120" t="s">
        <v>244</v>
      </c>
      <c r="D8" s="120" t="s">
        <v>639</v>
      </c>
      <c r="E8" s="131" t="s">
        <v>498</v>
      </c>
      <c r="F8" s="120" t="s">
        <v>301</v>
      </c>
      <c r="G8" s="120">
        <v>1</v>
      </c>
      <c r="H8" s="120">
        <v>6</v>
      </c>
      <c r="I8" s="121">
        <v>1600000</v>
      </c>
      <c r="J8" s="120" t="s">
        <v>246</v>
      </c>
      <c r="L8" s="123" t="s">
        <v>251</v>
      </c>
    </row>
    <row r="9" spans="1:12" ht="20.100000000000001" customHeight="1">
      <c r="A9" s="120">
        <v>6</v>
      </c>
      <c r="B9" s="130">
        <v>46142</v>
      </c>
      <c r="C9" s="120" t="s">
        <v>244</v>
      </c>
      <c r="D9" s="120" t="s">
        <v>639</v>
      </c>
      <c r="E9" s="131" t="s">
        <v>500</v>
      </c>
      <c r="F9" s="120" t="s">
        <v>489</v>
      </c>
      <c r="G9" s="120">
        <v>1</v>
      </c>
      <c r="H9" s="120">
        <v>6</v>
      </c>
      <c r="I9" s="121">
        <v>2000000</v>
      </c>
      <c r="J9" s="120" t="s">
        <v>246</v>
      </c>
      <c r="L9" s="123" t="s">
        <v>252</v>
      </c>
    </row>
    <row r="10" spans="1:12" ht="20.100000000000001" customHeight="1">
      <c r="A10" s="120">
        <v>7</v>
      </c>
      <c r="B10" s="130">
        <v>46142</v>
      </c>
      <c r="C10" s="120" t="s">
        <v>244</v>
      </c>
      <c r="D10" s="120" t="s">
        <v>639</v>
      </c>
      <c r="E10" s="131" t="s">
        <v>502</v>
      </c>
      <c r="F10" s="120" t="s">
        <v>300</v>
      </c>
      <c r="G10" s="120">
        <v>1</v>
      </c>
      <c r="H10" s="120">
        <v>6</v>
      </c>
      <c r="I10" s="121">
        <v>1600000</v>
      </c>
      <c r="J10" s="120" t="s">
        <v>246</v>
      </c>
      <c r="L10" s="123" t="s">
        <v>253</v>
      </c>
    </row>
    <row r="11" spans="1:12" ht="20.100000000000001" customHeight="1">
      <c r="A11" s="120">
        <v>8</v>
      </c>
      <c r="B11" s="130">
        <v>46142</v>
      </c>
      <c r="C11" s="120" t="s">
        <v>244</v>
      </c>
      <c r="D11" s="120" t="s">
        <v>639</v>
      </c>
      <c r="E11" s="131" t="s">
        <v>504</v>
      </c>
      <c r="F11" s="120" t="s">
        <v>300</v>
      </c>
      <c r="G11" s="120">
        <v>1</v>
      </c>
      <c r="H11" s="120">
        <v>6</v>
      </c>
      <c r="I11" s="121">
        <v>1900000</v>
      </c>
      <c r="J11" s="120" t="s">
        <v>246</v>
      </c>
      <c r="L11" s="123"/>
    </row>
    <row r="12" spans="1:12" ht="20.100000000000001" customHeight="1">
      <c r="A12" s="120">
        <v>9</v>
      </c>
      <c r="B12" s="130">
        <v>46142</v>
      </c>
      <c r="C12" s="120" t="s">
        <v>244</v>
      </c>
      <c r="D12" s="120" t="s">
        <v>639</v>
      </c>
      <c r="E12" s="131" t="s">
        <v>505</v>
      </c>
      <c r="F12" s="120" t="s">
        <v>300</v>
      </c>
      <c r="G12" s="120">
        <v>1</v>
      </c>
      <c r="H12" s="120">
        <v>6</v>
      </c>
      <c r="I12" s="121">
        <v>1800000</v>
      </c>
      <c r="J12" s="120" t="s">
        <v>246</v>
      </c>
      <c r="L12" s="119" t="s">
        <v>254</v>
      </c>
    </row>
    <row r="13" spans="1:12" ht="20.100000000000001" customHeight="1">
      <c r="A13" s="120">
        <v>10</v>
      </c>
      <c r="B13" s="130">
        <v>46142</v>
      </c>
      <c r="C13" s="120" t="s">
        <v>244</v>
      </c>
      <c r="D13" s="120" t="s">
        <v>639</v>
      </c>
      <c r="E13" s="131" t="s">
        <v>507</v>
      </c>
      <c r="F13" s="120" t="s">
        <v>301</v>
      </c>
      <c r="G13" s="120">
        <v>1</v>
      </c>
      <c r="H13" s="120">
        <v>6</v>
      </c>
      <c r="I13" s="121">
        <v>1700000</v>
      </c>
      <c r="J13" s="120" t="s">
        <v>246</v>
      </c>
    </row>
    <row r="14" spans="1:12" ht="20.100000000000001" customHeight="1">
      <c r="A14" s="120">
        <v>11</v>
      </c>
      <c r="B14" s="130">
        <v>46142</v>
      </c>
      <c r="C14" s="120" t="s">
        <v>244</v>
      </c>
      <c r="D14" s="120" t="s">
        <v>639</v>
      </c>
      <c r="E14" s="131" t="s">
        <v>509</v>
      </c>
      <c r="F14" s="120" t="s">
        <v>300</v>
      </c>
      <c r="G14" s="120">
        <v>1</v>
      </c>
      <c r="H14" s="120">
        <v>4</v>
      </c>
      <c r="I14" s="121">
        <v>1600000</v>
      </c>
      <c r="J14" s="120" t="s">
        <v>246</v>
      </c>
    </row>
    <row r="15" spans="1:12" ht="20.100000000000001" customHeight="1">
      <c r="A15" s="120">
        <v>12</v>
      </c>
      <c r="B15" s="130">
        <v>46142</v>
      </c>
      <c r="C15" s="120" t="s">
        <v>244</v>
      </c>
      <c r="D15" s="120" t="s">
        <v>639</v>
      </c>
      <c r="E15" s="131" t="s">
        <v>644</v>
      </c>
      <c r="F15" s="120" t="s">
        <v>300</v>
      </c>
      <c r="G15" s="120">
        <v>1</v>
      </c>
      <c r="H15" s="120">
        <v>6</v>
      </c>
      <c r="I15" s="121">
        <v>1650000</v>
      </c>
      <c r="J15" s="120" t="s">
        <v>246</v>
      </c>
    </row>
    <row r="16" spans="1:12" ht="20.100000000000001" customHeight="1">
      <c r="A16" s="120">
        <v>13</v>
      </c>
      <c r="B16" s="130">
        <v>46142</v>
      </c>
      <c r="C16" s="120" t="s">
        <v>244</v>
      </c>
      <c r="D16" s="120" t="s">
        <v>639</v>
      </c>
      <c r="E16" s="131" t="s">
        <v>646</v>
      </c>
      <c r="F16" s="120" t="s">
        <v>301</v>
      </c>
      <c r="G16" s="120">
        <v>1</v>
      </c>
      <c r="H16" s="120">
        <v>6</v>
      </c>
      <c r="I16" s="121">
        <v>1900000</v>
      </c>
      <c r="J16" s="120" t="s">
        <v>246</v>
      </c>
    </row>
    <row r="17" spans="1:10" ht="20.100000000000001" customHeight="1">
      <c r="A17" s="120">
        <v>14</v>
      </c>
      <c r="B17" s="130">
        <v>46142</v>
      </c>
      <c r="C17" s="120" t="s">
        <v>244</v>
      </c>
      <c r="D17" s="120" t="s">
        <v>639</v>
      </c>
      <c r="E17" s="131" t="s">
        <v>648</v>
      </c>
      <c r="F17" s="120" t="s">
        <v>300</v>
      </c>
      <c r="G17" s="120">
        <v>1</v>
      </c>
      <c r="H17" s="120">
        <v>4</v>
      </c>
      <c r="I17" s="121">
        <v>1400000</v>
      </c>
      <c r="J17" s="120" t="s">
        <v>246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57" fitToHeight="0" orientation="landscape" r:id="rId1"/>
  <colBreaks count="1" manualBreakCount="1">
    <brk id="10" max="8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45"/>
  <sheetViews>
    <sheetView view="pageBreakPreview" zoomScaleNormal="100" zoomScaleSheetLayoutView="100" workbookViewId="0">
      <selection activeCell="E36" sqref="E36"/>
    </sheetView>
  </sheetViews>
  <sheetFormatPr defaultRowHeight="17.399999999999999"/>
  <cols>
    <col min="1" max="1" width="9" style="54"/>
    <col min="2" max="3" width="12.59765625" style="54" customWidth="1"/>
    <col min="4" max="4" width="16" style="54" bestFit="1" customWidth="1"/>
    <col min="5" max="5" width="31.3984375" style="54" bestFit="1" customWidth="1"/>
    <col min="6" max="6" width="10.59765625" style="54" customWidth="1"/>
    <col min="7" max="8" width="8.09765625" style="54" customWidth="1"/>
    <col min="9" max="9" width="13.59765625" style="54" customWidth="1"/>
    <col min="10" max="10" width="35.59765625" style="54" customWidth="1"/>
  </cols>
  <sheetData>
    <row r="1" spans="1:10" ht="35.1" customHeight="1">
      <c r="A1" s="301" t="s">
        <v>255</v>
      </c>
      <c r="B1" s="302"/>
      <c r="C1" s="302"/>
      <c r="D1" s="302"/>
      <c r="E1" s="302"/>
      <c r="F1" s="302"/>
      <c r="G1" s="302"/>
      <c r="H1" s="302"/>
      <c r="I1" s="302"/>
      <c r="J1" s="303"/>
    </row>
    <row r="2" spans="1:10" ht="20.100000000000001" customHeight="1">
      <c r="A2" s="304" t="s">
        <v>256</v>
      </c>
      <c r="B2" s="304" t="s">
        <v>234</v>
      </c>
      <c r="C2" s="304" t="s">
        <v>257</v>
      </c>
      <c r="D2" s="304" t="s">
        <v>236</v>
      </c>
      <c r="E2" s="304" t="s">
        <v>258</v>
      </c>
      <c r="F2" s="304" t="s">
        <v>238</v>
      </c>
      <c r="G2" s="304" t="s">
        <v>259</v>
      </c>
      <c r="H2" s="304" t="s">
        <v>260</v>
      </c>
      <c r="I2" s="117" t="s">
        <v>302</v>
      </c>
      <c r="J2" s="304" t="s">
        <v>261</v>
      </c>
    </row>
    <row r="3" spans="1:10" ht="20.100000000000001" customHeight="1">
      <c r="A3" s="304"/>
      <c r="B3" s="304"/>
      <c r="C3" s="304"/>
      <c r="D3" s="304"/>
      <c r="E3" s="304"/>
      <c r="F3" s="304"/>
      <c r="G3" s="304"/>
      <c r="H3" s="304"/>
      <c r="I3" s="118">
        <f>SUM(I4:I45)</f>
        <v>1761540</v>
      </c>
      <c r="J3" s="304"/>
    </row>
    <row r="4" spans="1:10" ht="20.100000000000001" customHeight="1">
      <c r="A4" s="120">
        <v>1</v>
      </c>
      <c r="B4" s="130">
        <v>46142</v>
      </c>
      <c r="C4" s="120" t="s">
        <v>262</v>
      </c>
      <c r="D4" s="120" t="s">
        <v>641</v>
      </c>
      <c r="E4" s="131" t="s">
        <v>491</v>
      </c>
      <c r="F4" s="120" t="s">
        <v>511</v>
      </c>
      <c r="G4" s="120">
        <v>1</v>
      </c>
      <c r="H4" s="120">
        <v>3</v>
      </c>
      <c r="I4" s="136">
        <v>2100</v>
      </c>
      <c r="J4" s="120" t="s">
        <v>246</v>
      </c>
    </row>
    <row r="5" spans="1:10" ht="20.100000000000001" customHeight="1">
      <c r="A5" s="120">
        <v>2</v>
      </c>
      <c r="B5" s="130">
        <v>46142</v>
      </c>
      <c r="C5" s="120" t="s">
        <v>263</v>
      </c>
      <c r="D5" s="120" t="s">
        <v>642</v>
      </c>
      <c r="E5" s="131" t="s">
        <v>491</v>
      </c>
      <c r="F5" s="120" t="s">
        <v>245</v>
      </c>
      <c r="G5" s="120">
        <v>1</v>
      </c>
      <c r="H5" s="120">
        <v>3</v>
      </c>
      <c r="I5" s="136">
        <v>194420</v>
      </c>
      <c r="J5" s="120" t="s">
        <v>246</v>
      </c>
    </row>
    <row r="6" spans="1:10" ht="19.5" customHeight="1">
      <c r="A6" s="120">
        <v>3</v>
      </c>
      <c r="B6" s="130">
        <v>46142</v>
      </c>
      <c r="C6" s="120" t="s">
        <v>263</v>
      </c>
      <c r="D6" s="120" t="s">
        <v>643</v>
      </c>
      <c r="E6" s="131" t="s">
        <v>491</v>
      </c>
      <c r="F6" s="120" t="s">
        <v>245</v>
      </c>
      <c r="G6" s="120">
        <v>1</v>
      </c>
      <c r="H6" s="120">
        <v>3</v>
      </c>
      <c r="I6" s="136">
        <v>37730</v>
      </c>
      <c r="J6" s="120" t="s">
        <v>246</v>
      </c>
    </row>
    <row r="7" spans="1:10" ht="20.100000000000001" customHeight="1">
      <c r="A7" s="120">
        <v>4</v>
      </c>
      <c r="B7" s="130">
        <v>46142</v>
      </c>
      <c r="C7" s="120" t="s">
        <v>263</v>
      </c>
      <c r="D7" s="120" t="s">
        <v>641</v>
      </c>
      <c r="E7" s="131" t="s">
        <v>493</v>
      </c>
      <c r="F7" s="120" t="s">
        <v>309</v>
      </c>
      <c r="G7" s="120">
        <v>1</v>
      </c>
      <c r="H7" s="120">
        <v>5</v>
      </c>
      <c r="I7" s="136">
        <v>16750</v>
      </c>
      <c r="J7" s="120" t="s">
        <v>246</v>
      </c>
    </row>
    <row r="8" spans="1:10" ht="19.5" customHeight="1">
      <c r="A8" s="120">
        <v>5</v>
      </c>
      <c r="B8" s="130">
        <v>46142</v>
      </c>
      <c r="C8" s="120" t="s">
        <v>263</v>
      </c>
      <c r="D8" s="120" t="s">
        <v>642</v>
      </c>
      <c r="E8" s="131" t="s">
        <v>493</v>
      </c>
      <c r="F8" s="120" t="s">
        <v>309</v>
      </c>
      <c r="G8" s="120">
        <v>1</v>
      </c>
      <c r="H8" s="120">
        <v>5</v>
      </c>
      <c r="I8" s="136">
        <v>256300</v>
      </c>
      <c r="J8" s="120" t="s">
        <v>246</v>
      </c>
    </row>
    <row r="9" spans="1:10" ht="20.100000000000001" customHeight="1">
      <c r="A9" s="120">
        <v>6</v>
      </c>
      <c r="B9" s="130">
        <v>46142</v>
      </c>
      <c r="C9" s="120" t="s">
        <v>262</v>
      </c>
      <c r="D9" s="120" t="s">
        <v>643</v>
      </c>
      <c r="E9" s="131" t="s">
        <v>492</v>
      </c>
      <c r="F9" s="120" t="s">
        <v>309</v>
      </c>
      <c r="G9" s="120">
        <v>1</v>
      </c>
      <c r="H9" s="120">
        <v>5</v>
      </c>
      <c r="I9" s="136">
        <v>71390</v>
      </c>
      <c r="J9" s="120" t="s">
        <v>246</v>
      </c>
    </row>
    <row r="10" spans="1:10" ht="20.100000000000001" customHeight="1">
      <c r="A10" s="120">
        <v>7</v>
      </c>
      <c r="B10" s="130">
        <v>46142</v>
      </c>
      <c r="C10" s="120" t="s">
        <v>262</v>
      </c>
      <c r="D10" s="120" t="s">
        <v>641</v>
      </c>
      <c r="E10" s="131" t="s">
        <v>495</v>
      </c>
      <c r="F10" s="120" t="s">
        <v>245</v>
      </c>
      <c r="G10" s="120">
        <v>1</v>
      </c>
      <c r="H10" s="120">
        <v>6</v>
      </c>
      <c r="I10" s="136" t="s">
        <v>651</v>
      </c>
      <c r="J10" s="120" t="s">
        <v>246</v>
      </c>
    </row>
    <row r="11" spans="1:10" ht="19.5" customHeight="1">
      <c r="A11" s="120">
        <v>8</v>
      </c>
      <c r="B11" s="130">
        <v>46142</v>
      </c>
      <c r="C11" s="120" t="s">
        <v>262</v>
      </c>
      <c r="D11" s="120" t="s">
        <v>642</v>
      </c>
      <c r="E11" s="131" t="s">
        <v>495</v>
      </c>
      <c r="F11" s="120" t="s">
        <v>245</v>
      </c>
      <c r="G11" s="120">
        <v>1</v>
      </c>
      <c r="H11" s="120">
        <v>6</v>
      </c>
      <c r="I11" s="136">
        <v>125310</v>
      </c>
      <c r="J11" s="120" t="s">
        <v>246</v>
      </c>
    </row>
    <row r="12" spans="1:10" ht="20.100000000000001" customHeight="1">
      <c r="A12" s="120">
        <v>9</v>
      </c>
      <c r="B12" s="130">
        <v>46142</v>
      </c>
      <c r="C12" s="120" t="s">
        <v>262</v>
      </c>
      <c r="D12" s="120" t="s">
        <v>643</v>
      </c>
      <c r="E12" s="131" t="s">
        <v>495</v>
      </c>
      <c r="F12" s="120" t="s">
        <v>245</v>
      </c>
      <c r="G12" s="120">
        <v>1</v>
      </c>
      <c r="H12" s="120">
        <v>6</v>
      </c>
      <c r="I12" s="136">
        <v>49530</v>
      </c>
      <c r="J12" s="120" t="s">
        <v>246</v>
      </c>
    </row>
    <row r="13" spans="1:10" ht="20.100000000000001" customHeight="1">
      <c r="A13" s="120">
        <v>10</v>
      </c>
      <c r="B13" s="130">
        <v>46142</v>
      </c>
      <c r="C13" s="120" t="s">
        <v>262</v>
      </c>
      <c r="D13" s="120" t="s">
        <v>641</v>
      </c>
      <c r="E13" s="131" t="s">
        <v>497</v>
      </c>
      <c r="F13" s="120" t="s">
        <v>299</v>
      </c>
      <c r="G13" s="120">
        <v>1</v>
      </c>
      <c r="H13" s="120">
        <v>4</v>
      </c>
      <c r="I13" s="136" t="s">
        <v>652</v>
      </c>
      <c r="J13" s="120" t="s">
        <v>246</v>
      </c>
    </row>
    <row r="14" spans="1:10" ht="19.5" customHeight="1">
      <c r="A14" s="120">
        <v>11</v>
      </c>
      <c r="B14" s="130">
        <v>46142</v>
      </c>
      <c r="C14" s="120" t="s">
        <v>262</v>
      </c>
      <c r="D14" s="120" t="s">
        <v>642</v>
      </c>
      <c r="E14" s="131" t="s">
        <v>497</v>
      </c>
      <c r="F14" s="120" t="s">
        <v>299</v>
      </c>
      <c r="G14" s="120">
        <v>1</v>
      </c>
      <c r="H14" s="120">
        <v>4</v>
      </c>
      <c r="I14" s="136">
        <v>148140</v>
      </c>
      <c r="J14" s="120" t="s">
        <v>246</v>
      </c>
    </row>
    <row r="15" spans="1:10" ht="20.100000000000001" customHeight="1">
      <c r="A15" s="120">
        <v>12</v>
      </c>
      <c r="B15" s="130">
        <v>46142</v>
      </c>
      <c r="C15" s="120" t="s">
        <v>262</v>
      </c>
      <c r="D15" s="120" t="s">
        <v>643</v>
      </c>
      <c r="E15" s="131" t="s">
        <v>497</v>
      </c>
      <c r="F15" s="120" t="s">
        <v>299</v>
      </c>
      <c r="G15" s="120">
        <v>1</v>
      </c>
      <c r="H15" s="120">
        <v>4</v>
      </c>
      <c r="I15" s="136">
        <v>40490</v>
      </c>
      <c r="J15" s="120" t="s">
        <v>246</v>
      </c>
    </row>
    <row r="16" spans="1:10" ht="20.100000000000001" customHeight="1">
      <c r="A16" s="120">
        <v>13</v>
      </c>
      <c r="B16" s="130">
        <v>46142</v>
      </c>
      <c r="C16" s="120" t="s">
        <v>262</v>
      </c>
      <c r="D16" s="120" t="s">
        <v>641</v>
      </c>
      <c r="E16" s="131" t="s">
        <v>499</v>
      </c>
      <c r="F16" s="120" t="s">
        <v>245</v>
      </c>
      <c r="G16" s="120">
        <v>1</v>
      </c>
      <c r="H16" s="120">
        <v>6</v>
      </c>
      <c r="I16" s="136">
        <v>1200</v>
      </c>
      <c r="J16" s="120" t="s">
        <v>246</v>
      </c>
    </row>
    <row r="17" spans="1:10" ht="19.5" customHeight="1">
      <c r="A17" s="120">
        <v>14</v>
      </c>
      <c r="B17" s="130">
        <v>46142</v>
      </c>
      <c r="C17" s="120" t="s">
        <v>262</v>
      </c>
      <c r="D17" s="120" t="s">
        <v>642</v>
      </c>
      <c r="E17" s="131" t="s">
        <v>499</v>
      </c>
      <c r="F17" s="120" t="s">
        <v>245</v>
      </c>
      <c r="G17" s="120">
        <v>1</v>
      </c>
      <c r="H17" s="120">
        <v>6</v>
      </c>
      <c r="I17" s="136">
        <v>157440</v>
      </c>
      <c r="J17" s="120" t="s">
        <v>246</v>
      </c>
    </row>
    <row r="18" spans="1:10" ht="20.100000000000001" customHeight="1">
      <c r="A18" s="120">
        <v>15</v>
      </c>
      <c r="B18" s="130">
        <v>46142</v>
      </c>
      <c r="C18" s="120" t="s">
        <v>262</v>
      </c>
      <c r="D18" s="120" t="s">
        <v>643</v>
      </c>
      <c r="E18" s="131" t="s">
        <v>499</v>
      </c>
      <c r="F18" s="120" t="s">
        <v>245</v>
      </c>
      <c r="G18" s="120">
        <v>1</v>
      </c>
      <c r="H18" s="120">
        <v>6</v>
      </c>
      <c r="I18" s="136">
        <v>38740</v>
      </c>
      <c r="J18" s="120" t="s">
        <v>246</v>
      </c>
    </row>
    <row r="19" spans="1:10" ht="20.100000000000001" customHeight="1">
      <c r="A19" s="120">
        <v>16</v>
      </c>
      <c r="B19" s="130">
        <v>46142</v>
      </c>
      <c r="C19" s="120" t="s">
        <v>262</v>
      </c>
      <c r="D19" s="120" t="s">
        <v>641</v>
      </c>
      <c r="E19" s="131" t="s">
        <v>501</v>
      </c>
      <c r="F19" s="120" t="s">
        <v>512</v>
      </c>
      <c r="G19" s="120">
        <v>1</v>
      </c>
      <c r="H19" s="120">
        <v>4</v>
      </c>
      <c r="I19" s="136" t="s">
        <v>652</v>
      </c>
      <c r="J19" s="120" t="s">
        <v>246</v>
      </c>
    </row>
    <row r="20" spans="1:10" ht="19.5" customHeight="1">
      <c r="A20" s="120">
        <v>17</v>
      </c>
      <c r="B20" s="130">
        <v>46142</v>
      </c>
      <c r="C20" s="120" t="s">
        <v>262</v>
      </c>
      <c r="D20" s="120" t="s">
        <v>642</v>
      </c>
      <c r="E20" s="131" t="s">
        <v>501</v>
      </c>
      <c r="F20" s="120" t="s">
        <v>309</v>
      </c>
      <c r="G20" s="120">
        <v>1</v>
      </c>
      <c r="H20" s="120">
        <v>4</v>
      </c>
      <c r="I20" s="136">
        <v>199270</v>
      </c>
      <c r="J20" s="120" t="s">
        <v>246</v>
      </c>
    </row>
    <row r="21" spans="1:10" ht="20.100000000000001" customHeight="1">
      <c r="A21" s="120">
        <v>18</v>
      </c>
      <c r="B21" s="130">
        <v>46142</v>
      </c>
      <c r="C21" s="120" t="s">
        <v>262</v>
      </c>
      <c r="D21" s="120" t="s">
        <v>643</v>
      </c>
      <c r="E21" s="131" t="s">
        <v>501</v>
      </c>
      <c r="F21" s="120" t="s">
        <v>309</v>
      </c>
      <c r="G21" s="120">
        <v>1</v>
      </c>
      <c r="H21" s="120">
        <v>4</v>
      </c>
      <c r="I21" s="136">
        <v>49400</v>
      </c>
      <c r="J21" s="120" t="s">
        <v>246</v>
      </c>
    </row>
    <row r="22" spans="1:10" ht="20.100000000000001" customHeight="1">
      <c r="A22" s="120">
        <v>19</v>
      </c>
      <c r="B22" s="130">
        <v>46142</v>
      </c>
      <c r="C22" s="120" t="s">
        <v>262</v>
      </c>
      <c r="D22" s="120" t="s">
        <v>641</v>
      </c>
      <c r="E22" s="131" t="s">
        <v>503</v>
      </c>
      <c r="F22" s="120" t="s">
        <v>299</v>
      </c>
      <c r="G22" s="120">
        <v>1</v>
      </c>
      <c r="H22" s="120">
        <v>4</v>
      </c>
      <c r="I22" s="136" t="s">
        <v>652</v>
      </c>
      <c r="J22" s="120" t="s">
        <v>246</v>
      </c>
    </row>
    <row r="23" spans="1:10" ht="19.5" customHeight="1">
      <c r="A23" s="120">
        <v>20</v>
      </c>
      <c r="B23" s="130">
        <v>46142</v>
      </c>
      <c r="C23" s="120" t="s">
        <v>262</v>
      </c>
      <c r="D23" s="120" t="s">
        <v>642</v>
      </c>
      <c r="E23" s="131" t="s">
        <v>503</v>
      </c>
      <c r="F23" s="120" t="s">
        <v>299</v>
      </c>
      <c r="G23" s="120">
        <v>1</v>
      </c>
      <c r="H23" s="120">
        <v>4</v>
      </c>
      <c r="I23" s="136">
        <v>95670</v>
      </c>
      <c r="J23" s="120" t="s">
        <v>246</v>
      </c>
    </row>
    <row r="24" spans="1:10" ht="20.100000000000001" customHeight="1">
      <c r="A24" s="120">
        <v>21</v>
      </c>
      <c r="B24" s="130">
        <v>46142</v>
      </c>
      <c r="C24" s="120" t="s">
        <v>262</v>
      </c>
      <c r="D24" s="120" t="s">
        <v>643</v>
      </c>
      <c r="E24" s="131" t="s">
        <v>503</v>
      </c>
      <c r="F24" s="120" t="s">
        <v>299</v>
      </c>
      <c r="G24" s="120">
        <v>1</v>
      </c>
      <c r="H24" s="120">
        <v>4</v>
      </c>
      <c r="I24" s="136" t="s">
        <v>652</v>
      </c>
      <c r="J24" s="120" t="s">
        <v>246</v>
      </c>
    </row>
    <row r="25" spans="1:10" ht="20.100000000000001" customHeight="1">
      <c r="A25" s="120">
        <v>22</v>
      </c>
      <c r="B25" s="130">
        <v>46142</v>
      </c>
      <c r="C25" s="120" t="s">
        <v>262</v>
      </c>
      <c r="D25" s="120" t="s">
        <v>641</v>
      </c>
      <c r="E25" s="131" t="s">
        <v>504</v>
      </c>
      <c r="F25" s="120" t="s">
        <v>299</v>
      </c>
      <c r="G25" s="120">
        <v>1</v>
      </c>
      <c r="H25" s="120">
        <v>4</v>
      </c>
      <c r="I25" s="136">
        <v>1050</v>
      </c>
      <c r="J25" s="120" t="s">
        <v>246</v>
      </c>
    </row>
    <row r="26" spans="1:10" ht="19.5" customHeight="1">
      <c r="A26" s="120">
        <v>23</v>
      </c>
      <c r="B26" s="130">
        <v>46142</v>
      </c>
      <c r="C26" s="120" t="s">
        <v>262</v>
      </c>
      <c r="D26" s="120" t="s">
        <v>642</v>
      </c>
      <c r="E26" s="131" t="s">
        <v>504</v>
      </c>
      <c r="F26" s="120" t="s">
        <v>299</v>
      </c>
      <c r="G26" s="120">
        <v>1</v>
      </c>
      <c r="H26" s="120">
        <v>4</v>
      </c>
      <c r="I26" s="136">
        <v>97780</v>
      </c>
      <c r="J26" s="120" t="s">
        <v>246</v>
      </c>
    </row>
    <row r="27" spans="1:10" ht="20.100000000000001" customHeight="1">
      <c r="A27" s="120">
        <v>24</v>
      </c>
      <c r="B27" s="130">
        <v>46142</v>
      </c>
      <c r="C27" s="120" t="s">
        <v>262</v>
      </c>
      <c r="D27" s="120" t="s">
        <v>643</v>
      </c>
      <c r="E27" s="131" t="s">
        <v>504</v>
      </c>
      <c r="F27" s="120" t="s">
        <v>299</v>
      </c>
      <c r="G27" s="120">
        <v>1</v>
      </c>
      <c r="H27" s="120">
        <v>4</v>
      </c>
      <c r="I27" s="136">
        <v>19520</v>
      </c>
      <c r="J27" s="120" t="s">
        <v>246</v>
      </c>
    </row>
    <row r="28" spans="1:10" ht="20.100000000000001" customHeight="1">
      <c r="A28" s="120">
        <v>25</v>
      </c>
      <c r="B28" s="130">
        <v>46142</v>
      </c>
      <c r="C28" s="120" t="s">
        <v>262</v>
      </c>
      <c r="D28" s="120" t="s">
        <v>641</v>
      </c>
      <c r="E28" s="131" t="s">
        <v>506</v>
      </c>
      <c r="F28" s="120" t="s">
        <v>299</v>
      </c>
      <c r="G28" s="120">
        <v>1</v>
      </c>
      <c r="H28" s="120">
        <v>5</v>
      </c>
      <c r="I28" s="136" t="s">
        <v>652</v>
      </c>
      <c r="J28" s="120" t="s">
        <v>246</v>
      </c>
    </row>
    <row r="29" spans="1:10" ht="19.5" customHeight="1">
      <c r="A29" s="120">
        <v>26</v>
      </c>
      <c r="B29" s="130">
        <v>46142</v>
      </c>
      <c r="C29" s="120" t="s">
        <v>262</v>
      </c>
      <c r="D29" s="120" t="s">
        <v>642</v>
      </c>
      <c r="E29" s="131" t="s">
        <v>506</v>
      </c>
      <c r="F29" s="120" t="s">
        <v>299</v>
      </c>
      <c r="G29" s="120">
        <v>1</v>
      </c>
      <c r="H29" s="120">
        <v>5</v>
      </c>
      <c r="I29" s="136">
        <v>46700</v>
      </c>
      <c r="J29" s="120" t="s">
        <v>246</v>
      </c>
    </row>
    <row r="30" spans="1:10" ht="20.100000000000001" customHeight="1">
      <c r="A30" s="120">
        <v>27</v>
      </c>
      <c r="B30" s="130">
        <v>46142</v>
      </c>
      <c r="C30" s="120" t="s">
        <v>262</v>
      </c>
      <c r="D30" s="120" t="s">
        <v>643</v>
      </c>
      <c r="E30" s="131" t="s">
        <v>506</v>
      </c>
      <c r="F30" s="120" t="s">
        <v>299</v>
      </c>
      <c r="G30" s="120">
        <v>1</v>
      </c>
      <c r="H30" s="120">
        <v>5</v>
      </c>
      <c r="I30" s="136" t="s">
        <v>652</v>
      </c>
      <c r="J30" s="120" t="s">
        <v>246</v>
      </c>
    </row>
    <row r="31" spans="1:10" ht="20.100000000000001" customHeight="1">
      <c r="A31" s="120">
        <v>28</v>
      </c>
      <c r="B31" s="130">
        <v>46142</v>
      </c>
      <c r="C31" s="120" t="s">
        <v>262</v>
      </c>
      <c r="D31" s="120" t="s">
        <v>641</v>
      </c>
      <c r="E31" s="131" t="s">
        <v>508</v>
      </c>
      <c r="F31" s="120" t="s">
        <v>245</v>
      </c>
      <c r="G31" s="120">
        <v>1</v>
      </c>
      <c r="H31" s="120">
        <v>5</v>
      </c>
      <c r="I31" s="136" t="s">
        <v>652</v>
      </c>
      <c r="J31" s="120" t="s">
        <v>246</v>
      </c>
    </row>
    <row r="32" spans="1:10" ht="19.5" customHeight="1">
      <c r="A32" s="120">
        <v>29</v>
      </c>
      <c r="B32" s="130">
        <v>46142</v>
      </c>
      <c r="C32" s="120" t="s">
        <v>262</v>
      </c>
      <c r="D32" s="120" t="s">
        <v>642</v>
      </c>
      <c r="E32" s="131" t="s">
        <v>508</v>
      </c>
      <c r="F32" s="120" t="s">
        <v>245</v>
      </c>
      <c r="G32" s="120">
        <v>1</v>
      </c>
      <c r="H32" s="120">
        <v>5</v>
      </c>
      <c r="I32" s="136">
        <v>77580</v>
      </c>
      <c r="J32" s="120" t="s">
        <v>246</v>
      </c>
    </row>
    <row r="33" spans="1:10" ht="20.100000000000001" customHeight="1">
      <c r="A33" s="120">
        <v>30</v>
      </c>
      <c r="B33" s="130">
        <v>46142</v>
      </c>
      <c r="C33" s="120" t="s">
        <v>262</v>
      </c>
      <c r="D33" s="120" t="s">
        <v>643</v>
      </c>
      <c r="E33" s="131" t="s">
        <v>508</v>
      </c>
      <c r="F33" s="120" t="s">
        <v>245</v>
      </c>
      <c r="G33" s="120">
        <v>1</v>
      </c>
      <c r="H33" s="120">
        <v>5</v>
      </c>
      <c r="I33" s="136" t="s">
        <v>652</v>
      </c>
      <c r="J33" s="120" t="s">
        <v>246</v>
      </c>
    </row>
    <row r="34" spans="1:10" ht="20.100000000000001" customHeight="1">
      <c r="A34" s="120">
        <v>31</v>
      </c>
      <c r="B34" s="130">
        <v>46142</v>
      </c>
      <c r="C34" s="120" t="s">
        <v>262</v>
      </c>
      <c r="D34" s="120" t="s">
        <v>641</v>
      </c>
      <c r="E34" s="131" t="s">
        <v>510</v>
      </c>
      <c r="F34" s="120" t="s">
        <v>299</v>
      </c>
      <c r="G34" s="120">
        <v>1</v>
      </c>
      <c r="H34" s="120">
        <v>6</v>
      </c>
      <c r="I34" s="136">
        <v>1200</v>
      </c>
      <c r="J34" s="120" t="s">
        <v>246</v>
      </c>
    </row>
    <row r="35" spans="1:10" ht="19.5" customHeight="1">
      <c r="A35" s="120">
        <v>32</v>
      </c>
      <c r="B35" s="130">
        <v>46142</v>
      </c>
      <c r="C35" s="120" t="s">
        <v>262</v>
      </c>
      <c r="D35" s="120" t="s">
        <v>642</v>
      </c>
      <c r="E35" s="131" t="s">
        <v>510</v>
      </c>
      <c r="F35" s="120" t="s">
        <v>299</v>
      </c>
      <c r="G35" s="120">
        <v>1</v>
      </c>
      <c r="H35" s="120">
        <v>6</v>
      </c>
      <c r="I35" s="136">
        <v>9300</v>
      </c>
      <c r="J35" s="120" t="s">
        <v>246</v>
      </c>
    </row>
    <row r="36" spans="1:10" ht="20.100000000000001" customHeight="1">
      <c r="A36" s="120">
        <v>33</v>
      </c>
      <c r="B36" s="130">
        <v>46142</v>
      </c>
      <c r="C36" s="120" t="s">
        <v>262</v>
      </c>
      <c r="D36" s="120" t="s">
        <v>643</v>
      </c>
      <c r="E36" s="131" t="s">
        <v>510</v>
      </c>
      <c r="F36" s="120" t="s">
        <v>299</v>
      </c>
      <c r="G36" s="120">
        <v>1</v>
      </c>
      <c r="H36" s="120">
        <v>6</v>
      </c>
      <c r="I36" s="136" t="s">
        <v>652</v>
      </c>
      <c r="J36" s="120" t="s">
        <v>246</v>
      </c>
    </row>
    <row r="37" spans="1:10" ht="20.100000000000001" customHeight="1">
      <c r="A37" s="120">
        <v>34</v>
      </c>
      <c r="B37" s="130">
        <v>46142</v>
      </c>
      <c r="C37" s="120" t="s">
        <v>262</v>
      </c>
      <c r="D37" s="120" t="s">
        <v>641</v>
      </c>
      <c r="E37" s="131" t="s">
        <v>645</v>
      </c>
      <c r="F37" s="120" t="s">
        <v>299</v>
      </c>
      <c r="G37" s="120">
        <v>1</v>
      </c>
      <c r="H37" s="120">
        <v>6</v>
      </c>
      <c r="I37" s="136" t="s">
        <v>652</v>
      </c>
      <c r="J37" s="120" t="s">
        <v>246</v>
      </c>
    </row>
    <row r="38" spans="1:10" ht="19.5" customHeight="1">
      <c r="A38" s="120">
        <v>35</v>
      </c>
      <c r="B38" s="130">
        <v>46142</v>
      </c>
      <c r="C38" s="120" t="s">
        <v>262</v>
      </c>
      <c r="D38" s="120" t="s">
        <v>642</v>
      </c>
      <c r="E38" s="131" t="s">
        <v>645</v>
      </c>
      <c r="F38" s="120" t="s">
        <v>299</v>
      </c>
      <c r="G38" s="120">
        <v>1</v>
      </c>
      <c r="H38" s="120">
        <v>6</v>
      </c>
      <c r="I38" s="136">
        <v>1450</v>
      </c>
      <c r="J38" s="120" t="s">
        <v>246</v>
      </c>
    </row>
    <row r="39" spans="1:10" ht="20.100000000000001" customHeight="1">
      <c r="A39" s="120">
        <v>36</v>
      </c>
      <c r="B39" s="130">
        <v>46142</v>
      </c>
      <c r="C39" s="120" t="s">
        <v>262</v>
      </c>
      <c r="D39" s="120" t="s">
        <v>643</v>
      </c>
      <c r="E39" s="131" t="s">
        <v>645</v>
      </c>
      <c r="F39" s="120" t="s">
        <v>299</v>
      </c>
      <c r="G39" s="120">
        <v>1</v>
      </c>
      <c r="H39" s="120">
        <v>6</v>
      </c>
      <c r="I39" s="136" t="s">
        <v>652</v>
      </c>
      <c r="J39" s="120" t="s">
        <v>246</v>
      </c>
    </row>
    <row r="40" spans="1:10" ht="20.100000000000001" customHeight="1">
      <c r="A40" s="120">
        <v>37</v>
      </c>
      <c r="B40" s="130">
        <v>46142</v>
      </c>
      <c r="C40" s="120" t="s">
        <v>262</v>
      </c>
      <c r="D40" s="120" t="s">
        <v>641</v>
      </c>
      <c r="E40" s="131" t="s">
        <v>647</v>
      </c>
      <c r="F40" s="120" t="s">
        <v>650</v>
      </c>
      <c r="G40" s="120">
        <v>1</v>
      </c>
      <c r="H40" s="120">
        <v>6</v>
      </c>
      <c r="I40" s="136" t="s">
        <v>652</v>
      </c>
      <c r="J40" s="120" t="s">
        <v>246</v>
      </c>
    </row>
    <row r="41" spans="1:10" ht="19.5" customHeight="1">
      <c r="A41" s="120">
        <v>38</v>
      </c>
      <c r="B41" s="130">
        <v>46142</v>
      </c>
      <c r="C41" s="120" t="s">
        <v>262</v>
      </c>
      <c r="D41" s="120" t="s">
        <v>642</v>
      </c>
      <c r="E41" s="131" t="s">
        <v>647</v>
      </c>
      <c r="F41" s="120" t="s">
        <v>650</v>
      </c>
      <c r="G41" s="120">
        <v>1</v>
      </c>
      <c r="H41" s="120">
        <v>6</v>
      </c>
      <c r="I41" s="136">
        <v>3470</v>
      </c>
      <c r="J41" s="120" t="s">
        <v>246</v>
      </c>
    </row>
    <row r="42" spans="1:10" ht="20.100000000000001" customHeight="1">
      <c r="A42" s="120">
        <v>39</v>
      </c>
      <c r="B42" s="130">
        <v>46142</v>
      </c>
      <c r="C42" s="120" t="s">
        <v>262</v>
      </c>
      <c r="D42" s="120" t="s">
        <v>643</v>
      </c>
      <c r="E42" s="131" t="s">
        <v>647</v>
      </c>
      <c r="F42" s="120" t="s">
        <v>650</v>
      </c>
      <c r="G42" s="120">
        <v>1</v>
      </c>
      <c r="H42" s="120">
        <v>6</v>
      </c>
      <c r="I42" s="136" t="s">
        <v>652</v>
      </c>
      <c r="J42" s="120" t="s">
        <v>246</v>
      </c>
    </row>
    <row r="43" spans="1:10" ht="20.100000000000001" customHeight="1">
      <c r="A43" s="120">
        <v>40</v>
      </c>
      <c r="B43" s="130">
        <v>46142</v>
      </c>
      <c r="C43" s="120" t="s">
        <v>262</v>
      </c>
      <c r="D43" s="120" t="s">
        <v>641</v>
      </c>
      <c r="E43" s="131" t="s">
        <v>649</v>
      </c>
      <c r="F43" s="120" t="s">
        <v>299</v>
      </c>
      <c r="G43" s="120">
        <v>1</v>
      </c>
      <c r="H43" s="120">
        <v>4</v>
      </c>
      <c r="I43" s="136" t="s">
        <v>652</v>
      </c>
      <c r="J43" s="120" t="s">
        <v>246</v>
      </c>
    </row>
    <row r="44" spans="1:10" ht="19.5" customHeight="1">
      <c r="A44" s="120">
        <v>41</v>
      </c>
      <c r="B44" s="130">
        <v>46142</v>
      </c>
      <c r="C44" s="120" t="s">
        <v>262</v>
      </c>
      <c r="D44" s="120" t="s">
        <v>642</v>
      </c>
      <c r="E44" s="131" t="s">
        <v>640</v>
      </c>
      <c r="F44" s="120" t="s">
        <v>299</v>
      </c>
      <c r="G44" s="120">
        <v>1</v>
      </c>
      <c r="H44" s="120">
        <v>4</v>
      </c>
      <c r="I44" s="136">
        <v>19610</v>
      </c>
      <c r="J44" s="120" t="s">
        <v>246</v>
      </c>
    </row>
    <row r="45" spans="1:10" ht="20.100000000000001" customHeight="1">
      <c r="A45" s="120">
        <v>42</v>
      </c>
      <c r="B45" s="130">
        <v>46142</v>
      </c>
      <c r="C45" s="120" t="s">
        <v>262</v>
      </c>
      <c r="D45" s="120" t="s">
        <v>643</v>
      </c>
      <c r="E45" s="131" t="s">
        <v>640</v>
      </c>
      <c r="F45" s="120" t="s">
        <v>299</v>
      </c>
      <c r="G45" s="120">
        <v>1</v>
      </c>
      <c r="H45" s="120">
        <v>4</v>
      </c>
      <c r="I45" s="136" t="s">
        <v>652</v>
      </c>
      <c r="J45" s="120" t="s">
        <v>246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76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13"/>
  <sheetViews>
    <sheetView view="pageBreakPreview" zoomScale="115" zoomScaleNormal="100" zoomScaleSheetLayoutView="115" workbookViewId="0">
      <selection activeCell="D17" sqref="D17"/>
    </sheetView>
  </sheetViews>
  <sheetFormatPr defaultRowHeight="17.399999999999999"/>
  <cols>
    <col min="1" max="1" width="9" style="54"/>
    <col min="2" max="3" width="12.59765625" style="54" customWidth="1"/>
    <col min="4" max="4" width="22.8984375" style="54" bestFit="1" customWidth="1"/>
    <col min="5" max="5" width="31.3984375" style="54" bestFit="1" customWidth="1"/>
    <col min="6" max="6" width="10.59765625" style="54" customWidth="1"/>
    <col min="7" max="7" width="8.09765625" style="54" customWidth="1"/>
    <col min="8" max="8" width="10.5" style="54" bestFit="1" customWidth="1"/>
    <col min="9" max="9" width="13.59765625" style="54" customWidth="1"/>
    <col min="10" max="10" width="35.59765625" style="54" customWidth="1"/>
    <col min="11" max="12" width="9" style="54"/>
  </cols>
  <sheetData>
    <row r="1" spans="1:12" ht="35.1" customHeight="1">
      <c r="A1" s="301" t="s">
        <v>264</v>
      </c>
      <c r="B1" s="302"/>
      <c r="C1" s="302"/>
      <c r="D1" s="302"/>
      <c r="E1" s="302"/>
      <c r="F1" s="302"/>
      <c r="G1" s="302"/>
      <c r="H1" s="302"/>
      <c r="I1" s="302"/>
      <c r="J1" s="303"/>
    </row>
    <row r="2" spans="1:12" ht="24.9" customHeight="1">
      <c r="A2" s="304" t="s">
        <v>265</v>
      </c>
      <c r="B2" s="304" t="s">
        <v>266</v>
      </c>
      <c r="C2" s="304" t="s">
        <v>109</v>
      </c>
      <c r="D2" s="304" t="s">
        <v>267</v>
      </c>
      <c r="E2" s="304" t="s">
        <v>268</v>
      </c>
      <c r="F2" s="304" t="s">
        <v>269</v>
      </c>
      <c r="G2" s="304" t="s">
        <v>270</v>
      </c>
      <c r="H2" s="304" t="s">
        <v>271</v>
      </c>
      <c r="I2" s="117" t="s">
        <v>272</v>
      </c>
      <c r="J2" s="304" t="s">
        <v>242</v>
      </c>
    </row>
    <row r="3" spans="1:12" ht="24.9" customHeight="1">
      <c r="A3" s="304"/>
      <c r="B3" s="304"/>
      <c r="C3" s="304"/>
      <c r="D3" s="304"/>
      <c r="E3" s="304"/>
      <c r="F3" s="304"/>
      <c r="G3" s="304"/>
      <c r="H3" s="304"/>
      <c r="I3" s="118">
        <f>SUM(I4:I5)</f>
        <v>19533136</v>
      </c>
      <c r="J3" s="304"/>
      <c r="L3" s="119" t="s">
        <v>273</v>
      </c>
    </row>
    <row r="4" spans="1:12" ht="24.9" customHeight="1">
      <c r="A4" s="120">
        <v>1</v>
      </c>
      <c r="B4" s="132">
        <v>46142</v>
      </c>
      <c r="C4" s="120" t="s">
        <v>274</v>
      </c>
      <c r="D4" s="120" t="s">
        <v>275</v>
      </c>
      <c r="E4" s="120" t="s">
        <v>303</v>
      </c>
      <c r="F4" s="120">
        <v>1452</v>
      </c>
      <c r="G4" s="120">
        <v>56</v>
      </c>
      <c r="H4" s="121">
        <v>6181.82</v>
      </c>
      <c r="I4" s="121">
        <v>8928136</v>
      </c>
      <c r="J4" s="120" t="s">
        <v>246</v>
      </c>
      <c r="L4" s="122" t="s">
        <v>276</v>
      </c>
    </row>
    <row r="5" spans="1:12" ht="24.9" customHeight="1">
      <c r="A5" s="120">
        <v>2</v>
      </c>
      <c r="B5" s="132">
        <v>46142</v>
      </c>
      <c r="C5" s="120" t="s">
        <v>274</v>
      </c>
      <c r="D5" s="120" t="s">
        <v>275</v>
      </c>
      <c r="E5" s="120" t="s">
        <v>306</v>
      </c>
      <c r="F5" s="120">
        <v>1515</v>
      </c>
      <c r="G5" s="120">
        <v>57</v>
      </c>
      <c r="H5" s="121">
        <v>7000</v>
      </c>
      <c r="I5" s="121">
        <f>F5*H5</f>
        <v>10605000</v>
      </c>
      <c r="J5" s="120" t="s">
        <v>246</v>
      </c>
      <c r="L5" s="122" t="s">
        <v>277</v>
      </c>
    </row>
    <row r="6" spans="1:12" ht="24.9" customHeight="1">
      <c r="L6" s="122" t="s">
        <v>278</v>
      </c>
    </row>
    <row r="7" spans="1:12" ht="24.9" customHeight="1">
      <c r="L7" s="122" t="s">
        <v>279</v>
      </c>
    </row>
    <row r="8" spans="1:12" ht="24.9" customHeight="1">
      <c r="L8" s="123" t="s">
        <v>280</v>
      </c>
    </row>
    <row r="9" spans="1:12" ht="24.9" customHeight="1">
      <c r="L9" s="123" t="s">
        <v>281</v>
      </c>
    </row>
    <row r="10" spans="1:12">
      <c r="L10" s="123" t="s">
        <v>282</v>
      </c>
    </row>
    <row r="11" spans="1:12">
      <c r="L11" s="123" t="s">
        <v>283</v>
      </c>
    </row>
    <row r="12" spans="1:12">
      <c r="L12" s="119"/>
    </row>
    <row r="13" spans="1:12">
      <c r="L13" s="54" t="s">
        <v>284</v>
      </c>
    </row>
  </sheetData>
  <mergeCells count="10">
    <mergeCell ref="A1:J1"/>
    <mergeCell ref="A2:A3"/>
    <mergeCell ref="B2:B3"/>
    <mergeCell ref="C2:C3"/>
    <mergeCell ref="D2:D3"/>
    <mergeCell ref="E2:E3"/>
    <mergeCell ref="F2:F3"/>
    <mergeCell ref="G2:G3"/>
    <mergeCell ref="H2:H3"/>
    <mergeCell ref="J2:J3"/>
  </mergeCells>
  <phoneticPr fontId="3" type="noConversion"/>
  <pageMargins left="0.7" right="0.7" top="0.75" bottom="0.75" header="0.3" footer="0.3"/>
  <pageSetup paperSize="9" scale="54" fitToHeight="0" orientation="landscape" r:id="rId1"/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62"/>
  <sheetViews>
    <sheetView view="pageBreakPreview" zoomScale="115" zoomScaleNormal="100" zoomScaleSheetLayoutView="115" workbookViewId="0">
      <selection sqref="A1:I1"/>
    </sheetView>
  </sheetViews>
  <sheetFormatPr defaultRowHeight="17.399999999999999"/>
  <cols>
    <col min="2" max="2" width="10.8984375" bestFit="1" customWidth="1"/>
    <col min="3" max="3" width="10.59765625" bestFit="1" customWidth="1"/>
    <col min="4" max="4" width="17.59765625" customWidth="1"/>
    <col min="7" max="7" width="10.5" bestFit="1" customWidth="1"/>
    <col min="8" max="8" width="10.5" customWidth="1"/>
    <col min="9" max="9" width="18" customWidth="1"/>
    <col min="14" max="14" width="9.3984375" bestFit="1" customWidth="1"/>
    <col min="15" max="15" width="10.8984375" bestFit="1" customWidth="1"/>
  </cols>
  <sheetData>
    <row r="1" spans="1:15" ht="35.1" customHeight="1">
      <c r="A1" s="305" t="s">
        <v>285</v>
      </c>
      <c r="B1" s="305"/>
      <c r="C1" s="305"/>
      <c r="D1" s="305"/>
      <c r="E1" s="305"/>
      <c r="F1" s="305"/>
      <c r="G1" s="305"/>
      <c r="H1" s="305"/>
      <c r="I1" s="305"/>
      <c r="J1" s="54"/>
      <c r="K1" s="54"/>
      <c r="L1" s="54"/>
    </row>
    <row r="2" spans="1:15" ht="24.9" customHeight="1">
      <c r="A2" s="304" t="s">
        <v>286</v>
      </c>
      <c r="B2" s="306" t="s">
        <v>287</v>
      </c>
      <c r="C2" s="306" t="s">
        <v>288</v>
      </c>
      <c r="D2" s="307" t="s">
        <v>279</v>
      </c>
      <c r="E2" s="306" t="s">
        <v>280</v>
      </c>
      <c r="F2" s="306" t="s">
        <v>252</v>
      </c>
      <c r="G2" s="308" t="s">
        <v>289</v>
      </c>
      <c r="H2" s="124" t="s">
        <v>290</v>
      </c>
      <c r="I2" s="306" t="s">
        <v>291</v>
      </c>
      <c r="J2" s="54"/>
      <c r="K2" s="54"/>
      <c r="L2" s="54"/>
    </row>
    <row r="3" spans="1:15" ht="24.9" customHeight="1">
      <c r="A3" s="304"/>
      <c r="B3" s="306"/>
      <c r="C3" s="306"/>
      <c r="D3" s="307"/>
      <c r="E3" s="306"/>
      <c r="F3" s="306"/>
      <c r="G3" s="308"/>
      <c r="H3" s="125">
        <f>SUM(H4:H62)</f>
        <v>5181000</v>
      </c>
      <c r="I3" s="306"/>
      <c r="J3" s="54"/>
      <c r="K3" s="119" t="s">
        <v>273</v>
      </c>
      <c r="L3" s="54"/>
      <c r="N3" s="135"/>
      <c r="O3" s="135"/>
    </row>
    <row r="4" spans="1:15" ht="24.9" customHeight="1">
      <c r="A4" s="120">
        <v>1</v>
      </c>
      <c r="B4" s="130">
        <v>46118</v>
      </c>
      <c r="C4" s="120" t="s">
        <v>292</v>
      </c>
      <c r="D4" s="131" t="s">
        <v>653</v>
      </c>
      <c r="E4" s="120" t="s">
        <v>304</v>
      </c>
      <c r="F4" s="120">
        <v>1</v>
      </c>
      <c r="G4" s="121">
        <v>13000</v>
      </c>
      <c r="H4" s="121">
        <f>F4*G4</f>
        <v>13000</v>
      </c>
      <c r="I4" s="121" t="s">
        <v>305</v>
      </c>
      <c r="J4" s="54"/>
      <c r="K4" s="122" t="s">
        <v>276</v>
      </c>
      <c r="L4" s="54"/>
    </row>
    <row r="5" spans="1:15" ht="24.9" customHeight="1">
      <c r="A5" s="120">
        <v>2</v>
      </c>
      <c r="B5" s="130">
        <v>46118</v>
      </c>
      <c r="C5" s="120" t="s">
        <v>292</v>
      </c>
      <c r="D5" s="131" t="s">
        <v>654</v>
      </c>
      <c r="E5" s="120" t="s">
        <v>304</v>
      </c>
      <c r="F5" s="120">
        <v>1</v>
      </c>
      <c r="G5" s="121">
        <v>6700</v>
      </c>
      <c r="H5" s="121">
        <f t="shared" ref="H5:H6" si="0">F5*G5</f>
        <v>6700</v>
      </c>
      <c r="I5" s="121" t="s">
        <v>305</v>
      </c>
      <c r="J5" s="54"/>
      <c r="K5" s="122" t="s">
        <v>277</v>
      </c>
      <c r="L5" s="54"/>
    </row>
    <row r="6" spans="1:15" ht="24.9" customHeight="1">
      <c r="A6" s="120">
        <v>3</v>
      </c>
      <c r="B6" s="130">
        <v>46118</v>
      </c>
      <c r="C6" s="120" t="s">
        <v>292</v>
      </c>
      <c r="D6" s="131" t="s">
        <v>655</v>
      </c>
      <c r="E6" s="120" t="s">
        <v>304</v>
      </c>
      <c r="F6" s="120">
        <v>1</v>
      </c>
      <c r="G6" s="121">
        <v>18900</v>
      </c>
      <c r="H6" s="121">
        <f t="shared" si="0"/>
        <v>18900</v>
      </c>
      <c r="I6" s="121" t="s">
        <v>305</v>
      </c>
      <c r="J6" s="54"/>
      <c r="K6" s="122" t="s">
        <v>278</v>
      </c>
      <c r="L6" s="54"/>
    </row>
    <row r="7" spans="1:15" ht="24.9" customHeight="1">
      <c r="A7" s="120">
        <v>4</v>
      </c>
      <c r="B7" s="130">
        <v>46119</v>
      </c>
      <c r="C7" s="120" t="s">
        <v>292</v>
      </c>
      <c r="D7" s="131" t="s">
        <v>318</v>
      </c>
      <c r="E7" s="120" t="s">
        <v>304</v>
      </c>
      <c r="F7" s="120">
        <v>20</v>
      </c>
      <c r="G7" s="121">
        <v>400</v>
      </c>
      <c r="H7" s="121">
        <f>F7*G7</f>
        <v>8000</v>
      </c>
      <c r="I7" s="121" t="s">
        <v>305</v>
      </c>
      <c r="J7" s="54"/>
      <c r="K7" s="122" t="s">
        <v>279</v>
      </c>
      <c r="L7" s="54"/>
    </row>
    <row r="8" spans="1:15" ht="24.9" customHeight="1">
      <c r="A8" s="120">
        <v>5</v>
      </c>
      <c r="B8" s="130">
        <v>46120</v>
      </c>
      <c r="C8" s="120" t="s">
        <v>292</v>
      </c>
      <c r="D8" s="131" t="s">
        <v>656</v>
      </c>
      <c r="E8" s="120" t="s">
        <v>304</v>
      </c>
      <c r="F8" s="120">
        <v>8</v>
      </c>
      <c r="G8" s="121">
        <v>19800</v>
      </c>
      <c r="H8" s="121">
        <f t="shared" ref="H8:H9" si="1">F8*G8</f>
        <v>158400</v>
      </c>
      <c r="I8" s="121" t="s">
        <v>305</v>
      </c>
      <c r="J8" s="54"/>
      <c r="K8" s="123" t="s">
        <v>280</v>
      </c>
      <c r="L8" s="54"/>
    </row>
    <row r="9" spans="1:15" ht="24.9" customHeight="1">
      <c r="A9" s="120">
        <v>6</v>
      </c>
      <c r="B9" s="130">
        <v>46120</v>
      </c>
      <c r="C9" s="120" t="s">
        <v>292</v>
      </c>
      <c r="D9" s="131" t="s">
        <v>657</v>
      </c>
      <c r="E9" s="120" t="s">
        <v>304</v>
      </c>
      <c r="F9" s="120">
        <v>4</v>
      </c>
      <c r="G9" s="121">
        <v>7100</v>
      </c>
      <c r="H9" s="121">
        <f t="shared" si="1"/>
        <v>28400</v>
      </c>
      <c r="I9" s="121" t="s">
        <v>305</v>
      </c>
      <c r="J9" s="54"/>
      <c r="K9" s="123" t="s">
        <v>281</v>
      </c>
      <c r="L9" s="54"/>
    </row>
    <row r="10" spans="1:15" ht="24.9" customHeight="1">
      <c r="A10" s="120">
        <v>7</v>
      </c>
      <c r="B10" s="130">
        <v>46120</v>
      </c>
      <c r="C10" s="120" t="s">
        <v>292</v>
      </c>
      <c r="D10" s="131" t="s">
        <v>658</v>
      </c>
      <c r="E10" s="120" t="s">
        <v>304</v>
      </c>
      <c r="F10" s="120">
        <v>1</v>
      </c>
      <c r="G10" s="121">
        <v>40000</v>
      </c>
      <c r="H10" s="121">
        <f>F10*G10</f>
        <v>40000</v>
      </c>
      <c r="I10" s="121" t="s">
        <v>305</v>
      </c>
      <c r="J10" s="54"/>
      <c r="K10" s="123" t="s">
        <v>282</v>
      </c>
      <c r="L10" s="54"/>
    </row>
    <row r="11" spans="1:15" ht="24.9" customHeight="1">
      <c r="A11" s="120">
        <v>8</v>
      </c>
      <c r="B11" s="130">
        <v>46120</v>
      </c>
      <c r="C11" s="120" t="s">
        <v>292</v>
      </c>
      <c r="D11" s="131" t="s">
        <v>659</v>
      </c>
      <c r="E11" s="120" t="s">
        <v>304</v>
      </c>
      <c r="F11" s="120">
        <v>1</v>
      </c>
      <c r="G11" s="121">
        <v>55400</v>
      </c>
      <c r="H11" s="121">
        <f t="shared" ref="H11:H12" si="2">F11*G11</f>
        <v>55400</v>
      </c>
      <c r="I11" s="121" t="s">
        <v>305</v>
      </c>
      <c r="J11" s="54"/>
      <c r="K11" s="123" t="s">
        <v>283</v>
      </c>
      <c r="L11" s="54"/>
    </row>
    <row r="12" spans="1:15" ht="24.9" customHeight="1">
      <c r="A12" s="120">
        <v>9</v>
      </c>
      <c r="B12" s="130">
        <v>46121</v>
      </c>
      <c r="C12" s="120" t="s">
        <v>292</v>
      </c>
      <c r="D12" s="131" t="s">
        <v>660</v>
      </c>
      <c r="E12" s="120" t="s">
        <v>304</v>
      </c>
      <c r="F12" s="120">
        <v>15</v>
      </c>
      <c r="G12" s="121">
        <v>600</v>
      </c>
      <c r="H12" s="121">
        <f t="shared" si="2"/>
        <v>9000</v>
      </c>
      <c r="I12" s="121" t="s">
        <v>305</v>
      </c>
      <c r="J12" s="54"/>
      <c r="K12" s="119"/>
      <c r="L12" s="54"/>
    </row>
    <row r="13" spans="1:15" ht="24.9" customHeight="1">
      <c r="A13" s="120">
        <v>10</v>
      </c>
      <c r="B13" s="130">
        <v>46121</v>
      </c>
      <c r="C13" s="120" t="s">
        <v>292</v>
      </c>
      <c r="D13" s="131" t="s">
        <v>661</v>
      </c>
      <c r="E13" s="120" t="s">
        <v>304</v>
      </c>
      <c r="F13" s="120">
        <v>7</v>
      </c>
      <c r="G13" s="121">
        <v>2100</v>
      </c>
      <c r="H13" s="121">
        <f>F13*G13</f>
        <v>14700</v>
      </c>
      <c r="I13" s="121" t="s">
        <v>305</v>
      </c>
      <c r="J13" s="54"/>
      <c r="K13" s="54" t="s">
        <v>284</v>
      </c>
      <c r="L13" s="54"/>
    </row>
    <row r="14" spans="1:15" ht="24.9" customHeight="1">
      <c r="A14" s="120">
        <v>11</v>
      </c>
      <c r="B14" s="130">
        <v>46121</v>
      </c>
      <c r="C14" s="120" t="s">
        <v>292</v>
      </c>
      <c r="D14" s="131" t="s">
        <v>662</v>
      </c>
      <c r="E14" s="120" t="s">
        <v>304</v>
      </c>
      <c r="F14" s="120">
        <v>2</v>
      </c>
      <c r="G14" s="121">
        <v>19000</v>
      </c>
      <c r="H14" s="121">
        <f t="shared" ref="H14:H15" si="3">F14*G14</f>
        <v>38000</v>
      </c>
      <c r="I14" s="121" t="s">
        <v>305</v>
      </c>
    </row>
    <row r="15" spans="1:15" ht="24.9" customHeight="1">
      <c r="A15" s="120">
        <v>12</v>
      </c>
      <c r="B15" s="130">
        <v>46121</v>
      </c>
      <c r="C15" s="120" t="s">
        <v>292</v>
      </c>
      <c r="D15" s="131" t="s">
        <v>663</v>
      </c>
      <c r="E15" s="120" t="s">
        <v>304</v>
      </c>
      <c r="F15" s="120">
        <v>30</v>
      </c>
      <c r="G15" s="121">
        <v>1400</v>
      </c>
      <c r="H15" s="121">
        <f t="shared" si="3"/>
        <v>42000</v>
      </c>
      <c r="I15" s="121" t="s">
        <v>305</v>
      </c>
    </row>
    <row r="16" spans="1:15" ht="24.9" customHeight="1">
      <c r="A16" s="120">
        <v>13</v>
      </c>
      <c r="B16" s="130">
        <v>46122</v>
      </c>
      <c r="C16" s="120" t="s">
        <v>292</v>
      </c>
      <c r="D16" s="131" t="s">
        <v>664</v>
      </c>
      <c r="E16" s="120" t="s">
        <v>304</v>
      </c>
      <c r="F16" s="120">
        <v>2</v>
      </c>
      <c r="G16" s="121">
        <v>127600</v>
      </c>
      <c r="H16" s="121">
        <f>F16*G16</f>
        <v>255200</v>
      </c>
      <c r="I16" s="121" t="s">
        <v>305</v>
      </c>
    </row>
    <row r="17" spans="1:12" ht="24.9" customHeight="1">
      <c r="A17" s="120">
        <v>14</v>
      </c>
      <c r="B17" s="130">
        <v>46122</v>
      </c>
      <c r="C17" s="120" t="s">
        <v>292</v>
      </c>
      <c r="D17" s="131" t="s">
        <v>665</v>
      </c>
      <c r="E17" s="120" t="s">
        <v>304</v>
      </c>
      <c r="F17" s="120">
        <v>1</v>
      </c>
      <c r="G17" s="121">
        <v>162400</v>
      </c>
      <c r="H17" s="121">
        <f t="shared" ref="H17:H18" si="4">F17*G17</f>
        <v>162400</v>
      </c>
      <c r="I17" s="121" t="s">
        <v>305</v>
      </c>
    </row>
    <row r="18" spans="1:12" ht="24.9" customHeight="1">
      <c r="A18" s="120">
        <v>15</v>
      </c>
      <c r="B18" s="130">
        <v>46122</v>
      </c>
      <c r="C18" s="120" t="s">
        <v>292</v>
      </c>
      <c r="D18" s="131" t="s">
        <v>666</v>
      </c>
      <c r="E18" s="120" t="s">
        <v>304</v>
      </c>
      <c r="F18" s="120">
        <v>6</v>
      </c>
      <c r="G18" s="121">
        <v>50400</v>
      </c>
      <c r="H18" s="121">
        <f t="shared" si="4"/>
        <v>302400</v>
      </c>
      <c r="I18" s="121" t="s">
        <v>305</v>
      </c>
    </row>
    <row r="19" spans="1:12" ht="24.9" customHeight="1">
      <c r="A19" s="120">
        <v>16</v>
      </c>
      <c r="B19" s="130">
        <v>46122</v>
      </c>
      <c r="C19" s="120" t="s">
        <v>292</v>
      </c>
      <c r="D19" s="131" t="s">
        <v>513</v>
      </c>
      <c r="E19" s="120" t="s">
        <v>304</v>
      </c>
      <c r="F19" s="120">
        <v>1</v>
      </c>
      <c r="G19" s="121">
        <v>4500</v>
      </c>
      <c r="H19" s="121">
        <f>F19*G19</f>
        <v>4500</v>
      </c>
      <c r="I19" s="121" t="s">
        <v>305</v>
      </c>
    </row>
    <row r="20" spans="1:12" ht="24.9" customHeight="1">
      <c r="A20" s="120">
        <v>17</v>
      </c>
      <c r="B20" s="130">
        <v>46122</v>
      </c>
      <c r="C20" s="120" t="s">
        <v>292</v>
      </c>
      <c r="D20" s="131" t="s">
        <v>667</v>
      </c>
      <c r="E20" s="120" t="s">
        <v>304</v>
      </c>
      <c r="F20" s="120">
        <v>2</v>
      </c>
      <c r="G20" s="121">
        <v>900</v>
      </c>
      <c r="H20" s="121">
        <f t="shared" ref="H20:H23" si="5">F20*G20</f>
        <v>1800</v>
      </c>
      <c r="I20" s="121" t="s">
        <v>305</v>
      </c>
    </row>
    <row r="21" spans="1:12" ht="24.9" customHeight="1">
      <c r="A21" s="120">
        <v>18</v>
      </c>
      <c r="B21" s="130">
        <v>46122</v>
      </c>
      <c r="C21" s="120" t="s">
        <v>292</v>
      </c>
      <c r="D21" s="131" t="s">
        <v>656</v>
      </c>
      <c r="E21" s="120" t="s">
        <v>304</v>
      </c>
      <c r="F21" s="120">
        <v>4</v>
      </c>
      <c r="G21" s="121">
        <v>19800</v>
      </c>
      <c r="H21" s="121">
        <f t="shared" si="5"/>
        <v>79200</v>
      </c>
      <c r="I21" s="121" t="s">
        <v>305</v>
      </c>
    </row>
    <row r="22" spans="1:12" ht="24.9" customHeight="1">
      <c r="A22" s="120">
        <v>19</v>
      </c>
      <c r="B22" s="130">
        <v>46125</v>
      </c>
      <c r="C22" s="120" t="s">
        <v>292</v>
      </c>
      <c r="D22" s="131" t="s">
        <v>668</v>
      </c>
      <c r="E22" s="120" t="s">
        <v>304</v>
      </c>
      <c r="F22" s="120">
        <v>1</v>
      </c>
      <c r="G22" s="121">
        <v>59000</v>
      </c>
      <c r="H22" s="121">
        <f t="shared" si="5"/>
        <v>59000</v>
      </c>
      <c r="I22" s="121" t="s">
        <v>305</v>
      </c>
      <c r="J22" s="54"/>
      <c r="K22" s="123"/>
      <c r="L22" s="54"/>
    </row>
    <row r="23" spans="1:12" ht="24.9" customHeight="1">
      <c r="A23" s="120">
        <v>20</v>
      </c>
      <c r="B23" s="130">
        <v>46125</v>
      </c>
      <c r="C23" s="120" t="s">
        <v>292</v>
      </c>
      <c r="D23" s="131" t="s">
        <v>669</v>
      </c>
      <c r="E23" s="120" t="s">
        <v>304</v>
      </c>
      <c r="F23" s="120">
        <v>60</v>
      </c>
      <c r="G23" s="121">
        <v>900</v>
      </c>
      <c r="H23" s="121">
        <f t="shared" si="5"/>
        <v>54000</v>
      </c>
      <c r="I23" s="121" t="s">
        <v>305</v>
      </c>
      <c r="J23" s="54"/>
      <c r="K23" s="123"/>
      <c r="L23" s="54"/>
    </row>
    <row r="24" spans="1:12" ht="24.9" customHeight="1">
      <c r="A24" s="120">
        <v>21</v>
      </c>
      <c r="B24" s="130">
        <v>46125</v>
      </c>
      <c r="C24" s="120" t="s">
        <v>292</v>
      </c>
      <c r="D24" s="131" t="s">
        <v>670</v>
      </c>
      <c r="E24" s="120" t="s">
        <v>304</v>
      </c>
      <c r="F24" s="120">
        <v>2</v>
      </c>
      <c r="G24" s="121">
        <v>11700</v>
      </c>
      <c r="H24" s="121">
        <f>F24*G24</f>
        <v>23400</v>
      </c>
      <c r="I24" s="121" t="s">
        <v>305</v>
      </c>
      <c r="J24" s="54"/>
      <c r="K24" s="123"/>
      <c r="L24" s="54"/>
    </row>
    <row r="25" spans="1:12" ht="24.9" customHeight="1">
      <c r="A25" s="120">
        <v>22</v>
      </c>
      <c r="B25" s="130">
        <v>46125</v>
      </c>
      <c r="C25" s="120" t="s">
        <v>292</v>
      </c>
      <c r="D25" s="131" t="s">
        <v>671</v>
      </c>
      <c r="E25" s="120" t="s">
        <v>304</v>
      </c>
      <c r="F25" s="120">
        <v>1</v>
      </c>
      <c r="G25" s="121">
        <v>9300</v>
      </c>
      <c r="H25" s="121">
        <f t="shared" ref="H25:H26" si="6">F25*G25</f>
        <v>9300</v>
      </c>
      <c r="I25" s="121" t="s">
        <v>305</v>
      </c>
      <c r="J25" s="54"/>
      <c r="K25" s="123"/>
      <c r="L25" s="54"/>
    </row>
    <row r="26" spans="1:12" ht="24.9" customHeight="1">
      <c r="A26" s="120">
        <v>23</v>
      </c>
      <c r="B26" s="130">
        <v>46126</v>
      </c>
      <c r="C26" s="120" t="s">
        <v>292</v>
      </c>
      <c r="D26" s="131" t="s">
        <v>666</v>
      </c>
      <c r="E26" s="120" t="s">
        <v>304</v>
      </c>
      <c r="F26" s="120">
        <v>11</v>
      </c>
      <c r="G26" s="121">
        <v>50400</v>
      </c>
      <c r="H26" s="121">
        <f t="shared" si="6"/>
        <v>554400</v>
      </c>
      <c r="I26" s="121" t="s">
        <v>305</v>
      </c>
      <c r="J26" s="54"/>
      <c r="K26" s="119"/>
      <c r="L26" s="54"/>
    </row>
    <row r="27" spans="1:12" ht="24.9" customHeight="1">
      <c r="A27" s="120">
        <v>24</v>
      </c>
      <c r="B27" s="130">
        <v>46126</v>
      </c>
      <c r="C27" s="120" t="s">
        <v>292</v>
      </c>
      <c r="D27" s="131" t="s">
        <v>672</v>
      </c>
      <c r="E27" s="120" t="s">
        <v>304</v>
      </c>
      <c r="F27" s="120">
        <v>5</v>
      </c>
      <c r="G27" s="121">
        <v>5800</v>
      </c>
      <c r="H27" s="121">
        <f>F27*G27</f>
        <v>29000</v>
      </c>
      <c r="I27" s="121" t="s">
        <v>305</v>
      </c>
      <c r="J27" s="54"/>
      <c r="K27" s="54"/>
      <c r="L27" s="54"/>
    </row>
    <row r="28" spans="1:12" ht="24.9" customHeight="1">
      <c r="A28" s="120">
        <v>25</v>
      </c>
      <c r="B28" s="130">
        <v>46126</v>
      </c>
      <c r="C28" s="120" t="s">
        <v>292</v>
      </c>
      <c r="D28" s="131" t="s">
        <v>514</v>
      </c>
      <c r="E28" s="120" t="s">
        <v>304</v>
      </c>
      <c r="F28" s="120">
        <v>10</v>
      </c>
      <c r="G28" s="121">
        <v>3500</v>
      </c>
      <c r="H28" s="121">
        <f t="shared" ref="H28:H29" si="7">F28*G28</f>
        <v>35000</v>
      </c>
      <c r="I28" s="121" t="s">
        <v>305</v>
      </c>
    </row>
    <row r="29" spans="1:12" ht="24.9" customHeight="1">
      <c r="A29" s="120">
        <v>26</v>
      </c>
      <c r="B29" s="130">
        <v>46127</v>
      </c>
      <c r="C29" s="120" t="s">
        <v>292</v>
      </c>
      <c r="D29" s="131" t="s">
        <v>673</v>
      </c>
      <c r="E29" s="120" t="s">
        <v>304</v>
      </c>
      <c r="F29" s="120">
        <v>3</v>
      </c>
      <c r="G29" s="121">
        <v>2500</v>
      </c>
      <c r="H29" s="121">
        <f t="shared" si="7"/>
        <v>7500</v>
      </c>
      <c r="I29" s="121" t="s">
        <v>305</v>
      </c>
    </row>
    <row r="30" spans="1:12" ht="24.9" customHeight="1">
      <c r="A30" s="120">
        <v>27</v>
      </c>
      <c r="B30" s="130">
        <v>46127</v>
      </c>
      <c r="C30" s="120" t="s">
        <v>292</v>
      </c>
      <c r="D30" s="131" t="s">
        <v>674</v>
      </c>
      <c r="E30" s="120" t="s">
        <v>304</v>
      </c>
      <c r="F30" s="120">
        <v>3</v>
      </c>
      <c r="G30" s="121">
        <v>9600</v>
      </c>
      <c r="H30" s="121">
        <f>F30*G30</f>
        <v>28800</v>
      </c>
      <c r="I30" s="121" t="s">
        <v>305</v>
      </c>
    </row>
    <row r="31" spans="1:12" ht="24.9" customHeight="1">
      <c r="A31" s="120">
        <v>28</v>
      </c>
      <c r="B31" s="130">
        <v>46128</v>
      </c>
      <c r="C31" s="120" t="s">
        <v>292</v>
      </c>
      <c r="D31" s="131" t="s">
        <v>320</v>
      </c>
      <c r="E31" s="120" t="s">
        <v>304</v>
      </c>
      <c r="F31" s="120">
        <v>10</v>
      </c>
      <c r="G31" s="121">
        <v>3600</v>
      </c>
      <c r="H31" s="121">
        <f t="shared" ref="H31" si="8">F31*G31</f>
        <v>36000</v>
      </c>
      <c r="I31" s="121" t="s">
        <v>305</v>
      </c>
    </row>
    <row r="32" spans="1:12" ht="24.9" customHeight="1">
      <c r="A32" s="120">
        <v>29</v>
      </c>
      <c r="B32" s="130">
        <v>46129</v>
      </c>
      <c r="C32" s="120" t="s">
        <v>292</v>
      </c>
      <c r="D32" s="131" t="s">
        <v>515</v>
      </c>
      <c r="E32" s="120" t="s">
        <v>304</v>
      </c>
      <c r="F32" s="120">
        <v>2</v>
      </c>
      <c r="G32" s="121">
        <v>20000</v>
      </c>
      <c r="H32" s="121">
        <f>F32*G32</f>
        <v>40000</v>
      </c>
      <c r="I32" s="121" t="s">
        <v>305</v>
      </c>
    </row>
    <row r="33" spans="1:12" ht="24.9" customHeight="1">
      <c r="A33" s="120">
        <v>30</v>
      </c>
      <c r="B33" s="130">
        <v>46129</v>
      </c>
      <c r="C33" s="120" t="s">
        <v>292</v>
      </c>
      <c r="D33" s="131" t="s">
        <v>675</v>
      </c>
      <c r="E33" s="120" t="s">
        <v>304</v>
      </c>
      <c r="F33" s="120">
        <v>2</v>
      </c>
      <c r="G33" s="121">
        <v>500</v>
      </c>
      <c r="H33" s="121">
        <f t="shared" ref="H33:H34" si="9">F33*G33</f>
        <v>1000</v>
      </c>
      <c r="I33" s="121" t="s">
        <v>305</v>
      </c>
    </row>
    <row r="34" spans="1:12" ht="24.9" customHeight="1">
      <c r="A34" s="120">
        <v>31</v>
      </c>
      <c r="B34" s="130">
        <v>46129</v>
      </c>
      <c r="C34" s="120" t="s">
        <v>292</v>
      </c>
      <c r="D34" s="131" t="s">
        <v>319</v>
      </c>
      <c r="E34" s="120" t="s">
        <v>304</v>
      </c>
      <c r="F34" s="120">
        <v>10</v>
      </c>
      <c r="G34" s="121">
        <v>1200</v>
      </c>
      <c r="H34" s="121">
        <f t="shared" si="9"/>
        <v>12000</v>
      </c>
      <c r="I34" s="121" t="s">
        <v>305</v>
      </c>
    </row>
    <row r="35" spans="1:12" ht="24.9" customHeight="1">
      <c r="A35" s="120">
        <v>32</v>
      </c>
      <c r="B35" s="130">
        <v>46129</v>
      </c>
      <c r="C35" s="120" t="s">
        <v>292</v>
      </c>
      <c r="D35" s="131" t="s">
        <v>676</v>
      </c>
      <c r="E35" s="120" t="s">
        <v>304</v>
      </c>
      <c r="F35" s="120">
        <v>3</v>
      </c>
      <c r="G35" s="121">
        <v>800</v>
      </c>
      <c r="H35" s="121">
        <f>F35*G35</f>
        <v>2400</v>
      </c>
      <c r="I35" s="121" t="s">
        <v>305</v>
      </c>
    </row>
    <row r="36" spans="1:12" ht="24.9" customHeight="1">
      <c r="A36" s="120">
        <v>33</v>
      </c>
      <c r="B36" s="130">
        <v>46129</v>
      </c>
      <c r="C36" s="120" t="s">
        <v>292</v>
      </c>
      <c r="D36" s="131" t="s">
        <v>677</v>
      </c>
      <c r="E36" s="120" t="s">
        <v>304</v>
      </c>
      <c r="F36" s="120">
        <v>6</v>
      </c>
      <c r="G36" s="121">
        <v>23000</v>
      </c>
      <c r="H36" s="121">
        <f t="shared" ref="H36:H37" si="10">F36*G36</f>
        <v>138000</v>
      </c>
      <c r="I36" s="121" t="s">
        <v>305</v>
      </c>
    </row>
    <row r="37" spans="1:12" ht="24.9" customHeight="1">
      <c r="A37" s="120">
        <v>34</v>
      </c>
      <c r="B37" s="130">
        <v>46133</v>
      </c>
      <c r="C37" s="120" t="s">
        <v>292</v>
      </c>
      <c r="D37" s="131" t="s">
        <v>678</v>
      </c>
      <c r="E37" s="120" t="s">
        <v>304</v>
      </c>
      <c r="F37" s="120">
        <v>2</v>
      </c>
      <c r="G37" s="121">
        <v>2100</v>
      </c>
      <c r="H37" s="121">
        <f t="shared" si="10"/>
        <v>4200</v>
      </c>
      <c r="I37" s="121" t="s">
        <v>305</v>
      </c>
    </row>
    <row r="38" spans="1:12" ht="24.9" customHeight="1">
      <c r="A38" s="120">
        <v>35</v>
      </c>
      <c r="B38" s="130">
        <v>46133</v>
      </c>
      <c r="C38" s="120" t="s">
        <v>292</v>
      </c>
      <c r="D38" s="131" t="s">
        <v>677</v>
      </c>
      <c r="E38" s="120" t="s">
        <v>304</v>
      </c>
      <c r="F38" s="120">
        <v>5</v>
      </c>
      <c r="G38" s="121">
        <v>23000</v>
      </c>
      <c r="H38" s="121">
        <f>F38*G38</f>
        <v>115000</v>
      </c>
      <c r="I38" s="121" t="s">
        <v>305</v>
      </c>
      <c r="J38" s="54"/>
      <c r="K38" s="54"/>
      <c r="L38" s="54"/>
    </row>
    <row r="39" spans="1:12" ht="24.9" customHeight="1">
      <c r="A39" s="120">
        <v>36</v>
      </c>
      <c r="B39" s="130">
        <v>46134</v>
      </c>
      <c r="C39" s="120" t="s">
        <v>292</v>
      </c>
      <c r="D39" s="131" t="s">
        <v>679</v>
      </c>
      <c r="E39" s="120" t="s">
        <v>304</v>
      </c>
      <c r="F39" s="120">
        <v>1</v>
      </c>
      <c r="G39" s="121">
        <v>12400</v>
      </c>
      <c r="H39" s="121">
        <f t="shared" ref="H39:H40" si="11">F39*G39</f>
        <v>12400</v>
      </c>
      <c r="I39" s="121" t="s">
        <v>305</v>
      </c>
    </row>
    <row r="40" spans="1:12" ht="24.9" customHeight="1">
      <c r="A40" s="120">
        <v>37</v>
      </c>
      <c r="B40" s="130">
        <v>46134</v>
      </c>
      <c r="C40" s="120" t="s">
        <v>292</v>
      </c>
      <c r="D40" s="131" t="s">
        <v>316</v>
      </c>
      <c r="E40" s="120" t="s">
        <v>304</v>
      </c>
      <c r="F40" s="120">
        <v>4</v>
      </c>
      <c r="G40" s="121">
        <v>12000</v>
      </c>
      <c r="H40" s="121">
        <f t="shared" si="11"/>
        <v>48000</v>
      </c>
      <c r="I40" s="121" t="s">
        <v>305</v>
      </c>
    </row>
    <row r="41" spans="1:12" ht="24.9" customHeight="1">
      <c r="A41" s="120">
        <v>38</v>
      </c>
      <c r="B41" s="130">
        <v>46134</v>
      </c>
      <c r="C41" s="120" t="s">
        <v>292</v>
      </c>
      <c r="D41" s="131" t="s">
        <v>680</v>
      </c>
      <c r="E41" s="120" t="s">
        <v>304</v>
      </c>
      <c r="F41" s="120">
        <v>1</v>
      </c>
      <c r="G41" s="121">
        <v>5700</v>
      </c>
      <c r="H41" s="121">
        <f>F41*G41</f>
        <v>5700</v>
      </c>
      <c r="I41" s="121" t="s">
        <v>305</v>
      </c>
    </row>
    <row r="42" spans="1:12" ht="24.9" customHeight="1">
      <c r="A42" s="120">
        <v>39</v>
      </c>
      <c r="B42" s="130">
        <v>46134</v>
      </c>
      <c r="C42" s="120" t="s">
        <v>292</v>
      </c>
      <c r="D42" s="131" t="s">
        <v>681</v>
      </c>
      <c r="E42" s="120" t="s">
        <v>304</v>
      </c>
      <c r="F42" s="120">
        <v>1</v>
      </c>
      <c r="G42" s="121">
        <v>10900</v>
      </c>
      <c r="H42" s="121">
        <f t="shared" ref="H42:H43" si="12">F42*G42</f>
        <v>10900</v>
      </c>
      <c r="I42" s="121" t="s">
        <v>305</v>
      </c>
    </row>
    <row r="43" spans="1:12" ht="24.9" customHeight="1">
      <c r="A43" s="120">
        <v>40</v>
      </c>
      <c r="B43" s="130">
        <v>46134</v>
      </c>
      <c r="C43" s="120" t="s">
        <v>292</v>
      </c>
      <c r="D43" s="131" t="s">
        <v>669</v>
      </c>
      <c r="E43" s="120" t="s">
        <v>304</v>
      </c>
      <c r="F43" s="120">
        <v>36</v>
      </c>
      <c r="G43" s="121">
        <v>900</v>
      </c>
      <c r="H43" s="121">
        <f t="shared" si="12"/>
        <v>32400</v>
      </c>
      <c r="I43" s="121" t="s">
        <v>305</v>
      </c>
    </row>
    <row r="44" spans="1:12" ht="24.9" customHeight="1">
      <c r="A44" s="120">
        <v>41</v>
      </c>
      <c r="B44" s="130">
        <v>46134</v>
      </c>
      <c r="C44" s="120" t="s">
        <v>292</v>
      </c>
      <c r="D44" s="131" t="s">
        <v>317</v>
      </c>
      <c r="E44" s="120" t="s">
        <v>304</v>
      </c>
      <c r="F44" s="120">
        <v>48</v>
      </c>
      <c r="G44" s="121">
        <v>900</v>
      </c>
      <c r="H44" s="121">
        <f>F44*G44</f>
        <v>43200</v>
      </c>
      <c r="I44" s="121" t="s">
        <v>305</v>
      </c>
    </row>
    <row r="45" spans="1:12" ht="24.9" customHeight="1">
      <c r="A45" s="120">
        <v>42</v>
      </c>
      <c r="B45" s="130">
        <v>46136</v>
      </c>
      <c r="C45" s="120" t="s">
        <v>292</v>
      </c>
      <c r="D45" s="131" t="s">
        <v>682</v>
      </c>
      <c r="E45" s="120" t="s">
        <v>304</v>
      </c>
      <c r="F45" s="120">
        <v>5</v>
      </c>
      <c r="G45" s="121">
        <v>1500</v>
      </c>
      <c r="H45" s="121">
        <f t="shared" ref="H45:H48" si="13">F45*G45</f>
        <v>7500</v>
      </c>
      <c r="I45" s="121" t="s">
        <v>305</v>
      </c>
    </row>
    <row r="46" spans="1:12" ht="24.9" customHeight="1">
      <c r="A46" s="120">
        <v>43</v>
      </c>
      <c r="B46" s="130">
        <v>46136</v>
      </c>
      <c r="C46" s="120" t="s">
        <v>292</v>
      </c>
      <c r="D46" s="131" t="s">
        <v>683</v>
      </c>
      <c r="E46" s="120" t="s">
        <v>304</v>
      </c>
      <c r="F46" s="120">
        <v>2</v>
      </c>
      <c r="G46" s="121">
        <v>14800</v>
      </c>
      <c r="H46" s="121">
        <f t="shared" si="13"/>
        <v>29600</v>
      </c>
      <c r="I46" s="121" t="s">
        <v>305</v>
      </c>
    </row>
    <row r="47" spans="1:12" ht="24.9" customHeight="1">
      <c r="A47" s="120">
        <v>44</v>
      </c>
      <c r="B47" s="130">
        <v>46136</v>
      </c>
      <c r="C47" s="120" t="s">
        <v>292</v>
      </c>
      <c r="D47" s="131" t="s">
        <v>516</v>
      </c>
      <c r="E47" s="120" t="s">
        <v>304</v>
      </c>
      <c r="F47" s="120">
        <v>1</v>
      </c>
      <c r="G47" s="121">
        <v>14800</v>
      </c>
      <c r="H47" s="121">
        <f t="shared" si="13"/>
        <v>14800</v>
      </c>
      <c r="I47" s="121" t="s">
        <v>305</v>
      </c>
      <c r="J47" s="54"/>
      <c r="K47" s="123"/>
      <c r="L47" s="54"/>
    </row>
    <row r="48" spans="1:12" ht="24.9" customHeight="1">
      <c r="A48" s="120">
        <v>45</v>
      </c>
      <c r="B48" s="130">
        <v>46139</v>
      </c>
      <c r="C48" s="120" t="s">
        <v>292</v>
      </c>
      <c r="D48" s="131" t="s">
        <v>661</v>
      </c>
      <c r="E48" s="120" t="s">
        <v>304</v>
      </c>
      <c r="F48" s="120">
        <v>10</v>
      </c>
      <c r="G48" s="121">
        <v>2100</v>
      </c>
      <c r="H48" s="121">
        <f t="shared" si="13"/>
        <v>21000</v>
      </c>
      <c r="I48" s="121" t="s">
        <v>305</v>
      </c>
      <c r="J48" s="54"/>
      <c r="K48" s="123"/>
      <c r="L48" s="54"/>
    </row>
    <row r="49" spans="1:12" ht="24.9" customHeight="1">
      <c r="A49" s="120">
        <v>46</v>
      </c>
      <c r="B49" s="130">
        <v>46139</v>
      </c>
      <c r="C49" s="120" t="s">
        <v>292</v>
      </c>
      <c r="D49" s="131" t="s">
        <v>684</v>
      </c>
      <c r="E49" s="120" t="s">
        <v>304</v>
      </c>
      <c r="F49" s="120">
        <v>10</v>
      </c>
      <c r="G49" s="121">
        <v>5500</v>
      </c>
      <c r="H49" s="121">
        <f>F49*G49</f>
        <v>55000</v>
      </c>
      <c r="I49" s="121" t="s">
        <v>305</v>
      </c>
      <c r="J49" s="54"/>
      <c r="K49" s="123"/>
      <c r="L49" s="54"/>
    </row>
    <row r="50" spans="1:12" ht="24.9" customHeight="1">
      <c r="A50" s="120">
        <v>47</v>
      </c>
      <c r="B50" s="130">
        <v>46139</v>
      </c>
      <c r="C50" s="120" t="s">
        <v>292</v>
      </c>
      <c r="D50" s="131" t="s">
        <v>685</v>
      </c>
      <c r="E50" s="120" t="s">
        <v>304</v>
      </c>
      <c r="F50" s="120">
        <v>1</v>
      </c>
      <c r="G50" s="121">
        <v>95900</v>
      </c>
      <c r="H50" s="121">
        <f t="shared" ref="H50:H51" si="14">F50*G50</f>
        <v>95900</v>
      </c>
      <c r="I50" s="121" t="s">
        <v>305</v>
      </c>
      <c r="J50" s="54"/>
      <c r="K50" s="123"/>
      <c r="L50" s="54"/>
    </row>
    <row r="51" spans="1:12" ht="24.9" customHeight="1">
      <c r="A51" s="120">
        <v>48</v>
      </c>
      <c r="B51" s="130">
        <v>46139</v>
      </c>
      <c r="C51" s="120" t="s">
        <v>292</v>
      </c>
      <c r="D51" s="131" t="s">
        <v>686</v>
      </c>
      <c r="E51" s="120" t="s">
        <v>304</v>
      </c>
      <c r="F51" s="120">
        <v>1</v>
      </c>
      <c r="G51" s="121">
        <v>9600</v>
      </c>
      <c r="H51" s="121">
        <f t="shared" si="14"/>
        <v>9600</v>
      </c>
      <c r="I51" s="121" t="s">
        <v>305</v>
      </c>
      <c r="J51" s="54"/>
      <c r="K51" s="119"/>
      <c r="L51" s="54"/>
    </row>
    <row r="52" spans="1:12" ht="24.9" customHeight="1">
      <c r="A52" s="120">
        <v>49</v>
      </c>
      <c r="B52" s="130">
        <v>46139</v>
      </c>
      <c r="C52" s="120" t="s">
        <v>292</v>
      </c>
      <c r="D52" s="131" t="s">
        <v>666</v>
      </c>
      <c r="E52" s="120" t="s">
        <v>304</v>
      </c>
      <c r="F52" s="120">
        <v>11</v>
      </c>
      <c r="G52" s="121">
        <v>50400</v>
      </c>
      <c r="H52" s="121">
        <f>F52*G52</f>
        <v>554400</v>
      </c>
      <c r="I52" s="121" t="s">
        <v>305</v>
      </c>
      <c r="J52" s="54"/>
      <c r="K52" s="54"/>
      <c r="L52" s="54"/>
    </row>
    <row r="53" spans="1:12" ht="24.9" customHeight="1">
      <c r="A53" s="120">
        <v>50</v>
      </c>
      <c r="B53" s="130">
        <v>46114</v>
      </c>
      <c r="C53" s="120" t="s">
        <v>292</v>
      </c>
      <c r="D53" s="131" t="s">
        <v>687</v>
      </c>
      <c r="E53" s="120" t="s">
        <v>304</v>
      </c>
      <c r="F53" s="120">
        <v>2</v>
      </c>
      <c r="G53" s="121">
        <v>102000</v>
      </c>
      <c r="H53" s="121">
        <f t="shared" ref="H53:H54" si="15">F53*G53</f>
        <v>204000</v>
      </c>
      <c r="I53" s="121" t="s">
        <v>305</v>
      </c>
    </row>
    <row r="54" spans="1:12" ht="24.9" customHeight="1">
      <c r="A54" s="120">
        <v>51</v>
      </c>
      <c r="B54" s="130">
        <v>46114</v>
      </c>
      <c r="C54" s="120" t="s">
        <v>292</v>
      </c>
      <c r="D54" s="131" t="s">
        <v>688</v>
      </c>
      <c r="E54" s="120" t="s">
        <v>304</v>
      </c>
      <c r="F54" s="120">
        <v>1</v>
      </c>
      <c r="G54" s="121">
        <v>335000</v>
      </c>
      <c r="H54" s="121">
        <f t="shared" si="15"/>
        <v>335000</v>
      </c>
      <c r="I54" s="121" t="s">
        <v>305</v>
      </c>
    </row>
    <row r="55" spans="1:12" ht="24.9" customHeight="1">
      <c r="A55" s="120">
        <v>52</v>
      </c>
      <c r="B55" s="130">
        <v>46114</v>
      </c>
      <c r="C55" s="120" t="s">
        <v>292</v>
      </c>
      <c r="D55" s="131" t="s">
        <v>689</v>
      </c>
      <c r="E55" s="120" t="s">
        <v>304</v>
      </c>
      <c r="F55" s="120">
        <v>1</v>
      </c>
      <c r="G55" s="121">
        <v>280000</v>
      </c>
      <c r="H55" s="121">
        <f>F55*G55</f>
        <v>280000</v>
      </c>
      <c r="I55" s="121" t="s">
        <v>305</v>
      </c>
    </row>
    <row r="56" spans="1:12" ht="24.9" customHeight="1">
      <c r="A56" s="120">
        <v>53</v>
      </c>
      <c r="B56" s="130">
        <v>46114</v>
      </c>
      <c r="C56" s="120" t="s">
        <v>292</v>
      </c>
      <c r="D56" s="131" t="s">
        <v>689</v>
      </c>
      <c r="E56" s="120" t="s">
        <v>304</v>
      </c>
      <c r="F56" s="120">
        <v>1</v>
      </c>
      <c r="G56" s="121">
        <v>280000</v>
      </c>
      <c r="H56" s="121">
        <f t="shared" ref="H56" si="16">F56*G56</f>
        <v>280000</v>
      </c>
      <c r="I56" s="121" t="s">
        <v>305</v>
      </c>
    </row>
    <row r="57" spans="1:12" ht="24.9" customHeight="1">
      <c r="A57" s="120">
        <v>54</v>
      </c>
      <c r="B57" s="130">
        <v>46114</v>
      </c>
      <c r="C57" s="120" t="s">
        <v>292</v>
      </c>
      <c r="D57" s="131" t="s">
        <v>690</v>
      </c>
      <c r="E57" s="120" t="s">
        <v>304</v>
      </c>
      <c r="F57" s="120">
        <v>4</v>
      </c>
      <c r="G57" s="121">
        <v>124800</v>
      </c>
      <c r="H57" s="121">
        <f>F57*G57</f>
        <v>499200</v>
      </c>
      <c r="I57" s="121" t="s">
        <v>305</v>
      </c>
    </row>
    <row r="58" spans="1:12" ht="24.9" customHeight="1">
      <c r="A58" s="120">
        <v>55</v>
      </c>
      <c r="B58" s="130">
        <v>46115</v>
      </c>
      <c r="C58" s="120" t="s">
        <v>292</v>
      </c>
      <c r="D58" s="131" t="s">
        <v>691</v>
      </c>
      <c r="E58" s="120" t="s">
        <v>304</v>
      </c>
      <c r="F58" s="120">
        <v>1</v>
      </c>
      <c r="G58" s="121">
        <v>169400</v>
      </c>
      <c r="H58" s="121">
        <f t="shared" ref="H58:H59" si="17">F58*G58</f>
        <v>169400</v>
      </c>
      <c r="I58" s="121" t="s">
        <v>305</v>
      </c>
    </row>
    <row r="59" spans="1:12" ht="24.9" customHeight="1">
      <c r="A59" s="120">
        <v>56</v>
      </c>
      <c r="B59" s="130">
        <v>46115</v>
      </c>
      <c r="C59" s="120" t="s">
        <v>292</v>
      </c>
      <c r="D59" s="131" t="s">
        <v>316</v>
      </c>
      <c r="E59" s="120" t="s">
        <v>304</v>
      </c>
      <c r="F59" s="120">
        <v>1</v>
      </c>
      <c r="G59" s="121">
        <v>12000</v>
      </c>
      <c r="H59" s="121">
        <f t="shared" si="17"/>
        <v>12000</v>
      </c>
      <c r="I59" s="121" t="s">
        <v>305</v>
      </c>
    </row>
    <row r="60" spans="1:12" ht="24.9" customHeight="1">
      <c r="A60" s="120">
        <v>57</v>
      </c>
      <c r="B60" s="130">
        <v>46115</v>
      </c>
      <c r="C60" s="120" t="s">
        <v>292</v>
      </c>
      <c r="D60" s="131" t="s">
        <v>692</v>
      </c>
      <c r="E60" s="120" t="s">
        <v>304</v>
      </c>
      <c r="F60" s="120">
        <v>1</v>
      </c>
      <c r="G60" s="121">
        <v>9600</v>
      </c>
      <c r="H60" s="121">
        <f>F60*G60</f>
        <v>9600</v>
      </c>
      <c r="I60" s="121" t="s">
        <v>305</v>
      </c>
    </row>
    <row r="61" spans="1:12" ht="24.9" customHeight="1">
      <c r="A61" s="120">
        <v>58</v>
      </c>
      <c r="B61" s="130">
        <v>46115</v>
      </c>
      <c r="C61" s="120" t="s">
        <v>292</v>
      </c>
      <c r="D61" s="131" t="s">
        <v>669</v>
      </c>
      <c r="E61" s="120" t="s">
        <v>304</v>
      </c>
      <c r="F61" s="120">
        <v>36</v>
      </c>
      <c r="G61" s="121">
        <v>900</v>
      </c>
      <c r="H61" s="121">
        <f t="shared" ref="H61:H62" si="18">F61*G61</f>
        <v>32400</v>
      </c>
      <c r="I61" s="121" t="s">
        <v>305</v>
      </c>
    </row>
    <row r="62" spans="1:12" ht="24.9" customHeight="1">
      <c r="A62" s="120">
        <v>59</v>
      </c>
      <c r="B62" s="130">
        <v>46115</v>
      </c>
      <c r="C62" s="120" t="s">
        <v>292</v>
      </c>
      <c r="D62" s="131" t="s">
        <v>693</v>
      </c>
      <c r="E62" s="120" t="s">
        <v>304</v>
      </c>
      <c r="F62" s="120">
        <v>8</v>
      </c>
      <c r="G62" s="121">
        <v>4000</v>
      </c>
      <c r="H62" s="121">
        <f t="shared" si="18"/>
        <v>32000</v>
      </c>
      <c r="I62" s="121" t="s">
        <v>305</v>
      </c>
    </row>
  </sheetData>
  <mergeCells count="9">
    <mergeCell ref="A1:I1"/>
    <mergeCell ref="A2:A3"/>
    <mergeCell ref="B2:B3"/>
    <mergeCell ref="C2:C3"/>
    <mergeCell ref="D2:D3"/>
    <mergeCell ref="E2:E3"/>
    <mergeCell ref="F2:F3"/>
    <mergeCell ref="G2:G3"/>
    <mergeCell ref="I2:I3"/>
  </mergeCells>
  <phoneticPr fontId="3" type="noConversion"/>
  <pageMargins left="0.7" right="0.7" top="0.75" bottom="0.75" header="0.3" footer="0.3"/>
  <pageSetup paperSize="9" scale="76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R13"/>
  <sheetViews>
    <sheetView workbookViewId="0">
      <selection activeCell="C10" sqref="C10"/>
    </sheetView>
  </sheetViews>
  <sheetFormatPr defaultRowHeight="17.399999999999999"/>
  <cols>
    <col min="2" max="2" width="8.59765625" customWidth="1"/>
    <col min="3" max="3" width="9.59765625" customWidth="1"/>
    <col min="4" max="4" width="16.59765625" customWidth="1"/>
    <col min="5" max="5" width="9.59765625" customWidth="1"/>
    <col min="7" max="7" width="8.59765625" customWidth="1"/>
    <col min="8" max="10" width="14.59765625" customWidth="1"/>
    <col min="12" max="12" width="8.59765625" customWidth="1"/>
    <col min="13" max="15" width="11.59765625" customWidth="1"/>
    <col min="17" max="17" width="9.59765625" customWidth="1"/>
    <col min="18" max="18" width="15.59765625" customWidth="1"/>
  </cols>
  <sheetData>
    <row r="2" spans="2:18" ht="30" customHeight="1">
      <c r="B2" s="309" t="s">
        <v>40</v>
      </c>
      <c r="C2" s="38" t="s">
        <v>36</v>
      </c>
      <c r="D2" s="38"/>
      <c r="E2" s="38" t="s">
        <v>39</v>
      </c>
    </row>
    <row r="3" spans="2:18" ht="30" customHeight="1">
      <c r="B3" s="310"/>
      <c r="C3" s="38" t="s">
        <v>37</v>
      </c>
      <c r="D3" s="38"/>
      <c r="E3" s="38" t="s">
        <v>39</v>
      </c>
    </row>
    <row r="4" spans="2:18" ht="30" customHeight="1">
      <c r="B4" s="310"/>
      <c r="C4" s="38" t="s">
        <v>38</v>
      </c>
      <c r="D4" s="38"/>
      <c r="E4" s="38" t="s">
        <v>39</v>
      </c>
    </row>
    <row r="6" spans="2:18" ht="48.9" customHeight="1">
      <c r="G6" s="309" t="s">
        <v>48</v>
      </c>
      <c r="H6" s="39" t="s">
        <v>41</v>
      </c>
      <c r="I6" s="39" t="s">
        <v>42</v>
      </c>
      <c r="J6" s="39" t="s">
        <v>46</v>
      </c>
      <c r="K6" s="37"/>
      <c r="L6" s="37"/>
      <c r="M6" s="37"/>
      <c r="N6" s="37"/>
      <c r="O6" s="37"/>
    </row>
    <row r="7" spans="2:18" ht="54.9" customHeight="1">
      <c r="G7" s="309"/>
      <c r="H7" s="38"/>
      <c r="I7" s="38"/>
      <c r="J7" s="38"/>
      <c r="K7" s="37"/>
      <c r="L7" s="37"/>
      <c r="M7" s="37"/>
      <c r="N7" s="37"/>
      <c r="O7" s="37"/>
    </row>
    <row r="8" spans="2:18" ht="24.9" customHeight="1">
      <c r="G8" s="37"/>
      <c r="H8" s="37"/>
      <c r="I8" s="37"/>
      <c r="J8" s="37"/>
      <c r="K8" s="37"/>
      <c r="L8" s="311" t="s">
        <v>47</v>
      </c>
      <c r="M8" s="38" t="s">
        <v>43</v>
      </c>
      <c r="N8" s="38" t="s">
        <v>44</v>
      </c>
      <c r="O8" s="38" t="s">
        <v>45</v>
      </c>
    </row>
    <row r="9" spans="2:18" ht="39.9" customHeight="1">
      <c r="G9" s="37"/>
      <c r="H9" s="37"/>
      <c r="I9" s="37"/>
      <c r="J9" s="37"/>
      <c r="K9" s="37"/>
      <c r="L9" s="312"/>
      <c r="M9" s="38"/>
      <c r="N9" s="38"/>
      <c r="O9" s="38"/>
    </row>
    <row r="11" spans="2:18" ht="24.9" customHeight="1">
      <c r="Q11" s="38" t="s">
        <v>49</v>
      </c>
      <c r="R11" s="38" t="s">
        <v>52</v>
      </c>
    </row>
    <row r="12" spans="2:18" ht="24.9" customHeight="1">
      <c r="Q12" s="38" t="s">
        <v>50</v>
      </c>
      <c r="R12" s="38" t="s">
        <v>53</v>
      </c>
    </row>
    <row r="13" spans="2:18" ht="24.9" customHeight="1">
      <c r="Q13" s="38" t="s">
        <v>51</v>
      </c>
      <c r="R13" s="38" t="s">
        <v>53</v>
      </c>
    </row>
  </sheetData>
  <mergeCells count="3">
    <mergeCell ref="B2:B4"/>
    <mergeCell ref="G6:G7"/>
    <mergeCell ref="L8:L9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C27"/>
  <sheetViews>
    <sheetView workbookViewId="0">
      <selection activeCell="K31" sqref="K31"/>
    </sheetView>
  </sheetViews>
  <sheetFormatPr defaultRowHeight="17.399999999999999"/>
  <sheetData>
    <row r="3" spans="2:3">
      <c r="B3" s="313" t="s">
        <v>54</v>
      </c>
      <c r="C3" s="314"/>
    </row>
    <row r="4" spans="2:3">
      <c r="B4" s="40" t="s">
        <v>55</v>
      </c>
      <c r="C4" s="40" t="s">
        <v>56</v>
      </c>
    </row>
    <row r="5" spans="2:3">
      <c r="B5" s="38" t="s">
        <v>57</v>
      </c>
      <c r="C5" s="38">
        <v>0.25</v>
      </c>
    </row>
    <row r="6" spans="2:3">
      <c r="B6" s="38" t="s">
        <v>58</v>
      </c>
      <c r="C6" s="38">
        <v>0.5</v>
      </c>
    </row>
    <row r="7" spans="2:3">
      <c r="B7" s="38" t="s">
        <v>59</v>
      </c>
      <c r="C7" s="38">
        <v>0.75</v>
      </c>
    </row>
    <row r="8" spans="2:3">
      <c r="B8" s="38" t="s">
        <v>60</v>
      </c>
      <c r="C8" s="38">
        <v>1</v>
      </c>
    </row>
    <row r="9" spans="2:3">
      <c r="B9" s="38" t="s">
        <v>61</v>
      </c>
      <c r="C9" s="38">
        <v>1.25</v>
      </c>
    </row>
    <row r="10" spans="2:3">
      <c r="B10" s="38" t="s">
        <v>62</v>
      </c>
      <c r="C10" s="38">
        <v>1.5</v>
      </c>
    </row>
    <row r="11" spans="2:3">
      <c r="B11" s="38" t="s">
        <v>63</v>
      </c>
      <c r="C11" s="38">
        <v>2</v>
      </c>
    </row>
    <row r="12" spans="2:3">
      <c r="B12" s="38" t="s">
        <v>64</v>
      </c>
      <c r="C12" s="38">
        <v>2.5</v>
      </c>
    </row>
    <row r="13" spans="2:3">
      <c r="B13" s="38" t="s">
        <v>65</v>
      </c>
      <c r="C13" s="38">
        <v>3</v>
      </c>
    </row>
    <row r="14" spans="2:3">
      <c r="B14" s="38" t="s">
        <v>66</v>
      </c>
      <c r="C14" s="38">
        <v>4</v>
      </c>
    </row>
    <row r="15" spans="2:3">
      <c r="B15" s="38" t="s">
        <v>67</v>
      </c>
      <c r="C15" s="38">
        <v>4</v>
      </c>
    </row>
    <row r="16" spans="2:3">
      <c r="B16" s="38" t="s">
        <v>68</v>
      </c>
      <c r="C16" s="38">
        <v>5</v>
      </c>
    </row>
    <row r="17" spans="2:3">
      <c r="B17" s="38" t="s">
        <v>69</v>
      </c>
      <c r="C17" s="38">
        <v>6</v>
      </c>
    </row>
    <row r="18" spans="2:3">
      <c r="B18" s="38" t="s">
        <v>70</v>
      </c>
      <c r="C18" s="38">
        <v>7</v>
      </c>
    </row>
    <row r="19" spans="2:3">
      <c r="B19" s="38" t="s">
        <v>71</v>
      </c>
      <c r="C19" s="38">
        <v>8</v>
      </c>
    </row>
    <row r="20" spans="2:3">
      <c r="B20" s="38" t="s">
        <v>72</v>
      </c>
      <c r="C20" s="38">
        <v>9</v>
      </c>
    </row>
    <row r="21" spans="2:3">
      <c r="B21" s="38" t="s">
        <v>73</v>
      </c>
      <c r="C21" s="38">
        <v>10</v>
      </c>
    </row>
    <row r="22" spans="2:3">
      <c r="B22" s="38" t="s">
        <v>74</v>
      </c>
      <c r="C22" s="38">
        <v>12</v>
      </c>
    </row>
    <row r="23" spans="2:3">
      <c r="B23" s="38" t="s">
        <v>75</v>
      </c>
      <c r="C23" s="38">
        <v>14</v>
      </c>
    </row>
    <row r="24" spans="2:3">
      <c r="B24" s="38" t="s">
        <v>76</v>
      </c>
      <c r="C24" s="38">
        <v>16</v>
      </c>
    </row>
    <row r="25" spans="2:3">
      <c r="B25" s="38" t="s">
        <v>77</v>
      </c>
      <c r="C25" s="38">
        <v>18</v>
      </c>
    </row>
    <row r="26" spans="2:3">
      <c r="B26" s="38" t="s">
        <v>78</v>
      </c>
      <c r="C26" s="38">
        <v>20</v>
      </c>
    </row>
    <row r="27" spans="2:3">
      <c r="B27" s="38" t="s">
        <v>79</v>
      </c>
      <c r="C27" s="38">
        <v>22</v>
      </c>
    </row>
  </sheetData>
  <mergeCells count="1">
    <mergeCell ref="B3:C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용역청구서 표지</vt:lpstr>
      <vt:lpstr>용역 청구서(갑지)</vt:lpstr>
      <vt:lpstr>용역 내역서(을지)</vt:lpstr>
      <vt:lpstr>내역서(을지)</vt:lpstr>
      <vt:lpstr>집계장</vt:lpstr>
      <vt:lpstr>물량 내역서</vt:lpstr>
      <vt:lpstr>근로내역 (04월)</vt:lpstr>
      <vt:lpstr>숙소임차료</vt:lpstr>
      <vt:lpstr>숙소관리비</vt:lpstr>
      <vt:lpstr>식대비용</vt:lpstr>
      <vt:lpstr>기타비용</vt:lpstr>
      <vt:lpstr>서명란</vt:lpstr>
      <vt:lpstr>DIA-INCH</vt:lpstr>
      <vt:lpstr>집계장!Print_Area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KCENC</dc:creator>
  <cp:lastModifiedBy>ENCP0852LT</cp:lastModifiedBy>
  <cp:lastPrinted>2026-05-08T03:35:52Z</cp:lastPrinted>
  <dcterms:created xsi:type="dcterms:W3CDTF">2025-09-12T00:04:15Z</dcterms:created>
  <dcterms:modified xsi:type="dcterms:W3CDTF">2026-05-11T05:17:45Z</dcterms:modified>
</cp:coreProperties>
</file>