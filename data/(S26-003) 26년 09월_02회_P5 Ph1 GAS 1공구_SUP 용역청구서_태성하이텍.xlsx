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CENC\Downloads\P5 Ph1 SUP_26년 09월_2회차 용역청구서_태성하이텍\"/>
    </mc:Choice>
  </mc:AlternateContent>
  <xr:revisionPtr revIDLastSave="0" documentId="13_ncr:1_{7A9DC28C-C437-42BE-B635-919E58A6433E}" xr6:coauthVersionLast="36" xr6:coauthVersionMax="47" xr10:uidLastSave="{00000000-0000-0000-0000-000000000000}"/>
  <bookViews>
    <workbookView xWindow="28680" yWindow="-120" windowWidth="29040" windowHeight="15720" tabRatio="726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근로내역 (09월)" sheetId="8" r:id="rId6"/>
    <sheet name="물량 내역서" sheetId="7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배관기자재!$A$2:$J$12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기타비용!$A$1:$I$13</definedName>
    <definedName name="_xlnm.Print_Area" localSheetId="8">배관기자재!$A$1:$J$29</definedName>
    <definedName name="_xlnm.Print_Area" localSheetId="10">숙소관리비!$A$1:$J$9</definedName>
    <definedName name="_xlnm.Print_Area" localSheetId="9">숙소임차료!$A$1:$J$7</definedName>
    <definedName name="_xlnm.Print_Area" localSheetId="11">식대비용!$A$1:$J$8</definedName>
    <definedName name="_xlnm.Print_Area" localSheetId="1">'용역 청구서(갑지)'!$A$1:$L$26</definedName>
    <definedName name="_xlnm.Print_Area" localSheetId="7">용접기자재!$A$1:$J$5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7" l="1"/>
  <c r="AM3" i="8"/>
  <c r="AM1" i="8"/>
  <c r="A1" i="6"/>
  <c r="D3" i="2"/>
  <c r="E3" i="2"/>
  <c r="F18" i="6" l="1"/>
  <c r="H18" i="6" s="1"/>
  <c r="F21" i="6" l="1"/>
  <c r="H21" i="6" s="1"/>
  <c r="F22" i="6"/>
  <c r="H22" i="6" l="1"/>
  <c r="I22" i="6" s="1"/>
  <c r="E8" i="2"/>
  <c r="I3" i="11"/>
  <c r="H15" i="6" l="1"/>
  <c r="H13" i="12" l="1"/>
  <c r="A13" i="12"/>
  <c r="H12" i="12"/>
  <c r="A12" i="12"/>
  <c r="H11" i="12"/>
  <c r="A11" i="12"/>
  <c r="G10" i="12"/>
  <c r="H10" i="12" s="1"/>
  <c r="A10" i="12"/>
  <c r="G9" i="12"/>
  <c r="H9" i="12" s="1"/>
  <c r="A9" i="12"/>
  <c r="G8" i="12"/>
  <c r="H8" i="12" s="1"/>
  <c r="A8" i="12"/>
  <c r="G7" i="12"/>
  <c r="H7" i="12" s="1"/>
  <c r="A7" i="12"/>
  <c r="G6" i="12"/>
  <c r="H6" i="12" s="1"/>
  <c r="A6" i="12"/>
  <c r="G5" i="12"/>
  <c r="H5" i="12" s="1"/>
  <c r="A5" i="12"/>
  <c r="G4" i="12"/>
  <c r="H4" i="12" s="1"/>
  <c r="A4" i="12"/>
  <c r="A8" i="11"/>
  <c r="I7" i="11"/>
  <c r="A7" i="11"/>
  <c r="I6" i="11"/>
  <c r="A6" i="11"/>
  <c r="I5" i="11"/>
  <c r="A5" i="11"/>
  <c r="I4" i="11"/>
  <c r="A4" i="11"/>
  <c r="A9" i="10"/>
  <c r="A8" i="10"/>
  <c r="A7" i="10"/>
  <c r="A6" i="10"/>
  <c r="A5" i="10"/>
  <c r="A4" i="10"/>
  <c r="I3" i="9"/>
  <c r="I7" i="9"/>
  <c r="I6" i="9"/>
  <c r="I5" i="9"/>
  <c r="I4" i="9"/>
  <c r="A5" i="13"/>
  <c r="AN25" i="8" l="1"/>
  <c r="AP25" i="8" s="1"/>
  <c r="AN24" i="8"/>
  <c r="AP24" i="8" s="1"/>
  <c r="I3" i="14" l="1"/>
  <c r="H3" i="12"/>
  <c r="A4" i="13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N29" i="8"/>
  <c r="AN28" i="8"/>
  <c r="AN27" i="8"/>
  <c r="AN26" i="8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N12" i="8"/>
  <c r="AP12" i="8" s="1"/>
  <c r="AN11" i="8"/>
  <c r="AP11" i="8" s="1"/>
  <c r="AN10" i="8"/>
  <c r="AP10" i="8" s="1"/>
  <c r="AN9" i="8"/>
  <c r="AP9" i="8" s="1"/>
  <c r="AN8" i="8"/>
  <c r="AP8" i="8" s="1"/>
  <c r="AN6" i="8"/>
  <c r="AN7" i="8"/>
  <c r="AP13" i="8"/>
  <c r="AP27" i="8"/>
  <c r="AP26" i="8"/>
  <c r="A6" i="9" l="1"/>
  <c r="A5" i="9"/>
  <c r="A4" i="9"/>
  <c r="A10" i="14"/>
  <c r="A9" i="14"/>
  <c r="A8" i="14"/>
  <c r="A7" i="14"/>
  <c r="A6" i="14"/>
  <c r="A5" i="14"/>
  <c r="A4" i="14"/>
  <c r="I3" i="10" l="1"/>
  <c r="E16" i="15" l="1"/>
  <c r="F11" i="15"/>
  <c r="F10" i="15"/>
  <c r="F9" i="15"/>
  <c r="F8" i="15"/>
  <c r="F7" i="15"/>
  <c r="F6" i="15"/>
  <c r="F5" i="15"/>
  <c r="F13" i="15" l="1"/>
  <c r="F16" i="15" s="1"/>
  <c r="G8" i="6" l="1"/>
  <c r="G13" i="6" l="1"/>
  <c r="G14" i="6" s="1"/>
  <c r="G18" i="6" s="1"/>
  <c r="G21" i="6" l="1"/>
  <c r="I21" i="6" s="1"/>
  <c r="I18" i="6"/>
  <c r="J8" i="7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/>
  <c r="I3" i="13"/>
  <c r="I30" i="8" l="1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P37" i="8" l="1"/>
  <c r="O37" i="8"/>
  <c r="N37" i="8"/>
  <c r="Z37" i="8"/>
  <c r="AM37" i="8"/>
  <c r="AL37" i="8"/>
  <c r="Q37" i="8"/>
  <c r="AD37" i="8"/>
  <c r="T37" i="8"/>
  <c r="AF37" i="8"/>
  <c r="R37" i="8"/>
  <c r="AB37" i="8"/>
  <c r="AA37" i="8"/>
  <c r="AC37" i="8"/>
  <c r="AJ37" i="8"/>
  <c r="AE37" i="8"/>
  <c r="W37" i="8"/>
  <c r="AK37" i="8"/>
  <c r="Y37" i="8"/>
  <c r="M37" i="8"/>
  <c r="X37" i="8"/>
  <c r="L37" i="8"/>
  <c r="AI37" i="8"/>
  <c r="K37" i="8"/>
  <c r="V37" i="8"/>
  <c r="J37" i="8"/>
  <c r="AG37" i="8"/>
  <c r="U37" i="8"/>
  <c r="I37" i="8"/>
  <c r="S37" i="8"/>
  <c r="AH37" i="8"/>
  <c r="AP29" i="8" l="1"/>
  <c r="AP28" i="8"/>
  <c r="AP7" i="8"/>
  <c r="AP6" i="8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N35" i="8" l="1"/>
  <c r="AP35" i="8" s="1"/>
  <c r="AN34" i="8"/>
  <c r="AP34" i="8" s="1"/>
  <c r="AN33" i="8"/>
  <c r="AP33" i="8" s="1"/>
  <c r="AN32" i="8"/>
  <c r="AP32" i="8" s="1"/>
  <c r="AN31" i="8"/>
  <c r="AP31" i="8" s="1"/>
  <c r="AP36" i="8" l="1"/>
  <c r="AN30" i="8"/>
  <c r="AP30" i="8"/>
  <c r="AN36" i="8"/>
  <c r="K50" i="7"/>
  <c r="K49" i="7"/>
  <c r="K48" i="7"/>
  <c r="K47" i="7"/>
  <c r="K46" i="7"/>
  <c r="K45" i="7"/>
  <c r="K44" i="7"/>
  <c r="K43" i="7"/>
  <c r="K34" i="7"/>
  <c r="K33" i="7"/>
  <c r="K32" i="7"/>
  <c r="K29" i="7"/>
  <c r="J27" i="7"/>
  <c r="J26" i="7"/>
  <c r="J25" i="7"/>
  <c r="K25" i="7" s="1"/>
  <c r="J24" i="7"/>
  <c r="K24" i="7" s="1"/>
  <c r="J23" i="7"/>
  <c r="J22" i="7"/>
  <c r="J21" i="7"/>
  <c r="K21" i="7" s="1"/>
  <c r="J20" i="7"/>
  <c r="J19" i="7"/>
  <c r="J18" i="7"/>
  <c r="K18" i="7" s="1"/>
  <c r="J17" i="7"/>
  <c r="J7" i="7"/>
  <c r="J6" i="7"/>
  <c r="J5" i="7"/>
  <c r="K23" i="7"/>
  <c r="L2" i="6"/>
  <c r="AN37" i="8" l="1"/>
  <c r="K26" i="7"/>
  <c r="K36" i="7"/>
  <c r="K37" i="7"/>
  <c r="K40" i="7"/>
  <c r="K41" i="7"/>
  <c r="K42" i="7"/>
  <c r="K38" i="7"/>
  <c r="K39" i="7"/>
  <c r="K28" i="7"/>
  <c r="K30" i="7"/>
  <c r="K35" i="7"/>
  <c r="K7" i="7"/>
  <c r="D4" i="6"/>
  <c r="AP37" i="8"/>
  <c r="AO30" i="8"/>
  <c r="F7" i="6" s="1"/>
  <c r="H7" i="6" s="1"/>
  <c r="I7" i="6" s="1"/>
  <c r="K6" i="7"/>
  <c r="K22" i="7"/>
  <c r="K5" i="7"/>
  <c r="K19" i="7"/>
  <c r="K27" i="7"/>
  <c r="K17" i="7"/>
  <c r="K20" i="7"/>
  <c r="F20" i="6"/>
  <c r="H19" i="6"/>
  <c r="I19" i="6" s="1"/>
  <c r="H17" i="6"/>
  <c r="I17" i="6" s="1"/>
  <c r="H16" i="6"/>
  <c r="I16" i="6" s="1"/>
  <c r="E14" i="2" s="1"/>
  <c r="I15" i="6"/>
  <c r="F12" i="6"/>
  <c r="D9" i="6" l="1"/>
  <c r="D6" i="6"/>
  <c r="F6" i="6" s="1"/>
  <c r="H6" i="6" s="1"/>
  <c r="I6" i="6" s="1"/>
  <c r="AO37" i="8"/>
  <c r="F9" i="6"/>
  <c r="H20" i="6"/>
  <c r="I20" i="6" s="1"/>
  <c r="L20" i="6" s="1"/>
  <c r="E12" i="2" s="1"/>
  <c r="E11" i="2"/>
  <c r="F5" i="6"/>
  <c r="F4" i="6"/>
  <c r="K51" i="7"/>
  <c r="J51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D8" i="2" l="1"/>
  <c r="E5" i="2"/>
  <c r="D5" i="2" s="1"/>
  <c r="E13" i="2" l="1"/>
  <c r="E6" i="2" s="1"/>
  <c r="D6" i="2" s="1"/>
  <c r="I9" i="6"/>
  <c r="D13" i="2" l="1"/>
  <c r="M50" i="7" l="1"/>
  <c r="G50" i="7" s="1"/>
  <c r="L7" i="7"/>
  <c r="F7" i="7" s="1"/>
  <c r="M47" i="7"/>
  <c r="G47" i="7"/>
  <c r="L50" i="7"/>
  <c r="F50" i="7"/>
  <c r="M7" i="7"/>
  <c r="G7" i="7"/>
  <c r="M48" i="7"/>
  <c r="G48" i="7"/>
  <c r="M46" i="7"/>
  <c r="G46" i="7" s="1"/>
  <c r="L45" i="7"/>
  <c r="F45" i="7" s="1"/>
  <c r="L6" i="7"/>
  <c r="F6" i="7"/>
  <c r="L47" i="7"/>
  <c r="F47" i="7"/>
  <c r="M45" i="7"/>
  <c r="G45" i="7" s="1"/>
  <c r="L49" i="7"/>
  <c r="F49" i="7" s="1"/>
  <c r="L46" i="7"/>
  <c r="F46" i="7"/>
  <c r="L48" i="7"/>
  <c r="F48" i="7" s="1"/>
  <c r="M49" i="7"/>
  <c r="G49" i="7" s="1"/>
  <c r="M6" i="7"/>
  <c r="G6" i="7" s="1"/>
  <c r="L5" i="7"/>
  <c r="F5" i="7"/>
  <c r="M5" i="7"/>
  <c r="G5" i="7"/>
  <c r="M14" i="7"/>
  <c r="G14" i="7" s="1"/>
  <c r="L11" i="7"/>
  <c r="F11" i="7"/>
  <c r="M36" i="7"/>
  <c r="G36" i="7" s="1"/>
  <c r="M20" i="7"/>
  <c r="G20" i="7" s="1"/>
  <c r="L25" i="7"/>
  <c r="F25" i="7" s="1"/>
  <c r="M39" i="7"/>
  <c r="G39" i="7" s="1"/>
  <c r="M29" i="7"/>
  <c r="G29" i="7" s="1"/>
  <c r="M44" i="7"/>
  <c r="G44" i="7" s="1"/>
  <c r="L34" i="7"/>
  <c r="F34" i="7" s="1"/>
  <c r="L30" i="7"/>
  <c r="F30" i="7" s="1"/>
  <c r="M17" i="7"/>
  <c r="G17" i="7" s="1"/>
  <c r="M28" i="7"/>
  <c r="G28" i="7"/>
  <c r="L36" i="7"/>
  <c r="F36" i="7" s="1"/>
  <c r="M19" i="7"/>
  <c r="G19" i="7"/>
  <c r="M11" i="7"/>
  <c r="G11" i="7" s="1"/>
  <c r="L39" i="7"/>
  <c r="F39" i="7"/>
  <c r="M27" i="7"/>
  <c r="G27" i="7"/>
  <c r="L38" i="7"/>
  <c r="F38" i="7" s="1"/>
  <c r="L10" i="7"/>
  <c r="F10" i="7"/>
  <c r="M41" i="7"/>
  <c r="G41" i="7" s="1"/>
  <c r="M30" i="7"/>
  <c r="G30" i="7" s="1"/>
  <c r="L26" i="7"/>
  <c r="F26" i="7" s="1"/>
  <c r="L17" i="7"/>
  <c r="F17" i="7"/>
  <c r="L44" i="7"/>
  <c r="F44" i="7" s="1"/>
  <c r="L33" i="7"/>
  <c r="F33" i="7" s="1"/>
  <c r="L15" i="7"/>
  <c r="F15" i="7" s="1"/>
  <c r="M16" i="7"/>
  <c r="G16" i="7" s="1"/>
  <c r="M32" i="7"/>
  <c r="G32" i="7" s="1"/>
  <c r="L22" i="7"/>
  <c r="F22" i="7"/>
  <c r="L27" i="7"/>
  <c r="F27" i="7"/>
  <c r="L37" i="7"/>
  <c r="F37" i="7" s="1"/>
  <c r="M13" i="7"/>
  <c r="G13" i="7" s="1"/>
  <c r="M25" i="7"/>
  <c r="G25" i="7" s="1"/>
  <c r="M42" i="7"/>
  <c r="G42" i="7"/>
  <c r="M21" i="7"/>
  <c r="G21" i="7" s="1"/>
  <c r="L20" i="7"/>
  <c r="F20" i="7" s="1"/>
  <c r="L41" i="7"/>
  <c r="F41" i="7"/>
  <c r="M23" i="7"/>
  <c r="G23" i="7"/>
  <c r="L13" i="7"/>
  <c r="F13" i="7" s="1"/>
  <c r="M35" i="7"/>
  <c r="G35" i="7" s="1"/>
  <c r="L43" i="7"/>
  <c r="F43" i="7"/>
  <c r="L40" i="7"/>
  <c r="F40" i="7" s="1"/>
  <c r="H51" i="7"/>
  <c r="L32" i="7"/>
  <c r="F32" i="7" s="1"/>
  <c r="L21" i="7"/>
  <c r="F21" i="7" s="1"/>
  <c r="L9" i="7"/>
  <c r="F9" i="7" s="1"/>
  <c r="L29" i="7"/>
  <c r="F29" i="7"/>
  <c r="L28" i="7"/>
  <c r="F28" i="7" s="1"/>
  <c r="M9" i="7"/>
  <c r="G9" i="7" s="1"/>
  <c r="M43" i="7"/>
  <c r="G43" i="7" s="1"/>
  <c r="M40" i="7"/>
  <c r="G40" i="7" s="1"/>
  <c r="L24" i="7"/>
  <c r="F24" i="7"/>
  <c r="L18" i="7"/>
  <c r="F18" i="7"/>
  <c r="L19" i="7"/>
  <c r="F19" i="7"/>
  <c r="M18" i="7"/>
  <c r="G18" i="7" s="1"/>
  <c r="M15" i="7"/>
  <c r="G15" i="7"/>
  <c r="M38" i="7"/>
  <c r="G38" i="7" s="1"/>
  <c r="L31" i="7"/>
  <c r="F31" i="7" s="1"/>
  <c r="M10" i="7"/>
  <c r="G10" i="7"/>
  <c r="M24" i="7"/>
  <c r="G24" i="7"/>
  <c r="M37" i="7"/>
  <c r="G37" i="7" s="1"/>
  <c r="I51" i="7"/>
  <c r="L14" i="7"/>
  <c r="F14" i="7" s="1"/>
  <c r="L35" i="7"/>
  <c r="F35" i="7" s="1"/>
  <c r="L16" i="7"/>
  <c r="F16" i="7" s="1"/>
  <c r="L42" i="7"/>
  <c r="F42" i="7" s="1"/>
  <c r="M33" i="7"/>
  <c r="G33" i="7" s="1"/>
  <c r="M12" i="7"/>
  <c r="G12" i="7"/>
  <c r="L23" i="7"/>
  <c r="F23" i="7"/>
  <c r="M22" i="7"/>
  <c r="G22" i="7" s="1"/>
  <c r="M26" i="7"/>
  <c r="G26" i="7" s="1"/>
  <c r="L12" i="7"/>
  <c r="F12" i="7" s="1"/>
  <c r="M34" i="7"/>
  <c r="G34" i="7" s="1"/>
  <c r="M31" i="7"/>
  <c r="G31" i="7" s="1"/>
  <c r="L8" i="7"/>
  <c r="F8" i="7" s="1"/>
  <c r="M8" i="7"/>
  <c r="G8" i="7"/>
  <c r="L51" i="7" l="1"/>
  <c r="M51" i="7"/>
  <c r="G51" i="7"/>
  <c r="F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<sst xmlns="http://schemas.openxmlformats.org/spreadsheetml/2006/main" count="900" uniqueCount="530">
  <si>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</si>
  <si>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</si>
  <si>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</si>
  <si>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</si>
  <si>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</si>
  <si>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</si>
  <si>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</si>
  <si>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</si>
  <si>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</si>
  <si>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</si>
  <si>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</si>
  <si>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</si>
  <si>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</si>
  <si>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</si>
  <si>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</si>
  <si>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</si>
  <si>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</si>
  <si>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</si>
  <si>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</si>
  <si>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</si>
  <si>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</si>
  <si>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</si>
  <si>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</si>
  <si>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</si>
  <si>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</si>
  <si>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</si>
  <si>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</si>
  <si>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</si>
  <si>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</si>
  <si>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</si>
  <si>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</si>
  <si>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</si>
  <si>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</si>
  <si>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</si>
  <si>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</si>
  <si>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</si>
  <si>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</si>
  <si>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</si>
  <si>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</si>
  <si>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</si>
  <si>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</si>
  <si>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</si>
  <si>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</si>
  <si>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</si>
  <si>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</si>
  <si>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</si>
  <si>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</si>
  <si>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</si>
  <si>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</si>
  <si>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</si>
  <si>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</si>
  <si>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</si>
  <si>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</si>
  <si>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</si>
  <si>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</si>
  <si>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</si>
  <si>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</si>
  <si>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</si>
  <si>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</si>
  <si>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</si>
  <si>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</si>
  <si>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</si>
  <si>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</si>
  <si>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</si>
  <si>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</si>
  <si>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</si>
  <si>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</si>
  <si>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</si>
  <si>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</si>
  <si>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</si>
  <si>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</si>
  <si>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</si>
  <si>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</si>
  <si>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</si>
  <si>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</si>
  <si>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</si>
  <si>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</si>
  <si>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</si>
  <si>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</si>
  <si>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</si>
  <si>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</si>
  <si>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</si>
  <si>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</si>
  <si>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</si>
  <si>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</si>
  <si>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</si>
  <si>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</si>
  <si>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</si>
  <si>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</si>
  <si>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</si>
  <si>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</si>
  <si>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</si>
  <si>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</si>
  <si>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</si>
  <si>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</si>
  <si>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</si>
  <si>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</si>
  <si>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</si>
  <si>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</si>
  <si>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</si>
  <si>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</si>
  <si>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</si>
  <si>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</si>
  <si>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</si>
  <si>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</si>
  <si>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</si>
  <si>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</si>
  <si>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</si>
  <si>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</si>
  <si>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</si>
  <si>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</si>
  <si>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</si>
  <si>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</si>
  <si>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</si>
  <si>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</si>
  <si>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</si>
  <si>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</si>
  <si>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</si>
  <si>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</si>
  <si>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</si>
  <si>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</si>
  <si>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</si>
  <si>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</si>
  <si>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</si>
  <si>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</si>
  <si>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</si>
  <si>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</si>
  <si>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</si>
  <si>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</si>
  <si>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</si>
  <si>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</si>
  <si>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</si>
  <si>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</si>
  <si>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</si>
  <si>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</si>
  <si>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</si>
  <si>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</si>
  <si>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</si>
  <si>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</si>
  <si>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</si>
  <si>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</si>
  <si>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</si>
  <si>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</si>
  <si>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</si>
  <si>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</si>
  <si>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</si>
  <si>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</si>
  <si>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</si>
  <si>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</si>
  <si>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</si>
  <si>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</si>
  <si>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</si>
  <si>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</si>
  <si>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</si>
  <si>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</si>
  <si>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</si>
  <si>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</si>
  <si>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</si>
  <si>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</si>
  <si>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</si>
  <si>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</si>
  <si>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</si>
  <si>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</si>
  <si>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</si>
  <si>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</si>
  <si>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</si>
  <si>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</si>
  <si>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</si>
  <si>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</si>
  <si>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</si>
  <si>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</si>
  <si>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</si>
  <si>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</si>
  <si>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</si>
  <si>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</si>
  <si>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</si>
  <si>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</si>
  <si>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</si>
  <si>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</si>
  <si>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</si>
  <si>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</si>
  <si>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</si>
  <si>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</si>
  <si>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</si>
  <si>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</si>
  <si>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</si>
  <si>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</si>
  <si>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</si>
  <si>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</si>
  <si>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</si>
  <si>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</si>
  <si>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</si>
  <si>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</si>
  <si>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</si>
  <si>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</si>
  <si>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</si>
  <si>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</si>
  <si>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</si>
  <si>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</si>
  <si>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</si>
  <si>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</si>
  <si>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</si>
  <si>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</si>
  <si>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</si>
  <si>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</si>
  <si>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</si>
  <si>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</si>
  <si>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</si>
  <si>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</si>
  <si>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</si>
  <si>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</si>
  <si>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</si>
  <si>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</si>
  <si>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</si>
  <si>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</si>
  <si>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</si>
  <si>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</si>
  <si>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</si>
  <si>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</si>
  <si>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</si>
  <si>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</si>
  <si>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</si>
  <si>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</si>
  <si>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</si>
  <si>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</si>
  <si>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</si>
  <si>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</si>
  <si>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</si>
  <si>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</si>
  <si>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</si>
  <si>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</si>
  <si>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</si>
  <si>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</si>
  <si>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</si>
  <si>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</si>
  <si>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</si>
  <si>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</si>
  <si>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</si>
  <si>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</si>
  <si>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</si>
  <si>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</si>
  <si>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</si>
  <si>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</si>
  <si>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</si>
  <si>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</si>
  <si>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</si>
  <si>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</si>
  <si>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</si>
  <si>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</si>
  <si>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</si>
  <si>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</si>
  <si>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</si>
  <si>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</si>
  <si>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</si>
  <si>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</si>
  <si>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</si>
  <si>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</si>
  <si>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</si>
  <si>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</si>
  <si>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</si>
  <si>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</si>
  <si>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</si>
  <si>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</si>
  <si>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</si>
  <si>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</si>
  <si>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</si>
  <si>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</si>
  <si>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</si>
  <si>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</si>
  <si>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</si>
  <si>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</si>
  <si>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</si>
  <si>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</si>
  <si>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</si>
  <si>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</si>
  <si>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</si>
  <si>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</si>
  <si>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</si>
  <si>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</si>
  <si>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</si>
  <si>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</si>
  <si>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</si>
  <si>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</si>
  <si>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</si>
  <si>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</si>
  <si>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</si>
  <si>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</si>
  <si>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</si>
  <si>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</si>
  <si>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</si>
  <si>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</si>
  <si>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</si>
  <si>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</si>
  <si>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</si>
  <si>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</si>
  <si>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</si>
  <si>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</si>
  <si>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</si>
  <si>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</si>
  <si>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</si>
  <si>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</si>
  <si>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</si>
  <si>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</si>
  <si>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</si>
  <si>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</si>
  <si>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</si>
  <si>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</si>
  <si>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</si>
  <si>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</si>
  <si>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</si>
  <si>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</si>
  <si>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</si>
  <si>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</si>
  <si>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</si>
  <si>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</si>
  <si>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</si>
  <si>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</si>
  <si>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</si>
  <si>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</si>
  <si>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기업</t>
  </si>
  <si>
    <t>보통인부</t>
  </si>
  <si>
    <t>국민</t>
  </si>
  <si>
    <t>농협</t>
  </si>
  <si>
    <t>신한</t>
  </si>
  <si>
    <t>배관공</t>
  </si>
  <si>
    <t>P5 Ph1 FAB1(SUP) 가설공사</t>
    <phoneticPr fontId="3" type="noConversion"/>
  </si>
  <si>
    <t>김영광</t>
  </si>
  <si>
    <t>920704-1860718</t>
  </si>
  <si>
    <t>010-7704-1777</t>
  </si>
  <si>
    <t>580-022392-01-010</t>
  </si>
  <si>
    <t>김승진</t>
  </si>
  <si>
    <t>751018-1332839</t>
  </si>
  <si>
    <t>010-4742-4181</t>
  </si>
  <si>
    <t>110-338-273904</t>
  </si>
  <si>
    <t>김부권</t>
  </si>
  <si>
    <t>960206-1683519</t>
  </si>
  <si>
    <t>010-4853-5587</t>
  </si>
  <si>
    <t>대구</t>
  </si>
  <si>
    <t>508-11-131132-1</t>
  </si>
  <si>
    <t>강희재</t>
  </si>
  <si>
    <t>940122-1491011</t>
  </si>
  <si>
    <t>010-9127-3784</t>
  </si>
  <si>
    <t>110-404-502876</t>
  </si>
  <si>
    <t>이광민</t>
  </si>
  <si>
    <t>991122-1069811</t>
  </si>
  <si>
    <t>010-3902-9550</t>
  </si>
  <si>
    <t>카카오</t>
  </si>
  <si>
    <t>3333-04-5860686</t>
  </si>
  <si>
    <t>진종언</t>
  </si>
  <si>
    <t>700609-1800219</t>
  </si>
  <si>
    <t>010-5115-1610</t>
  </si>
  <si>
    <t>352-0318-2179-93</t>
  </si>
  <si>
    <t>민충기</t>
  </si>
  <si>
    <t>890114-1064910</t>
  </si>
  <si>
    <t>010-9418-9998</t>
  </si>
  <si>
    <t>074-066516-01-021</t>
  </si>
  <si>
    <t>송성준</t>
  </si>
  <si>
    <t>960508-1580519</t>
  </si>
  <si>
    <t>010-3928-7599</t>
  </si>
  <si>
    <t>351-0768-8014-63</t>
  </si>
  <si>
    <t>김현수</t>
  </si>
  <si>
    <t>811221-1025329</t>
  </si>
  <si>
    <t>용접공</t>
  </si>
  <si>
    <t>010-2849-5650</t>
  </si>
  <si>
    <t>599701-04-107093</t>
  </si>
  <si>
    <t>김종윤</t>
  </si>
  <si>
    <t>891011-1056318</t>
  </si>
  <si>
    <t>010-4812-9310</t>
  </si>
  <si>
    <t>조현주</t>
  </si>
  <si>
    <t>940517-1533111</t>
  </si>
  <si>
    <t>010-6370-1771</t>
  </si>
  <si>
    <t>110-403-874603</t>
  </si>
  <si>
    <t>최영훈</t>
  </si>
  <si>
    <t>070614-3226811</t>
  </si>
  <si>
    <t>010-8408-1589</t>
  </si>
  <si>
    <t>468601-04-335101</t>
  </si>
  <si>
    <t>이순자</t>
  </si>
  <si>
    <t>710228-2800527</t>
  </si>
  <si>
    <t>010-7511-4996</t>
  </si>
  <si>
    <t>737070-56-016101</t>
  </si>
  <si>
    <t>권태윤</t>
  </si>
  <si>
    <t>750615-1057714</t>
  </si>
  <si>
    <t>010-3345-6886</t>
  </si>
  <si>
    <t>610901-01-352650</t>
  </si>
  <si>
    <t>정대성</t>
  </si>
  <si>
    <t>741210-1789827</t>
  </si>
  <si>
    <t>010-3309-8868</t>
  </si>
  <si>
    <t>248-12-155444</t>
  </si>
  <si>
    <t>최일영</t>
  </si>
  <si>
    <t>700801-1462612</t>
  </si>
  <si>
    <t>010-3411-1284</t>
  </si>
  <si>
    <t>356-0730-2584-83</t>
  </si>
  <si>
    <t>민성기</t>
  </si>
  <si>
    <t>760804-1093216</t>
  </si>
  <si>
    <t>010-2881-1976</t>
  </si>
  <si>
    <t>우리</t>
  </si>
  <si>
    <t>1002-849-848827</t>
  </si>
  <si>
    <t>최진규</t>
  </si>
  <si>
    <t>700819-1041113</t>
  </si>
  <si>
    <t>010-4691-5826</t>
  </si>
  <si>
    <t>326-000411-02-011</t>
  </si>
  <si>
    <t>공무보조</t>
  </si>
  <si>
    <t>안전보조</t>
  </si>
  <si>
    <t>공사보조</t>
  </si>
  <si>
    <t>임승희</t>
  </si>
  <si>
    <t>881107-1235222</t>
  </si>
  <si>
    <t>010-4393-9938</t>
  </si>
  <si>
    <t>110-353-055995</t>
  </si>
  <si>
    <t>302-0494-4366-51</t>
  </si>
  <si>
    <t>네이버파이낸셜㈜</t>
  </si>
  <si>
    <t>청보호테이프</t>
  </si>
  <si>
    <t>미래공구</t>
  </si>
  <si>
    <t>[300mm(1봉=500개),백색 [HNS]]</t>
  </si>
  <si>
    <t>[#10,CTX [크레토스]]</t>
  </si>
  <si>
    <t>[브러쉬,스텐 [스마토]]</t>
  </si>
  <si>
    <t>[10T*50mm*2m,난연,황/흑,타이거보양재 [SW]]</t>
  </si>
  <si>
    <t>[19*10m,검정,CTX [금성]]</t>
  </si>
  <si>
    <t xml:space="preserve">파이프안전커버 </t>
  </si>
  <si>
    <t>[50mm [수입]]</t>
  </si>
  <si>
    <t xml:space="preserve">에폭시접착제 </t>
  </si>
  <si>
    <t>[매직스틱,다목적용,114G,CTX [엑시아]]</t>
  </si>
  <si>
    <t xml:space="preserve">케이블타이 </t>
  </si>
  <si>
    <t>쿠팡㈜</t>
  </si>
  <si>
    <t>소모성자재</t>
    <phoneticPr fontId="5" type="noConversion"/>
  </si>
  <si>
    <t>안전용품</t>
    <phoneticPr fontId="5" type="noConversion"/>
  </si>
  <si>
    <t>KC대납 식대</t>
  </si>
  <si>
    <t>기술인및관리자 (현장 식당)</t>
  </si>
  <si>
    <t>영미손김밥</t>
  </si>
  <si>
    <t>옛날장터</t>
  </si>
  <si>
    <t>은주네한식뷔페</t>
  </si>
  <si>
    <t>식대</t>
  </si>
  <si>
    <t>85나 0825 포터2</t>
    <phoneticPr fontId="5" type="noConversion"/>
  </si>
  <si>
    <t>남사농업협동조합</t>
  </si>
  <si>
    <t>(주)소모 칠곡주유소</t>
  </si>
  <si>
    <t>법인카드</t>
    <phoneticPr fontId="5" type="noConversion"/>
  </si>
  <si>
    <t>소모품비</t>
    <phoneticPr fontId="5" type="noConversion"/>
  </si>
  <si>
    <t>KC대납 임대료</t>
  </si>
  <si>
    <t>함박산4길 20</t>
    <phoneticPr fontId="5" type="noConversion"/>
  </si>
  <si>
    <t>202호</t>
    <phoneticPr fontId="5" type="noConversion"/>
  </si>
  <si>
    <t>함박산3길 5</t>
    <phoneticPr fontId="5" type="noConversion"/>
  </si>
  <si>
    <t>201호</t>
    <phoneticPr fontId="5" type="noConversion"/>
  </si>
  <si>
    <t>함박산1길 39</t>
    <phoneticPr fontId="5" type="noConversion"/>
  </si>
  <si>
    <t>2026년 09월</t>
    <phoneticPr fontId="5" type="noConversion"/>
  </si>
  <si>
    <t>2026. 09. 01 ~ 2026. 09. 30</t>
    <phoneticPr fontId="3" type="noConversion"/>
  </si>
  <si>
    <t>작 성 일 :   2026  년  09 월   30 일</t>
    <phoneticPr fontId="9" type="noConversion"/>
  </si>
  <si>
    <t>2026년 (    09   )월 일용 노무비명세서</t>
    <phoneticPr fontId="3" type="noConversion"/>
  </si>
  <si>
    <t>서봉석</t>
    <phoneticPr fontId="3" type="noConversion"/>
  </si>
  <si>
    <t>박성호</t>
  </si>
  <si>
    <t>941107-1199714</t>
  </si>
  <si>
    <t>010-2922-3403</t>
  </si>
  <si>
    <t>450-033865-01-013</t>
  </si>
  <si>
    <t>안성원</t>
  </si>
  <si>
    <t>730222-1674813</t>
  </si>
  <si>
    <t>010-9575-3445</t>
  </si>
  <si>
    <t>새마을</t>
  </si>
  <si>
    <t>9003-2348-2974-4</t>
  </si>
  <si>
    <t>강우형</t>
  </si>
  <si>
    <t>000830-3484718</t>
  </si>
  <si>
    <t>010-7963-4799</t>
  </si>
  <si>
    <t>토스</t>
  </si>
  <si>
    <t>1002-2019-2812</t>
  </si>
  <si>
    <t>김명수</t>
  </si>
  <si>
    <t>001211-3823418</t>
  </si>
  <si>
    <t>010-5797-6473</t>
  </si>
  <si>
    <t>944502-00-579965</t>
  </si>
  <si>
    <t>881120-1890214</t>
  </si>
  <si>
    <t>010-6694-2204</t>
  </si>
  <si>
    <t>695002-01-237429</t>
  </si>
  <si>
    <t>정웅진</t>
  </si>
  <si>
    <t>2026년 (09)월 물량 내역서</t>
    <phoneticPr fontId="3" type="noConversion"/>
  </si>
  <si>
    <t>NBR 코팅장갑</t>
  </si>
  <si>
    <t>L</t>
  </si>
  <si>
    <t>500mm</t>
  </si>
  <si>
    <t>고리자석</t>
  </si>
  <si>
    <t xml:space="preserve">어스클램프 </t>
  </si>
  <si>
    <t>[CEC-500A,CTX [크레토스]]</t>
  </si>
  <si>
    <t xml:space="preserve">방청유 </t>
  </si>
  <si>
    <t>[WD-40,360ML [BEX]]</t>
  </si>
  <si>
    <t xml:space="preserve">흑유리 </t>
  </si>
  <si>
    <t xml:space="preserve">안전칼날 </t>
  </si>
  <si>
    <t>[SKB-2, 5개입 [올파]]</t>
  </si>
  <si>
    <t xml:space="preserve">헤라 </t>
  </si>
  <si>
    <t>[4",경화형 [스마토]]</t>
  </si>
  <si>
    <t>[2",경화형 [스마토]]</t>
  </si>
  <si>
    <t xml:space="preserve">컷쏘날 </t>
  </si>
  <si>
    <t>[S922BF,철재,바이메탈,5개입 [보쉬]]</t>
  </si>
  <si>
    <t>[S1122BF,철재,바이메탈,5개입 [보쉬]]</t>
  </si>
  <si>
    <t xml:space="preserve">SDS PLUS BIT </t>
  </si>
  <si>
    <t>[4날,14*160,HQ,CTX [UDT]]</t>
  </si>
  <si>
    <t xml:space="preserve">철근절단비트 </t>
  </si>
  <si>
    <t>[MSRC-14 [모스툴]]</t>
  </si>
  <si>
    <t xml:space="preserve">수세미 </t>
  </si>
  <si>
    <t>[MIGHTY BLUE PAD,녹색 [3M]]</t>
  </si>
  <si>
    <t xml:space="preserve">칫솔브러쉬 </t>
  </si>
  <si>
    <t xml:space="preserve">직쏘날 </t>
  </si>
  <si>
    <t>[121AFC,5개 [보쉬]]</t>
  </si>
  <si>
    <t xml:space="preserve">테프론테이프 </t>
  </si>
  <si>
    <t>[12mm [한양화학]]</t>
  </si>
  <si>
    <t xml:space="preserve">절연테이프 </t>
  </si>
  <si>
    <t xml:space="preserve">종이테이프 </t>
  </si>
  <si>
    <t>[25mm*40m [3M]]</t>
  </si>
  <si>
    <t xml:space="preserve">제트브로치(PROCUT) </t>
  </si>
  <si>
    <t>[18*35L [우창]]</t>
  </si>
  <si>
    <t xml:space="preserve">파이롯트핀 </t>
  </si>
  <si>
    <t>[7.98*90L [우창]]</t>
  </si>
  <si>
    <t xml:space="preserve">앙카펀치 </t>
  </si>
  <si>
    <t>[1/2" [동성산업]]</t>
  </si>
  <si>
    <t>K2 안전반장화</t>
  </si>
  <si>
    <t>AA, AAA 건전지</t>
  </si>
  <si>
    <t xml:space="preserve">숙소임대료(9월분) </t>
    <phoneticPr fontId="5" type="noConversion"/>
  </si>
  <si>
    <t>고덕여염12길 12</t>
    <phoneticPr fontId="5" type="noConversion"/>
  </si>
  <si>
    <t>KC 대납 9/30입주 일할계산</t>
    <phoneticPr fontId="5" type="noConversion"/>
  </si>
  <si>
    <t>관리비</t>
    <phoneticPr fontId="5" type="noConversion"/>
  </si>
  <si>
    <t>숙소전기요금(9월)</t>
    <phoneticPr fontId="5" type="noConversion"/>
  </si>
  <si>
    <t>함박산4길 20</t>
  </si>
  <si>
    <t>202호</t>
  </si>
  <si>
    <t>숙소전기요금(9월)</t>
  </si>
  <si>
    <t>함박산3길 5</t>
  </si>
  <si>
    <t>201호</t>
  </si>
  <si>
    <t>함박산1길 39</t>
  </si>
  <si>
    <t>숙소수도요금(9월)</t>
  </si>
  <si>
    <t>태정위드유 주식회사</t>
    <phoneticPr fontId="5" type="noConversion"/>
  </si>
  <si>
    <t>추석 선물세트</t>
    <phoneticPr fontId="5" type="noConversion"/>
  </si>
  <si>
    <t>리브인컴퍼니</t>
  </si>
  <si>
    <t>자석홀더</t>
  </si>
  <si>
    <t>봉투화일</t>
  </si>
  <si>
    <t>페인트마카</t>
  </si>
  <si>
    <t>제(  1  )회  기 성 청 구 서</t>
    <phoneticPr fontId="5" type="noConversion"/>
  </si>
  <si>
    <t>S26-003</t>
    <phoneticPr fontId="3" type="noConversion"/>
  </si>
  <si>
    <t>P5 Ph1 GAS 1공구_SUP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</si>
</sst>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</cellStyleXfs>
  <cellXfs count="35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9" fontId="58" fillId="0" borderId="9" xfId="7" applyFont="1" applyFill="1" applyBorder="1" applyAlignment="1">
      <alignment vertical="center" shrinkToFit="1"/>
    </xf>
    <xf numFmtId="0" fontId="58" fillId="0" borderId="9" xfId="2" applyFont="1" applyBorder="1" applyAlignment="1">
      <alignment horizontal="center" vertical="center" shrinkToFit="1"/>
    </xf>
    <xf numFmtId="41" fontId="58" fillId="0" borderId="9" xfId="4" applyFont="1" applyBorder="1" applyAlignment="1">
      <alignment horizontal="center" vertical="center"/>
    </xf>
    <xf numFmtId="41" fontId="58" fillId="0" borderId="9" xfId="4" applyFont="1" applyBorder="1" applyAlignment="1">
      <alignment vertical="center"/>
    </xf>
    <xf numFmtId="0" fontId="58" fillId="0" borderId="17" xfId="2" applyFont="1" applyBorder="1" applyAlignment="1">
      <alignment horizontal="left" vertical="center" indent="1"/>
    </xf>
    <xf numFmtId="0" fontId="62" fillId="0" borderId="17" xfId="2" applyFont="1" applyBorder="1" applyAlignment="1">
      <alignment horizontal="left" vertical="center"/>
    </xf>
    <xf numFmtId="0" fontId="62" fillId="0" borderId="9" xfId="2" applyFont="1" applyBorder="1" applyAlignment="1">
      <alignment horizontal="center" vertical="center" shrinkToFit="1"/>
    </xf>
    <xf numFmtId="41" fontId="62" fillId="0" borderId="9" xfId="4" applyFont="1" applyBorder="1" applyAlignment="1">
      <alignment horizontal="center" vertical="center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89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31" xfId="2" applyFont="1" applyBorder="1" applyAlignment="1">
      <alignment horizontal="center" vertical="center"/>
    </xf>
    <xf numFmtId="0" fontId="60" fillId="0" borderId="37" xfId="2" applyFont="1" applyBorder="1" applyAlignment="1">
      <alignment horizontal="center" vertical="center" shrinkToFit="1"/>
    </xf>
    <xf numFmtId="0" fontId="60" fillId="0" borderId="31" xfId="2" applyFont="1" applyBorder="1" applyAlignment="1">
      <alignment horizontal="center" vertical="center"/>
    </xf>
    <xf numFmtId="41" fontId="60" fillId="0" borderId="31" xfId="2" applyNumberFormat="1" applyFont="1" applyBorder="1" applyAlignment="1">
      <alignment horizontal="center" vertical="center"/>
    </xf>
    <xf numFmtId="41" fontId="60" fillId="0" borderId="11" xfId="2" applyNumberFormat="1" applyFont="1" applyBorder="1">
      <alignment vertical="center"/>
    </xf>
    <xf numFmtId="41" fontId="60" fillId="0" borderId="11" xfId="2" applyNumberFormat="1" applyFont="1" applyBorder="1" applyAlignment="1">
      <alignment vertical="center" shrinkToFit="1"/>
    </xf>
    <xf numFmtId="0" fontId="60" fillId="0" borderId="11" xfId="2" applyFont="1" applyBorder="1">
      <alignment vertical="center"/>
    </xf>
    <xf numFmtId="0" fontId="59" fillId="0" borderId="10" xfId="2" applyFont="1" applyBorder="1" applyAlignment="1">
      <alignment horizontal="center" vertical="center"/>
    </xf>
    <xf numFmtId="0" fontId="60" fillId="0" borderId="34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/>
    </xf>
    <xf numFmtId="41" fontId="60" fillId="0" borderId="10" xfId="2" applyNumberFormat="1" applyFont="1" applyBorder="1" applyAlignment="1">
      <alignment horizontal="center" vertical="center"/>
    </xf>
    <xf numFmtId="41" fontId="60" fillId="0" borderId="9" xfId="2" applyNumberFormat="1" applyFont="1" applyBorder="1">
      <alignment vertical="center"/>
    </xf>
    <xf numFmtId="41" fontId="60" fillId="0" borderId="9" xfId="2" applyNumberFormat="1" applyFont="1" applyBorder="1" applyAlignment="1">
      <alignment vertical="center" shrinkToFit="1"/>
    </xf>
    <xf numFmtId="0" fontId="60" fillId="0" borderId="9" xfId="2" applyFont="1" applyBorder="1">
      <alignment vertical="center"/>
    </xf>
    <xf numFmtId="0" fontId="59" fillId="0" borderId="9" xfId="2" applyFont="1" applyBorder="1" applyAlignment="1">
      <alignment horizontal="center" vertical="center"/>
    </xf>
    <xf numFmtId="0" fontId="60" fillId="0" borderId="12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/>
    </xf>
    <xf numFmtId="41" fontId="60" fillId="0" borderId="9" xfId="2" applyNumberFormat="1" applyFont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0" fontId="45" fillId="0" borderId="9" xfId="3" applyFont="1" applyBorder="1" applyAlignment="1">
      <alignment horizontal="center"/>
    </xf>
    <xf numFmtId="182" fontId="14" fillId="5" borderId="45" xfId="0" applyNumberFormat="1" applyFont="1" applyFill="1" applyBorder="1" applyAlignment="1">
      <alignment horizontal="center" vertical="center"/>
    </xf>
    <xf numFmtId="182" fontId="14" fillId="5" borderId="46" xfId="0" applyNumberFormat="1" applyFont="1" applyFill="1" applyBorder="1" applyAlignment="1">
      <alignment horizontal="center" vertical="center"/>
    </xf>
    <xf numFmtId="21" fontId="45" fillId="12" borderId="9" xfId="0" applyNumberFormat="1" applyFont="1" applyFill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41" fontId="45" fillId="12" borderId="9" xfId="14" applyFont="1" applyFill="1" applyBorder="1" applyAlignment="1">
      <alignment horizontal="center" vertical="center"/>
    </xf>
    <xf numFmtId="0" fontId="13" fillId="0" borderId="9" xfId="3" applyFont="1" applyBorder="1" applyAlignment="1">
      <alignment horizontal="center" vertical="center"/>
    </xf>
    <xf numFmtId="41" fontId="45" fillId="12" borderId="10" xfId="14" applyFont="1" applyFill="1" applyBorder="1" applyAlignment="1">
      <alignment horizontal="center" vertical="center"/>
    </xf>
    <xf numFmtId="21" fontId="45" fillId="0" borderId="9" xfId="0" applyNumberFormat="1" applyFont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330328</xdr:colOff>
      <xdr:row>0</xdr:row>
      <xdr:rowOff>336175</xdr:rowOff>
    </xdr:from>
    <xdr:to>
      <xdr:col>10</xdr:col>
      <xdr:colOff>931548</xdr:colOff>
      <xdr:row>4</xdr:row>
      <xdr:rowOff>132398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4EA0D32-1654-48EA-89BA-BB63082B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799" y="336175"/>
          <a:ext cx="3694043" cy="1140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336897</xdr:colOff>
      <xdr:row>9</xdr:row>
      <xdr:rowOff>92014</xdr:rowOff>
    </xdr:from>
    <xdr:to>
      <xdr:col>10</xdr:col>
      <xdr:colOff>938117</xdr:colOff>
      <xdr:row>13</xdr:row>
      <xdr:rowOff>64731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9E7F20F-2546-4563-A3F4-EF39BBC5B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1368" y="2837455"/>
          <a:ext cx="3694043" cy="1093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324969</xdr:colOff>
      <xdr:row>4</xdr:row>
      <xdr:rowOff>174420</xdr:rowOff>
    </xdr:from>
    <xdr:to>
      <xdr:col>10</xdr:col>
      <xdr:colOff>948197</xdr:colOff>
      <xdr:row>9</xdr:row>
      <xdr:rowOff>35718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05E0BCD-1B76-4111-9F6C-4F1D366C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9440" y="1519126"/>
          <a:ext cx="3716051" cy="1262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2256274" y="18264387"/>
          <a:ext cx="3110833" cy="1405218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17" cy="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상 규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topLeftCell="A2" zoomScale="115" zoomScaleNormal="100" zoomScaleSheetLayoutView="115" workbookViewId="0">
      <selection activeCell="A8" sqref="A8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50" t="s">
        <v>527</v>
      </c>
      <c r="C4" s="250"/>
      <c r="D4" s="250"/>
      <c r="E4" s="250"/>
      <c r="F4" s="7"/>
    </row>
    <row r="5" spans="1:6" ht="21.95" customHeight="1">
      <c r="A5" s="8"/>
      <c r="B5" s="250"/>
      <c r="C5" s="250"/>
      <c r="D5" s="250"/>
      <c r="E5" s="250"/>
      <c r="F5" s="9"/>
    </row>
    <row r="6" spans="1:6" ht="21.95" customHeight="1">
      <c r="A6" s="10"/>
      <c r="B6" s="250"/>
      <c r="C6" s="250"/>
      <c r="D6" s="250"/>
      <c r="E6" s="250"/>
      <c r="F6" s="11"/>
    </row>
    <row r="7" spans="1:6" ht="36.950000000000003" customHeight="1">
      <c r="A7" s="350" t="s">
        <v>529</v>
      </c>
      <c r="B7" s="351"/>
      <c r="C7" s="351"/>
      <c r="D7" s="351"/>
      <c r="E7" s="351"/>
      <c r="F7" s="352"/>
    </row>
    <row r="8" spans="1:6" ht="29.1" customHeight="1">
      <c r="A8" s="8"/>
      <c r="B8" s="12"/>
      <c r="C8" s="12"/>
      <c r="D8" s="12"/>
      <c r="E8" s="12"/>
      <c r="F8" s="9"/>
    </row>
    <row r="9" spans="1:6" ht="21.95" customHeight="1">
      <c r="A9" s="8"/>
      <c r="B9" s="12"/>
      <c r="C9" s="353" t="s">
        <v>528</v>
      </c>
      <c r="D9" s="354"/>
      <c r="E9" s="12"/>
      <c r="F9" s="9"/>
    </row>
    <row r="10" spans="1:6" ht="21.95" customHeight="1">
      <c r="A10" s="8"/>
      <c r="B10" s="12"/>
      <c r="C10" s="12"/>
      <c r="D10" s="12"/>
      <c r="E10" s="12"/>
      <c r="F10" s="9"/>
    </row>
    <row r="11" spans="1:6" ht="21.95" customHeight="1">
      <c r="A11" s="8"/>
      <c r="B11" s="12"/>
      <c r="C11" s="12"/>
      <c r="D11" s="12"/>
      <c r="E11" s="12"/>
      <c r="F11" s="9"/>
    </row>
    <row r="12" spans="1:6" ht="21.95" customHeight="1">
      <c r="A12" s="8"/>
      <c r="B12" s="12"/>
      <c r="C12" s="12"/>
      <c r="D12" s="12"/>
      <c r="E12" s="12"/>
      <c r="F12" s="9"/>
    </row>
    <row r="13" spans="1:6" ht="21.95" customHeight="1">
      <c r="A13" s="8"/>
      <c r="B13" s="12"/>
      <c r="C13" s="12"/>
      <c r="D13" s="12"/>
      <c r="E13" s="12"/>
      <c r="F13" s="9"/>
    </row>
    <row r="14" spans="1:6" ht="21.95" customHeight="1">
      <c r="A14" s="8"/>
      <c r="B14" s="12"/>
      <c r="C14" s="251" t="s">
        <v>442</v>
      </c>
      <c r="D14" s="251"/>
      <c r="E14" s="12"/>
      <c r="F14" s="9"/>
    </row>
    <row r="15" spans="1:6" ht="21.95" customHeight="1">
      <c r="A15" s="8"/>
      <c r="B15" s="12"/>
      <c r="C15" s="252" t="s">
        <v>299</v>
      </c>
      <c r="D15" s="252"/>
      <c r="E15" s="12"/>
      <c r="F15" s="9"/>
    </row>
    <row r="16" spans="1:6" ht="21.95" customHeight="1">
      <c r="A16" s="8"/>
      <c r="B16" s="12"/>
      <c r="C16" s="12"/>
      <c r="D16" s="12"/>
      <c r="E16" s="12"/>
      <c r="F16" s="9"/>
    </row>
    <row r="17" spans="1:6" ht="21.95" customHeight="1">
      <c r="A17" s="8"/>
      <c r="B17" s="12"/>
      <c r="C17" s="12"/>
      <c r="D17" s="12"/>
      <c r="E17" s="12"/>
      <c r="F17" s="9"/>
    </row>
    <row r="18" spans="1:6" ht="21.95" customHeight="1">
      <c r="A18" s="8"/>
      <c r="B18" s="12"/>
      <c r="C18" s="12"/>
      <c r="D18" s="12"/>
      <c r="E18" s="12"/>
      <c r="F18" s="9"/>
    </row>
    <row r="19" spans="1:6" ht="48" customHeight="1">
      <c r="A19" s="8"/>
      <c r="B19" s="12"/>
      <c r="C19" s="250"/>
      <c r="D19" s="250"/>
      <c r="E19" s="12"/>
      <c r="F19" s="9"/>
    </row>
    <row r="20" spans="1:6" ht="21.95" customHeight="1">
      <c r="A20" s="8"/>
      <c r="B20" s="12"/>
      <c r="C20" s="12"/>
      <c r="D20" s="12"/>
      <c r="E20" s="12"/>
      <c r="F20" s="9"/>
    </row>
    <row r="21" spans="1:6" ht="21.95" customHeight="1" thickBot="1">
      <c r="A21" s="13"/>
      <c r="B21" s="14"/>
      <c r="C21" s="14"/>
      <c r="D21" s="14"/>
      <c r="E21" s="14"/>
      <c r="F21" s="15"/>
    </row>
    <row r="22" spans="1:6" ht="17.25" thickTop="1"/>
  </sheetData>
  <mergeCells count="6">
    <mergeCell ref="C19:D19"/>
    <mergeCell ref="B4:E6"/>
    <mergeCell ref="C14:D14"/>
    <mergeCell ref="C15:D15"/>
    <mergeCell ref="A7:F7"/>
    <mergeCell ref="C9:D9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I16" sqref="I16"/>
    </sheetView>
  </sheetViews>
  <sheetFormatPr defaultRowHeight="16.5"/>
  <cols>
    <col min="1" max="1" width="5.375" style="16" customWidth="1"/>
    <col min="2" max="2" width="18.125" style="16" customWidth="1"/>
    <col min="3" max="3" width="3.125" style="16" customWidth="1"/>
    <col min="4" max="4" width="47.25" style="16" customWidth="1"/>
    <col min="5" max="5" width="17" style="16" customWidth="1"/>
    <col min="6" max="6" width="10.875" style="16" customWidth="1"/>
    <col min="7" max="7" width="5.25" style="16" customWidth="1"/>
    <col min="8" max="8" width="8.5" style="16" customWidth="1"/>
    <col min="9" max="9" width="10.5" style="16" customWidth="1"/>
    <col min="10" max="10" width="16.375" style="16" customWidth="1"/>
    <col min="11" max="11" width="13" style="16" customWidth="1"/>
    <col min="12" max="12" width="0.875" style="16" customWidth="1"/>
  </cols>
  <sheetData>
    <row r="1" spans="1:12" ht="39.950000000000003" customHeight="1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</row>
    <row r="2" spans="1:12" ht="21.95" customHeight="1">
      <c r="A2" s="17"/>
      <c r="B2" s="17"/>
      <c r="C2" s="17"/>
      <c r="D2" s="17"/>
      <c r="E2" s="18"/>
      <c r="F2" s="17"/>
      <c r="G2" s="17"/>
      <c r="H2" s="17"/>
      <c r="I2" s="17"/>
      <c r="J2" s="17"/>
      <c r="K2" s="17"/>
    </row>
    <row r="3" spans="1:12" ht="21.95" customHeight="1">
      <c r="A3" s="19">
        <v>1</v>
      </c>
      <c r="B3" s="20" t="s">
        <v>1</v>
      </c>
      <c r="C3" s="20" t="s">
        <v>2</v>
      </c>
      <c r="D3" s="21" t="str">
        <f>'용역청구서 표지'!$A$7:$A$7</f>
        <v>P5 Ph1 GAS 1공구_SUP</v>
      </c>
      <c r="E3" s="22" t="str">
        <f>'용역청구서 표지'!$C$9:$C$9</f>
        <v>S26-003</v>
      </c>
      <c r="F3" s="22"/>
      <c r="G3" s="17"/>
      <c r="H3" s="17"/>
      <c r="I3" s="17"/>
      <c r="J3" s="17"/>
      <c r="K3" s="17"/>
    </row>
    <row r="4" spans="1:12" ht="21.95" customHeight="1">
      <c r="A4" s="19">
        <v>2</v>
      </c>
      <c r="B4" s="20" t="s">
        <v>3</v>
      </c>
      <c r="C4" s="20" t="s">
        <v>2</v>
      </c>
      <c r="D4" s="23" t="s">
        <v>4</v>
      </c>
      <c r="E4" s="21"/>
      <c r="F4" s="20"/>
      <c r="G4" s="17"/>
      <c r="H4" s="17"/>
      <c r="I4" s="17"/>
      <c r="J4" s="17"/>
      <c r="K4" s="17"/>
    </row>
    <row r="5" spans="1:12" ht="21.95" customHeight="1">
      <c r="A5" s="19">
        <v>3</v>
      </c>
      <c r="B5" s="20" t="s">
        <v>5</v>
      </c>
      <c r="C5" s="20" t="s">
        <v>2</v>
      </c>
      <c r="D5" s="24">
        <f>ROUNDUP(E5,0)</f>
        <v>21200000</v>
      </c>
      <c r="E5" s="21">
        <f>집계장!I22</f>
        <v>21200000</v>
      </c>
      <c r="F5" s="25" t="s">
        <v>6</v>
      </c>
      <c r="G5" s="17"/>
      <c r="H5" s="17"/>
      <c r="I5" s="17"/>
      <c r="J5" s="17"/>
      <c r="K5" s="17"/>
    </row>
    <row r="6" spans="1:12" ht="21.95" customHeight="1">
      <c r="A6" s="19">
        <v>4</v>
      </c>
      <c r="B6" s="26" t="s">
        <v>7</v>
      </c>
      <c r="C6" s="20" t="s">
        <v>2</v>
      </c>
      <c r="D6" s="24">
        <f t="shared" ref="D6:D14" si="0">ROUNDUP(E6,0)</f>
        <v>21200000</v>
      </c>
      <c r="E6" s="21">
        <f>E7+E13</f>
        <v>21200000</v>
      </c>
      <c r="F6" s="25" t="s">
        <v>8</v>
      </c>
      <c r="G6" s="17"/>
      <c r="H6" s="17"/>
      <c r="I6" s="17"/>
      <c r="J6" s="17"/>
      <c r="K6" s="17"/>
      <c r="L6" s="17"/>
    </row>
    <row r="7" spans="1:12" ht="21.95" customHeight="1">
      <c r="A7" s="19">
        <v>5</v>
      </c>
      <c r="B7" s="20" t="s">
        <v>9</v>
      </c>
      <c r="C7" s="20" t="s">
        <v>10</v>
      </c>
      <c r="D7" s="24">
        <f t="shared" si="0"/>
        <v>0</v>
      </c>
      <c r="E7" s="21">
        <f>집계장!G22</f>
        <v>0</v>
      </c>
      <c r="F7" s="25" t="s">
        <v>11</v>
      </c>
      <c r="G7" s="17"/>
      <c r="H7" s="17"/>
      <c r="I7" s="17"/>
      <c r="J7" s="17"/>
      <c r="K7" s="17"/>
      <c r="L7" s="17"/>
    </row>
    <row r="8" spans="1:12" ht="21.95" customHeight="1">
      <c r="A8" s="19">
        <v>6</v>
      </c>
      <c r="B8" s="20" t="s">
        <v>12</v>
      </c>
      <c r="C8" s="20" t="s">
        <v>2</v>
      </c>
      <c r="D8" s="24">
        <f t="shared" si="0"/>
        <v>21200000</v>
      </c>
      <c r="E8" s="21">
        <f>집계장!F22</f>
        <v>21200000</v>
      </c>
      <c r="F8" s="25" t="s">
        <v>13</v>
      </c>
      <c r="G8" s="17"/>
      <c r="H8" s="17"/>
      <c r="I8" s="17"/>
      <c r="J8" s="17"/>
      <c r="K8" s="17"/>
      <c r="L8" s="27"/>
    </row>
    <row r="9" spans="1:12" ht="21.95" customHeight="1">
      <c r="A9" s="19">
        <v>7</v>
      </c>
      <c r="B9" s="20" t="s">
        <v>14</v>
      </c>
      <c r="C9" s="20" t="s">
        <v>15</v>
      </c>
      <c r="D9" s="24">
        <f t="shared" si="0"/>
        <v>0</v>
      </c>
      <c r="E9" s="21">
        <f>집계장!K20</f>
        <v>0</v>
      </c>
      <c r="F9" s="25" t="s">
        <v>8</v>
      </c>
      <c r="G9" s="17"/>
      <c r="H9" s="17"/>
      <c r="I9" s="17"/>
      <c r="J9" s="17"/>
      <c r="K9" s="17"/>
      <c r="L9" s="27"/>
    </row>
    <row r="10" spans="1:12" ht="21.95" customHeight="1">
      <c r="A10" s="19">
        <v>8</v>
      </c>
      <c r="B10" s="20" t="s">
        <v>16</v>
      </c>
      <c r="C10" s="20" t="s">
        <v>17</v>
      </c>
      <c r="D10" s="24">
        <f t="shared" si="0"/>
        <v>0</v>
      </c>
      <c r="E10" s="21">
        <f>집계장!G20</f>
        <v>0</v>
      </c>
      <c r="F10" s="25" t="s">
        <v>6</v>
      </c>
      <c r="G10" s="17"/>
      <c r="H10" s="17"/>
      <c r="I10" s="17"/>
      <c r="J10" s="17"/>
      <c r="K10" s="17"/>
      <c r="L10" s="17"/>
    </row>
    <row r="11" spans="1:12" ht="21.95" customHeight="1">
      <c r="A11" s="19">
        <v>9</v>
      </c>
      <c r="B11" s="20" t="s">
        <v>18</v>
      </c>
      <c r="C11" s="20" t="s">
        <v>15</v>
      </c>
      <c r="D11" s="24">
        <f t="shared" si="0"/>
        <v>0</v>
      </c>
      <c r="E11" s="21">
        <f>집계장!F20</f>
        <v>0</v>
      </c>
      <c r="F11" s="25" t="s">
        <v>13</v>
      </c>
      <c r="G11" s="17"/>
      <c r="H11" s="17"/>
      <c r="I11" s="17"/>
      <c r="J11" s="17"/>
      <c r="K11" s="17"/>
      <c r="L11" s="28"/>
    </row>
    <row r="12" spans="1:12" ht="21.95" customHeight="1">
      <c r="A12" s="19">
        <v>10</v>
      </c>
      <c r="B12" s="20" t="s">
        <v>19</v>
      </c>
      <c r="C12" s="20" t="s">
        <v>2</v>
      </c>
      <c r="D12" s="24">
        <f t="shared" si="0"/>
        <v>0</v>
      </c>
      <c r="E12" s="21">
        <f>집계장!L20</f>
        <v>0</v>
      </c>
      <c r="F12" s="25" t="s">
        <v>6</v>
      </c>
      <c r="G12" s="17"/>
      <c r="H12" s="17"/>
      <c r="I12" s="17"/>
      <c r="J12" s="17"/>
      <c r="K12" s="17"/>
      <c r="L12" s="29"/>
    </row>
    <row r="13" spans="1:12" ht="21.95" customHeight="1">
      <c r="A13" s="19">
        <v>11</v>
      </c>
      <c r="B13" s="23" t="s">
        <v>20</v>
      </c>
      <c r="C13" s="20" t="s">
        <v>21</v>
      </c>
      <c r="D13" s="30">
        <f>ROUNDUP(E13,0)</f>
        <v>21200000</v>
      </c>
      <c r="E13" s="31">
        <f>집계장!F22</f>
        <v>21200000</v>
      </c>
      <c r="F13" s="25" t="s">
        <v>11</v>
      </c>
      <c r="G13" s="17"/>
      <c r="H13" s="17"/>
      <c r="I13" s="17"/>
      <c r="J13" s="17"/>
      <c r="K13" s="17"/>
      <c r="L13" s="17"/>
    </row>
    <row r="14" spans="1:12" ht="21.95" customHeight="1">
      <c r="A14" s="19">
        <v>12</v>
      </c>
      <c r="B14" s="20" t="s">
        <v>22</v>
      </c>
      <c r="C14" s="20" t="s">
        <v>21</v>
      </c>
      <c r="D14" s="24">
        <f t="shared" si="0"/>
        <v>0</v>
      </c>
      <c r="E14" s="21">
        <f>집계장!I16</f>
        <v>0</v>
      </c>
      <c r="F14" s="25" t="s">
        <v>6</v>
      </c>
      <c r="G14" s="17"/>
      <c r="H14" s="17"/>
      <c r="I14" s="17"/>
      <c r="J14" s="17"/>
      <c r="K14" s="17"/>
      <c r="L14" s="17"/>
    </row>
    <row r="15" spans="1:12" ht="21.95" customHeight="1">
      <c r="A15" s="19">
        <v>13</v>
      </c>
      <c r="B15" s="20" t="s">
        <v>23</v>
      </c>
      <c r="C15" s="20" t="s">
        <v>24</v>
      </c>
      <c r="D15" s="32">
        <v>1</v>
      </c>
      <c r="E15" s="33"/>
      <c r="F15" s="20"/>
      <c r="G15" s="20"/>
      <c r="H15" s="20"/>
      <c r="I15" s="20"/>
      <c r="J15" s="20"/>
      <c r="K15" s="20"/>
      <c r="L15" s="17"/>
    </row>
    <row r="16" spans="1:12" ht="21.95" customHeight="1">
      <c r="A16" s="19">
        <v>14</v>
      </c>
      <c r="B16" s="20" t="s">
        <v>25</v>
      </c>
      <c r="C16" s="20" t="s">
        <v>26</v>
      </c>
      <c r="D16" s="32" t="s">
        <v>443</v>
      </c>
      <c r="E16" s="33"/>
      <c r="F16" s="20"/>
      <c r="G16" s="20"/>
      <c r="H16" s="20"/>
      <c r="I16" s="20"/>
      <c r="J16" s="20"/>
      <c r="K16" s="20"/>
    </row>
    <row r="17" spans="1:11" ht="21.95" customHeight="1">
      <c r="A17" s="19"/>
      <c r="B17" s="20"/>
      <c r="C17" s="20"/>
      <c r="D17" s="32"/>
      <c r="E17" s="33"/>
      <c r="F17" s="20"/>
      <c r="G17" s="20"/>
      <c r="H17" s="20"/>
      <c r="I17" s="20"/>
      <c r="J17" s="20"/>
      <c r="K17" s="20"/>
    </row>
    <row r="18" spans="1:11" ht="21.95" customHeight="1">
      <c r="A18" s="19"/>
      <c r="B18" s="254" t="s">
        <v>27</v>
      </c>
      <c r="C18" s="254"/>
      <c r="D18" s="254"/>
      <c r="E18" s="254"/>
      <c r="F18" s="254"/>
      <c r="G18" s="254"/>
      <c r="H18" s="254"/>
      <c r="I18" s="254"/>
      <c r="J18" s="255"/>
      <c r="K18" s="20"/>
    </row>
    <row r="19" spans="1:11" ht="21.95" customHeight="1">
      <c r="A19" s="19"/>
      <c r="B19" s="20" t="s">
        <v>28</v>
      </c>
      <c r="C19" s="20"/>
      <c r="D19" s="20"/>
      <c r="E19" s="33"/>
      <c r="F19" s="20"/>
      <c r="G19" s="20"/>
      <c r="H19" s="20"/>
      <c r="I19" s="20"/>
      <c r="J19" s="20"/>
      <c r="K19" s="20"/>
    </row>
    <row r="20" spans="1:11" ht="21.95" customHeight="1">
      <c r="A20" s="19"/>
      <c r="B20" s="20" t="s">
        <v>29</v>
      </c>
      <c r="C20" s="20"/>
      <c r="D20" s="20"/>
      <c r="E20" s="33"/>
      <c r="F20" s="20"/>
      <c r="G20" s="20"/>
      <c r="H20" s="20"/>
      <c r="I20" s="20"/>
      <c r="J20" s="20"/>
      <c r="K20" s="20"/>
    </row>
    <row r="21" spans="1:11" ht="21.95" customHeight="1">
      <c r="A21" s="34"/>
      <c r="B21" s="20"/>
      <c r="C21" s="20"/>
      <c r="D21" s="20"/>
      <c r="E21" s="33"/>
      <c r="F21" s="23" t="s">
        <v>444</v>
      </c>
      <c r="G21" s="23"/>
      <c r="H21" s="23"/>
      <c r="I21" s="23"/>
      <c r="J21" s="20"/>
      <c r="K21" s="20"/>
    </row>
    <row r="22" spans="1:11" ht="21.95" customHeight="1">
      <c r="A22" s="34"/>
      <c r="B22" s="20"/>
      <c r="C22" s="20"/>
      <c r="D22" s="20"/>
      <c r="E22" s="33"/>
      <c r="F22" s="20"/>
      <c r="G22" s="20"/>
      <c r="H22" s="20"/>
      <c r="I22" s="20"/>
      <c r="J22" s="20"/>
      <c r="K22" s="20"/>
    </row>
    <row r="23" spans="1:11" ht="21.95" customHeight="1">
      <c r="A23" s="34"/>
      <c r="B23" s="20"/>
      <c r="C23" s="20"/>
      <c r="D23" s="20"/>
      <c r="E23" s="33"/>
      <c r="F23" s="23" t="s">
        <v>30</v>
      </c>
      <c r="G23" s="256" t="s">
        <v>300</v>
      </c>
      <c r="H23" s="256"/>
      <c r="I23" s="256"/>
      <c r="J23" s="256"/>
      <c r="K23" s="256"/>
    </row>
    <row r="24" spans="1:11" ht="21.95" customHeight="1">
      <c r="A24" s="34"/>
      <c r="B24" s="20" t="s">
        <v>31</v>
      </c>
      <c r="C24" s="20"/>
      <c r="D24" s="20"/>
      <c r="E24" s="33"/>
      <c r="F24" s="23" t="s">
        <v>32</v>
      </c>
      <c r="G24" s="256" t="s">
        <v>301</v>
      </c>
      <c r="H24" s="256"/>
      <c r="I24" s="256"/>
      <c r="J24" s="256"/>
      <c r="K24" s="256"/>
    </row>
    <row r="25" spans="1:11" ht="21.95" customHeight="1">
      <c r="A25" s="17"/>
      <c r="B25" s="20"/>
      <c r="C25" s="20"/>
      <c r="D25" s="20"/>
      <c r="E25" s="33"/>
      <c r="F25" s="23" t="s">
        <v>33</v>
      </c>
      <c r="G25" s="256" t="s">
        <v>302</v>
      </c>
      <c r="H25" s="256"/>
      <c r="I25" s="22" t="s">
        <v>303</v>
      </c>
      <c r="J25" s="23"/>
      <c r="K25" s="23"/>
    </row>
    <row r="26" spans="1:11" ht="21.95" customHeight="1">
      <c r="A26" s="17"/>
      <c r="B26" s="17"/>
      <c r="C26" s="17"/>
      <c r="D26" s="35" t="s">
        <v>34</v>
      </c>
      <c r="E26" s="29"/>
      <c r="F26" s="17"/>
      <c r="G26" s="17"/>
      <c r="H26" s="17"/>
      <c r="I26" s="17"/>
      <c r="J26" s="17"/>
      <c r="K26" s="17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6.5"/>
  <cols>
    <col min="1" max="1" width="29.25" style="36" bestFit="1" customWidth="1"/>
    <col min="2" max="2" width="18.625" style="36" customWidth="1"/>
    <col min="3" max="3" width="9" style="36"/>
    <col min="4" max="4" width="12.375" style="36" bestFit="1" customWidth="1"/>
    <col min="5" max="5" width="8.625" style="36" customWidth="1"/>
    <col min="6" max="6" width="15.625" style="36" customWidth="1"/>
    <col min="7" max="7" width="13.625" style="36" customWidth="1"/>
  </cols>
  <sheetData>
    <row r="1" spans="1:7" ht="69.95" customHeight="1">
      <c r="A1" s="257" t="s">
        <v>79</v>
      </c>
      <c r="B1" s="258"/>
      <c r="C1" s="258"/>
      <c r="D1" s="258"/>
      <c r="E1" s="258"/>
      <c r="F1" s="258"/>
      <c r="G1" s="258"/>
    </row>
    <row r="2" spans="1:7" ht="39.950000000000003" customHeight="1" thickBot="1">
      <c r="A2" s="40" t="s">
        <v>80</v>
      </c>
      <c r="G2" s="41" t="s">
        <v>81</v>
      </c>
    </row>
    <row r="3" spans="1:7" ht="27.95" customHeight="1">
      <c r="A3" s="259" t="s">
        <v>82</v>
      </c>
      <c r="B3" s="261" t="s">
        <v>83</v>
      </c>
      <c r="C3" s="261" t="s">
        <v>84</v>
      </c>
      <c r="D3" s="261" t="s">
        <v>85</v>
      </c>
      <c r="E3" s="261" t="s">
        <v>86</v>
      </c>
      <c r="F3" s="261"/>
      <c r="G3" s="263"/>
    </row>
    <row r="4" spans="1:7" ht="27.95" customHeight="1">
      <c r="A4" s="260"/>
      <c r="B4" s="262"/>
      <c r="C4" s="262"/>
      <c r="D4" s="262"/>
      <c r="E4" s="42" t="s">
        <v>87</v>
      </c>
      <c r="F4" s="42" t="s">
        <v>88</v>
      </c>
      <c r="G4" s="43" t="s">
        <v>89</v>
      </c>
    </row>
    <row r="5" spans="1:7" ht="27.95" customHeight="1">
      <c r="A5" s="44" t="s">
        <v>90</v>
      </c>
      <c r="B5" s="45" t="s">
        <v>91</v>
      </c>
      <c r="C5" s="45" t="s">
        <v>92</v>
      </c>
      <c r="D5" s="46">
        <v>1400000</v>
      </c>
      <c r="E5" s="45">
        <v>1</v>
      </c>
      <c r="F5" s="46">
        <f>D5*E5</f>
        <v>1400000</v>
      </c>
      <c r="G5" s="47"/>
    </row>
    <row r="6" spans="1:7" ht="27.95" customHeight="1">
      <c r="A6" s="44" t="s">
        <v>90</v>
      </c>
      <c r="B6" s="45" t="s">
        <v>93</v>
      </c>
      <c r="C6" s="45" t="s">
        <v>94</v>
      </c>
      <c r="D6" s="46">
        <v>1200000</v>
      </c>
      <c r="E6" s="45"/>
      <c r="F6" s="46">
        <f t="shared" ref="F6:F11" si="0">D6*E6</f>
        <v>0</v>
      </c>
      <c r="G6" s="47"/>
    </row>
    <row r="7" spans="1:7" ht="27.95" customHeight="1">
      <c r="A7" s="44" t="s">
        <v>95</v>
      </c>
      <c r="B7" s="45" t="s">
        <v>96</v>
      </c>
      <c r="C7" s="45" t="s">
        <v>94</v>
      </c>
      <c r="D7" s="46">
        <v>1000000</v>
      </c>
      <c r="E7" s="45"/>
      <c r="F7" s="46">
        <f t="shared" si="0"/>
        <v>0</v>
      </c>
      <c r="G7" s="47"/>
    </row>
    <row r="8" spans="1:7" ht="27.95" customHeight="1">
      <c r="A8" s="44" t="s">
        <v>97</v>
      </c>
      <c r="B8" s="45" t="s">
        <v>98</v>
      </c>
      <c r="C8" s="45" t="s">
        <v>99</v>
      </c>
      <c r="D8" s="46">
        <v>900000</v>
      </c>
      <c r="E8" s="45"/>
      <c r="F8" s="46">
        <f t="shared" si="0"/>
        <v>0</v>
      </c>
      <c r="G8" s="47"/>
    </row>
    <row r="9" spans="1:7" ht="27.95" customHeight="1">
      <c r="A9" s="44" t="s">
        <v>95</v>
      </c>
      <c r="B9" s="45" t="s">
        <v>100</v>
      </c>
      <c r="C9" s="45" t="s">
        <v>92</v>
      </c>
      <c r="D9" s="46">
        <v>800000</v>
      </c>
      <c r="E9" s="45"/>
      <c r="F9" s="46">
        <f t="shared" si="0"/>
        <v>0</v>
      </c>
      <c r="G9" s="47"/>
    </row>
    <row r="10" spans="1:7" ht="27.95" customHeight="1">
      <c r="A10" s="44" t="s">
        <v>101</v>
      </c>
      <c r="B10" s="45" t="s">
        <v>102</v>
      </c>
      <c r="C10" s="45" t="s">
        <v>92</v>
      </c>
      <c r="D10" s="46">
        <v>700000</v>
      </c>
      <c r="E10" s="45"/>
      <c r="F10" s="46">
        <f t="shared" si="0"/>
        <v>0</v>
      </c>
      <c r="G10" s="47"/>
    </row>
    <row r="11" spans="1:7" ht="27.95" customHeight="1">
      <c r="A11" s="44" t="s">
        <v>103</v>
      </c>
      <c r="B11" s="45" t="s">
        <v>104</v>
      </c>
      <c r="C11" s="45" t="s">
        <v>105</v>
      </c>
      <c r="D11" s="46">
        <v>600000</v>
      </c>
      <c r="E11" s="45"/>
      <c r="F11" s="46">
        <f t="shared" si="0"/>
        <v>0</v>
      </c>
      <c r="G11" s="47"/>
    </row>
    <row r="12" spans="1:7" ht="27.95" customHeight="1">
      <c r="A12" s="44"/>
      <c r="B12" s="45"/>
      <c r="C12" s="45"/>
      <c r="D12" s="45"/>
      <c r="E12" s="45"/>
      <c r="F12" s="45"/>
      <c r="G12" s="47"/>
    </row>
    <row r="13" spans="1:7" ht="27.95" customHeight="1">
      <c r="A13" s="44" t="s">
        <v>106</v>
      </c>
      <c r="B13" s="45"/>
      <c r="C13" s="45"/>
      <c r="D13" s="45"/>
      <c r="E13" s="48">
        <v>0.01</v>
      </c>
      <c r="F13" s="46">
        <f>SUM(F5:F11)*E13</f>
        <v>14000</v>
      </c>
      <c r="G13" s="47"/>
    </row>
    <row r="14" spans="1:7" ht="27.95" customHeight="1">
      <c r="A14" s="44"/>
      <c r="B14" s="45"/>
      <c r="C14" s="45"/>
      <c r="D14" s="45"/>
      <c r="E14" s="45"/>
      <c r="F14" s="45"/>
      <c r="G14" s="47"/>
    </row>
    <row r="15" spans="1:7" ht="27.95" customHeight="1" thickBot="1">
      <c r="A15" s="49" t="s">
        <v>107</v>
      </c>
      <c r="B15" s="50"/>
      <c r="C15" s="50"/>
      <c r="D15" s="50"/>
      <c r="E15" s="50">
        <f>SUM(E5:E11)</f>
        <v>1</v>
      </c>
      <c r="F15" s="52">
        <f>SUM(F5:F13)</f>
        <v>1414000</v>
      </c>
      <c r="G15" s="51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2"/>
  <sheetViews>
    <sheetView view="pageBreakPreview" topLeftCell="A7" zoomScale="115" zoomScaleNormal="100" zoomScaleSheetLayoutView="115" workbookViewId="0">
      <selection activeCell="A2" sqref="A2"/>
    </sheetView>
  </sheetViews>
  <sheetFormatPr defaultColWidth="9" defaultRowHeight="16.5"/>
  <cols>
    <col min="1" max="1" width="25.625" style="17" customWidth="1"/>
    <col min="2" max="2" width="20.125" style="17" customWidth="1"/>
    <col min="3" max="3" width="7.375" style="17" customWidth="1"/>
    <col min="4" max="4" width="10.625" style="238" customWidth="1"/>
    <col min="5" max="5" width="9.875" style="17" customWidth="1"/>
    <col min="6" max="6" width="17.625" style="17" customWidth="1"/>
    <col min="7" max="7" width="15.625" style="17" customWidth="1"/>
    <col min="8" max="11" width="9" style="17"/>
    <col min="12" max="12" width="15.625" style="17" bestFit="1" customWidth="1"/>
    <col min="13" max="16384" width="9" style="17"/>
  </cols>
  <sheetData>
    <row r="1" spans="1:12" ht="69" customHeight="1">
      <c r="A1" s="264" t="s">
        <v>305</v>
      </c>
      <c r="B1" s="264"/>
      <c r="C1" s="264"/>
      <c r="D1" s="264"/>
      <c r="E1" s="264"/>
      <c r="F1" s="264"/>
      <c r="G1" s="264"/>
    </row>
    <row r="2" spans="1:12" ht="39.75" customHeight="1" thickBot="1">
      <c r="A2" s="182" t="s">
        <v>325</v>
      </c>
      <c r="B2" s="183"/>
      <c r="C2" s="183"/>
      <c r="D2" s="183"/>
      <c r="E2" s="184"/>
      <c r="F2" s="185"/>
      <c r="G2" s="185" t="s">
        <v>306</v>
      </c>
    </row>
    <row r="3" spans="1:12" ht="27.95" customHeight="1">
      <c r="A3" s="265" t="s">
        <v>307</v>
      </c>
      <c r="B3" s="267" t="s">
        <v>308</v>
      </c>
      <c r="C3" s="267" t="s">
        <v>309</v>
      </c>
      <c r="D3" s="269" t="s">
        <v>310</v>
      </c>
      <c r="E3" s="269" t="s">
        <v>311</v>
      </c>
      <c r="F3" s="269"/>
      <c r="G3" s="271" t="s">
        <v>312</v>
      </c>
    </row>
    <row r="4" spans="1:12" ht="27.95" customHeight="1">
      <c r="A4" s="266"/>
      <c r="B4" s="268"/>
      <c r="C4" s="268"/>
      <c r="D4" s="270"/>
      <c r="E4" s="186" t="s">
        <v>313</v>
      </c>
      <c r="F4" s="186" t="s">
        <v>314</v>
      </c>
      <c r="G4" s="272"/>
    </row>
    <row r="5" spans="1:12" ht="27.95" customHeight="1">
      <c r="A5" s="187" t="s">
        <v>90</v>
      </c>
      <c r="B5" s="188" t="s">
        <v>91</v>
      </c>
      <c r="C5" s="188" t="s">
        <v>92</v>
      </c>
      <c r="D5" s="189">
        <v>1400000</v>
      </c>
      <c r="E5" s="190">
        <v>4</v>
      </c>
      <c r="F5" s="190">
        <f>D5*E5</f>
        <v>5600000</v>
      </c>
      <c r="G5" s="191"/>
    </row>
    <row r="6" spans="1:12" ht="27.95" customHeight="1">
      <c r="A6" s="187" t="s">
        <v>315</v>
      </c>
      <c r="B6" s="188" t="s">
        <v>93</v>
      </c>
      <c r="C6" s="188" t="s">
        <v>92</v>
      </c>
      <c r="D6" s="189">
        <v>1200000</v>
      </c>
      <c r="E6" s="190">
        <v>3</v>
      </c>
      <c r="F6" s="190">
        <f t="shared" ref="F6:F11" si="0">D6*E6</f>
        <v>3600000</v>
      </c>
      <c r="G6" s="192" t="s">
        <v>316</v>
      </c>
    </row>
    <row r="7" spans="1:12" ht="27.95" customHeight="1">
      <c r="A7" s="187" t="s">
        <v>95</v>
      </c>
      <c r="B7" s="188" t="s">
        <v>96</v>
      </c>
      <c r="C7" s="188" t="s">
        <v>92</v>
      </c>
      <c r="D7" s="189">
        <v>1000000</v>
      </c>
      <c r="E7" s="190">
        <v>3</v>
      </c>
      <c r="F7" s="190">
        <f t="shared" si="0"/>
        <v>3000000</v>
      </c>
      <c r="G7" s="193" t="s">
        <v>316</v>
      </c>
      <c r="I7" s="29"/>
    </row>
    <row r="8" spans="1:12" ht="27.95" customHeight="1">
      <c r="A8" s="187" t="s">
        <v>95</v>
      </c>
      <c r="B8" s="188" t="s">
        <v>98</v>
      </c>
      <c r="C8" s="188" t="s">
        <v>92</v>
      </c>
      <c r="D8" s="189">
        <v>900000</v>
      </c>
      <c r="E8" s="190">
        <v>3</v>
      </c>
      <c r="F8" s="190">
        <f t="shared" si="0"/>
        <v>2700000</v>
      </c>
      <c r="G8" s="193" t="s">
        <v>316</v>
      </c>
      <c r="J8" s="29"/>
    </row>
    <row r="9" spans="1:12" ht="27.95" customHeight="1">
      <c r="A9" s="187" t="s">
        <v>95</v>
      </c>
      <c r="B9" s="188" t="s">
        <v>100</v>
      </c>
      <c r="C9" s="188" t="s">
        <v>92</v>
      </c>
      <c r="D9" s="189">
        <v>800000</v>
      </c>
      <c r="E9" s="190">
        <v>3</v>
      </c>
      <c r="F9" s="190">
        <f t="shared" si="0"/>
        <v>2400000</v>
      </c>
      <c r="G9" s="194"/>
      <c r="J9" s="29"/>
      <c r="L9" s="29"/>
    </row>
    <row r="10" spans="1:12" ht="27.95" customHeight="1">
      <c r="A10" s="187" t="s">
        <v>95</v>
      </c>
      <c r="B10" s="188" t="s">
        <v>102</v>
      </c>
      <c r="C10" s="188" t="s">
        <v>92</v>
      </c>
      <c r="D10" s="189">
        <v>700000</v>
      </c>
      <c r="E10" s="190">
        <v>3</v>
      </c>
      <c r="F10" s="190">
        <f t="shared" si="0"/>
        <v>2100000</v>
      </c>
      <c r="G10" s="193"/>
    </row>
    <row r="11" spans="1:12" ht="27.95" customHeight="1">
      <c r="A11" s="187" t="s">
        <v>317</v>
      </c>
      <c r="B11" s="188" t="s">
        <v>104</v>
      </c>
      <c r="C11" s="188" t="s">
        <v>92</v>
      </c>
      <c r="D11" s="189">
        <v>600000</v>
      </c>
      <c r="E11" s="190">
        <v>3</v>
      </c>
      <c r="F11" s="190">
        <f t="shared" si="0"/>
        <v>1800000</v>
      </c>
      <c r="G11" s="195"/>
    </row>
    <row r="12" spans="1:12" ht="27.95" customHeight="1">
      <c r="A12" s="196"/>
      <c r="B12" s="188"/>
      <c r="C12" s="197"/>
      <c r="D12" s="189"/>
      <c r="E12" s="190"/>
      <c r="F12" s="190"/>
      <c r="G12" s="195"/>
    </row>
    <row r="13" spans="1:12" ht="27.95" customHeight="1">
      <c r="A13" s="198" t="s">
        <v>106</v>
      </c>
      <c r="B13" s="188"/>
      <c r="C13" s="197"/>
      <c r="D13" s="199"/>
      <c r="E13" s="200">
        <v>0</v>
      </c>
      <c r="F13" s="190">
        <f>SUM(F5:F11)*E13</f>
        <v>0</v>
      </c>
      <c r="G13" s="195"/>
    </row>
    <row r="14" spans="1:12" ht="27.95" customHeight="1">
      <c r="A14" s="204"/>
      <c r="B14" s="201"/>
      <c r="C14" s="202"/>
      <c r="D14" s="203"/>
      <c r="E14" s="190"/>
      <c r="F14" s="190"/>
      <c r="G14" s="195"/>
    </row>
    <row r="15" spans="1:12" ht="27.95" customHeight="1">
      <c r="A15" s="205"/>
      <c r="B15" s="206"/>
      <c r="C15" s="207"/>
      <c r="D15" s="207"/>
      <c r="E15" s="190"/>
      <c r="F15" s="190"/>
      <c r="G15" s="195"/>
    </row>
    <row r="16" spans="1:12" ht="27.95" customHeight="1" thickBot="1">
      <c r="A16" s="208" t="s">
        <v>318</v>
      </c>
      <c r="B16" s="209"/>
      <c r="C16" s="210"/>
      <c r="D16" s="211"/>
      <c r="E16" s="212">
        <f>SUM(E5:E15)</f>
        <v>22</v>
      </c>
      <c r="F16" s="213">
        <f>SUM(F5:F15)</f>
        <v>21200000</v>
      </c>
      <c r="G16" s="214"/>
    </row>
    <row r="17" spans="1:7" ht="27.95" hidden="1" customHeight="1">
      <c r="A17" s="215"/>
      <c r="B17" s="216"/>
      <c r="C17" s="217"/>
      <c r="D17" s="218"/>
      <c r="E17" s="219"/>
      <c r="F17" s="220"/>
      <c r="G17" s="221"/>
    </row>
    <row r="18" spans="1:7" ht="27.95" hidden="1" customHeight="1">
      <c r="A18" s="222"/>
      <c r="B18" s="223"/>
      <c r="C18" s="224"/>
      <c r="D18" s="225"/>
      <c r="E18" s="226"/>
      <c r="F18" s="227"/>
      <c r="G18" s="228"/>
    </row>
    <row r="19" spans="1:7" ht="27.95" hidden="1" customHeight="1">
      <c r="A19" s="222"/>
      <c r="B19" s="223"/>
      <c r="C19" s="224"/>
      <c r="D19" s="225"/>
      <c r="E19" s="226"/>
      <c r="F19" s="227"/>
      <c r="G19" s="228"/>
    </row>
    <row r="20" spans="1:7" ht="27.95" hidden="1" customHeight="1">
      <c r="A20" s="222"/>
      <c r="B20" s="223"/>
      <c r="C20" s="224"/>
      <c r="D20" s="225"/>
      <c r="E20" s="226"/>
      <c r="F20" s="227"/>
      <c r="G20" s="228"/>
    </row>
    <row r="21" spans="1:7" ht="27.95" hidden="1" customHeight="1">
      <c r="A21" s="222"/>
      <c r="B21" s="223"/>
      <c r="C21" s="224"/>
      <c r="D21" s="225"/>
      <c r="E21" s="226"/>
      <c r="F21" s="227"/>
      <c r="G21" s="228"/>
    </row>
    <row r="22" spans="1:7" ht="27.95" hidden="1" customHeight="1">
      <c r="A22" s="222"/>
      <c r="B22" s="223"/>
      <c r="C22" s="224"/>
      <c r="D22" s="225"/>
      <c r="E22" s="226"/>
      <c r="F22" s="227"/>
      <c r="G22" s="228"/>
    </row>
    <row r="23" spans="1:7" ht="27.95" hidden="1" customHeight="1">
      <c r="A23" s="229"/>
      <c r="B23" s="230"/>
      <c r="C23" s="231"/>
      <c r="D23" s="232"/>
      <c r="E23" s="226"/>
      <c r="F23" s="227"/>
      <c r="G23" s="228"/>
    </row>
    <row r="24" spans="1:7" ht="13.5">
      <c r="A24" s="233"/>
      <c r="B24" s="234"/>
      <c r="C24" s="235"/>
      <c r="D24" s="235"/>
    </row>
    <row r="25" spans="1:7" ht="13.5">
      <c r="A25" s="235"/>
      <c r="B25" s="235"/>
      <c r="C25" s="235"/>
      <c r="D25" s="235"/>
      <c r="F25" s="236"/>
    </row>
    <row r="26" spans="1:7" s="29" customFormat="1" ht="13.5">
      <c r="A26" s="235"/>
      <c r="B26" s="235"/>
      <c r="C26" s="235"/>
      <c r="D26" s="235"/>
      <c r="E26" s="17"/>
      <c r="F26" s="17"/>
      <c r="G26" s="17"/>
    </row>
    <row r="27" spans="1:7" s="29" customFormat="1" ht="13.5">
      <c r="A27" s="235"/>
      <c r="B27" s="235"/>
      <c r="C27" s="235"/>
      <c r="D27" s="235"/>
      <c r="E27" s="17"/>
      <c r="F27" s="236"/>
      <c r="G27" s="17"/>
    </row>
    <row r="28" spans="1:7" s="29" customFormat="1" ht="13.5">
      <c r="A28" s="235"/>
      <c r="B28" s="235"/>
      <c r="C28" s="235"/>
      <c r="D28" s="235"/>
      <c r="E28" s="17"/>
      <c r="F28" s="17"/>
      <c r="G28" s="17"/>
    </row>
    <row r="29" spans="1:7" s="29" customFormat="1" ht="13.5">
      <c r="A29" s="237"/>
      <c r="B29" s="237"/>
      <c r="C29" s="237"/>
      <c r="D29" s="237"/>
      <c r="E29" s="17"/>
      <c r="F29" s="17"/>
      <c r="G29" s="17"/>
    </row>
    <row r="30" spans="1:7" s="29" customFormat="1" ht="13.5">
      <c r="A30" s="237"/>
      <c r="B30" s="237"/>
      <c r="C30" s="237"/>
      <c r="D30" s="237"/>
      <c r="E30" s="17"/>
      <c r="F30" s="17"/>
      <c r="G30" s="17"/>
    </row>
    <row r="31" spans="1:7" s="29" customFormat="1" ht="13.5">
      <c r="A31" s="237"/>
      <c r="B31" s="237"/>
      <c r="C31" s="237"/>
      <c r="D31" s="237"/>
      <c r="E31" s="17"/>
      <c r="F31" s="17"/>
      <c r="G31" s="17"/>
    </row>
    <row r="32" spans="1:7" s="29" customFormat="1" ht="13.5">
      <c r="A32" s="237"/>
      <c r="B32" s="237"/>
      <c r="C32" s="237"/>
      <c r="D32" s="237"/>
      <c r="E32" s="17"/>
      <c r="F32" s="17"/>
      <c r="G32" s="17"/>
    </row>
    <row r="33" spans="1:7" s="29" customFormat="1" ht="13.5">
      <c r="A33" s="237"/>
      <c r="B33" s="237"/>
      <c r="C33" s="237"/>
      <c r="D33" s="237"/>
      <c r="E33" s="17"/>
      <c r="F33" s="17"/>
      <c r="G33" s="17"/>
    </row>
    <row r="34" spans="1:7" s="29" customFormat="1" ht="13.5">
      <c r="A34" s="237"/>
      <c r="B34" s="237"/>
      <c r="C34" s="237"/>
      <c r="D34" s="237"/>
      <c r="E34" s="17"/>
      <c r="F34" s="17"/>
      <c r="G34" s="17"/>
    </row>
    <row r="35" spans="1:7" s="29" customFormat="1" ht="13.5">
      <c r="A35" s="237"/>
      <c r="B35" s="17"/>
      <c r="C35" s="237"/>
      <c r="D35" s="237"/>
      <c r="E35" s="17"/>
      <c r="F35" s="17"/>
      <c r="G35" s="17"/>
    </row>
    <row r="36" spans="1:7" s="29" customFormat="1" ht="13.5">
      <c r="A36" s="237"/>
      <c r="B36" s="17"/>
      <c r="C36" s="237"/>
      <c r="D36" s="237"/>
      <c r="E36" s="17"/>
      <c r="F36" s="17"/>
      <c r="G36" s="17"/>
    </row>
    <row r="37" spans="1:7" s="29" customFormat="1" ht="13.5">
      <c r="A37" s="237"/>
      <c r="B37" s="17"/>
      <c r="C37" s="237"/>
      <c r="D37" s="237"/>
      <c r="E37" s="17"/>
      <c r="F37" s="17"/>
      <c r="G37" s="17"/>
    </row>
    <row r="38" spans="1:7" s="29" customFormat="1" ht="13.5">
      <c r="A38" s="237"/>
      <c r="B38" s="17"/>
      <c r="C38" s="237"/>
      <c r="D38" s="237"/>
      <c r="E38" s="17"/>
      <c r="F38" s="17"/>
      <c r="G38" s="17"/>
    </row>
    <row r="39" spans="1:7" s="29" customFormat="1" ht="13.5">
      <c r="A39" s="237"/>
      <c r="B39" s="17"/>
      <c r="C39" s="237"/>
      <c r="D39" s="237"/>
      <c r="E39" s="17"/>
      <c r="F39" s="17"/>
      <c r="G39" s="17"/>
    </row>
    <row r="40" spans="1:7" s="29" customFormat="1" ht="13.5">
      <c r="A40" s="17"/>
      <c r="B40" s="17"/>
      <c r="C40" s="237"/>
      <c r="D40" s="237"/>
      <c r="E40" s="17"/>
      <c r="F40" s="17"/>
      <c r="G40" s="17"/>
    </row>
    <row r="41" spans="1:7" s="29" customFormat="1">
      <c r="A41" s="17"/>
      <c r="B41" s="17"/>
      <c r="C41" s="237"/>
      <c r="D41" s="238"/>
      <c r="E41" s="17"/>
      <c r="F41" s="17"/>
      <c r="G41" s="17"/>
    </row>
    <row r="42" spans="1:7" s="29" customFormat="1">
      <c r="A42" s="17"/>
      <c r="B42" s="17"/>
      <c r="C42" s="237"/>
      <c r="D42" s="238"/>
      <c r="E42" s="17"/>
      <c r="F42" s="17"/>
      <c r="G42" s="17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7"/>
  <sheetViews>
    <sheetView tabSelected="1" view="pageBreakPreview" zoomScale="85" zoomScaleNormal="100" zoomScaleSheetLayoutView="85" workbookViewId="0">
      <selection sqref="A1:L1"/>
    </sheetView>
  </sheetViews>
  <sheetFormatPr defaultRowHeight="16.5"/>
  <cols>
    <col min="1" max="1" width="21.625" style="54" customWidth="1"/>
    <col min="2" max="2" width="20.625" style="54" customWidth="1"/>
    <col min="3" max="3" width="6.625" style="54" customWidth="1"/>
    <col min="4" max="4" width="12.125" style="54" customWidth="1"/>
    <col min="5" max="5" width="16.625" style="54" customWidth="1"/>
    <col min="6" max="9" width="19.625" style="54" customWidth="1"/>
    <col min="10" max="10" width="15.625" style="54" customWidth="1"/>
    <col min="11" max="12" width="11.625" style="54" customWidth="1"/>
    <col min="15" max="15" width="15.875" bestFit="1" customWidth="1"/>
    <col min="16" max="16" width="13" bestFit="1" customWidth="1"/>
    <col min="18" max="18" width="15.875" bestFit="1" customWidth="1"/>
  </cols>
  <sheetData>
    <row r="1" spans="1:15" ht="39.950000000000003" customHeight="1" thickTop="1">
      <c r="A1" s="295" t="str">
        <f>'용역청구서 표지'!A7:F7</f>
        <v>P5 Ph1 GAS 1공구_SUP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7"/>
    </row>
    <row r="2" spans="1:15" ht="20.100000000000001" customHeight="1">
      <c r="A2" s="53"/>
      <c r="J2" s="55"/>
      <c r="L2" s="56" t="str">
        <f>'용역청구서 표지'!$C$15</f>
        <v>㈜태성하이텍</v>
      </c>
    </row>
    <row r="3" spans="1:15" ht="30" customHeight="1">
      <c r="A3" s="57" t="s">
        <v>108</v>
      </c>
      <c r="B3" s="58" t="s">
        <v>109</v>
      </c>
      <c r="C3" s="58" t="s">
        <v>110</v>
      </c>
      <c r="D3" s="58" t="s">
        <v>111</v>
      </c>
      <c r="E3" s="58" t="s">
        <v>112</v>
      </c>
      <c r="F3" s="59" t="s">
        <v>113</v>
      </c>
      <c r="G3" s="60" t="s">
        <v>114</v>
      </c>
      <c r="H3" s="58" t="s">
        <v>115</v>
      </c>
      <c r="I3" s="61" t="s">
        <v>116</v>
      </c>
      <c r="J3" s="298" t="s">
        <v>117</v>
      </c>
      <c r="K3" s="298"/>
      <c r="L3" s="299"/>
    </row>
    <row r="4" spans="1:15" ht="30" customHeight="1">
      <c r="A4" s="62" t="s">
        <v>118</v>
      </c>
      <c r="B4" s="63" t="s">
        <v>119</v>
      </c>
      <c r="C4" s="45" t="s">
        <v>120</v>
      </c>
      <c r="D4" s="147">
        <f>SUM('물량 내역서'!$J$5:$J$27)</f>
        <v>252</v>
      </c>
      <c r="E4" s="46">
        <f>F4/D4</f>
        <v>0</v>
      </c>
      <c r="F4" s="64">
        <f>SUM('물량 내역서'!$K$5:$K$27)</f>
        <v>0</v>
      </c>
      <c r="G4" s="65">
        <v>0</v>
      </c>
      <c r="H4" s="46">
        <f t="shared" ref="H4:H20" si="0">F4</f>
        <v>0</v>
      </c>
      <c r="I4" s="66">
        <f>G4+H4</f>
        <v>0</v>
      </c>
      <c r="J4" s="277"/>
      <c r="K4" s="278"/>
      <c r="L4" s="279"/>
    </row>
    <row r="5" spans="1:15" ht="30" customHeight="1">
      <c r="A5" s="67"/>
      <c r="B5" s="63" t="s">
        <v>121</v>
      </c>
      <c r="C5" s="45" t="s">
        <v>122</v>
      </c>
      <c r="D5" s="146">
        <f>SUM('물량 내역서'!$J$28:$J$50)</f>
        <v>0</v>
      </c>
      <c r="E5" s="46" t="e">
        <f>F5/D5</f>
        <v>#DIV/0!</v>
      </c>
      <c r="F5" s="64">
        <f>SUM('물량 내역서'!$K$28:$K$50)</f>
        <v>0</v>
      </c>
      <c r="G5" s="65">
        <v>0</v>
      </c>
      <c r="H5" s="46">
        <f t="shared" si="0"/>
        <v>0</v>
      </c>
      <c r="I5" s="66">
        <f t="shared" ref="I5:I7" si="1">G5+H5</f>
        <v>0</v>
      </c>
      <c r="J5" s="277"/>
      <c r="K5" s="278"/>
      <c r="L5" s="279"/>
    </row>
    <row r="6" spans="1:15" ht="30" customHeight="1">
      <c r="A6" s="67"/>
      <c r="B6" s="63" t="s">
        <v>123</v>
      </c>
      <c r="C6" s="45" t="s">
        <v>124</v>
      </c>
      <c r="D6" s="68">
        <f>'근로내역 (09월)'!AN37</f>
        <v>485.125</v>
      </c>
      <c r="E6" s="46">
        <v>240000</v>
      </c>
      <c r="F6" s="64">
        <f>D6*E6</f>
        <v>116430000</v>
      </c>
      <c r="G6" s="65">
        <v>96885000</v>
      </c>
      <c r="H6" s="46">
        <f t="shared" si="0"/>
        <v>116430000</v>
      </c>
      <c r="I6" s="66">
        <f t="shared" si="1"/>
        <v>213315000</v>
      </c>
      <c r="J6" s="277"/>
      <c r="K6" s="278"/>
      <c r="L6" s="279"/>
    </row>
    <row r="7" spans="1:15" ht="30" customHeight="1">
      <c r="A7" s="62" t="s">
        <v>125</v>
      </c>
      <c r="B7" s="69"/>
      <c r="C7" s="45" t="s">
        <v>126</v>
      </c>
      <c r="D7" s="45"/>
      <c r="E7" s="46"/>
      <c r="F7" s="64">
        <f t="shared" ref="F7:F12" si="2">D7*E7</f>
        <v>0</v>
      </c>
      <c r="G7" s="65">
        <v>0</v>
      </c>
      <c r="H7" s="46">
        <f t="shared" si="0"/>
        <v>0</v>
      </c>
      <c r="I7" s="66">
        <f t="shared" si="1"/>
        <v>0</v>
      </c>
      <c r="J7" s="277"/>
      <c r="K7" s="278"/>
      <c r="L7" s="279"/>
    </row>
    <row r="8" spans="1:15" ht="30" customHeight="1">
      <c r="A8" s="70" t="s">
        <v>127</v>
      </c>
      <c r="B8" s="280" t="s">
        <v>128</v>
      </c>
      <c r="C8" s="281"/>
      <c r="D8" s="71"/>
      <c r="E8" s="71"/>
      <c r="F8" s="72">
        <f>SUM(F4:F7)</f>
        <v>116430000</v>
      </c>
      <c r="G8" s="73">
        <f>SUM(G4:G7)</f>
        <v>96885000</v>
      </c>
      <c r="H8" s="74">
        <f t="shared" si="0"/>
        <v>116430000</v>
      </c>
      <c r="I8" s="75">
        <f>G8+H8</f>
        <v>213315000</v>
      </c>
      <c r="J8" s="282"/>
      <c r="K8" s="283"/>
      <c r="L8" s="284"/>
    </row>
    <row r="9" spans="1:15" ht="30" customHeight="1">
      <c r="A9" s="62" t="s">
        <v>129</v>
      </c>
      <c r="B9" s="63" t="s">
        <v>130</v>
      </c>
      <c r="C9" s="45" t="s">
        <v>131</v>
      </c>
      <c r="D9" s="68">
        <f>'근로내역 (09월)'!AN37</f>
        <v>485.125</v>
      </c>
      <c r="E9" s="76">
        <f>F9/D9</f>
        <v>189268.22983767069</v>
      </c>
      <c r="F9" s="64">
        <f>'근로내역 (09월)'!AP37</f>
        <v>91818750</v>
      </c>
      <c r="G9" s="65">
        <v>80151250</v>
      </c>
      <c r="H9" s="46">
        <f t="shared" si="0"/>
        <v>91818750</v>
      </c>
      <c r="I9" s="66">
        <f>G9+H9</f>
        <v>171970000</v>
      </c>
      <c r="J9" s="277"/>
      <c r="K9" s="278"/>
      <c r="L9" s="279"/>
    </row>
    <row r="10" spans="1:15" ht="30" customHeight="1">
      <c r="A10" s="62" t="s">
        <v>132</v>
      </c>
      <c r="B10" s="63" t="s">
        <v>133</v>
      </c>
      <c r="C10" s="45" t="s">
        <v>126</v>
      </c>
      <c r="D10" s="45">
        <f>SUM(숙소임차료!H4:H8)+SUM(숙소관리비!H4:H8)</f>
        <v>0</v>
      </c>
      <c r="E10" s="46" t="e">
        <f>F10/D10</f>
        <v>#DIV/0!</v>
      </c>
      <c r="F10" s="64">
        <f>숙소임차료!I3+숙소관리비!I3</f>
        <v>4773050</v>
      </c>
      <c r="G10" s="65">
        <v>4825806</v>
      </c>
      <c r="H10" s="46">
        <f t="shared" si="0"/>
        <v>4773050</v>
      </c>
      <c r="I10" s="66">
        <f t="shared" ref="I10:I12" si="3">G10+H10</f>
        <v>9598856</v>
      </c>
      <c r="J10" s="277"/>
      <c r="K10" s="278"/>
      <c r="L10" s="279"/>
    </row>
    <row r="11" spans="1:15" ht="30" customHeight="1">
      <c r="A11" s="62"/>
      <c r="B11" s="63" t="s">
        <v>134</v>
      </c>
      <c r="C11" s="45" t="s">
        <v>135</v>
      </c>
      <c r="D11" s="45">
        <f>SUM(식대비용!G4:G8)</f>
        <v>0</v>
      </c>
      <c r="E11" s="46" t="e">
        <f>F11/D11</f>
        <v>#DIV/0!</v>
      </c>
      <c r="F11" s="64">
        <f>식대비용!I3</f>
        <v>6956364</v>
      </c>
      <c r="G11" s="65">
        <v>3578364</v>
      </c>
      <c r="H11" s="46">
        <f t="shared" si="0"/>
        <v>6956364</v>
      </c>
      <c r="I11" s="66">
        <f t="shared" si="3"/>
        <v>10534728</v>
      </c>
      <c r="J11" s="277"/>
      <c r="K11" s="278"/>
      <c r="L11" s="279"/>
    </row>
    <row r="12" spans="1:15" ht="30" customHeight="1">
      <c r="A12" s="62" t="s">
        <v>136</v>
      </c>
      <c r="B12" s="63"/>
      <c r="C12" s="45" t="s">
        <v>126</v>
      </c>
      <c r="D12" s="45"/>
      <c r="E12" s="46">
        <v>0</v>
      </c>
      <c r="F12" s="64">
        <f t="shared" si="2"/>
        <v>0</v>
      </c>
      <c r="G12" s="65">
        <v>0</v>
      </c>
      <c r="H12" s="46">
        <f t="shared" si="0"/>
        <v>0</v>
      </c>
      <c r="I12" s="66">
        <f t="shared" si="3"/>
        <v>0</v>
      </c>
      <c r="J12" s="277"/>
      <c r="K12" s="278"/>
      <c r="L12" s="279"/>
    </row>
    <row r="13" spans="1:15" ht="30" customHeight="1">
      <c r="A13" s="70" t="s">
        <v>137</v>
      </c>
      <c r="B13" s="280" t="s">
        <v>138</v>
      </c>
      <c r="C13" s="281"/>
      <c r="D13" s="71"/>
      <c r="E13" s="71"/>
      <c r="F13" s="72">
        <f t="shared" ref="F13" si="4">SUM(F9:F12)</f>
        <v>103548164</v>
      </c>
      <c r="G13" s="73">
        <f>SUM(G9:G12)</f>
        <v>88555420</v>
      </c>
      <c r="H13" s="74">
        <f t="shared" si="0"/>
        <v>103548164</v>
      </c>
      <c r="I13" s="75">
        <f>G13+H13</f>
        <v>192103584</v>
      </c>
      <c r="J13" s="282"/>
      <c r="K13" s="283"/>
      <c r="L13" s="284"/>
    </row>
    <row r="14" spans="1:15" ht="30" customHeight="1">
      <c r="A14" s="70" t="s">
        <v>139</v>
      </c>
      <c r="B14" s="280" t="s">
        <v>140</v>
      </c>
      <c r="C14" s="281"/>
      <c r="D14" s="71"/>
      <c r="E14" s="71"/>
      <c r="F14" s="72">
        <f>F8-F13</f>
        <v>12881836</v>
      </c>
      <c r="G14" s="73">
        <f>G8-G13</f>
        <v>8329580</v>
      </c>
      <c r="H14" s="74">
        <f t="shared" si="0"/>
        <v>12881836</v>
      </c>
      <c r="I14" s="75">
        <f>G14+H14</f>
        <v>21211416</v>
      </c>
      <c r="J14" s="282"/>
      <c r="K14" s="283"/>
      <c r="L14" s="284"/>
    </row>
    <row r="15" spans="1:15" ht="30" customHeight="1">
      <c r="A15" s="62" t="s">
        <v>141</v>
      </c>
      <c r="B15" s="63" t="s">
        <v>142</v>
      </c>
      <c r="C15" s="45" t="s">
        <v>126</v>
      </c>
      <c r="D15" s="45"/>
      <c r="E15" s="45"/>
      <c r="F15" s="64">
        <v>-8329580</v>
      </c>
      <c r="G15" s="65">
        <v>8329580</v>
      </c>
      <c r="H15" s="46">
        <f t="shared" si="0"/>
        <v>-8329580</v>
      </c>
      <c r="I15" s="66">
        <f>G15+H15</f>
        <v>0</v>
      </c>
      <c r="J15" s="277"/>
      <c r="K15" s="278"/>
      <c r="L15" s="279"/>
      <c r="O15" s="171"/>
    </row>
    <row r="16" spans="1:15" ht="30" customHeight="1">
      <c r="A16" s="62" t="s">
        <v>143</v>
      </c>
      <c r="B16" s="77" t="s">
        <v>144</v>
      </c>
      <c r="C16" s="45" t="s">
        <v>145</v>
      </c>
      <c r="D16" s="45"/>
      <c r="E16" s="45"/>
      <c r="F16" s="64"/>
      <c r="G16" s="65"/>
      <c r="H16" s="46">
        <f t="shared" si="0"/>
        <v>0</v>
      </c>
      <c r="I16" s="66">
        <f t="shared" ref="I16:I17" si="5">G16+H16</f>
        <v>0</v>
      </c>
      <c r="J16" s="277"/>
      <c r="K16" s="278"/>
      <c r="L16" s="279"/>
      <c r="N16" s="239"/>
    </row>
    <row r="17" spans="1:18" ht="30" customHeight="1">
      <c r="A17" s="62" t="s">
        <v>146</v>
      </c>
      <c r="B17" s="63" t="s">
        <v>147</v>
      </c>
      <c r="C17" s="45" t="s">
        <v>148</v>
      </c>
      <c r="D17" s="45"/>
      <c r="E17" s="45"/>
      <c r="F17" s="64"/>
      <c r="G17" s="65"/>
      <c r="H17" s="46">
        <f t="shared" si="0"/>
        <v>0</v>
      </c>
      <c r="I17" s="66">
        <f t="shared" si="5"/>
        <v>0</v>
      </c>
      <c r="J17" s="277"/>
      <c r="K17" s="278"/>
      <c r="L17" s="279"/>
      <c r="O17" s="171"/>
    </row>
    <row r="18" spans="1:18" ht="30" customHeight="1">
      <c r="A18" s="70" t="s">
        <v>149</v>
      </c>
      <c r="B18" s="280" t="s">
        <v>150</v>
      </c>
      <c r="C18" s="281"/>
      <c r="D18" s="71"/>
      <c r="E18" s="71"/>
      <c r="F18" s="72">
        <f>F14-F15-F16-F17</f>
        <v>21211416</v>
      </c>
      <c r="G18" s="73">
        <f>G14-G15-G16-G17</f>
        <v>0</v>
      </c>
      <c r="H18" s="74">
        <f t="shared" si="0"/>
        <v>21211416</v>
      </c>
      <c r="I18" s="75">
        <f>G18+H18</f>
        <v>21211416</v>
      </c>
      <c r="J18" s="282"/>
      <c r="K18" s="283"/>
      <c r="L18" s="284"/>
      <c r="N18" s="171"/>
      <c r="O18" s="171"/>
      <c r="R18" s="171"/>
    </row>
    <row r="19" spans="1:18" ht="30" customHeight="1">
      <c r="A19" s="285" t="s">
        <v>151</v>
      </c>
      <c r="B19" s="63" t="s">
        <v>152</v>
      </c>
      <c r="C19" s="45" t="s">
        <v>145</v>
      </c>
      <c r="D19" s="45"/>
      <c r="E19" s="45"/>
      <c r="F19" s="64"/>
      <c r="G19" s="65">
        <v>0</v>
      </c>
      <c r="H19" s="46">
        <f t="shared" si="0"/>
        <v>0</v>
      </c>
      <c r="I19" s="66">
        <f>G19+H19</f>
        <v>0</v>
      </c>
      <c r="J19" s="45"/>
      <c r="K19" s="78" t="s">
        <v>153</v>
      </c>
      <c r="L19" s="79" t="s">
        <v>154</v>
      </c>
    </row>
    <row r="20" spans="1:18" ht="30" customHeight="1">
      <c r="A20" s="285"/>
      <c r="B20" s="63" t="s">
        <v>155</v>
      </c>
      <c r="C20" s="45" t="s">
        <v>145</v>
      </c>
      <c r="D20" s="45"/>
      <c r="E20" s="45"/>
      <c r="F20" s="64">
        <f>ROUNDDOWN(F19,-5)</f>
        <v>0</v>
      </c>
      <c r="G20" s="65"/>
      <c r="H20" s="46">
        <f t="shared" si="0"/>
        <v>0</v>
      </c>
      <c r="I20" s="66">
        <f>G20+H20</f>
        <v>0</v>
      </c>
      <c r="J20" s="63" t="s">
        <v>156</v>
      </c>
      <c r="K20" s="286">
        <v>0</v>
      </c>
      <c r="L20" s="289">
        <f>K20-I20</f>
        <v>0</v>
      </c>
    </row>
    <row r="21" spans="1:18" ht="30" customHeight="1">
      <c r="A21" s="292" t="s">
        <v>157</v>
      </c>
      <c r="B21" s="293"/>
      <c r="C21" s="294"/>
      <c r="D21" s="80"/>
      <c r="E21" s="80"/>
      <c r="F21" s="81">
        <f>F18-F20</f>
        <v>21211416</v>
      </c>
      <c r="G21" s="82">
        <f>G18-G19</f>
        <v>0</v>
      </c>
      <c r="H21" s="83">
        <f>F21</f>
        <v>21211416</v>
      </c>
      <c r="I21" s="84">
        <f>G21+H21</f>
        <v>21211416</v>
      </c>
      <c r="J21" s="80"/>
      <c r="K21" s="287"/>
      <c r="L21" s="290"/>
    </row>
    <row r="22" spans="1:18" ht="30" customHeight="1">
      <c r="A22" s="292" t="s">
        <v>158</v>
      </c>
      <c r="B22" s="293"/>
      <c r="C22" s="294"/>
      <c r="D22" s="80"/>
      <c r="E22" s="80"/>
      <c r="F22" s="81">
        <f>ROUNDDOWN(F21,-5)</f>
        <v>21200000</v>
      </c>
      <c r="G22" s="82">
        <v>0</v>
      </c>
      <c r="H22" s="83">
        <f t="shared" ref="H22" si="6">F22</f>
        <v>21200000</v>
      </c>
      <c r="I22" s="84">
        <f>G22+H22</f>
        <v>21200000</v>
      </c>
      <c r="J22" s="85" t="s">
        <v>159</v>
      </c>
      <c r="K22" s="288"/>
      <c r="L22" s="291"/>
    </row>
    <row r="23" spans="1:18" ht="30" customHeight="1">
      <c r="A23" s="273" t="s">
        <v>160</v>
      </c>
      <c r="B23" s="274"/>
      <c r="C23" s="275"/>
      <c r="D23" s="274" t="s">
        <v>161</v>
      </c>
      <c r="E23" s="274"/>
      <c r="F23" s="274"/>
      <c r="G23" s="274"/>
      <c r="H23" s="274"/>
      <c r="I23" s="274"/>
      <c r="J23" s="274"/>
      <c r="K23" s="274"/>
      <c r="L23" s="276"/>
    </row>
    <row r="24" spans="1:18" ht="21" customHeight="1">
      <c r="A24" s="86" t="s">
        <v>162</v>
      </c>
      <c r="L24" s="87"/>
    </row>
    <row r="25" spans="1:18" ht="21" customHeight="1">
      <c r="A25" s="86" t="s">
        <v>163</v>
      </c>
      <c r="L25" s="87"/>
    </row>
    <row r="26" spans="1:18" ht="21" customHeight="1" thickBot="1">
      <c r="A26" s="88" t="s">
        <v>164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90"/>
    </row>
    <row r="27" spans="1:18" ht="17.25" thickTop="1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6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18"/>
  <sheetViews>
    <sheetView view="pageBreakPreview" topLeftCell="C1" zoomScale="60" zoomScaleNormal="70" workbookViewId="0">
      <selection activeCell="AM4" sqref="AM4"/>
    </sheetView>
  </sheetViews>
  <sheetFormatPr defaultRowHeight="16.5"/>
  <cols>
    <col min="1" max="1" width="6.375" style="99" bestFit="1" customWidth="1"/>
    <col min="2" max="2" width="9.25" style="99" customWidth="1"/>
    <col min="3" max="3" width="18.125" style="99" customWidth="1"/>
    <col min="4" max="4" width="11.25" style="99" customWidth="1"/>
    <col min="5" max="5" width="18.125" style="99" customWidth="1"/>
    <col min="6" max="6" width="11.125" style="99" customWidth="1"/>
    <col min="7" max="7" width="9.375" style="100" customWidth="1"/>
    <col min="8" max="8" width="21.625" style="100" customWidth="1"/>
    <col min="9" max="39" width="7.625" style="99" customWidth="1"/>
    <col min="40" max="40" width="11.875" style="99" customWidth="1"/>
    <col min="41" max="41" width="15.875" style="135" bestFit="1" customWidth="1"/>
    <col min="42" max="42" width="18.25" style="137" bestFit="1" customWidth="1"/>
  </cols>
  <sheetData>
    <row r="1" spans="1:42" ht="32.1" customHeight="1">
      <c r="A1" s="306" t="s">
        <v>445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8"/>
      <c r="AH1" s="315" t="s">
        <v>219</v>
      </c>
      <c r="AI1" s="316"/>
      <c r="AJ1" s="316"/>
      <c r="AK1" s="316"/>
      <c r="AL1" s="317"/>
      <c r="AM1" s="318" t="str">
        <f>'용역청구서 표지'!A7:A7</f>
        <v>P5 Ph1 GAS 1공구_SUP</v>
      </c>
      <c r="AN1" s="319"/>
      <c r="AO1" s="319"/>
      <c r="AP1" s="320"/>
    </row>
    <row r="2" spans="1:42" ht="32.1" customHeight="1">
      <c r="A2" s="309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1"/>
      <c r="AH2" s="315" t="s">
        <v>220</v>
      </c>
      <c r="AI2" s="316"/>
      <c r="AJ2" s="316"/>
      <c r="AK2" s="316"/>
      <c r="AL2" s="317"/>
      <c r="AM2" s="318" t="s">
        <v>446</v>
      </c>
      <c r="AN2" s="319"/>
      <c r="AO2" s="319"/>
      <c r="AP2" s="320"/>
    </row>
    <row r="3" spans="1:42" ht="32.1" customHeight="1">
      <c r="A3" s="312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4"/>
      <c r="AH3" s="315" t="s">
        <v>221</v>
      </c>
      <c r="AI3" s="316"/>
      <c r="AJ3" s="316"/>
      <c r="AK3" s="316"/>
      <c r="AL3" s="317"/>
      <c r="AM3" s="318" t="str">
        <f>'용역청구서 표지'!C9:C9</f>
        <v>S26-003</v>
      </c>
      <c r="AN3" s="319"/>
      <c r="AO3" s="319"/>
      <c r="AP3" s="320"/>
    </row>
    <row r="4" spans="1:42" ht="24.95" customHeight="1" thickBot="1">
      <c r="AH4" s="101"/>
      <c r="AI4" s="101"/>
      <c r="AJ4" s="101"/>
      <c r="AK4" s="101"/>
      <c r="AL4" s="101"/>
      <c r="AM4" s="101"/>
      <c r="AN4" s="101"/>
      <c r="AO4" s="102"/>
      <c r="AP4" s="103"/>
    </row>
    <row r="5" spans="1:42" ht="24.95" customHeight="1" thickBot="1">
      <c r="A5" s="104" t="s">
        <v>222</v>
      </c>
      <c r="B5" s="105" t="s">
        <v>223</v>
      </c>
      <c r="C5" s="105" t="s">
        <v>224</v>
      </c>
      <c r="D5" s="105" t="s">
        <v>225</v>
      </c>
      <c r="E5" s="105" t="s">
        <v>226</v>
      </c>
      <c r="F5" s="105" t="s">
        <v>227</v>
      </c>
      <c r="G5" s="106" t="s">
        <v>228</v>
      </c>
      <c r="H5" s="107" t="s">
        <v>229</v>
      </c>
      <c r="I5" s="241">
        <v>1</v>
      </c>
      <c r="J5" s="180">
        <v>2</v>
      </c>
      <c r="K5" s="180">
        <v>3</v>
      </c>
      <c r="L5" s="180">
        <v>4</v>
      </c>
      <c r="M5" s="249">
        <v>5</v>
      </c>
      <c r="N5" s="108">
        <v>6</v>
      </c>
      <c r="O5" s="180">
        <v>7</v>
      </c>
      <c r="P5" s="241">
        <v>8</v>
      </c>
      <c r="Q5" s="180">
        <v>9</v>
      </c>
      <c r="R5" s="180">
        <v>10</v>
      </c>
      <c r="S5" s="180">
        <v>11</v>
      </c>
      <c r="T5" s="249">
        <v>12</v>
      </c>
      <c r="U5" s="108">
        <v>13</v>
      </c>
      <c r="V5" s="180">
        <v>14</v>
      </c>
      <c r="W5" s="180">
        <v>15</v>
      </c>
      <c r="X5" s="180">
        <v>16</v>
      </c>
      <c r="Y5" s="180">
        <v>17</v>
      </c>
      <c r="Z5" s="180">
        <v>18</v>
      </c>
      <c r="AA5" s="249">
        <v>19</v>
      </c>
      <c r="AB5" s="108">
        <v>20</v>
      </c>
      <c r="AC5" s="180">
        <v>21</v>
      </c>
      <c r="AD5" s="241">
        <v>22</v>
      </c>
      <c r="AE5" s="180">
        <v>23</v>
      </c>
      <c r="AF5" s="108">
        <v>24</v>
      </c>
      <c r="AG5" s="108">
        <v>25</v>
      </c>
      <c r="AH5" s="108">
        <v>26</v>
      </c>
      <c r="AI5" s="108">
        <v>27</v>
      </c>
      <c r="AJ5" s="180">
        <v>28</v>
      </c>
      <c r="AK5" s="241">
        <v>29</v>
      </c>
      <c r="AL5" s="180">
        <v>30</v>
      </c>
      <c r="AM5" s="242"/>
      <c r="AN5" s="109" t="s">
        <v>230</v>
      </c>
      <c r="AO5" s="105" t="s">
        <v>231</v>
      </c>
      <c r="AP5" s="110" t="s">
        <v>232</v>
      </c>
    </row>
    <row r="6" spans="1:42" ht="24.95" customHeight="1">
      <c r="A6" s="111">
        <v>1</v>
      </c>
      <c r="B6" s="112" t="s">
        <v>326</v>
      </c>
      <c r="C6" s="113" t="s">
        <v>327</v>
      </c>
      <c r="D6" s="113" t="s">
        <v>401</v>
      </c>
      <c r="E6" s="113" t="s">
        <v>328</v>
      </c>
      <c r="F6" s="114" t="s">
        <v>319</v>
      </c>
      <c r="G6" s="115" t="s">
        <v>326</v>
      </c>
      <c r="H6" s="116" t="s">
        <v>329</v>
      </c>
      <c r="I6" s="117">
        <v>0.875</v>
      </c>
      <c r="J6" s="117">
        <v>1</v>
      </c>
      <c r="K6" s="117">
        <v>1</v>
      </c>
      <c r="L6" s="117">
        <v>0.875</v>
      </c>
      <c r="M6" s="117"/>
      <c r="N6" s="117"/>
      <c r="O6" s="117">
        <v>1</v>
      </c>
      <c r="P6" s="117">
        <v>0.75</v>
      </c>
      <c r="Q6" s="117">
        <v>1</v>
      </c>
      <c r="R6" s="117">
        <v>1</v>
      </c>
      <c r="S6" s="117">
        <v>1</v>
      </c>
      <c r="T6" s="117"/>
      <c r="U6" s="117"/>
      <c r="V6" s="117">
        <v>1</v>
      </c>
      <c r="W6" s="117">
        <v>1</v>
      </c>
      <c r="X6" s="117">
        <v>1</v>
      </c>
      <c r="Y6" s="117">
        <v>1</v>
      </c>
      <c r="Z6" s="117">
        <v>0.875</v>
      </c>
      <c r="AA6" s="117">
        <v>1</v>
      </c>
      <c r="AB6" s="117"/>
      <c r="AC6" s="117">
        <v>1</v>
      </c>
      <c r="AD6" s="117">
        <v>1</v>
      </c>
      <c r="AE6" s="117">
        <v>1</v>
      </c>
      <c r="AF6" s="117"/>
      <c r="AG6" s="117"/>
      <c r="AH6" s="117"/>
      <c r="AI6" s="117"/>
      <c r="AJ6" s="117">
        <v>1.5</v>
      </c>
      <c r="AK6" s="117">
        <v>1.5</v>
      </c>
      <c r="AL6" s="117">
        <v>1.5</v>
      </c>
      <c r="AM6" s="117"/>
      <c r="AN6" s="118">
        <f t="shared" ref="AN6:AN29" si="0">SUM(I6:AM6)</f>
        <v>21.875</v>
      </c>
      <c r="AO6" s="114">
        <v>200000</v>
      </c>
      <c r="AP6" s="119">
        <f>AN6*AO6</f>
        <v>4375000</v>
      </c>
    </row>
    <row r="7" spans="1:42" ht="24.95" customHeight="1">
      <c r="A7" s="120">
        <v>2</v>
      </c>
      <c r="B7" s="112" t="s">
        <v>330</v>
      </c>
      <c r="C7" s="113" t="s">
        <v>331</v>
      </c>
      <c r="D7" s="121" t="s">
        <v>402</v>
      </c>
      <c r="E7" s="113" t="s">
        <v>332</v>
      </c>
      <c r="F7" s="122" t="s">
        <v>323</v>
      </c>
      <c r="G7" s="115" t="s">
        <v>330</v>
      </c>
      <c r="H7" s="116" t="s">
        <v>333</v>
      </c>
      <c r="I7" s="117">
        <v>0.75</v>
      </c>
      <c r="J7" s="117">
        <v>0.875</v>
      </c>
      <c r="K7" s="117">
        <v>0.625</v>
      </c>
      <c r="L7" s="117"/>
      <c r="M7" s="117"/>
      <c r="N7" s="117"/>
      <c r="O7" s="117"/>
      <c r="P7" s="117">
        <v>0.75</v>
      </c>
      <c r="Q7" s="117">
        <v>0.625</v>
      </c>
      <c r="R7" s="117">
        <v>0.5</v>
      </c>
      <c r="S7" s="117"/>
      <c r="T7" s="117"/>
      <c r="U7" s="117"/>
      <c r="V7" s="117">
        <v>1</v>
      </c>
      <c r="W7" s="117">
        <v>1</v>
      </c>
      <c r="X7" s="117">
        <v>0.75</v>
      </c>
      <c r="Y7" s="117">
        <v>0.75</v>
      </c>
      <c r="Z7" s="117">
        <v>0.75</v>
      </c>
      <c r="AA7" s="117"/>
      <c r="AB7" s="117"/>
      <c r="AC7" s="117">
        <v>1</v>
      </c>
      <c r="AD7" s="117">
        <v>1</v>
      </c>
      <c r="AE7" s="117">
        <v>0.875</v>
      </c>
      <c r="AF7" s="117"/>
      <c r="AG7" s="117"/>
      <c r="AH7" s="117"/>
      <c r="AI7" s="117"/>
      <c r="AJ7" s="117">
        <v>1.5</v>
      </c>
      <c r="AK7" s="117">
        <v>1.25</v>
      </c>
      <c r="AL7" s="117"/>
      <c r="AM7" s="117"/>
      <c r="AN7" s="118">
        <f t="shared" si="0"/>
        <v>14</v>
      </c>
      <c r="AO7" s="114">
        <v>270000</v>
      </c>
      <c r="AP7" s="119">
        <f t="shared" ref="AP7:AP29" si="1">AN7*AO7</f>
        <v>3780000</v>
      </c>
    </row>
    <row r="8" spans="1:42" ht="24.95" customHeight="1">
      <c r="A8" s="120">
        <v>3</v>
      </c>
      <c r="B8" s="112" t="s">
        <v>334</v>
      </c>
      <c r="C8" s="113" t="s">
        <v>335</v>
      </c>
      <c r="D8" s="123" t="s">
        <v>320</v>
      </c>
      <c r="E8" s="113" t="s">
        <v>336</v>
      </c>
      <c r="F8" s="122" t="s">
        <v>337</v>
      </c>
      <c r="G8" s="115" t="s">
        <v>334</v>
      </c>
      <c r="H8" s="116" t="s">
        <v>338</v>
      </c>
      <c r="I8" s="117">
        <v>1</v>
      </c>
      <c r="J8" s="117">
        <v>1.5</v>
      </c>
      <c r="K8" s="117">
        <v>1.5</v>
      </c>
      <c r="L8" s="117">
        <v>1</v>
      </c>
      <c r="M8" s="117"/>
      <c r="N8" s="117"/>
      <c r="O8" s="117">
        <v>1</v>
      </c>
      <c r="P8" s="117">
        <v>1.5</v>
      </c>
      <c r="Q8" s="117">
        <v>1</v>
      </c>
      <c r="R8" s="117">
        <v>1</v>
      </c>
      <c r="S8" s="117">
        <v>1</v>
      </c>
      <c r="T8" s="117"/>
      <c r="U8" s="117"/>
      <c r="V8" s="117">
        <v>1</v>
      </c>
      <c r="W8" s="117">
        <v>1</v>
      </c>
      <c r="X8" s="117">
        <v>1</v>
      </c>
      <c r="Y8" s="117">
        <v>1</v>
      </c>
      <c r="Z8" s="117">
        <v>1</v>
      </c>
      <c r="AA8" s="117">
        <v>0.875</v>
      </c>
      <c r="AB8" s="117"/>
      <c r="AC8" s="117">
        <v>1</v>
      </c>
      <c r="AD8" s="117">
        <v>1.5</v>
      </c>
      <c r="AE8" s="117">
        <v>1</v>
      </c>
      <c r="AF8" s="117"/>
      <c r="AG8" s="117"/>
      <c r="AH8" s="117"/>
      <c r="AI8" s="117"/>
      <c r="AJ8" s="117">
        <v>1.5</v>
      </c>
      <c r="AK8" s="117">
        <v>1.5</v>
      </c>
      <c r="AL8" s="117">
        <v>1.5</v>
      </c>
      <c r="AM8" s="117"/>
      <c r="AN8" s="118">
        <f t="shared" si="0"/>
        <v>24.375</v>
      </c>
      <c r="AO8" s="114">
        <v>180000</v>
      </c>
      <c r="AP8" s="119">
        <f t="shared" ref="AP8:AP13" si="2">AN8*AO8</f>
        <v>4387500</v>
      </c>
    </row>
    <row r="9" spans="1:42" ht="24.95" customHeight="1">
      <c r="A9" s="120">
        <v>4</v>
      </c>
      <c r="B9" s="112" t="s">
        <v>339</v>
      </c>
      <c r="C9" s="113" t="s">
        <v>340</v>
      </c>
      <c r="D9" s="121" t="s">
        <v>403</v>
      </c>
      <c r="E9" s="113" t="s">
        <v>341</v>
      </c>
      <c r="F9" s="122" t="s">
        <v>323</v>
      </c>
      <c r="G9" s="115" t="s">
        <v>339</v>
      </c>
      <c r="H9" s="116" t="s">
        <v>342</v>
      </c>
      <c r="I9" s="117">
        <v>1</v>
      </c>
      <c r="J9" s="117">
        <v>1</v>
      </c>
      <c r="K9" s="117">
        <v>1</v>
      </c>
      <c r="L9" s="117">
        <v>1</v>
      </c>
      <c r="M9" s="117"/>
      <c r="N9" s="117"/>
      <c r="O9" s="117">
        <v>1</v>
      </c>
      <c r="P9" s="117">
        <v>1</v>
      </c>
      <c r="Q9" s="117">
        <v>1</v>
      </c>
      <c r="R9" s="117">
        <v>1</v>
      </c>
      <c r="S9" s="117">
        <v>1</v>
      </c>
      <c r="T9" s="117"/>
      <c r="U9" s="117"/>
      <c r="V9" s="117">
        <v>1</v>
      </c>
      <c r="W9" s="117">
        <v>1</v>
      </c>
      <c r="X9" s="117">
        <v>1</v>
      </c>
      <c r="Y9" s="117">
        <v>1</v>
      </c>
      <c r="Z9" s="117">
        <v>1</v>
      </c>
      <c r="AA9" s="117">
        <v>1</v>
      </c>
      <c r="AB9" s="117"/>
      <c r="AC9" s="117">
        <v>1</v>
      </c>
      <c r="AD9" s="117">
        <v>1</v>
      </c>
      <c r="AE9" s="117">
        <v>1</v>
      </c>
      <c r="AF9" s="117"/>
      <c r="AG9" s="117"/>
      <c r="AH9" s="117"/>
      <c r="AI9" s="117"/>
      <c r="AJ9" s="117">
        <v>1.5</v>
      </c>
      <c r="AK9" s="117">
        <v>1.5</v>
      </c>
      <c r="AL9" s="117">
        <v>1.5</v>
      </c>
      <c r="AM9" s="117"/>
      <c r="AN9" s="118">
        <f t="shared" si="0"/>
        <v>22.5</v>
      </c>
      <c r="AO9" s="114">
        <v>230000</v>
      </c>
      <c r="AP9" s="119">
        <f t="shared" si="2"/>
        <v>5175000</v>
      </c>
    </row>
    <row r="10" spans="1:42" ht="24.95" customHeight="1">
      <c r="A10" s="120">
        <v>5</v>
      </c>
      <c r="B10" s="112" t="s">
        <v>404</v>
      </c>
      <c r="C10" s="113" t="s">
        <v>405</v>
      </c>
      <c r="D10" s="121" t="s">
        <v>403</v>
      </c>
      <c r="E10" s="113" t="s">
        <v>406</v>
      </c>
      <c r="F10" s="122" t="s">
        <v>323</v>
      </c>
      <c r="G10" s="115" t="s">
        <v>404</v>
      </c>
      <c r="H10" s="116" t="s">
        <v>407</v>
      </c>
      <c r="I10" s="117">
        <v>1</v>
      </c>
      <c r="J10" s="117">
        <v>1</v>
      </c>
      <c r="K10" s="117">
        <v>1</v>
      </c>
      <c r="L10" s="117">
        <v>1</v>
      </c>
      <c r="M10" s="117"/>
      <c r="N10" s="117"/>
      <c r="O10" s="117">
        <v>1</v>
      </c>
      <c r="P10" s="117">
        <v>1</v>
      </c>
      <c r="Q10" s="117">
        <v>1</v>
      </c>
      <c r="R10" s="117">
        <v>1</v>
      </c>
      <c r="S10" s="117">
        <v>1</v>
      </c>
      <c r="T10" s="117"/>
      <c r="U10" s="117"/>
      <c r="V10" s="117">
        <v>1</v>
      </c>
      <c r="W10" s="117">
        <v>1</v>
      </c>
      <c r="X10" s="117">
        <v>1</v>
      </c>
      <c r="Y10" s="117">
        <v>1</v>
      </c>
      <c r="Z10" s="117">
        <v>1</v>
      </c>
      <c r="AA10" s="117">
        <v>1</v>
      </c>
      <c r="AB10" s="117"/>
      <c r="AC10" s="117">
        <v>1</v>
      </c>
      <c r="AD10" s="117">
        <v>1</v>
      </c>
      <c r="AE10" s="117">
        <v>1</v>
      </c>
      <c r="AF10" s="117"/>
      <c r="AG10" s="117"/>
      <c r="AH10" s="117"/>
      <c r="AI10" s="117"/>
      <c r="AJ10" s="117">
        <v>1.5</v>
      </c>
      <c r="AK10" s="117">
        <v>1.5</v>
      </c>
      <c r="AL10" s="117">
        <v>1.5</v>
      </c>
      <c r="AM10" s="117"/>
      <c r="AN10" s="118">
        <f t="shared" si="0"/>
        <v>22.5</v>
      </c>
      <c r="AO10" s="114">
        <v>210000</v>
      </c>
      <c r="AP10" s="119">
        <f t="shared" si="2"/>
        <v>4725000</v>
      </c>
    </row>
    <row r="11" spans="1:42" ht="24.95" customHeight="1">
      <c r="A11" s="120">
        <v>6</v>
      </c>
      <c r="B11" s="112" t="s">
        <v>343</v>
      </c>
      <c r="C11" s="113" t="s">
        <v>344</v>
      </c>
      <c r="D11" s="123" t="s">
        <v>402</v>
      </c>
      <c r="E11" s="113" t="s">
        <v>345</v>
      </c>
      <c r="F11" s="122" t="s">
        <v>346</v>
      </c>
      <c r="G11" s="115" t="s">
        <v>343</v>
      </c>
      <c r="H11" s="116" t="s">
        <v>347</v>
      </c>
      <c r="I11" s="117"/>
      <c r="J11" s="117">
        <v>1</v>
      </c>
      <c r="K11" s="117">
        <v>1</v>
      </c>
      <c r="L11" s="117">
        <v>1</v>
      </c>
      <c r="M11" s="117"/>
      <c r="N11" s="117"/>
      <c r="O11" s="117">
        <v>1</v>
      </c>
      <c r="P11" s="117">
        <v>1</v>
      </c>
      <c r="Q11" s="117">
        <v>1</v>
      </c>
      <c r="R11" s="117">
        <v>1</v>
      </c>
      <c r="S11" s="117">
        <v>1</v>
      </c>
      <c r="T11" s="117"/>
      <c r="U11" s="117"/>
      <c r="V11" s="117">
        <v>0.625</v>
      </c>
      <c r="W11" s="117">
        <v>1</v>
      </c>
      <c r="X11" s="117">
        <v>1</v>
      </c>
      <c r="Y11" s="117">
        <v>1</v>
      </c>
      <c r="Z11" s="117">
        <v>1</v>
      </c>
      <c r="AA11" s="117">
        <v>1</v>
      </c>
      <c r="AB11" s="117"/>
      <c r="AC11" s="117">
        <v>1</v>
      </c>
      <c r="AD11" s="117">
        <v>0.875</v>
      </c>
      <c r="AE11" s="117">
        <v>1</v>
      </c>
      <c r="AF11" s="117"/>
      <c r="AG11" s="117"/>
      <c r="AH11" s="117"/>
      <c r="AI11" s="117"/>
      <c r="AJ11" s="117">
        <v>1.5</v>
      </c>
      <c r="AK11" s="117"/>
      <c r="AL11" s="117">
        <v>0.5</v>
      </c>
      <c r="AM11" s="117"/>
      <c r="AN11" s="118">
        <f t="shared" si="0"/>
        <v>18.5</v>
      </c>
      <c r="AO11" s="114">
        <v>180000</v>
      </c>
      <c r="AP11" s="119">
        <f t="shared" si="2"/>
        <v>3330000</v>
      </c>
    </row>
    <row r="12" spans="1:42" ht="24.95" customHeight="1">
      <c r="A12" s="120">
        <v>7</v>
      </c>
      <c r="B12" s="112" t="s">
        <v>348</v>
      </c>
      <c r="C12" s="113" t="s">
        <v>349</v>
      </c>
      <c r="D12" s="121" t="s">
        <v>324</v>
      </c>
      <c r="E12" s="113" t="s">
        <v>350</v>
      </c>
      <c r="F12" s="122" t="s">
        <v>322</v>
      </c>
      <c r="G12" s="115" t="s">
        <v>348</v>
      </c>
      <c r="H12" s="116" t="s">
        <v>351</v>
      </c>
      <c r="I12" s="117">
        <v>0.75</v>
      </c>
      <c r="J12" s="117">
        <v>1.5</v>
      </c>
      <c r="K12" s="117">
        <v>1.5</v>
      </c>
      <c r="L12" s="117">
        <v>1</v>
      </c>
      <c r="M12" s="117"/>
      <c r="N12" s="117"/>
      <c r="O12" s="117">
        <v>1</v>
      </c>
      <c r="P12" s="117">
        <v>1.5</v>
      </c>
      <c r="Q12" s="117">
        <v>1.5</v>
      </c>
      <c r="R12" s="117">
        <v>1.5</v>
      </c>
      <c r="S12" s="117">
        <v>1</v>
      </c>
      <c r="T12" s="117"/>
      <c r="U12" s="117"/>
      <c r="V12" s="117">
        <v>1.5</v>
      </c>
      <c r="W12" s="117">
        <v>1.5</v>
      </c>
      <c r="X12" s="117">
        <v>1.5</v>
      </c>
      <c r="Y12" s="117">
        <v>1</v>
      </c>
      <c r="Z12" s="117">
        <v>1</v>
      </c>
      <c r="AA12" s="117">
        <v>1</v>
      </c>
      <c r="AB12" s="117"/>
      <c r="AC12" s="117">
        <v>1.5</v>
      </c>
      <c r="AD12" s="117">
        <v>1</v>
      </c>
      <c r="AE12" s="117">
        <v>1</v>
      </c>
      <c r="AF12" s="117"/>
      <c r="AG12" s="117"/>
      <c r="AH12" s="117"/>
      <c r="AI12" s="117"/>
      <c r="AJ12" s="117">
        <v>1.5</v>
      </c>
      <c r="AK12" s="117">
        <v>1.5</v>
      </c>
      <c r="AL12" s="117">
        <v>1.5</v>
      </c>
      <c r="AM12" s="117"/>
      <c r="AN12" s="118">
        <f t="shared" si="0"/>
        <v>26.75</v>
      </c>
      <c r="AO12" s="114">
        <v>220000</v>
      </c>
      <c r="AP12" s="119">
        <f t="shared" si="2"/>
        <v>5885000</v>
      </c>
    </row>
    <row r="13" spans="1:42" ht="24.95" customHeight="1">
      <c r="A13" s="120">
        <v>8</v>
      </c>
      <c r="B13" s="112" t="s">
        <v>352</v>
      </c>
      <c r="C13" s="113" t="s">
        <v>353</v>
      </c>
      <c r="D13" s="123" t="s">
        <v>324</v>
      </c>
      <c r="E13" s="113" t="s">
        <v>354</v>
      </c>
      <c r="F13" s="122" t="s">
        <v>319</v>
      </c>
      <c r="G13" s="115" t="s">
        <v>352</v>
      </c>
      <c r="H13" s="116" t="s">
        <v>355</v>
      </c>
      <c r="I13" s="117">
        <v>1</v>
      </c>
      <c r="J13" s="117">
        <v>1.5</v>
      </c>
      <c r="K13" s="117">
        <v>1.5</v>
      </c>
      <c r="L13" s="117">
        <v>1</v>
      </c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8">
        <f t="shared" si="0"/>
        <v>5</v>
      </c>
      <c r="AO13" s="114">
        <v>230000</v>
      </c>
      <c r="AP13" s="119">
        <f t="shared" si="2"/>
        <v>1150000</v>
      </c>
    </row>
    <row r="14" spans="1:42" ht="24.95" customHeight="1">
      <c r="A14" s="120">
        <v>9</v>
      </c>
      <c r="B14" s="112" t="s">
        <v>356</v>
      </c>
      <c r="C14" s="113" t="s">
        <v>357</v>
      </c>
      <c r="D14" s="123" t="s">
        <v>324</v>
      </c>
      <c r="E14" s="113" t="s">
        <v>358</v>
      </c>
      <c r="F14" s="122" t="s">
        <v>322</v>
      </c>
      <c r="G14" s="115" t="s">
        <v>356</v>
      </c>
      <c r="H14" s="116" t="s">
        <v>359</v>
      </c>
      <c r="I14" s="117">
        <v>1</v>
      </c>
      <c r="J14" s="117">
        <v>1.5</v>
      </c>
      <c r="K14" s="117">
        <v>1.5</v>
      </c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8">
        <f t="shared" si="0"/>
        <v>4</v>
      </c>
      <c r="AO14" s="114">
        <v>200000</v>
      </c>
      <c r="AP14" s="119">
        <f t="shared" si="1"/>
        <v>800000</v>
      </c>
    </row>
    <row r="15" spans="1:42" ht="24.95" customHeight="1">
      <c r="A15" s="120">
        <v>10</v>
      </c>
      <c r="B15" s="112" t="s">
        <v>360</v>
      </c>
      <c r="C15" s="113" t="s">
        <v>361</v>
      </c>
      <c r="D15" s="121" t="s">
        <v>362</v>
      </c>
      <c r="E15" s="113" t="s">
        <v>363</v>
      </c>
      <c r="F15" s="122" t="s">
        <v>321</v>
      </c>
      <c r="G15" s="115" t="s">
        <v>360</v>
      </c>
      <c r="H15" s="116" t="s">
        <v>364</v>
      </c>
      <c r="I15" s="117">
        <v>1</v>
      </c>
      <c r="J15" s="117">
        <v>1.5</v>
      </c>
      <c r="K15" s="117">
        <v>1.5</v>
      </c>
      <c r="L15" s="117">
        <v>1</v>
      </c>
      <c r="M15" s="117"/>
      <c r="N15" s="117"/>
      <c r="O15" s="117">
        <v>1</v>
      </c>
      <c r="P15" s="117">
        <v>1.5</v>
      </c>
      <c r="Q15" s="117">
        <v>1.5</v>
      </c>
      <c r="R15" s="117">
        <v>1.5</v>
      </c>
      <c r="S15" s="117">
        <v>1</v>
      </c>
      <c r="T15" s="117"/>
      <c r="U15" s="117"/>
      <c r="V15" s="117">
        <v>1.5</v>
      </c>
      <c r="W15" s="117">
        <v>1.5</v>
      </c>
      <c r="X15" s="117">
        <v>1.5</v>
      </c>
      <c r="Y15" s="117">
        <v>1</v>
      </c>
      <c r="Z15" s="117">
        <v>1</v>
      </c>
      <c r="AA15" s="117">
        <v>1</v>
      </c>
      <c r="AB15" s="117"/>
      <c r="AC15" s="117">
        <v>1.5</v>
      </c>
      <c r="AD15" s="117">
        <v>1</v>
      </c>
      <c r="AE15" s="117">
        <v>1</v>
      </c>
      <c r="AF15" s="117"/>
      <c r="AG15" s="117"/>
      <c r="AH15" s="117"/>
      <c r="AI15" s="117"/>
      <c r="AJ15" s="117">
        <v>1.5</v>
      </c>
      <c r="AK15" s="117">
        <v>1.5</v>
      </c>
      <c r="AL15" s="117">
        <v>1.5</v>
      </c>
      <c r="AM15" s="117"/>
      <c r="AN15" s="118">
        <f t="shared" si="0"/>
        <v>27</v>
      </c>
      <c r="AO15" s="114">
        <v>240000</v>
      </c>
      <c r="AP15" s="119">
        <f t="shared" si="1"/>
        <v>6480000</v>
      </c>
    </row>
    <row r="16" spans="1:42" ht="24.95" customHeight="1">
      <c r="A16" s="120">
        <v>11</v>
      </c>
      <c r="B16" s="112" t="s">
        <v>365</v>
      </c>
      <c r="C16" s="113" t="s">
        <v>366</v>
      </c>
      <c r="D16" s="121" t="s">
        <v>362</v>
      </c>
      <c r="E16" s="113" t="s">
        <v>367</v>
      </c>
      <c r="F16" s="122" t="s">
        <v>322</v>
      </c>
      <c r="G16" s="115" t="s">
        <v>365</v>
      </c>
      <c r="H16" s="116" t="s">
        <v>408</v>
      </c>
      <c r="I16" s="117">
        <v>1</v>
      </c>
      <c r="J16" s="117"/>
      <c r="K16" s="117">
        <v>1.5</v>
      </c>
      <c r="L16" s="117">
        <v>1</v>
      </c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8">
        <f t="shared" si="0"/>
        <v>3.5</v>
      </c>
      <c r="AO16" s="114">
        <v>240000</v>
      </c>
      <c r="AP16" s="119">
        <f t="shared" si="1"/>
        <v>840000</v>
      </c>
    </row>
    <row r="17" spans="1:42" ht="24.95" customHeight="1">
      <c r="A17" s="120">
        <v>12</v>
      </c>
      <c r="B17" s="112" t="s">
        <v>368</v>
      </c>
      <c r="C17" s="113" t="s">
        <v>369</v>
      </c>
      <c r="D17" s="123" t="s">
        <v>320</v>
      </c>
      <c r="E17" s="113" t="s">
        <v>370</v>
      </c>
      <c r="F17" s="122" t="s">
        <v>323</v>
      </c>
      <c r="G17" s="115" t="s">
        <v>368</v>
      </c>
      <c r="H17" s="116" t="s">
        <v>371</v>
      </c>
      <c r="I17" s="117">
        <v>1</v>
      </c>
      <c r="J17" s="117">
        <v>1.5</v>
      </c>
      <c r="K17" s="117">
        <v>1.5</v>
      </c>
      <c r="L17" s="117">
        <v>1</v>
      </c>
      <c r="M17" s="117"/>
      <c r="N17" s="117"/>
      <c r="O17" s="117">
        <v>1</v>
      </c>
      <c r="P17" s="117">
        <v>1.5</v>
      </c>
      <c r="Q17" s="117">
        <v>1.5</v>
      </c>
      <c r="R17" s="117">
        <v>1.5</v>
      </c>
      <c r="S17" s="117">
        <v>1</v>
      </c>
      <c r="T17" s="117"/>
      <c r="U17" s="117"/>
      <c r="V17" s="117">
        <v>1.5</v>
      </c>
      <c r="W17" s="117">
        <v>1.5</v>
      </c>
      <c r="X17" s="117">
        <v>0.5</v>
      </c>
      <c r="Y17" s="117">
        <v>1</v>
      </c>
      <c r="Z17" s="117">
        <v>1</v>
      </c>
      <c r="AA17" s="117">
        <v>1</v>
      </c>
      <c r="AB17" s="117"/>
      <c r="AC17" s="117">
        <v>1.5</v>
      </c>
      <c r="AD17" s="117">
        <v>1</v>
      </c>
      <c r="AE17" s="117">
        <v>1</v>
      </c>
      <c r="AF17" s="117"/>
      <c r="AG17" s="117"/>
      <c r="AH17" s="117"/>
      <c r="AI17" s="117"/>
      <c r="AJ17" s="117">
        <v>1.5</v>
      </c>
      <c r="AK17" s="117">
        <v>1.5</v>
      </c>
      <c r="AL17" s="117">
        <v>1.375</v>
      </c>
      <c r="AM17" s="117"/>
      <c r="AN17" s="118">
        <f t="shared" si="0"/>
        <v>25.875</v>
      </c>
      <c r="AO17" s="114">
        <v>150000</v>
      </c>
      <c r="AP17" s="119">
        <f t="shared" si="1"/>
        <v>3881250</v>
      </c>
    </row>
    <row r="18" spans="1:42" ht="24.95" customHeight="1">
      <c r="A18" s="120">
        <v>13</v>
      </c>
      <c r="B18" s="112" t="s">
        <v>372</v>
      </c>
      <c r="C18" s="113" t="s">
        <v>373</v>
      </c>
      <c r="D18" s="121" t="s">
        <v>320</v>
      </c>
      <c r="E18" s="113" t="s">
        <v>374</v>
      </c>
      <c r="F18" s="122" t="s">
        <v>321</v>
      </c>
      <c r="G18" s="115" t="s">
        <v>372</v>
      </c>
      <c r="H18" s="116" t="s">
        <v>375</v>
      </c>
      <c r="I18" s="117">
        <v>1</v>
      </c>
      <c r="J18" s="117">
        <v>1.5</v>
      </c>
      <c r="K18" s="117">
        <v>1.5</v>
      </c>
      <c r="L18" s="117">
        <v>0.875</v>
      </c>
      <c r="M18" s="117"/>
      <c r="N18" s="117"/>
      <c r="O18" s="117">
        <v>1</v>
      </c>
      <c r="P18" s="117">
        <v>1.5</v>
      </c>
      <c r="Q18" s="117">
        <v>1</v>
      </c>
      <c r="R18" s="117">
        <v>1</v>
      </c>
      <c r="S18" s="117">
        <v>0.875</v>
      </c>
      <c r="T18" s="117"/>
      <c r="U18" s="117"/>
      <c r="V18" s="117">
        <v>1</v>
      </c>
      <c r="W18" s="117">
        <v>0.875</v>
      </c>
      <c r="X18" s="117">
        <v>1</v>
      </c>
      <c r="Y18" s="117">
        <v>1</v>
      </c>
      <c r="Z18" s="117"/>
      <c r="AA18" s="117"/>
      <c r="AB18" s="117"/>
      <c r="AC18" s="117">
        <v>1</v>
      </c>
      <c r="AD18" s="117">
        <v>1.25</v>
      </c>
      <c r="AE18" s="117">
        <v>1</v>
      </c>
      <c r="AF18" s="117"/>
      <c r="AG18" s="117"/>
      <c r="AH18" s="117"/>
      <c r="AI18" s="117"/>
      <c r="AJ18" s="117">
        <v>1.5</v>
      </c>
      <c r="AK18" s="117">
        <v>1.5</v>
      </c>
      <c r="AL18" s="117">
        <v>1.5</v>
      </c>
      <c r="AM18" s="117"/>
      <c r="AN18" s="118">
        <f t="shared" si="0"/>
        <v>21.875</v>
      </c>
      <c r="AO18" s="114">
        <v>150000</v>
      </c>
      <c r="AP18" s="119">
        <f t="shared" si="1"/>
        <v>3281250</v>
      </c>
    </row>
    <row r="19" spans="1:42" ht="24.95" customHeight="1">
      <c r="A19" s="120">
        <v>14</v>
      </c>
      <c r="B19" s="112" t="s">
        <v>376</v>
      </c>
      <c r="C19" s="113" t="s">
        <v>377</v>
      </c>
      <c r="D19" s="123" t="s">
        <v>320</v>
      </c>
      <c r="E19" s="113" t="s">
        <v>378</v>
      </c>
      <c r="F19" s="122" t="s">
        <v>322</v>
      </c>
      <c r="G19" s="115" t="s">
        <v>376</v>
      </c>
      <c r="H19" s="116" t="s">
        <v>379</v>
      </c>
      <c r="I19" s="117">
        <v>1</v>
      </c>
      <c r="J19" s="117">
        <v>1.5</v>
      </c>
      <c r="K19" s="117">
        <v>1.5</v>
      </c>
      <c r="L19" s="117">
        <v>1</v>
      </c>
      <c r="M19" s="117"/>
      <c r="N19" s="117"/>
      <c r="O19" s="117">
        <v>1</v>
      </c>
      <c r="P19" s="117">
        <v>1.5</v>
      </c>
      <c r="Q19" s="117">
        <v>1.5</v>
      </c>
      <c r="R19" s="117">
        <v>1.5</v>
      </c>
      <c r="S19" s="117">
        <v>1</v>
      </c>
      <c r="T19" s="117"/>
      <c r="U19" s="117"/>
      <c r="V19" s="117">
        <v>1</v>
      </c>
      <c r="W19" s="117">
        <v>1.5</v>
      </c>
      <c r="X19" s="117">
        <v>1.5</v>
      </c>
      <c r="Y19" s="117">
        <v>1</v>
      </c>
      <c r="Z19" s="117">
        <v>1</v>
      </c>
      <c r="AA19" s="117">
        <v>1</v>
      </c>
      <c r="AB19" s="117"/>
      <c r="AC19" s="117">
        <v>1.5</v>
      </c>
      <c r="AD19" s="117">
        <v>1</v>
      </c>
      <c r="AE19" s="117">
        <v>1</v>
      </c>
      <c r="AF19" s="117"/>
      <c r="AG19" s="117"/>
      <c r="AH19" s="117"/>
      <c r="AI19" s="117"/>
      <c r="AJ19" s="117">
        <v>1.5</v>
      </c>
      <c r="AK19" s="117">
        <v>1.5</v>
      </c>
      <c r="AL19" s="117">
        <v>1.5</v>
      </c>
      <c r="AM19" s="117"/>
      <c r="AN19" s="118">
        <f t="shared" si="0"/>
        <v>26.5</v>
      </c>
      <c r="AO19" s="114">
        <v>160000</v>
      </c>
      <c r="AP19" s="119">
        <f t="shared" si="1"/>
        <v>4240000</v>
      </c>
    </row>
    <row r="20" spans="1:42" ht="24.95" customHeight="1">
      <c r="A20" s="120">
        <v>15</v>
      </c>
      <c r="B20" s="112" t="s">
        <v>380</v>
      </c>
      <c r="C20" s="113" t="s">
        <v>381</v>
      </c>
      <c r="D20" s="123" t="s">
        <v>320</v>
      </c>
      <c r="E20" s="113" t="s">
        <v>382</v>
      </c>
      <c r="F20" s="122" t="s">
        <v>321</v>
      </c>
      <c r="G20" s="115" t="s">
        <v>380</v>
      </c>
      <c r="H20" s="116" t="s">
        <v>383</v>
      </c>
      <c r="I20" s="117">
        <v>1</v>
      </c>
      <c r="J20" s="117">
        <v>1.5</v>
      </c>
      <c r="K20" s="117">
        <v>1.5</v>
      </c>
      <c r="L20" s="117">
        <v>1</v>
      </c>
      <c r="M20" s="117"/>
      <c r="N20" s="117"/>
      <c r="O20" s="117">
        <v>1</v>
      </c>
      <c r="P20" s="117">
        <v>1.5</v>
      </c>
      <c r="Q20" s="117">
        <v>1</v>
      </c>
      <c r="R20" s="117">
        <v>1</v>
      </c>
      <c r="S20" s="117">
        <v>1</v>
      </c>
      <c r="T20" s="117"/>
      <c r="U20" s="117"/>
      <c r="V20" s="117">
        <v>1</v>
      </c>
      <c r="W20" s="117">
        <v>1</v>
      </c>
      <c r="X20" s="117">
        <v>1</v>
      </c>
      <c r="Y20" s="117">
        <v>1</v>
      </c>
      <c r="Z20" s="117">
        <v>1</v>
      </c>
      <c r="AA20" s="117">
        <v>1</v>
      </c>
      <c r="AB20" s="117"/>
      <c r="AC20" s="117">
        <v>1</v>
      </c>
      <c r="AD20" s="117">
        <v>1.5</v>
      </c>
      <c r="AE20" s="117">
        <v>1</v>
      </c>
      <c r="AF20" s="117"/>
      <c r="AG20" s="117"/>
      <c r="AH20" s="117"/>
      <c r="AI20" s="117"/>
      <c r="AJ20" s="117">
        <v>1</v>
      </c>
      <c r="AK20" s="117">
        <v>1.5</v>
      </c>
      <c r="AL20" s="117">
        <v>1.5</v>
      </c>
      <c r="AM20" s="117"/>
      <c r="AN20" s="118">
        <f t="shared" si="0"/>
        <v>24</v>
      </c>
      <c r="AO20" s="114">
        <v>200000</v>
      </c>
      <c r="AP20" s="119">
        <f t="shared" ref="AP20:AP27" si="3">AN20*AO20</f>
        <v>4800000</v>
      </c>
    </row>
    <row r="21" spans="1:42" ht="24.95" customHeight="1">
      <c r="A21" s="120">
        <v>16</v>
      </c>
      <c r="B21" s="112" t="s">
        <v>384</v>
      </c>
      <c r="C21" s="113" t="s">
        <v>385</v>
      </c>
      <c r="D21" s="121" t="s">
        <v>320</v>
      </c>
      <c r="E21" s="113" t="s">
        <v>386</v>
      </c>
      <c r="F21" s="122" t="s">
        <v>322</v>
      </c>
      <c r="G21" s="115" t="s">
        <v>384</v>
      </c>
      <c r="H21" s="116" t="s">
        <v>387</v>
      </c>
      <c r="I21" s="117">
        <v>0.75</v>
      </c>
      <c r="J21" s="117">
        <v>1.5</v>
      </c>
      <c r="K21" s="117">
        <v>1.5</v>
      </c>
      <c r="L21" s="117"/>
      <c r="M21" s="117"/>
      <c r="N21" s="117"/>
      <c r="O21" s="117">
        <v>1</v>
      </c>
      <c r="P21" s="117">
        <v>1</v>
      </c>
      <c r="Q21" s="117">
        <v>1.5</v>
      </c>
      <c r="R21" s="117">
        <v>1.5</v>
      </c>
      <c r="S21" s="117">
        <v>1</v>
      </c>
      <c r="T21" s="117"/>
      <c r="U21" s="117"/>
      <c r="V21" s="117">
        <v>1</v>
      </c>
      <c r="W21" s="117">
        <v>1</v>
      </c>
      <c r="X21" s="117">
        <v>1</v>
      </c>
      <c r="Y21" s="117">
        <v>1</v>
      </c>
      <c r="Z21" s="117">
        <v>1</v>
      </c>
      <c r="AA21" s="117"/>
      <c r="AB21" s="117"/>
      <c r="AC21" s="117">
        <v>1</v>
      </c>
      <c r="AD21" s="117">
        <v>1.5</v>
      </c>
      <c r="AE21" s="117">
        <v>1</v>
      </c>
      <c r="AF21" s="117"/>
      <c r="AG21" s="117"/>
      <c r="AH21" s="117"/>
      <c r="AI21" s="117"/>
      <c r="AJ21" s="117">
        <v>1.5</v>
      </c>
      <c r="AK21" s="117">
        <v>1.5</v>
      </c>
      <c r="AL21" s="117">
        <v>1.5</v>
      </c>
      <c r="AM21" s="117"/>
      <c r="AN21" s="118">
        <f t="shared" si="0"/>
        <v>22.75</v>
      </c>
      <c r="AO21" s="114">
        <v>160000</v>
      </c>
      <c r="AP21" s="119">
        <f t="shared" si="3"/>
        <v>3640000</v>
      </c>
    </row>
    <row r="22" spans="1:42" ht="24.95" customHeight="1">
      <c r="A22" s="120">
        <v>17</v>
      </c>
      <c r="B22" s="112" t="s">
        <v>388</v>
      </c>
      <c r="C22" s="113" t="s">
        <v>389</v>
      </c>
      <c r="D22" s="121" t="s">
        <v>320</v>
      </c>
      <c r="E22" s="113" t="s">
        <v>390</v>
      </c>
      <c r="F22" s="122" t="s">
        <v>322</v>
      </c>
      <c r="G22" s="115" t="s">
        <v>388</v>
      </c>
      <c r="H22" s="116" t="s">
        <v>391</v>
      </c>
      <c r="I22" s="117">
        <v>0.75</v>
      </c>
      <c r="J22" s="117">
        <v>1.5</v>
      </c>
      <c r="K22" s="117">
        <v>1.5</v>
      </c>
      <c r="L22" s="117">
        <v>1</v>
      </c>
      <c r="M22" s="117"/>
      <c r="N22" s="117"/>
      <c r="O22" s="117">
        <v>1</v>
      </c>
      <c r="P22" s="117">
        <v>1</v>
      </c>
      <c r="Q22" s="117">
        <v>1.5</v>
      </c>
      <c r="R22" s="117">
        <v>1.5</v>
      </c>
      <c r="S22" s="117">
        <v>1</v>
      </c>
      <c r="T22" s="117"/>
      <c r="U22" s="117"/>
      <c r="V22" s="117">
        <v>1</v>
      </c>
      <c r="W22" s="117">
        <v>1</v>
      </c>
      <c r="X22" s="117">
        <v>1</v>
      </c>
      <c r="Y22" s="117">
        <v>1</v>
      </c>
      <c r="Z22" s="117"/>
      <c r="AA22" s="117"/>
      <c r="AB22" s="117"/>
      <c r="AC22" s="117">
        <v>1</v>
      </c>
      <c r="AD22" s="117">
        <v>1.5</v>
      </c>
      <c r="AE22" s="117">
        <v>1</v>
      </c>
      <c r="AF22" s="117"/>
      <c r="AG22" s="117"/>
      <c r="AH22" s="117"/>
      <c r="AI22" s="117"/>
      <c r="AJ22" s="117">
        <v>1.5</v>
      </c>
      <c r="AK22" s="117">
        <v>1.5</v>
      </c>
      <c r="AL22" s="117">
        <v>1.5</v>
      </c>
      <c r="AM22" s="117"/>
      <c r="AN22" s="118">
        <f t="shared" si="0"/>
        <v>22.75</v>
      </c>
      <c r="AO22" s="114">
        <v>160000</v>
      </c>
      <c r="AP22" s="119">
        <f t="shared" si="3"/>
        <v>3640000</v>
      </c>
    </row>
    <row r="23" spans="1:42" ht="24.95" customHeight="1">
      <c r="A23" s="120">
        <v>18</v>
      </c>
      <c r="B23" s="112" t="s">
        <v>392</v>
      </c>
      <c r="C23" s="113" t="s">
        <v>393</v>
      </c>
      <c r="D23" s="123" t="s">
        <v>320</v>
      </c>
      <c r="E23" s="113" t="s">
        <v>394</v>
      </c>
      <c r="F23" s="122" t="s">
        <v>395</v>
      </c>
      <c r="G23" s="115" t="s">
        <v>392</v>
      </c>
      <c r="H23" s="116" t="s">
        <v>396</v>
      </c>
      <c r="I23" s="117">
        <v>1</v>
      </c>
      <c r="J23" s="117">
        <v>1.5</v>
      </c>
      <c r="K23" s="117">
        <v>1.5</v>
      </c>
      <c r="L23" s="117">
        <v>1</v>
      </c>
      <c r="M23" s="117"/>
      <c r="N23" s="117"/>
      <c r="O23" s="117">
        <v>1</v>
      </c>
      <c r="P23" s="117">
        <v>1</v>
      </c>
      <c r="Q23" s="117">
        <v>1.5</v>
      </c>
      <c r="R23" s="117">
        <v>1.5</v>
      </c>
      <c r="S23" s="117">
        <v>1</v>
      </c>
      <c r="T23" s="117"/>
      <c r="U23" s="117"/>
      <c r="V23" s="117">
        <v>1</v>
      </c>
      <c r="W23" s="117">
        <v>1.5</v>
      </c>
      <c r="X23" s="117">
        <v>1.5</v>
      </c>
      <c r="Y23" s="117">
        <v>1</v>
      </c>
      <c r="Z23" s="117">
        <v>1</v>
      </c>
      <c r="AA23" s="117">
        <v>1</v>
      </c>
      <c r="AB23" s="117"/>
      <c r="AC23" s="117">
        <v>1</v>
      </c>
      <c r="AD23" s="117">
        <v>1.5</v>
      </c>
      <c r="AE23" s="117">
        <v>1</v>
      </c>
      <c r="AF23" s="117"/>
      <c r="AG23" s="117"/>
      <c r="AH23" s="117"/>
      <c r="AI23" s="117"/>
      <c r="AJ23" s="117">
        <v>1.5</v>
      </c>
      <c r="AK23" s="117">
        <v>1.5</v>
      </c>
      <c r="AL23" s="117">
        <v>1.5</v>
      </c>
      <c r="AM23" s="117"/>
      <c r="AN23" s="118">
        <f t="shared" si="0"/>
        <v>26</v>
      </c>
      <c r="AO23" s="114">
        <v>160000</v>
      </c>
      <c r="AP23" s="119">
        <f t="shared" si="3"/>
        <v>4160000</v>
      </c>
    </row>
    <row r="24" spans="1:42" ht="24.95" customHeight="1">
      <c r="A24" s="120">
        <v>19</v>
      </c>
      <c r="B24" s="112" t="s">
        <v>397</v>
      </c>
      <c r="C24" s="113" t="s">
        <v>398</v>
      </c>
      <c r="D24" s="123" t="s">
        <v>324</v>
      </c>
      <c r="E24" s="113" t="s">
        <v>399</v>
      </c>
      <c r="F24" s="122" t="s">
        <v>319</v>
      </c>
      <c r="G24" s="115" t="s">
        <v>397</v>
      </c>
      <c r="H24" s="116" t="s">
        <v>400</v>
      </c>
      <c r="I24" s="117">
        <v>0.75</v>
      </c>
      <c r="J24" s="117">
        <v>1.5</v>
      </c>
      <c r="K24" s="117">
        <v>1.5</v>
      </c>
      <c r="L24" s="117">
        <v>1</v>
      </c>
      <c r="M24" s="117"/>
      <c r="N24" s="117"/>
      <c r="O24" s="117">
        <v>1</v>
      </c>
      <c r="P24" s="117">
        <v>1</v>
      </c>
      <c r="Q24" s="117">
        <v>1.5</v>
      </c>
      <c r="R24" s="117">
        <v>1.5</v>
      </c>
      <c r="S24" s="117"/>
      <c r="T24" s="117"/>
      <c r="U24" s="117"/>
      <c r="V24" s="117">
        <v>1</v>
      </c>
      <c r="W24" s="117">
        <v>1</v>
      </c>
      <c r="X24" s="117">
        <v>1</v>
      </c>
      <c r="Y24" s="117">
        <v>1</v>
      </c>
      <c r="Z24" s="117">
        <v>1</v>
      </c>
      <c r="AA24" s="117">
        <v>1</v>
      </c>
      <c r="AB24" s="117"/>
      <c r="AC24" s="117">
        <v>1</v>
      </c>
      <c r="AD24" s="117">
        <v>1.5</v>
      </c>
      <c r="AE24" s="117">
        <v>1</v>
      </c>
      <c r="AF24" s="117"/>
      <c r="AG24" s="117"/>
      <c r="AH24" s="117"/>
      <c r="AI24" s="117"/>
      <c r="AJ24" s="117">
        <v>1.5</v>
      </c>
      <c r="AK24" s="117">
        <v>1.5</v>
      </c>
      <c r="AL24" s="117">
        <v>1.5</v>
      </c>
      <c r="AM24" s="117"/>
      <c r="AN24" s="118">
        <f t="shared" si="0"/>
        <v>23.75</v>
      </c>
      <c r="AO24" s="114">
        <v>220000</v>
      </c>
      <c r="AP24" s="119">
        <f t="shared" si="3"/>
        <v>5225000</v>
      </c>
    </row>
    <row r="25" spans="1:42" ht="24.95" customHeight="1">
      <c r="A25" s="120">
        <v>20</v>
      </c>
      <c r="B25" s="112" t="s">
        <v>447</v>
      </c>
      <c r="C25" s="113" t="s">
        <v>448</v>
      </c>
      <c r="D25" s="123" t="s">
        <v>324</v>
      </c>
      <c r="E25" s="113" t="s">
        <v>449</v>
      </c>
      <c r="F25" s="122" t="s">
        <v>319</v>
      </c>
      <c r="G25" s="115" t="s">
        <v>447</v>
      </c>
      <c r="H25" s="116" t="s">
        <v>450</v>
      </c>
      <c r="I25" s="117">
        <v>1.125</v>
      </c>
      <c r="J25" s="117">
        <v>1.125</v>
      </c>
      <c r="K25" s="117">
        <v>1</v>
      </c>
      <c r="L25" s="117">
        <v>0.5</v>
      </c>
      <c r="M25" s="117"/>
      <c r="N25" s="117"/>
      <c r="O25" s="117">
        <v>1</v>
      </c>
      <c r="P25" s="117">
        <v>1.5</v>
      </c>
      <c r="Q25" s="117">
        <v>1.5</v>
      </c>
      <c r="R25" s="117">
        <v>1.5</v>
      </c>
      <c r="S25" s="117">
        <v>1</v>
      </c>
      <c r="T25" s="117"/>
      <c r="U25" s="117"/>
      <c r="V25" s="117">
        <v>1</v>
      </c>
      <c r="W25" s="117">
        <v>1</v>
      </c>
      <c r="X25" s="117">
        <v>1</v>
      </c>
      <c r="Y25" s="117">
        <v>1</v>
      </c>
      <c r="Z25" s="117">
        <v>1</v>
      </c>
      <c r="AA25" s="117"/>
      <c r="AB25" s="117"/>
      <c r="AC25" s="117">
        <v>1</v>
      </c>
      <c r="AD25" s="117">
        <v>1</v>
      </c>
      <c r="AE25" s="117">
        <v>1</v>
      </c>
      <c r="AF25" s="117"/>
      <c r="AG25" s="117"/>
      <c r="AH25" s="117"/>
      <c r="AI25" s="117"/>
      <c r="AJ25" s="117">
        <v>1.5</v>
      </c>
      <c r="AK25" s="117">
        <v>1.5</v>
      </c>
      <c r="AL25" s="117">
        <v>1.5</v>
      </c>
      <c r="AM25" s="117"/>
      <c r="AN25" s="118">
        <f t="shared" si="0"/>
        <v>22.75</v>
      </c>
      <c r="AO25" s="114">
        <v>190000</v>
      </c>
      <c r="AP25" s="119">
        <f t="shared" si="3"/>
        <v>4322500</v>
      </c>
    </row>
    <row r="26" spans="1:42" ht="24.95" customHeight="1">
      <c r="A26" s="120">
        <v>21</v>
      </c>
      <c r="B26" s="112" t="s">
        <v>451</v>
      </c>
      <c r="C26" s="113" t="s">
        <v>452</v>
      </c>
      <c r="D26" s="121" t="s">
        <v>320</v>
      </c>
      <c r="E26" s="113" t="s">
        <v>453</v>
      </c>
      <c r="F26" s="122" t="s">
        <v>454</v>
      </c>
      <c r="G26" s="115" t="s">
        <v>451</v>
      </c>
      <c r="H26" s="116" t="s">
        <v>455</v>
      </c>
      <c r="I26" s="117">
        <v>1.125</v>
      </c>
      <c r="J26" s="117">
        <v>1.125</v>
      </c>
      <c r="K26" s="117"/>
      <c r="L26" s="117">
        <v>0.5</v>
      </c>
      <c r="M26" s="117"/>
      <c r="N26" s="117"/>
      <c r="O26" s="117">
        <v>1</v>
      </c>
      <c r="P26" s="117">
        <v>1.5</v>
      </c>
      <c r="Q26" s="117">
        <v>1</v>
      </c>
      <c r="R26" s="117">
        <v>1</v>
      </c>
      <c r="S26" s="117">
        <v>0.875</v>
      </c>
      <c r="T26" s="117"/>
      <c r="U26" s="117"/>
      <c r="V26" s="117">
        <v>1</v>
      </c>
      <c r="W26" s="117">
        <v>1.5</v>
      </c>
      <c r="X26" s="117">
        <v>1.5</v>
      </c>
      <c r="Y26" s="117">
        <v>1</v>
      </c>
      <c r="Z26" s="117">
        <v>1</v>
      </c>
      <c r="AA26" s="117">
        <v>1</v>
      </c>
      <c r="AB26" s="117"/>
      <c r="AC26" s="117">
        <v>1</v>
      </c>
      <c r="AD26" s="117">
        <v>1</v>
      </c>
      <c r="AE26" s="117">
        <v>1</v>
      </c>
      <c r="AF26" s="117"/>
      <c r="AG26" s="117"/>
      <c r="AH26" s="117"/>
      <c r="AI26" s="117"/>
      <c r="AJ26" s="117">
        <v>1.5</v>
      </c>
      <c r="AK26" s="117">
        <v>1.5</v>
      </c>
      <c r="AL26" s="117">
        <v>1.5</v>
      </c>
      <c r="AM26" s="117"/>
      <c r="AN26" s="118">
        <f t="shared" si="0"/>
        <v>22.625</v>
      </c>
      <c r="AO26" s="114">
        <v>170000</v>
      </c>
      <c r="AP26" s="119">
        <f t="shared" si="3"/>
        <v>3846250</v>
      </c>
    </row>
    <row r="27" spans="1:42" ht="24.95" customHeight="1">
      <c r="A27" s="120">
        <v>22</v>
      </c>
      <c r="B27" s="112" t="s">
        <v>456</v>
      </c>
      <c r="C27" s="113" t="s">
        <v>457</v>
      </c>
      <c r="D27" s="123" t="s">
        <v>320</v>
      </c>
      <c r="E27" s="113" t="s">
        <v>458</v>
      </c>
      <c r="F27" s="122" t="s">
        <v>459</v>
      </c>
      <c r="G27" s="115" t="s">
        <v>456</v>
      </c>
      <c r="H27" s="116" t="s">
        <v>460</v>
      </c>
      <c r="I27" s="117">
        <v>1.125</v>
      </c>
      <c r="J27" s="117">
        <v>1.125</v>
      </c>
      <c r="K27" s="117"/>
      <c r="L27" s="117">
        <v>0.5</v>
      </c>
      <c r="M27" s="117"/>
      <c r="N27" s="117"/>
      <c r="O27" s="117">
        <v>1</v>
      </c>
      <c r="P27" s="117">
        <v>1.5</v>
      </c>
      <c r="Q27" s="117">
        <v>1</v>
      </c>
      <c r="R27" s="117">
        <v>1</v>
      </c>
      <c r="S27" s="117">
        <v>1</v>
      </c>
      <c r="T27" s="117"/>
      <c r="U27" s="117"/>
      <c r="V27" s="117">
        <v>1</v>
      </c>
      <c r="W27" s="117">
        <v>1</v>
      </c>
      <c r="X27" s="117">
        <v>1</v>
      </c>
      <c r="Y27" s="117">
        <v>1</v>
      </c>
      <c r="Z27" s="117">
        <v>1</v>
      </c>
      <c r="AA27" s="117">
        <v>1</v>
      </c>
      <c r="AB27" s="117"/>
      <c r="AC27" s="117">
        <v>1</v>
      </c>
      <c r="AD27" s="117">
        <v>1</v>
      </c>
      <c r="AE27" s="117"/>
      <c r="AF27" s="117"/>
      <c r="AG27" s="117"/>
      <c r="AH27" s="117"/>
      <c r="AI27" s="117"/>
      <c r="AJ27" s="117">
        <v>1.5</v>
      </c>
      <c r="AK27" s="117">
        <v>1.5</v>
      </c>
      <c r="AL27" s="117">
        <v>1.5</v>
      </c>
      <c r="AM27" s="117"/>
      <c r="AN27" s="118">
        <f t="shared" si="0"/>
        <v>20.75</v>
      </c>
      <c r="AO27" s="114">
        <v>150000</v>
      </c>
      <c r="AP27" s="119">
        <f t="shared" si="3"/>
        <v>3112500</v>
      </c>
    </row>
    <row r="28" spans="1:42" ht="24.95" customHeight="1">
      <c r="A28" s="120">
        <v>23</v>
      </c>
      <c r="B28" s="112" t="s">
        <v>461</v>
      </c>
      <c r="C28" s="113" t="s">
        <v>462</v>
      </c>
      <c r="D28" s="123" t="s">
        <v>320</v>
      </c>
      <c r="E28" s="113" t="s">
        <v>463</v>
      </c>
      <c r="F28" s="122" t="s">
        <v>321</v>
      </c>
      <c r="G28" s="115" t="s">
        <v>461</v>
      </c>
      <c r="H28" s="116" t="s">
        <v>464</v>
      </c>
      <c r="I28" s="117">
        <v>1.125</v>
      </c>
      <c r="J28" s="117">
        <v>1.125</v>
      </c>
      <c r="K28" s="117"/>
      <c r="L28" s="117"/>
      <c r="M28" s="117"/>
      <c r="N28" s="117"/>
      <c r="O28" s="117">
        <v>0.5</v>
      </c>
      <c r="P28" s="117">
        <v>1.5</v>
      </c>
      <c r="Q28" s="117">
        <v>1</v>
      </c>
      <c r="R28" s="117">
        <v>1</v>
      </c>
      <c r="S28" s="117"/>
      <c r="T28" s="117"/>
      <c r="U28" s="117"/>
      <c r="V28" s="117">
        <v>1</v>
      </c>
      <c r="W28" s="117">
        <v>1</v>
      </c>
      <c r="X28" s="117">
        <v>1</v>
      </c>
      <c r="Y28" s="117">
        <v>1</v>
      </c>
      <c r="Z28" s="117">
        <v>1</v>
      </c>
      <c r="AA28" s="117">
        <v>1</v>
      </c>
      <c r="AB28" s="117"/>
      <c r="AC28" s="117">
        <v>1</v>
      </c>
      <c r="AD28" s="117">
        <v>1</v>
      </c>
      <c r="AE28" s="117">
        <v>1</v>
      </c>
      <c r="AF28" s="117"/>
      <c r="AG28" s="117"/>
      <c r="AH28" s="117"/>
      <c r="AI28" s="117"/>
      <c r="AJ28" s="117">
        <v>1.5</v>
      </c>
      <c r="AK28" s="117">
        <v>1.5</v>
      </c>
      <c r="AL28" s="117">
        <v>1.5</v>
      </c>
      <c r="AM28" s="117"/>
      <c r="AN28" s="118">
        <f t="shared" si="0"/>
        <v>19.75</v>
      </c>
      <c r="AO28" s="114">
        <v>150000</v>
      </c>
      <c r="AP28" s="119">
        <f t="shared" si="1"/>
        <v>2962500</v>
      </c>
    </row>
    <row r="29" spans="1:42" ht="24.95" customHeight="1" thickBot="1">
      <c r="A29" s="120">
        <v>24</v>
      </c>
      <c r="B29" s="112" t="s">
        <v>468</v>
      </c>
      <c r="C29" s="113" t="s">
        <v>465</v>
      </c>
      <c r="D29" s="121" t="s">
        <v>362</v>
      </c>
      <c r="E29" s="113" t="s">
        <v>466</v>
      </c>
      <c r="F29" s="122" t="s">
        <v>321</v>
      </c>
      <c r="G29" s="115" t="s">
        <v>468</v>
      </c>
      <c r="H29" s="116" t="s">
        <v>467</v>
      </c>
      <c r="I29" s="117"/>
      <c r="J29" s="117"/>
      <c r="K29" s="117"/>
      <c r="L29" s="117"/>
      <c r="M29" s="117"/>
      <c r="N29" s="117"/>
      <c r="O29" s="117">
        <v>1.125</v>
      </c>
      <c r="P29" s="117">
        <v>1.125</v>
      </c>
      <c r="Q29" s="117">
        <v>0.5</v>
      </c>
      <c r="R29" s="117">
        <v>0.5</v>
      </c>
      <c r="S29" s="117">
        <v>0.5</v>
      </c>
      <c r="T29" s="117"/>
      <c r="U29" s="117"/>
      <c r="V29" s="117">
        <v>1</v>
      </c>
      <c r="W29" s="117">
        <v>1</v>
      </c>
      <c r="X29" s="117">
        <v>1</v>
      </c>
      <c r="Y29" s="117">
        <v>1</v>
      </c>
      <c r="Z29" s="117">
        <v>1</v>
      </c>
      <c r="AA29" s="117">
        <v>1</v>
      </c>
      <c r="AB29" s="117"/>
      <c r="AC29" s="117">
        <v>1</v>
      </c>
      <c r="AD29" s="117">
        <v>1</v>
      </c>
      <c r="AE29" s="117">
        <v>1</v>
      </c>
      <c r="AF29" s="117"/>
      <c r="AG29" s="117"/>
      <c r="AH29" s="117"/>
      <c r="AI29" s="117"/>
      <c r="AJ29" s="117">
        <v>1.5</v>
      </c>
      <c r="AK29" s="117">
        <v>1.5</v>
      </c>
      <c r="AL29" s="117"/>
      <c r="AM29" s="117"/>
      <c r="AN29" s="118">
        <f t="shared" si="0"/>
        <v>15.75</v>
      </c>
      <c r="AO29" s="114">
        <v>240000</v>
      </c>
      <c r="AP29" s="119">
        <f t="shared" si="1"/>
        <v>3780000</v>
      </c>
    </row>
    <row r="30" spans="1:42" ht="30" customHeight="1" thickBot="1">
      <c r="A30" s="300" t="s">
        <v>218</v>
      </c>
      <c r="B30" s="301"/>
      <c r="C30" s="301"/>
      <c r="D30" s="301"/>
      <c r="E30" s="301"/>
      <c r="F30" s="301"/>
      <c r="G30" s="301"/>
      <c r="H30" s="302"/>
      <c r="I30" s="124">
        <f t="shared" ref="I30:AN30" si="4">SUM(I6:I29)</f>
        <v>21.125</v>
      </c>
      <c r="J30" s="125">
        <f t="shared" si="4"/>
        <v>28.875</v>
      </c>
      <c r="K30" s="125">
        <f t="shared" si="4"/>
        <v>26.625</v>
      </c>
      <c r="L30" s="125">
        <f t="shared" si="4"/>
        <v>17.25</v>
      </c>
      <c r="M30" s="125">
        <f t="shared" si="4"/>
        <v>0</v>
      </c>
      <c r="N30" s="125">
        <f t="shared" si="4"/>
        <v>0</v>
      </c>
      <c r="O30" s="125">
        <f t="shared" si="4"/>
        <v>19.625</v>
      </c>
      <c r="P30" s="125">
        <f t="shared" si="4"/>
        <v>26.125</v>
      </c>
      <c r="Q30" s="125">
        <f t="shared" si="4"/>
        <v>24.625</v>
      </c>
      <c r="R30" s="125">
        <f t="shared" si="4"/>
        <v>24.5</v>
      </c>
      <c r="S30" s="125">
        <f t="shared" si="4"/>
        <v>17.25</v>
      </c>
      <c r="T30" s="125">
        <f t="shared" si="4"/>
        <v>0</v>
      </c>
      <c r="U30" s="125">
        <f t="shared" si="4"/>
        <v>0</v>
      </c>
      <c r="V30" s="125">
        <f t="shared" si="4"/>
        <v>22.125</v>
      </c>
      <c r="W30" s="125">
        <f t="shared" si="4"/>
        <v>23.875</v>
      </c>
      <c r="X30" s="125">
        <f t="shared" si="4"/>
        <v>22.75</v>
      </c>
      <c r="Y30" s="125">
        <f t="shared" si="4"/>
        <v>20.75</v>
      </c>
      <c r="Z30" s="125">
        <f t="shared" si="4"/>
        <v>18.625</v>
      </c>
      <c r="AA30" s="125">
        <f t="shared" si="4"/>
        <v>15.875</v>
      </c>
      <c r="AB30" s="125">
        <f t="shared" si="4"/>
        <v>0</v>
      </c>
      <c r="AC30" s="125">
        <f t="shared" si="4"/>
        <v>23</v>
      </c>
      <c r="AD30" s="125">
        <f t="shared" si="4"/>
        <v>24.125</v>
      </c>
      <c r="AE30" s="125">
        <f t="shared" si="4"/>
        <v>19.875</v>
      </c>
      <c r="AF30" s="125">
        <f t="shared" si="4"/>
        <v>0</v>
      </c>
      <c r="AG30" s="125">
        <f t="shared" si="4"/>
        <v>0</v>
      </c>
      <c r="AH30" s="125">
        <f t="shared" si="4"/>
        <v>0</v>
      </c>
      <c r="AI30" s="125">
        <f t="shared" si="4"/>
        <v>0</v>
      </c>
      <c r="AJ30" s="125">
        <f t="shared" si="4"/>
        <v>31</v>
      </c>
      <c r="AK30" s="125">
        <f t="shared" si="4"/>
        <v>29.75</v>
      </c>
      <c r="AL30" s="125">
        <f t="shared" si="4"/>
        <v>27.375</v>
      </c>
      <c r="AM30" s="126">
        <f t="shared" si="4"/>
        <v>0</v>
      </c>
      <c r="AN30" s="127">
        <f t="shared" si="4"/>
        <v>485.125</v>
      </c>
      <c r="AO30" s="128">
        <f>AP30/AN30</f>
        <v>189268.22983767069</v>
      </c>
      <c r="AP30" s="129">
        <f>SUM(AP6:AP29)</f>
        <v>91818750</v>
      </c>
    </row>
    <row r="31" spans="1:42" ht="24.95" customHeight="1">
      <c r="A31" s="111">
        <v>1</v>
      </c>
      <c r="B31" s="112"/>
      <c r="C31" s="113"/>
      <c r="D31" s="113"/>
      <c r="E31" s="113"/>
      <c r="F31" s="114"/>
      <c r="G31" s="115"/>
      <c r="H31" s="116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8">
        <f>SUM(I31:AM31)</f>
        <v>0</v>
      </c>
      <c r="AO31" s="114"/>
      <c r="AP31" s="119">
        <f>AN31*AO31</f>
        <v>0</v>
      </c>
    </row>
    <row r="32" spans="1:42" ht="24.95" customHeight="1">
      <c r="A32" s="120">
        <v>2</v>
      </c>
      <c r="B32" s="112"/>
      <c r="C32" s="113"/>
      <c r="D32" s="121"/>
      <c r="E32" s="113"/>
      <c r="F32" s="122"/>
      <c r="G32" s="115"/>
      <c r="H32" s="116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8">
        <f t="shared" ref="AN32:AN35" si="5">SUM(I32:AM32)</f>
        <v>0</v>
      </c>
      <c r="AO32" s="114"/>
      <c r="AP32" s="119">
        <f t="shared" ref="AP32:AP35" si="6">AN32*AO32</f>
        <v>0</v>
      </c>
    </row>
    <row r="33" spans="1:42" ht="24.95" customHeight="1">
      <c r="A33" s="120">
        <v>3</v>
      </c>
      <c r="B33" s="112"/>
      <c r="C33" s="113"/>
      <c r="D33" s="123"/>
      <c r="E33" s="113"/>
      <c r="F33" s="122"/>
      <c r="G33" s="115"/>
      <c r="H33" s="116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8">
        <f t="shared" si="5"/>
        <v>0</v>
      </c>
      <c r="AO33" s="114"/>
      <c r="AP33" s="119">
        <f t="shared" si="6"/>
        <v>0</v>
      </c>
    </row>
    <row r="34" spans="1:42" ht="24.95" customHeight="1">
      <c r="A34" s="120">
        <v>4</v>
      </c>
      <c r="B34" s="112"/>
      <c r="C34" s="113"/>
      <c r="D34" s="121"/>
      <c r="E34" s="113"/>
      <c r="F34" s="122"/>
      <c r="G34" s="115"/>
      <c r="H34" s="116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8">
        <f t="shared" si="5"/>
        <v>0</v>
      </c>
      <c r="AO34" s="114"/>
      <c r="AP34" s="119">
        <f t="shared" si="6"/>
        <v>0</v>
      </c>
    </row>
    <row r="35" spans="1:42" ht="24.95" customHeight="1" thickBot="1">
      <c r="A35" s="120">
        <v>5</v>
      </c>
      <c r="B35" s="112"/>
      <c r="C35" s="113"/>
      <c r="D35" s="121"/>
      <c r="E35" s="113"/>
      <c r="F35" s="122"/>
      <c r="G35" s="115"/>
      <c r="H35" s="116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8">
        <f t="shared" si="5"/>
        <v>0</v>
      </c>
      <c r="AO35" s="114"/>
      <c r="AP35" s="119">
        <f t="shared" si="6"/>
        <v>0</v>
      </c>
    </row>
    <row r="36" spans="1:42" ht="30" customHeight="1" thickBot="1">
      <c r="A36" s="300" t="s">
        <v>233</v>
      </c>
      <c r="B36" s="301"/>
      <c r="C36" s="301"/>
      <c r="D36" s="301"/>
      <c r="E36" s="301"/>
      <c r="F36" s="301"/>
      <c r="G36" s="301"/>
      <c r="H36" s="302"/>
      <c r="I36" s="124">
        <f t="shared" ref="I36:AN36" si="7">SUM(I31:I35)</f>
        <v>0</v>
      </c>
      <c r="J36" s="125">
        <f t="shared" si="7"/>
        <v>0</v>
      </c>
      <c r="K36" s="125">
        <f t="shared" si="7"/>
        <v>0</v>
      </c>
      <c r="L36" s="125">
        <f t="shared" si="7"/>
        <v>0</v>
      </c>
      <c r="M36" s="125">
        <f t="shared" si="7"/>
        <v>0</v>
      </c>
      <c r="N36" s="125">
        <f t="shared" si="7"/>
        <v>0</v>
      </c>
      <c r="O36" s="125">
        <f t="shared" si="7"/>
        <v>0</v>
      </c>
      <c r="P36" s="125">
        <f t="shared" si="7"/>
        <v>0</v>
      </c>
      <c r="Q36" s="125">
        <f t="shared" si="7"/>
        <v>0</v>
      </c>
      <c r="R36" s="125">
        <f t="shared" si="7"/>
        <v>0</v>
      </c>
      <c r="S36" s="125">
        <f t="shared" si="7"/>
        <v>0</v>
      </c>
      <c r="T36" s="125">
        <f t="shared" si="7"/>
        <v>0</v>
      </c>
      <c r="U36" s="125">
        <f t="shared" si="7"/>
        <v>0</v>
      </c>
      <c r="V36" s="125">
        <f t="shared" si="7"/>
        <v>0</v>
      </c>
      <c r="W36" s="125">
        <f t="shared" si="7"/>
        <v>0</v>
      </c>
      <c r="X36" s="125">
        <f t="shared" si="7"/>
        <v>0</v>
      </c>
      <c r="Y36" s="125">
        <f t="shared" si="7"/>
        <v>0</v>
      </c>
      <c r="Z36" s="125">
        <f t="shared" si="7"/>
        <v>0</v>
      </c>
      <c r="AA36" s="125">
        <f t="shared" si="7"/>
        <v>0</v>
      </c>
      <c r="AB36" s="125">
        <f t="shared" si="7"/>
        <v>0</v>
      </c>
      <c r="AC36" s="125">
        <f t="shared" si="7"/>
        <v>0</v>
      </c>
      <c r="AD36" s="125">
        <f t="shared" si="7"/>
        <v>0</v>
      </c>
      <c r="AE36" s="125">
        <f t="shared" si="7"/>
        <v>0</v>
      </c>
      <c r="AF36" s="125">
        <f t="shared" si="7"/>
        <v>0</v>
      </c>
      <c r="AG36" s="125">
        <f t="shared" si="7"/>
        <v>0</v>
      </c>
      <c r="AH36" s="125">
        <f t="shared" si="7"/>
        <v>0</v>
      </c>
      <c r="AI36" s="125">
        <f t="shared" si="7"/>
        <v>0</v>
      </c>
      <c r="AJ36" s="125">
        <f t="shared" si="7"/>
        <v>0</v>
      </c>
      <c r="AK36" s="125">
        <f t="shared" si="7"/>
        <v>0</v>
      </c>
      <c r="AL36" s="125">
        <f t="shared" si="7"/>
        <v>0</v>
      </c>
      <c r="AM36" s="126">
        <f t="shared" si="7"/>
        <v>0</v>
      </c>
      <c r="AN36" s="127">
        <f t="shared" si="7"/>
        <v>0</v>
      </c>
      <c r="AO36" s="128"/>
      <c r="AP36" s="129">
        <f>SUM(AP31:AP35)</f>
        <v>0</v>
      </c>
    </row>
    <row r="37" spans="1:42" ht="35.1" customHeight="1" thickBot="1">
      <c r="A37" s="303" t="s">
        <v>234</v>
      </c>
      <c r="B37" s="304"/>
      <c r="C37" s="304"/>
      <c r="D37" s="304"/>
      <c r="E37" s="304"/>
      <c r="F37" s="304"/>
      <c r="G37" s="304"/>
      <c r="H37" s="305"/>
      <c r="I37" s="130">
        <f t="shared" ref="I37:AN37" si="8">I30+I36</f>
        <v>21.125</v>
      </c>
      <c r="J37" s="131">
        <f t="shared" si="8"/>
        <v>28.875</v>
      </c>
      <c r="K37" s="131">
        <f t="shared" si="8"/>
        <v>26.625</v>
      </c>
      <c r="L37" s="131">
        <f t="shared" si="8"/>
        <v>17.25</v>
      </c>
      <c r="M37" s="131">
        <f t="shared" si="8"/>
        <v>0</v>
      </c>
      <c r="N37" s="131">
        <f t="shared" si="8"/>
        <v>0</v>
      </c>
      <c r="O37" s="131">
        <f t="shared" si="8"/>
        <v>19.625</v>
      </c>
      <c r="P37" s="131">
        <f t="shared" si="8"/>
        <v>26.125</v>
      </c>
      <c r="Q37" s="131">
        <f t="shared" si="8"/>
        <v>24.625</v>
      </c>
      <c r="R37" s="131">
        <f t="shared" si="8"/>
        <v>24.5</v>
      </c>
      <c r="S37" s="131">
        <f t="shared" si="8"/>
        <v>17.25</v>
      </c>
      <c r="T37" s="131">
        <f t="shared" si="8"/>
        <v>0</v>
      </c>
      <c r="U37" s="131">
        <f t="shared" si="8"/>
        <v>0</v>
      </c>
      <c r="V37" s="131">
        <f t="shared" si="8"/>
        <v>22.125</v>
      </c>
      <c r="W37" s="131">
        <f t="shared" si="8"/>
        <v>23.875</v>
      </c>
      <c r="X37" s="131">
        <f t="shared" si="8"/>
        <v>22.75</v>
      </c>
      <c r="Y37" s="131">
        <f t="shared" si="8"/>
        <v>20.75</v>
      </c>
      <c r="Z37" s="131">
        <f t="shared" si="8"/>
        <v>18.625</v>
      </c>
      <c r="AA37" s="131">
        <f t="shared" si="8"/>
        <v>15.875</v>
      </c>
      <c r="AB37" s="131">
        <f t="shared" si="8"/>
        <v>0</v>
      </c>
      <c r="AC37" s="131">
        <f t="shared" si="8"/>
        <v>23</v>
      </c>
      <c r="AD37" s="131">
        <f t="shared" si="8"/>
        <v>24.125</v>
      </c>
      <c r="AE37" s="131">
        <f t="shared" si="8"/>
        <v>19.875</v>
      </c>
      <c r="AF37" s="131">
        <f t="shared" si="8"/>
        <v>0</v>
      </c>
      <c r="AG37" s="131">
        <f t="shared" si="8"/>
        <v>0</v>
      </c>
      <c r="AH37" s="131">
        <f t="shared" si="8"/>
        <v>0</v>
      </c>
      <c r="AI37" s="131">
        <f t="shared" si="8"/>
        <v>0</v>
      </c>
      <c r="AJ37" s="131">
        <f t="shared" si="8"/>
        <v>31</v>
      </c>
      <c r="AK37" s="131">
        <f t="shared" si="8"/>
        <v>29.75</v>
      </c>
      <c r="AL37" s="131">
        <f t="shared" si="8"/>
        <v>27.375</v>
      </c>
      <c r="AM37" s="131">
        <f t="shared" si="8"/>
        <v>0</v>
      </c>
      <c r="AN37" s="132">
        <f t="shared" si="8"/>
        <v>485.125</v>
      </c>
      <c r="AO37" s="133">
        <f>AP37/AN37</f>
        <v>189268.22983767069</v>
      </c>
      <c r="AP37" s="134">
        <f>AP30+AP36</f>
        <v>91818750</v>
      </c>
    </row>
    <row r="38" spans="1:42">
      <c r="G38" s="99"/>
      <c r="H38" s="99"/>
      <c r="AG38" s="135"/>
      <c r="AI38" s="136"/>
      <c r="AO38" s="99"/>
    </row>
    <row r="39" spans="1:42">
      <c r="G39" s="99"/>
      <c r="H39" s="99"/>
      <c r="AG39" s="135"/>
      <c r="AI39" s="136"/>
      <c r="AO39" s="99"/>
    </row>
    <row r="40" spans="1:42">
      <c r="G40" s="99"/>
      <c r="H40" s="99"/>
      <c r="AG40" s="135"/>
      <c r="AI40" s="136"/>
      <c r="AO40" s="99"/>
    </row>
    <row r="41" spans="1:42">
      <c r="G41" s="99"/>
      <c r="H41" s="99"/>
      <c r="AG41" s="135"/>
      <c r="AI41" s="136"/>
      <c r="AO41" s="99"/>
    </row>
    <row r="42" spans="1:42">
      <c r="G42" s="99"/>
      <c r="H42" s="99"/>
      <c r="AI42" s="135"/>
      <c r="AM42" s="136"/>
      <c r="AO42" s="99"/>
    </row>
    <row r="43" spans="1:42">
      <c r="G43" s="99"/>
      <c r="H43" s="99"/>
      <c r="AI43" s="135"/>
      <c r="AJ43" s="135"/>
      <c r="AM43" s="136"/>
      <c r="AO43" s="99"/>
    </row>
    <row r="44" spans="1:42">
      <c r="G44" s="99"/>
      <c r="H44" s="99"/>
      <c r="AJ44" s="135"/>
      <c r="AK44" s="135"/>
      <c r="AL44" s="135"/>
      <c r="AO44" s="99"/>
    </row>
    <row r="45" spans="1:42">
      <c r="G45" s="99"/>
      <c r="H45" s="99"/>
      <c r="AJ45" s="135"/>
      <c r="AK45" s="135"/>
      <c r="AL45" s="135"/>
      <c r="AO45" s="99"/>
    </row>
    <row r="46" spans="1:42">
      <c r="G46" s="99"/>
      <c r="H46" s="99"/>
      <c r="AJ46" s="135"/>
      <c r="AK46" s="135"/>
      <c r="AL46" s="135"/>
      <c r="AO46" s="99"/>
    </row>
    <row r="47" spans="1:42">
      <c r="G47" s="99"/>
      <c r="H47" s="99"/>
      <c r="AK47" s="135"/>
      <c r="AL47" s="135"/>
      <c r="AO47" s="99"/>
    </row>
    <row r="48" spans="1:42">
      <c r="C48" s="100"/>
      <c r="D48" s="100"/>
      <c r="E48" s="100"/>
      <c r="G48" s="99"/>
      <c r="H48" s="99"/>
      <c r="AN48" s="136"/>
      <c r="AO48" s="99"/>
    </row>
    <row r="49" spans="3:41">
      <c r="C49" s="100"/>
      <c r="D49" s="100"/>
      <c r="E49" s="100"/>
      <c r="G49" s="99"/>
      <c r="H49" s="99"/>
      <c r="AN49" s="136"/>
      <c r="AO49" s="99"/>
    </row>
    <row r="50" spans="3:41">
      <c r="C50" s="100"/>
      <c r="D50" s="100"/>
      <c r="E50" s="100"/>
      <c r="G50" s="99"/>
      <c r="H50" s="99"/>
      <c r="AN50" s="136"/>
      <c r="AO50" s="99"/>
    </row>
    <row r="51" spans="3:41">
      <c r="C51" s="100"/>
      <c r="D51" s="100"/>
      <c r="E51" s="100"/>
      <c r="G51" s="99"/>
      <c r="H51" s="99"/>
      <c r="AN51" s="136"/>
      <c r="AO51" s="99"/>
    </row>
    <row r="52" spans="3:41">
      <c r="C52" s="100"/>
      <c r="D52" s="100"/>
      <c r="E52" s="100"/>
      <c r="G52" s="99"/>
      <c r="H52" s="99"/>
      <c r="AN52" s="136"/>
      <c r="AO52" s="99"/>
    </row>
    <row r="53" spans="3:41">
      <c r="E53" s="100"/>
      <c r="F53" s="100"/>
      <c r="G53" s="99"/>
      <c r="H53" s="99"/>
      <c r="AO53" s="136"/>
    </row>
    <row r="54" spans="3:41">
      <c r="E54" s="100"/>
      <c r="F54" s="100"/>
      <c r="G54" s="99"/>
      <c r="H54" s="99"/>
      <c r="AO54" s="136"/>
    </row>
    <row r="55" spans="3:41">
      <c r="E55" s="100"/>
      <c r="F55" s="100"/>
      <c r="G55" s="99"/>
      <c r="H55" s="99"/>
      <c r="AO55" s="136"/>
    </row>
    <row r="56" spans="3:41">
      <c r="E56" s="100"/>
      <c r="F56" s="100"/>
      <c r="G56" s="99"/>
      <c r="H56" s="99"/>
      <c r="AO56" s="136"/>
    </row>
    <row r="57" spans="3:41">
      <c r="E57" s="100"/>
      <c r="F57" s="100"/>
      <c r="G57" s="99"/>
      <c r="H57" s="99"/>
      <c r="AO57" s="136"/>
    </row>
    <row r="58" spans="3:41">
      <c r="E58" s="100"/>
      <c r="F58" s="100"/>
      <c r="G58" s="99"/>
      <c r="H58" s="99"/>
      <c r="AO58" s="136"/>
    </row>
    <row r="59" spans="3:41">
      <c r="E59" s="100"/>
      <c r="F59" s="100"/>
      <c r="G59" s="99"/>
      <c r="H59" s="99"/>
      <c r="AO59" s="136"/>
    </row>
    <row r="60" spans="3:41">
      <c r="E60" s="100"/>
      <c r="F60" s="100"/>
      <c r="G60" s="99"/>
      <c r="H60" s="99"/>
      <c r="AO60" s="136"/>
    </row>
    <row r="61" spans="3:41">
      <c r="E61" s="100"/>
      <c r="F61" s="100"/>
      <c r="G61" s="99"/>
      <c r="H61" s="99"/>
      <c r="AO61" s="136"/>
    </row>
    <row r="62" spans="3:41">
      <c r="E62" s="100"/>
      <c r="F62" s="100"/>
      <c r="G62" s="99"/>
      <c r="H62" s="99"/>
      <c r="AO62" s="136"/>
    </row>
    <row r="63" spans="3:41">
      <c r="E63" s="100"/>
      <c r="F63" s="100"/>
      <c r="G63" s="99"/>
      <c r="H63" s="99"/>
      <c r="AO63" s="136"/>
    </row>
    <row r="64" spans="3:41">
      <c r="E64" s="100"/>
      <c r="F64" s="100"/>
      <c r="G64" s="99"/>
      <c r="H64" s="99"/>
      <c r="AO64" s="136"/>
    </row>
    <row r="65" spans="5:42">
      <c r="E65" s="100"/>
      <c r="F65" s="100"/>
      <c r="G65" s="99"/>
      <c r="H65" s="99"/>
      <c r="AO65" s="136"/>
    </row>
    <row r="66" spans="5:42">
      <c r="E66" s="100"/>
      <c r="F66" s="100"/>
      <c r="G66" s="99"/>
      <c r="H66" s="99"/>
      <c r="AO66" s="136"/>
    </row>
    <row r="67" spans="5:42">
      <c r="E67" s="100"/>
      <c r="F67" s="100"/>
      <c r="G67" s="99"/>
      <c r="H67" s="99"/>
      <c r="AO67" s="136"/>
    </row>
    <row r="68" spans="5:42">
      <c r="E68" s="100"/>
      <c r="F68" s="100"/>
      <c r="G68" s="99"/>
      <c r="H68" s="99"/>
      <c r="AO68" s="136"/>
    </row>
    <row r="69" spans="5:42">
      <c r="E69" s="100"/>
      <c r="F69" s="100"/>
      <c r="G69" s="99"/>
      <c r="H69" s="99"/>
      <c r="AO69" s="136"/>
    </row>
    <row r="70" spans="5:42">
      <c r="E70" s="100"/>
      <c r="F70" s="100"/>
      <c r="G70" s="99"/>
      <c r="H70" s="99"/>
      <c r="AO70" s="136"/>
    </row>
    <row r="71" spans="5:42">
      <c r="E71" s="100"/>
      <c r="F71" s="100"/>
      <c r="G71" s="99"/>
      <c r="H71" s="99"/>
      <c r="AO71" s="136"/>
    </row>
    <row r="72" spans="5:42">
      <c r="E72" s="100"/>
      <c r="F72" s="100"/>
      <c r="G72" s="99"/>
      <c r="H72" s="99"/>
      <c r="AO72" s="136"/>
    </row>
    <row r="73" spans="5:42">
      <c r="E73" s="100"/>
      <c r="F73" s="100"/>
      <c r="G73" s="99"/>
      <c r="H73" s="99"/>
      <c r="AO73" s="136"/>
    </row>
    <row r="74" spans="5:42">
      <c r="E74" s="100"/>
      <c r="F74" s="100"/>
      <c r="G74" s="99"/>
      <c r="H74" s="99"/>
      <c r="AO74" s="136"/>
    </row>
    <row r="75" spans="5:42">
      <c r="E75" s="100"/>
      <c r="F75" s="100"/>
      <c r="G75" s="99"/>
      <c r="H75" s="99"/>
      <c r="AO75" s="136"/>
    </row>
    <row r="76" spans="5:42">
      <c r="E76" s="100"/>
      <c r="F76" s="100"/>
      <c r="G76" s="99"/>
      <c r="H76" s="99"/>
      <c r="AO76" s="136"/>
    </row>
    <row r="77" spans="5:42">
      <c r="F77" s="100"/>
      <c r="H77" s="99"/>
      <c r="AN77" s="135"/>
      <c r="AO77" s="99"/>
      <c r="AP77" s="138"/>
    </row>
    <row r="78" spans="5:42">
      <c r="F78" s="100"/>
      <c r="H78" s="99"/>
      <c r="AN78" s="135"/>
      <c r="AO78" s="99"/>
      <c r="AP78" s="138"/>
    </row>
    <row r="79" spans="5:42">
      <c r="F79" s="100"/>
      <c r="H79" s="99"/>
      <c r="AN79" s="135"/>
      <c r="AO79" s="99"/>
      <c r="AP79" s="138"/>
    </row>
    <row r="80" spans="5:42">
      <c r="F80" s="100"/>
      <c r="H80" s="99"/>
      <c r="AN80" s="135"/>
      <c r="AO80" s="99"/>
      <c r="AP80" s="138"/>
    </row>
    <row r="81" spans="6:42">
      <c r="F81" s="100"/>
      <c r="H81" s="99"/>
      <c r="AN81" s="135"/>
      <c r="AO81" s="99"/>
      <c r="AP81" s="138"/>
    </row>
    <row r="82" spans="6:42">
      <c r="F82" s="100"/>
      <c r="H82" s="99"/>
      <c r="AN82" s="135"/>
      <c r="AO82" s="99"/>
      <c r="AP82" s="138"/>
    </row>
    <row r="83" spans="6:42">
      <c r="F83" s="100"/>
      <c r="H83" s="99"/>
      <c r="AN83" s="135"/>
      <c r="AO83" s="99"/>
      <c r="AP83" s="138"/>
    </row>
    <row r="84" spans="6:42">
      <c r="F84" s="100"/>
      <c r="H84" s="99"/>
      <c r="AN84" s="135"/>
      <c r="AO84" s="99"/>
      <c r="AP84" s="138"/>
    </row>
    <row r="85" spans="6:42">
      <c r="F85" s="100"/>
      <c r="H85" s="99"/>
      <c r="AN85" s="135"/>
      <c r="AO85" s="99"/>
      <c r="AP85" s="138"/>
    </row>
    <row r="86" spans="6:42">
      <c r="F86" s="100"/>
      <c r="H86" s="99"/>
      <c r="AN86" s="135"/>
      <c r="AO86" s="99"/>
      <c r="AP86" s="138"/>
    </row>
    <row r="87" spans="6:42">
      <c r="F87" s="100"/>
      <c r="H87" s="99"/>
      <c r="AN87" s="135"/>
      <c r="AO87" s="99"/>
      <c r="AP87" s="138"/>
    </row>
    <row r="88" spans="6:42">
      <c r="F88" s="100"/>
      <c r="H88" s="99"/>
      <c r="AN88" s="135"/>
      <c r="AO88" s="99"/>
      <c r="AP88" s="138"/>
    </row>
    <row r="89" spans="6:42">
      <c r="F89" s="100"/>
      <c r="H89" s="99"/>
      <c r="AN89" s="135"/>
      <c r="AO89" s="99"/>
      <c r="AP89" s="138"/>
    </row>
    <row r="90" spans="6:42">
      <c r="F90" s="100"/>
      <c r="H90" s="99"/>
      <c r="AN90" s="135"/>
      <c r="AO90" s="99"/>
      <c r="AP90" s="138"/>
    </row>
    <row r="91" spans="6:42">
      <c r="F91" s="100"/>
      <c r="H91" s="99"/>
      <c r="AN91" s="135"/>
      <c r="AO91" s="99"/>
      <c r="AP91" s="138"/>
    </row>
    <row r="92" spans="6:42">
      <c r="F92" s="100"/>
      <c r="H92" s="99"/>
      <c r="AN92" s="135"/>
      <c r="AO92" s="99"/>
      <c r="AP92" s="138"/>
    </row>
    <row r="93" spans="6:42">
      <c r="F93" s="100"/>
      <c r="H93" s="99"/>
      <c r="AN93" s="135"/>
      <c r="AO93" s="99"/>
      <c r="AP93" s="138"/>
    </row>
    <row r="94" spans="6:42">
      <c r="F94" s="100"/>
      <c r="H94" s="99"/>
      <c r="AN94" s="135"/>
      <c r="AO94" s="99"/>
      <c r="AP94" s="138"/>
    </row>
    <row r="95" spans="6:42">
      <c r="F95" s="100"/>
      <c r="H95" s="99"/>
      <c r="AN95" s="135"/>
      <c r="AO95" s="99"/>
      <c r="AP95" s="138"/>
    </row>
    <row r="96" spans="6:42">
      <c r="F96" s="100"/>
      <c r="H96" s="99"/>
      <c r="AN96" s="135"/>
      <c r="AO96" s="99"/>
      <c r="AP96" s="138"/>
    </row>
    <row r="97" spans="6:42">
      <c r="F97" s="100"/>
      <c r="H97" s="99"/>
      <c r="AN97" s="135"/>
      <c r="AO97" s="99"/>
      <c r="AP97" s="138"/>
    </row>
    <row r="98" spans="6:42">
      <c r="F98" s="100"/>
      <c r="H98" s="99"/>
      <c r="AN98" s="135"/>
      <c r="AO98" s="99"/>
      <c r="AP98" s="138"/>
    </row>
    <row r="99" spans="6:42">
      <c r="F99" s="100"/>
      <c r="H99" s="99"/>
      <c r="AN99" s="135"/>
      <c r="AO99" s="99"/>
      <c r="AP99" s="138"/>
    </row>
    <row r="100" spans="6:42">
      <c r="F100" s="100"/>
      <c r="H100" s="99"/>
      <c r="AN100" s="135"/>
      <c r="AO100" s="99"/>
      <c r="AP100" s="138"/>
    </row>
    <row r="101" spans="6:42">
      <c r="F101" s="100"/>
      <c r="H101" s="99"/>
      <c r="AN101" s="135"/>
      <c r="AO101" s="99"/>
      <c r="AP101" s="138"/>
    </row>
    <row r="102" spans="6:42">
      <c r="F102" s="100"/>
      <c r="H102" s="99"/>
      <c r="AN102" s="135"/>
      <c r="AO102" s="99"/>
      <c r="AP102" s="138"/>
    </row>
    <row r="103" spans="6:42">
      <c r="F103" s="100"/>
      <c r="H103" s="99"/>
      <c r="AN103" s="135"/>
      <c r="AO103" s="99"/>
      <c r="AP103" s="138"/>
    </row>
    <row r="104" spans="6:42">
      <c r="F104" s="100"/>
      <c r="H104" s="99"/>
      <c r="AN104" s="135"/>
      <c r="AO104" s="99"/>
      <c r="AP104" s="138"/>
    </row>
    <row r="105" spans="6:42">
      <c r="F105" s="100"/>
      <c r="H105" s="99"/>
      <c r="AN105" s="135"/>
      <c r="AO105" s="99"/>
      <c r="AP105" s="138"/>
    </row>
    <row r="106" spans="6:42">
      <c r="F106" s="100"/>
      <c r="H106" s="99"/>
      <c r="AN106" s="135"/>
      <c r="AO106" s="99"/>
      <c r="AP106" s="138"/>
    </row>
    <row r="107" spans="6:42">
      <c r="F107" s="100"/>
      <c r="H107" s="99"/>
      <c r="AN107" s="135"/>
      <c r="AO107" s="99"/>
      <c r="AP107" s="138"/>
    </row>
    <row r="108" spans="6:42">
      <c r="F108" s="100"/>
      <c r="H108" s="99"/>
      <c r="AN108" s="135"/>
      <c r="AO108" s="99"/>
      <c r="AP108" s="138"/>
    </row>
    <row r="109" spans="6:42">
      <c r="F109" s="100"/>
      <c r="H109" s="99"/>
      <c r="AN109" s="135"/>
      <c r="AO109" s="99"/>
      <c r="AP109" s="138"/>
    </row>
    <row r="110" spans="6:42">
      <c r="F110" s="100"/>
      <c r="H110" s="99"/>
      <c r="AN110" s="135"/>
      <c r="AO110" s="99"/>
      <c r="AP110" s="138"/>
    </row>
    <row r="111" spans="6:42">
      <c r="F111" s="100"/>
      <c r="H111" s="99"/>
      <c r="AN111" s="135"/>
      <c r="AO111" s="99"/>
      <c r="AP111" s="138"/>
    </row>
    <row r="112" spans="6:42">
      <c r="F112" s="100"/>
      <c r="H112" s="99"/>
      <c r="AN112" s="135"/>
      <c r="AO112" s="99"/>
      <c r="AP112" s="138"/>
    </row>
    <row r="113" spans="6:42">
      <c r="F113" s="100"/>
      <c r="H113" s="99"/>
      <c r="AN113" s="135"/>
      <c r="AO113" s="99"/>
      <c r="AP113" s="138"/>
    </row>
    <row r="114" spans="6:42">
      <c r="F114" s="100"/>
      <c r="H114" s="99"/>
      <c r="AN114" s="135"/>
      <c r="AO114" s="99"/>
      <c r="AP114" s="138"/>
    </row>
    <row r="115" spans="6:42">
      <c r="F115" s="100"/>
      <c r="H115" s="99"/>
      <c r="AN115" s="135"/>
      <c r="AO115" s="99"/>
      <c r="AP115" s="138"/>
    </row>
    <row r="116" spans="6:42">
      <c r="F116" s="100"/>
      <c r="H116" s="99"/>
      <c r="AN116" s="135"/>
      <c r="AO116" s="99"/>
      <c r="AP116" s="138"/>
    </row>
    <row r="117" spans="6:42">
      <c r="F117" s="100"/>
      <c r="H117" s="99"/>
      <c r="AN117" s="135"/>
      <c r="AO117" s="99"/>
      <c r="AP117" s="138"/>
    </row>
    <row r="118" spans="6:42">
      <c r="F118" s="100"/>
      <c r="H118" s="99"/>
      <c r="AN118" s="135"/>
      <c r="AO118" s="99"/>
      <c r="AP118" s="138"/>
    </row>
  </sheetData>
  <mergeCells count="10">
    <mergeCell ref="AM1:AP1"/>
    <mergeCell ref="AH2:AL2"/>
    <mergeCell ref="AM2:AP2"/>
    <mergeCell ref="AH3:AL3"/>
    <mergeCell ref="AM3:AP3"/>
    <mergeCell ref="A30:H30"/>
    <mergeCell ref="A36:H36"/>
    <mergeCell ref="A37:H37"/>
    <mergeCell ref="A1:AG3"/>
    <mergeCell ref="AH1:AL1"/>
  </mergeCells>
  <phoneticPr fontId="3" type="noConversion"/>
  <conditionalFormatting sqref="B6:B29">
    <cfRule type="duplicateValues" dxfId="56" priority="401"/>
  </conditionalFormatting>
  <conditionalFormatting sqref="B31:B35">
    <cfRule type="duplicateValues" dxfId="55" priority="105"/>
  </conditionalFormatting>
  <conditionalFormatting sqref="B38:B1048576 B1:B5">
    <cfRule type="duplicateValues" dxfId="54" priority="33"/>
  </conditionalFormatting>
  <conditionalFormatting sqref="B6:C29">
    <cfRule type="duplicateValues" dxfId="53" priority="403"/>
  </conditionalFormatting>
  <conditionalFormatting sqref="B31:C35">
    <cfRule type="duplicateValues" dxfId="52" priority="107"/>
  </conditionalFormatting>
  <conditionalFormatting sqref="B38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29 E6:E29">
    <cfRule type="duplicateValues" dxfId="47" priority="405"/>
  </conditionalFormatting>
  <conditionalFormatting sqref="C6:C29">
    <cfRule type="duplicateValues" dxfId="46" priority="407"/>
    <cfRule type="duplicateValues" dxfId="45" priority="408"/>
    <cfRule type="duplicateValues" dxfId="44" priority="409"/>
  </conditionalFormatting>
  <conditionalFormatting sqref="C31:C35 E31:E35">
    <cfRule type="duplicateValues" dxfId="43" priority="109"/>
  </conditionalFormatting>
  <conditionalFormatting sqref="C31:C35">
    <cfRule type="duplicateValues" dxfId="42" priority="111"/>
    <cfRule type="duplicateValues" dxfId="41" priority="112"/>
    <cfRule type="duplicateValues" dxfId="40" priority="113"/>
  </conditionalFormatting>
  <conditionalFormatting sqref="C38:C1048576 C1:C5">
    <cfRule type="duplicateValues" dxfId="39" priority="34"/>
  </conditionalFormatting>
  <conditionalFormatting sqref="C38:C1048576 C4">
    <cfRule type="duplicateValues" dxfId="38" priority="49"/>
  </conditionalFormatting>
  <conditionalFormatting sqref="C38:C1048576 C4:C5">
    <cfRule type="duplicateValues" dxfId="37" priority="39"/>
    <cfRule type="duplicateValues" dxfId="36" priority="42"/>
    <cfRule type="duplicateValues" dxfId="35" priority="47"/>
  </conditionalFormatting>
  <conditionalFormatting sqref="C38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29">
    <cfRule type="duplicateValues" dxfId="31" priority="416"/>
    <cfRule type="duplicateValues" dxfId="30" priority="417"/>
    <cfRule type="duplicateValues" dxfId="29" priority="418"/>
  </conditionalFormatting>
  <conditionalFormatting sqref="E31:E35">
    <cfRule type="duplicateValues" dxfId="28" priority="119"/>
    <cfRule type="duplicateValues" dxfId="27" priority="120"/>
    <cfRule type="duplicateValues" dxfId="26" priority="121"/>
  </conditionalFormatting>
  <conditionalFormatting sqref="E38:E1048576 C4:C5 E4:E5 C38:C1048576">
    <cfRule type="duplicateValues" dxfId="25" priority="44"/>
  </conditionalFormatting>
  <conditionalFormatting sqref="E38:E1048576 E1:E5">
    <cfRule type="duplicateValues" dxfId="24" priority="36"/>
  </conditionalFormatting>
  <conditionalFormatting sqref="E38:E1048576 E4:E5">
    <cfRule type="duplicateValues" dxfId="23" priority="38"/>
    <cfRule type="duplicateValues" dxfId="22" priority="41"/>
    <cfRule type="duplicateValues" dxfId="21" priority="46"/>
  </conditionalFormatting>
  <conditionalFormatting sqref="G6:H29">
    <cfRule type="duplicateValues" dxfId="20" priority="426"/>
  </conditionalFormatting>
  <conditionalFormatting sqref="G31:H35">
    <cfRule type="duplicateValues" dxfId="19" priority="129"/>
  </conditionalFormatting>
  <conditionalFormatting sqref="G38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29">
    <cfRule type="duplicateValues" dxfId="15" priority="428"/>
    <cfRule type="duplicateValues" dxfId="14" priority="429"/>
    <cfRule type="duplicateValues" dxfId="13" priority="430"/>
    <cfRule type="duplicateValues" dxfId="12" priority="431"/>
    <cfRule type="duplicateValues" dxfId="11" priority="432"/>
    <cfRule type="duplicateValues" dxfId="10" priority="433"/>
  </conditionalFormatting>
  <conditionalFormatting sqref="H31:H35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38:H1048576 H4">
    <cfRule type="duplicateValues" dxfId="3" priority="48"/>
  </conditionalFormatting>
  <conditionalFormatting sqref="H38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3" fitToHeight="0" orientation="landscape" r:id="rId1"/>
  <headerFooter>
    <oddFooter>&amp;C&amp;P/&amp;N</oddFooter>
  </headerFooter>
  <rowBreaks count="1" manualBreakCount="1">
    <brk id="30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5"/>
  <sheetViews>
    <sheetView view="pageBreakPreview" zoomScale="70" zoomScaleNormal="70" zoomScaleSheetLayoutView="70" workbookViewId="0">
      <pane ySplit="4" topLeftCell="A30" activePane="bottomLeft" state="frozen"/>
      <selection activeCell="B27" sqref="B27"/>
      <selection pane="bottomLeft" activeCell="I57" sqref="I57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customWidth="1"/>
    <col min="7" max="7" width="17.625" customWidth="1"/>
    <col min="8" max="8" width="14.125" customWidth="1"/>
    <col min="9" max="9" width="17.625" customWidth="1"/>
    <col min="10" max="10" width="11.625" customWidth="1"/>
    <col min="11" max="11" width="17.625" customWidth="1"/>
    <col min="12" max="12" width="14.25" customWidth="1"/>
    <col min="13" max="13" width="17.625" customWidth="1"/>
    <col min="15" max="15" width="12.375" bestFit="1" customWidth="1"/>
  </cols>
  <sheetData>
    <row r="1" spans="1:16" ht="37.5">
      <c r="A1" s="324" t="s">
        <v>469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</row>
    <row r="2" spans="1:16" ht="17.25">
      <c r="A2" s="91" t="str">
        <f>'용역청구서 표지'!A7:A7</f>
        <v>P5 Ph1 GAS 1공구_SUP</v>
      </c>
      <c r="M2" s="41" t="s">
        <v>165</v>
      </c>
    </row>
    <row r="3" spans="1:16" ht="27.95" customHeight="1">
      <c r="A3" s="325" t="s">
        <v>166</v>
      </c>
      <c r="B3" s="325" t="s">
        <v>167</v>
      </c>
      <c r="C3" s="325" t="s">
        <v>168</v>
      </c>
      <c r="D3" s="326" t="s">
        <v>169</v>
      </c>
      <c r="E3" s="325" t="s">
        <v>170</v>
      </c>
      <c r="F3" s="325" t="s">
        <v>171</v>
      </c>
      <c r="G3" s="325"/>
      <c r="H3" s="325" t="s">
        <v>172</v>
      </c>
      <c r="I3" s="325"/>
      <c r="J3" s="325" t="s">
        <v>173</v>
      </c>
      <c r="K3" s="325"/>
      <c r="L3" s="325" t="s">
        <v>174</v>
      </c>
      <c r="M3" s="325"/>
    </row>
    <row r="4" spans="1:16" ht="27.95" customHeight="1">
      <c r="A4" s="325"/>
      <c r="B4" s="325"/>
      <c r="C4" s="325"/>
      <c r="D4" s="326"/>
      <c r="E4" s="325"/>
      <c r="F4" s="92" t="s">
        <v>175</v>
      </c>
      <c r="G4" s="92" t="s">
        <v>176</v>
      </c>
      <c r="H4" s="92" t="s">
        <v>175</v>
      </c>
      <c r="I4" s="92" t="s">
        <v>176</v>
      </c>
      <c r="J4" s="92" t="s">
        <v>175</v>
      </c>
      <c r="K4" s="92" t="s">
        <v>177</v>
      </c>
      <c r="L4" s="92" t="s">
        <v>175</v>
      </c>
      <c r="M4" s="92" t="s">
        <v>177</v>
      </c>
    </row>
    <row r="5" spans="1:16" ht="27.95" customHeight="1">
      <c r="A5" s="93" t="s">
        <v>178</v>
      </c>
      <c r="B5" s="37" t="s">
        <v>179</v>
      </c>
      <c r="C5" s="37" t="s">
        <v>180</v>
      </c>
      <c r="D5" s="94">
        <v>0</v>
      </c>
      <c r="E5" s="95">
        <v>0</v>
      </c>
      <c r="F5" s="98">
        <f>L5</f>
        <v>0</v>
      </c>
      <c r="G5" s="96">
        <f>M5</f>
        <v>0</v>
      </c>
      <c r="H5" s="98">
        <v>0</v>
      </c>
      <c r="I5" s="93">
        <v>0</v>
      </c>
      <c r="J5" s="98">
        <f>$D5*'DIA-INCH'!$C5</f>
        <v>0</v>
      </c>
      <c r="K5" s="96">
        <f>$E5*$J5</f>
        <v>0</v>
      </c>
      <c r="L5" s="98">
        <f>H5+J5</f>
        <v>0</v>
      </c>
      <c r="M5" s="96">
        <f>I5+K5</f>
        <v>0</v>
      </c>
    </row>
    <row r="6" spans="1:16" ht="27.95" customHeight="1">
      <c r="A6" s="93" t="s">
        <v>181</v>
      </c>
      <c r="B6" s="37" t="s">
        <v>182</v>
      </c>
      <c r="C6" s="37" t="s">
        <v>183</v>
      </c>
      <c r="D6" s="94">
        <v>0</v>
      </c>
      <c r="E6" s="95">
        <v>0</v>
      </c>
      <c r="F6" s="98">
        <f t="shared" ref="F6:G50" si="0">L6</f>
        <v>0</v>
      </c>
      <c r="G6" s="96">
        <f t="shared" si="0"/>
        <v>0</v>
      </c>
      <c r="H6" s="98">
        <v>0</v>
      </c>
      <c r="I6" s="93">
        <v>0</v>
      </c>
      <c r="J6" s="98">
        <f>$D6*'DIA-INCH'!$C6</f>
        <v>0</v>
      </c>
      <c r="K6" s="96">
        <f t="shared" ref="K6:K27" si="1">$E6*$J6</f>
        <v>0</v>
      </c>
      <c r="L6" s="98">
        <f t="shared" ref="L6:M50" si="2">H6+J6</f>
        <v>0</v>
      </c>
      <c r="M6" s="96">
        <f t="shared" si="2"/>
        <v>0</v>
      </c>
    </row>
    <row r="7" spans="1:16" ht="27.95" customHeight="1">
      <c r="A7" s="93" t="s">
        <v>178</v>
      </c>
      <c r="B7" s="37" t="s">
        <v>184</v>
      </c>
      <c r="C7" s="37" t="s">
        <v>180</v>
      </c>
      <c r="D7" s="94">
        <v>0</v>
      </c>
      <c r="E7" s="95">
        <v>0</v>
      </c>
      <c r="F7" s="98">
        <f t="shared" si="0"/>
        <v>0</v>
      </c>
      <c r="G7" s="96">
        <f t="shared" si="0"/>
        <v>0</v>
      </c>
      <c r="H7" s="98">
        <v>0</v>
      </c>
      <c r="I7" s="93">
        <v>0</v>
      </c>
      <c r="J7" s="98">
        <f>$D7*'DIA-INCH'!$C7</f>
        <v>0</v>
      </c>
      <c r="K7" s="96">
        <f t="shared" si="1"/>
        <v>0</v>
      </c>
      <c r="L7" s="98">
        <f t="shared" si="2"/>
        <v>0</v>
      </c>
      <c r="M7" s="96">
        <f t="shared" si="2"/>
        <v>0</v>
      </c>
    </row>
    <row r="8" spans="1:16" ht="27.95" customHeight="1">
      <c r="A8" s="93" t="s">
        <v>178</v>
      </c>
      <c r="B8" s="37" t="s">
        <v>185</v>
      </c>
      <c r="C8" s="37" t="s">
        <v>180</v>
      </c>
      <c r="D8" s="94">
        <v>0</v>
      </c>
      <c r="E8" s="95">
        <v>0</v>
      </c>
      <c r="F8" s="98">
        <f>L8</f>
        <v>0</v>
      </c>
      <c r="G8" s="96">
        <f t="shared" si="0"/>
        <v>0</v>
      </c>
      <c r="H8" s="98">
        <v>0</v>
      </c>
      <c r="I8" s="93">
        <v>0</v>
      </c>
      <c r="J8" s="98">
        <f>$D8*'DIA-INCH'!$C8</f>
        <v>0</v>
      </c>
      <c r="K8" s="96">
        <f t="shared" si="1"/>
        <v>0</v>
      </c>
      <c r="L8" s="98">
        <f t="shared" si="2"/>
        <v>0</v>
      </c>
      <c r="M8" s="96">
        <f t="shared" si="2"/>
        <v>0</v>
      </c>
      <c r="O8" s="171"/>
      <c r="P8" s="179"/>
    </row>
    <row r="9" spans="1:16" ht="27.95" customHeight="1">
      <c r="A9" s="93" t="s">
        <v>178</v>
      </c>
      <c r="B9" s="37" t="s">
        <v>186</v>
      </c>
      <c r="C9" s="37" t="s">
        <v>180</v>
      </c>
      <c r="D9" s="94">
        <v>0</v>
      </c>
      <c r="E9" s="95">
        <v>0</v>
      </c>
      <c r="F9" s="98">
        <f t="shared" si="0"/>
        <v>0</v>
      </c>
      <c r="G9" s="96">
        <f t="shared" si="0"/>
        <v>0</v>
      </c>
      <c r="H9" s="98">
        <v>0</v>
      </c>
      <c r="I9" s="93">
        <v>0</v>
      </c>
      <c r="J9" s="98">
        <f>$D9*'DIA-INCH'!$C9</f>
        <v>0</v>
      </c>
      <c r="K9" s="96">
        <f t="shared" si="1"/>
        <v>0</v>
      </c>
      <c r="L9" s="98">
        <f t="shared" si="2"/>
        <v>0</v>
      </c>
      <c r="M9" s="96">
        <f t="shared" si="2"/>
        <v>0</v>
      </c>
      <c r="P9" s="179"/>
    </row>
    <row r="10" spans="1:16" ht="27.95" customHeight="1">
      <c r="A10" s="93" t="s">
        <v>178</v>
      </c>
      <c r="B10" s="37" t="s">
        <v>187</v>
      </c>
      <c r="C10" s="37" t="s">
        <v>183</v>
      </c>
      <c r="D10" s="94">
        <v>0</v>
      </c>
      <c r="E10" s="95">
        <v>0</v>
      </c>
      <c r="F10" s="98">
        <f t="shared" si="0"/>
        <v>0</v>
      </c>
      <c r="G10" s="96">
        <f t="shared" si="0"/>
        <v>0</v>
      </c>
      <c r="H10" s="98">
        <v>0</v>
      </c>
      <c r="I10" s="93">
        <v>0</v>
      </c>
      <c r="J10" s="98">
        <f>$D10*'DIA-INCH'!$C10</f>
        <v>0</v>
      </c>
      <c r="K10" s="96">
        <f t="shared" si="1"/>
        <v>0</v>
      </c>
      <c r="L10" s="98">
        <f t="shared" si="2"/>
        <v>0</v>
      </c>
      <c r="M10" s="96">
        <f t="shared" si="2"/>
        <v>0</v>
      </c>
      <c r="P10" s="179"/>
    </row>
    <row r="11" spans="1:16" ht="27.95" customHeight="1">
      <c r="A11" s="93" t="s">
        <v>178</v>
      </c>
      <c r="B11" s="37" t="s">
        <v>188</v>
      </c>
      <c r="C11" s="37" t="s">
        <v>183</v>
      </c>
      <c r="D11" s="94">
        <v>0</v>
      </c>
      <c r="E11" s="95">
        <v>0</v>
      </c>
      <c r="F11" s="98">
        <f t="shared" si="0"/>
        <v>0</v>
      </c>
      <c r="G11" s="96">
        <f t="shared" si="0"/>
        <v>0</v>
      </c>
      <c r="H11" s="98">
        <v>0</v>
      </c>
      <c r="I11" s="93">
        <v>0</v>
      </c>
      <c r="J11" s="98">
        <f>$D11*'DIA-INCH'!$C11</f>
        <v>0</v>
      </c>
      <c r="K11" s="96">
        <f t="shared" si="1"/>
        <v>0</v>
      </c>
      <c r="L11" s="98">
        <f t="shared" si="2"/>
        <v>0</v>
      </c>
      <c r="M11" s="96">
        <f t="shared" si="2"/>
        <v>0</v>
      </c>
      <c r="P11" s="179"/>
    </row>
    <row r="12" spans="1:16" ht="27.95" customHeight="1">
      <c r="A12" s="93" t="s">
        <v>181</v>
      </c>
      <c r="B12" s="37" t="s">
        <v>189</v>
      </c>
      <c r="C12" s="37" t="s">
        <v>180</v>
      </c>
      <c r="D12" s="94">
        <v>0</v>
      </c>
      <c r="E12" s="95">
        <v>0</v>
      </c>
      <c r="F12" s="98">
        <f t="shared" si="0"/>
        <v>0</v>
      </c>
      <c r="G12" s="96">
        <f t="shared" si="0"/>
        <v>0</v>
      </c>
      <c r="H12" s="98">
        <v>0</v>
      </c>
      <c r="I12" s="93">
        <v>0</v>
      </c>
      <c r="J12" s="98">
        <f>$D12*'DIA-INCH'!$C12</f>
        <v>0</v>
      </c>
      <c r="K12" s="96">
        <f t="shared" si="1"/>
        <v>0</v>
      </c>
      <c r="L12" s="98">
        <f t="shared" si="2"/>
        <v>0</v>
      </c>
      <c r="M12" s="96">
        <f t="shared" si="2"/>
        <v>0</v>
      </c>
      <c r="P12" s="179"/>
    </row>
    <row r="13" spans="1:16" ht="27.95" customHeight="1">
      <c r="A13" s="93" t="s">
        <v>178</v>
      </c>
      <c r="B13" s="37" t="s">
        <v>190</v>
      </c>
      <c r="C13" s="37" t="s">
        <v>180</v>
      </c>
      <c r="D13" s="94">
        <v>26</v>
      </c>
      <c r="E13" s="95">
        <v>0</v>
      </c>
      <c r="F13" s="98">
        <f t="shared" si="0"/>
        <v>96</v>
      </c>
      <c r="G13" s="96">
        <f t="shared" si="0"/>
        <v>0</v>
      </c>
      <c r="H13" s="98">
        <v>18</v>
      </c>
      <c r="I13" s="93">
        <v>0</v>
      </c>
      <c r="J13" s="98">
        <f>$D13*'DIA-INCH'!$C13</f>
        <v>78</v>
      </c>
      <c r="K13" s="96">
        <f t="shared" si="1"/>
        <v>0</v>
      </c>
      <c r="L13" s="98">
        <f t="shared" si="2"/>
        <v>96</v>
      </c>
      <c r="M13" s="96">
        <f t="shared" si="2"/>
        <v>0</v>
      </c>
      <c r="P13" s="179"/>
    </row>
    <row r="14" spans="1:16" ht="27.95" customHeight="1">
      <c r="A14" s="93" t="s">
        <v>191</v>
      </c>
      <c r="B14" s="37" t="s">
        <v>192</v>
      </c>
      <c r="C14" s="37" t="s">
        <v>180</v>
      </c>
      <c r="D14" s="94">
        <v>0</v>
      </c>
      <c r="E14" s="95">
        <v>0</v>
      </c>
      <c r="F14" s="98">
        <f t="shared" si="0"/>
        <v>0</v>
      </c>
      <c r="G14" s="96">
        <f t="shared" si="0"/>
        <v>0</v>
      </c>
      <c r="H14" s="98">
        <v>0</v>
      </c>
      <c r="I14" s="93">
        <v>0</v>
      </c>
      <c r="J14" s="98">
        <f>$D14*'DIA-INCH'!$C14</f>
        <v>0</v>
      </c>
      <c r="K14" s="96">
        <f t="shared" si="1"/>
        <v>0</v>
      </c>
      <c r="L14" s="98">
        <f t="shared" si="2"/>
        <v>0</v>
      </c>
      <c r="M14" s="96">
        <f t="shared" si="2"/>
        <v>0</v>
      </c>
      <c r="P14" s="179"/>
    </row>
    <row r="15" spans="1:16" ht="27.95" customHeight="1">
      <c r="A15" s="93" t="s">
        <v>178</v>
      </c>
      <c r="B15" s="37" t="s">
        <v>193</v>
      </c>
      <c r="C15" s="37" t="s">
        <v>183</v>
      </c>
      <c r="D15" s="94">
        <v>0</v>
      </c>
      <c r="E15" s="95">
        <v>0</v>
      </c>
      <c r="F15" s="98">
        <f t="shared" si="0"/>
        <v>0</v>
      </c>
      <c r="G15" s="96">
        <f t="shared" si="0"/>
        <v>0</v>
      </c>
      <c r="H15" s="98">
        <v>0</v>
      </c>
      <c r="I15" s="93">
        <v>0</v>
      </c>
      <c r="J15" s="98">
        <f>$D15*'DIA-INCH'!$C15</f>
        <v>0</v>
      </c>
      <c r="K15" s="96">
        <f t="shared" si="1"/>
        <v>0</v>
      </c>
      <c r="L15" s="98">
        <f t="shared" si="2"/>
        <v>0</v>
      </c>
      <c r="M15" s="96">
        <f t="shared" si="2"/>
        <v>0</v>
      </c>
      <c r="P15" s="179"/>
    </row>
    <row r="16" spans="1:16" ht="27.95" customHeight="1">
      <c r="A16" s="93" t="s">
        <v>181</v>
      </c>
      <c r="B16" s="37" t="s">
        <v>194</v>
      </c>
      <c r="C16" s="37" t="s">
        <v>180</v>
      </c>
      <c r="D16" s="94">
        <v>0</v>
      </c>
      <c r="E16" s="95">
        <v>0</v>
      </c>
      <c r="F16" s="98">
        <f t="shared" si="0"/>
        <v>0</v>
      </c>
      <c r="G16" s="96">
        <f t="shared" si="0"/>
        <v>0</v>
      </c>
      <c r="H16" s="98">
        <v>0</v>
      </c>
      <c r="I16" s="93">
        <v>0</v>
      </c>
      <c r="J16" s="98">
        <f>$D16*'DIA-INCH'!$C16</f>
        <v>0</v>
      </c>
      <c r="K16" s="96">
        <f t="shared" si="1"/>
        <v>0</v>
      </c>
      <c r="L16" s="98">
        <f t="shared" si="2"/>
        <v>0</v>
      </c>
      <c r="M16" s="96">
        <f t="shared" si="2"/>
        <v>0</v>
      </c>
      <c r="P16" s="179"/>
    </row>
    <row r="17" spans="1:16" ht="27.95" customHeight="1">
      <c r="A17" s="93" t="s">
        <v>181</v>
      </c>
      <c r="B17" s="37" t="s">
        <v>195</v>
      </c>
      <c r="C17" s="37" t="s">
        <v>180</v>
      </c>
      <c r="D17" s="94">
        <v>29</v>
      </c>
      <c r="E17" s="95">
        <v>0</v>
      </c>
      <c r="F17" s="98">
        <f t="shared" si="0"/>
        <v>210</v>
      </c>
      <c r="G17" s="96">
        <f t="shared" si="0"/>
        <v>0</v>
      </c>
      <c r="H17" s="98">
        <v>36</v>
      </c>
      <c r="I17" s="93">
        <v>0</v>
      </c>
      <c r="J17" s="98">
        <f>$D17*'DIA-INCH'!$C17</f>
        <v>174</v>
      </c>
      <c r="K17" s="96">
        <f t="shared" si="1"/>
        <v>0</v>
      </c>
      <c r="L17" s="98">
        <f t="shared" si="2"/>
        <v>210</v>
      </c>
      <c r="M17" s="96">
        <f t="shared" si="2"/>
        <v>0</v>
      </c>
      <c r="P17" s="179"/>
    </row>
    <row r="18" spans="1:16" ht="27.95" customHeight="1">
      <c r="A18" s="93" t="s">
        <v>181</v>
      </c>
      <c r="B18" s="37" t="s">
        <v>196</v>
      </c>
      <c r="C18" s="37" t="s">
        <v>180</v>
      </c>
      <c r="D18" s="94">
        <v>0</v>
      </c>
      <c r="E18" s="95">
        <v>0</v>
      </c>
      <c r="F18" s="98">
        <f t="shared" si="0"/>
        <v>0</v>
      </c>
      <c r="G18" s="96">
        <f t="shared" si="0"/>
        <v>0</v>
      </c>
      <c r="H18" s="98">
        <v>0</v>
      </c>
      <c r="I18" s="93">
        <v>0</v>
      </c>
      <c r="J18" s="98">
        <f>$D18*'DIA-INCH'!$C18</f>
        <v>0</v>
      </c>
      <c r="K18" s="96">
        <f t="shared" si="1"/>
        <v>0</v>
      </c>
      <c r="L18" s="98">
        <f t="shared" si="2"/>
        <v>0</v>
      </c>
      <c r="M18" s="96">
        <f t="shared" si="2"/>
        <v>0</v>
      </c>
      <c r="P18" s="179"/>
    </row>
    <row r="19" spans="1:16" ht="27.95" customHeight="1">
      <c r="A19" s="93" t="s">
        <v>181</v>
      </c>
      <c r="B19" s="37" t="s">
        <v>197</v>
      </c>
      <c r="C19" s="37" t="s">
        <v>180</v>
      </c>
      <c r="D19" s="94">
        <v>0</v>
      </c>
      <c r="E19" s="95">
        <v>0</v>
      </c>
      <c r="F19" s="98">
        <f t="shared" si="0"/>
        <v>0</v>
      </c>
      <c r="G19" s="96">
        <f t="shared" si="0"/>
        <v>0</v>
      </c>
      <c r="H19" s="98">
        <v>0</v>
      </c>
      <c r="I19" s="93">
        <v>0</v>
      </c>
      <c r="J19" s="98">
        <f>$D19*'DIA-INCH'!$C19</f>
        <v>0</v>
      </c>
      <c r="K19" s="96">
        <f t="shared" si="1"/>
        <v>0</v>
      </c>
      <c r="L19" s="98">
        <f t="shared" si="2"/>
        <v>0</v>
      </c>
      <c r="M19" s="96">
        <f t="shared" si="2"/>
        <v>0</v>
      </c>
      <c r="P19" s="179"/>
    </row>
    <row r="20" spans="1:16" ht="27.95" customHeight="1">
      <c r="A20" s="93" t="s">
        <v>178</v>
      </c>
      <c r="B20" s="37" t="s">
        <v>198</v>
      </c>
      <c r="C20" s="37" t="s">
        <v>183</v>
      </c>
      <c r="D20" s="94">
        <v>0</v>
      </c>
      <c r="E20" s="95">
        <v>0</v>
      </c>
      <c r="F20" s="98">
        <f t="shared" si="0"/>
        <v>0</v>
      </c>
      <c r="G20" s="96">
        <f t="shared" si="0"/>
        <v>0</v>
      </c>
      <c r="H20" s="98">
        <v>0</v>
      </c>
      <c r="I20" s="93">
        <v>0</v>
      </c>
      <c r="J20" s="98">
        <f>$D20*'DIA-INCH'!$C20</f>
        <v>0</v>
      </c>
      <c r="K20" s="96">
        <f t="shared" si="1"/>
        <v>0</v>
      </c>
      <c r="L20" s="98">
        <f t="shared" si="2"/>
        <v>0</v>
      </c>
      <c r="M20" s="96">
        <f t="shared" si="2"/>
        <v>0</v>
      </c>
      <c r="P20" s="179"/>
    </row>
    <row r="21" spans="1:16" ht="27.95" customHeight="1">
      <c r="A21" s="93" t="s">
        <v>178</v>
      </c>
      <c r="B21" s="37" t="s">
        <v>199</v>
      </c>
      <c r="C21" s="37" t="s">
        <v>200</v>
      </c>
      <c r="D21" s="94">
        <v>0</v>
      </c>
      <c r="E21" s="95">
        <v>0</v>
      </c>
      <c r="F21" s="98">
        <f t="shared" si="0"/>
        <v>0</v>
      </c>
      <c r="G21" s="96">
        <f t="shared" si="0"/>
        <v>0</v>
      </c>
      <c r="H21" s="98">
        <v>0</v>
      </c>
      <c r="I21" s="93">
        <v>0</v>
      </c>
      <c r="J21" s="98">
        <f>$D21*'DIA-INCH'!$C21</f>
        <v>0</v>
      </c>
      <c r="K21" s="96">
        <f t="shared" si="1"/>
        <v>0</v>
      </c>
      <c r="L21" s="98">
        <f t="shared" si="2"/>
        <v>0</v>
      </c>
      <c r="M21" s="96">
        <f t="shared" si="2"/>
        <v>0</v>
      </c>
      <c r="P21" s="179"/>
    </row>
    <row r="22" spans="1:16" ht="27.95" customHeight="1">
      <c r="A22" s="93" t="s">
        <v>181</v>
      </c>
      <c r="B22" s="37" t="s">
        <v>201</v>
      </c>
      <c r="C22" s="37" t="s">
        <v>202</v>
      </c>
      <c r="D22" s="94">
        <v>0</v>
      </c>
      <c r="E22" s="95">
        <v>0</v>
      </c>
      <c r="F22" s="98">
        <f t="shared" si="0"/>
        <v>0</v>
      </c>
      <c r="G22" s="96">
        <f t="shared" si="0"/>
        <v>0</v>
      </c>
      <c r="H22" s="98">
        <v>0</v>
      </c>
      <c r="I22" s="93">
        <v>0</v>
      </c>
      <c r="J22" s="98">
        <f>$D22*'DIA-INCH'!$C22</f>
        <v>0</v>
      </c>
      <c r="K22" s="96">
        <f t="shared" si="1"/>
        <v>0</v>
      </c>
      <c r="L22" s="98">
        <f t="shared" si="2"/>
        <v>0</v>
      </c>
      <c r="M22" s="96">
        <f t="shared" si="2"/>
        <v>0</v>
      </c>
      <c r="P22" s="179"/>
    </row>
    <row r="23" spans="1:16" ht="27.95" customHeight="1">
      <c r="A23" s="93" t="s">
        <v>203</v>
      </c>
      <c r="B23" s="37" t="s">
        <v>204</v>
      </c>
      <c r="C23" s="37" t="s">
        <v>180</v>
      </c>
      <c r="D23" s="94">
        <v>0</v>
      </c>
      <c r="E23" s="95">
        <v>0</v>
      </c>
      <c r="F23" s="98">
        <f t="shared" si="0"/>
        <v>0</v>
      </c>
      <c r="G23" s="96">
        <f t="shared" si="0"/>
        <v>0</v>
      </c>
      <c r="H23" s="98">
        <v>0</v>
      </c>
      <c r="I23" s="93">
        <v>0</v>
      </c>
      <c r="J23" s="98">
        <f>$D23*'DIA-INCH'!$C23</f>
        <v>0</v>
      </c>
      <c r="K23" s="96">
        <f t="shared" si="1"/>
        <v>0</v>
      </c>
      <c r="L23" s="98">
        <f t="shared" si="2"/>
        <v>0</v>
      </c>
      <c r="M23" s="96">
        <f t="shared" si="2"/>
        <v>0</v>
      </c>
    </row>
    <row r="24" spans="1:16" ht="27.95" customHeight="1">
      <c r="A24" s="93" t="s">
        <v>178</v>
      </c>
      <c r="B24" s="37" t="s">
        <v>205</v>
      </c>
      <c r="C24" s="37" t="s">
        <v>183</v>
      </c>
      <c r="D24" s="94">
        <v>0</v>
      </c>
      <c r="E24" s="95">
        <v>0</v>
      </c>
      <c r="F24" s="98">
        <f t="shared" si="0"/>
        <v>0</v>
      </c>
      <c r="G24" s="96">
        <f t="shared" si="0"/>
        <v>0</v>
      </c>
      <c r="H24" s="98">
        <v>0</v>
      </c>
      <c r="I24" s="93">
        <v>0</v>
      </c>
      <c r="J24" s="98">
        <f>$D24*'DIA-INCH'!$C24</f>
        <v>0</v>
      </c>
      <c r="K24" s="96">
        <f t="shared" si="1"/>
        <v>0</v>
      </c>
      <c r="L24" s="98">
        <f t="shared" si="2"/>
        <v>0</v>
      </c>
      <c r="M24" s="96">
        <f t="shared" si="2"/>
        <v>0</v>
      </c>
    </row>
    <row r="25" spans="1:16" ht="27.95" customHeight="1">
      <c r="A25" s="93" t="s">
        <v>191</v>
      </c>
      <c r="B25" s="37" t="s">
        <v>206</v>
      </c>
      <c r="C25" s="37" t="s">
        <v>207</v>
      </c>
      <c r="D25" s="94">
        <v>0</v>
      </c>
      <c r="E25" s="95">
        <v>0</v>
      </c>
      <c r="F25" s="98">
        <f t="shared" si="0"/>
        <v>0</v>
      </c>
      <c r="G25" s="96">
        <f t="shared" si="0"/>
        <v>0</v>
      </c>
      <c r="H25" s="98">
        <v>0</v>
      </c>
      <c r="I25" s="93">
        <v>0</v>
      </c>
      <c r="J25" s="98">
        <f>$D25*'DIA-INCH'!$C25</f>
        <v>0</v>
      </c>
      <c r="K25" s="96">
        <f t="shared" si="1"/>
        <v>0</v>
      </c>
      <c r="L25" s="98">
        <f t="shared" si="2"/>
        <v>0</v>
      </c>
      <c r="M25" s="96">
        <f t="shared" si="2"/>
        <v>0</v>
      </c>
    </row>
    <row r="26" spans="1:16" ht="27.95" customHeight="1">
      <c r="A26" s="93" t="s">
        <v>181</v>
      </c>
      <c r="B26" s="37" t="s">
        <v>208</v>
      </c>
      <c r="C26" s="37" t="s">
        <v>180</v>
      </c>
      <c r="D26" s="94">
        <v>0</v>
      </c>
      <c r="E26" s="95">
        <v>0</v>
      </c>
      <c r="F26" s="98">
        <f t="shared" si="0"/>
        <v>0</v>
      </c>
      <c r="G26" s="96">
        <f t="shared" si="0"/>
        <v>0</v>
      </c>
      <c r="H26" s="98">
        <v>0</v>
      </c>
      <c r="I26" s="93">
        <v>0</v>
      </c>
      <c r="J26" s="98">
        <f>$D26*'DIA-INCH'!$C26</f>
        <v>0</v>
      </c>
      <c r="K26" s="96">
        <f t="shared" si="1"/>
        <v>0</v>
      </c>
      <c r="L26" s="98">
        <f t="shared" si="2"/>
        <v>0</v>
      </c>
      <c r="M26" s="96">
        <f t="shared" si="2"/>
        <v>0</v>
      </c>
    </row>
    <row r="27" spans="1:16" ht="27.95" customHeight="1">
      <c r="A27" s="93" t="s">
        <v>191</v>
      </c>
      <c r="B27" s="37" t="s">
        <v>209</v>
      </c>
      <c r="C27" s="37" t="s">
        <v>180</v>
      </c>
      <c r="D27" s="94">
        <v>0</v>
      </c>
      <c r="E27" s="95">
        <v>0</v>
      </c>
      <c r="F27" s="98">
        <f t="shared" si="0"/>
        <v>0</v>
      </c>
      <c r="G27" s="96">
        <f t="shared" si="0"/>
        <v>0</v>
      </c>
      <c r="H27" s="98">
        <v>0</v>
      </c>
      <c r="I27" s="93">
        <v>0</v>
      </c>
      <c r="J27" s="98">
        <f>$D27*'DIA-INCH'!$C27</f>
        <v>0</v>
      </c>
      <c r="K27" s="96">
        <f t="shared" si="1"/>
        <v>0</v>
      </c>
      <c r="L27" s="98">
        <f t="shared" si="2"/>
        <v>0</v>
      </c>
      <c r="M27" s="96">
        <f t="shared" si="2"/>
        <v>0</v>
      </c>
    </row>
    <row r="28" spans="1:16" ht="27.95" customHeight="1">
      <c r="A28" s="93" t="s">
        <v>210</v>
      </c>
      <c r="B28" s="37" t="s">
        <v>179</v>
      </c>
      <c r="C28" s="37" t="s">
        <v>211</v>
      </c>
      <c r="D28" s="94">
        <v>0</v>
      </c>
      <c r="E28" s="95">
        <v>0</v>
      </c>
      <c r="F28" s="96">
        <f t="shared" si="0"/>
        <v>0</v>
      </c>
      <c r="G28" s="96">
        <f t="shared" si="0"/>
        <v>0</v>
      </c>
      <c r="H28" s="98">
        <v>0</v>
      </c>
      <c r="I28" s="93">
        <v>0</v>
      </c>
      <c r="J28" s="96">
        <f>D28</f>
        <v>0</v>
      </c>
      <c r="K28" s="96">
        <f>$J28*$E28</f>
        <v>0</v>
      </c>
      <c r="L28" s="96">
        <f t="shared" si="2"/>
        <v>0</v>
      </c>
      <c r="M28" s="96">
        <f t="shared" si="2"/>
        <v>0</v>
      </c>
    </row>
    <row r="29" spans="1:16" ht="27.95" customHeight="1">
      <c r="A29" s="93" t="s">
        <v>212</v>
      </c>
      <c r="B29" s="37" t="s">
        <v>182</v>
      </c>
      <c r="C29" s="37" t="s">
        <v>211</v>
      </c>
      <c r="D29" s="94">
        <v>0</v>
      </c>
      <c r="E29" s="95">
        <v>0</v>
      </c>
      <c r="F29" s="96">
        <f t="shared" si="0"/>
        <v>0</v>
      </c>
      <c r="G29" s="96">
        <f t="shared" si="0"/>
        <v>0</v>
      </c>
      <c r="H29" s="98">
        <v>0</v>
      </c>
      <c r="I29" s="93">
        <v>0</v>
      </c>
      <c r="J29" s="96">
        <f t="shared" ref="J29:J50" si="3">D29</f>
        <v>0</v>
      </c>
      <c r="K29" s="96">
        <f t="shared" ref="K29:K50" si="4">$J29*$E29</f>
        <v>0</v>
      </c>
      <c r="L29" s="96">
        <f t="shared" si="2"/>
        <v>0</v>
      </c>
      <c r="M29" s="96">
        <f t="shared" si="2"/>
        <v>0</v>
      </c>
    </row>
    <row r="30" spans="1:16" ht="27.95" customHeight="1">
      <c r="A30" s="93" t="s">
        <v>213</v>
      </c>
      <c r="B30" s="37" t="s">
        <v>184</v>
      </c>
      <c r="C30" s="37" t="s">
        <v>211</v>
      </c>
      <c r="D30" s="94">
        <v>0</v>
      </c>
      <c r="E30" s="95">
        <v>0</v>
      </c>
      <c r="F30" s="96">
        <f t="shared" si="0"/>
        <v>0</v>
      </c>
      <c r="G30" s="96">
        <f t="shared" si="0"/>
        <v>0</v>
      </c>
      <c r="H30" s="98">
        <v>0</v>
      </c>
      <c r="I30" s="93">
        <v>0</v>
      </c>
      <c r="J30" s="96">
        <f t="shared" si="3"/>
        <v>0</v>
      </c>
      <c r="K30" s="96">
        <f t="shared" si="4"/>
        <v>0</v>
      </c>
      <c r="L30" s="96">
        <f t="shared" si="2"/>
        <v>0</v>
      </c>
      <c r="M30" s="96">
        <f t="shared" si="2"/>
        <v>0</v>
      </c>
    </row>
    <row r="31" spans="1:16" ht="27.95" customHeight="1">
      <c r="A31" s="93" t="s">
        <v>214</v>
      </c>
      <c r="B31" s="37" t="s">
        <v>185</v>
      </c>
      <c r="C31" s="37" t="s">
        <v>215</v>
      </c>
      <c r="D31" s="94">
        <v>0</v>
      </c>
      <c r="E31" s="95">
        <v>0</v>
      </c>
      <c r="F31" s="96">
        <f t="shared" si="0"/>
        <v>0</v>
      </c>
      <c r="G31" s="96">
        <f t="shared" si="0"/>
        <v>0</v>
      </c>
      <c r="H31" s="98">
        <v>0</v>
      </c>
      <c r="I31" s="93">
        <v>0</v>
      </c>
      <c r="J31" s="96">
        <f t="shared" si="3"/>
        <v>0</v>
      </c>
      <c r="K31" s="96">
        <f t="shared" si="4"/>
        <v>0</v>
      </c>
      <c r="L31" s="96">
        <f t="shared" si="2"/>
        <v>0</v>
      </c>
      <c r="M31" s="96">
        <f t="shared" si="2"/>
        <v>0</v>
      </c>
    </row>
    <row r="32" spans="1:16" ht="27.95" customHeight="1">
      <c r="A32" s="93" t="s">
        <v>214</v>
      </c>
      <c r="B32" s="37" t="s">
        <v>186</v>
      </c>
      <c r="C32" s="37" t="s">
        <v>211</v>
      </c>
      <c r="D32" s="94">
        <v>0</v>
      </c>
      <c r="E32" s="95">
        <v>0</v>
      </c>
      <c r="F32" s="96">
        <f t="shared" si="0"/>
        <v>0</v>
      </c>
      <c r="G32" s="96">
        <f t="shared" si="0"/>
        <v>0</v>
      </c>
      <c r="H32" s="98">
        <v>0</v>
      </c>
      <c r="I32" s="93">
        <v>0</v>
      </c>
      <c r="J32" s="96">
        <f t="shared" si="3"/>
        <v>0</v>
      </c>
      <c r="K32" s="96">
        <f t="shared" si="4"/>
        <v>0</v>
      </c>
      <c r="L32" s="96">
        <f t="shared" si="2"/>
        <v>0</v>
      </c>
      <c r="M32" s="96">
        <f t="shared" si="2"/>
        <v>0</v>
      </c>
    </row>
    <row r="33" spans="1:13" ht="27.95" customHeight="1">
      <c r="A33" s="93" t="s">
        <v>214</v>
      </c>
      <c r="B33" s="37" t="s">
        <v>187</v>
      </c>
      <c r="C33" s="37" t="s">
        <v>122</v>
      </c>
      <c r="D33" s="94">
        <v>0</v>
      </c>
      <c r="E33" s="95">
        <v>0</v>
      </c>
      <c r="F33" s="96">
        <f t="shared" si="0"/>
        <v>0</v>
      </c>
      <c r="G33" s="96">
        <f t="shared" si="0"/>
        <v>0</v>
      </c>
      <c r="H33" s="98">
        <v>0</v>
      </c>
      <c r="I33" s="93">
        <v>0</v>
      </c>
      <c r="J33" s="96">
        <f t="shared" si="3"/>
        <v>0</v>
      </c>
      <c r="K33" s="96">
        <f t="shared" si="4"/>
        <v>0</v>
      </c>
      <c r="L33" s="96">
        <f t="shared" si="2"/>
        <v>0</v>
      </c>
      <c r="M33" s="96">
        <f t="shared" si="2"/>
        <v>0</v>
      </c>
    </row>
    <row r="34" spans="1:13" ht="27.95" customHeight="1">
      <c r="A34" s="93" t="s">
        <v>214</v>
      </c>
      <c r="B34" s="37" t="s">
        <v>188</v>
      </c>
      <c r="C34" s="37" t="s">
        <v>211</v>
      </c>
      <c r="D34" s="94">
        <v>0</v>
      </c>
      <c r="E34" s="95">
        <v>0</v>
      </c>
      <c r="F34" s="96">
        <f t="shared" si="0"/>
        <v>0</v>
      </c>
      <c r="G34" s="96">
        <f t="shared" si="0"/>
        <v>0</v>
      </c>
      <c r="H34" s="98">
        <v>0</v>
      </c>
      <c r="I34" s="93">
        <v>0</v>
      </c>
      <c r="J34" s="96">
        <f t="shared" si="3"/>
        <v>0</v>
      </c>
      <c r="K34" s="96">
        <f t="shared" si="4"/>
        <v>0</v>
      </c>
      <c r="L34" s="96">
        <f t="shared" si="2"/>
        <v>0</v>
      </c>
      <c r="M34" s="96">
        <f t="shared" si="2"/>
        <v>0</v>
      </c>
    </row>
    <row r="35" spans="1:13" ht="27.95" customHeight="1">
      <c r="A35" s="93" t="s">
        <v>210</v>
      </c>
      <c r="B35" s="37" t="s">
        <v>189</v>
      </c>
      <c r="C35" s="37" t="s">
        <v>122</v>
      </c>
      <c r="D35" s="94">
        <v>0</v>
      </c>
      <c r="E35" s="95">
        <v>0</v>
      </c>
      <c r="F35" s="96">
        <f t="shared" si="0"/>
        <v>0</v>
      </c>
      <c r="G35" s="96">
        <f t="shared" si="0"/>
        <v>0</v>
      </c>
      <c r="H35" s="98">
        <v>0</v>
      </c>
      <c r="I35" s="93">
        <v>0</v>
      </c>
      <c r="J35" s="96">
        <f t="shared" si="3"/>
        <v>0</v>
      </c>
      <c r="K35" s="96">
        <f t="shared" si="4"/>
        <v>0</v>
      </c>
      <c r="L35" s="96">
        <f t="shared" si="2"/>
        <v>0</v>
      </c>
      <c r="M35" s="96">
        <f t="shared" si="2"/>
        <v>0</v>
      </c>
    </row>
    <row r="36" spans="1:13" ht="27.95" customHeight="1">
      <c r="A36" s="93" t="s">
        <v>210</v>
      </c>
      <c r="B36" s="37" t="s">
        <v>190</v>
      </c>
      <c r="C36" s="37" t="s">
        <v>211</v>
      </c>
      <c r="D36" s="94">
        <v>0</v>
      </c>
      <c r="E36" s="95">
        <v>0</v>
      </c>
      <c r="F36" s="96">
        <f t="shared" si="0"/>
        <v>0</v>
      </c>
      <c r="G36" s="96">
        <f t="shared" si="0"/>
        <v>0</v>
      </c>
      <c r="H36" s="98">
        <v>0</v>
      </c>
      <c r="I36" s="93">
        <v>0</v>
      </c>
      <c r="J36" s="96">
        <f t="shared" si="3"/>
        <v>0</v>
      </c>
      <c r="K36" s="96">
        <f t="shared" si="4"/>
        <v>0</v>
      </c>
      <c r="L36" s="96">
        <f t="shared" si="2"/>
        <v>0</v>
      </c>
      <c r="M36" s="96">
        <f t="shared" si="2"/>
        <v>0</v>
      </c>
    </row>
    <row r="37" spans="1:13" ht="27.95" customHeight="1">
      <c r="A37" s="93" t="s">
        <v>212</v>
      </c>
      <c r="B37" s="37" t="s">
        <v>192</v>
      </c>
      <c r="C37" s="37" t="s">
        <v>211</v>
      </c>
      <c r="D37" s="94">
        <v>0</v>
      </c>
      <c r="E37" s="95">
        <v>0</v>
      </c>
      <c r="F37" s="96">
        <f t="shared" si="0"/>
        <v>0</v>
      </c>
      <c r="G37" s="96">
        <f t="shared" si="0"/>
        <v>0</v>
      </c>
      <c r="H37" s="98">
        <v>0</v>
      </c>
      <c r="I37" s="93">
        <v>0</v>
      </c>
      <c r="J37" s="96">
        <f t="shared" si="3"/>
        <v>0</v>
      </c>
      <c r="K37" s="96">
        <f t="shared" si="4"/>
        <v>0</v>
      </c>
      <c r="L37" s="96">
        <f t="shared" si="2"/>
        <v>0</v>
      </c>
      <c r="M37" s="96">
        <f t="shared" si="2"/>
        <v>0</v>
      </c>
    </row>
    <row r="38" spans="1:13" ht="27.95" customHeight="1">
      <c r="A38" s="93" t="s">
        <v>210</v>
      </c>
      <c r="B38" s="37" t="s">
        <v>193</v>
      </c>
      <c r="C38" s="37" t="s">
        <v>216</v>
      </c>
      <c r="D38" s="94">
        <v>0</v>
      </c>
      <c r="E38" s="95">
        <v>0</v>
      </c>
      <c r="F38" s="96">
        <f t="shared" si="0"/>
        <v>0</v>
      </c>
      <c r="G38" s="96">
        <f t="shared" si="0"/>
        <v>0</v>
      </c>
      <c r="H38" s="98">
        <v>0</v>
      </c>
      <c r="I38" s="93">
        <v>0</v>
      </c>
      <c r="J38" s="96">
        <f t="shared" si="3"/>
        <v>0</v>
      </c>
      <c r="K38" s="96">
        <f t="shared" si="4"/>
        <v>0</v>
      </c>
      <c r="L38" s="96">
        <f t="shared" si="2"/>
        <v>0</v>
      </c>
      <c r="M38" s="96">
        <f t="shared" si="2"/>
        <v>0</v>
      </c>
    </row>
    <row r="39" spans="1:13" ht="27.95" customHeight="1">
      <c r="A39" s="93" t="s">
        <v>210</v>
      </c>
      <c r="B39" s="37" t="s">
        <v>194</v>
      </c>
      <c r="C39" s="37" t="s">
        <v>217</v>
      </c>
      <c r="D39" s="94">
        <v>0</v>
      </c>
      <c r="E39" s="95">
        <v>0</v>
      </c>
      <c r="F39" s="96">
        <f t="shared" si="0"/>
        <v>0</v>
      </c>
      <c r="G39" s="96">
        <f t="shared" si="0"/>
        <v>0</v>
      </c>
      <c r="H39" s="98">
        <v>0</v>
      </c>
      <c r="I39" s="93">
        <v>0</v>
      </c>
      <c r="J39" s="96">
        <f t="shared" si="3"/>
        <v>0</v>
      </c>
      <c r="K39" s="96">
        <f t="shared" si="4"/>
        <v>0</v>
      </c>
      <c r="L39" s="96">
        <f t="shared" si="2"/>
        <v>0</v>
      </c>
      <c r="M39" s="96">
        <f t="shared" si="2"/>
        <v>0</v>
      </c>
    </row>
    <row r="40" spans="1:13" ht="27.95" customHeight="1">
      <c r="A40" s="93" t="s">
        <v>210</v>
      </c>
      <c r="B40" s="37" t="s">
        <v>195</v>
      </c>
      <c r="C40" s="37" t="s">
        <v>211</v>
      </c>
      <c r="D40" s="94">
        <v>0</v>
      </c>
      <c r="E40" s="95">
        <v>0</v>
      </c>
      <c r="F40" s="96">
        <f t="shared" si="0"/>
        <v>0</v>
      </c>
      <c r="G40" s="96">
        <f t="shared" si="0"/>
        <v>0</v>
      </c>
      <c r="H40" s="98">
        <v>0</v>
      </c>
      <c r="I40" s="93">
        <v>0</v>
      </c>
      <c r="J40" s="96">
        <f t="shared" si="3"/>
        <v>0</v>
      </c>
      <c r="K40" s="96">
        <f t="shared" si="4"/>
        <v>0</v>
      </c>
      <c r="L40" s="96">
        <f t="shared" si="2"/>
        <v>0</v>
      </c>
      <c r="M40" s="96">
        <f t="shared" si="2"/>
        <v>0</v>
      </c>
    </row>
    <row r="41" spans="1:13" ht="27.95" customHeight="1">
      <c r="A41" s="93" t="s">
        <v>210</v>
      </c>
      <c r="B41" s="37" t="s">
        <v>196</v>
      </c>
      <c r="C41" s="37" t="s">
        <v>122</v>
      </c>
      <c r="D41" s="94">
        <v>0</v>
      </c>
      <c r="E41" s="95">
        <v>0</v>
      </c>
      <c r="F41" s="96">
        <f t="shared" si="0"/>
        <v>0</v>
      </c>
      <c r="G41" s="96">
        <f t="shared" si="0"/>
        <v>0</v>
      </c>
      <c r="H41" s="98">
        <v>0</v>
      </c>
      <c r="I41" s="93">
        <v>0</v>
      </c>
      <c r="J41" s="96">
        <f t="shared" si="3"/>
        <v>0</v>
      </c>
      <c r="K41" s="96">
        <f t="shared" si="4"/>
        <v>0</v>
      </c>
      <c r="L41" s="96">
        <f t="shared" si="2"/>
        <v>0</v>
      </c>
      <c r="M41" s="96">
        <f t="shared" si="2"/>
        <v>0</v>
      </c>
    </row>
    <row r="42" spans="1:13" ht="27.95" customHeight="1">
      <c r="A42" s="93" t="s">
        <v>210</v>
      </c>
      <c r="B42" s="37" t="s">
        <v>197</v>
      </c>
      <c r="C42" s="37" t="s">
        <v>211</v>
      </c>
      <c r="D42" s="94">
        <v>0</v>
      </c>
      <c r="E42" s="95">
        <v>0</v>
      </c>
      <c r="F42" s="96">
        <f t="shared" si="0"/>
        <v>0</v>
      </c>
      <c r="G42" s="96">
        <f t="shared" si="0"/>
        <v>0</v>
      </c>
      <c r="H42" s="98">
        <v>0</v>
      </c>
      <c r="I42" s="93">
        <v>0</v>
      </c>
      <c r="J42" s="96">
        <f t="shared" si="3"/>
        <v>0</v>
      </c>
      <c r="K42" s="96">
        <f t="shared" si="4"/>
        <v>0</v>
      </c>
      <c r="L42" s="96">
        <f t="shared" si="2"/>
        <v>0</v>
      </c>
      <c r="M42" s="96">
        <f t="shared" si="2"/>
        <v>0</v>
      </c>
    </row>
    <row r="43" spans="1:13" ht="27.95" customHeight="1">
      <c r="A43" s="93" t="s">
        <v>210</v>
      </c>
      <c r="B43" s="37" t="s">
        <v>198</v>
      </c>
      <c r="C43" s="37" t="s">
        <v>211</v>
      </c>
      <c r="D43" s="94">
        <v>0</v>
      </c>
      <c r="E43" s="95">
        <v>0</v>
      </c>
      <c r="F43" s="96">
        <f t="shared" si="0"/>
        <v>0</v>
      </c>
      <c r="G43" s="96">
        <f t="shared" si="0"/>
        <v>0</v>
      </c>
      <c r="H43" s="98">
        <v>0</v>
      </c>
      <c r="I43" s="93">
        <v>0</v>
      </c>
      <c r="J43" s="96">
        <f t="shared" si="3"/>
        <v>0</v>
      </c>
      <c r="K43" s="96">
        <f t="shared" si="4"/>
        <v>0</v>
      </c>
      <c r="L43" s="96">
        <f t="shared" si="2"/>
        <v>0</v>
      </c>
      <c r="M43" s="96">
        <f t="shared" si="2"/>
        <v>0</v>
      </c>
    </row>
    <row r="44" spans="1:13" ht="27.95" customHeight="1">
      <c r="A44" s="93" t="s">
        <v>210</v>
      </c>
      <c r="B44" s="37" t="s">
        <v>199</v>
      </c>
      <c r="C44" s="37" t="s">
        <v>122</v>
      </c>
      <c r="D44" s="94">
        <v>0</v>
      </c>
      <c r="E44" s="95">
        <v>0</v>
      </c>
      <c r="F44" s="96">
        <f t="shared" si="0"/>
        <v>0</v>
      </c>
      <c r="G44" s="96">
        <f t="shared" si="0"/>
        <v>0</v>
      </c>
      <c r="H44" s="98">
        <v>0</v>
      </c>
      <c r="I44" s="93">
        <v>0</v>
      </c>
      <c r="J44" s="96">
        <f t="shared" si="3"/>
        <v>0</v>
      </c>
      <c r="K44" s="96">
        <f t="shared" si="4"/>
        <v>0</v>
      </c>
      <c r="L44" s="96">
        <f t="shared" si="2"/>
        <v>0</v>
      </c>
      <c r="M44" s="96">
        <f t="shared" si="2"/>
        <v>0</v>
      </c>
    </row>
    <row r="45" spans="1:13" ht="27.95" customHeight="1">
      <c r="A45" s="93" t="s">
        <v>212</v>
      </c>
      <c r="B45" s="37" t="s">
        <v>201</v>
      </c>
      <c r="C45" s="37" t="s">
        <v>122</v>
      </c>
      <c r="D45" s="94">
        <v>0</v>
      </c>
      <c r="E45" s="95">
        <v>0</v>
      </c>
      <c r="F45" s="96">
        <f t="shared" si="0"/>
        <v>0</v>
      </c>
      <c r="G45" s="96">
        <f t="shared" si="0"/>
        <v>0</v>
      </c>
      <c r="H45" s="93">
        <v>0</v>
      </c>
      <c r="I45" s="93">
        <v>0</v>
      </c>
      <c r="J45" s="96">
        <f t="shared" si="3"/>
        <v>0</v>
      </c>
      <c r="K45" s="96">
        <f t="shared" si="4"/>
        <v>0</v>
      </c>
      <c r="L45" s="96">
        <f t="shared" si="2"/>
        <v>0</v>
      </c>
      <c r="M45" s="96">
        <f t="shared" si="2"/>
        <v>0</v>
      </c>
    </row>
    <row r="46" spans="1:13" ht="27.95" customHeight="1">
      <c r="A46" s="93" t="s">
        <v>210</v>
      </c>
      <c r="B46" s="37" t="s">
        <v>204</v>
      </c>
      <c r="C46" s="37" t="s">
        <v>211</v>
      </c>
      <c r="D46" s="94">
        <v>0</v>
      </c>
      <c r="E46" s="95">
        <v>0</v>
      </c>
      <c r="F46" s="96">
        <f t="shared" si="0"/>
        <v>0</v>
      </c>
      <c r="G46" s="96">
        <f t="shared" si="0"/>
        <v>0</v>
      </c>
      <c r="H46" s="93">
        <v>0</v>
      </c>
      <c r="I46" s="93">
        <v>0</v>
      </c>
      <c r="J46" s="96">
        <f t="shared" si="3"/>
        <v>0</v>
      </c>
      <c r="K46" s="96">
        <f t="shared" si="4"/>
        <v>0</v>
      </c>
      <c r="L46" s="96">
        <f t="shared" si="2"/>
        <v>0</v>
      </c>
      <c r="M46" s="96">
        <f t="shared" si="2"/>
        <v>0</v>
      </c>
    </row>
    <row r="47" spans="1:13" ht="27.95" customHeight="1">
      <c r="A47" s="93" t="s">
        <v>210</v>
      </c>
      <c r="B47" s="37" t="s">
        <v>205</v>
      </c>
      <c r="C47" s="37" t="s">
        <v>216</v>
      </c>
      <c r="D47" s="94">
        <v>0</v>
      </c>
      <c r="E47" s="95">
        <v>0</v>
      </c>
      <c r="F47" s="96">
        <f t="shared" si="0"/>
        <v>0</v>
      </c>
      <c r="G47" s="96">
        <f t="shared" si="0"/>
        <v>0</v>
      </c>
      <c r="H47" s="93">
        <v>0</v>
      </c>
      <c r="I47" s="93">
        <v>0</v>
      </c>
      <c r="J47" s="96">
        <f t="shared" si="3"/>
        <v>0</v>
      </c>
      <c r="K47" s="96">
        <f t="shared" si="4"/>
        <v>0</v>
      </c>
      <c r="L47" s="96">
        <f t="shared" si="2"/>
        <v>0</v>
      </c>
      <c r="M47" s="96">
        <f t="shared" si="2"/>
        <v>0</v>
      </c>
    </row>
    <row r="48" spans="1:13" ht="27.95" customHeight="1">
      <c r="A48" s="93" t="s">
        <v>213</v>
      </c>
      <c r="B48" s="37" t="s">
        <v>206</v>
      </c>
      <c r="C48" s="37" t="s">
        <v>211</v>
      </c>
      <c r="D48" s="94">
        <v>0</v>
      </c>
      <c r="E48" s="95">
        <v>0</v>
      </c>
      <c r="F48" s="96">
        <f t="shared" si="0"/>
        <v>0</v>
      </c>
      <c r="G48" s="96">
        <f t="shared" si="0"/>
        <v>0</v>
      </c>
      <c r="H48" s="93">
        <v>0</v>
      </c>
      <c r="I48" s="93">
        <v>0</v>
      </c>
      <c r="J48" s="96">
        <f t="shared" si="3"/>
        <v>0</v>
      </c>
      <c r="K48" s="96">
        <f t="shared" si="4"/>
        <v>0</v>
      </c>
      <c r="L48" s="96">
        <f t="shared" si="2"/>
        <v>0</v>
      </c>
      <c r="M48" s="96">
        <f t="shared" si="2"/>
        <v>0</v>
      </c>
    </row>
    <row r="49" spans="1:13" ht="27.95" customHeight="1">
      <c r="A49" s="93" t="s">
        <v>210</v>
      </c>
      <c r="B49" s="37" t="s">
        <v>208</v>
      </c>
      <c r="C49" s="37" t="s">
        <v>211</v>
      </c>
      <c r="D49" s="94">
        <v>0</v>
      </c>
      <c r="E49" s="95">
        <v>0</v>
      </c>
      <c r="F49" s="96">
        <f t="shared" si="0"/>
        <v>0</v>
      </c>
      <c r="G49" s="96">
        <f t="shared" si="0"/>
        <v>0</v>
      </c>
      <c r="H49" s="93">
        <v>0</v>
      </c>
      <c r="I49" s="93">
        <v>0</v>
      </c>
      <c r="J49" s="96">
        <f t="shared" si="3"/>
        <v>0</v>
      </c>
      <c r="K49" s="96">
        <f t="shared" si="4"/>
        <v>0</v>
      </c>
      <c r="L49" s="96">
        <f t="shared" si="2"/>
        <v>0</v>
      </c>
      <c r="M49" s="96">
        <f t="shared" si="2"/>
        <v>0</v>
      </c>
    </row>
    <row r="50" spans="1:13" ht="27.95" customHeight="1">
      <c r="A50" s="93" t="s">
        <v>213</v>
      </c>
      <c r="B50" s="37" t="s">
        <v>209</v>
      </c>
      <c r="C50" s="37" t="s">
        <v>216</v>
      </c>
      <c r="D50" s="94">
        <v>0</v>
      </c>
      <c r="E50" s="95">
        <v>0</v>
      </c>
      <c r="F50" s="96">
        <f t="shared" si="0"/>
        <v>0</v>
      </c>
      <c r="G50" s="96">
        <f t="shared" si="0"/>
        <v>0</v>
      </c>
      <c r="H50" s="93">
        <v>0</v>
      </c>
      <c r="I50" s="93">
        <v>0</v>
      </c>
      <c r="J50" s="96">
        <f t="shared" si="3"/>
        <v>0</v>
      </c>
      <c r="K50" s="96">
        <f t="shared" si="4"/>
        <v>0</v>
      </c>
      <c r="L50" s="96">
        <f t="shared" si="2"/>
        <v>0</v>
      </c>
      <c r="M50" s="96">
        <f t="shared" si="2"/>
        <v>0</v>
      </c>
    </row>
    <row r="51" spans="1:13" ht="27.95" customHeight="1">
      <c r="A51" s="321" t="s">
        <v>218</v>
      </c>
      <c r="B51" s="322"/>
      <c r="C51" s="322"/>
      <c r="D51" s="322"/>
      <c r="E51" s="323"/>
      <c r="F51" s="148">
        <f>SUM(F5:F50)</f>
        <v>306</v>
      </c>
      <c r="G51" s="97">
        <f t="shared" ref="G51:M51" si="5">SUM(G5:G50)</f>
        <v>0</v>
      </c>
      <c r="H51" s="148">
        <f t="shared" si="5"/>
        <v>54</v>
      </c>
      <c r="I51" s="97">
        <f t="shared" si="5"/>
        <v>0</v>
      </c>
      <c r="J51" s="148">
        <f t="shared" si="5"/>
        <v>252</v>
      </c>
      <c r="K51" s="97">
        <f t="shared" si="5"/>
        <v>0</v>
      </c>
      <c r="L51" s="148">
        <f t="shared" si="5"/>
        <v>306</v>
      </c>
      <c r="M51" s="97">
        <f t="shared" si="5"/>
        <v>0</v>
      </c>
    </row>
    <row r="55" spans="1:13">
      <c r="G55" s="171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fitToHeight="0" orientation="landscape" r:id="rId1"/>
  <headerFooter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E26" sqref="E26"/>
    </sheetView>
  </sheetViews>
  <sheetFormatPr defaultRowHeight="15"/>
  <cols>
    <col min="1" max="1" width="9.375" style="159" customWidth="1"/>
    <col min="2" max="2" width="21.625" style="160" bestFit="1" customWidth="1"/>
    <col min="3" max="3" width="13.375" style="159" customWidth="1"/>
    <col min="4" max="4" width="41.25" style="160" bestFit="1" customWidth="1"/>
    <col min="5" max="5" width="41.125" style="160" bestFit="1" customWidth="1"/>
    <col min="6" max="6" width="20.125" style="160" bestFit="1" customWidth="1"/>
    <col min="7" max="7" width="8" style="161" customWidth="1"/>
    <col min="8" max="8" width="14.25" style="162" customWidth="1"/>
    <col min="9" max="9" width="15.125" style="162" bestFit="1" customWidth="1"/>
    <col min="10" max="10" width="23.375" style="160" customWidth="1"/>
    <col min="11" max="256" width="9" style="16"/>
    <col min="257" max="257" width="9.375" style="16" customWidth="1"/>
    <col min="258" max="258" width="21.625" style="16" bestFit="1" customWidth="1"/>
    <col min="259" max="259" width="13.375" style="16" customWidth="1"/>
    <col min="260" max="260" width="41.25" style="16" bestFit="1" customWidth="1"/>
    <col min="261" max="261" width="41.125" style="16" bestFit="1" customWidth="1"/>
    <col min="262" max="262" width="20.125" style="16" bestFit="1" customWidth="1"/>
    <col min="263" max="263" width="8" style="16" customWidth="1"/>
    <col min="264" max="264" width="14.25" style="16" customWidth="1"/>
    <col min="265" max="265" width="15.125" style="16" bestFit="1" customWidth="1"/>
    <col min="266" max="266" width="23.375" style="16" customWidth="1"/>
    <col min="267" max="512" width="9" style="16"/>
    <col min="513" max="513" width="9.375" style="16" customWidth="1"/>
    <col min="514" max="514" width="21.625" style="16" bestFit="1" customWidth="1"/>
    <col min="515" max="515" width="13.375" style="16" customWidth="1"/>
    <col min="516" max="516" width="41.25" style="16" bestFit="1" customWidth="1"/>
    <col min="517" max="517" width="41.125" style="16" bestFit="1" customWidth="1"/>
    <col min="518" max="518" width="20.125" style="16" bestFit="1" customWidth="1"/>
    <col min="519" max="519" width="8" style="16" customWidth="1"/>
    <col min="520" max="520" width="14.25" style="16" customWidth="1"/>
    <col min="521" max="521" width="15.125" style="16" bestFit="1" customWidth="1"/>
    <col min="522" max="522" width="23.375" style="16" customWidth="1"/>
    <col min="523" max="768" width="9" style="16"/>
    <col min="769" max="769" width="9.375" style="16" customWidth="1"/>
    <col min="770" max="770" width="21.625" style="16" bestFit="1" customWidth="1"/>
    <col min="771" max="771" width="13.375" style="16" customWidth="1"/>
    <col min="772" max="772" width="41.25" style="16" bestFit="1" customWidth="1"/>
    <col min="773" max="773" width="41.125" style="16" bestFit="1" customWidth="1"/>
    <col min="774" max="774" width="20.125" style="16" bestFit="1" customWidth="1"/>
    <col min="775" max="775" width="8" style="16" customWidth="1"/>
    <col min="776" max="776" width="14.25" style="16" customWidth="1"/>
    <col min="777" max="777" width="15.125" style="16" bestFit="1" customWidth="1"/>
    <col min="778" max="778" width="23.375" style="16" customWidth="1"/>
    <col min="779" max="1024" width="9" style="16"/>
    <col min="1025" max="1025" width="9.375" style="16" customWidth="1"/>
    <col min="1026" max="1026" width="21.625" style="16" bestFit="1" customWidth="1"/>
    <col min="1027" max="1027" width="13.375" style="16" customWidth="1"/>
    <col min="1028" max="1028" width="41.25" style="16" bestFit="1" customWidth="1"/>
    <col min="1029" max="1029" width="41.125" style="16" bestFit="1" customWidth="1"/>
    <col min="1030" max="1030" width="20.125" style="16" bestFit="1" customWidth="1"/>
    <col min="1031" max="1031" width="8" style="16" customWidth="1"/>
    <col min="1032" max="1032" width="14.25" style="16" customWidth="1"/>
    <col min="1033" max="1033" width="15.125" style="16" bestFit="1" customWidth="1"/>
    <col min="1034" max="1034" width="23.375" style="16" customWidth="1"/>
    <col min="1035" max="1280" width="9" style="16"/>
    <col min="1281" max="1281" width="9.375" style="16" customWidth="1"/>
    <col min="1282" max="1282" width="21.625" style="16" bestFit="1" customWidth="1"/>
    <col min="1283" max="1283" width="13.375" style="16" customWidth="1"/>
    <col min="1284" max="1284" width="41.25" style="16" bestFit="1" customWidth="1"/>
    <col min="1285" max="1285" width="41.125" style="16" bestFit="1" customWidth="1"/>
    <col min="1286" max="1286" width="20.125" style="16" bestFit="1" customWidth="1"/>
    <col min="1287" max="1287" width="8" style="16" customWidth="1"/>
    <col min="1288" max="1288" width="14.25" style="16" customWidth="1"/>
    <col min="1289" max="1289" width="15.125" style="16" bestFit="1" customWidth="1"/>
    <col min="1290" max="1290" width="23.375" style="16" customWidth="1"/>
    <col min="1291" max="1536" width="9" style="16"/>
    <col min="1537" max="1537" width="9.375" style="16" customWidth="1"/>
    <col min="1538" max="1538" width="21.625" style="16" bestFit="1" customWidth="1"/>
    <col min="1539" max="1539" width="13.375" style="16" customWidth="1"/>
    <col min="1540" max="1540" width="41.25" style="16" bestFit="1" customWidth="1"/>
    <col min="1541" max="1541" width="41.125" style="16" bestFit="1" customWidth="1"/>
    <col min="1542" max="1542" width="20.125" style="16" bestFit="1" customWidth="1"/>
    <col min="1543" max="1543" width="8" style="16" customWidth="1"/>
    <col min="1544" max="1544" width="14.25" style="16" customWidth="1"/>
    <col min="1545" max="1545" width="15.125" style="16" bestFit="1" customWidth="1"/>
    <col min="1546" max="1546" width="23.375" style="16" customWidth="1"/>
    <col min="1547" max="1792" width="9" style="16"/>
    <col min="1793" max="1793" width="9.375" style="16" customWidth="1"/>
    <col min="1794" max="1794" width="21.625" style="16" bestFit="1" customWidth="1"/>
    <col min="1795" max="1795" width="13.375" style="16" customWidth="1"/>
    <col min="1796" max="1796" width="41.25" style="16" bestFit="1" customWidth="1"/>
    <col min="1797" max="1797" width="41.125" style="16" bestFit="1" customWidth="1"/>
    <col min="1798" max="1798" width="20.125" style="16" bestFit="1" customWidth="1"/>
    <col min="1799" max="1799" width="8" style="16" customWidth="1"/>
    <col min="1800" max="1800" width="14.25" style="16" customWidth="1"/>
    <col min="1801" max="1801" width="15.125" style="16" bestFit="1" customWidth="1"/>
    <col min="1802" max="1802" width="23.375" style="16" customWidth="1"/>
    <col min="1803" max="2048" width="9" style="16"/>
    <col min="2049" max="2049" width="9.375" style="16" customWidth="1"/>
    <col min="2050" max="2050" width="21.625" style="16" bestFit="1" customWidth="1"/>
    <col min="2051" max="2051" width="13.375" style="16" customWidth="1"/>
    <col min="2052" max="2052" width="41.25" style="16" bestFit="1" customWidth="1"/>
    <col min="2053" max="2053" width="41.125" style="16" bestFit="1" customWidth="1"/>
    <col min="2054" max="2054" width="20.125" style="16" bestFit="1" customWidth="1"/>
    <col min="2055" max="2055" width="8" style="16" customWidth="1"/>
    <col min="2056" max="2056" width="14.25" style="16" customWidth="1"/>
    <col min="2057" max="2057" width="15.125" style="16" bestFit="1" customWidth="1"/>
    <col min="2058" max="2058" width="23.375" style="16" customWidth="1"/>
    <col min="2059" max="2304" width="9" style="16"/>
    <col min="2305" max="2305" width="9.375" style="16" customWidth="1"/>
    <col min="2306" max="2306" width="21.625" style="16" bestFit="1" customWidth="1"/>
    <col min="2307" max="2307" width="13.375" style="16" customWidth="1"/>
    <col min="2308" max="2308" width="41.25" style="16" bestFit="1" customWidth="1"/>
    <col min="2309" max="2309" width="41.125" style="16" bestFit="1" customWidth="1"/>
    <col min="2310" max="2310" width="20.125" style="16" bestFit="1" customWidth="1"/>
    <col min="2311" max="2311" width="8" style="16" customWidth="1"/>
    <col min="2312" max="2312" width="14.25" style="16" customWidth="1"/>
    <col min="2313" max="2313" width="15.125" style="16" bestFit="1" customWidth="1"/>
    <col min="2314" max="2314" width="23.375" style="16" customWidth="1"/>
    <col min="2315" max="2560" width="9" style="16"/>
    <col min="2561" max="2561" width="9.375" style="16" customWidth="1"/>
    <col min="2562" max="2562" width="21.625" style="16" bestFit="1" customWidth="1"/>
    <col min="2563" max="2563" width="13.375" style="16" customWidth="1"/>
    <col min="2564" max="2564" width="41.25" style="16" bestFit="1" customWidth="1"/>
    <col min="2565" max="2565" width="41.125" style="16" bestFit="1" customWidth="1"/>
    <col min="2566" max="2566" width="20.125" style="16" bestFit="1" customWidth="1"/>
    <col min="2567" max="2567" width="8" style="16" customWidth="1"/>
    <col min="2568" max="2568" width="14.25" style="16" customWidth="1"/>
    <col min="2569" max="2569" width="15.125" style="16" bestFit="1" customWidth="1"/>
    <col min="2570" max="2570" width="23.375" style="16" customWidth="1"/>
    <col min="2571" max="2816" width="9" style="16"/>
    <col min="2817" max="2817" width="9.375" style="16" customWidth="1"/>
    <col min="2818" max="2818" width="21.625" style="16" bestFit="1" customWidth="1"/>
    <col min="2819" max="2819" width="13.375" style="16" customWidth="1"/>
    <col min="2820" max="2820" width="41.25" style="16" bestFit="1" customWidth="1"/>
    <col min="2821" max="2821" width="41.125" style="16" bestFit="1" customWidth="1"/>
    <col min="2822" max="2822" width="20.125" style="16" bestFit="1" customWidth="1"/>
    <col min="2823" max="2823" width="8" style="16" customWidth="1"/>
    <col min="2824" max="2824" width="14.25" style="16" customWidth="1"/>
    <col min="2825" max="2825" width="15.125" style="16" bestFit="1" customWidth="1"/>
    <col min="2826" max="2826" width="23.375" style="16" customWidth="1"/>
    <col min="2827" max="3072" width="9" style="16"/>
    <col min="3073" max="3073" width="9.375" style="16" customWidth="1"/>
    <col min="3074" max="3074" width="21.625" style="16" bestFit="1" customWidth="1"/>
    <col min="3075" max="3075" width="13.375" style="16" customWidth="1"/>
    <col min="3076" max="3076" width="41.25" style="16" bestFit="1" customWidth="1"/>
    <col min="3077" max="3077" width="41.125" style="16" bestFit="1" customWidth="1"/>
    <col min="3078" max="3078" width="20.125" style="16" bestFit="1" customWidth="1"/>
    <col min="3079" max="3079" width="8" style="16" customWidth="1"/>
    <col min="3080" max="3080" width="14.25" style="16" customWidth="1"/>
    <col min="3081" max="3081" width="15.125" style="16" bestFit="1" customWidth="1"/>
    <col min="3082" max="3082" width="23.375" style="16" customWidth="1"/>
    <col min="3083" max="3328" width="9" style="16"/>
    <col min="3329" max="3329" width="9.375" style="16" customWidth="1"/>
    <col min="3330" max="3330" width="21.625" style="16" bestFit="1" customWidth="1"/>
    <col min="3331" max="3331" width="13.375" style="16" customWidth="1"/>
    <col min="3332" max="3332" width="41.25" style="16" bestFit="1" customWidth="1"/>
    <col min="3333" max="3333" width="41.125" style="16" bestFit="1" customWidth="1"/>
    <col min="3334" max="3334" width="20.125" style="16" bestFit="1" customWidth="1"/>
    <col min="3335" max="3335" width="8" style="16" customWidth="1"/>
    <col min="3336" max="3336" width="14.25" style="16" customWidth="1"/>
    <col min="3337" max="3337" width="15.125" style="16" bestFit="1" customWidth="1"/>
    <col min="3338" max="3338" width="23.375" style="16" customWidth="1"/>
    <col min="3339" max="3584" width="9" style="16"/>
    <col min="3585" max="3585" width="9.375" style="16" customWidth="1"/>
    <col min="3586" max="3586" width="21.625" style="16" bestFit="1" customWidth="1"/>
    <col min="3587" max="3587" width="13.375" style="16" customWidth="1"/>
    <col min="3588" max="3588" width="41.25" style="16" bestFit="1" customWidth="1"/>
    <col min="3589" max="3589" width="41.125" style="16" bestFit="1" customWidth="1"/>
    <col min="3590" max="3590" width="20.125" style="16" bestFit="1" customWidth="1"/>
    <col min="3591" max="3591" width="8" style="16" customWidth="1"/>
    <col min="3592" max="3592" width="14.25" style="16" customWidth="1"/>
    <col min="3593" max="3593" width="15.125" style="16" bestFit="1" customWidth="1"/>
    <col min="3594" max="3594" width="23.375" style="16" customWidth="1"/>
    <col min="3595" max="3840" width="9" style="16"/>
    <col min="3841" max="3841" width="9.375" style="16" customWidth="1"/>
    <col min="3842" max="3842" width="21.625" style="16" bestFit="1" customWidth="1"/>
    <col min="3843" max="3843" width="13.375" style="16" customWidth="1"/>
    <col min="3844" max="3844" width="41.25" style="16" bestFit="1" customWidth="1"/>
    <col min="3845" max="3845" width="41.125" style="16" bestFit="1" customWidth="1"/>
    <col min="3846" max="3846" width="20.125" style="16" bestFit="1" customWidth="1"/>
    <col min="3847" max="3847" width="8" style="16" customWidth="1"/>
    <col min="3848" max="3848" width="14.25" style="16" customWidth="1"/>
    <col min="3849" max="3849" width="15.125" style="16" bestFit="1" customWidth="1"/>
    <col min="3850" max="3850" width="23.375" style="16" customWidth="1"/>
    <col min="3851" max="4096" width="9" style="16"/>
    <col min="4097" max="4097" width="9.375" style="16" customWidth="1"/>
    <col min="4098" max="4098" width="21.625" style="16" bestFit="1" customWidth="1"/>
    <col min="4099" max="4099" width="13.375" style="16" customWidth="1"/>
    <col min="4100" max="4100" width="41.25" style="16" bestFit="1" customWidth="1"/>
    <col min="4101" max="4101" width="41.125" style="16" bestFit="1" customWidth="1"/>
    <col min="4102" max="4102" width="20.125" style="16" bestFit="1" customWidth="1"/>
    <col min="4103" max="4103" width="8" style="16" customWidth="1"/>
    <col min="4104" max="4104" width="14.25" style="16" customWidth="1"/>
    <col min="4105" max="4105" width="15.125" style="16" bestFit="1" customWidth="1"/>
    <col min="4106" max="4106" width="23.375" style="16" customWidth="1"/>
    <col min="4107" max="4352" width="9" style="16"/>
    <col min="4353" max="4353" width="9.375" style="16" customWidth="1"/>
    <col min="4354" max="4354" width="21.625" style="16" bestFit="1" customWidth="1"/>
    <col min="4355" max="4355" width="13.375" style="16" customWidth="1"/>
    <col min="4356" max="4356" width="41.25" style="16" bestFit="1" customWidth="1"/>
    <col min="4357" max="4357" width="41.125" style="16" bestFit="1" customWidth="1"/>
    <col min="4358" max="4358" width="20.125" style="16" bestFit="1" customWidth="1"/>
    <col min="4359" max="4359" width="8" style="16" customWidth="1"/>
    <col min="4360" max="4360" width="14.25" style="16" customWidth="1"/>
    <col min="4361" max="4361" width="15.125" style="16" bestFit="1" customWidth="1"/>
    <col min="4362" max="4362" width="23.375" style="16" customWidth="1"/>
    <col min="4363" max="4608" width="9" style="16"/>
    <col min="4609" max="4609" width="9.375" style="16" customWidth="1"/>
    <col min="4610" max="4610" width="21.625" style="16" bestFit="1" customWidth="1"/>
    <col min="4611" max="4611" width="13.375" style="16" customWidth="1"/>
    <col min="4612" max="4612" width="41.25" style="16" bestFit="1" customWidth="1"/>
    <col min="4613" max="4613" width="41.125" style="16" bestFit="1" customWidth="1"/>
    <col min="4614" max="4614" width="20.125" style="16" bestFit="1" customWidth="1"/>
    <col min="4615" max="4615" width="8" style="16" customWidth="1"/>
    <col min="4616" max="4616" width="14.25" style="16" customWidth="1"/>
    <col min="4617" max="4617" width="15.125" style="16" bestFit="1" customWidth="1"/>
    <col min="4618" max="4618" width="23.375" style="16" customWidth="1"/>
    <col min="4619" max="4864" width="9" style="16"/>
    <col min="4865" max="4865" width="9.375" style="16" customWidth="1"/>
    <col min="4866" max="4866" width="21.625" style="16" bestFit="1" customWidth="1"/>
    <col min="4867" max="4867" width="13.375" style="16" customWidth="1"/>
    <col min="4868" max="4868" width="41.25" style="16" bestFit="1" customWidth="1"/>
    <col min="4869" max="4869" width="41.125" style="16" bestFit="1" customWidth="1"/>
    <col min="4870" max="4870" width="20.125" style="16" bestFit="1" customWidth="1"/>
    <col min="4871" max="4871" width="8" style="16" customWidth="1"/>
    <col min="4872" max="4872" width="14.25" style="16" customWidth="1"/>
    <col min="4873" max="4873" width="15.125" style="16" bestFit="1" customWidth="1"/>
    <col min="4874" max="4874" width="23.375" style="16" customWidth="1"/>
    <col min="4875" max="5120" width="9" style="16"/>
    <col min="5121" max="5121" width="9.375" style="16" customWidth="1"/>
    <col min="5122" max="5122" width="21.625" style="16" bestFit="1" customWidth="1"/>
    <col min="5123" max="5123" width="13.375" style="16" customWidth="1"/>
    <col min="5124" max="5124" width="41.25" style="16" bestFit="1" customWidth="1"/>
    <col min="5125" max="5125" width="41.125" style="16" bestFit="1" customWidth="1"/>
    <col min="5126" max="5126" width="20.125" style="16" bestFit="1" customWidth="1"/>
    <col min="5127" max="5127" width="8" style="16" customWidth="1"/>
    <col min="5128" max="5128" width="14.25" style="16" customWidth="1"/>
    <col min="5129" max="5129" width="15.125" style="16" bestFit="1" customWidth="1"/>
    <col min="5130" max="5130" width="23.375" style="16" customWidth="1"/>
    <col min="5131" max="5376" width="9" style="16"/>
    <col min="5377" max="5377" width="9.375" style="16" customWidth="1"/>
    <col min="5378" max="5378" width="21.625" style="16" bestFit="1" customWidth="1"/>
    <col min="5379" max="5379" width="13.375" style="16" customWidth="1"/>
    <col min="5380" max="5380" width="41.25" style="16" bestFit="1" customWidth="1"/>
    <col min="5381" max="5381" width="41.125" style="16" bestFit="1" customWidth="1"/>
    <col min="5382" max="5382" width="20.125" style="16" bestFit="1" customWidth="1"/>
    <col min="5383" max="5383" width="8" style="16" customWidth="1"/>
    <col min="5384" max="5384" width="14.25" style="16" customWidth="1"/>
    <col min="5385" max="5385" width="15.125" style="16" bestFit="1" customWidth="1"/>
    <col min="5386" max="5386" width="23.375" style="16" customWidth="1"/>
    <col min="5387" max="5632" width="9" style="16"/>
    <col min="5633" max="5633" width="9.375" style="16" customWidth="1"/>
    <col min="5634" max="5634" width="21.625" style="16" bestFit="1" customWidth="1"/>
    <col min="5635" max="5635" width="13.375" style="16" customWidth="1"/>
    <col min="5636" max="5636" width="41.25" style="16" bestFit="1" customWidth="1"/>
    <col min="5637" max="5637" width="41.125" style="16" bestFit="1" customWidth="1"/>
    <col min="5638" max="5638" width="20.125" style="16" bestFit="1" customWidth="1"/>
    <col min="5639" max="5639" width="8" style="16" customWidth="1"/>
    <col min="5640" max="5640" width="14.25" style="16" customWidth="1"/>
    <col min="5641" max="5641" width="15.125" style="16" bestFit="1" customWidth="1"/>
    <col min="5642" max="5642" width="23.375" style="16" customWidth="1"/>
    <col min="5643" max="5888" width="9" style="16"/>
    <col min="5889" max="5889" width="9.375" style="16" customWidth="1"/>
    <col min="5890" max="5890" width="21.625" style="16" bestFit="1" customWidth="1"/>
    <col min="5891" max="5891" width="13.375" style="16" customWidth="1"/>
    <col min="5892" max="5892" width="41.25" style="16" bestFit="1" customWidth="1"/>
    <col min="5893" max="5893" width="41.125" style="16" bestFit="1" customWidth="1"/>
    <col min="5894" max="5894" width="20.125" style="16" bestFit="1" customWidth="1"/>
    <col min="5895" max="5895" width="8" style="16" customWidth="1"/>
    <col min="5896" max="5896" width="14.25" style="16" customWidth="1"/>
    <col min="5897" max="5897" width="15.125" style="16" bestFit="1" customWidth="1"/>
    <col min="5898" max="5898" width="23.375" style="16" customWidth="1"/>
    <col min="5899" max="6144" width="9" style="16"/>
    <col min="6145" max="6145" width="9.375" style="16" customWidth="1"/>
    <col min="6146" max="6146" width="21.625" style="16" bestFit="1" customWidth="1"/>
    <col min="6147" max="6147" width="13.375" style="16" customWidth="1"/>
    <col min="6148" max="6148" width="41.25" style="16" bestFit="1" customWidth="1"/>
    <col min="6149" max="6149" width="41.125" style="16" bestFit="1" customWidth="1"/>
    <col min="6150" max="6150" width="20.125" style="16" bestFit="1" customWidth="1"/>
    <col min="6151" max="6151" width="8" style="16" customWidth="1"/>
    <col min="6152" max="6152" width="14.25" style="16" customWidth="1"/>
    <col min="6153" max="6153" width="15.125" style="16" bestFit="1" customWidth="1"/>
    <col min="6154" max="6154" width="23.375" style="16" customWidth="1"/>
    <col min="6155" max="6400" width="9" style="16"/>
    <col min="6401" max="6401" width="9.375" style="16" customWidth="1"/>
    <col min="6402" max="6402" width="21.625" style="16" bestFit="1" customWidth="1"/>
    <col min="6403" max="6403" width="13.375" style="16" customWidth="1"/>
    <col min="6404" max="6404" width="41.25" style="16" bestFit="1" customWidth="1"/>
    <col min="6405" max="6405" width="41.125" style="16" bestFit="1" customWidth="1"/>
    <col min="6406" max="6406" width="20.125" style="16" bestFit="1" customWidth="1"/>
    <col min="6407" max="6407" width="8" style="16" customWidth="1"/>
    <col min="6408" max="6408" width="14.25" style="16" customWidth="1"/>
    <col min="6409" max="6409" width="15.125" style="16" bestFit="1" customWidth="1"/>
    <col min="6410" max="6410" width="23.375" style="16" customWidth="1"/>
    <col min="6411" max="6656" width="9" style="16"/>
    <col min="6657" max="6657" width="9.375" style="16" customWidth="1"/>
    <col min="6658" max="6658" width="21.625" style="16" bestFit="1" customWidth="1"/>
    <col min="6659" max="6659" width="13.375" style="16" customWidth="1"/>
    <col min="6660" max="6660" width="41.25" style="16" bestFit="1" customWidth="1"/>
    <col min="6661" max="6661" width="41.125" style="16" bestFit="1" customWidth="1"/>
    <col min="6662" max="6662" width="20.125" style="16" bestFit="1" customWidth="1"/>
    <col min="6663" max="6663" width="8" style="16" customWidth="1"/>
    <col min="6664" max="6664" width="14.25" style="16" customWidth="1"/>
    <col min="6665" max="6665" width="15.125" style="16" bestFit="1" customWidth="1"/>
    <col min="6666" max="6666" width="23.375" style="16" customWidth="1"/>
    <col min="6667" max="6912" width="9" style="16"/>
    <col min="6913" max="6913" width="9.375" style="16" customWidth="1"/>
    <col min="6914" max="6914" width="21.625" style="16" bestFit="1" customWidth="1"/>
    <col min="6915" max="6915" width="13.375" style="16" customWidth="1"/>
    <col min="6916" max="6916" width="41.25" style="16" bestFit="1" customWidth="1"/>
    <col min="6917" max="6917" width="41.125" style="16" bestFit="1" customWidth="1"/>
    <col min="6918" max="6918" width="20.125" style="16" bestFit="1" customWidth="1"/>
    <col min="6919" max="6919" width="8" style="16" customWidth="1"/>
    <col min="6920" max="6920" width="14.25" style="16" customWidth="1"/>
    <col min="6921" max="6921" width="15.125" style="16" bestFit="1" customWidth="1"/>
    <col min="6922" max="6922" width="23.375" style="16" customWidth="1"/>
    <col min="6923" max="7168" width="9" style="16"/>
    <col min="7169" max="7169" width="9.375" style="16" customWidth="1"/>
    <col min="7170" max="7170" width="21.625" style="16" bestFit="1" customWidth="1"/>
    <col min="7171" max="7171" width="13.375" style="16" customWidth="1"/>
    <col min="7172" max="7172" width="41.25" style="16" bestFit="1" customWidth="1"/>
    <col min="7173" max="7173" width="41.125" style="16" bestFit="1" customWidth="1"/>
    <col min="7174" max="7174" width="20.125" style="16" bestFit="1" customWidth="1"/>
    <col min="7175" max="7175" width="8" style="16" customWidth="1"/>
    <col min="7176" max="7176" width="14.25" style="16" customWidth="1"/>
    <col min="7177" max="7177" width="15.125" style="16" bestFit="1" customWidth="1"/>
    <col min="7178" max="7178" width="23.375" style="16" customWidth="1"/>
    <col min="7179" max="7424" width="9" style="16"/>
    <col min="7425" max="7425" width="9.375" style="16" customWidth="1"/>
    <col min="7426" max="7426" width="21.625" style="16" bestFit="1" customWidth="1"/>
    <col min="7427" max="7427" width="13.375" style="16" customWidth="1"/>
    <col min="7428" max="7428" width="41.25" style="16" bestFit="1" customWidth="1"/>
    <col min="7429" max="7429" width="41.125" style="16" bestFit="1" customWidth="1"/>
    <col min="7430" max="7430" width="20.125" style="16" bestFit="1" customWidth="1"/>
    <col min="7431" max="7431" width="8" style="16" customWidth="1"/>
    <col min="7432" max="7432" width="14.25" style="16" customWidth="1"/>
    <col min="7433" max="7433" width="15.125" style="16" bestFit="1" customWidth="1"/>
    <col min="7434" max="7434" width="23.375" style="16" customWidth="1"/>
    <col min="7435" max="7680" width="9" style="16"/>
    <col min="7681" max="7681" width="9.375" style="16" customWidth="1"/>
    <col min="7682" max="7682" width="21.625" style="16" bestFit="1" customWidth="1"/>
    <col min="7683" max="7683" width="13.375" style="16" customWidth="1"/>
    <col min="7684" max="7684" width="41.25" style="16" bestFit="1" customWidth="1"/>
    <col min="7685" max="7685" width="41.125" style="16" bestFit="1" customWidth="1"/>
    <col min="7686" max="7686" width="20.125" style="16" bestFit="1" customWidth="1"/>
    <col min="7687" max="7687" width="8" style="16" customWidth="1"/>
    <col min="7688" max="7688" width="14.25" style="16" customWidth="1"/>
    <col min="7689" max="7689" width="15.125" style="16" bestFit="1" customWidth="1"/>
    <col min="7690" max="7690" width="23.375" style="16" customWidth="1"/>
    <col min="7691" max="7936" width="9" style="16"/>
    <col min="7937" max="7937" width="9.375" style="16" customWidth="1"/>
    <col min="7938" max="7938" width="21.625" style="16" bestFit="1" customWidth="1"/>
    <col min="7939" max="7939" width="13.375" style="16" customWidth="1"/>
    <col min="7940" max="7940" width="41.25" style="16" bestFit="1" customWidth="1"/>
    <col min="7941" max="7941" width="41.125" style="16" bestFit="1" customWidth="1"/>
    <col min="7942" max="7942" width="20.125" style="16" bestFit="1" customWidth="1"/>
    <col min="7943" max="7943" width="8" style="16" customWidth="1"/>
    <col min="7944" max="7944" width="14.25" style="16" customWidth="1"/>
    <col min="7945" max="7945" width="15.125" style="16" bestFit="1" customWidth="1"/>
    <col min="7946" max="7946" width="23.375" style="16" customWidth="1"/>
    <col min="7947" max="8192" width="9" style="16"/>
    <col min="8193" max="8193" width="9.375" style="16" customWidth="1"/>
    <col min="8194" max="8194" width="21.625" style="16" bestFit="1" customWidth="1"/>
    <col min="8195" max="8195" width="13.375" style="16" customWidth="1"/>
    <col min="8196" max="8196" width="41.25" style="16" bestFit="1" customWidth="1"/>
    <col min="8197" max="8197" width="41.125" style="16" bestFit="1" customWidth="1"/>
    <col min="8198" max="8198" width="20.125" style="16" bestFit="1" customWidth="1"/>
    <col min="8199" max="8199" width="8" style="16" customWidth="1"/>
    <col min="8200" max="8200" width="14.25" style="16" customWidth="1"/>
    <col min="8201" max="8201" width="15.125" style="16" bestFit="1" customWidth="1"/>
    <col min="8202" max="8202" width="23.375" style="16" customWidth="1"/>
    <col min="8203" max="8448" width="9" style="16"/>
    <col min="8449" max="8449" width="9.375" style="16" customWidth="1"/>
    <col min="8450" max="8450" width="21.625" style="16" bestFit="1" customWidth="1"/>
    <col min="8451" max="8451" width="13.375" style="16" customWidth="1"/>
    <col min="8452" max="8452" width="41.25" style="16" bestFit="1" customWidth="1"/>
    <col min="8453" max="8453" width="41.125" style="16" bestFit="1" customWidth="1"/>
    <col min="8454" max="8454" width="20.125" style="16" bestFit="1" customWidth="1"/>
    <col min="8455" max="8455" width="8" style="16" customWidth="1"/>
    <col min="8456" max="8456" width="14.25" style="16" customWidth="1"/>
    <col min="8457" max="8457" width="15.125" style="16" bestFit="1" customWidth="1"/>
    <col min="8458" max="8458" width="23.375" style="16" customWidth="1"/>
    <col min="8459" max="8704" width="9" style="16"/>
    <col min="8705" max="8705" width="9.375" style="16" customWidth="1"/>
    <col min="8706" max="8706" width="21.625" style="16" bestFit="1" customWidth="1"/>
    <col min="8707" max="8707" width="13.375" style="16" customWidth="1"/>
    <col min="8708" max="8708" width="41.25" style="16" bestFit="1" customWidth="1"/>
    <col min="8709" max="8709" width="41.125" style="16" bestFit="1" customWidth="1"/>
    <col min="8710" max="8710" width="20.125" style="16" bestFit="1" customWidth="1"/>
    <col min="8711" max="8711" width="8" style="16" customWidth="1"/>
    <col min="8712" max="8712" width="14.25" style="16" customWidth="1"/>
    <col min="8713" max="8713" width="15.125" style="16" bestFit="1" customWidth="1"/>
    <col min="8714" max="8714" width="23.375" style="16" customWidth="1"/>
    <col min="8715" max="8960" width="9" style="16"/>
    <col min="8961" max="8961" width="9.375" style="16" customWidth="1"/>
    <col min="8962" max="8962" width="21.625" style="16" bestFit="1" customWidth="1"/>
    <col min="8963" max="8963" width="13.375" style="16" customWidth="1"/>
    <col min="8964" max="8964" width="41.25" style="16" bestFit="1" customWidth="1"/>
    <col min="8965" max="8965" width="41.125" style="16" bestFit="1" customWidth="1"/>
    <col min="8966" max="8966" width="20.125" style="16" bestFit="1" customWidth="1"/>
    <col min="8967" max="8967" width="8" style="16" customWidth="1"/>
    <col min="8968" max="8968" width="14.25" style="16" customWidth="1"/>
    <col min="8969" max="8969" width="15.125" style="16" bestFit="1" customWidth="1"/>
    <col min="8970" max="8970" width="23.375" style="16" customWidth="1"/>
    <col min="8971" max="9216" width="9" style="16"/>
    <col min="9217" max="9217" width="9.375" style="16" customWidth="1"/>
    <col min="9218" max="9218" width="21.625" style="16" bestFit="1" customWidth="1"/>
    <col min="9219" max="9219" width="13.375" style="16" customWidth="1"/>
    <col min="9220" max="9220" width="41.25" style="16" bestFit="1" customWidth="1"/>
    <col min="9221" max="9221" width="41.125" style="16" bestFit="1" customWidth="1"/>
    <col min="9222" max="9222" width="20.125" style="16" bestFit="1" customWidth="1"/>
    <col min="9223" max="9223" width="8" style="16" customWidth="1"/>
    <col min="9224" max="9224" width="14.25" style="16" customWidth="1"/>
    <col min="9225" max="9225" width="15.125" style="16" bestFit="1" customWidth="1"/>
    <col min="9226" max="9226" width="23.375" style="16" customWidth="1"/>
    <col min="9227" max="9472" width="9" style="16"/>
    <col min="9473" max="9473" width="9.375" style="16" customWidth="1"/>
    <col min="9474" max="9474" width="21.625" style="16" bestFit="1" customWidth="1"/>
    <col min="9475" max="9475" width="13.375" style="16" customWidth="1"/>
    <col min="9476" max="9476" width="41.25" style="16" bestFit="1" customWidth="1"/>
    <col min="9477" max="9477" width="41.125" style="16" bestFit="1" customWidth="1"/>
    <col min="9478" max="9478" width="20.125" style="16" bestFit="1" customWidth="1"/>
    <col min="9479" max="9479" width="8" style="16" customWidth="1"/>
    <col min="9480" max="9480" width="14.25" style="16" customWidth="1"/>
    <col min="9481" max="9481" width="15.125" style="16" bestFit="1" customWidth="1"/>
    <col min="9482" max="9482" width="23.375" style="16" customWidth="1"/>
    <col min="9483" max="9728" width="9" style="16"/>
    <col min="9729" max="9729" width="9.375" style="16" customWidth="1"/>
    <col min="9730" max="9730" width="21.625" style="16" bestFit="1" customWidth="1"/>
    <col min="9731" max="9731" width="13.375" style="16" customWidth="1"/>
    <col min="9732" max="9732" width="41.25" style="16" bestFit="1" customWidth="1"/>
    <col min="9733" max="9733" width="41.125" style="16" bestFit="1" customWidth="1"/>
    <col min="9734" max="9734" width="20.125" style="16" bestFit="1" customWidth="1"/>
    <col min="9735" max="9735" width="8" style="16" customWidth="1"/>
    <col min="9736" max="9736" width="14.25" style="16" customWidth="1"/>
    <col min="9737" max="9737" width="15.125" style="16" bestFit="1" customWidth="1"/>
    <col min="9738" max="9738" width="23.375" style="16" customWidth="1"/>
    <col min="9739" max="9984" width="9" style="16"/>
    <col min="9985" max="9985" width="9.375" style="16" customWidth="1"/>
    <col min="9986" max="9986" width="21.625" style="16" bestFit="1" customWidth="1"/>
    <col min="9987" max="9987" width="13.375" style="16" customWidth="1"/>
    <col min="9988" max="9988" width="41.25" style="16" bestFit="1" customWidth="1"/>
    <col min="9989" max="9989" width="41.125" style="16" bestFit="1" customWidth="1"/>
    <col min="9990" max="9990" width="20.125" style="16" bestFit="1" customWidth="1"/>
    <col min="9991" max="9991" width="8" style="16" customWidth="1"/>
    <col min="9992" max="9992" width="14.25" style="16" customWidth="1"/>
    <col min="9993" max="9993" width="15.125" style="16" bestFit="1" customWidth="1"/>
    <col min="9994" max="9994" width="23.375" style="16" customWidth="1"/>
    <col min="9995" max="10240" width="9" style="16"/>
    <col min="10241" max="10241" width="9.375" style="16" customWidth="1"/>
    <col min="10242" max="10242" width="21.625" style="16" bestFit="1" customWidth="1"/>
    <col min="10243" max="10243" width="13.375" style="16" customWidth="1"/>
    <col min="10244" max="10244" width="41.25" style="16" bestFit="1" customWidth="1"/>
    <col min="10245" max="10245" width="41.125" style="16" bestFit="1" customWidth="1"/>
    <col min="10246" max="10246" width="20.125" style="16" bestFit="1" customWidth="1"/>
    <col min="10247" max="10247" width="8" style="16" customWidth="1"/>
    <col min="10248" max="10248" width="14.25" style="16" customWidth="1"/>
    <col min="10249" max="10249" width="15.125" style="16" bestFit="1" customWidth="1"/>
    <col min="10250" max="10250" width="23.375" style="16" customWidth="1"/>
    <col min="10251" max="10496" width="9" style="16"/>
    <col min="10497" max="10497" width="9.375" style="16" customWidth="1"/>
    <col min="10498" max="10498" width="21.625" style="16" bestFit="1" customWidth="1"/>
    <col min="10499" max="10499" width="13.375" style="16" customWidth="1"/>
    <col min="10500" max="10500" width="41.25" style="16" bestFit="1" customWidth="1"/>
    <col min="10501" max="10501" width="41.125" style="16" bestFit="1" customWidth="1"/>
    <col min="10502" max="10502" width="20.125" style="16" bestFit="1" customWidth="1"/>
    <col min="10503" max="10503" width="8" style="16" customWidth="1"/>
    <col min="10504" max="10504" width="14.25" style="16" customWidth="1"/>
    <col min="10505" max="10505" width="15.125" style="16" bestFit="1" customWidth="1"/>
    <col min="10506" max="10506" width="23.375" style="16" customWidth="1"/>
    <col min="10507" max="10752" width="9" style="16"/>
    <col min="10753" max="10753" width="9.375" style="16" customWidth="1"/>
    <col min="10754" max="10754" width="21.625" style="16" bestFit="1" customWidth="1"/>
    <col min="10755" max="10755" width="13.375" style="16" customWidth="1"/>
    <col min="10756" max="10756" width="41.25" style="16" bestFit="1" customWidth="1"/>
    <col min="10757" max="10757" width="41.125" style="16" bestFit="1" customWidth="1"/>
    <col min="10758" max="10758" width="20.125" style="16" bestFit="1" customWidth="1"/>
    <col min="10759" max="10759" width="8" style="16" customWidth="1"/>
    <col min="10760" max="10760" width="14.25" style="16" customWidth="1"/>
    <col min="10761" max="10761" width="15.125" style="16" bestFit="1" customWidth="1"/>
    <col min="10762" max="10762" width="23.375" style="16" customWidth="1"/>
    <col min="10763" max="11008" width="9" style="16"/>
    <col min="11009" max="11009" width="9.375" style="16" customWidth="1"/>
    <col min="11010" max="11010" width="21.625" style="16" bestFit="1" customWidth="1"/>
    <col min="11011" max="11011" width="13.375" style="16" customWidth="1"/>
    <col min="11012" max="11012" width="41.25" style="16" bestFit="1" customWidth="1"/>
    <col min="11013" max="11013" width="41.125" style="16" bestFit="1" customWidth="1"/>
    <col min="11014" max="11014" width="20.125" style="16" bestFit="1" customWidth="1"/>
    <col min="11015" max="11015" width="8" style="16" customWidth="1"/>
    <col min="11016" max="11016" width="14.25" style="16" customWidth="1"/>
    <col min="11017" max="11017" width="15.125" style="16" bestFit="1" customWidth="1"/>
    <col min="11018" max="11018" width="23.375" style="16" customWidth="1"/>
    <col min="11019" max="11264" width="9" style="16"/>
    <col min="11265" max="11265" width="9.375" style="16" customWidth="1"/>
    <col min="11266" max="11266" width="21.625" style="16" bestFit="1" customWidth="1"/>
    <col min="11267" max="11267" width="13.375" style="16" customWidth="1"/>
    <col min="11268" max="11268" width="41.25" style="16" bestFit="1" customWidth="1"/>
    <col min="11269" max="11269" width="41.125" style="16" bestFit="1" customWidth="1"/>
    <col min="11270" max="11270" width="20.125" style="16" bestFit="1" customWidth="1"/>
    <col min="11271" max="11271" width="8" style="16" customWidth="1"/>
    <col min="11272" max="11272" width="14.25" style="16" customWidth="1"/>
    <col min="11273" max="11273" width="15.125" style="16" bestFit="1" customWidth="1"/>
    <col min="11274" max="11274" width="23.375" style="16" customWidth="1"/>
    <col min="11275" max="11520" width="9" style="16"/>
    <col min="11521" max="11521" width="9.375" style="16" customWidth="1"/>
    <col min="11522" max="11522" width="21.625" style="16" bestFit="1" customWidth="1"/>
    <col min="11523" max="11523" width="13.375" style="16" customWidth="1"/>
    <col min="11524" max="11524" width="41.25" style="16" bestFit="1" customWidth="1"/>
    <col min="11525" max="11525" width="41.125" style="16" bestFit="1" customWidth="1"/>
    <col min="11526" max="11526" width="20.125" style="16" bestFit="1" customWidth="1"/>
    <col min="11527" max="11527" width="8" style="16" customWidth="1"/>
    <col min="11528" max="11528" width="14.25" style="16" customWidth="1"/>
    <col min="11529" max="11529" width="15.125" style="16" bestFit="1" customWidth="1"/>
    <col min="11530" max="11530" width="23.375" style="16" customWidth="1"/>
    <col min="11531" max="11776" width="9" style="16"/>
    <col min="11777" max="11777" width="9.375" style="16" customWidth="1"/>
    <col min="11778" max="11778" width="21.625" style="16" bestFit="1" customWidth="1"/>
    <col min="11779" max="11779" width="13.375" style="16" customWidth="1"/>
    <col min="11780" max="11780" width="41.25" style="16" bestFit="1" customWidth="1"/>
    <col min="11781" max="11781" width="41.125" style="16" bestFit="1" customWidth="1"/>
    <col min="11782" max="11782" width="20.125" style="16" bestFit="1" customWidth="1"/>
    <col min="11783" max="11783" width="8" style="16" customWidth="1"/>
    <col min="11784" max="11784" width="14.25" style="16" customWidth="1"/>
    <col min="11785" max="11785" width="15.125" style="16" bestFit="1" customWidth="1"/>
    <col min="11786" max="11786" width="23.375" style="16" customWidth="1"/>
    <col min="11787" max="12032" width="9" style="16"/>
    <col min="12033" max="12033" width="9.375" style="16" customWidth="1"/>
    <col min="12034" max="12034" width="21.625" style="16" bestFit="1" customWidth="1"/>
    <col min="12035" max="12035" width="13.375" style="16" customWidth="1"/>
    <col min="12036" max="12036" width="41.25" style="16" bestFit="1" customWidth="1"/>
    <col min="12037" max="12037" width="41.125" style="16" bestFit="1" customWidth="1"/>
    <col min="12038" max="12038" width="20.125" style="16" bestFit="1" customWidth="1"/>
    <col min="12039" max="12039" width="8" style="16" customWidth="1"/>
    <col min="12040" max="12040" width="14.25" style="16" customWidth="1"/>
    <col min="12041" max="12041" width="15.125" style="16" bestFit="1" customWidth="1"/>
    <col min="12042" max="12042" width="23.375" style="16" customWidth="1"/>
    <col min="12043" max="12288" width="9" style="16"/>
    <col min="12289" max="12289" width="9.375" style="16" customWidth="1"/>
    <col min="12290" max="12290" width="21.625" style="16" bestFit="1" customWidth="1"/>
    <col min="12291" max="12291" width="13.375" style="16" customWidth="1"/>
    <col min="12292" max="12292" width="41.25" style="16" bestFit="1" customWidth="1"/>
    <col min="12293" max="12293" width="41.125" style="16" bestFit="1" customWidth="1"/>
    <col min="12294" max="12294" width="20.125" style="16" bestFit="1" customWidth="1"/>
    <col min="12295" max="12295" width="8" style="16" customWidth="1"/>
    <col min="12296" max="12296" width="14.25" style="16" customWidth="1"/>
    <col min="12297" max="12297" width="15.125" style="16" bestFit="1" customWidth="1"/>
    <col min="12298" max="12298" width="23.375" style="16" customWidth="1"/>
    <col min="12299" max="12544" width="9" style="16"/>
    <col min="12545" max="12545" width="9.375" style="16" customWidth="1"/>
    <col min="12546" max="12546" width="21.625" style="16" bestFit="1" customWidth="1"/>
    <col min="12547" max="12547" width="13.375" style="16" customWidth="1"/>
    <col min="12548" max="12548" width="41.25" style="16" bestFit="1" customWidth="1"/>
    <col min="12549" max="12549" width="41.125" style="16" bestFit="1" customWidth="1"/>
    <col min="12550" max="12550" width="20.125" style="16" bestFit="1" customWidth="1"/>
    <col min="12551" max="12551" width="8" style="16" customWidth="1"/>
    <col min="12552" max="12552" width="14.25" style="16" customWidth="1"/>
    <col min="12553" max="12553" width="15.125" style="16" bestFit="1" customWidth="1"/>
    <col min="12554" max="12554" width="23.375" style="16" customWidth="1"/>
    <col min="12555" max="12800" width="9" style="16"/>
    <col min="12801" max="12801" width="9.375" style="16" customWidth="1"/>
    <col min="12802" max="12802" width="21.625" style="16" bestFit="1" customWidth="1"/>
    <col min="12803" max="12803" width="13.375" style="16" customWidth="1"/>
    <col min="12804" max="12804" width="41.25" style="16" bestFit="1" customWidth="1"/>
    <col min="12805" max="12805" width="41.125" style="16" bestFit="1" customWidth="1"/>
    <col min="12806" max="12806" width="20.125" style="16" bestFit="1" customWidth="1"/>
    <col min="12807" max="12807" width="8" style="16" customWidth="1"/>
    <col min="12808" max="12808" width="14.25" style="16" customWidth="1"/>
    <col min="12809" max="12809" width="15.125" style="16" bestFit="1" customWidth="1"/>
    <col min="12810" max="12810" width="23.375" style="16" customWidth="1"/>
    <col min="12811" max="13056" width="9" style="16"/>
    <col min="13057" max="13057" width="9.375" style="16" customWidth="1"/>
    <col min="13058" max="13058" width="21.625" style="16" bestFit="1" customWidth="1"/>
    <col min="13059" max="13059" width="13.375" style="16" customWidth="1"/>
    <col min="13060" max="13060" width="41.25" style="16" bestFit="1" customWidth="1"/>
    <col min="13061" max="13061" width="41.125" style="16" bestFit="1" customWidth="1"/>
    <col min="13062" max="13062" width="20.125" style="16" bestFit="1" customWidth="1"/>
    <col min="13063" max="13063" width="8" style="16" customWidth="1"/>
    <col min="13064" max="13064" width="14.25" style="16" customWidth="1"/>
    <col min="13065" max="13065" width="15.125" style="16" bestFit="1" customWidth="1"/>
    <col min="13066" max="13066" width="23.375" style="16" customWidth="1"/>
    <col min="13067" max="13312" width="9" style="16"/>
    <col min="13313" max="13313" width="9.375" style="16" customWidth="1"/>
    <col min="13314" max="13314" width="21.625" style="16" bestFit="1" customWidth="1"/>
    <col min="13315" max="13315" width="13.375" style="16" customWidth="1"/>
    <col min="13316" max="13316" width="41.25" style="16" bestFit="1" customWidth="1"/>
    <col min="13317" max="13317" width="41.125" style="16" bestFit="1" customWidth="1"/>
    <col min="13318" max="13318" width="20.125" style="16" bestFit="1" customWidth="1"/>
    <col min="13319" max="13319" width="8" style="16" customWidth="1"/>
    <col min="13320" max="13320" width="14.25" style="16" customWidth="1"/>
    <col min="13321" max="13321" width="15.125" style="16" bestFit="1" customWidth="1"/>
    <col min="13322" max="13322" width="23.375" style="16" customWidth="1"/>
    <col min="13323" max="13568" width="9" style="16"/>
    <col min="13569" max="13569" width="9.375" style="16" customWidth="1"/>
    <col min="13570" max="13570" width="21.625" style="16" bestFit="1" customWidth="1"/>
    <col min="13571" max="13571" width="13.375" style="16" customWidth="1"/>
    <col min="13572" max="13572" width="41.25" style="16" bestFit="1" customWidth="1"/>
    <col min="13573" max="13573" width="41.125" style="16" bestFit="1" customWidth="1"/>
    <col min="13574" max="13574" width="20.125" style="16" bestFit="1" customWidth="1"/>
    <col min="13575" max="13575" width="8" style="16" customWidth="1"/>
    <col min="13576" max="13576" width="14.25" style="16" customWidth="1"/>
    <col min="13577" max="13577" width="15.125" style="16" bestFit="1" customWidth="1"/>
    <col min="13578" max="13578" width="23.375" style="16" customWidth="1"/>
    <col min="13579" max="13824" width="9" style="16"/>
    <col min="13825" max="13825" width="9.375" style="16" customWidth="1"/>
    <col min="13826" max="13826" width="21.625" style="16" bestFit="1" customWidth="1"/>
    <col min="13827" max="13827" width="13.375" style="16" customWidth="1"/>
    <col min="13828" max="13828" width="41.25" style="16" bestFit="1" customWidth="1"/>
    <col min="13829" max="13829" width="41.125" style="16" bestFit="1" customWidth="1"/>
    <col min="13830" max="13830" width="20.125" style="16" bestFit="1" customWidth="1"/>
    <col min="13831" max="13831" width="8" style="16" customWidth="1"/>
    <col min="13832" max="13832" width="14.25" style="16" customWidth="1"/>
    <col min="13833" max="13833" width="15.125" style="16" bestFit="1" customWidth="1"/>
    <col min="13834" max="13834" width="23.375" style="16" customWidth="1"/>
    <col min="13835" max="14080" width="9" style="16"/>
    <col min="14081" max="14081" width="9.375" style="16" customWidth="1"/>
    <col min="14082" max="14082" width="21.625" style="16" bestFit="1" customWidth="1"/>
    <col min="14083" max="14083" width="13.375" style="16" customWidth="1"/>
    <col min="14084" max="14084" width="41.25" style="16" bestFit="1" customWidth="1"/>
    <col min="14085" max="14085" width="41.125" style="16" bestFit="1" customWidth="1"/>
    <col min="14086" max="14086" width="20.125" style="16" bestFit="1" customWidth="1"/>
    <col min="14087" max="14087" width="8" style="16" customWidth="1"/>
    <col min="14088" max="14088" width="14.25" style="16" customWidth="1"/>
    <col min="14089" max="14089" width="15.125" style="16" bestFit="1" customWidth="1"/>
    <col min="14090" max="14090" width="23.375" style="16" customWidth="1"/>
    <col min="14091" max="14336" width="9" style="16"/>
    <col min="14337" max="14337" width="9.375" style="16" customWidth="1"/>
    <col min="14338" max="14338" width="21.625" style="16" bestFit="1" customWidth="1"/>
    <col min="14339" max="14339" width="13.375" style="16" customWidth="1"/>
    <col min="14340" max="14340" width="41.25" style="16" bestFit="1" customWidth="1"/>
    <col min="14341" max="14341" width="41.125" style="16" bestFit="1" customWidth="1"/>
    <col min="14342" max="14342" width="20.125" style="16" bestFit="1" customWidth="1"/>
    <col min="14343" max="14343" width="8" style="16" customWidth="1"/>
    <col min="14344" max="14344" width="14.25" style="16" customWidth="1"/>
    <col min="14345" max="14345" width="15.125" style="16" bestFit="1" customWidth="1"/>
    <col min="14346" max="14346" width="23.375" style="16" customWidth="1"/>
    <col min="14347" max="14592" width="9" style="16"/>
    <col min="14593" max="14593" width="9.375" style="16" customWidth="1"/>
    <col min="14594" max="14594" width="21.625" style="16" bestFit="1" customWidth="1"/>
    <col min="14595" max="14595" width="13.375" style="16" customWidth="1"/>
    <col min="14596" max="14596" width="41.25" style="16" bestFit="1" customWidth="1"/>
    <col min="14597" max="14597" width="41.125" style="16" bestFit="1" customWidth="1"/>
    <col min="14598" max="14598" width="20.125" style="16" bestFit="1" customWidth="1"/>
    <col min="14599" max="14599" width="8" style="16" customWidth="1"/>
    <col min="14600" max="14600" width="14.25" style="16" customWidth="1"/>
    <col min="14601" max="14601" width="15.125" style="16" bestFit="1" customWidth="1"/>
    <col min="14602" max="14602" width="23.375" style="16" customWidth="1"/>
    <col min="14603" max="14848" width="9" style="16"/>
    <col min="14849" max="14849" width="9.375" style="16" customWidth="1"/>
    <col min="14850" max="14850" width="21.625" style="16" bestFit="1" customWidth="1"/>
    <col min="14851" max="14851" width="13.375" style="16" customWidth="1"/>
    <col min="14852" max="14852" width="41.25" style="16" bestFit="1" customWidth="1"/>
    <col min="14853" max="14853" width="41.125" style="16" bestFit="1" customWidth="1"/>
    <col min="14854" max="14854" width="20.125" style="16" bestFit="1" customWidth="1"/>
    <col min="14855" max="14855" width="8" style="16" customWidth="1"/>
    <col min="14856" max="14856" width="14.25" style="16" customWidth="1"/>
    <col min="14857" max="14857" width="15.125" style="16" bestFit="1" customWidth="1"/>
    <col min="14858" max="14858" width="23.375" style="16" customWidth="1"/>
    <col min="14859" max="15104" width="9" style="16"/>
    <col min="15105" max="15105" width="9.375" style="16" customWidth="1"/>
    <col min="15106" max="15106" width="21.625" style="16" bestFit="1" customWidth="1"/>
    <col min="15107" max="15107" width="13.375" style="16" customWidth="1"/>
    <col min="15108" max="15108" width="41.25" style="16" bestFit="1" customWidth="1"/>
    <col min="15109" max="15109" width="41.125" style="16" bestFit="1" customWidth="1"/>
    <col min="15110" max="15110" width="20.125" style="16" bestFit="1" customWidth="1"/>
    <col min="15111" max="15111" width="8" style="16" customWidth="1"/>
    <col min="15112" max="15112" width="14.25" style="16" customWidth="1"/>
    <col min="15113" max="15113" width="15.125" style="16" bestFit="1" customWidth="1"/>
    <col min="15114" max="15114" width="23.375" style="16" customWidth="1"/>
    <col min="15115" max="15360" width="9" style="16"/>
    <col min="15361" max="15361" width="9.375" style="16" customWidth="1"/>
    <col min="15362" max="15362" width="21.625" style="16" bestFit="1" customWidth="1"/>
    <col min="15363" max="15363" width="13.375" style="16" customWidth="1"/>
    <col min="15364" max="15364" width="41.25" style="16" bestFit="1" customWidth="1"/>
    <col min="15365" max="15365" width="41.125" style="16" bestFit="1" customWidth="1"/>
    <col min="15366" max="15366" width="20.125" style="16" bestFit="1" customWidth="1"/>
    <col min="15367" max="15367" width="8" style="16" customWidth="1"/>
    <col min="15368" max="15368" width="14.25" style="16" customWidth="1"/>
    <col min="15369" max="15369" width="15.125" style="16" bestFit="1" customWidth="1"/>
    <col min="15370" max="15370" width="23.375" style="16" customWidth="1"/>
    <col min="15371" max="15616" width="9" style="16"/>
    <col min="15617" max="15617" width="9.375" style="16" customWidth="1"/>
    <col min="15618" max="15618" width="21.625" style="16" bestFit="1" customWidth="1"/>
    <col min="15619" max="15619" width="13.375" style="16" customWidth="1"/>
    <col min="15620" max="15620" width="41.25" style="16" bestFit="1" customWidth="1"/>
    <col min="15621" max="15621" width="41.125" style="16" bestFit="1" customWidth="1"/>
    <col min="15622" max="15622" width="20.125" style="16" bestFit="1" customWidth="1"/>
    <col min="15623" max="15623" width="8" style="16" customWidth="1"/>
    <col min="15624" max="15624" width="14.25" style="16" customWidth="1"/>
    <col min="15625" max="15625" width="15.125" style="16" bestFit="1" customWidth="1"/>
    <col min="15626" max="15626" width="23.375" style="16" customWidth="1"/>
    <col min="15627" max="15872" width="9" style="16"/>
    <col min="15873" max="15873" width="9.375" style="16" customWidth="1"/>
    <col min="15874" max="15874" width="21.625" style="16" bestFit="1" customWidth="1"/>
    <col min="15875" max="15875" width="13.375" style="16" customWidth="1"/>
    <col min="15876" max="15876" width="41.25" style="16" bestFit="1" customWidth="1"/>
    <col min="15877" max="15877" width="41.125" style="16" bestFit="1" customWidth="1"/>
    <col min="15878" max="15878" width="20.125" style="16" bestFit="1" customWidth="1"/>
    <col min="15879" max="15879" width="8" style="16" customWidth="1"/>
    <col min="15880" max="15880" width="14.25" style="16" customWidth="1"/>
    <col min="15881" max="15881" width="15.125" style="16" bestFit="1" customWidth="1"/>
    <col min="15882" max="15882" width="23.375" style="16" customWidth="1"/>
    <col min="15883" max="16128" width="9" style="16"/>
    <col min="16129" max="16129" width="9.375" style="16" customWidth="1"/>
    <col min="16130" max="16130" width="21.625" style="16" bestFit="1" customWidth="1"/>
    <col min="16131" max="16131" width="13.375" style="16" customWidth="1"/>
    <col min="16132" max="16132" width="41.25" style="16" bestFit="1" customWidth="1"/>
    <col min="16133" max="16133" width="41.125" style="16" bestFit="1" customWidth="1"/>
    <col min="16134" max="16134" width="20.125" style="16" bestFit="1" customWidth="1"/>
    <col min="16135" max="16135" width="8" style="16" customWidth="1"/>
    <col min="16136" max="16136" width="14.25" style="16" customWidth="1"/>
    <col min="16137" max="16137" width="15.125" style="16" bestFit="1" customWidth="1"/>
    <col min="16138" max="16138" width="23.375" style="16" customWidth="1"/>
    <col min="16139" max="16384" width="9" style="16"/>
  </cols>
  <sheetData>
    <row r="1" spans="1:12" ht="33.75" customHeight="1">
      <c r="A1" s="327" t="s">
        <v>290</v>
      </c>
      <c r="B1" s="328"/>
      <c r="C1" s="328"/>
      <c r="D1" s="328"/>
      <c r="E1" s="328"/>
      <c r="F1" s="328"/>
      <c r="G1" s="328"/>
      <c r="H1" s="328"/>
      <c r="I1" s="328"/>
      <c r="J1" s="329"/>
    </row>
    <row r="2" spans="1:12" s="150" customFormat="1" ht="19.5" customHeight="1">
      <c r="A2" s="330" t="s">
        <v>291</v>
      </c>
      <c r="B2" s="331" t="s">
        <v>285</v>
      </c>
      <c r="C2" s="330" t="s">
        <v>249</v>
      </c>
      <c r="D2" s="330" t="s">
        <v>250</v>
      </c>
      <c r="E2" s="333" t="s">
        <v>292</v>
      </c>
      <c r="F2" s="330" t="s">
        <v>278</v>
      </c>
      <c r="G2" s="334" t="s">
        <v>293</v>
      </c>
      <c r="H2" s="335" t="s">
        <v>287</v>
      </c>
      <c r="I2" s="149" t="s">
        <v>288</v>
      </c>
      <c r="J2" s="330" t="s">
        <v>289</v>
      </c>
    </row>
    <row r="3" spans="1:12" s="150" customFormat="1" ht="19.5" customHeight="1">
      <c r="A3" s="330"/>
      <c r="B3" s="332"/>
      <c r="C3" s="330"/>
      <c r="D3" s="330"/>
      <c r="E3" s="333"/>
      <c r="F3" s="330"/>
      <c r="G3" s="334"/>
      <c r="H3" s="335"/>
      <c r="I3" s="145">
        <f>ROUND(SUM(I4:I82),)</f>
        <v>67400</v>
      </c>
      <c r="J3" s="330"/>
    </row>
    <row r="4" spans="1:12" s="156" customFormat="1" ht="15" customHeight="1">
      <c r="A4" s="152">
        <f>ROW()-3</f>
        <v>1</v>
      </c>
      <c r="B4" s="153">
        <v>46272</v>
      </c>
      <c r="C4" s="152" t="s">
        <v>423</v>
      </c>
      <c r="D4" s="152" t="s">
        <v>474</v>
      </c>
      <c r="E4" s="152" t="s">
        <v>475</v>
      </c>
      <c r="F4" s="152" t="s">
        <v>411</v>
      </c>
      <c r="G4" s="154">
        <v>3</v>
      </c>
      <c r="H4" s="155">
        <v>20800</v>
      </c>
      <c r="I4" s="155">
        <v>62400</v>
      </c>
      <c r="J4" s="240"/>
      <c r="L4" s="157" t="s">
        <v>246</v>
      </c>
    </row>
    <row r="5" spans="1:12" s="156" customFormat="1" ht="15" customHeight="1">
      <c r="A5" s="152">
        <f>ROW()-3</f>
        <v>2</v>
      </c>
      <c r="B5" s="153">
        <v>46275</v>
      </c>
      <c r="C5" s="152" t="s">
        <v>423</v>
      </c>
      <c r="D5" s="152" t="s">
        <v>478</v>
      </c>
      <c r="E5" s="152" t="s">
        <v>413</v>
      </c>
      <c r="F5" s="152" t="s">
        <v>411</v>
      </c>
      <c r="G5" s="154">
        <v>10</v>
      </c>
      <c r="H5" s="155">
        <v>500</v>
      </c>
      <c r="I5" s="155">
        <v>5000</v>
      </c>
      <c r="J5" s="240"/>
      <c r="L5" s="157" t="s">
        <v>294</v>
      </c>
    </row>
    <row r="6" spans="1:12" s="156" customFormat="1" ht="15" customHeight="1">
      <c r="A6" s="159"/>
      <c r="B6" s="160"/>
      <c r="C6" s="159"/>
      <c r="D6" s="160"/>
      <c r="E6" s="160"/>
      <c r="F6" s="160"/>
      <c r="G6" s="161"/>
      <c r="H6" s="162"/>
      <c r="I6" s="162"/>
      <c r="J6" s="160"/>
      <c r="L6" s="157" t="s">
        <v>285</v>
      </c>
    </row>
    <row r="7" spans="1:12" s="156" customFormat="1" ht="15" customHeight="1">
      <c r="A7" s="159"/>
      <c r="B7" s="160"/>
      <c r="C7" s="159"/>
      <c r="D7" s="160"/>
      <c r="E7" s="160"/>
      <c r="F7" s="160"/>
      <c r="G7" s="161"/>
      <c r="H7" s="162"/>
      <c r="I7" s="162"/>
      <c r="J7" s="160"/>
      <c r="L7" s="157" t="s">
        <v>249</v>
      </c>
    </row>
    <row r="8" spans="1:12" s="156" customFormat="1" ht="15" customHeight="1">
      <c r="A8" s="159"/>
      <c r="B8" s="160"/>
      <c r="C8" s="159"/>
      <c r="D8" s="160"/>
      <c r="E8" s="160"/>
      <c r="F8" s="160"/>
      <c r="G8" s="161"/>
      <c r="H8" s="162"/>
      <c r="I8" s="162"/>
      <c r="J8" s="160"/>
      <c r="L8" s="157" t="s">
        <v>250</v>
      </c>
    </row>
    <row r="9" spans="1:12" s="156" customFormat="1" ht="15" customHeight="1">
      <c r="A9" s="159"/>
      <c r="B9" s="160"/>
      <c r="C9" s="159"/>
      <c r="D9" s="160"/>
      <c r="E9" s="160"/>
      <c r="F9" s="160"/>
      <c r="G9" s="161"/>
      <c r="H9" s="162"/>
      <c r="I9" s="162"/>
      <c r="J9" s="160"/>
      <c r="L9" s="157" t="s">
        <v>292</v>
      </c>
    </row>
    <row r="10" spans="1:12" s="156" customFormat="1" ht="15" customHeight="1">
      <c r="A10" s="159"/>
      <c r="B10" s="160"/>
      <c r="C10" s="159"/>
      <c r="D10" s="160"/>
      <c r="E10" s="160"/>
      <c r="F10" s="160"/>
      <c r="G10" s="161"/>
      <c r="H10" s="162"/>
      <c r="I10" s="162"/>
      <c r="J10" s="160"/>
      <c r="L10" s="157" t="s">
        <v>295</v>
      </c>
    </row>
    <row r="11" spans="1:12" s="156" customFormat="1" ht="15" customHeight="1">
      <c r="A11" s="159"/>
      <c r="B11" s="160"/>
      <c r="C11" s="159"/>
      <c r="D11" s="160"/>
      <c r="E11" s="160"/>
      <c r="F11" s="160"/>
      <c r="G11" s="161"/>
      <c r="H11" s="162"/>
      <c r="I11" s="162"/>
      <c r="J11" s="160"/>
      <c r="L11" s="157" t="s">
        <v>296</v>
      </c>
    </row>
    <row r="12" spans="1:12" ht="13.5" customHeight="1">
      <c r="L12" s="156" t="s">
        <v>287</v>
      </c>
    </row>
    <row r="13" spans="1:12">
      <c r="L13" s="156"/>
    </row>
    <row r="14" spans="1:12" ht="16.5">
      <c r="L14" s="158" t="s">
        <v>297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47"/>
  <sheetViews>
    <sheetView view="pageBreakPreview" zoomScale="85" zoomScaleNormal="115" zoomScaleSheetLayoutView="85" workbookViewId="0">
      <selection activeCell="E17" sqref="E17"/>
    </sheetView>
  </sheetViews>
  <sheetFormatPr defaultRowHeight="15"/>
  <cols>
    <col min="1" max="1" width="9.375" style="159" customWidth="1"/>
    <col min="2" max="2" width="21.625" style="160" bestFit="1" customWidth="1"/>
    <col min="3" max="3" width="13.375" style="159" customWidth="1"/>
    <col min="4" max="4" width="55" style="160" customWidth="1"/>
    <col min="5" max="5" width="41.125" style="160" bestFit="1" customWidth="1"/>
    <col min="6" max="6" width="20.125" style="160" bestFit="1" customWidth="1"/>
    <col min="7" max="7" width="8" style="161" customWidth="1"/>
    <col min="8" max="8" width="14.25" style="162" customWidth="1"/>
    <col min="9" max="9" width="15.125" style="162" bestFit="1" customWidth="1"/>
    <col min="10" max="10" width="23.375" style="160" customWidth="1"/>
    <col min="11" max="11" width="9" style="16" customWidth="1"/>
    <col min="12" max="256" width="9" style="16"/>
    <col min="257" max="257" width="9.375" style="16" customWidth="1"/>
    <col min="258" max="258" width="21.625" style="16" bestFit="1" customWidth="1"/>
    <col min="259" max="259" width="13.375" style="16" customWidth="1"/>
    <col min="260" max="260" width="41.25" style="16" bestFit="1" customWidth="1"/>
    <col min="261" max="261" width="41.125" style="16" bestFit="1" customWidth="1"/>
    <col min="262" max="262" width="20.125" style="16" bestFit="1" customWidth="1"/>
    <col min="263" max="263" width="8" style="16" customWidth="1"/>
    <col min="264" max="264" width="14.25" style="16" customWidth="1"/>
    <col min="265" max="265" width="15.125" style="16" bestFit="1" customWidth="1"/>
    <col min="266" max="266" width="23.375" style="16" customWidth="1"/>
    <col min="267" max="512" width="9" style="16"/>
    <col min="513" max="513" width="9.375" style="16" customWidth="1"/>
    <col min="514" max="514" width="21.625" style="16" bestFit="1" customWidth="1"/>
    <col min="515" max="515" width="13.375" style="16" customWidth="1"/>
    <col min="516" max="516" width="41.25" style="16" bestFit="1" customWidth="1"/>
    <col min="517" max="517" width="41.125" style="16" bestFit="1" customWidth="1"/>
    <col min="518" max="518" width="20.125" style="16" bestFit="1" customWidth="1"/>
    <col min="519" max="519" width="8" style="16" customWidth="1"/>
    <col min="520" max="520" width="14.25" style="16" customWidth="1"/>
    <col min="521" max="521" width="15.125" style="16" bestFit="1" customWidth="1"/>
    <col min="522" max="522" width="23.375" style="16" customWidth="1"/>
    <col min="523" max="768" width="9" style="16"/>
    <col min="769" max="769" width="9.375" style="16" customWidth="1"/>
    <col min="770" max="770" width="21.625" style="16" bestFit="1" customWidth="1"/>
    <col min="771" max="771" width="13.375" style="16" customWidth="1"/>
    <col min="772" max="772" width="41.25" style="16" bestFit="1" customWidth="1"/>
    <col min="773" max="773" width="41.125" style="16" bestFit="1" customWidth="1"/>
    <col min="774" max="774" width="20.125" style="16" bestFit="1" customWidth="1"/>
    <col min="775" max="775" width="8" style="16" customWidth="1"/>
    <col min="776" max="776" width="14.25" style="16" customWidth="1"/>
    <col min="777" max="777" width="15.125" style="16" bestFit="1" customWidth="1"/>
    <col min="778" max="778" width="23.375" style="16" customWidth="1"/>
    <col min="779" max="1024" width="9" style="16"/>
    <col min="1025" max="1025" width="9.375" style="16" customWidth="1"/>
    <col min="1026" max="1026" width="21.625" style="16" bestFit="1" customWidth="1"/>
    <col min="1027" max="1027" width="13.375" style="16" customWidth="1"/>
    <col min="1028" max="1028" width="41.25" style="16" bestFit="1" customWidth="1"/>
    <col min="1029" max="1029" width="41.125" style="16" bestFit="1" customWidth="1"/>
    <col min="1030" max="1030" width="20.125" style="16" bestFit="1" customWidth="1"/>
    <col min="1031" max="1031" width="8" style="16" customWidth="1"/>
    <col min="1032" max="1032" width="14.25" style="16" customWidth="1"/>
    <col min="1033" max="1033" width="15.125" style="16" bestFit="1" customWidth="1"/>
    <col min="1034" max="1034" width="23.375" style="16" customWidth="1"/>
    <col min="1035" max="1280" width="9" style="16"/>
    <col min="1281" max="1281" width="9.375" style="16" customWidth="1"/>
    <col min="1282" max="1282" width="21.625" style="16" bestFit="1" customWidth="1"/>
    <col min="1283" max="1283" width="13.375" style="16" customWidth="1"/>
    <col min="1284" max="1284" width="41.25" style="16" bestFit="1" customWidth="1"/>
    <col min="1285" max="1285" width="41.125" style="16" bestFit="1" customWidth="1"/>
    <col min="1286" max="1286" width="20.125" style="16" bestFit="1" customWidth="1"/>
    <col min="1287" max="1287" width="8" style="16" customWidth="1"/>
    <col min="1288" max="1288" width="14.25" style="16" customWidth="1"/>
    <col min="1289" max="1289" width="15.125" style="16" bestFit="1" customWidth="1"/>
    <col min="1290" max="1290" width="23.375" style="16" customWidth="1"/>
    <col min="1291" max="1536" width="9" style="16"/>
    <col min="1537" max="1537" width="9.375" style="16" customWidth="1"/>
    <col min="1538" max="1538" width="21.625" style="16" bestFit="1" customWidth="1"/>
    <col min="1539" max="1539" width="13.375" style="16" customWidth="1"/>
    <col min="1540" max="1540" width="41.25" style="16" bestFit="1" customWidth="1"/>
    <col min="1541" max="1541" width="41.125" style="16" bestFit="1" customWidth="1"/>
    <col min="1542" max="1542" width="20.125" style="16" bestFit="1" customWidth="1"/>
    <col min="1543" max="1543" width="8" style="16" customWidth="1"/>
    <col min="1544" max="1544" width="14.25" style="16" customWidth="1"/>
    <col min="1545" max="1545" width="15.125" style="16" bestFit="1" customWidth="1"/>
    <col min="1546" max="1546" width="23.375" style="16" customWidth="1"/>
    <col min="1547" max="1792" width="9" style="16"/>
    <col min="1793" max="1793" width="9.375" style="16" customWidth="1"/>
    <col min="1794" max="1794" width="21.625" style="16" bestFit="1" customWidth="1"/>
    <col min="1795" max="1795" width="13.375" style="16" customWidth="1"/>
    <col min="1796" max="1796" width="41.25" style="16" bestFit="1" customWidth="1"/>
    <col min="1797" max="1797" width="41.125" style="16" bestFit="1" customWidth="1"/>
    <col min="1798" max="1798" width="20.125" style="16" bestFit="1" customWidth="1"/>
    <col min="1799" max="1799" width="8" style="16" customWidth="1"/>
    <col min="1800" max="1800" width="14.25" style="16" customWidth="1"/>
    <col min="1801" max="1801" width="15.125" style="16" bestFit="1" customWidth="1"/>
    <col min="1802" max="1802" width="23.375" style="16" customWidth="1"/>
    <col min="1803" max="2048" width="9" style="16"/>
    <col min="2049" max="2049" width="9.375" style="16" customWidth="1"/>
    <col min="2050" max="2050" width="21.625" style="16" bestFit="1" customWidth="1"/>
    <col min="2051" max="2051" width="13.375" style="16" customWidth="1"/>
    <col min="2052" max="2052" width="41.25" style="16" bestFit="1" customWidth="1"/>
    <col min="2053" max="2053" width="41.125" style="16" bestFit="1" customWidth="1"/>
    <col min="2054" max="2054" width="20.125" style="16" bestFit="1" customWidth="1"/>
    <col min="2055" max="2055" width="8" style="16" customWidth="1"/>
    <col min="2056" max="2056" width="14.25" style="16" customWidth="1"/>
    <col min="2057" max="2057" width="15.125" style="16" bestFit="1" customWidth="1"/>
    <col min="2058" max="2058" width="23.375" style="16" customWidth="1"/>
    <col min="2059" max="2304" width="9" style="16"/>
    <col min="2305" max="2305" width="9.375" style="16" customWidth="1"/>
    <col min="2306" max="2306" width="21.625" style="16" bestFit="1" customWidth="1"/>
    <col min="2307" max="2307" width="13.375" style="16" customWidth="1"/>
    <col min="2308" max="2308" width="41.25" style="16" bestFit="1" customWidth="1"/>
    <col min="2309" max="2309" width="41.125" style="16" bestFit="1" customWidth="1"/>
    <col min="2310" max="2310" width="20.125" style="16" bestFit="1" customWidth="1"/>
    <col min="2311" max="2311" width="8" style="16" customWidth="1"/>
    <col min="2312" max="2312" width="14.25" style="16" customWidth="1"/>
    <col min="2313" max="2313" width="15.125" style="16" bestFit="1" customWidth="1"/>
    <col min="2314" max="2314" width="23.375" style="16" customWidth="1"/>
    <col min="2315" max="2560" width="9" style="16"/>
    <col min="2561" max="2561" width="9.375" style="16" customWidth="1"/>
    <col min="2562" max="2562" width="21.625" style="16" bestFit="1" customWidth="1"/>
    <col min="2563" max="2563" width="13.375" style="16" customWidth="1"/>
    <col min="2564" max="2564" width="41.25" style="16" bestFit="1" customWidth="1"/>
    <col min="2565" max="2565" width="41.125" style="16" bestFit="1" customWidth="1"/>
    <col min="2566" max="2566" width="20.125" style="16" bestFit="1" customWidth="1"/>
    <col min="2567" max="2567" width="8" style="16" customWidth="1"/>
    <col min="2568" max="2568" width="14.25" style="16" customWidth="1"/>
    <col min="2569" max="2569" width="15.125" style="16" bestFit="1" customWidth="1"/>
    <col min="2570" max="2570" width="23.375" style="16" customWidth="1"/>
    <col min="2571" max="2816" width="9" style="16"/>
    <col min="2817" max="2817" width="9.375" style="16" customWidth="1"/>
    <col min="2818" max="2818" width="21.625" style="16" bestFit="1" customWidth="1"/>
    <col min="2819" max="2819" width="13.375" style="16" customWidth="1"/>
    <col min="2820" max="2820" width="41.25" style="16" bestFit="1" customWidth="1"/>
    <col min="2821" max="2821" width="41.125" style="16" bestFit="1" customWidth="1"/>
    <col min="2822" max="2822" width="20.125" style="16" bestFit="1" customWidth="1"/>
    <col min="2823" max="2823" width="8" style="16" customWidth="1"/>
    <col min="2824" max="2824" width="14.25" style="16" customWidth="1"/>
    <col min="2825" max="2825" width="15.125" style="16" bestFit="1" customWidth="1"/>
    <col min="2826" max="2826" width="23.375" style="16" customWidth="1"/>
    <col min="2827" max="3072" width="9" style="16"/>
    <col min="3073" max="3073" width="9.375" style="16" customWidth="1"/>
    <col min="3074" max="3074" width="21.625" style="16" bestFit="1" customWidth="1"/>
    <col min="3075" max="3075" width="13.375" style="16" customWidth="1"/>
    <col min="3076" max="3076" width="41.25" style="16" bestFit="1" customWidth="1"/>
    <col min="3077" max="3077" width="41.125" style="16" bestFit="1" customWidth="1"/>
    <col min="3078" max="3078" width="20.125" style="16" bestFit="1" customWidth="1"/>
    <col min="3079" max="3079" width="8" style="16" customWidth="1"/>
    <col min="3080" max="3080" width="14.25" style="16" customWidth="1"/>
    <col min="3081" max="3081" width="15.125" style="16" bestFit="1" customWidth="1"/>
    <col min="3082" max="3082" width="23.375" style="16" customWidth="1"/>
    <col min="3083" max="3328" width="9" style="16"/>
    <col min="3329" max="3329" width="9.375" style="16" customWidth="1"/>
    <col min="3330" max="3330" width="21.625" style="16" bestFit="1" customWidth="1"/>
    <col min="3331" max="3331" width="13.375" style="16" customWidth="1"/>
    <col min="3332" max="3332" width="41.25" style="16" bestFit="1" customWidth="1"/>
    <col min="3333" max="3333" width="41.125" style="16" bestFit="1" customWidth="1"/>
    <col min="3334" max="3334" width="20.125" style="16" bestFit="1" customWidth="1"/>
    <col min="3335" max="3335" width="8" style="16" customWidth="1"/>
    <col min="3336" max="3336" width="14.25" style="16" customWidth="1"/>
    <col min="3337" max="3337" width="15.125" style="16" bestFit="1" customWidth="1"/>
    <col min="3338" max="3338" width="23.375" style="16" customWidth="1"/>
    <col min="3339" max="3584" width="9" style="16"/>
    <col min="3585" max="3585" width="9.375" style="16" customWidth="1"/>
    <col min="3586" max="3586" width="21.625" style="16" bestFit="1" customWidth="1"/>
    <col min="3587" max="3587" width="13.375" style="16" customWidth="1"/>
    <col min="3588" max="3588" width="41.25" style="16" bestFit="1" customWidth="1"/>
    <col min="3589" max="3589" width="41.125" style="16" bestFit="1" customWidth="1"/>
    <col min="3590" max="3590" width="20.125" style="16" bestFit="1" customWidth="1"/>
    <col min="3591" max="3591" width="8" style="16" customWidth="1"/>
    <col min="3592" max="3592" width="14.25" style="16" customWidth="1"/>
    <col min="3593" max="3593" width="15.125" style="16" bestFit="1" customWidth="1"/>
    <col min="3594" max="3594" width="23.375" style="16" customWidth="1"/>
    <col min="3595" max="3840" width="9" style="16"/>
    <col min="3841" max="3841" width="9.375" style="16" customWidth="1"/>
    <col min="3842" max="3842" width="21.625" style="16" bestFit="1" customWidth="1"/>
    <col min="3843" max="3843" width="13.375" style="16" customWidth="1"/>
    <col min="3844" max="3844" width="41.25" style="16" bestFit="1" customWidth="1"/>
    <col min="3845" max="3845" width="41.125" style="16" bestFit="1" customWidth="1"/>
    <col min="3846" max="3846" width="20.125" style="16" bestFit="1" customWidth="1"/>
    <col min="3847" max="3847" width="8" style="16" customWidth="1"/>
    <col min="3848" max="3848" width="14.25" style="16" customWidth="1"/>
    <col min="3849" max="3849" width="15.125" style="16" bestFit="1" customWidth="1"/>
    <col min="3850" max="3850" width="23.375" style="16" customWidth="1"/>
    <col min="3851" max="4096" width="9" style="16"/>
    <col min="4097" max="4097" width="9.375" style="16" customWidth="1"/>
    <col min="4098" max="4098" width="21.625" style="16" bestFit="1" customWidth="1"/>
    <col min="4099" max="4099" width="13.375" style="16" customWidth="1"/>
    <col min="4100" max="4100" width="41.25" style="16" bestFit="1" customWidth="1"/>
    <col min="4101" max="4101" width="41.125" style="16" bestFit="1" customWidth="1"/>
    <col min="4102" max="4102" width="20.125" style="16" bestFit="1" customWidth="1"/>
    <col min="4103" max="4103" width="8" style="16" customWidth="1"/>
    <col min="4104" max="4104" width="14.25" style="16" customWidth="1"/>
    <col min="4105" max="4105" width="15.125" style="16" bestFit="1" customWidth="1"/>
    <col min="4106" max="4106" width="23.375" style="16" customWidth="1"/>
    <col min="4107" max="4352" width="9" style="16"/>
    <col min="4353" max="4353" width="9.375" style="16" customWidth="1"/>
    <col min="4354" max="4354" width="21.625" style="16" bestFit="1" customWidth="1"/>
    <col min="4355" max="4355" width="13.375" style="16" customWidth="1"/>
    <col min="4356" max="4356" width="41.25" style="16" bestFit="1" customWidth="1"/>
    <col min="4357" max="4357" width="41.125" style="16" bestFit="1" customWidth="1"/>
    <col min="4358" max="4358" width="20.125" style="16" bestFit="1" customWidth="1"/>
    <col min="4359" max="4359" width="8" style="16" customWidth="1"/>
    <col min="4360" max="4360" width="14.25" style="16" customWidth="1"/>
    <col min="4361" max="4361" width="15.125" style="16" bestFit="1" customWidth="1"/>
    <col min="4362" max="4362" width="23.375" style="16" customWidth="1"/>
    <col min="4363" max="4608" width="9" style="16"/>
    <col min="4609" max="4609" width="9.375" style="16" customWidth="1"/>
    <col min="4610" max="4610" width="21.625" style="16" bestFit="1" customWidth="1"/>
    <col min="4611" max="4611" width="13.375" style="16" customWidth="1"/>
    <col min="4612" max="4612" width="41.25" style="16" bestFit="1" customWidth="1"/>
    <col min="4613" max="4613" width="41.125" style="16" bestFit="1" customWidth="1"/>
    <col min="4614" max="4614" width="20.125" style="16" bestFit="1" customWidth="1"/>
    <col min="4615" max="4615" width="8" style="16" customWidth="1"/>
    <col min="4616" max="4616" width="14.25" style="16" customWidth="1"/>
    <col min="4617" max="4617" width="15.125" style="16" bestFit="1" customWidth="1"/>
    <col min="4618" max="4618" width="23.375" style="16" customWidth="1"/>
    <col min="4619" max="4864" width="9" style="16"/>
    <col min="4865" max="4865" width="9.375" style="16" customWidth="1"/>
    <col min="4866" max="4866" width="21.625" style="16" bestFit="1" customWidth="1"/>
    <col min="4867" max="4867" width="13.375" style="16" customWidth="1"/>
    <col min="4868" max="4868" width="41.25" style="16" bestFit="1" customWidth="1"/>
    <col min="4869" max="4869" width="41.125" style="16" bestFit="1" customWidth="1"/>
    <col min="4870" max="4870" width="20.125" style="16" bestFit="1" customWidth="1"/>
    <col min="4871" max="4871" width="8" style="16" customWidth="1"/>
    <col min="4872" max="4872" width="14.25" style="16" customWidth="1"/>
    <col min="4873" max="4873" width="15.125" style="16" bestFit="1" customWidth="1"/>
    <col min="4874" max="4874" width="23.375" style="16" customWidth="1"/>
    <col min="4875" max="5120" width="9" style="16"/>
    <col min="5121" max="5121" width="9.375" style="16" customWidth="1"/>
    <col min="5122" max="5122" width="21.625" style="16" bestFit="1" customWidth="1"/>
    <col min="5123" max="5123" width="13.375" style="16" customWidth="1"/>
    <col min="5124" max="5124" width="41.25" style="16" bestFit="1" customWidth="1"/>
    <col min="5125" max="5125" width="41.125" style="16" bestFit="1" customWidth="1"/>
    <col min="5126" max="5126" width="20.125" style="16" bestFit="1" customWidth="1"/>
    <col min="5127" max="5127" width="8" style="16" customWidth="1"/>
    <col min="5128" max="5128" width="14.25" style="16" customWidth="1"/>
    <col min="5129" max="5129" width="15.125" style="16" bestFit="1" customWidth="1"/>
    <col min="5130" max="5130" width="23.375" style="16" customWidth="1"/>
    <col min="5131" max="5376" width="9" style="16"/>
    <col min="5377" max="5377" width="9.375" style="16" customWidth="1"/>
    <col min="5378" max="5378" width="21.625" style="16" bestFit="1" customWidth="1"/>
    <col min="5379" max="5379" width="13.375" style="16" customWidth="1"/>
    <col min="5380" max="5380" width="41.25" style="16" bestFit="1" customWidth="1"/>
    <col min="5381" max="5381" width="41.125" style="16" bestFit="1" customWidth="1"/>
    <col min="5382" max="5382" width="20.125" style="16" bestFit="1" customWidth="1"/>
    <col min="5383" max="5383" width="8" style="16" customWidth="1"/>
    <col min="5384" max="5384" width="14.25" style="16" customWidth="1"/>
    <col min="5385" max="5385" width="15.125" style="16" bestFit="1" customWidth="1"/>
    <col min="5386" max="5386" width="23.375" style="16" customWidth="1"/>
    <col min="5387" max="5632" width="9" style="16"/>
    <col min="5633" max="5633" width="9.375" style="16" customWidth="1"/>
    <col min="5634" max="5634" width="21.625" style="16" bestFit="1" customWidth="1"/>
    <col min="5635" max="5635" width="13.375" style="16" customWidth="1"/>
    <col min="5636" max="5636" width="41.25" style="16" bestFit="1" customWidth="1"/>
    <col min="5637" max="5637" width="41.125" style="16" bestFit="1" customWidth="1"/>
    <col min="5638" max="5638" width="20.125" style="16" bestFit="1" customWidth="1"/>
    <col min="5639" max="5639" width="8" style="16" customWidth="1"/>
    <col min="5640" max="5640" width="14.25" style="16" customWidth="1"/>
    <col min="5641" max="5641" width="15.125" style="16" bestFit="1" customWidth="1"/>
    <col min="5642" max="5642" width="23.375" style="16" customWidth="1"/>
    <col min="5643" max="5888" width="9" style="16"/>
    <col min="5889" max="5889" width="9.375" style="16" customWidth="1"/>
    <col min="5890" max="5890" width="21.625" style="16" bestFit="1" customWidth="1"/>
    <col min="5891" max="5891" width="13.375" style="16" customWidth="1"/>
    <col min="5892" max="5892" width="41.25" style="16" bestFit="1" customWidth="1"/>
    <col min="5893" max="5893" width="41.125" style="16" bestFit="1" customWidth="1"/>
    <col min="5894" max="5894" width="20.125" style="16" bestFit="1" customWidth="1"/>
    <col min="5895" max="5895" width="8" style="16" customWidth="1"/>
    <col min="5896" max="5896" width="14.25" style="16" customWidth="1"/>
    <col min="5897" max="5897" width="15.125" style="16" bestFit="1" customWidth="1"/>
    <col min="5898" max="5898" width="23.375" style="16" customWidth="1"/>
    <col min="5899" max="6144" width="9" style="16"/>
    <col min="6145" max="6145" width="9.375" style="16" customWidth="1"/>
    <col min="6146" max="6146" width="21.625" style="16" bestFit="1" customWidth="1"/>
    <col min="6147" max="6147" width="13.375" style="16" customWidth="1"/>
    <col min="6148" max="6148" width="41.25" style="16" bestFit="1" customWidth="1"/>
    <col min="6149" max="6149" width="41.125" style="16" bestFit="1" customWidth="1"/>
    <col min="6150" max="6150" width="20.125" style="16" bestFit="1" customWidth="1"/>
    <col min="6151" max="6151" width="8" style="16" customWidth="1"/>
    <col min="6152" max="6152" width="14.25" style="16" customWidth="1"/>
    <col min="6153" max="6153" width="15.125" style="16" bestFit="1" customWidth="1"/>
    <col min="6154" max="6154" width="23.375" style="16" customWidth="1"/>
    <col min="6155" max="6400" width="9" style="16"/>
    <col min="6401" max="6401" width="9.375" style="16" customWidth="1"/>
    <col min="6402" max="6402" width="21.625" style="16" bestFit="1" customWidth="1"/>
    <col min="6403" max="6403" width="13.375" style="16" customWidth="1"/>
    <col min="6404" max="6404" width="41.25" style="16" bestFit="1" customWidth="1"/>
    <col min="6405" max="6405" width="41.125" style="16" bestFit="1" customWidth="1"/>
    <col min="6406" max="6406" width="20.125" style="16" bestFit="1" customWidth="1"/>
    <col min="6407" max="6407" width="8" style="16" customWidth="1"/>
    <col min="6408" max="6408" width="14.25" style="16" customWidth="1"/>
    <col min="6409" max="6409" width="15.125" style="16" bestFit="1" customWidth="1"/>
    <col min="6410" max="6410" width="23.375" style="16" customWidth="1"/>
    <col min="6411" max="6656" width="9" style="16"/>
    <col min="6657" max="6657" width="9.375" style="16" customWidth="1"/>
    <col min="6658" max="6658" width="21.625" style="16" bestFit="1" customWidth="1"/>
    <col min="6659" max="6659" width="13.375" style="16" customWidth="1"/>
    <col min="6660" max="6660" width="41.25" style="16" bestFit="1" customWidth="1"/>
    <col min="6661" max="6661" width="41.125" style="16" bestFit="1" customWidth="1"/>
    <col min="6662" max="6662" width="20.125" style="16" bestFit="1" customWidth="1"/>
    <col min="6663" max="6663" width="8" style="16" customWidth="1"/>
    <col min="6664" max="6664" width="14.25" style="16" customWidth="1"/>
    <col min="6665" max="6665" width="15.125" style="16" bestFit="1" customWidth="1"/>
    <col min="6666" max="6666" width="23.375" style="16" customWidth="1"/>
    <col min="6667" max="6912" width="9" style="16"/>
    <col min="6913" max="6913" width="9.375" style="16" customWidth="1"/>
    <col min="6914" max="6914" width="21.625" style="16" bestFit="1" customWidth="1"/>
    <col min="6915" max="6915" width="13.375" style="16" customWidth="1"/>
    <col min="6916" max="6916" width="41.25" style="16" bestFit="1" customWidth="1"/>
    <col min="6917" max="6917" width="41.125" style="16" bestFit="1" customWidth="1"/>
    <col min="6918" max="6918" width="20.125" style="16" bestFit="1" customWidth="1"/>
    <col min="6919" max="6919" width="8" style="16" customWidth="1"/>
    <col min="6920" max="6920" width="14.25" style="16" customWidth="1"/>
    <col min="6921" max="6921" width="15.125" style="16" bestFit="1" customWidth="1"/>
    <col min="6922" max="6922" width="23.375" style="16" customWidth="1"/>
    <col min="6923" max="7168" width="9" style="16"/>
    <col min="7169" max="7169" width="9.375" style="16" customWidth="1"/>
    <col min="7170" max="7170" width="21.625" style="16" bestFit="1" customWidth="1"/>
    <col min="7171" max="7171" width="13.375" style="16" customWidth="1"/>
    <col min="7172" max="7172" width="41.25" style="16" bestFit="1" customWidth="1"/>
    <col min="7173" max="7173" width="41.125" style="16" bestFit="1" customWidth="1"/>
    <col min="7174" max="7174" width="20.125" style="16" bestFit="1" customWidth="1"/>
    <col min="7175" max="7175" width="8" style="16" customWidth="1"/>
    <col min="7176" max="7176" width="14.25" style="16" customWidth="1"/>
    <col min="7177" max="7177" width="15.125" style="16" bestFit="1" customWidth="1"/>
    <col min="7178" max="7178" width="23.375" style="16" customWidth="1"/>
    <col min="7179" max="7424" width="9" style="16"/>
    <col min="7425" max="7425" width="9.375" style="16" customWidth="1"/>
    <col min="7426" max="7426" width="21.625" style="16" bestFit="1" customWidth="1"/>
    <col min="7427" max="7427" width="13.375" style="16" customWidth="1"/>
    <col min="7428" max="7428" width="41.25" style="16" bestFit="1" customWidth="1"/>
    <col min="7429" max="7429" width="41.125" style="16" bestFit="1" customWidth="1"/>
    <col min="7430" max="7430" width="20.125" style="16" bestFit="1" customWidth="1"/>
    <col min="7431" max="7431" width="8" style="16" customWidth="1"/>
    <col min="7432" max="7432" width="14.25" style="16" customWidth="1"/>
    <col min="7433" max="7433" width="15.125" style="16" bestFit="1" customWidth="1"/>
    <col min="7434" max="7434" width="23.375" style="16" customWidth="1"/>
    <col min="7435" max="7680" width="9" style="16"/>
    <col min="7681" max="7681" width="9.375" style="16" customWidth="1"/>
    <col min="7682" max="7682" width="21.625" style="16" bestFit="1" customWidth="1"/>
    <col min="7683" max="7683" width="13.375" style="16" customWidth="1"/>
    <col min="7684" max="7684" width="41.25" style="16" bestFit="1" customWidth="1"/>
    <col min="7685" max="7685" width="41.125" style="16" bestFit="1" customWidth="1"/>
    <col min="7686" max="7686" width="20.125" style="16" bestFit="1" customWidth="1"/>
    <col min="7687" max="7687" width="8" style="16" customWidth="1"/>
    <col min="7688" max="7688" width="14.25" style="16" customWidth="1"/>
    <col min="7689" max="7689" width="15.125" style="16" bestFit="1" customWidth="1"/>
    <col min="7690" max="7690" width="23.375" style="16" customWidth="1"/>
    <col min="7691" max="7936" width="9" style="16"/>
    <col min="7937" max="7937" width="9.375" style="16" customWidth="1"/>
    <col min="7938" max="7938" width="21.625" style="16" bestFit="1" customWidth="1"/>
    <col min="7939" max="7939" width="13.375" style="16" customWidth="1"/>
    <col min="7940" max="7940" width="41.25" style="16" bestFit="1" customWidth="1"/>
    <col min="7941" max="7941" width="41.125" style="16" bestFit="1" customWidth="1"/>
    <col min="7942" max="7942" width="20.125" style="16" bestFit="1" customWidth="1"/>
    <col min="7943" max="7943" width="8" style="16" customWidth="1"/>
    <col min="7944" max="7944" width="14.25" style="16" customWidth="1"/>
    <col min="7945" max="7945" width="15.125" style="16" bestFit="1" customWidth="1"/>
    <col min="7946" max="7946" width="23.375" style="16" customWidth="1"/>
    <col min="7947" max="8192" width="9" style="16"/>
    <col min="8193" max="8193" width="9.375" style="16" customWidth="1"/>
    <col min="8194" max="8194" width="21.625" style="16" bestFit="1" customWidth="1"/>
    <col min="8195" max="8195" width="13.375" style="16" customWidth="1"/>
    <col min="8196" max="8196" width="41.25" style="16" bestFit="1" customWidth="1"/>
    <col min="8197" max="8197" width="41.125" style="16" bestFit="1" customWidth="1"/>
    <col min="8198" max="8198" width="20.125" style="16" bestFit="1" customWidth="1"/>
    <col min="8199" max="8199" width="8" style="16" customWidth="1"/>
    <col min="8200" max="8200" width="14.25" style="16" customWidth="1"/>
    <col min="8201" max="8201" width="15.125" style="16" bestFit="1" customWidth="1"/>
    <col min="8202" max="8202" width="23.375" style="16" customWidth="1"/>
    <col min="8203" max="8448" width="9" style="16"/>
    <col min="8449" max="8449" width="9.375" style="16" customWidth="1"/>
    <col min="8450" max="8450" width="21.625" style="16" bestFit="1" customWidth="1"/>
    <col min="8451" max="8451" width="13.375" style="16" customWidth="1"/>
    <col min="8452" max="8452" width="41.25" style="16" bestFit="1" customWidth="1"/>
    <col min="8453" max="8453" width="41.125" style="16" bestFit="1" customWidth="1"/>
    <col min="8454" max="8454" width="20.125" style="16" bestFit="1" customWidth="1"/>
    <col min="8455" max="8455" width="8" style="16" customWidth="1"/>
    <col min="8456" max="8456" width="14.25" style="16" customWidth="1"/>
    <col min="8457" max="8457" width="15.125" style="16" bestFit="1" customWidth="1"/>
    <col min="8458" max="8458" width="23.375" style="16" customWidth="1"/>
    <col min="8459" max="8704" width="9" style="16"/>
    <col min="8705" max="8705" width="9.375" style="16" customWidth="1"/>
    <col min="8706" max="8706" width="21.625" style="16" bestFit="1" customWidth="1"/>
    <col min="8707" max="8707" width="13.375" style="16" customWidth="1"/>
    <col min="8708" max="8708" width="41.25" style="16" bestFit="1" customWidth="1"/>
    <col min="8709" max="8709" width="41.125" style="16" bestFit="1" customWidth="1"/>
    <col min="8710" max="8710" width="20.125" style="16" bestFit="1" customWidth="1"/>
    <col min="8711" max="8711" width="8" style="16" customWidth="1"/>
    <col min="8712" max="8712" width="14.25" style="16" customWidth="1"/>
    <col min="8713" max="8713" width="15.125" style="16" bestFit="1" customWidth="1"/>
    <col min="8714" max="8714" width="23.375" style="16" customWidth="1"/>
    <col min="8715" max="8960" width="9" style="16"/>
    <col min="8961" max="8961" width="9.375" style="16" customWidth="1"/>
    <col min="8962" max="8962" width="21.625" style="16" bestFit="1" customWidth="1"/>
    <col min="8963" max="8963" width="13.375" style="16" customWidth="1"/>
    <col min="8964" max="8964" width="41.25" style="16" bestFit="1" customWidth="1"/>
    <col min="8965" max="8965" width="41.125" style="16" bestFit="1" customWidth="1"/>
    <col min="8966" max="8966" width="20.125" style="16" bestFit="1" customWidth="1"/>
    <col min="8967" max="8967" width="8" style="16" customWidth="1"/>
    <col min="8968" max="8968" width="14.25" style="16" customWidth="1"/>
    <col min="8969" max="8969" width="15.125" style="16" bestFit="1" customWidth="1"/>
    <col min="8970" max="8970" width="23.375" style="16" customWidth="1"/>
    <col min="8971" max="9216" width="9" style="16"/>
    <col min="9217" max="9217" width="9.375" style="16" customWidth="1"/>
    <col min="9218" max="9218" width="21.625" style="16" bestFit="1" customWidth="1"/>
    <col min="9219" max="9219" width="13.375" style="16" customWidth="1"/>
    <col min="9220" max="9220" width="41.25" style="16" bestFit="1" customWidth="1"/>
    <col min="9221" max="9221" width="41.125" style="16" bestFit="1" customWidth="1"/>
    <col min="9222" max="9222" width="20.125" style="16" bestFit="1" customWidth="1"/>
    <col min="9223" max="9223" width="8" style="16" customWidth="1"/>
    <col min="9224" max="9224" width="14.25" style="16" customWidth="1"/>
    <col min="9225" max="9225" width="15.125" style="16" bestFit="1" customWidth="1"/>
    <col min="9226" max="9226" width="23.375" style="16" customWidth="1"/>
    <col min="9227" max="9472" width="9" style="16"/>
    <col min="9473" max="9473" width="9.375" style="16" customWidth="1"/>
    <col min="9474" max="9474" width="21.625" style="16" bestFit="1" customWidth="1"/>
    <col min="9475" max="9475" width="13.375" style="16" customWidth="1"/>
    <col min="9476" max="9476" width="41.25" style="16" bestFit="1" customWidth="1"/>
    <col min="9477" max="9477" width="41.125" style="16" bestFit="1" customWidth="1"/>
    <col min="9478" max="9478" width="20.125" style="16" bestFit="1" customWidth="1"/>
    <col min="9479" max="9479" width="8" style="16" customWidth="1"/>
    <col min="9480" max="9480" width="14.25" style="16" customWidth="1"/>
    <col min="9481" max="9481" width="15.125" style="16" bestFit="1" customWidth="1"/>
    <col min="9482" max="9482" width="23.375" style="16" customWidth="1"/>
    <col min="9483" max="9728" width="9" style="16"/>
    <col min="9729" max="9729" width="9.375" style="16" customWidth="1"/>
    <col min="9730" max="9730" width="21.625" style="16" bestFit="1" customWidth="1"/>
    <col min="9731" max="9731" width="13.375" style="16" customWidth="1"/>
    <col min="9732" max="9732" width="41.25" style="16" bestFit="1" customWidth="1"/>
    <col min="9733" max="9733" width="41.125" style="16" bestFit="1" customWidth="1"/>
    <col min="9734" max="9734" width="20.125" style="16" bestFit="1" customWidth="1"/>
    <col min="9735" max="9735" width="8" style="16" customWidth="1"/>
    <col min="9736" max="9736" width="14.25" style="16" customWidth="1"/>
    <col min="9737" max="9737" width="15.125" style="16" bestFit="1" customWidth="1"/>
    <col min="9738" max="9738" width="23.375" style="16" customWidth="1"/>
    <col min="9739" max="9984" width="9" style="16"/>
    <col min="9985" max="9985" width="9.375" style="16" customWidth="1"/>
    <col min="9986" max="9986" width="21.625" style="16" bestFit="1" customWidth="1"/>
    <col min="9987" max="9987" width="13.375" style="16" customWidth="1"/>
    <col min="9988" max="9988" width="41.25" style="16" bestFit="1" customWidth="1"/>
    <col min="9989" max="9989" width="41.125" style="16" bestFit="1" customWidth="1"/>
    <col min="9990" max="9990" width="20.125" style="16" bestFit="1" customWidth="1"/>
    <col min="9991" max="9991" width="8" style="16" customWidth="1"/>
    <col min="9992" max="9992" width="14.25" style="16" customWidth="1"/>
    <col min="9993" max="9993" width="15.125" style="16" bestFit="1" customWidth="1"/>
    <col min="9994" max="9994" width="23.375" style="16" customWidth="1"/>
    <col min="9995" max="10240" width="9" style="16"/>
    <col min="10241" max="10241" width="9.375" style="16" customWidth="1"/>
    <col min="10242" max="10242" width="21.625" style="16" bestFit="1" customWidth="1"/>
    <col min="10243" max="10243" width="13.375" style="16" customWidth="1"/>
    <col min="10244" max="10244" width="41.25" style="16" bestFit="1" customWidth="1"/>
    <col min="10245" max="10245" width="41.125" style="16" bestFit="1" customWidth="1"/>
    <col min="10246" max="10246" width="20.125" style="16" bestFit="1" customWidth="1"/>
    <col min="10247" max="10247" width="8" style="16" customWidth="1"/>
    <col min="10248" max="10248" width="14.25" style="16" customWidth="1"/>
    <col min="10249" max="10249" width="15.125" style="16" bestFit="1" customWidth="1"/>
    <col min="10250" max="10250" width="23.375" style="16" customWidth="1"/>
    <col min="10251" max="10496" width="9" style="16"/>
    <col min="10497" max="10497" width="9.375" style="16" customWidth="1"/>
    <col min="10498" max="10498" width="21.625" style="16" bestFit="1" customWidth="1"/>
    <col min="10499" max="10499" width="13.375" style="16" customWidth="1"/>
    <col min="10500" max="10500" width="41.25" style="16" bestFit="1" customWidth="1"/>
    <col min="10501" max="10501" width="41.125" style="16" bestFit="1" customWidth="1"/>
    <col min="10502" max="10502" width="20.125" style="16" bestFit="1" customWidth="1"/>
    <col min="10503" max="10503" width="8" style="16" customWidth="1"/>
    <col min="10504" max="10504" width="14.25" style="16" customWidth="1"/>
    <col min="10505" max="10505" width="15.125" style="16" bestFit="1" customWidth="1"/>
    <col min="10506" max="10506" width="23.375" style="16" customWidth="1"/>
    <col min="10507" max="10752" width="9" style="16"/>
    <col min="10753" max="10753" width="9.375" style="16" customWidth="1"/>
    <col min="10754" max="10754" width="21.625" style="16" bestFit="1" customWidth="1"/>
    <col min="10755" max="10755" width="13.375" style="16" customWidth="1"/>
    <col min="10756" max="10756" width="41.25" style="16" bestFit="1" customWidth="1"/>
    <col min="10757" max="10757" width="41.125" style="16" bestFit="1" customWidth="1"/>
    <col min="10758" max="10758" width="20.125" style="16" bestFit="1" customWidth="1"/>
    <col min="10759" max="10759" width="8" style="16" customWidth="1"/>
    <col min="10760" max="10760" width="14.25" style="16" customWidth="1"/>
    <col min="10761" max="10761" width="15.125" style="16" bestFit="1" customWidth="1"/>
    <col min="10762" max="10762" width="23.375" style="16" customWidth="1"/>
    <col min="10763" max="11008" width="9" style="16"/>
    <col min="11009" max="11009" width="9.375" style="16" customWidth="1"/>
    <col min="11010" max="11010" width="21.625" style="16" bestFit="1" customWidth="1"/>
    <col min="11011" max="11011" width="13.375" style="16" customWidth="1"/>
    <col min="11012" max="11012" width="41.25" style="16" bestFit="1" customWidth="1"/>
    <col min="11013" max="11013" width="41.125" style="16" bestFit="1" customWidth="1"/>
    <col min="11014" max="11014" width="20.125" style="16" bestFit="1" customWidth="1"/>
    <col min="11015" max="11015" width="8" style="16" customWidth="1"/>
    <col min="11016" max="11016" width="14.25" style="16" customWidth="1"/>
    <col min="11017" max="11017" width="15.125" style="16" bestFit="1" customWidth="1"/>
    <col min="11018" max="11018" width="23.375" style="16" customWidth="1"/>
    <col min="11019" max="11264" width="9" style="16"/>
    <col min="11265" max="11265" width="9.375" style="16" customWidth="1"/>
    <col min="11266" max="11266" width="21.625" style="16" bestFit="1" customWidth="1"/>
    <col min="11267" max="11267" width="13.375" style="16" customWidth="1"/>
    <col min="11268" max="11268" width="41.25" style="16" bestFit="1" customWidth="1"/>
    <col min="11269" max="11269" width="41.125" style="16" bestFit="1" customWidth="1"/>
    <col min="11270" max="11270" width="20.125" style="16" bestFit="1" customWidth="1"/>
    <col min="11271" max="11271" width="8" style="16" customWidth="1"/>
    <col min="11272" max="11272" width="14.25" style="16" customWidth="1"/>
    <col min="11273" max="11273" width="15.125" style="16" bestFit="1" customWidth="1"/>
    <col min="11274" max="11274" width="23.375" style="16" customWidth="1"/>
    <col min="11275" max="11520" width="9" style="16"/>
    <col min="11521" max="11521" width="9.375" style="16" customWidth="1"/>
    <col min="11522" max="11522" width="21.625" style="16" bestFit="1" customWidth="1"/>
    <col min="11523" max="11523" width="13.375" style="16" customWidth="1"/>
    <col min="11524" max="11524" width="41.25" style="16" bestFit="1" customWidth="1"/>
    <col min="11525" max="11525" width="41.125" style="16" bestFit="1" customWidth="1"/>
    <col min="11526" max="11526" width="20.125" style="16" bestFit="1" customWidth="1"/>
    <col min="11527" max="11527" width="8" style="16" customWidth="1"/>
    <col min="11528" max="11528" width="14.25" style="16" customWidth="1"/>
    <col min="11529" max="11529" width="15.125" style="16" bestFit="1" customWidth="1"/>
    <col min="11530" max="11530" width="23.375" style="16" customWidth="1"/>
    <col min="11531" max="11776" width="9" style="16"/>
    <col min="11777" max="11777" width="9.375" style="16" customWidth="1"/>
    <col min="11778" max="11778" width="21.625" style="16" bestFit="1" customWidth="1"/>
    <col min="11779" max="11779" width="13.375" style="16" customWidth="1"/>
    <col min="11780" max="11780" width="41.25" style="16" bestFit="1" customWidth="1"/>
    <col min="11781" max="11781" width="41.125" style="16" bestFit="1" customWidth="1"/>
    <col min="11782" max="11782" width="20.125" style="16" bestFit="1" customWidth="1"/>
    <col min="11783" max="11783" width="8" style="16" customWidth="1"/>
    <col min="11784" max="11784" width="14.25" style="16" customWidth="1"/>
    <col min="11785" max="11785" width="15.125" style="16" bestFit="1" customWidth="1"/>
    <col min="11786" max="11786" width="23.375" style="16" customWidth="1"/>
    <col min="11787" max="12032" width="9" style="16"/>
    <col min="12033" max="12033" width="9.375" style="16" customWidth="1"/>
    <col min="12034" max="12034" width="21.625" style="16" bestFit="1" customWidth="1"/>
    <col min="12035" max="12035" width="13.375" style="16" customWidth="1"/>
    <col min="12036" max="12036" width="41.25" style="16" bestFit="1" customWidth="1"/>
    <col min="12037" max="12037" width="41.125" style="16" bestFit="1" customWidth="1"/>
    <col min="12038" max="12038" width="20.125" style="16" bestFit="1" customWidth="1"/>
    <col min="12039" max="12039" width="8" style="16" customWidth="1"/>
    <col min="12040" max="12040" width="14.25" style="16" customWidth="1"/>
    <col min="12041" max="12041" width="15.125" style="16" bestFit="1" customWidth="1"/>
    <col min="12042" max="12042" width="23.375" style="16" customWidth="1"/>
    <col min="12043" max="12288" width="9" style="16"/>
    <col min="12289" max="12289" width="9.375" style="16" customWidth="1"/>
    <col min="12290" max="12290" width="21.625" style="16" bestFit="1" customWidth="1"/>
    <col min="12291" max="12291" width="13.375" style="16" customWidth="1"/>
    <col min="12292" max="12292" width="41.25" style="16" bestFit="1" customWidth="1"/>
    <col min="12293" max="12293" width="41.125" style="16" bestFit="1" customWidth="1"/>
    <col min="12294" max="12294" width="20.125" style="16" bestFit="1" customWidth="1"/>
    <col min="12295" max="12295" width="8" style="16" customWidth="1"/>
    <col min="12296" max="12296" width="14.25" style="16" customWidth="1"/>
    <col min="12297" max="12297" width="15.125" style="16" bestFit="1" customWidth="1"/>
    <col min="12298" max="12298" width="23.375" style="16" customWidth="1"/>
    <col min="12299" max="12544" width="9" style="16"/>
    <col min="12545" max="12545" width="9.375" style="16" customWidth="1"/>
    <col min="12546" max="12546" width="21.625" style="16" bestFit="1" customWidth="1"/>
    <col min="12547" max="12547" width="13.375" style="16" customWidth="1"/>
    <col min="12548" max="12548" width="41.25" style="16" bestFit="1" customWidth="1"/>
    <col min="12549" max="12549" width="41.125" style="16" bestFit="1" customWidth="1"/>
    <col min="12550" max="12550" width="20.125" style="16" bestFit="1" customWidth="1"/>
    <col min="12551" max="12551" width="8" style="16" customWidth="1"/>
    <col min="12552" max="12552" width="14.25" style="16" customWidth="1"/>
    <col min="12553" max="12553" width="15.125" style="16" bestFit="1" customWidth="1"/>
    <col min="12554" max="12554" width="23.375" style="16" customWidth="1"/>
    <col min="12555" max="12800" width="9" style="16"/>
    <col min="12801" max="12801" width="9.375" style="16" customWidth="1"/>
    <col min="12802" max="12802" width="21.625" style="16" bestFit="1" customWidth="1"/>
    <col min="12803" max="12803" width="13.375" style="16" customWidth="1"/>
    <col min="12804" max="12804" width="41.25" style="16" bestFit="1" customWidth="1"/>
    <col min="12805" max="12805" width="41.125" style="16" bestFit="1" customWidth="1"/>
    <col min="12806" max="12806" width="20.125" style="16" bestFit="1" customWidth="1"/>
    <col min="12807" max="12807" width="8" style="16" customWidth="1"/>
    <col min="12808" max="12808" width="14.25" style="16" customWidth="1"/>
    <col min="12809" max="12809" width="15.125" style="16" bestFit="1" customWidth="1"/>
    <col min="12810" max="12810" width="23.375" style="16" customWidth="1"/>
    <col min="12811" max="13056" width="9" style="16"/>
    <col min="13057" max="13057" width="9.375" style="16" customWidth="1"/>
    <col min="13058" max="13058" width="21.625" style="16" bestFit="1" customWidth="1"/>
    <col min="13059" max="13059" width="13.375" style="16" customWidth="1"/>
    <col min="13060" max="13060" width="41.25" style="16" bestFit="1" customWidth="1"/>
    <col min="13061" max="13061" width="41.125" style="16" bestFit="1" customWidth="1"/>
    <col min="13062" max="13062" width="20.125" style="16" bestFit="1" customWidth="1"/>
    <col min="13063" max="13063" width="8" style="16" customWidth="1"/>
    <col min="13064" max="13064" width="14.25" style="16" customWidth="1"/>
    <col min="13065" max="13065" width="15.125" style="16" bestFit="1" customWidth="1"/>
    <col min="13066" max="13066" width="23.375" style="16" customWidth="1"/>
    <col min="13067" max="13312" width="9" style="16"/>
    <col min="13313" max="13313" width="9.375" style="16" customWidth="1"/>
    <col min="13314" max="13314" width="21.625" style="16" bestFit="1" customWidth="1"/>
    <col min="13315" max="13315" width="13.375" style="16" customWidth="1"/>
    <col min="13316" max="13316" width="41.25" style="16" bestFit="1" customWidth="1"/>
    <col min="13317" max="13317" width="41.125" style="16" bestFit="1" customWidth="1"/>
    <col min="13318" max="13318" width="20.125" style="16" bestFit="1" customWidth="1"/>
    <col min="13319" max="13319" width="8" style="16" customWidth="1"/>
    <col min="13320" max="13320" width="14.25" style="16" customWidth="1"/>
    <col min="13321" max="13321" width="15.125" style="16" bestFit="1" customWidth="1"/>
    <col min="13322" max="13322" width="23.375" style="16" customWidth="1"/>
    <col min="13323" max="13568" width="9" style="16"/>
    <col min="13569" max="13569" width="9.375" style="16" customWidth="1"/>
    <col min="13570" max="13570" width="21.625" style="16" bestFit="1" customWidth="1"/>
    <col min="13571" max="13571" width="13.375" style="16" customWidth="1"/>
    <col min="13572" max="13572" width="41.25" style="16" bestFit="1" customWidth="1"/>
    <col min="13573" max="13573" width="41.125" style="16" bestFit="1" customWidth="1"/>
    <col min="13574" max="13574" width="20.125" style="16" bestFit="1" customWidth="1"/>
    <col min="13575" max="13575" width="8" style="16" customWidth="1"/>
    <col min="13576" max="13576" width="14.25" style="16" customWidth="1"/>
    <col min="13577" max="13577" width="15.125" style="16" bestFit="1" customWidth="1"/>
    <col min="13578" max="13578" width="23.375" style="16" customWidth="1"/>
    <col min="13579" max="13824" width="9" style="16"/>
    <col min="13825" max="13825" width="9.375" style="16" customWidth="1"/>
    <col min="13826" max="13826" width="21.625" style="16" bestFit="1" customWidth="1"/>
    <col min="13827" max="13827" width="13.375" style="16" customWidth="1"/>
    <col min="13828" max="13828" width="41.25" style="16" bestFit="1" customWidth="1"/>
    <col min="13829" max="13829" width="41.125" style="16" bestFit="1" customWidth="1"/>
    <col min="13830" max="13830" width="20.125" style="16" bestFit="1" customWidth="1"/>
    <col min="13831" max="13831" width="8" style="16" customWidth="1"/>
    <col min="13832" max="13832" width="14.25" style="16" customWidth="1"/>
    <col min="13833" max="13833" width="15.125" style="16" bestFit="1" customWidth="1"/>
    <col min="13834" max="13834" width="23.375" style="16" customWidth="1"/>
    <col min="13835" max="14080" width="9" style="16"/>
    <col min="14081" max="14081" width="9.375" style="16" customWidth="1"/>
    <col min="14082" max="14082" width="21.625" style="16" bestFit="1" customWidth="1"/>
    <col min="14083" max="14083" width="13.375" style="16" customWidth="1"/>
    <col min="14084" max="14084" width="41.25" style="16" bestFit="1" customWidth="1"/>
    <col min="14085" max="14085" width="41.125" style="16" bestFit="1" customWidth="1"/>
    <col min="14086" max="14086" width="20.125" style="16" bestFit="1" customWidth="1"/>
    <col min="14087" max="14087" width="8" style="16" customWidth="1"/>
    <col min="14088" max="14088" width="14.25" style="16" customWidth="1"/>
    <col min="14089" max="14089" width="15.125" style="16" bestFit="1" customWidth="1"/>
    <col min="14090" max="14090" width="23.375" style="16" customWidth="1"/>
    <col min="14091" max="14336" width="9" style="16"/>
    <col min="14337" max="14337" width="9.375" style="16" customWidth="1"/>
    <col min="14338" max="14338" width="21.625" style="16" bestFit="1" customWidth="1"/>
    <col min="14339" max="14339" width="13.375" style="16" customWidth="1"/>
    <col min="14340" max="14340" width="41.25" style="16" bestFit="1" customWidth="1"/>
    <col min="14341" max="14341" width="41.125" style="16" bestFit="1" customWidth="1"/>
    <col min="14342" max="14342" width="20.125" style="16" bestFit="1" customWidth="1"/>
    <col min="14343" max="14343" width="8" style="16" customWidth="1"/>
    <col min="14344" max="14344" width="14.25" style="16" customWidth="1"/>
    <col min="14345" max="14345" width="15.125" style="16" bestFit="1" customWidth="1"/>
    <col min="14346" max="14346" width="23.375" style="16" customWidth="1"/>
    <col min="14347" max="14592" width="9" style="16"/>
    <col min="14593" max="14593" width="9.375" style="16" customWidth="1"/>
    <col min="14594" max="14594" width="21.625" style="16" bestFit="1" customWidth="1"/>
    <col min="14595" max="14595" width="13.375" style="16" customWidth="1"/>
    <col min="14596" max="14596" width="41.25" style="16" bestFit="1" customWidth="1"/>
    <col min="14597" max="14597" width="41.125" style="16" bestFit="1" customWidth="1"/>
    <col min="14598" max="14598" width="20.125" style="16" bestFit="1" customWidth="1"/>
    <col min="14599" max="14599" width="8" style="16" customWidth="1"/>
    <col min="14600" max="14600" width="14.25" style="16" customWidth="1"/>
    <col min="14601" max="14601" width="15.125" style="16" bestFit="1" customWidth="1"/>
    <col min="14602" max="14602" width="23.375" style="16" customWidth="1"/>
    <col min="14603" max="14848" width="9" style="16"/>
    <col min="14849" max="14849" width="9.375" style="16" customWidth="1"/>
    <col min="14850" max="14850" width="21.625" style="16" bestFit="1" customWidth="1"/>
    <col min="14851" max="14851" width="13.375" style="16" customWidth="1"/>
    <col min="14852" max="14852" width="41.25" style="16" bestFit="1" customWidth="1"/>
    <col min="14853" max="14853" width="41.125" style="16" bestFit="1" customWidth="1"/>
    <col min="14854" max="14854" width="20.125" style="16" bestFit="1" customWidth="1"/>
    <col min="14855" max="14855" width="8" style="16" customWidth="1"/>
    <col min="14856" max="14856" width="14.25" style="16" customWidth="1"/>
    <col min="14857" max="14857" width="15.125" style="16" bestFit="1" customWidth="1"/>
    <col min="14858" max="14858" width="23.375" style="16" customWidth="1"/>
    <col min="14859" max="15104" width="9" style="16"/>
    <col min="15105" max="15105" width="9.375" style="16" customWidth="1"/>
    <col min="15106" max="15106" width="21.625" style="16" bestFit="1" customWidth="1"/>
    <col min="15107" max="15107" width="13.375" style="16" customWidth="1"/>
    <col min="15108" max="15108" width="41.25" style="16" bestFit="1" customWidth="1"/>
    <col min="15109" max="15109" width="41.125" style="16" bestFit="1" customWidth="1"/>
    <col min="15110" max="15110" width="20.125" style="16" bestFit="1" customWidth="1"/>
    <col min="15111" max="15111" width="8" style="16" customWidth="1"/>
    <col min="15112" max="15112" width="14.25" style="16" customWidth="1"/>
    <col min="15113" max="15113" width="15.125" style="16" bestFit="1" customWidth="1"/>
    <col min="15114" max="15114" width="23.375" style="16" customWidth="1"/>
    <col min="15115" max="15360" width="9" style="16"/>
    <col min="15361" max="15361" width="9.375" style="16" customWidth="1"/>
    <col min="15362" max="15362" width="21.625" style="16" bestFit="1" customWidth="1"/>
    <col min="15363" max="15363" width="13.375" style="16" customWidth="1"/>
    <col min="15364" max="15364" width="41.25" style="16" bestFit="1" customWidth="1"/>
    <col min="15365" max="15365" width="41.125" style="16" bestFit="1" customWidth="1"/>
    <col min="15366" max="15366" width="20.125" style="16" bestFit="1" customWidth="1"/>
    <col min="15367" max="15367" width="8" style="16" customWidth="1"/>
    <col min="15368" max="15368" width="14.25" style="16" customWidth="1"/>
    <col min="15369" max="15369" width="15.125" style="16" bestFit="1" customWidth="1"/>
    <col min="15370" max="15370" width="23.375" style="16" customWidth="1"/>
    <col min="15371" max="15616" width="9" style="16"/>
    <col min="15617" max="15617" width="9.375" style="16" customWidth="1"/>
    <col min="15618" max="15618" width="21.625" style="16" bestFit="1" customWidth="1"/>
    <col min="15619" max="15619" width="13.375" style="16" customWidth="1"/>
    <col min="15620" max="15620" width="41.25" style="16" bestFit="1" customWidth="1"/>
    <col min="15621" max="15621" width="41.125" style="16" bestFit="1" customWidth="1"/>
    <col min="15622" max="15622" width="20.125" style="16" bestFit="1" customWidth="1"/>
    <col min="15623" max="15623" width="8" style="16" customWidth="1"/>
    <col min="15624" max="15624" width="14.25" style="16" customWidth="1"/>
    <col min="15625" max="15625" width="15.125" style="16" bestFit="1" customWidth="1"/>
    <col min="15626" max="15626" width="23.375" style="16" customWidth="1"/>
    <col min="15627" max="15872" width="9" style="16"/>
    <col min="15873" max="15873" width="9.375" style="16" customWidth="1"/>
    <col min="15874" max="15874" width="21.625" style="16" bestFit="1" customWidth="1"/>
    <col min="15875" max="15875" width="13.375" style="16" customWidth="1"/>
    <col min="15876" max="15876" width="41.25" style="16" bestFit="1" customWidth="1"/>
    <col min="15877" max="15877" width="41.125" style="16" bestFit="1" customWidth="1"/>
    <col min="15878" max="15878" width="20.125" style="16" bestFit="1" customWidth="1"/>
    <col min="15879" max="15879" width="8" style="16" customWidth="1"/>
    <col min="15880" max="15880" width="14.25" style="16" customWidth="1"/>
    <col min="15881" max="15881" width="15.125" style="16" bestFit="1" customWidth="1"/>
    <col min="15882" max="15882" width="23.375" style="16" customWidth="1"/>
    <col min="15883" max="16128" width="9" style="16"/>
    <col min="16129" max="16129" width="9.375" style="16" customWidth="1"/>
    <col min="16130" max="16130" width="21.625" style="16" bestFit="1" customWidth="1"/>
    <col min="16131" max="16131" width="13.375" style="16" customWidth="1"/>
    <col min="16132" max="16132" width="41.25" style="16" bestFit="1" customWidth="1"/>
    <col min="16133" max="16133" width="41.125" style="16" bestFit="1" customWidth="1"/>
    <col min="16134" max="16134" width="20.125" style="16" bestFit="1" customWidth="1"/>
    <col min="16135" max="16135" width="8" style="16" customWidth="1"/>
    <col min="16136" max="16136" width="14.25" style="16" customWidth="1"/>
    <col min="16137" max="16137" width="15.125" style="16" bestFit="1" customWidth="1"/>
    <col min="16138" max="16138" width="23.375" style="16" customWidth="1"/>
    <col min="16139" max="16384" width="9" style="16"/>
  </cols>
  <sheetData>
    <row r="1" spans="1:14" ht="33.75" customHeight="1">
      <c r="A1" s="327" t="s">
        <v>298</v>
      </c>
      <c r="B1" s="328"/>
      <c r="C1" s="328"/>
      <c r="D1" s="328"/>
      <c r="E1" s="328"/>
      <c r="F1" s="328"/>
      <c r="G1" s="328"/>
      <c r="H1" s="328"/>
      <c r="I1" s="328"/>
      <c r="J1" s="329"/>
    </row>
    <row r="2" spans="1:14" s="150" customFormat="1" ht="19.5" customHeight="1">
      <c r="A2" s="330" t="s">
        <v>291</v>
      </c>
      <c r="B2" s="331" t="s">
        <v>285</v>
      </c>
      <c r="C2" s="330" t="s">
        <v>249</v>
      </c>
      <c r="D2" s="330" t="s">
        <v>250</v>
      </c>
      <c r="E2" s="333" t="s">
        <v>292</v>
      </c>
      <c r="F2" s="330" t="s">
        <v>278</v>
      </c>
      <c r="G2" s="334" t="s">
        <v>293</v>
      </c>
      <c r="H2" s="335" t="s">
        <v>287</v>
      </c>
      <c r="I2" s="149" t="s">
        <v>288</v>
      </c>
      <c r="J2" s="330" t="s">
        <v>289</v>
      </c>
    </row>
    <row r="3" spans="1:14" s="150" customFormat="1" ht="19.5" customHeight="1">
      <c r="A3" s="330"/>
      <c r="B3" s="332"/>
      <c r="C3" s="330"/>
      <c r="D3" s="330"/>
      <c r="E3" s="333"/>
      <c r="F3" s="330"/>
      <c r="G3" s="334"/>
      <c r="H3" s="335"/>
      <c r="I3" s="145">
        <f>ROUND(SUM(I4:I47),)</f>
        <v>639564</v>
      </c>
      <c r="J3" s="330"/>
      <c r="L3" s="151" t="s">
        <v>246</v>
      </c>
    </row>
    <row r="4" spans="1:14" s="156" customFormat="1" ht="15" customHeight="1">
      <c r="A4" s="152">
        <f t="shared" ref="A4:A29" si="0">ROW()-3</f>
        <v>1</v>
      </c>
      <c r="B4" s="153">
        <v>46268</v>
      </c>
      <c r="C4" s="240" t="s">
        <v>423</v>
      </c>
      <c r="D4" s="152" t="s">
        <v>470</v>
      </c>
      <c r="E4" s="152" t="s">
        <v>471</v>
      </c>
      <c r="F4" s="152" t="s">
        <v>409</v>
      </c>
      <c r="G4" s="154">
        <v>50</v>
      </c>
      <c r="H4" s="155">
        <v>736.36363636363637</v>
      </c>
      <c r="I4" s="155">
        <v>36818.181818181816</v>
      </c>
      <c r="J4" s="240"/>
      <c r="L4" s="157" t="s">
        <v>294</v>
      </c>
    </row>
    <row r="5" spans="1:14" s="156" customFormat="1" ht="15" customHeight="1">
      <c r="A5" s="152">
        <f t="shared" si="0"/>
        <v>2</v>
      </c>
      <c r="B5" s="153">
        <v>46294</v>
      </c>
      <c r="C5" s="240" t="s">
        <v>423</v>
      </c>
      <c r="D5" s="152" t="s">
        <v>410</v>
      </c>
      <c r="E5" s="152" t="s">
        <v>472</v>
      </c>
      <c r="F5" s="152" t="s">
        <v>409</v>
      </c>
      <c r="G5" s="154">
        <v>4</v>
      </c>
      <c r="H5" s="155">
        <v>11545.454545454544</v>
      </c>
      <c r="I5" s="155">
        <v>46181.818181818177</v>
      </c>
      <c r="J5" s="240"/>
      <c r="L5" s="157" t="s">
        <v>285</v>
      </c>
    </row>
    <row r="6" spans="1:14" s="156" customFormat="1" ht="15" customHeight="1">
      <c r="A6" s="152">
        <f t="shared" si="0"/>
        <v>3</v>
      </c>
      <c r="B6" s="153">
        <v>46269</v>
      </c>
      <c r="C6" s="240" t="s">
        <v>423</v>
      </c>
      <c r="D6" s="152" t="s">
        <v>473</v>
      </c>
      <c r="E6" s="152" t="s">
        <v>418</v>
      </c>
      <c r="F6" s="152" t="s">
        <v>411</v>
      </c>
      <c r="G6" s="154">
        <v>20</v>
      </c>
      <c r="H6" s="155">
        <v>4900</v>
      </c>
      <c r="I6" s="155">
        <v>98000</v>
      </c>
      <c r="J6" s="240"/>
      <c r="L6" s="157" t="s">
        <v>249</v>
      </c>
    </row>
    <row r="7" spans="1:14" s="156" customFormat="1" ht="15" customHeight="1">
      <c r="A7" s="152">
        <f t="shared" si="0"/>
        <v>4</v>
      </c>
      <c r="B7" s="153">
        <v>46272</v>
      </c>
      <c r="C7" s="240" t="s">
        <v>423</v>
      </c>
      <c r="D7" s="152" t="s">
        <v>476</v>
      </c>
      <c r="E7" s="152" t="s">
        <v>477</v>
      </c>
      <c r="F7" s="152" t="s">
        <v>411</v>
      </c>
      <c r="G7" s="154">
        <v>1</v>
      </c>
      <c r="H7" s="155">
        <v>5500</v>
      </c>
      <c r="I7" s="155">
        <v>5500</v>
      </c>
      <c r="J7" s="240"/>
      <c r="L7" s="157" t="s">
        <v>250</v>
      </c>
    </row>
    <row r="8" spans="1:14" s="156" customFormat="1" ht="15" customHeight="1">
      <c r="A8" s="152">
        <f t="shared" si="0"/>
        <v>5</v>
      </c>
      <c r="B8" s="153">
        <v>46276</v>
      </c>
      <c r="C8" s="240" t="s">
        <v>423</v>
      </c>
      <c r="D8" s="152" t="s">
        <v>479</v>
      </c>
      <c r="E8" s="152" t="s">
        <v>480</v>
      </c>
      <c r="F8" s="152" t="s">
        <v>411</v>
      </c>
      <c r="G8" s="154">
        <v>1</v>
      </c>
      <c r="H8" s="155">
        <v>3000</v>
      </c>
      <c r="I8" s="155">
        <v>3000</v>
      </c>
      <c r="J8" s="240"/>
      <c r="L8" s="157" t="s">
        <v>292</v>
      </c>
    </row>
    <row r="9" spans="1:14" s="156" customFormat="1" ht="15" customHeight="1">
      <c r="A9" s="152">
        <f t="shared" si="0"/>
        <v>6</v>
      </c>
      <c r="B9" s="153">
        <v>46276</v>
      </c>
      <c r="C9" s="240" t="s">
        <v>423</v>
      </c>
      <c r="D9" s="152" t="s">
        <v>481</v>
      </c>
      <c r="E9" s="152" t="s">
        <v>482</v>
      </c>
      <c r="F9" s="152" t="s">
        <v>411</v>
      </c>
      <c r="G9" s="154">
        <v>1</v>
      </c>
      <c r="H9" s="155">
        <v>2600</v>
      </c>
      <c r="I9" s="155">
        <v>2600</v>
      </c>
      <c r="J9" s="240"/>
      <c r="L9" s="157" t="s">
        <v>295</v>
      </c>
    </row>
    <row r="10" spans="1:14" s="156" customFormat="1" ht="15" customHeight="1">
      <c r="A10" s="152">
        <f t="shared" si="0"/>
        <v>7</v>
      </c>
      <c r="B10" s="153">
        <v>46276</v>
      </c>
      <c r="C10" s="240" t="s">
        <v>423</v>
      </c>
      <c r="D10" s="152" t="s">
        <v>481</v>
      </c>
      <c r="E10" s="152" t="s">
        <v>483</v>
      </c>
      <c r="F10" s="152" t="s">
        <v>411</v>
      </c>
      <c r="G10" s="154">
        <v>1</v>
      </c>
      <c r="H10" s="155">
        <v>2000</v>
      </c>
      <c r="I10" s="155">
        <v>2000</v>
      </c>
      <c r="J10" s="240"/>
      <c r="L10" s="157" t="s">
        <v>296</v>
      </c>
    </row>
    <row r="11" spans="1:14" s="156" customFormat="1" ht="15" customHeight="1">
      <c r="A11" s="152">
        <f t="shared" si="0"/>
        <v>8</v>
      </c>
      <c r="B11" s="153">
        <v>46279</v>
      </c>
      <c r="C11" s="240" t="s">
        <v>423</v>
      </c>
      <c r="D11" s="152" t="s">
        <v>484</v>
      </c>
      <c r="E11" s="152" t="s">
        <v>485</v>
      </c>
      <c r="F11" s="152" t="s">
        <v>411</v>
      </c>
      <c r="G11" s="154">
        <v>2</v>
      </c>
      <c r="H11" s="155">
        <v>15500</v>
      </c>
      <c r="I11" s="155">
        <v>31000</v>
      </c>
      <c r="J11" s="240"/>
      <c r="L11" s="157" t="s">
        <v>287</v>
      </c>
    </row>
    <row r="12" spans="1:14" s="156" customFormat="1" ht="15" customHeight="1">
      <c r="A12" s="152">
        <f t="shared" si="0"/>
        <v>9</v>
      </c>
      <c r="B12" s="153">
        <v>46279</v>
      </c>
      <c r="C12" s="240" t="s">
        <v>423</v>
      </c>
      <c r="D12" s="152" t="s">
        <v>484</v>
      </c>
      <c r="E12" s="152" t="s">
        <v>486</v>
      </c>
      <c r="F12" s="152" t="s">
        <v>411</v>
      </c>
      <c r="G12" s="154">
        <v>2</v>
      </c>
      <c r="H12" s="155">
        <v>20000</v>
      </c>
      <c r="I12" s="155">
        <v>40000</v>
      </c>
      <c r="J12" s="240"/>
      <c r="L12" s="157"/>
    </row>
    <row r="13" spans="1:14" s="156" customFormat="1" ht="15" customHeight="1">
      <c r="A13" s="152">
        <f t="shared" si="0"/>
        <v>10</v>
      </c>
      <c r="B13" s="153">
        <v>46279</v>
      </c>
      <c r="C13" s="240" t="s">
        <v>423</v>
      </c>
      <c r="D13" s="152" t="s">
        <v>417</v>
      </c>
      <c r="E13" s="152" t="s">
        <v>415</v>
      </c>
      <c r="F13" s="152" t="s">
        <v>411</v>
      </c>
      <c r="G13" s="154">
        <v>5</v>
      </c>
      <c r="H13" s="155">
        <v>2700</v>
      </c>
      <c r="I13" s="155">
        <v>13500</v>
      </c>
      <c r="J13" s="240"/>
      <c r="L13" s="157"/>
      <c r="N13" s="156" t="s">
        <v>297</v>
      </c>
    </row>
    <row r="14" spans="1:14" s="156" customFormat="1" ht="15" customHeight="1">
      <c r="A14" s="152">
        <f t="shared" si="0"/>
        <v>11</v>
      </c>
      <c r="B14" s="153">
        <v>46280</v>
      </c>
      <c r="C14" s="240" t="s">
        <v>423</v>
      </c>
      <c r="D14" s="152" t="s">
        <v>487</v>
      </c>
      <c r="E14" s="152" t="s">
        <v>488</v>
      </c>
      <c r="F14" s="152" t="s">
        <v>411</v>
      </c>
      <c r="G14" s="154">
        <v>2</v>
      </c>
      <c r="H14" s="155">
        <v>7400</v>
      </c>
      <c r="I14" s="155">
        <v>14800</v>
      </c>
      <c r="J14" s="240"/>
      <c r="L14" s="157"/>
    </row>
    <row r="15" spans="1:14" s="156" customFormat="1" ht="15" customHeight="1">
      <c r="A15" s="152">
        <f t="shared" si="0"/>
        <v>12</v>
      </c>
      <c r="B15" s="153">
        <v>46280</v>
      </c>
      <c r="C15" s="240" t="s">
        <v>423</v>
      </c>
      <c r="D15" s="152" t="s">
        <v>489</v>
      </c>
      <c r="E15" s="152" t="s">
        <v>490</v>
      </c>
      <c r="F15" s="152" t="s">
        <v>411</v>
      </c>
      <c r="G15" s="154">
        <v>1</v>
      </c>
      <c r="H15" s="155">
        <v>25000</v>
      </c>
      <c r="I15" s="155">
        <v>25000</v>
      </c>
      <c r="J15" s="240"/>
      <c r="L15" s="157"/>
    </row>
    <row r="16" spans="1:14" s="156" customFormat="1" ht="15" customHeight="1">
      <c r="A16" s="152">
        <f t="shared" si="0"/>
        <v>13</v>
      </c>
      <c r="B16" s="153">
        <v>46282</v>
      </c>
      <c r="C16" s="240" t="s">
        <v>423</v>
      </c>
      <c r="D16" s="152" t="s">
        <v>491</v>
      </c>
      <c r="E16" s="152" t="s">
        <v>492</v>
      </c>
      <c r="F16" s="152" t="s">
        <v>411</v>
      </c>
      <c r="G16" s="154">
        <v>5</v>
      </c>
      <c r="H16" s="155">
        <v>1100</v>
      </c>
      <c r="I16" s="155">
        <v>5500</v>
      </c>
      <c r="J16" s="240"/>
      <c r="L16" s="157"/>
    </row>
    <row r="17" spans="1:12" s="156" customFormat="1" ht="15" customHeight="1">
      <c r="A17" s="152">
        <f t="shared" si="0"/>
        <v>14</v>
      </c>
      <c r="B17" s="153">
        <v>46282</v>
      </c>
      <c r="C17" s="240" t="s">
        <v>423</v>
      </c>
      <c r="D17" s="152" t="s">
        <v>493</v>
      </c>
      <c r="E17" s="152" t="s">
        <v>414</v>
      </c>
      <c r="F17" s="152" t="s">
        <v>411</v>
      </c>
      <c r="G17" s="154">
        <v>5</v>
      </c>
      <c r="H17" s="155">
        <v>900</v>
      </c>
      <c r="I17" s="155">
        <v>4500</v>
      </c>
      <c r="J17" s="240"/>
      <c r="L17" s="157"/>
    </row>
    <row r="18" spans="1:12" s="156" customFormat="1" ht="15" customHeight="1">
      <c r="A18" s="152">
        <f t="shared" si="0"/>
        <v>15</v>
      </c>
      <c r="B18" s="153">
        <v>46283</v>
      </c>
      <c r="C18" s="240" t="s">
        <v>423</v>
      </c>
      <c r="D18" s="152" t="s">
        <v>494</v>
      </c>
      <c r="E18" s="152" t="s">
        <v>495</v>
      </c>
      <c r="F18" s="152" t="s">
        <v>411</v>
      </c>
      <c r="G18" s="154">
        <v>6</v>
      </c>
      <c r="H18" s="155">
        <v>11400</v>
      </c>
      <c r="I18" s="155">
        <v>68400</v>
      </c>
      <c r="J18" s="240"/>
      <c r="L18" s="157"/>
    </row>
    <row r="19" spans="1:12" s="156" customFormat="1" ht="15" customHeight="1">
      <c r="A19" s="152">
        <f t="shared" si="0"/>
        <v>16</v>
      </c>
      <c r="B19" s="153">
        <v>46283</v>
      </c>
      <c r="C19" s="240" t="s">
        <v>423</v>
      </c>
      <c r="D19" s="152" t="s">
        <v>496</v>
      </c>
      <c r="E19" s="152" t="s">
        <v>497</v>
      </c>
      <c r="F19" s="152" t="s">
        <v>411</v>
      </c>
      <c r="G19" s="154">
        <v>100</v>
      </c>
      <c r="H19" s="155">
        <v>300</v>
      </c>
      <c r="I19" s="155">
        <v>30000</v>
      </c>
      <c r="J19" s="240"/>
      <c r="L19" s="157"/>
    </row>
    <row r="20" spans="1:12" s="156" customFormat="1" ht="15" customHeight="1">
      <c r="A20" s="152">
        <f t="shared" si="0"/>
        <v>17</v>
      </c>
      <c r="B20" s="153">
        <v>46286</v>
      </c>
      <c r="C20" s="240" t="s">
        <v>423</v>
      </c>
      <c r="D20" s="152" t="s">
        <v>419</v>
      </c>
      <c r="E20" s="152" t="s">
        <v>420</v>
      </c>
      <c r="F20" s="152" t="s">
        <v>411</v>
      </c>
      <c r="G20" s="154">
        <v>5</v>
      </c>
      <c r="H20" s="155">
        <v>8500</v>
      </c>
      <c r="I20" s="155">
        <v>42500</v>
      </c>
      <c r="J20" s="240"/>
      <c r="L20" s="157"/>
    </row>
    <row r="21" spans="1:12" s="156" customFormat="1" ht="15" customHeight="1">
      <c r="A21" s="152">
        <f t="shared" si="0"/>
        <v>18</v>
      </c>
      <c r="B21" s="153">
        <v>46286</v>
      </c>
      <c r="C21" s="240" t="s">
        <v>423</v>
      </c>
      <c r="D21" s="152" t="s">
        <v>498</v>
      </c>
      <c r="E21" s="152" t="s">
        <v>416</v>
      </c>
      <c r="F21" s="152" t="s">
        <v>411</v>
      </c>
      <c r="G21" s="154">
        <v>10</v>
      </c>
      <c r="H21" s="155">
        <v>500</v>
      </c>
      <c r="I21" s="155">
        <v>5000</v>
      </c>
      <c r="J21" s="240"/>
      <c r="L21" s="157"/>
    </row>
    <row r="22" spans="1:12" s="156" customFormat="1" ht="15" customHeight="1">
      <c r="A22" s="152">
        <f t="shared" si="0"/>
        <v>19</v>
      </c>
      <c r="B22" s="153">
        <v>46286</v>
      </c>
      <c r="C22" s="240" t="s">
        <v>423</v>
      </c>
      <c r="D22" s="152" t="s">
        <v>499</v>
      </c>
      <c r="E22" s="152" t="s">
        <v>500</v>
      </c>
      <c r="F22" s="152" t="s">
        <v>411</v>
      </c>
      <c r="G22" s="154">
        <v>5</v>
      </c>
      <c r="H22" s="155">
        <v>1200</v>
      </c>
      <c r="I22" s="155">
        <v>6000</v>
      </c>
      <c r="J22" s="240"/>
      <c r="L22" s="157"/>
    </row>
    <row r="23" spans="1:12" s="156" customFormat="1" ht="15" customHeight="1">
      <c r="A23" s="152">
        <f t="shared" si="0"/>
        <v>20</v>
      </c>
      <c r="B23" s="153">
        <v>46286</v>
      </c>
      <c r="C23" s="240" t="s">
        <v>423</v>
      </c>
      <c r="D23" s="152" t="s">
        <v>421</v>
      </c>
      <c r="E23" s="152" t="s">
        <v>412</v>
      </c>
      <c r="F23" s="152" t="s">
        <v>411</v>
      </c>
      <c r="G23" s="154">
        <v>1</v>
      </c>
      <c r="H23" s="155">
        <v>13000</v>
      </c>
      <c r="I23" s="155">
        <v>13000</v>
      </c>
      <c r="J23" s="240"/>
      <c r="L23" s="157"/>
    </row>
    <row r="24" spans="1:12" s="156" customFormat="1" ht="15" customHeight="1">
      <c r="A24" s="152">
        <f t="shared" si="0"/>
        <v>21</v>
      </c>
      <c r="B24" s="153">
        <v>46288</v>
      </c>
      <c r="C24" s="240" t="s">
        <v>423</v>
      </c>
      <c r="D24" s="152" t="s">
        <v>501</v>
      </c>
      <c r="E24" s="152" t="s">
        <v>502</v>
      </c>
      <c r="F24" s="152" t="s">
        <v>411</v>
      </c>
      <c r="G24" s="154">
        <v>1</v>
      </c>
      <c r="H24" s="155">
        <v>31000</v>
      </c>
      <c r="I24" s="155">
        <v>31000</v>
      </c>
      <c r="J24" s="240"/>
      <c r="L24" s="157"/>
    </row>
    <row r="25" spans="1:12" s="156" customFormat="1" ht="15" customHeight="1">
      <c r="A25" s="152">
        <f t="shared" si="0"/>
        <v>22</v>
      </c>
      <c r="B25" s="153">
        <v>46288</v>
      </c>
      <c r="C25" s="240" t="s">
        <v>423</v>
      </c>
      <c r="D25" s="152" t="s">
        <v>503</v>
      </c>
      <c r="E25" s="152" t="s">
        <v>504</v>
      </c>
      <c r="F25" s="152" t="s">
        <v>411</v>
      </c>
      <c r="G25" s="154">
        <v>1</v>
      </c>
      <c r="H25" s="155">
        <v>4100</v>
      </c>
      <c r="I25" s="155">
        <v>4100</v>
      </c>
      <c r="J25" s="240"/>
      <c r="L25" s="157"/>
    </row>
    <row r="26" spans="1:12" s="156" customFormat="1" ht="15" customHeight="1">
      <c r="A26" s="152">
        <f t="shared" si="0"/>
        <v>23</v>
      </c>
      <c r="B26" s="153">
        <v>46294</v>
      </c>
      <c r="C26" s="240" t="s">
        <v>423</v>
      </c>
      <c r="D26" s="152" t="s">
        <v>417</v>
      </c>
      <c r="E26" s="152" t="s">
        <v>415</v>
      </c>
      <c r="F26" s="152" t="s">
        <v>411</v>
      </c>
      <c r="G26" s="154">
        <v>5</v>
      </c>
      <c r="H26" s="155">
        <v>2700</v>
      </c>
      <c r="I26" s="155">
        <v>13500</v>
      </c>
      <c r="J26" s="240"/>
      <c r="L26" s="157"/>
    </row>
    <row r="27" spans="1:12" s="156" customFormat="1" ht="15" customHeight="1">
      <c r="A27" s="152">
        <f t="shared" si="0"/>
        <v>24</v>
      </c>
      <c r="B27" s="153">
        <v>46294</v>
      </c>
      <c r="C27" s="240" t="s">
        <v>423</v>
      </c>
      <c r="D27" s="152" t="s">
        <v>505</v>
      </c>
      <c r="E27" s="152" t="s">
        <v>506</v>
      </c>
      <c r="F27" s="152" t="s">
        <v>411</v>
      </c>
      <c r="G27" s="154">
        <v>3</v>
      </c>
      <c r="H27" s="155">
        <v>4900</v>
      </c>
      <c r="I27" s="155">
        <v>14700</v>
      </c>
      <c r="J27" s="240"/>
      <c r="L27" s="157"/>
    </row>
    <row r="28" spans="1:12" s="156" customFormat="1" ht="15" customHeight="1">
      <c r="A28" s="152">
        <f t="shared" si="0"/>
        <v>25</v>
      </c>
      <c r="B28" s="153">
        <v>46268</v>
      </c>
      <c r="C28" s="240" t="s">
        <v>424</v>
      </c>
      <c r="D28" s="152" t="s">
        <v>507</v>
      </c>
      <c r="E28" s="152"/>
      <c r="F28" s="152" t="s">
        <v>422</v>
      </c>
      <c r="G28" s="154">
        <v>1</v>
      </c>
      <c r="H28" s="155">
        <v>64799.999999999993</v>
      </c>
      <c r="I28" s="155">
        <v>64799.999999999993</v>
      </c>
      <c r="J28" s="240"/>
      <c r="L28" s="157"/>
    </row>
    <row r="29" spans="1:12" s="156" customFormat="1" ht="15" customHeight="1">
      <c r="A29" s="152">
        <f t="shared" si="0"/>
        <v>26</v>
      </c>
      <c r="B29" s="153">
        <v>46275</v>
      </c>
      <c r="C29" s="240" t="s">
        <v>423</v>
      </c>
      <c r="D29" s="152" t="s">
        <v>508</v>
      </c>
      <c r="E29" s="152"/>
      <c r="F29" s="152" t="s">
        <v>422</v>
      </c>
      <c r="G29" s="154">
        <v>2</v>
      </c>
      <c r="H29" s="155">
        <v>9081.818181818182</v>
      </c>
      <c r="I29" s="155">
        <v>18163.636363636364</v>
      </c>
      <c r="J29" s="240"/>
      <c r="L29" s="157"/>
    </row>
    <row r="30" spans="1:12" s="156" customFormat="1" ht="15" customHeight="1">
      <c r="A30" s="159"/>
      <c r="B30" s="160"/>
      <c r="C30" s="159"/>
      <c r="D30" s="160"/>
      <c r="E30" s="160"/>
      <c r="F30" s="160"/>
      <c r="G30" s="161"/>
      <c r="H30" s="162"/>
      <c r="I30" s="162"/>
      <c r="J30" s="160"/>
      <c r="L30" s="157"/>
    </row>
    <row r="31" spans="1:12" s="156" customFormat="1" ht="15" customHeight="1">
      <c r="A31" s="159"/>
      <c r="B31" s="160"/>
      <c r="C31" s="159"/>
      <c r="D31" s="160"/>
      <c r="E31" s="160"/>
      <c r="F31" s="160"/>
      <c r="G31" s="161"/>
      <c r="H31" s="162"/>
      <c r="I31" s="162"/>
      <c r="J31" s="160"/>
      <c r="L31" s="157"/>
    </row>
    <row r="32" spans="1:12" s="156" customFormat="1" ht="15" customHeight="1">
      <c r="A32" s="159"/>
      <c r="B32" s="160"/>
      <c r="C32" s="159"/>
      <c r="D32" s="160"/>
      <c r="E32" s="160"/>
      <c r="F32" s="160"/>
      <c r="G32" s="161"/>
      <c r="H32" s="162"/>
      <c r="I32" s="162"/>
      <c r="J32" s="160"/>
      <c r="L32" s="157"/>
    </row>
    <row r="33" spans="1:12" s="156" customFormat="1" ht="15" customHeight="1">
      <c r="A33" s="159"/>
      <c r="B33" s="160"/>
      <c r="C33" s="159"/>
      <c r="D33" s="160"/>
      <c r="E33" s="160"/>
      <c r="F33" s="160"/>
      <c r="G33" s="161"/>
      <c r="H33" s="162"/>
      <c r="I33" s="162"/>
      <c r="J33" s="160"/>
      <c r="L33" s="157"/>
    </row>
    <row r="34" spans="1:12" s="156" customFormat="1" ht="15" customHeight="1">
      <c r="A34" s="159"/>
      <c r="B34" s="160"/>
      <c r="C34" s="159"/>
      <c r="D34" s="160"/>
      <c r="E34" s="160"/>
      <c r="F34" s="160"/>
      <c r="G34" s="161"/>
      <c r="H34" s="162"/>
      <c r="I34" s="162"/>
      <c r="J34" s="160"/>
      <c r="L34" s="157"/>
    </row>
    <row r="35" spans="1:12" s="156" customFormat="1" ht="15" customHeight="1">
      <c r="A35" s="159"/>
      <c r="B35" s="160"/>
      <c r="C35" s="159"/>
      <c r="D35" s="160"/>
      <c r="E35" s="160"/>
      <c r="F35" s="160"/>
      <c r="G35" s="161"/>
      <c r="H35" s="162"/>
      <c r="I35" s="162"/>
      <c r="J35" s="160"/>
      <c r="L35" s="157"/>
    </row>
    <row r="36" spans="1:12" s="156" customFormat="1" ht="15" customHeight="1">
      <c r="A36" s="159"/>
      <c r="B36" s="160"/>
      <c r="C36" s="159"/>
      <c r="D36" s="160"/>
      <c r="E36" s="160"/>
      <c r="F36" s="160"/>
      <c r="G36" s="161"/>
      <c r="H36" s="162"/>
      <c r="I36" s="162"/>
      <c r="J36" s="160"/>
      <c r="L36" s="157"/>
    </row>
    <row r="37" spans="1:12" s="156" customFormat="1" ht="15" customHeight="1">
      <c r="A37" s="159"/>
      <c r="B37" s="160"/>
      <c r="C37" s="159"/>
      <c r="D37" s="160"/>
      <c r="E37" s="160"/>
      <c r="F37" s="160"/>
      <c r="G37" s="161"/>
      <c r="H37" s="162"/>
      <c r="I37" s="162"/>
      <c r="J37" s="160"/>
      <c r="L37" s="157"/>
    </row>
    <row r="38" spans="1:12" s="156" customFormat="1" ht="15" customHeight="1">
      <c r="A38" s="159"/>
      <c r="B38" s="160"/>
      <c r="C38" s="159"/>
      <c r="D38" s="160"/>
      <c r="E38" s="160"/>
      <c r="F38" s="160"/>
      <c r="G38" s="161"/>
      <c r="H38" s="162"/>
      <c r="I38" s="162"/>
      <c r="J38" s="160"/>
      <c r="L38" s="157"/>
    </row>
    <row r="39" spans="1:12" s="156" customFormat="1" ht="15" customHeight="1">
      <c r="A39" s="159"/>
      <c r="B39" s="160"/>
      <c r="C39" s="159"/>
      <c r="D39" s="160"/>
      <c r="E39" s="160"/>
      <c r="F39" s="160"/>
      <c r="G39" s="161"/>
      <c r="H39" s="162"/>
      <c r="I39" s="162"/>
      <c r="J39" s="160"/>
      <c r="L39" s="157"/>
    </row>
    <row r="40" spans="1:12" s="156" customFormat="1" ht="15" customHeight="1">
      <c r="A40" s="159"/>
      <c r="B40" s="160"/>
      <c r="C40" s="159"/>
      <c r="D40" s="160"/>
      <c r="E40" s="160"/>
      <c r="F40" s="160"/>
      <c r="G40" s="161"/>
      <c r="H40" s="162"/>
      <c r="I40" s="162"/>
      <c r="J40" s="160"/>
      <c r="L40" s="157"/>
    </row>
    <row r="41" spans="1:12" s="156" customFormat="1" ht="15" customHeight="1">
      <c r="A41" s="159"/>
      <c r="B41" s="160"/>
      <c r="C41" s="159"/>
      <c r="D41" s="160"/>
      <c r="E41" s="160"/>
      <c r="F41" s="160"/>
      <c r="G41" s="161"/>
      <c r="H41" s="162"/>
      <c r="I41" s="162"/>
      <c r="J41" s="160"/>
      <c r="L41" s="157"/>
    </row>
    <row r="42" spans="1:12" s="156" customFormat="1" ht="15" customHeight="1">
      <c r="A42" s="159"/>
      <c r="B42" s="160"/>
      <c r="C42" s="159"/>
      <c r="D42" s="160"/>
      <c r="E42" s="160"/>
      <c r="F42" s="160"/>
      <c r="G42" s="161"/>
      <c r="H42" s="162"/>
      <c r="I42" s="162"/>
      <c r="J42" s="160"/>
      <c r="L42" s="157"/>
    </row>
    <row r="43" spans="1:12" s="156" customFormat="1" ht="15" customHeight="1">
      <c r="A43" s="159"/>
      <c r="B43" s="160"/>
      <c r="C43" s="159"/>
      <c r="D43" s="160"/>
      <c r="E43" s="160"/>
      <c r="F43" s="160"/>
      <c r="G43" s="161"/>
      <c r="H43" s="162"/>
      <c r="I43" s="162"/>
      <c r="J43" s="160"/>
      <c r="L43" s="157"/>
    </row>
    <row r="44" spans="1:12" s="156" customFormat="1" ht="15" customHeight="1">
      <c r="A44" s="159"/>
      <c r="B44" s="160"/>
      <c r="C44" s="159"/>
      <c r="D44" s="160"/>
      <c r="E44" s="160"/>
      <c r="F44" s="160"/>
      <c r="G44" s="161"/>
      <c r="H44" s="162"/>
      <c r="I44" s="162"/>
      <c r="J44" s="160"/>
      <c r="L44" s="157"/>
    </row>
    <row r="45" spans="1:12" s="156" customFormat="1" ht="15" customHeight="1">
      <c r="A45" s="159"/>
      <c r="B45" s="160"/>
      <c r="C45" s="159"/>
      <c r="D45" s="160"/>
      <c r="E45" s="160"/>
      <c r="F45" s="160"/>
      <c r="G45" s="161"/>
      <c r="H45" s="162"/>
      <c r="I45" s="162"/>
      <c r="J45" s="160"/>
      <c r="L45" s="157"/>
    </row>
    <row r="46" spans="1:12" s="156" customFormat="1" ht="15" customHeight="1">
      <c r="A46" s="159"/>
      <c r="B46" s="160"/>
      <c r="C46" s="159"/>
      <c r="D46" s="160"/>
      <c r="E46" s="160"/>
      <c r="F46" s="160"/>
      <c r="G46" s="161"/>
      <c r="H46" s="162"/>
      <c r="I46" s="162"/>
      <c r="J46" s="160"/>
      <c r="L46" s="157"/>
    </row>
    <row r="47" spans="1:12" s="156" customFormat="1" ht="15" customHeight="1">
      <c r="A47" s="159"/>
      <c r="B47" s="160"/>
      <c r="C47" s="159"/>
      <c r="D47" s="160"/>
      <c r="E47" s="160"/>
      <c r="F47" s="160"/>
      <c r="G47" s="161"/>
      <c r="H47" s="162"/>
      <c r="I47" s="162"/>
      <c r="J47" s="160"/>
      <c r="L47" s="157"/>
    </row>
  </sheetData>
  <autoFilter ref="A2:J18" xr:uid="{2E421254-DD27-4148-AC38-C00782AEA3D1}">
    <sortState ref="A5:J41">
      <sortCondition ref="F2:F18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3"/>
  <sheetViews>
    <sheetView view="pageBreakPreview" zoomScaleNormal="100" zoomScaleSheetLayoutView="100" workbookViewId="0">
      <selection activeCell="I3" sqref="I3"/>
    </sheetView>
  </sheetViews>
  <sheetFormatPr defaultRowHeight="16.5"/>
  <cols>
    <col min="1" max="1" width="9" style="54"/>
    <col min="2" max="3" width="12.625" style="54" customWidth="1"/>
    <col min="4" max="4" width="16" style="54" bestFit="1" customWidth="1"/>
    <col min="5" max="5" width="31.375" style="54" bestFit="1" customWidth="1"/>
    <col min="6" max="6" width="10.625" style="54" customWidth="1"/>
    <col min="7" max="8" width="8.125" style="54" customWidth="1"/>
    <col min="9" max="9" width="13.625" style="54" customWidth="1"/>
    <col min="10" max="10" width="35.625" style="54" customWidth="1"/>
    <col min="11" max="12" width="9" style="54"/>
  </cols>
  <sheetData>
    <row r="1" spans="1:12" ht="35.1" customHeight="1">
      <c r="A1" s="336" t="s">
        <v>235</v>
      </c>
      <c r="B1" s="337"/>
      <c r="C1" s="337"/>
      <c r="D1" s="337"/>
      <c r="E1" s="337"/>
      <c r="F1" s="337"/>
      <c r="G1" s="337"/>
      <c r="H1" s="337"/>
      <c r="I1" s="337"/>
      <c r="J1" s="338"/>
    </row>
    <row r="2" spans="1:12" ht="20.100000000000001" customHeight="1">
      <c r="A2" s="339" t="s">
        <v>236</v>
      </c>
      <c r="B2" s="339" t="s">
        <v>237</v>
      </c>
      <c r="C2" s="339" t="s">
        <v>238</v>
      </c>
      <c r="D2" s="339" t="s">
        <v>239</v>
      </c>
      <c r="E2" s="339" t="s">
        <v>240</v>
      </c>
      <c r="F2" s="339" t="s">
        <v>241</v>
      </c>
      <c r="G2" s="339" t="s">
        <v>242</v>
      </c>
      <c r="H2" s="339" t="s">
        <v>243</v>
      </c>
      <c r="I2" s="139" t="s">
        <v>244</v>
      </c>
      <c r="J2" s="339" t="s">
        <v>245</v>
      </c>
    </row>
    <row r="3" spans="1:12" ht="20.100000000000001" customHeight="1">
      <c r="A3" s="339"/>
      <c r="B3" s="339"/>
      <c r="C3" s="339"/>
      <c r="D3" s="339"/>
      <c r="E3" s="339"/>
      <c r="F3" s="339"/>
      <c r="G3" s="339"/>
      <c r="H3" s="339"/>
      <c r="I3" s="140">
        <f>SUM(I4:I13)</f>
        <v>4430000</v>
      </c>
      <c r="J3" s="339"/>
      <c r="L3" s="141" t="s">
        <v>246</v>
      </c>
    </row>
    <row r="4" spans="1:12" ht="20.100000000000001" customHeight="1">
      <c r="A4" s="152">
        <f t="shared" ref="A4:A6" si="0">ROW()-3</f>
        <v>1</v>
      </c>
      <c r="B4" s="175">
        <v>46295</v>
      </c>
      <c r="C4" s="45" t="s">
        <v>436</v>
      </c>
      <c r="D4" s="45" t="s">
        <v>509</v>
      </c>
      <c r="E4" s="45" t="s">
        <v>437</v>
      </c>
      <c r="F4" s="45" t="s">
        <v>438</v>
      </c>
      <c r="G4" s="45">
        <v>1</v>
      </c>
      <c r="H4" s="45"/>
      <c r="I4" s="178">
        <f>1550000</f>
        <v>1550000</v>
      </c>
      <c r="J4" s="45" t="s">
        <v>247</v>
      </c>
      <c r="L4" s="142" t="s">
        <v>248</v>
      </c>
    </row>
    <row r="5" spans="1:12" ht="20.100000000000001" customHeight="1">
      <c r="A5" s="152">
        <f t="shared" si="0"/>
        <v>2</v>
      </c>
      <c r="B5" s="175">
        <v>46295</v>
      </c>
      <c r="C5" s="45" t="s">
        <v>436</v>
      </c>
      <c r="D5" s="45" t="s">
        <v>509</v>
      </c>
      <c r="E5" s="45" t="s">
        <v>439</v>
      </c>
      <c r="F5" s="45" t="s">
        <v>440</v>
      </c>
      <c r="G5" s="45">
        <v>1</v>
      </c>
      <c r="H5" s="45"/>
      <c r="I5" s="178">
        <f>1300000</f>
        <v>1300000</v>
      </c>
      <c r="J5" s="45" t="s">
        <v>247</v>
      </c>
      <c r="L5" s="142" t="s">
        <v>249</v>
      </c>
    </row>
    <row r="6" spans="1:12" ht="20.100000000000001" customHeight="1">
      <c r="A6" s="152">
        <f t="shared" si="0"/>
        <v>3</v>
      </c>
      <c r="B6" s="175">
        <v>46295</v>
      </c>
      <c r="C6" s="45" t="s">
        <v>436</v>
      </c>
      <c r="D6" s="45" t="s">
        <v>509</v>
      </c>
      <c r="E6" s="45" t="s">
        <v>441</v>
      </c>
      <c r="F6" s="45" t="s">
        <v>438</v>
      </c>
      <c r="G6" s="45">
        <v>1</v>
      </c>
      <c r="H6" s="45"/>
      <c r="I6" s="178">
        <f>1550000</f>
        <v>1550000</v>
      </c>
      <c r="J6" s="45" t="s">
        <v>247</v>
      </c>
      <c r="L6" s="142" t="s">
        <v>250</v>
      </c>
    </row>
    <row r="7" spans="1:12" ht="20.100000000000001" customHeight="1">
      <c r="A7" s="152">
        <v>4</v>
      </c>
      <c r="B7" s="175">
        <v>46295</v>
      </c>
      <c r="C7" s="45" t="s">
        <v>436</v>
      </c>
      <c r="D7" s="45" t="s">
        <v>509</v>
      </c>
      <c r="E7" s="45" t="s">
        <v>510</v>
      </c>
      <c r="F7" s="45" t="s">
        <v>440</v>
      </c>
      <c r="G7" s="45">
        <v>1</v>
      </c>
      <c r="H7" s="45"/>
      <c r="I7" s="178">
        <f>(900000/30)*1</f>
        <v>30000</v>
      </c>
      <c r="J7" s="45" t="s">
        <v>511</v>
      </c>
      <c r="L7" s="142" t="s">
        <v>251</v>
      </c>
    </row>
    <row r="8" spans="1:12" ht="20.100000000000001" customHeight="1">
      <c r="L8" s="143" t="s">
        <v>252</v>
      </c>
    </row>
    <row r="9" spans="1:12" ht="20.100000000000001" customHeight="1">
      <c r="L9" s="143" t="s">
        <v>253</v>
      </c>
    </row>
    <row r="10" spans="1:12" ht="20.100000000000001" customHeight="1">
      <c r="L10" s="143" t="s">
        <v>254</v>
      </c>
    </row>
    <row r="11" spans="1:12" ht="20.100000000000001" customHeight="1">
      <c r="L11" s="143"/>
    </row>
    <row r="12" spans="1:12" ht="20.100000000000001" customHeight="1">
      <c r="L12" s="141" t="s">
        <v>255</v>
      </c>
    </row>
    <row r="13" spans="1:12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AND(COUNTIF(#REF!, E4)+COUNTIF(#REF!, E4)+COUNTIF(#REF!, E4)&gt;1,NOT(ISBLANK(E4)))</formula>
    </cfRule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3"/>
  <sheetViews>
    <sheetView view="pageBreakPreview" zoomScaleNormal="100" zoomScaleSheetLayoutView="100" workbookViewId="0">
      <selection activeCell="I3" sqref="I3"/>
    </sheetView>
  </sheetViews>
  <sheetFormatPr defaultRowHeight="16.5"/>
  <cols>
    <col min="1" max="1" width="9" style="54"/>
    <col min="2" max="3" width="12.625" style="54" customWidth="1"/>
    <col min="4" max="4" width="16" style="54" bestFit="1" customWidth="1"/>
    <col min="5" max="5" width="31.375" style="54" bestFit="1" customWidth="1"/>
    <col min="6" max="6" width="10.625" style="54" customWidth="1"/>
    <col min="7" max="8" width="8.125" style="54" customWidth="1"/>
    <col min="9" max="9" width="13.625" style="54" customWidth="1"/>
    <col min="10" max="10" width="35.625" style="54" customWidth="1"/>
  </cols>
  <sheetData>
    <row r="1" spans="1:10" ht="35.1" customHeight="1">
      <c r="A1" s="336" t="s">
        <v>256</v>
      </c>
      <c r="B1" s="337"/>
      <c r="C1" s="337"/>
      <c r="D1" s="337"/>
      <c r="E1" s="337"/>
      <c r="F1" s="337"/>
      <c r="G1" s="337"/>
      <c r="H1" s="337"/>
      <c r="I1" s="337"/>
      <c r="J1" s="338"/>
    </row>
    <row r="2" spans="1:10" ht="20.100000000000001" customHeight="1">
      <c r="A2" s="339" t="s">
        <v>257</v>
      </c>
      <c r="B2" s="339" t="s">
        <v>237</v>
      </c>
      <c r="C2" s="339" t="s">
        <v>258</v>
      </c>
      <c r="D2" s="339" t="s">
        <v>239</v>
      </c>
      <c r="E2" s="339" t="s">
        <v>259</v>
      </c>
      <c r="F2" s="339" t="s">
        <v>241</v>
      </c>
      <c r="G2" s="339" t="s">
        <v>260</v>
      </c>
      <c r="H2" s="339" t="s">
        <v>261</v>
      </c>
      <c r="I2" s="139" t="s">
        <v>262</v>
      </c>
      <c r="J2" s="339" t="s">
        <v>263</v>
      </c>
    </row>
    <row r="3" spans="1:10" ht="20.100000000000001" customHeight="1">
      <c r="A3" s="339"/>
      <c r="B3" s="339"/>
      <c r="C3" s="339"/>
      <c r="D3" s="339"/>
      <c r="E3" s="339"/>
      <c r="F3" s="339"/>
      <c r="G3" s="339"/>
      <c r="H3" s="339"/>
      <c r="I3" s="140">
        <f>SUM(I4:I13)</f>
        <v>343050</v>
      </c>
      <c r="J3" s="339"/>
    </row>
    <row r="4" spans="1:10" ht="20.100000000000001" customHeight="1">
      <c r="A4" s="163">
        <f t="shared" ref="A4:A9" si="0">ROW()-3</f>
        <v>1</v>
      </c>
      <c r="B4" s="164">
        <v>46295</v>
      </c>
      <c r="C4" s="165" t="s">
        <v>512</v>
      </c>
      <c r="D4" s="166" t="s">
        <v>513</v>
      </c>
      <c r="E4" s="45" t="s">
        <v>514</v>
      </c>
      <c r="F4" s="45" t="s">
        <v>515</v>
      </c>
      <c r="G4" s="167"/>
      <c r="H4" s="181"/>
      <c r="I4" s="168">
        <v>176200</v>
      </c>
      <c r="J4" s="169"/>
    </row>
    <row r="5" spans="1:10" ht="20.100000000000001" customHeight="1">
      <c r="A5" s="163">
        <f t="shared" si="0"/>
        <v>2</v>
      </c>
      <c r="B5" s="164">
        <v>46295</v>
      </c>
      <c r="C5" s="165" t="s">
        <v>512</v>
      </c>
      <c r="D5" s="166" t="s">
        <v>516</v>
      </c>
      <c r="E5" s="45" t="s">
        <v>517</v>
      </c>
      <c r="F5" s="45" t="s">
        <v>518</v>
      </c>
      <c r="G5" s="167"/>
      <c r="H5" s="174"/>
      <c r="I5" s="178">
        <v>91640</v>
      </c>
      <c r="J5" s="174"/>
    </row>
    <row r="6" spans="1:10" ht="20.100000000000001" customHeight="1">
      <c r="A6" s="163">
        <f t="shared" si="0"/>
        <v>3</v>
      </c>
      <c r="B6" s="164">
        <v>46295</v>
      </c>
      <c r="C6" s="165" t="s">
        <v>512</v>
      </c>
      <c r="D6" s="166" t="s">
        <v>516</v>
      </c>
      <c r="E6" s="45" t="s">
        <v>519</v>
      </c>
      <c r="F6" s="45" t="s">
        <v>515</v>
      </c>
      <c r="G6" s="167"/>
      <c r="H6" s="174"/>
      <c r="I6" s="178">
        <v>61120</v>
      </c>
      <c r="J6" s="174"/>
    </row>
    <row r="7" spans="1:10" ht="20.100000000000001" customHeight="1">
      <c r="A7" s="163">
        <f t="shared" si="0"/>
        <v>4</v>
      </c>
      <c r="B7" s="164">
        <v>46295</v>
      </c>
      <c r="C7" s="165" t="s">
        <v>512</v>
      </c>
      <c r="D7" s="166" t="s">
        <v>520</v>
      </c>
      <c r="E7" s="45" t="s">
        <v>514</v>
      </c>
      <c r="F7" s="45" t="s">
        <v>515</v>
      </c>
      <c r="G7" s="167"/>
      <c r="H7" s="174"/>
      <c r="I7" s="178">
        <v>4120</v>
      </c>
      <c r="J7" s="174"/>
    </row>
    <row r="8" spans="1:10" ht="20.100000000000001" customHeight="1">
      <c r="A8" s="163">
        <f t="shared" si="0"/>
        <v>5</v>
      </c>
      <c r="B8" s="164">
        <v>46295</v>
      </c>
      <c r="C8" s="165" t="s">
        <v>512</v>
      </c>
      <c r="D8" s="166" t="s">
        <v>520</v>
      </c>
      <c r="E8" s="45" t="s">
        <v>517</v>
      </c>
      <c r="F8" s="45" t="s">
        <v>518</v>
      </c>
      <c r="G8" s="167"/>
      <c r="H8" s="174"/>
      <c r="I8" s="178">
        <v>4120</v>
      </c>
      <c r="J8" s="174"/>
    </row>
    <row r="9" spans="1:10" ht="20.100000000000001" customHeight="1">
      <c r="A9" s="163">
        <f t="shared" si="0"/>
        <v>6</v>
      </c>
      <c r="B9" s="164">
        <v>46295</v>
      </c>
      <c r="C9" s="165" t="s">
        <v>512</v>
      </c>
      <c r="D9" s="166" t="s">
        <v>520</v>
      </c>
      <c r="E9" s="45" t="s">
        <v>519</v>
      </c>
      <c r="F9" s="45" t="s">
        <v>515</v>
      </c>
      <c r="G9" s="167"/>
      <c r="H9" s="174"/>
      <c r="I9" s="178">
        <v>5850</v>
      </c>
      <c r="J9" s="174"/>
    </row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9">
    <cfRule type="duplicateValues" priority="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2"/>
  <sheetViews>
    <sheetView view="pageBreakPreview" zoomScale="115" zoomScaleNormal="100" zoomScaleSheetLayoutView="115" workbookViewId="0">
      <selection activeCell="G14" sqref="G14"/>
    </sheetView>
  </sheetViews>
  <sheetFormatPr defaultRowHeight="16.5"/>
  <cols>
    <col min="1" max="1" width="9" style="54"/>
    <col min="2" max="3" width="12.625" style="54" customWidth="1"/>
    <col min="4" max="4" width="22.875" style="54" bestFit="1" customWidth="1"/>
    <col min="5" max="5" width="31.375" style="54" bestFit="1" customWidth="1"/>
    <col min="6" max="6" width="10.625" style="54" customWidth="1"/>
    <col min="7" max="7" width="8.125" style="54" customWidth="1"/>
    <col min="8" max="8" width="10.5" style="54" bestFit="1" customWidth="1"/>
    <col min="9" max="9" width="13.625" style="54" customWidth="1"/>
    <col min="10" max="10" width="35.625" style="54" customWidth="1"/>
    <col min="11" max="12" width="9" style="54"/>
  </cols>
  <sheetData>
    <row r="1" spans="1:12" ht="35.1" customHeight="1">
      <c r="A1" s="336" t="s">
        <v>264</v>
      </c>
      <c r="B1" s="337"/>
      <c r="C1" s="337"/>
      <c r="D1" s="337"/>
      <c r="E1" s="337"/>
      <c r="F1" s="337"/>
      <c r="G1" s="337"/>
      <c r="H1" s="337"/>
      <c r="I1" s="337"/>
      <c r="J1" s="338"/>
    </row>
    <row r="2" spans="1:12" ht="24.95" customHeight="1">
      <c r="A2" s="339" t="s">
        <v>265</v>
      </c>
      <c r="B2" s="339" t="s">
        <v>266</v>
      </c>
      <c r="C2" s="339" t="s">
        <v>108</v>
      </c>
      <c r="D2" s="339" t="s">
        <v>267</v>
      </c>
      <c r="E2" s="339" t="s">
        <v>268</v>
      </c>
      <c r="F2" s="339" t="s">
        <v>269</v>
      </c>
      <c r="G2" s="339" t="s">
        <v>270</v>
      </c>
      <c r="H2" s="339" t="s">
        <v>271</v>
      </c>
      <c r="I2" s="139" t="s">
        <v>272</v>
      </c>
      <c r="J2" s="339" t="s">
        <v>245</v>
      </c>
    </row>
    <row r="3" spans="1:12" ht="24.95" customHeight="1">
      <c r="A3" s="339"/>
      <c r="B3" s="339"/>
      <c r="C3" s="339"/>
      <c r="D3" s="339"/>
      <c r="E3" s="339"/>
      <c r="F3" s="339"/>
      <c r="G3" s="339"/>
      <c r="H3" s="339"/>
      <c r="I3" s="140">
        <f>SUM(I4:I7)</f>
        <v>6956364</v>
      </c>
      <c r="J3" s="339"/>
      <c r="L3" s="141" t="s">
        <v>273</v>
      </c>
    </row>
    <row r="4" spans="1:12" ht="15" customHeight="1">
      <c r="A4" s="152">
        <f t="shared" ref="A4:A8" si="0">ROW()-3</f>
        <v>1</v>
      </c>
      <c r="B4" s="175">
        <v>46290</v>
      </c>
      <c r="C4" s="45" t="s">
        <v>425</v>
      </c>
      <c r="D4" s="45" t="s">
        <v>426</v>
      </c>
      <c r="E4" s="45" t="s">
        <v>521</v>
      </c>
      <c r="F4" s="45">
        <v>1</v>
      </c>
      <c r="G4" s="45"/>
      <c r="H4" s="177">
        <v>201364</v>
      </c>
      <c r="I4" s="177">
        <f>F4*H4</f>
        <v>201364</v>
      </c>
      <c r="J4" s="45" t="s">
        <v>247</v>
      </c>
      <c r="L4" s="142" t="s">
        <v>274</v>
      </c>
    </row>
    <row r="5" spans="1:12" ht="15" customHeight="1">
      <c r="A5" s="152">
        <f t="shared" si="0"/>
        <v>2</v>
      </c>
      <c r="B5" s="175">
        <v>46290</v>
      </c>
      <c r="C5" s="45" t="s">
        <v>425</v>
      </c>
      <c r="D5" s="45" t="s">
        <v>426</v>
      </c>
      <c r="E5" s="45" t="s">
        <v>427</v>
      </c>
      <c r="F5" s="45">
        <v>1</v>
      </c>
      <c r="G5" s="45"/>
      <c r="H5" s="177">
        <v>350000</v>
      </c>
      <c r="I5" s="177">
        <f>F5*H5</f>
        <v>350000</v>
      </c>
      <c r="J5" s="45" t="s">
        <v>247</v>
      </c>
      <c r="L5" s="142" t="s">
        <v>275</v>
      </c>
    </row>
    <row r="6" spans="1:12" ht="15" customHeight="1">
      <c r="A6" s="152">
        <f t="shared" si="0"/>
        <v>3</v>
      </c>
      <c r="B6" s="175">
        <v>46290</v>
      </c>
      <c r="C6" s="45" t="s">
        <v>425</v>
      </c>
      <c r="D6" s="45" t="s">
        <v>426</v>
      </c>
      <c r="E6" s="45" t="s">
        <v>428</v>
      </c>
      <c r="F6" s="45">
        <v>849</v>
      </c>
      <c r="G6" s="45"/>
      <c r="H6" s="177">
        <v>7000</v>
      </c>
      <c r="I6" s="177">
        <f>F6*H6</f>
        <v>5943000</v>
      </c>
      <c r="J6" s="45" t="s">
        <v>247</v>
      </c>
      <c r="L6" s="142" t="s">
        <v>276</v>
      </c>
    </row>
    <row r="7" spans="1:12" ht="15" customHeight="1">
      <c r="A7" s="152">
        <f t="shared" si="0"/>
        <v>4</v>
      </c>
      <c r="B7" s="175">
        <v>46290</v>
      </c>
      <c r="C7" s="45" t="s">
        <v>425</v>
      </c>
      <c r="D7" s="45" t="s">
        <v>426</v>
      </c>
      <c r="E7" s="45" t="s">
        <v>429</v>
      </c>
      <c r="F7" s="45">
        <v>66</v>
      </c>
      <c r="G7" s="45"/>
      <c r="H7" s="177">
        <v>7000</v>
      </c>
      <c r="I7" s="177">
        <f>F7*H7</f>
        <v>462000</v>
      </c>
      <c r="J7" s="45" t="s">
        <v>247</v>
      </c>
      <c r="L7" s="142" t="s">
        <v>277</v>
      </c>
    </row>
    <row r="8" spans="1:12" ht="15" customHeight="1">
      <c r="A8" s="246">
        <f t="shared" si="0"/>
        <v>5</v>
      </c>
      <c r="B8" s="175">
        <v>46279</v>
      </c>
      <c r="C8" s="45" t="s">
        <v>430</v>
      </c>
      <c r="D8" s="45" t="s">
        <v>522</v>
      </c>
      <c r="E8" s="45" t="s">
        <v>523</v>
      </c>
      <c r="F8" s="45">
        <v>20</v>
      </c>
      <c r="G8" s="45"/>
      <c r="H8" s="177">
        <v>19999.999999999996</v>
      </c>
      <c r="I8" s="177">
        <v>399999.99999999994</v>
      </c>
      <c r="J8" s="244"/>
      <c r="L8" s="142" t="s">
        <v>278</v>
      </c>
    </row>
    <row r="9" spans="1:12" ht="15" customHeight="1">
      <c r="D9" s="176"/>
      <c r="L9" s="142" t="s">
        <v>279</v>
      </c>
    </row>
    <row r="10" spans="1:12" ht="15" customHeight="1">
      <c r="D10" s="176"/>
      <c r="L10" s="143" t="s">
        <v>280</v>
      </c>
    </row>
    <row r="11" spans="1:12" ht="15" customHeight="1">
      <c r="D11" s="176"/>
      <c r="L11" s="143" t="s">
        <v>281</v>
      </c>
    </row>
    <row r="12" spans="1:12">
      <c r="D12" s="176"/>
      <c r="L12" s="143"/>
    </row>
    <row r="13" spans="1:12">
      <c r="D13" s="176"/>
      <c r="L13" s="54" t="s">
        <v>282</v>
      </c>
    </row>
    <row r="14" spans="1:12">
      <c r="D14" s="176"/>
    </row>
    <row r="15" spans="1:12">
      <c r="D15" s="176"/>
    </row>
    <row r="16" spans="1:12">
      <c r="D16" s="176"/>
      <c r="I16" s="172"/>
    </row>
    <row r="17" spans="4:9">
      <c r="D17" s="176"/>
      <c r="I17" s="172"/>
    </row>
    <row r="18" spans="4:9">
      <c r="D18" s="176"/>
    </row>
    <row r="19" spans="4:9">
      <c r="D19" s="176"/>
    </row>
    <row r="20" spans="4:9">
      <c r="D20" s="176"/>
    </row>
    <row r="21" spans="4:9">
      <c r="D21" s="176"/>
    </row>
    <row r="22" spans="4:9">
      <c r="D22" s="176"/>
    </row>
    <row r="23" spans="4:9">
      <c r="D23" s="176"/>
    </row>
    <row r="24" spans="4:9">
      <c r="D24" s="176"/>
    </row>
    <row r="25" spans="4:9">
      <c r="D25" s="176"/>
    </row>
    <row r="26" spans="4:9">
      <c r="D26" s="176"/>
    </row>
    <row r="27" spans="4:9">
      <c r="D27" s="176"/>
    </row>
    <row r="28" spans="4:9">
      <c r="D28" s="176"/>
    </row>
    <row r="29" spans="4:9">
      <c r="D29" s="176"/>
    </row>
    <row r="30" spans="4:9">
      <c r="D30" s="176"/>
    </row>
    <row r="31" spans="4:9">
      <c r="D31" s="176"/>
    </row>
    <row r="32" spans="4:9">
      <c r="D32" s="176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3"/>
  <sheetViews>
    <sheetView view="pageBreakPreview" zoomScale="85" zoomScaleNormal="100" zoomScaleSheetLayoutView="85" workbookViewId="0">
      <selection activeCell="G20" sqref="G20"/>
    </sheetView>
  </sheetViews>
  <sheetFormatPr defaultRowHeight="16.5"/>
  <cols>
    <col min="2" max="2" width="11.125" bestFit="1" customWidth="1"/>
    <col min="3" max="3" width="10.625" bestFit="1" customWidth="1"/>
    <col min="4" max="4" width="32.25" customWidth="1"/>
    <col min="5" max="5" width="19.875" style="36" bestFit="1" customWidth="1"/>
    <col min="6" max="6" width="9" style="36"/>
    <col min="7" max="7" width="10.5" style="36" bestFit="1" customWidth="1"/>
    <col min="8" max="8" width="10.5" style="36" customWidth="1"/>
    <col min="9" max="9" width="18" customWidth="1"/>
    <col min="12" max="12" width="10" bestFit="1" customWidth="1"/>
  </cols>
  <sheetData>
    <row r="1" spans="1:20" ht="35.1" customHeight="1">
      <c r="A1" s="340" t="s">
        <v>283</v>
      </c>
      <c r="B1" s="340"/>
      <c r="C1" s="340"/>
      <c r="D1" s="340"/>
      <c r="E1" s="340"/>
      <c r="F1" s="340"/>
      <c r="G1" s="340"/>
      <c r="H1" s="340"/>
      <c r="I1" s="340"/>
      <c r="J1" s="54"/>
      <c r="K1" s="54"/>
      <c r="L1" s="54"/>
    </row>
    <row r="2" spans="1:20" ht="24.95" customHeight="1">
      <c r="A2" s="339" t="s">
        <v>284</v>
      </c>
      <c r="B2" s="341" t="s">
        <v>285</v>
      </c>
      <c r="C2" s="341" t="s">
        <v>286</v>
      </c>
      <c r="D2" s="342" t="s">
        <v>277</v>
      </c>
      <c r="E2" s="341" t="s">
        <v>278</v>
      </c>
      <c r="F2" s="341" t="s">
        <v>253</v>
      </c>
      <c r="G2" s="343" t="s">
        <v>287</v>
      </c>
      <c r="H2" s="144" t="s">
        <v>288</v>
      </c>
      <c r="I2" s="341" t="s">
        <v>289</v>
      </c>
      <c r="J2" s="54"/>
      <c r="K2" s="54"/>
      <c r="L2" s="54"/>
    </row>
    <row r="3" spans="1:20" ht="24.95" customHeight="1">
      <c r="A3" s="339"/>
      <c r="B3" s="341"/>
      <c r="C3" s="341"/>
      <c r="D3" s="342"/>
      <c r="E3" s="341"/>
      <c r="F3" s="341"/>
      <c r="G3" s="343"/>
      <c r="H3" s="145">
        <f>SUM(H4:H23)</f>
        <v>442981.81818181812</v>
      </c>
      <c r="I3" s="341"/>
      <c r="J3" s="54"/>
      <c r="K3" s="173" t="s">
        <v>246</v>
      </c>
      <c r="L3" s="143"/>
      <c r="M3" s="143"/>
      <c r="N3" s="143"/>
      <c r="O3" s="143"/>
      <c r="P3" s="143"/>
      <c r="Q3" s="143"/>
      <c r="R3" s="143"/>
      <c r="S3" s="143"/>
      <c r="T3" s="143"/>
    </row>
    <row r="4" spans="1:20" ht="15" customHeight="1">
      <c r="A4" s="152">
        <f t="shared" ref="A4:A13" si="0">ROW()-3</f>
        <v>1</v>
      </c>
      <c r="B4" s="164">
        <v>46266</v>
      </c>
      <c r="C4" s="243" t="s">
        <v>434</v>
      </c>
      <c r="D4" s="169" t="s">
        <v>431</v>
      </c>
      <c r="E4" s="170" t="s">
        <v>433</v>
      </c>
      <c r="F4" s="181">
        <v>1</v>
      </c>
      <c r="G4" s="247">
        <f>60000/1.1</f>
        <v>54545.454545454544</v>
      </c>
      <c r="H4" s="247">
        <f t="shared" ref="H4:H13" si="1">F4*G4</f>
        <v>54545.454545454544</v>
      </c>
      <c r="I4" s="177"/>
      <c r="J4" s="54"/>
      <c r="K4" s="142" t="s">
        <v>294</v>
      </c>
      <c r="L4" s="143"/>
      <c r="M4" s="143"/>
      <c r="N4" s="143"/>
      <c r="O4" s="143"/>
      <c r="P4" s="143"/>
      <c r="Q4" s="143"/>
      <c r="R4" s="143"/>
      <c r="S4" s="143"/>
      <c r="T4" s="143"/>
    </row>
    <row r="5" spans="1:20" ht="15" customHeight="1">
      <c r="A5" s="152">
        <f t="shared" si="0"/>
        <v>2</v>
      </c>
      <c r="B5" s="164">
        <v>46272</v>
      </c>
      <c r="C5" s="243" t="s">
        <v>434</v>
      </c>
      <c r="D5" s="169" t="s">
        <v>431</v>
      </c>
      <c r="E5" s="170" t="s">
        <v>433</v>
      </c>
      <c r="F5" s="181">
        <v>1</v>
      </c>
      <c r="G5" s="247">
        <f>60000/1.1</f>
        <v>54545.454545454544</v>
      </c>
      <c r="H5" s="247">
        <f t="shared" si="1"/>
        <v>54545.454545454544</v>
      </c>
      <c r="I5" s="177"/>
      <c r="J5" s="54"/>
      <c r="K5" s="142" t="s">
        <v>285</v>
      </c>
      <c r="L5" s="143"/>
      <c r="M5" s="143"/>
      <c r="N5" s="143"/>
      <c r="O5" s="143"/>
      <c r="P5" s="143"/>
      <c r="Q5" s="143"/>
      <c r="R5" s="143"/>
      <c r="S5" s="143"/>
      <c r="T5" s="143"/>
    </row>
    <row r="6" spans="1:20" ht="15" customHeight="1">
      <c r="A6" s="152">
        <f t="shared" si="0"/>
        <v>3</v>
      </c>
      <c r="B6" s="164">
        <v>46276</v>
      </c>
      <c r="C6" s="243" t="s">
        <v>434</v>
      </c>
      <c r="D6" s="169" t="s">
        <v>431</v>
      </c>
      <c r="E6" s="170" t="s">
        <v>432</v>
      </c>
      <c r="F6" s="181">
        <v>1</v>
      </c>
      <c r="G6" s="245">
        <f>70000/1.1</f>
        <v>63636.363636363632</v>
      </c>
      <c r="H6" s="247">
        <f t="shared" si="1"/>
        <v>63636.363636363632</v>
      </c>
      <c r="I6" s="177"/>
      <c r="J6" s="54"/>
      <c r="K6" s="142" t="s">
        <v>249</v>
      </c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5" customHeight="1">
      <c r="A7" s="152">
        <f t="shared" si="0"/>
        <v>4</v>
      </c>
      <c r="B7" s="164">
        <v>46281</v>
      </c>
      <c r="C7" s="243" t="s">
        <v>434</v>
      </c>
      <c r="D7" s="169" t="s">
        <v>431</v>
      </c>
      <c r="E7" s="170" t="s">
        <v>433</v>
      </c>
      <c r="F7" s="181">
        <v>1</v>
      </c>
      <c r="G7" s="245">
        <f>70000/1.1</f>
        <v>63636.363636363632</v>
      </c>
      <c r="H7" s="247">
        <f t="shared" si="1"/>
        <v>63636.363636363632</v>
      </c>
      <c r="I7" s="177"/>
      <c r="J7" s="54"/>
      <c r="K7" s="142" t="s">
        <v>250</v>
      </c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5" customHeight="1">
      <c r="A8" s="152">
        <f t="shared" si="0"/>
        <v>5</v>
      </c>
      <c r="B8" s="164">
        <v>46284</v>
      </c>
      <c r="C8" s="243" t="s">
        <v>434</v>
      </c>
      <c r="D8" s="169" t="s">
        <v>431</v>
      </c>
      <c r="E8" s="170" t="s">
        <v>433</v>
      </c>
      <c r="F8" s="181">
        <v>1</v>
      </c>
      <c r="G8" s="245">
        <f>70000/1.1</f>
        <v>63636.363636363632</v>
      </c>
      <c r="H8" s="247">
        <f t="shared" si="1"/>
        <v>63636.363636363632</v>
      </c>
      <c r="I8" s="177"/>
      <c r="J8" s="54"/>
      <c r="K8" s="142" t="s">
        <v>295</v>
      </c>
      <c r="L8" s="143"/>
      <c r="M8" s="143"/>
      <c r="N8" s="143"/>
      <c r="O8" s="143"/>
      <c r="P8" s="143"/>
      <c r="Q8" s="143"/>
      <c r="R8" s="143"/>
      <c r="S8" s="143"/>
      <c r="T8" s="143"/>
    </row>
    <row r="9" spans="1:20" ht="15" customHeight="1">
      <c r="A9" s="152">
        <f t="shared" si="0"/>
        <v>6</v>
      </c>
      <c r="B9" s="164">
        <v>46288</v>
      </c>
      <c r="C9" s="243" t="s">
        <v>434</v>
      </c>
      <c r="D9" s="169" t="s">
        <v>431</v>
      </c>
      <c r="E9" s="170" t="s">
        <v>433</v>
      </c>
      <c r="F9" s="181">
        <v>1</v>
      </c>
      <c r="G9" s="247">
        <f>60000/1.1</f>
        <v>54545.454545454544</v>
      </c>
      <c r="H9" s="247">
        <f t="shared" si="1"/>
        <v>54545.454545454544</v>
      </c>
      <c r="I9" s="177"/>
      <c r="J9" s="54"/>
      <c r="K9" s="142" t="s">
        <v>253</v>
      </c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15" customHeight="1">
      <c r="A10" s="152">
        <f t="shared" si="0"/>
        <v>7</v>
      </c>
      <c r="B10" s="164">
        <v>46294</v>
      </c>
      <c r="C10" s="243" t="s">
        <v>434</v>
      </c>
      <c r="D10" s="169" t="s">
        <v>431</v>
      </c>
      <c r="E10" s="170" t="s">
        <v>433</v>
      </c>
      <c r="F10" s="181">
        <v>1</v>
      </c>
      <c r="G10" s="247">
        <f>60000/1.1</f>
        <v>54545.454545454544</v>
      </c>
      <c r="H10" s="247">
        <f t="shared" si="1"/>
        <v>54545.454545454544</v>
      </c>
      <c r="I10" s="177"/>
      <c r="J10" s="54"/>
      <c r="K10" s="142" t="s">
        <v>287</v>
      </c>
      <c r="L10" s="143"/>
      <c r="M10" s="143"/>
      <c r="N10" s="143"/>
      <c r="O10" s="143"/>
      <c r="P10" s="143"/>
      <c r="Q10" s="143"/>
      <c r="R10" s="143"/>
      <c r="S10" s="143"/>
      <c r="T10" s="143"/>
    </row>
    <row r="11" spans="1:20" ht="15" customHeight="1">
      <c r="A11" s="152">
        <f t="shared" si="0"/>
        <v>8</v>
      </c>
      <c r="B11" s="165">
        <v>46273</v>
      </c>
      <c r="C11" s="165" t="s">
        <v>435</v>
      </c>
      <c r="D11" s="248" t="s">
        <v>524</v>
      </c>
      <c r="E11" s="181" t="s">
        <v>422</v>
      </c>
      <c r="F11" s="181">
        <v>30</v>
      </c>
      <c r="G11" s="168">
        <v>246.06060606060603</v>
      </c>
      <c r="H11" s="247">
        <f t="shared" si="1"/>
        <v>7381.8181818181811</v>
      </c>
      <c r="I11" s="177"/>
      <c r="J11" s="54"/>
      <c r="K11" s="142"/>
      <c r="L11" s="143"/>
      <c r="M11" s="143"/>
      <c r="N11" s="143"/>
      <c r="O11" s="143"/>
      <c r="P11" s="143"/>
      <c r="Q11" s="143"/>
      <c r="R11" s="143"/>
      <c r="S11" s="143"/>
      <c r="T11" s="143"/>
    </row>
    <row r="12" spans="1:20" ht="15" customHeight="1">
      <c r="A12" s="152">
        <f t="shared" si="0"/>
        <v>9</v>
      </c>
      <c r="B12" s="165">
        <v>46274</v>
      </c>
      <c r="C12" s="165" t="s">
        <v>435</v>
      </c>
      <c r="D12" s="248" t="s">
        <v>525</v>
      </c>
      <c r="E12" s="168" t="s">
        <v>422</v>
      </c>
      <c r="F12" s="181">
        <v>30</v>
      </c>
      <c r="G12" s="168">
        <v>634.84848484848476</v>
      </c>
      <c r="H12" s="247">
        <f t="shared" si="1"/>
        <v>19045.454545454544</v>
      </c>
      <c r="I12" s="177"/>
      <c r="J12" s="54"/>
      <c r="K12" s="142" t="s">
        <v>304</v>
      </c>
      <c r="L12" s="143"/>
      <c r="M12" s="143"/>
      <c r="N12" s="143"/>
      <c r="O12" s="143"/>
      <c r="P12" s="143"/>
      <c r="Q12" s="143"/>
      <c r="R12" s="143"/>
      <c r="S12" s="143"/>
      <c r="T12" s="143"/>
    </row>
    <row r="13" spans="1:20" ht="15" customHeight="1">
      <c r="A13" s="152">
        <f t="shared" si="0"/>
        <v>10</v>
      </c>
      <c r="B13" s="165">
        <v>46288</v>
      </c>
      <c r="C13" s="165" t="s">
        <v>435</v>
      </c>
      <c r="D13" s="248" t="s">
        <v>526</v>
      </c>
      <c r="E13" s="168" t="s">
        <v>422</v>
      </c>
      <c r="F13" s="181">
        <v>12</v>
      </c>
      <c r="G13" s="168">
        <v>621.96969696969688</v>
      </c>
      <c r="H13" s="247">
        <f t="shared" si="1"/>
        <v>7463.6363636363621</v>
      </c>
      <c r="I13" s="177"/>
      <c r="J13" s="54"/>
      <c r="Q13" s="143"/>
      <c r="R13" s="143"/>
      <c r="S13" s="143"/>
      <c r="T13" s="143"/>
    </row>
    <row r="14" spans="1:20" ht="15" customHeight="1">
      <c r="J14" s="54"/>
      <c r="Q14" s="143"/>
      <c r="R14" s="143"/>
      <c r="S14" s="143"/>
      <c r="T14" s="143"/>
    </row>
    <row r="15" spans="1:20" ht="15" customHeight="1">
      <c r="J15" s="54"/>
      <c r="Q15" s="143"/>
      <c r="R15" s="143"/>
      <c r="S15" s="143"/>
      <c r="T15" s="143"/>
    </row>
    <row r="16" spans="1:20" ht="15" customHeight="1">
      <c r="J16" s="54"/>
      <c r="K16" s="142"/>
      <c r="L16" s="143"/>
      <c r="M16" s="143"/>
      <c r="N16" s="143"/>
      <c r="O16" s="143"/>
      <c r="P16" s="143"/>
      <c r="Q16" s="143"/>
      <c r="R16" s="143"/>
      <c r="S16" s="143"/>
      <c r="T16" s="143"/>
    </row>
    <row r="17" spans="10:20" ht="15" customHeight="1">
      <c r="J17" s="54"/>
      <c r="K17" s="142"/>
      <c r="L17" s="143"/>
      <c r="M17" s="143"/>
      <c r="N17" s="143"/>
      <c r="O17" s="143"/>
      <c r="P17" s="143"/>
      <c r="Q17" s="143"/>
      <c r="R17" s="143"/>
      <c r="S17" s="143"/>
      <c r="T17" s="143"/>
    </row>
    <row r="18" spans="10:20" ht="15" customHeight="1">
      <c r="J18" s="54"/>
      <c r="K18" s="142"/>
      <c r="L18" s="143"/>
      <c r="M18" s="143"/>
      <c r="N18" s="143"/>
      <c r="O18" s="143"/>
      <c r="P18" s="143"/>
      <c r="Q18" s="143"/>
      <c r="R18" s="143"/>
      <c r="S18" s="143"/>
      <c r="T18" s="143"/>
    </row>
    <row r="19" spans="10:20" ht="15" customHeight="1">
      <c r="J19" s="54"/>
      <c r="K19" s="142"/>
      <c r="L19" s="143"/>
      <c r="M19" s="143"/>
      <c r="N19" s="143"/>
      <c r="O19" s="143"/>
      <c r="P19" s="143"/>
      <c r="Q19" s="143"/>
      <c r="R19" s="143"/>
      <c r="S19" s="143"/>
      <c r="T19" s="143"/>
    </row>
    <row r="20" spans="10:20" ht="15" customHeight="1">
      <c r="J20" s="54"/>
      <c r="K20" s="142"/>
      <c r="L20" s="143"/>
      <c r="M20" s="143"/>
      <c r="N20" s="143"/>
      <c r="O20" s="143"/>
      <c r="P20" s="143"/>
      <c r="Q20" s="143"/>
      <c r="R20" s="143"/>
      <c r="S20" s="143"/>
      <c r="T20" s="143"/>
    </row>
    <row r="21" spans="10:20" ht="15" customHeight="1">
      <c r="J21" s="54"/>
      <c r="K21" s="142"/>
      <c r="L21" s="143"/>
      <c r="M21" s="143"/>
      <c r="N21" s="143"/>
      <c r="O21" s="143"/>
      <c r="P21" s="143"/>
      <c r="Q21" s="143"/>
      <c r="R21" s="143"/>
      <c r="S21" s="143"/>
      <c r="T21" s="143"/>
    </row>
    <row r="22" spans="10:20" ht="15" customHeight="1">
      <c r="J22" s="54"/>
      <c r="K22" s="142"/>
      <c r="L22" s="143"/>
      <c r="M22" s="143"/>
      <c r="N22" s="143"/>
      <c r="O22" s="143"/>
      <c r="P22" s="143"/>
      <c r="Q22" s="143"/>
      <c r="R22" s="143"/>
      <c r="S22" s="143"/>
      <c r="T22" s="143"/>
    </row>
    <row r="23" spans="10:20" ht="15" customHeight="1">
      <c r="J23" s="54"/>
      <c r="K23" s="142"/>
      <c r="L23" s="143"/>
      <c r="M23" s="143"/>
      <c r="N23" s="143"/>
      <c r="O23" s="143"/>
      <c r="P23" s="143"/>
      <c r="Q23" s="143"/>
      <c r="R23" s="143"/>
      <c r="S23" s="143"/>
      <c r="T23" s="143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344" t="s">
        <v>39</v>
      </c>
      <c r="C2" s="37" t="s">
        <v>35</v>
      </c>
      <c r="D2" s="37"/>
      <c r="E2" s="37" t="s">
        <v>38</v>
      </c>
    </row>
    <row r="3" spans="2:18" ht="30" customHeight="1">
      <c r="B3" s="345"/>
      <c r="C3" s="37" t="s">
        <v>36</v>
      </c>
      <c r="D3" s="37"/>
      <c r="E3" s="37" t="s">
        <v>38</v>
      </c>
    </row>
    <row r="4" spans="2:18" ht="30" customHeight="1">
      <c r="B4" s="345"/>
      <c r="C4" s="37" t="s">
        <v>37</v>
      </c>
      <c r="D4" s="37"/>
      <c r="E4" s="37" t="s">
        <v>38</v>
      </c>
    </row>
    <row r="6" spans="2:18" ht="48.95" customHeight="1">
      <c r="G6" s="344" t="s">
        <v>47</v>
      </c>
      <c r="H6" s="38" t="s">
        <v>40</v>
      </c>
      <c r="I6" s="38" t="s">
        <v>41</v>
      </c>
      <c r="J6" s="38" t="s">
        <v>45</v>
      </c>
      <c r="K6" s="36"/>
      <c r="L6" s="36"/>
      <c r="M6" s="36"/>
      <c r="N6" s="36"/>
      <c r="O6" s="36"/>
    </row>
    <row r="7" spans="2:18" ht="54.95" customHeight="1">
      <c r="G7" s="344"/>
      <c r="H7" s="37"/>
      <c r="I7" s="37"/>
      <c r="J7" s="37"/>
      <c r="K7" s="36"/>
      <c r="L7" s="36"/>
      <c r="M7" s="36"/>
      <c r="N7" s="36"/>
      <c r="O7" s="36"/>
    </row>
    <row r="8" spans="2:18" ht="24.95" customHeight="1">
      <c r="G8" s="36"/>
      <c r="H8" s="36"/>
      <c r="I8" s="36"/>
      <c r="J8" s="36"/>
      <c r="K8" s="36"/>
      <c r="L8" s="346" t="s">
        <v>46</v>
      </c>
      <c r="M8" s="37" t="s">
        <v>42</v>
      </c>
      <c r="N8" s="37" t="s">
        <v>43</v>
      </c>
      <c r="O8" s="37" t="s">
        <v>44</v>
      </c>
    </row>
    <row r="9" spans="2:18" ht="39.950000000000003" customHeight="1">
      <c r="G9" s="36"/>
      <c r="H9" s="36"/>
      <c r="I9" s="36"/>
      <c r="J9" s="36"/>
      <c r="K9" s="36"/>
      <c r="L9" s="347"/>
      <c r="M9" s="37"/>
      <c r="N9" s="37"/>
      <c r="O9" s="37"/>
    </row>
    <row r="11" spans="2:18" ht="24.95" customHeight="1">
      <c r="Q11" s="37" t="s">
        <v>48</v>
      </c>
      <c r="R11" s="37" t="s">
        <v>51</v>
      </c>
    </row>
    <row r="12" spans="2:18" ht="24.95" customHeight="1">
      <c r="Q12" s="37" t="s">
        <v>49</v>
      </c>
      <c r="R12" s="37" t="s">
        <v>52</v>
      </c>
    </row>
    <row r="13" spans="2:18" ht="24.95" customHeight="1">
      <c r="Q13" s="37" t="s">
        <v>50</v>
      </c>
      <c r="R13" s="37" t="s">
        <v>52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348" t="s">
        <v>53</v>
      </c>
      <c r="C3" s="349"/>
    </row>
    <row r="4" spans="2:3">
      <c r="B4" s="39" t="s">
        <v>54</v>
      </c>
      <c r="C4" s="39" t="s">
        <v>55</v>
      </c>
    </row>
    <row r="5" spans="2:3">
      <c r="B5" s="37" t="s">
        <v>56</v>
      </c>
      <c r="C5" s="37">
        <v>0.25</v>
      </c>
    </row>
    <row r="6" spans="2:3">
      <c r="B6" s="37" t="s">
        <v>57</v>
      </c>
      <c r="C6" s="37">
        <v>0.5</v>
      </c>
    </row>
    <row r="7" spans="2:3">
      <c r="B7" s="37" t="s">
        <v>58</v>
      </c>
      <c r="C7" s="37">
        <v>0.75</v>
      </c>
    </row>
    <row r="8" spans="2:3">
      <c r="B8" s="37" t="s">
        <v>59</v>
      </c>
      <c r="C8" s="37">
        <v>1</v>
      </c>
    </row>
    <row r="9" spans="2:3">
      <c r="B9" s="37" t="s">
        <v>60</v>
      </c>
      <c r="C9" s="37">
        <v>1.25</v>
      </c>
    </row>
    <row r="10" spans="2:3">
      <c r="B10" s="37" t="s">
        <v>61</v>
      </c>
      <c r="C10" s="37">
        <v>1.5</v>
      </c>
    </row>
    <row r="11" spans="2:3">
      <c r="B11" s="37" t="s">
        <v>62</v>
      </c>
      <c r="C11" s="37">
        <v>2</v>
      </c>
    </row>
    <row r="12" spans="2:3">
      <c r="B12" s="37" t="s">
        <v>63</v>
      </c>
      <c r="C12" s="37">
        <v>2.5</v>
      </c>
    </row>
    <row r="13" spans="2:3">
      <c r="B13" s="37" t="s">
        <v>64</v>
      </c>
      <c r="C13" s="37">
        <v>3</v>
      </c>
    </row>
    <row r="14" spans="2:3">
      <c r="B14" s="37" t="s">
        <v>65</v>
      </c>
      <c r="C14" s="37">
        <v>4</v>
      </c>
    </row>
    <row r="15" spans="2:3">
      <c r="B15" s="37" t="s">
        <v>66</v>
      </c>
      <c r="C15" s="37">
        <v>4</v>
      </c>
    </row>
    <row r="16" spans="2:3">
      <c r="B16" s="37" t="s">
        <v>67</v>
      </c>
      <c r="C16" s="37">
        <v>5</v>
      </c>
    </row>
    <row r="17" spans="2:3">
      <c r="B17" s="37" t="s">
        <v>68</v>
      </c>
      <c r="C17" s="37">
        <v>6</v>
      </c>
    </row>
    <row r="18" spans="2:3">
      <c r="B18" s="37" t="s">
        <v>69</v>
      </c>
      <c r="C18" s="37">
        <v>7</v>
      </c>
    </row>
    <row r="19" spans="2:3">
      <c r="B19" s="37" t="s">
        <v>70</v>
      </c>
      <c r="C19" s="37">
        <v>8</v>
      </c>
    </row>
    <row r="20" spans="2:3">
      <c r="B20" s="37" t="s">
        <v>71</v>
      </c>
      <c r="C20" s="37">
        <v>9</v>
      </c>
    </row>
    <row r="21" spans="2:3">
      <c r="B21" s="37" t="s">
        <v>72</v>
      </c>
      <c r="C21" s="37">
        <v>10</v>
      </c>
    </row>
    <row r="22" spans="2:3">
      <c r="B22" s="37" t="s">
        <v>73</v>
      </c>
      <c r="C22" s="37">
        <v>12</v>
      </c>
    </row>
    <row r="23" spans="2:3">
      <c r="B23" s="37" t="s">
        <v>74</v>
      </c>
      <c r="C23" s="37">
        <v>14</v>
      </c>
    </row>
    <row r="24" spans="2:3">
      <c r="B24" s="37" t="s">
        <v>75</v>
      </c>
      <c r="C24" s="37">
        <v>16</v>
      </c>
    </row>
    <row r="25" spans="2:3">
      <c r="B25" s="37" t="s">
        <v>76</v>
      </c>
      <c r="C25" s="37">
        <v>18</v>
      </c>
    </row>
    <row r="26" spans="2:3">
      <c r="B26" s="37" t="s">
        <v>77</v>
      </c>
      <c r="C26" s="37">
        <v>20</v>
      </c>
    </row>
    <row r="27" spans="2:3">
      <c r="B27" s="37" t="s">
        <v>78</v>
      </c>
      <c r="C27" s="37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용역청구서 표지</vt:lpstr>
      <vt:lpstr>용역 청구서(갑지)</vt:lpstr>
      <vt:lpstr>용역 내역서(을지)</vt:lpstr>
      <vt:lpstr>내역서(을지)</vt:lpstr>
      <vt:lpstr>집계장</vt:lpstr>
      <vt:lpstr>근로내역 (09월)</vt:lpstr>
      <vt:lpstr>물량 내역서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2026-09-02T02:43:57Z</cp:lastPrinted>
  <dcterms:created xsi:type="dcterms:W3CDTF">2025-09-12T00:04:15Z</dcterms:created>
  <dcterms:modified xsi:type="dcterms:W3CDTF">2026-10-01T22:49:52Z</dcterms:modified>
</cp:coreProperties>
</file>