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153.244\KcencGD2_공무_NEW\02. P4\02. Ph2_재개공사\03. 대내업무\02. 외주기성\"/>
    </mc:Choice>
  </mc:AlternateContent>
  <xr:revisionPtr revIDLastSave="0" documentId="13_ncr:1_{36DB937F-AE2B-4932-8920-A1DF4033CE82}" xr6:coauthVersionLast="36" xr6:coauthVersionMax="36" xr10:uidLastSave="{00000000-0000-0000-0000-000000000000}"/>
  <bookViews>
    <workbookView xWindow="0" yWindow="0" windowWidth="28800" windowHeight="12165" xr2:uid="{00000000-000D-0000-FFFF-FFFF00000000}"/>
  </bookViews>
  <sheets>
    <sheet name="Ph2 GAS&amp;PCW 1공구 외주기성 집계장" sheetId="1" r:id="rId1"/>
    <sheet name="기타" sheetId="2" state="hidden" r:id="rId2"/>
  </sheets>
  <definedNames>
    <definedName name="_xlnm.Print_Area" localSheetId="0">'Ph2 GAS&amp;PCW 1공구 외주기성 집계장'!$C$2:$X$47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6" i="1" l="1"/>
  <c r="T26" i="1"/>
  <c r="S26" i="1"/>
  <c r="Q26" i="1"/>
  <c r="P26" i="1"/>
  <c r="O26" i="1"/>
  <c r="N26" i="1"/>
  <c r="M26" i="1"/>
  <c r="K26" i="1"/>
  <c r="J26" i="1"/>
  <c r="I26" i="1"/>
  <c r="H26" i="1"/>
  <c r="G26" i="1"/>
  <c r="J34" i="1" l="1"/>
  <c r="L40" i="1" l="1"/>
  <c r="K40" i="1"/>
  <c r="W25" i="1" l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U24" i="1"/>
  <c r="T24" i="1"/>
  <c r="S24" i="1"/>
  <c r="Q24" i="1"/>
  <c r="P24" i="1"/>
  <c r="O24" i="1"/>
  <c r="N24" i="1"/>
  <c r="M24" i="1"/>
  <c r="L24" i="1"/>
  <c r="K24" i="1"/>
  <c r="J24" i="1"/>
  <c r="I24" i="1"/>
  <c r="H24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U21" i="1"/>
  <c r="T21" i="1"/>
  <c r="S21" i="1"/>
  <c r="Q21" i="1"/>
  <c r="P21" i="1"/>
  <c r="O21" i="1"/>
  <c r="N21" i="1"/>
  <c r="M21" i="1"/>
  <c r="L21" i="1"/>
  <c r="L26" i="1" s="1"/>
  <c r="K21" i="1"/>
  <c r="J21" i="1"/>
  <c r="I21" i="1"/>
  <c r="H21" i="1"/>
  <c r="G25" i="1"/>
  <c r="G24" i="1"/>
  <c r="G23" i="1"/>
  <c r="G22" i="1"/>
  <c r="G21" i="1"/>
  <c r="W15" i="1"/>
  <c r="W14" i="1"/>
  <c r="W19" i="1"/>
  <c r="W18" i="1"/>
  <c r="W17" i="1"/>
  <c r="W16" i="1"/>
  <c r="U19" i="1"/>
  <c r="T19" i="1"/>
  <c r="S19" i="1"/>
  <c r="U18" i="1"/>
  <c r="T18" i="1"/>
  <c r="S18" i="1"/>
  <c r="U17" i="1"/>
  <c r="T17" i="1"/>
  <c r="S17" i="1"/>
  <c r="U16" i="1"/>
  <c r="T16" i="1"/>
  <c r="S16" i="1"/>
  <c r="R19" i="1"/>
  <c r="R18" i="1"/>
  <c r="R17" i="1"/>
  <c r="R16" i="1"/>
  <c r="Q19" i="1"/>
  <c r="P19" i="1"/>
  <c r="O19" i="1"/>
  <c r="N19" i="1"/>
  <c r="M19" i="1"/>
  <c r="Q18" i="1"/>
  <c r="P18" i="1"/>
  <c r="O18" i="1"/>
  <c r="N18" i="1"/>
  <c r="M18" i="1"/>
  <c r="Q17" i="1"/>
  <c r="P17" i="1"/>
  <c r="O17" i="1"/>
  <c r="N17" i="1"/>
  <c r="M17" i="1"/>
  <c r="Q16" i="1"/>
  <c r="P16" i="1"/>
  <c r="O16" i="1"/>
  <c r="N16" i="1"/>
  <c r="M16" i="1"/>
  <c r="P15" i="1"/>
  <c r="O15" i="1"/>
  <c r="N15" i="1"/>
  <c r="M15" i="1"/>
  <c r="P14" i="1"/>
  <c r="O14" i="1"/>
  <c r="N14" i="1"/>
  <c r="M14" i="1"/>
  <c r="P13" i="1"/>
  <c r="O13" i="1"/>
  <c r="N13" i="1"/>
  <c r="M13" i="1"/>
  <c r="L19" i="1"/>
  <c r="K19" i="1"/>
  <c r="J19" i="1"/>
  <c r="I19" i="1"/>
  <c r="H19" i="1"/>
  <c r="G19" i="1"/>
  <c r="L18" i="1"/>
  <c r="K18" i="1"/>
  <c r="J18" i="1"/>
  <c r="I18" i="1"/>
  <c r="H18" i="1"/>
  <c r="G18" i="1"/>
  <c r="L17" i="1"/>
  <c r="K17" i="1"/>
  <c r="J17" i="1"/>
  <c r="I17" i="1"/>
  <c r="H17" i="1"/>
  <c r="G17" i="1"/>
  <c r="L16" i="1"/>
  <c r="K16" i="1"/>
  <c r="J16" i="1"/>
  <c r="I16" i="1"/>
  <c r="H16" i="1"/>
  <c r="G16" i="1"/>
  <c r="K15" i="1"/>
  <c r="J15" i="1"/>
  <c r="I15" i="1"/>
  <c r="H15" i="1"/>
  <c r="G15" i="1"/>
  <c r="K14" i="1"/>
  <c r="I14" i="1"/>
  <c r="H14" i="1"/>
  <c r="G14" i="1"/>
  <c r="K13" i="1"/>
  <c r="I13" i="1"/>
  <c r="H13" i="1"/>
  <c r="G13" i="1"/>
  <c r="V44" i="1"/>
  <c r="W44" i="1" s="1"/>
  <c r="R44" i="1"/>
  <c r="L45" i="1"/>
  <c r="B44" i="1" l="1"/>
  <c r="B25" i="1"/>
  <c r="U45" i="1" l="1"/>
  <c r="T45" i="1"/>
  <c r="S45" i="1"/>
  <c r="P45" i="1"/>
  <c r="O45" i="1"/>
  <c r="N45" i="1"/>
  <c r="M45" i="1"/>
  <c r="J45" i="1"/>
  <c r="I45" i="1"/>
  <c r="H45" i="1"/>
  <c r="G45" i="1"/>
  <c r="R43" i="1"/>
  <c r="B43" i="1"/>
  <c r="R42" i="1"/>
  <c r="V42" i="1" s="1"/>
  <c r="W42" i="1" s="1"/>
  <c r="B42" i="1"/>
  <c r="R41" i="1"/>
  <c r="V41" i="1" s="1"/>
  <c r="W41" i="1" s="1"/>
  <c r="B41" i="1"/>
  <c r="Q40" i="1"/>
  <c r="Q45" i="1" s="1"/>
  <c r="K45" i="1"/>
  <c r="B40" i="1"/>
  <c r="U39" i="1"/>
  <c r="T39" i="1"/>
  <c r="S39" i="1"/>
  <c r="P39" i="1"/>
  <c r="O39" i="1"/>
  <c r="N39" i="1"/>
  <c r="M39" i="1"/>
  <c r="K39" i="1"/>
  <c r="I39" i="1"/>
  <c r="H39" i="1"/>
  <c r="G39" i="1"/>
  <c r="R38" i="1"/>
  <c r="V38" i="1" s="1"/>
  <c r="W38" i="1" s="1"/>
  <c r="B38" i="1"/>
  <c r="R37" i="1"/>
  <c r="V37" i="1" s="1"/>
  <c r="W37" i="1" s="1"/>
  <c r="B37" i="1"/>
  <c r="R36" i="1"/>
  <c r="V36" i="1" s="1"/>
  <c r="W36" i="1" s="1"/>
  <c r="B36" i="1"/>
  <c r="R35" i="1"/>
  <c r="V35" i="1" s="1"/>
  <c r="W35" i="1" s="1"/>
  <c r="B35" i="1"/>
  <c r="Q34" i="1"/>
  <c r="Q15" i="1" s="1"/>
  <c r="L34" i="1"/>
  <c r="L15" i="1" s="1"/>
  <c r="B34" i="1"/>
  <c r="Q33" i="1"/>
  <c r="Q14" i="1" s="1"/>
  <c r="L33" i="1"/>
  <c r="L14" i="1" s="1"/>
  <c r="J33" i="1"/>
  <c r="B33" i="1"/>
  <c r="Q32" i="1"/>
  <c r="Q13" i="1" s="1"/>
  <c r="L32" i="1"/>
  <c r="J32" i="1"/>
  <c r="J13" i="1" s="1"/>
  <c r="B32" i="1"/>
  <c r="V43" i="1" l="1"/>
  <c r="R24" i="1"/>
  <c r="R32" i="1"/>
  <c r="R13" i="1" s="1"/>
  <c r="L13" i="1"/>
  <c r="J39" i="1"/>
  <c r="J14" i="1"/>
  <c r="Q39" i="1"/>
  <c r="R34" i="1"/>
  <c r="L39" i="1"/>
  <c r="V32" i="1"/>
  <c r="W13" i="1" s="1"/>
  <c r="R33" i="1"/>
  <c r="Q6" i="1"/>
  <c r="W39" i="1" l="1"/>
  <c r="W43" i="1"/>
  <c r="W24" i="1" s="1"/>
  <c r="V24" i="1"/>
  <c r="V33" i="1"/>
  <c r="R14" i="1"/>
  <c r="V34" i="1"/>
  <c r="R15" i="1"/>
  <c r="R40" i="1"/>
  <c r="R21" i="1" s="1"/>
  <c r="R26" i="1" s="1"/>
  <c r="R39" i="1"/>
  <c r="L59" i="1"/>
  <c r="V39" i="1" l="1"/>
  <c r="R45" i="1"/>
  <c r="V40" i="1"/>
  <c r="V21" i="1" s="1"/>
  <c r="V26" i="1" s="1"/>
  <c r="V70" i="1"/>
  <c r="W40" i="1" l="1"/>
  <c r="V45" i="1"/>
  <c r="Q53" i="1"/>
  <c r="W45" i="1" l="1"/>
  <c r="W21" i="1"/>
  <c r="V62" i="1"/>
  <c r="W62" i="1"/>
  <c r="R62" i="1"/>
  <c r="R61" i="1"/>
  <c r="V61" i="1" s="1"/>
  <c r="W26" i="1" l="1"/>
  <c r="Q7" i="1"/>
  <c r="K59" i="1"/>
  <c r="U63" i="1"/>
  <c r="T63" i="1"/>
  <c r="S63" i="1"/>
  <c r="Q63" i="1"/>
  <c r="P63" i="1"/>
  <c r="O63" i="1"/>
  <c r="N63" i="1"/>
  <c r="M63" i="1"/>
  <c r="J63" i="1"/>
  <c r="I63" i="1"/>
  <c r="H63" i="1"/>
  <c r="G63" i="1"/>
  <c r="B62" i="1"/>
  <c r="B24" i="1"/>
  <c r="K63" i="1" l="1"/>
  <c r="R56" i="1" l="1"/>
  <c r="B56" i="1"/>
  <c r="B18" i="1"/>
  <c r="R59" i="1"/>
  <c r="V59" i="1" s="1"/>
  <c r="W61" i="1"/>
  <c r="B61" i="1"/>
  <c r="L60" i="1"/>
  <c r="B60" i="1"/>
  <c r="Q59" i="1"/>
  <c r="B59" i="1"/>
  <c r="U58" i="1"/>
  <c r="T58" i="1"/>
  <c r="S58" i="1"/>
  <c r="P58" i="1"/>
  <c r="O58" i="1"/>
  <c r="N58" i="1"/>
  <c r="M58" i="1"/>
  <c r="K58" i="1"/>
  <c r="I58" i="1"/>
  <c r="H58" i="1"/>
  <c r="G58" i="1"/>
  <c r="R57" i="1"/>
  <c r="B57" i="1"/>
  <c r="R55" i="1"/>
  <c r="B55" i="1"/>
  <c r="R54" i="1"/>
  <c r="B54" i="1"/>
  <c r="L53" i="1"/>
  <c r="B53" i="1"/>
  <c r="Q52" i="1"/>
  <c r="L52" i="1"/>
  <c r="J52" i="1"/>
  <c r="B52" i="1"/>
  <c r="Q51" i="1"/>
  <c r="L51" i="1"/>
  <c r="J51" i="1"/>
  <c r="B51" i="1"/>
  <c r="R60" i="1" l="1"/>
  <c r="L63" i="1"/>
  <c r="R63" i="1"/>
  <c r="V57" i="1"/>
  <c r="W57" i="1" s="1"/>
  <c r="V56" i="1"/>
  <c r="W56" i="1" s="1"/>
  <c r="V55" i="1"/>
  <c r="W55" i="1" s="1"/>
  <c r="V54" i="1"/>
  <c r="W54" i="1" s="1"/>
  <c r="R52" i="1"/>
  <c r="V52" i="1" s="1"/>
  <c r="Q58" i="1"/>
  <c r="R53" i="1"/>
  <c r="V53" i="1" s="1"/>
  <c r="W58" i="1" s="1"/>
  <c r="J58" i="1"/>
  <c r="L58" i="1"/>
  <c r="R51" i="1"/>
  <c r="V60" i="1" l="1"/>
  <c r="V18" i="1"/>
  <c r="V51" i="1"/>
  <c r="V58" i="1" s="1"/>
  <c r="R58" i="1"/>
  <c r="W59" i="1"/>
  <c r="V63" i="1" l="1"/>
  <c r="W60" i="1"/>
  <c r="R74" i="1"/>
  <c r="V74" i="1" s="1"/>
  <c r="W74" i="1" s="1"/>
  <c r="R73" i="1"/>
  <c r="V73" i="1" s="1"/>
  <c r="R72" i="1"/>
  <c r="V72" i="1" s="1"/>
  <c r="W63" i="1" l="1"/>
  <c r="U75" i="1"/>
  <c r="L76" i="1"/>
  <c r="U79" i="1" l="1"/>
  <c r="T89" i="1" l="1"/>
  <c r="S89" i="1"/>
  <c r="U89" i="1"/>
  <c r="P89" i="1"/>
  <c r="O89" i="1"/>
  <c r="N89" i="1"/>
  <c r="M89" i="1"/>
  <c r="K89" i="1"/>
  <c r="I89" i="1"/>
  <c r="H89" i="1"/>
  <c r="Q102" i="1" l="1"/>
  <c r="Q100" i="1"/>
  <c r="Q99" i="1"/>
  <c r="Q98" i="1"/>
  <c r="Q91" i="1"/>
  <c r="Q90" i="1"/>
  <c r="Q88" i="1"/>
  <c r="Q87" i="1"/>
  <c r="Q86" i="1"/>
  <c r="Q85" i="1"/>
  <c r="Q76" i="1"/>
  <c r="Q71" i="1"/>
  <c r="Q70" i="1"/>
  <c r="Q69" i="1"/>
  <c r="Q89" i="1" l="1"/>
  <c r="T75" i="1" l="1"/>
  <c r="S75" i="1"/>
  <c r="P75" i="1"/>
  <c r="O75" i="1"/>
  <c r="N75" i="1"/>
  <c r="M75" i="1"/>
  <c r="K75" i="1"/>
  <c r="I75" i="1"/>
  <c r="H75" i="1"/>
  <c r="G75" i="1"/>
  <c r="L71" i="1"/>
  <c r="R71" i="1" s="1"/>
  <c r="V71" i="1" s="1"/>
  <c r="J71" i="1"/>
  <c r="L77" i="1"/>
  <c r="R77" i="1" s="1"/>
  <c r="B22" i="1"/>
  <c r="B77" i="1"/>
  <c r="V77" i="1" l="1"/>
  <c r="W77" i="1" s="1"/>
  <c r="L70" i="1"/>
  <c r="R70" i="1" s="1"/>
  <c r="J86" i="1" l="1"/>
  <c r="J85" i="1"/>
  <c r="J89" i="1" s="1"/>
  <c r="L86" i="1"/>
  <c r="B86" i="1"/>
  <c r="B14" i="1"/>
  <c r="R86" i="1" l="1"/>
  <c r="V86" i="1" s="1"/>
  <c r="B19" i="1"/>
  <c r="B17" i="1"/>
  <c r="B74" i="1"/>
  <c r="B73" i="1"/>
  <c r="B70" i="1"/>
  <c r="J70" i="1"/>
  <c r="L69" i="1"/>
  <c r="L75" i="1" l="1"/>
  <c r="R69" i="1"/>
  <c r="V69" i="1" s="1"/>
  <c r="W73" i="1"/>
  <c r="J69" i="1"/>
  <c r="J75" i="1" s="1"/>
  <c r="T79" i="1" l="1"/>
  <c r="S79" i="1"/>
  <c r="P79" i="1"/>
  <c r="O79" i="1"/>
  <c r="N79" i="1"/>
  <c r="M79" i="1"/>
  <c r="K79" i="1"/>
  <c r="J79" i="1"/>
  <c r="I79" i="1"/>
  <c r="H79" i="1"/>
  <c r="G79" i="1"/>
  <c r="B78" i="1"/>
  <c r="R76" i="1"/>
  <c r="V76" i="1" s="1"/>
  <c r="B76" i="1"/>
  <c r="B72" i="1"/>
  <c r="Q75" i="1"/>
  <c r="B69" i="1"/>
  <c r="B71" i="1"/>
  <c r="V78" i="1" l="1"/>
  <c r="W78" i="1" s="1"/>
  <c r="Q79" i="1"/>
  <c r="W72" i="1"/>
  <c r="L79" i="1"/>
  <c r="W76" i="1"/>
  <c r="R79" i="1"/>
  <c r="W71" i="1"/>
  <c r="AA9" i="1"/>
  <c r="V75" i="1" l="1"/>
  <c r="R75" i="1"/>
  <c r="W75" i="1"/>
  <c r="V79" i="1"/>
  <c r="W79" i="1"/>
  <c r="B23" i="1"/>
  <c r="B91" i="1"/>
  <c r="L90" i="1"/>
  <c r="L92" i="1" s="1"/>
  <c r="T92" i="1"/>
  <c r="S92" i="1"/>
  <c r="P92" i="1"/>
  <c r="O92" i="1"/>
  <c r="N92" i="1"/>
  <c r="M92" i="1"/>
  <c r="K92" i="1"/>
  <c r="J92" i="1"/>
  <c r="I92" i="1"/>
  <c r="H92" i="1"/>
  <c r="G92" i="1"/>
  <c r="Q92" i="1" l="1"/>
  <c r="AE8" i="1"/>
  <c r="AE7" i="1"/>
  <c r="AE6" i="1"/>
  <c r="B90" i="1" l="1"/>
  <c r="B88" i="1"/>
  <c r="B85" i="1"/>
  <c r="B87" i="1"/>
  <c r="R91" i="1"/>
  <c r="V91" i="1" s="1"/>
  <c r="W91" i="1" s="1"/>
  <c r="L85" i="1" l="1"/>
  <c r="L87" i="1"/>
  <c r="L98" i="1"/>
  <c r="L99" i="1"/>
  <c r="G89" i="1"/>
  <c r="R88" i="1"/>
  <c r="V88" i="1" s="1"/>
  <c r="L89" i="1" l="1"/>
  <c r="R85" i="1"/>
  <c r="V85" i="1" s="1"/>
  <c r="R87" i="1"/>
  <c r="V87" i="1" s="1"/>
  <c r="R90" i="1"/>
  <c r="R92" i="1" s="1"/>
  <c r="O101" i="1"/>
  <c r="R89" i="1" l="1"/>
  <c r="V89" i="1"/>
  <c r="W88" i="1"/>
  <c r="W89" i="1" s="1"/>
  <c r="V90" i="1"/>
  <c r="T101" i="1"/>
  <c r="S101" i="1"/>
  <c r="P101" i="1"/>
  <c r="N101" i="1"/>
  <c r="M101" i="1"/>
  <c r="K101" i="1"/>
  <c r="J101" i="1"/>
  <c r="I101" i="1"/>
  <c r="H101" i="1"/>
  <c r="G101" i="1"/>
  <c r="V92" i="1" l="1"/>
  <c r="W90" i="1"/>
  <c r="W92" i="1" s="1"/>
  <c r="B16" i="1"/>
  <c r="O7" i="1" l="1"/>
  <c r="B99" i="1"/>
  <c r="B98" i="1"/>
  <c r="B100" i="1"/>
  <c r="B102" i="1"/>
  <c r="R102" i="1"/>
  <c r="V102" i="1" s="1"/>
  <c r="G103" i="1"/>
  <c r="H103" i="1"/>
  <c r="I103" i="1"/>
  <c r="J103" i="1"/>
  <c r="K103" i="1"/>
  <c r="L103" i="1"/>
  <c r="M103" i="1"/>
  <c r="N103" i="1"/>
  <c r="O103" i="1"/>
  <c r="P103" i="1"/>
  <c r="S103" i="1"/>
  <c r="T103" i="1"/>
  <c r="P7" i="1" l="1"/>
  <c r="Q103" i="1"/>
  <c r="Q101" i="1"/>
  <c r="L101" i="1"/>
  <c r="R100" i="1"/>
  <c r="V100" i="1" s="1"/>
  <c r="R98" i="1"/>
  <c r="V98" i="1" s="1"/>
  <c r="R99" i="1"/>
  <c r="V99" i="1" s="1"/>
  <c r="R103" i="1"/>
  <c r="W102" i="1"/>
  <c r="V14" i="1" l="1"/>
  <c r="V17" i="1"/>
  <c r="V19" i="1"/>
  <c r="V16" i="1"/>
  <c r="W100" i="1"/>
  <c r="O8" i="1" s="1"/>
  <c r="W99" i="1"/>
  <c r="R101" i="1"/>
  <c r="V103" i="1"/>
  <c r="W101" i="1" l="1"/>
  <c r="W103" i="1" s="1"/>
  <c r="V101" i="1"/>
  <c r="B21" i="1"/>
  <c r="B15" i="1"/>
  <c r="B13" i="1"/>
  <c r="V15" i="1" l="1"/>
  <c r="S20" i="1"/>
  <c r="O20" i="1" l="1"/>
  <c r="G20" i="1"/>
  <c r="N7" i="1"/>
  <c r="N8" i="1" s="1"/>
  <c r="V13" i="1"/>
  <c r="U20" i="1"/>
  <c r="R20" i="1"/>
  <c r="Q8" i="1"/>
  <c r="L20" i="1"/>
  <c r="T20" i="1"/>
  <c r="W20" i="1"/>
  <c r="Q20" i="1"/>
  <c r="P20" i="1"/>
  <c r="R7" i="1" s="1"/>
  <c r="R8" i="1" s="1"/>
  <c r="J20" i="1"/>
  <c r="H20" i="1"/>
  <c r="K20" i="1"/>
  <c r="I20" i="1"/>
  <c r="M20" i="1"/>
  <c r="N20" i="1"/>
  <c r="V20" i="1" l="1"/>
  <c r="Y26" i="1"/>
</calcChain>
</file>

<file path=xl/sharedStrings.xml><?xml version="1.0" encoding="utf-8"?>
<sst xmlns="http://schemas.openxmlformats.org/spreadsheetml/2006/main" count="451" uniqueCount="126">
  <si>
    <t>경비</t>
    <phoneticPr fontId="1" type="noConversion"/>
  </si>
  <si>
    <t>누계 기타경비</t>
    <phoneticPr fontId="1" type="noConversion"/>
  </si>
  <si>
    <t>누계
직접노무비</t>
    <phoneticPr fontId="1" type="noConversion"/>
  </si>
  <si>
    <t>누계
집행금액</t>
    <phoneticPr fontId="1" type="noConversion"/>
  </si>
  <si>
    <t>공 구</t>
    <phoneticPr fontId="1" type="noConversion"/>
  </si>
  <si>
    <t>공 종</t>
    <phoneticPr fontId="1" type="noConversion"/>
  </si>
  <si>
    <t>업체명</t>
    <phoneticPr fontId="1" type="noConversion"/>
  </si>
  <si>
    <t>W/P (D/I)</t>
    <phoneticPr fontId="1" type="noConversion"/>
  </si>
  <si>
    <t>V/V 설치(EA)</t>
    <phoneticPr fontId="1" type="noConversion"/>
  </si>
  <si>
    <t>투입 공수 (M/D)</t>
    <phoneticPr fontId="1" type="noConversion"/>
  </si>
  <si>
    <t>총
투입 공수 (M/D)</t>
    <phoneticPr fontId="1" type="noConversion"/>
  </si>
  <si>
    <t>(A)</t>
    <phoneticPr fontId="1" type="noConversion"/>
  </si>
  <si>
    <t>(B)</t>
    <phoneticPr fontId="1" type="noConversion"/>
  </si>
  <si>
    <t>(D)</t>
    <phoneticPr fontId="1" type="noConversion"/>
  </si>
  <si>
    <t>기타 비용</t>
    <phoneticPr fontId="1" type="noConversion"/>
  </si>
  <si>
    <t>누계 물량 총액</t>
    <phoneticPr fontId="1" type="noConversion"/>
  </si>
  <si>
    <t>누계 물량</t>
    <phoneticPr fontId="1" type="noConversion"/>
  </si>
  <si>
    <t>(C)</t>
    <phoneticPr fontId="1" type="noConversion"/>
  </si>
  <si>
    <t>(F)</t>
    <phoneticPr fontId="1" type="noConversion"/>
  </si>
  <si>
    <t>(G)</t>
    <phoneticPr fontId="1" type="noConversion"/>
  </si>
  <si>
    <t>(H)</t>
    <phoneticPr fontId="1" type="noConversion"/>
  </si>
  <si>
    <t>(I)</t>
    <phoneticPr fontId="1" type="noConversion"/>
  </si>
  <si>
    <t>(L) = (E)-(K)</t>
    <phoneticPr fontId="1" type="noConversion"/>
  </si>
  <si>
    <t>Field</t>
    <phoneticPr fontId="1" type="noConversion"/>
  </si>
  <si>
    <t>대성이엔지</t>
  </si>
  <si>
    <t>대성이엔지</t>
    <phoneticPr fontId="1" type="noConversion"/>
  </si>
  <si>
    <t>태성하이텍</t>
  </si>
  <si>
    <t>태성하이텍</t>
    <phoneticPr fontId="1" type="noConversion"/>
  </si>
  <si>
    <t>단가표</t>
    <phoneticPr fontId="1" type="noConversion"/>
  </si>
  <si>
    <t>선급금</t>
    <phoneticPr fontId="1" type="noConversion"/>
  </si>
  <si>
    <t>구 분</t>
    <phoneticPr fontId="1" type="noConversion"/>
  </si>
  <si>
    <t>외주용역 (설계)</t>
    <phoneticPr fontId="1" type="noConversion"/>
  </si>
  <si>
    <t>외주공사</t>
    <phoneticPr fontId="1" type="noConversion"/>
  </si>
  <si>
    <t>직접노무비</t>
    <phoneticPr fontId="1" type="noConversion"/>
  </si>
  <si>
    <t>목 표 실 행</t>
    <phoneticPr fontId="1" type="noConversion"/>
  </si>
  <si>
    <t>누계 집행금액</t>
    <phoneticPr fontId="1" type="noConversion"/>
  </si>
  <si>
    <t>누계 집행율</t>
    <phoneticPr fontId="1" type="noConversion"/>
  </si>
  <si>
    <t>외주 용역 합계</t>
    <phoneticPr fontId="1" type="noConversion"/>
  </si>
  <si>
    <t>제작</t>
    <phoneticPr fontId="1" type="noConversion"/>
  </si>
  <si>
    <t>대성이엔지_SHOP</t>
    <phoneticPr fontId="1" type="noConversion"/>
  </si>
  <si>
    <t>외주 공사 합계</t>
    <phoneticPr fontId="1" type="noConversion"/>
  </si>
  <si>
    <t>당월 물량</t>
    <phoneticPr fontId="1" type="noConversion"/>
  </si>
  <si>
    <t>당월 물량 총액</t>
    <phoneticPr fontId="1" type="noConversion"/>
  </si>
  <si>
    <t>기타경비</t>
    <phoneticPr fontId="1" type="noConversion"/>
  </si>
  <si>
    <t>식대  (대납분)</t>
    <phoneticPr fontId="1" type="noConversion"/>
  </si>
  <si>
    <t>숙소 (대납분)</t>
    <phoneticPr fontId="1" type="noConversion"/>
  </si>
  <si>
    <t>직접노무비</t>
    <phoneticPr fontId="1" type="noConversion"/>
  </si>
  <si>
    <t>투입금액</t>
    <phoneticPr fontId="1" type="noConversion"/>
  </si>
  <si>
    <t>기성금액</t>
    <phoneticPr fontId="1" type="noConversion"/>
  </si>
  <si>
    <t>금회
집행금액</t>
    <phoneticPr fontId="1" type="noConversion"/>
  </si>
  <si>
    <t>BOC 센터장</t>
    <phoneticPr fontId="9" type="noConversion"/>
  </si>
  <si>
    <t>Frontier
사업부장</t>
    <phoneticPr fontId="9" type="noConversion"/>
  </si>
  <si>
    <t>※ 평택 P4 Ph2 GAS 1공구
    누계 외주기성 DATA</t>
  </si>
  <si>
    <t>P4 Ph2</t>
  </si>
  <si>
    <t>공정률 (26년 03월 기준)</t>
    <phoneticPr fontId="1" type="noConversion"/>
  </si>
  <si>
    <t>제이온</t>
    <phoneticPr fontId="1" type="noConversion"/>
  </si>
  <si>
    <t>필드</t>
    <phoneticPr fontId="1" type="noConversion"/>
  </si>
  <si>
    <t>태성하이텍 (FAB)</t>
    <phoneticPr fontId="1" type="noConversion"/>
  </si>
  <si>
    <t>태성하이텍 (SUP)</t>
    <phoneticPr fontId="1" type="noConversion"/>
  </si>
  <si>
    <t>V/V설치
(25A 기준 단가)</t>
    <phoneticPr fontId="1" type="noConversion"/>
  </si>
  <si>
    <t>모듈샵 단가</t>
    <phoneticPr fontId="1" type="noConversion"/>
  </si>
  <si>
    <t>※ 26.02월 외주기성</t>
    <phoneticPr fontId="1" type="noConversion"/>
  </si>
  <si>
    <t>W/P
(25A 기준 단가)</t>
    <phoneticPr fontId="1" type="noConversion"/>
  </si>
  <si>
    <t>※ 26.03월 외주기성</t>
    <phoneticPr fontId="1" type="noConversion"/>
  </si>
  <si>
    <t>태성하이텍_SHOP</t>
  </si>
  <si>
    <t>Field외주</t>
    <phoneticPr fontId="1" type="noConversion"/>
  </si>
  <si>
    <t>시운전</t>
    <phoneticPr fontId="1" type="noConversion"/>
  </si>
  <si>
    <t>외부모듈SHOP</t>
    <phoneticPr fontId="1" type="noConversion"/>
  </si>
  <si>
    <t>외주용역 (설계)</t>
  </si>
  <si>
    <t>외주공사</t>
  </si>
  <si>
    <t>직접노무비</t>
  </si>
  <si>
    <r>
      <t>※ 외주제작 특이사항
1. 태성하이텍SHOP(</t>
    </r>
    <r>
      <rPr>
        <b/>
        <u/>
        <sz val="15"/>
        <color theme="1"/>
        <rFont val="맑은 고딕"/>
        <family val="3"/>
        <charset val="129"/>
        <scheme val="minor"/>
      </rPr>
      <t>작업 대차보수작업</t>
    </r>
    <r>
      <rPr>
        <b/>
        <sz val="15"/>
        <color theme="1"/>
        <rFont val="맑은 고딕"/>
        <family val="3"/>
        <charset val="129"/>
        <scheme val="minor"/>
      </rPr>
      <t xml:space="preserve"> / 수량 100대 / 1대당 단가 : 345,000원) : 100대 * 345,000원 = 34,500,000원
2. 태성하이텍SHOP(</t>
    </r>
    <r>
      <rPr>
        <b/>
        <u/>
        <sz val="15"/>
        <color theme="1"/>
        <rFont val="맑은 고딕"/>
        <family val="3"/>
        <charset val="129"/>
        <scheme val="minor"/>
      </rPr>
      <t>파워뱅크 대차보수작업</t>
    </r>
    <r>
      <rPr>
        <b/>
        <sz val="15"/>
        <color theme="1"/>
        <rFont val="맑은 고딕"/>
        <family val="3"/>
        <charset val="129"/>
        <scheme val="minor"/>
      </rPr>
      <t xml:space="preserve"> / 수량 6대 / 1대당 단가 : 1,060,000원) : 6대 * 1,060,000원 = 6,360,000원
   금액 합계 : 40,860,000원</t>
    </r>
    <phoneticPr fontId="1" type="noConversion"/>
  </si>
  <si>
    <t>대성이엔지 (FAB)</t>
    <phoneticPr fontId="1" type="noConversion"/>
  </si>
  <si>
    <t>금회 집행금액 확인</t>
    <phoneticPr fontId="1" type="noConversion"/>
  </si>
  <si>
    <t>※ 26.04월 외주기성</t>
    <phoneticPr fontId="1" type="noConversion"/>
  </si>
  <si>
    <t>태성하이텍(FAB)</t>
    <phoneticPr fontId="1" type="noConversion"/>
  </si>
  <si>
    <t>태성하이텍(SUP)</t>
    <phoneticPr fontId="1" type="noConversion"/>
  </si>
  <si>
    <t>대성이엔지(FAB)</t>
    <phoneticPr fontId="1" type="noConversion"/>
  </si>
  <si>
    <t>(N)</t>
  </si>
  <si>
    <t>(N)</t>
    <phoneticPr fontId="1" type="noConversion"/>
  </si>
  <si>
    <t>최종기성
(만단위 이하 절삭)</t>
    <phoneticPr fontId="1" type="noConversion"/>
  </si>
  <si>
    <t>대성이엔지_모듈SHOP</t>
    <phoneticPr fontId="1" type="noConversion"/>
  </si>
  <si>
    <t>(E)=(A*단가)+(B*단가)+(D)</t>
    <phoneticPr fontId="1" type="noConversion"/>
  </si>
  <si>
    <t>금회 기타
지급 운영비</t>
    <phoneticPr fontId="1" type="noConversion"/>
  </si>
  <si>
    <t>전월 누계
적자 기성액</t>
    <phoneticPr fontId="1" type="noConversion"/>
  </si>
  <si>
    <t>투입금액
(대납비용)</t>
    <phoneticPr fontId="1" type="noConversion"/>
  </si>
  <si>
    <t>(M)</t>
  </si>
  <si>
    <t>(M)</t>
    <phoneticPr fontId="1" type="noConversion"/>
  </si>
  <si>
    <t>금회유보금
(누계 유보금 - 적자 기성액)</t>
    <phoneticPr fontId="1" type="noConversion"/>
  </si>
  <si>
    <t>(O)</t>
  </si>
  <si>
    <t>(O)</t>
    <phoneticPr fontId="1" type="noConversion"/>
  </si>
  <si>
    <t>(P) = (L)+(M)+(N)-(O)</t>
    <phoneticPr fontId="1" type="noConversion"/>
  </si>
  <si>
    <t>(K) =
(F)+(G)+(H)+(I)</t>
  </si>
  <si>
    <t>(K) = (F)+(G)+(H)+(I)</t>
    <phoneticPr fontId="1" type="noConversion"/>
  </si>
  <si>
    <t>누계
투입금액
(대납비용)</t>
    <phoneticPr fontId="1" type="noConversion"/>
  </si>
  <si>
    <t>누계기성금액</t>
    <phoneticPr fontId="1" type="noConversion"/>
  </si>
  <si>
    <t>외주용역 (품질)</t>
    <phoneticPr fontId="1" type="noConversion"/>
  </si>
  <si>
    <t>숙소</t>
    <phoneticPr fontId="1" type="noConversion"/>
  </si>
  <si>
    <t>식대</t>
    <phoneticPr fontId="1" type="noConversion"/>
  </si>
  <si>
    <t>누계 숙소</t>
    <phoneticPr fontId="1" type="noConversion"/>
  </si>
  <si>
    <t>누계 식대</t>
    <phoneticPr fontId="1" type="noConversion"/>
  </si>
  <si>
    <t>▣ P4-Ph2 GAS&amp;PCW 1공구 외주기성 집계장</t>
    <phoneticPr fontId="1" type="noConversion"/>
  </si>
  <si>
    <t>최종기성</t>
    <phoneticPr fontId="1" type="noConversion"/>
  </si>
  <si>
    <t>기성금액
(만단위 이하 절삭)</t>
    <phoneticPr fontId="1" type="noConversion"/>
  </si>
  <si>
    <t>금회
유보금</t>
    <phoneticPr fontId="1" type="noConversion"/>
  </si>
  <si>
    <t>(E)=(A*단가)+(B*단가)+(D)</t>
  </si>
  <si>
    <t>(P) = (L)+(M)-(N)+(O)</t>
    <phoneticPr fontId="1" type="noConversion"/>
  </si>
  <si>
    <t>설계</t>
    <phoneticPr fontId="1" type="noConversion"/>
  </si>
  <si>
    <t>셀계</t>
    <phoneticPr fontId="1" type="noConversion"/>
  </si>
  <si>
    <t>세연이엔지</t>
    <phoneticPr fontId="1" type="noConversion"/>
  </si>
  <si>
    <t>품질</t>
    <phoneticPr fontId="1" type="noConversion"/>
  </si>
  <si>
    <t>베스트 
토탈솔루션</t>
    <phoneticPr fontId="1" type="noConversion"/>
  </si>
  <si>
    <t>누계
기타 지급
운영비</t>
    <phoneticPr fontId="1" type="noConversion"/>
  </si>
  <si>
    <t>누계
유보금</t>
    <phoneticPr fontId="1" type="noConversion"/>
  </si>
  <si>
    <t>누계
적자 기성액</t>
    <phoneticPr fontId="1" type="noConversion"/>
  </si>
  <si>
    <t>누계
최종기성</t>
    <phoneticPr fontId="1" type="noConversion"/>
  </si>
  <si>
    <t>(P) = (L)+(M)-(N)</t>
    <phoneticPr fontId="1" type="noConversion"/>
  </si>
  <si>
    <t>적자 기성액
(누계)</t>
    <phoneticPr fontId="1" type="noConversion"/>
  </si>
  <si>
    <t>※ 26.05월 외주기성</t>
    <phoneticPr fontId="1" type="noConversion"/>
  </si>
  <si>
    <t>승우엔지니어링</t>
    <phoneticPr fontId="1" type="noConversion"/>
  </si>
  <si>
    <t>다온이엔지</t>
    <phoneticPr fontId="1" type="noConversion"/>
  </si>
  <si>
    <t>Field : 10.9%</t>
    <phoneticPr fontId="1" type="noConversion"/>
  </si>
  <si>
    <t>외주용역(Field)</t>
    <phoneticPr fontId="1" type="noConversion"/>
  </si>
  <si>
    <r>
      <t>※ 외주제작 특이사항
1. 태성하이텍SHOP(</t>
    </r>
    <r>
      <rPr>
        <b/>
        <u/>
        <sz val="15"/>
        <color theme="1"/>
        <rFont val="맑은 고딕"/>
        <family val="3"/>
        <charset val="129"/>
        <scheme val="minor"/>
      </rPr>
      <t>파워뱅크 대차제작</t>
    </r>
    <r>
      <rPr>
        <b/>
        <sz val="15"/>
        <color theme="1"/>
        <rFont val="맑은 고딕"/>
        <family val="3"/>
        <charset val="129"/>
        <scheme val="minor"/>
      </rPr>
      <t xml:space="preserve"> / 수량 14대 / 1대당 단가 : 1,060,000원) : 14대 * 1,060,000원 = 14,840,000원</t>
    </r>
    <phoneticPr fontId="1" type="noConversion"/>
  </si>
  <si>
    <t>※ 26.06월 외주기성</t>
    <phoneticPr fontId="1" type="noConversion"/>
  </si>
  <si>
    <t>HL톄크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</si>
</sst>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0.0%"/>
    <numFmt numFmtId="177" formatCode="_-* #,##0.0_-;\-* #,##0.0_-;_-* &quot;-&quot;_-;_-@_-"/>
    <numFmt numFmtId="178" formatCode="_-* #,##0.0000_-;\-* #,##0.0000_-;_-* &quot;-&quot;_-;_-@_-"/>
    <numFmt numFmtId="179" formatCode="_-* #,##0.00_-;\-* #,##0.0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8"/>
      <name val="돋움"/>
      <family val="3"/>
      <charset val="129"/>
    </font>
    <font>
      <b/>
      <sz val="15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u/>
      <sz val="15"/>
      <color theme="1"/>
      <name val="맑은 고딕"/>
      <family val="3"/>
      <charset val="129"/>
      <scheme val="minor"/>
    </font>
    <font>
      <sz val="15"/>
      <color theme="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rgb="FFFF0000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6" fillId="0" borderId="1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41" fontId="3" fillId="0" borderId="1" xfId="3" applyFont="1" applyBorder="1" applyAlignment="1">
      <alignment horizontal="center" vertical="center"/>
    </xf>
    <xf numFmtId="41" fontId="4" fillId="3" borderId="1" xfId="3" applyFont="1" applyFill="1" applyBorder="1" applyAlignment="1">
      <alignment horizontal="center" vertical="center"/>
    </xf>
    <xf numFmtId="41" fontId="4" fillId="4" borderId="1" xfId="3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 wrapText="1"/>
    </xf>
    <xf numFmtId="41" fontId="4" fillId="7" borderId="1" xfId="3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42" fontId="6" fillId="0" borderId="19" xfId="1" applyFont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 wrapText="1"/>
    </xf>
    <xf numFmtId="42" fontId="6" fillId="0" borderId="20" xfId="1" applyFont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176" fontId="7" fillId="0" borderId="20" xfId="2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77" fontId="3" fillId="0" borderId="1" xfId="3" applyNumberFormat="1" applyFont="1" applyBorder="1" applyAlignment="1">
      <alignment horizontal="center" vertical="center"/>
    </xf>
    <xf numFmtId="41" fontId="5" fillId="0" borderId="0" xfId="3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178" fontId="3" fillId="0" borderId="1" xfId="3" applyNumberFormat="1" applyFont="1" applyBorder="1" applyAlignment="1">
      <alignment horizontal="center" vertical="center"/>
    </xf>
    <xf numFmtId="178" fontId="4" fillId="3" borderId="1" xfId="3" applyNumberFormat="1" applyFont="1" applyFill="1" applyBorder="1" applyAlignment="1">
      <alignment horizontal="center" vertical="center"/>
    </xf>
    <xf numFmtId="178" fontId="4" fillId="7" borderId="1" xfId="3" applyNumberFormat="1" applyFont="1" applyFill="1" applyBorder="1" applyAlignment="1">
      <alignment horizontal="center" vertical="center"/>
    </xf>
    <xf numFmtId="42" fontId="6" fillId="0" borderId="21" xfId="1" applyFont="1" applyBorder="1" applyAlignment="1">
      <alignment horizontal="center" vertical="center"/>
    </xf>
    <xf numFmtId="42" fontId="6" fillId="0" borderId="22" xfId="1" applyFont="1" applyBorder="1" applyAlignment="1">
      <alignment horizontal="center" vertical="center"/>
    </xf>
    <xf numFmtId="41" fontId="4" fillId="0" borderId="0" xfId="0" applyNumberFormat="1" applyFont="1" applyAlignment="1">
      <alignment horizontal="center" vertical="center"/>
    </xf>
    <xf numFmtId="41" fontId="3" fillId="10" borderId="1" xfId="3" applyFont="1" applyFill="1" applyBorder="1" applyAlignment="1">
      <alignment horizontal="center" vertical="center"/>
    </xf>
    <xf numFmtId="41" fontId="3" fillId="10" borderId="1" xfId="3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14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left" vertical="center" shrinkToFit="1"/>
    </xf>
    <xf numFmtId="0" fontId="4" fillId="0" borderId="0" xfId="0" applyFont="1" applyAlignment="1">
      <alignment horizontal="left" vertical="center" shrinkToFit="1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0" borderId="1" xfId="3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5" fillId="6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41" fontId="3" fillId="0" borderId="17" xfId="3" applyFont="1" applyBorder="1" applyAlignment="1">
      <alignment horizontal="center" vertical="center"/>
    </xf>
    <xf numFmtId="41" fontId="4" fillId="7" borderId="17" xfId="3" applyFont="1" applyFill="1" applyBorder="1" applyAlignment="1">
      <alignment horizontal="center" vertical="center"/>
    </xf>
    <xf numFmtId="41" fontId="4" fillId="8" borderId="20" xfId="3" applyFont="1" applyFill="1" applyBorder="1" applyAlignment="1">
      <alignment horizontal="center" vertical="center"/>
    </xf>
    <xf numFmtId="41" fontId="4" fillId="8" borderId="19" xfId="3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41" fontId="4" fillId="3" borderId="17" xfId="3" applyFont="1" applyFill="1" applyBorder="1" applyAlignment="1">
      <alignment horizontal="center" vertical="center"/>
    </xf>
    <xf numFmtId="41" fontId="4" fillId="4" borderId="20" xfId="3" applyFont="1" applyFill="1" applyBorder="1" applyAlignment="1">
      <alignment horizontal="center" vertical="center"/>
    </xf>
    <xf numFmtId="41" fontId="4" fillId="4" borderId="19" xfId="3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9" fontId="3" fillId="0" borderId="1" xfId="3" applyNumberFormat="1" applyFont="1" applyBorder="1" applyAlignment="1">
      <alignment horizontal="center" vertical="center"/>
    </xf>
    <xf numFmtId="179" fontId="4" fillId="3" borderId="1" xfId="3" applyNumberFormat="1" applyFont="1" applyFill="1" applyBorder="1" applyAlignment="1">
      <alignment horizontal="center" vertical="center"/>
    </xf>
    <xf numFmtId="179" fontId="3" fillId="0" borderId="1" xfId="3" applyNumberFormat="1" applyFont="1" applyFill="1" applyBorder="1" applyAlignment="1">
      <alignment horizontal="center" vertical="center"/>
    </xf>
    <xf numFmtId="179" fontId="4" fillId="7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0" borderId="2" xfId="3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5" fillId="6" borderId="2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/>
    </xf>
    <xf numFmtId="42" fontId="6" fillId="0" borderId="4" xfId="1" applyFont="1" applyBorder="1" applyAlignment="1">
      <alignment horizontal="center" vertical="center"/>
    </xf>
    <xf numFmtId="42" fontId="6" fillId="0" borderId="6" xfId="1" applyFont="1" applyBorder="1" applyAlignment="1">
      <alignment horizontal="center" vertical="center"/>
    </xf>
    <xf numFmtId="176" fontId="7" fillId="0" borderId="24" xfId="2" applyNumberFormat="1" applyFont="1" applyBorder="1" applyAlignment="1">
      <alignment horizontal="center" vertical="center"/>
    </xf>
    <xf numFmtId="176" fontId="7" fillId="0" borderId="25" xfId="2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</cellXfs>
  <cellStyles count="4">
    <cellStyle name="백분율" xfId="2" builtinId="5"/>
    <cellStyle name="쉼표 [0]" xfId="3" builtinId="6"/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71438</xdr:colOff>
          <xdr:row>4</xdr:row>
          <xdr:rowOff>18521</xdr:rowOff>
        </xdr:from>
        <xdr:ext cx="6519333" cy="1981729"/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기타!$B$3:$C$5" spid="_x0000_s125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4742438" y="1042459"/>
              <a:ext cx="6519333" cy="198172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4"/>
  <sheetViews>
    <sheetView tabSelected="1" view="pageBreakPreview" topLeftCell="A20" zoomScale="40" zoomScaleNormal="70" zoomScaleSheetLayoutView="40" workbookViewId="0">
      <selection activeCell="W17" sqref="W17"/>
    </sheetView>
  </sheetViews>
  <sheetFormatPr defaultRowHeight="24" outlineLevelRow="1" x14ac:dyDescent="0.3"/>
  <cols>
    <col min="1" max="1" width="9" style="40"/>
    <col min="2" max="2" width="27.625" style="49" customWidth="1"/>
    <col min="3" max="3" width="2.625" style="40" customWidth="1"/>
    <col min="4" max="4" width="11.5" style="40" customWidth="1"/>
    <col min="5" max="12" width="21.625" style="40" customWidth="1"/>
    <col min="13" max="19" width="28.625" style="40" customWidth="1"/>
    <col min="20" max="20" width="30.5" style="40" customWidth="1"/>
    <col min="21" max="22" width="28.625" style="40" customWidth="1"/>
    <col min="23" max="23" width="30.625" style="40" customWidth="1"/>
    <col min="24" max="24" width="2.625" style="40" customWidth="1"/>
    <col min="25" max="25" width="27.625" style="40" bestFit="1" customWidth="1"/>
    <col min="26" max="28" width="23.625" style="40" customWidth="1"/>
    <col min="29" max="29" width="29.25" style="40" bestFit="1" customWidth="1"/>
    <col min="30" max="30" width="16.625" style="40" customWidth="1"/>
    <col min="31" max="16384" width="9" style="40"/>
  </cols>
  <sheetData>
    <row r="1" spans="2:31" hidden="1" x14ac:dyDescent="0.3">
      <c r="E1" s="40">
        <v>20.5</v>
      </c>
      <c r="F1" s="40">
        <v>20.5</v>
      </c>
      <c r="G1" s="40">
        <v>20.5</v>
      </c>
      <c r="H1" s="40">
        <v>20.5</v>
      </c>
      <c r="I1" s="40">
        <v>20.5</v>
      </c>
      <c r="J1" s="40">
        <v>20.5</v>
      </c>
      <c r="K1" s="40">
        <v>20.5</v>
      </c>
      <c r="L1" s="40">
        <v>20.5</v>
      </c>
      <c r="M1" s="40">
        <v>20.5</v>
      </c>
      <c r="N1" s="40">
        <v>20.5</v>
      </c>
      <c r="O1" s="40">
        <v>20.5</v>
      </c>
      <c r="P1" s="40">
        <v>26</v>
      </c>
      <c r="Q1" s="40">
        <v>26</v>
      </c>
      <c r="R1" s="40">
        <v>30</v>
      </c>
      <c r="S1" s="40">
        <v>20.5</v>
      </c>
      <c r="T1" s="40">
        <v>30</v>
      </c>
      <c r="W1" s="40">
        <v>20.5</v>
      </c>
    </row>
    <row r="2" spans="2:31" ht="22.5" customHeight="1" x14ac:dyDescent="0.3"/>
    <row r="3" spans="2:31" ht="39.950000000000003" customHeight="1" x14ac:dyDescent="0.3">
      <c r="D3" s="59" t="s">
        <v>101</v>
      </c>
      <c r="N3" s="41"/>
    </row>
    <row r="4" spans="2:31" ht="18.75" customHeight="1" thickBot="1" x14ac:dyDescent="0.35">
      <c r="N4" s="41"/>
    </row>
    <row r="5" spans="2:31" s="42" customFormat="1" ht="39.950000000000003" customHeight="1" outlineLevel="1" x14ac:dyDescent="0.3">
      <c r="B5" s="50"/>
      <c r="E5" s="18" t="s">
        <v>28</v>
      </c>
      <c r="F5" s="19" t="s">
        <v>62</v>
      </c>
      <c r="G5" s="19" t="s">
        <v>59</v>
      </c>
      <c r="H5" s="14" t="s">
        <v>60</v>
      </c>
      <c r="I5" s="13" t="s">
        <v>6</v>
      </c>
      <c r="J5" s="14" t="s">
        <v>29</v>
      </c>
      <c r="M5" s="21" t="s">
        <v>30</v>
      </c>
      <c r="N5" s="11" t="s">
        <v>122</v>
      </c>
      <c r="O5" s="22" t="s">
        <v>31</v>
      </c>
      <c r="P5" s="22" t="s">
        <v>96</v>
      </c>
      <c r="Q5" s="22" t="s">
        <v>32</v>
      </c>
      <c r="R5" s="22" t="s">
        <v>33</v>
      </c>
      <c r="S5" s="23" t="s">
        <v>54</v>
      </c>
      <c r="AA5" s="2"/>
      <c r="AB5" s="2"/>
    </row>
    <row r="6" spans="2:31" s="42" customFormat="1" ht="39.950000000000003" customHeight="1" outlineLevel="1" x14ac:dyDescent="0.3">
      <c r="B6" s="51" t="s">
        <v>56</v>
      </c>
      <c r="E6" s="15" t="s">
        <v>57</v>
      </c>
      <c r="F6" s="3">
        <v>475000</v>
      </c>
      <c r="G6" s="3">
        <v>95000</v>
      </c>
      <c r="H6" s="34"/>
      <c r="I6" s="15" t="s">
        <v>24</v>
      </c>
      <c r="J6" s="34"/>
      <c r="M6" s="24" t="s">
        <v>34</v>
      </c>
      <c r="N6" s="3">
        <v>2775741538</v>
      </c>
      <c r="O6" s="134">
        <v>788260000</v>
      </c>
      <c r="P6" s="135"/>
      <c r="Q6" s="3">
        <f>3697815503+40000000+129346000+240720000+52000000+241897462</f>
        <v>4401778965</v>
      </c>
      <c r="R6" s="3">
        <v>15591883130</v>
      </c>
      <c r="S6" s="125" t="s">
        <v>121</v>
      </c>
      <c r="AA6" s="2" t="s">
        <v>65</v>
      </c>
      <c r="AB6" s="29">
        <v>1660650925</v>
      </c>
      <c r="AC6" s="2" t="s">
        <v>68</v>
      </c>
      <c r="AD6" s="29">
        <v>876000000</v>
      </c>
      <c r="AE6" s="43">
        <f>AD6-O6</f>
        <v>87740000</v>
      </c>
    </row>
    <row r="7" spans="2:31" s="42" customFormat="1" ht="39.950000000000003" customHeight="1" outlineLevel="1" x14ac:dyDescent="0.3">
      <c r="B7" s="51" t="s">
        <v>56</v>
      </c>
      <c r="E7" s="15" t="s">
        <v>58</v>
      </c>
      <c r="F7" s="3">
        <v>370000</v>
      </c>
      <c r="G7" s="3">
        <v>148000</v>
      </c>
      <c r="H7" s="34"/>
      <c r="I7" s="15" t="s">
        <v>26</v>
      </c>
      <c r="J7" s="34"/>
      <c r="M7" s="24" t="s">
        <v>35</v>
      </c>
      <c r="N7" s="3">
        <f>W13+W14+W15</f>
        <v>30000000</v>
      </c>
      <c r="O7" s="3">
        <f>SUM(W16:W18)</f>
        <v>302800000</v>
      </c>
      <c r="P7" s="3">
        <f>W19</f>
        <v>9010000</v>
      </c>
      <c r="Q7" s="3">
        <f>SUM(W21:W25)</f>
        <v>2566990000</v>
      </c>
      <c r="R7" s="3">
        <f>P20</f>
        <v>3950046880</v>
      </c>
      <c r="S7" s="126"/>
      <c r="AA7" s="2" t="s">
        <v>66</v>
      </c>
      <c r="AB7" s="29">
        <v>136435000</v>
      </c>
      <c r="AC7" s="2" t="s">
        <v>69</v>
      </c>
      <c r="AD7" s="29">
        <v>3871898561</v>
      </c>
      <c r="AE7" s="43">
        <f>AD7-Q6</f>
        <v>-529880404</v>
      </c>
    </row>
    <row r="8" spans="2:31" s="42" customFormat="1" ht="39.75" customHeight="1" outlineLevel="1" thickBot="1" x14ac:dyDescent="0.35">
      <c r="B8" s="51" t="s">
        <v>56</v>
      </c>
      <c r="E8" s="16" t="s">
        <v>72</v>
      </c>
      <c r="F8" s="20">
        <v>475000</v>
      </c>
      <c r="G8" s="20">
        <v>50000</v>
      </c>
      <c r="H8" s="17"/>
      <c r="I8" s="16" t="s">
        <v>55</v>
      </c>
      <c r="J8" s="35"/>
      <c r="M8" s="25" t="s">
        <v>36</v>
      </c>
      <c r="N8" s="26">
        <f>N7/N6</f>
        <v>1.080792270796792E-2</v>
      </c>
      <c r="O8" s="136">
        <f>(O7+P7)/$O$6</f>
        <v>0.39556745236343338</v>
      </c>
      <c r="P8" s="137"/>
      <c r="Q8" s="26">
        <f t="shared" ref="Q8:R8" si="0">Q7/Q6</f>
        <v>0.58317103616764632</v>
      </c>
      <c r="R8" s="26">
        <f t="shared" si="0"/>
        <v>0.25333994919444985</v>
      </c>
      <c r="S8" s="127"/>
      <c r="AA8" s="2" t="s">
        <v>67</v>
      </c>
      <c r="AB8" s="29">
        <v>293800000</v>
      </c>
      <c r="AC8" s="2" t="s">
        <v>70</v>
      </c>
      <c r="AD8" s="29">
        <v>14060077520</v>
      </c>
      <c r="AE8" s="43">
        <f>AD8-R6</f>
        <v>-1531805610</v>
      </c>
    </row>
    <row r="9" spans="2:31" ht="22.5" customHeight="1" thickBot="1" x14ac:dyDescent="0.35">
      <c r="Y9" s="40">
        <v>788260000</v>
      </c>
      <c r="Z9" s="2"/>
      <c r="AA9" s="30">
        <f>SUM(AB6:AB8)</f>
        <v>2090885925</v>
      </c>
    </row>
    <row r="10" spans="2:31" s="2" customFormat="1" ht="39.950000000000003" customHeight="1" outlineLevel="1" x14ac:dyDescent="0.3">
      <c r="B10" s="52"/>
      <c r="D10" s="130" t="s">
        <v>52</v>
      </c>
      <c r="E10" s="131"/>
      <c r="F10" s="131"/>
      <c r="G10" s="131" t="s">
        <v>16</v>
      </c>
      <c r="H10" s="131"/>
      <c r="I10" s="131"/>
      <c r="J10" s="131"/>
      <c r="K10" s="131"/>
      <c r="L10" s="131" t="s">
        <v>15</v>
      </c>
      <c r="M10" s="133" t="s">
        <v>0</v>
      </c>
      <c r="N10" s="133"/>
      <c r="O10" s="133"/>
      <c r="P10" s="131" t="s">
        <v>2</v>
      </c>
      <c r="Q10" s="93" t="s">
        <v>94</v>
      </c>
      <c r="R10" s="93" t="s">
        <v>95</v>
      </c>
      <c r="S10" s="93" t="s">
        <v>112</v>
      </c>
      <c r="T10" s="93" t="s">
        <v>113</v>
      </c>
      <c r="U10" s="93" t="s">
        <v>114</v>
      </c>
      <c r="V10" s="93" t="s">
        <v>115</v>
      </c>
      <c r="W10" s="86" t="s">
        <v>3</v>
      </c>
    </row>
    <row r="11" spans="2:31" s="2" customFormat="1" ht="39.950000000000003" customHeight="1" outlineLevel="1" x14ac:dyDescent="0.3">
      <c r="B11" s="52"/>
      <c r="D11" s="132"/>
      <c r="E11" s="124"/>
      <c r="F11" s="124"/>
      <c r="G11" s="58" t="s">
        <v>7</v>
      </c>
      <c r="H11" s="58" t="s">
        <v>8</v>
      </c>
      <c r="I11" s="58" t="s">
        <v>9</v>
      </c>
      <c r="J11" s="124" t="s">
        <v>10</v>
      </c>
      <c r="K11" s="58" t="s">
        <v>14</v>
      </c>
      <c r="L11" s="124"/>
      <c r="M11" s="58" t="s">
        <v>1</v>
      </c>
      <c r="N11" s="82" t="s">
        <v>99</v>
      </c>
      <c r="O11" s="82" t="s">
        <v>100</v>
      </c>
      <c r="P11" s="124"/>
      <c r="Q11" s="94"/>
      <c r="R11" s="94"/>
      <c r="S11" s="94"/>
      <c r="T11" s="94"/>
      <c r="U11" s="94"/>
      <c r="V11" s="94"/>
      <c r="W11" s="87"/>
    </row>
    <row r="12" spans="2:31" s="2" customFormat="1" ht="39.950000000000003" customHeight="1" outlineLevel="1" x14ac:dyDescent="0.3">
      <c r="B12" s="52"/>
      <c r="D12" s="60" t="s">
        <v>4</v>
      </c>
      <c r="E12" s="58" t="s">
        <v>5</v>
      </c>
      <c r="F12" s="58" t="s">
        <v>6</v>
      </c>
      <c r="G12" s="58" t="s">
        <v>11</v>
      </c>
      <c r="H12" s="58" t="s">
        <v>12</v>
      </c>
      <c r="I12" s="58" t="s">
        <v>17</v>
      </c>
      <c r="J12" s="124"/>
      <c r="K12" s="58" t="s">
        <v>13</v>
      </c>
      <c r="L12" s="7" t="s">
        <v>105</v>
      </c>
      <c r="M12" s="58" t="s">
        <v>18</v>
      </c>
      <c r="N12" s="58" t="s">
        <v>19</v>
      </c>
      <c r="O12" s="58" t="s">
        <v>20</v>
      </c>
      <c r="P12" s="58" t="s">
        <v>21</v>
      </c>
      <c r="Q12" s="82" t="s">
        <v>93</v>
      </c>
      <c r="R12" s="58" t="s">
        <v>22</v>
      </c>
      <c r="S12" s="58" t="s">
        <v>86</v>
      </c>
      <c r="T12" s="58" t="s">
        <v>78</v>
      </c>
      <c r="U12" s="58" t="s">
        <v>89</v>
      </c>
      <c r="V12" s="71" t="s">
        <v>116</v>
      </c>
      <c r="W12" s="88"/>
    </row>
    <row r="13" spans="2:31" ht="39.950000000000003" customHeight="1" outlineLevel="1" x14ac:dyDescent="0.3">
      <c r="B13" s="49" t="str">
        <f t="shared" ref="B13:B16" si="1">TRIM(E13)&amp;TRIM(F13)</f>
        <v>Field태성하이텍(FAB)</v>
      </c>
      <c r="D13" s="61" t="s">
        <v>53</v>
      </c>
      <c r="E13" s="1" t="s">
        <v>23</v>
      </c>
      <c r="F13" s="1" t="s">
        <v>75</v>
      </c>
      <c r="G13" s="75">
        <f t="shared" ref="G13:W25" si="2">SUMIFS(G$32:G$102,$B$32:$B$102,$B13)</f>
        <v>4256.5</v>
      </c>
      <c r="H13" s="8">
        <f t="shared" si="2"/>
        <v>0</v>
      </c>
      <c r="I13" s="31">
        <f t="shared" si="2"/>
        <v>9237.125</v>
      </c>
      <c r="J13" s="31">
        <f t="shared" si="2"/>
        <v>9237.125</v>
      </c>
      <c r="K13" s="8">
        <f t="shared" si="2"/>
        <v>0</v>
      </c>
      <c r="L13" s="8">
        <f>SUMIFS(L$32:L$102,$B$32:$B$102,$B13)</f>
        <v>2021837500</v>
      </c>
      <c r="M13" s="8">
        <f t="shared" ref="M13:R13" si="3">SUMIFS(M$32:M$102,$B$32:$B$102,$B13)</f>
        <v>0</v>
      </c>
      <c r="N13" s="8">
        <f t="shared" si="3"/>
        <v>105746046.5591398</v>
      </c>
      <c r="O13" s="8">
        <f t="shared" si="3"/>
        <v>123016091</v>
      </c>
      <c r="P13" s="8">
        <f t="shared" si="3"/>
        <v>1730550630</v>
      </c>
      <c r="Q13" s="8">
        <f t="shared" si="3"/>
        <v>1959312767.5591397</v>
      </c>
      <c r="R13" s="8">
        <f t="shared" si="3"/>
        <v>62524732.440860286</v>
      </c>
      <c r="S13" s="8">
        <v>0</v>
      </c>
      <c r="T13" s="8">
        <v>0</v>
      </c>
      <c r="U13" s="8">
        <v>0</v>
      </c>
      <c r="V13" s="8">
        <f>R13+S13-T13</f>
        <v>62524732.440860286</v>
      </c>
      <c r="W13" s="62">
        <f t="shared" si="2"/>
        <v>0</v>
      </c>
    </row>
    <row r="14" spans="2:31" ht="39.950000000000003" customHeight="1" outlineLevel="1" x14ac:dyDescent="0.3">
      <c r="B14" s="49" t="str">
        <f t="shared" si="1"/>
        <v>Field태성하이텍(SUP)</v>
      </c>
      <c r="D14" s="61" t="s">
        <v>53</v>
      </c>
      <c r="E14" s="1" t="s">
        <v>23</v>
      </c>
      <c r="F14" s="1" t="s">
        <v>76</v>
      </c>
      <c r="G14" s="75">
        <f t="shared" si="2"/>
        <v>2049.5</v>
      </c>
      <c r="H14" s="8">
        <f t="shared" si="2"/>
        <v>0</v>
      </c>
      <c r="I14" s="31">
        <f t="shared" si="2"/>
        <v>3791.5625</v>
      </c>
      <c r="J14" s="31">
        <f t="shared" si="2"/>
        <v>3791.5625</v>
      </c>
      <c r="K14" s="8">
        <f t="shared" si="2"/>
        <v>0</v>
      </c>
      <c r="L14" s="8">
        <f t="shared" si="2"/>
        <v>758315000</v>
      </c>
      <c r="M14" s="8">
        <f t="shared" si="2"/>
        <v>0</v>
      </c>
      <c r="N14" s="8">
        <f t="shared" si="2"/>
        <v>43451075.483870968</v>
      </c>
      <c r="O14" s="8">
        <f t="shared" si="2"/>
        <v>56382454</v>
      </c>
      <c r="P14" s="8">
        <f t="shared" si="2"/>
        <v>717690000</v>
      </c>
      <c r="Q14" s="8">
        <f t="shared" si="2"/>
        <v>817523529.48387098</v>
      </c>
      <c r="R14" s="8">
        <f t="shared" si="2"/>
        <v>-59208529.483870968</v>
      </c>
      <c r="S14" s="8">
        <v>0</v>
      </c>
      <c r="T14" s="8">
        <v>0</v>
      </c>
      <c r="U14" s="8">
        <v>0</v>
      </c>
      <c r="V14" s="8">
        <f t="shared" ref="V14:V19" si="4">R14+S14-T14</f>
        <v>-59208529.483870968</v>
      </c>
      <c r="W14" s="62">
        <f t="shared" si="2"/>
        <v>0</v>
      </c>
    </row>
    <row r="15" spans="2:31" ht="39.950000000000003" customHeight="1" outlineLevel="1" x14ac:dyDescent="0.3">
      <c r="B15" s="49" t="str">
        <f t="shared" si="1"/>
        <v>Field대성이엔지(FAB)</v>
      </c>
      <c r="D15" s="61" t="s">
        <v>53</v>
      </c>
      <c r="E15" s="1" t="s">
        <v>23</v>
      </c>
      <c r="F15" s="1" t="s">
        <v>77</v>
      </c>
      <c r="G15" s="75">
        <f t="shared" si="2"/>
        <v>3423.5</v>
      </c>
      <c r="H15" s="8">
        <f t="shared" si="2"/>
        <v>0</v>
      </c>
      <c r="I15" s="31">
        <f t="shared" si="2"/>
        <v>7811</v>
      </c>
      <c r="J15" s="31">
        <f t="shared" si="2"/>
        <v>7811</v>
      </c>
      <c r="K15" s="8">
        <f t="shared" si="2"/>
        <v>0</v>
      </c>
      <c r="L15" s="8">
        <f t="shared" si="2"/>
        <v>1626162500</v>
      </c>
      <c r="M15" s="8">
        <f t="shared" si="2"/>
        <v>0</v>
      </c>
      <c r="N15" s="8">
        <f t="shared" si="2"/>
        <v>139397160</v>
      </c>
      <c r="O15" s="8">
        <f t="shared" si="2"/>
        <v>107133818</v>
      </c>
      <c r="P15" s="8">
        <f t="shared" si="2"/>
        <v>1501806250</v>
      </c>
      <c r="Q15" s="8">
        <f t="shared" si="2"/>
        <v>1748337228</v>
      </c>
      <c r="R15" s="8">
        <f t="shared" si="2"/>
        <v>-122174728</v>
      </c>
      <c r="S15" s="8">
        <v>-30000000</v>
      </c>
      <c r="T15" s="8">
        <v>0</v>
      </c>
      <c r="U15" s="8">
        <v>0</v>
      </c>
      <c r="V15" s="8">
        <f t="shared" si="4"/>
        <v>-152174728</v>
      </c>
      <c r="W15" s="62">
        <f t="shared" si="2"/>
        <v>30000000</v>
      </c>
    </row>
    <row r="16" spans="2:31" ht="39.950000000000003" customHeight="1" outlineLevel="1" x14ac:dyDescent="0.3">
      <c r="B16" s="49" t="str">
        <f t="shared" si="1"/>
        <v>설계제이온</v>
      </c>
      <c r="D16" s="61" t="s">
        <v>53</v>
      </c>
      <c r="E16" s="1" t="s">
        <v>107</v>
      </c>
      <c r="F16" s="1" t="s">
        <v>55</v>
      </c>
      <c r="G16" s="77">
        <f t="shared" si="2"/>
        <v>0</v>
      </c>
      <c r="H16" s="57">
        <f t="shared" si="2"/>
        <v>0</v>
      </c>
      <c r="I16" s="57">
        <f t="shared" si="2"/>
        <v>0</v>
      </c>
      <c r="J16" s="57">
        <f t="shared" si="2"/>
        <v>0</v>
      </c>
      <c r="K16" s="57">
        <f t="shared" si="2"/>
        <v>0</v>
      </c>
      <c r="L16" s="8">
        <f t="shared" si="2"/>
        <v>221600000</v>
      </c>
      <c r="M16" s="57">
        <f t="shared" si="2"/>
        <v>0</v>
      </c>
      <c r="N16" s="57">
        <f t="shared" si="2"/>
        <v>0</v>
      </c>
      <c r="O16" s="57">
        <f t="shared" si="2"/>
        <v>0</v>
      </c>
      <c r="P16" s="57">
        <f t="shared" si="2"/>
        <v>0</v>
      </c>
      <c r="Q16" s="57">
        <f t="shared" si="2"/>
        <v>0</v>
      </c>
      <c r="R16" s="8">
        <f t="shared" si="2"/>
        <v>221600000</v>
      </c>
      <c r="S16" s="57">
        <f t="shared" si="2"/>
        <v>0</v>
      </c>
      <c r="T16" s="57">
        <f t="shared" si="2"/>
        <v>0</v>
      </c>
      <c r="U16" s="8">
        <f t="shared" si="2"/>
        <v>0</v>
      </c>
      <c r="V16" s="8">
        <f t="shared" si="4"/>
        <v>221600000</v>
      </c>
      <c r="W16" s="62">
        <f t="shared" si="2"/>
        <v>221600000</v>
      </c>
    </row>
    <row r="17" spans="2:25" ht="39.950000000000003" customHeight="1" outlineLevel="1" x14ac:dyDescent="0.3">
      <c r="B17" s="49" t="str">
        <f t="shared" ref="B17:B19" si="5">TRIM(E17)&amp;TRIM(F17)</f>
        <v>셀계세연이엔지</v>
      </c>
      <c r="D17" s="61" t="s">
        <v>53</v>
      </c>
      <c r="E17" s="1" t="s">
        <v>108</v>
      </c>
      <c r="F17" s="1" t="s">
        <v>109</v>
      </c>
      <c r="G17" s="77">
        <f t="shared" si="2"/>
        <v>0</v>
      </c>
      <c r="H17" s="57">
        <f t="shared" si="2"/>
        <v>0</v>
      </c>
      <c r="I17" s="57">
        <f t="shared" si="2"/>
        <v>0</v>
      </c>
      <c r="J17" s="57">
        <f t="shared" si="2"/>
        <v>0</v>
      </c>
      <c r="K17" s="57">
        <f t="shared" si="2"/>
        <v>0</v>
      </c>
      <c r="L17" s="8">
        <f t="shared" si="2"/>
        <v>76500000</v>
      </c>
      <c r="M17" s="57">
        <f t="shared" si="2"/>
        <v>0</v>
      </c>
      <c r="N17" s="57">
        <f t="shared" si="2"/>
        <v>0</v>
      </c>
      <c r="O17" s="57">
        <f t="shared" si="2"/>
        <v>0</v>
      </c>
      <c r="P17" s="57">
        <f t="shared" si="2"/>
        <v>0</v>
      </c>
      <c r="Q17" s="57">
        <f t="shared" si="2"/>
        <v>0</v>
      </c>
      <c r="R17" s="8">
        <f t="shared" si="2"/>
        <v>76500000</v>
      </c>
      <c r="S17" s="57">
        <f t="shared" si="2"/>
        <v>0</v>
      </c>
      <c r="T17" s="57">
        <f t="shared" si="2"/>
        <v>0</v>
      </c>
      <c r="U17" s="57">
        <f t="shared" si="2"/>
        <v>0</v>
      </c>
      <c r="V17" s="8">
        <f t="shared" si="4"/>
        <v>76500000</v>
      </c>
      <c r="W17" s="62">
        <f t="shared" si="2"/>
        <v>76500000</v>
      </c>
      <c r="Y17" s="42"/>
    </row>
    <row r="18" spans="2:25" ht="39.950000000000003" customHeight="1" outlineLevel="1" x14ac:dyDescent="0.3">
      <c r="B18" s="49" t="str">
        <f t="shared" si="5"/>
        <v>셀계승우엔지니어링</v>
      </c>
      <c r="D18" s="61" t="s">
        <v>53</v>
      </c>
      <c r="E18" s="1" t="s">
        <v>108</v>
      </c>
      <c r="F18" s="1" t="s">
        <v>119</v>
      </c>
      <c r="G18" s="77">
        <f t="shared" si="2"/>
        <v>0</v>
      </c>
      <c r="H18" s="57">
        <f t="shared" si="2"/>
        <v>0</v>
      </c>
      <c r="I18" s="57">
        <f t="shared" si="2"/>
        <v>0</v>
      </c>
      <c r="J18" s="57">
        <f t="shared" si="2"/>
        <v>0</v>
      </c>
      <c r="K18" s="57">
        <f t="shared" si="2"/>
        <v>0</v>
      </c>
      <c r="L18" s="8">
        <f t="shared" si="2"/>
        <v>4700000</v>
      </c>
      <c r="M18" s="57">
        <f t="shared" si="2"/>
        <v>0</v>
      </c>
      <c r="N18" s="57">
        <f t="shared" si="2"/>
        <v>0</v>
      </c>
      <c r="O18" s="57">
        <f t="shared" si="2"/>
        <v>0</v>
      </c>
      <c r="P18" s="57">
        <f t="shared" si="2"/>
        <v>0</v>
      </c>
      <c r="Q18" s="57">
        <f t="shared" si="2"/>
        <v>0</v>
      </c>
      <c r="R18" s="8">
        <f t="shared" si="2"/>
        <v>4700000</v>
      </c>
      <c r="S18" s="57">
        <f t="shared" si="2"/>
        <v>0</v>
      </c>
      <c r="T18" s="57">
        <f t="shared" si="2"/>
        <v>0</v>
      </c>
      <c r="U18" s="57">
        <f t="shared" si="2"/>
        <v>0</v>
      </c>
      <c r="V18" s="8">
        <f t="shared" si="4"/>
        <v>4700000</v>
      </c>
      <c r="W18" s="62">
        <f t="shared" si="2"/>
        <v>4700000</v>
      </c>
      <c r="Y18" s="42"/>
    </row>
    <row r="19" spans="2:25" ht="39.950000000000003" customHeight="1" outlineLevel="1" x14ac:dyDescent="0.3">
      <c r="B19" s="49" t="str">
        <f t="shared" si="5"/>
        <v>품질베스트 
토탈솔루션</v>
      </c>
      <c r="D19" s="61" t="s">
        <v>53</v>
      </c>
      <c r="E19" s="1" t="s">
        <v>110</v>
      </c>
      <c r="F19" s="54" t="s">
        <v>111</v>
      </c>
      <c r="G19" s="77">
        <f t="shared" si="2"/>
        <v>0</v>
      </c>
      <c r="H19" s="57">
        <f t="shared" si="2"/>
        <v>0</v>
      </c>
      <c r="I19" s="57">
        <f t="shared" si="2"/>
        <v>0</v>
      </c>
      <c r="J19" s="57">
        <f t="shared" si="2"/>
        <v>0</v>
      </c>
      <c r="K19" s="57">
        <f t="shared" si="2"/>
        <v>0</v>
      </c>
      <c r="L19" s="8">
        <f t="shared" si="2"/>
        <v>9016000</v>
      </c>
      <c r="M19" s="57">
        <f t="shared" si="2"/>
        <v>0</v>
      </c>
      <c r="N19" s="57">
        <f t="shared" si="2"/>
        <v>0</v>
      </c>
      <c r="O19" s="57">
        <f t="shared" si="2"/>
        <v>0</v>
      </c>
      <c r="P19" s="57">
        <f t="shared" si="2"/>
        <v>0</v>
      </c>
      <c r="Q19" s="57">
        <f t="shared" si="2"/>
        <v>0</v>
      </c>
      <c r="R19" s="8">
        <f t="shared" si="2"/>
        <v>9016000</v>
      </c>
      <c r="S19" s="57">
        <f t="shared" si="2"/>
        <v>0</v>
      </c>
      <c r="T19" s="57">
        <f t="shared" si="2"/>
        <v>0</v>
      </c>
      <c r="U19" s="57">
        <f t="shared" si="2"/>
        <v>0</v>
      </c>
      <c r="V19" s="8">
        <f t="shared" si="4"/>
        <v>9016000</v>
      </c>
      <c r="W19" s="62">
        <f t="shared" si="2"/>
        <v>9010000</v>
      </c>
    </row>
    <row r="20" spans="2:25" s="4" customFormat="1" ht="39.950000000000003" customHeight="1" outlineLevel="1" x14ac:dyDescent="0.3">
      <c r="B20" s="53"/>
      <c r="D20" s="128" t="s">
        <v>37</v>
      </c>
      <c r="E20" s="129"/>
      <c r="F20" s="129"/>
      <c r="G20" s="78">
        <f>SUM(G13:G19)</f>
        <v>9729.5</v>
      </c>
      <c r="H20" s="12">
        <f t="shared" ref="H20:W20" si="6">SUM(H13:H19)</f>
        <v>0</v>
      </c>
      <c r="I20" s="33">
        <f t="shared" si="6"/>
        <v>20839.6875</v>
      </c>
      <c r="J20" s="33">
        <f t="shared" si="6"/>
        <v>20839.6875</v>
      </c>
      <c r="K20" s="12">
        <f t="shared" si="6"/>
        <v>0</v>
      </c>
      <c r="L20" s="12">
        <f t="shared" si="6"/>
        <v>4718131000</v>
      </c>
      <c r="M20" s="12">
        <f t="shared" si="6"/>
        <v>0</v>
      </c>
      <c r="N20" s="12">
        <f t="shared" si="6"/>
        <v>288594282.04301077</v>
      </c>
      <c r="O20" s="12">
        <f t="shared" si="6"/>
        <v>286532363</v>
      </c>
      <c r="P20" s="12">
        <f t="shared" si="6"/>
        <v>3950046880</v>
      </c>
      <c r="Q20" s="12">
        <f t="shared" si="6"/>
        <v>4525173525.0430107</v>
      </c>
      <c r="R20" s="12">
        <f t="shared" si="6"/>
        <v>192957474.95698932</v>
      </c>
      <c r="S20" s="12">
        <f>SUM(S13:S19)</f>
        <v>-30000000</v>
      </c>
      <c r="T20" s="12">
        <f>SUM(T13:T19)</f>
        <v>0</v>
      </c>
      <c r="U20" s="12">
        <f t="shared" si="6"/>
        <v>0</v>
      </c>
      <c r="V20" s="12">
        <f t="shared" si="6"/>
        <v>162957474.95698932</v>
      </c>
      <c r="W20" s="63">
        <f t="shared" si="6"/>
        <v>341810000</v>
      </c>
    </row>
    <row r="21" spans="2:25" ht="39.950000000000003" customHeight="1" outlineLevel="1" x14ac:dyDescent="0.3">
      <c r="B21" s="49" t="str">
        <f t="shared" ref="B21:B25" si="7">TRIM(E21)&amp;TRIM(F21)</f>
        <v>제작대성이엔지_SHOP</v>
      </c>
      <c r="D21" s="61" t="s">
        <v>53</v>
      </c>
      <c r="E21" s="1" t="s">
        <v>38</v>
      </c>
      <c r="F21" s="1" t="s">
        <v>39</v>
      </c>
      <c r="G21" s="75">
        <f t="shared" si="2"/>
        <v>113137.25</v>
      </c>
      <c r="H21" s="8">
        <f t="shared" si="2"/>
        <v>0</v>
      </c>
      <c r="I21" s="8">
        <f t="shared" si="2"/>
        <v>0</v>
      </c>
      <c r="J21" s="8">
        <f t="shared" si="2"/>
        <v>0</v>
      </c>
      <c r="K21" s="8">
        <f t="shared" si="2"/>
        <v>220731469</v>
      </c>
      <c r="L21" s="8">
        <f t="shared" si="2"/>
        <v>2431148794</v>
      </c>
      <c r="M21" s="8">
        <f t="shared" si="2"/>
        <v>0</v>
      </c>
      <c r="N21" s="8">
        <f t="shared" si="2"/>
        <v>0</v>
      </c>
      <c r="O21" s="8">
        <f t="shared" si="2"/>
        <v>0</v>
      </c>
      <c r="P21" s="8">
        <f t="shared" si="2"/>
        <v>0</v>
      </c>
      <c r="Q21" s="8">
        <f t="shared" si="2"/>
        <v>0</v>
      </c>
      <c r="R21" s="8">
        <f t="shared" si="2"/>
        <v>2431148794</v>
      </c>
      <c r="S21" s="8">
        <f t="shared" si="2"/>
        <v>0</v>
      </c>
      <c r="T21" s="8">
        <f t="shared" si="2"/>
        <v>0</v>
      </c>
      <c r="U21" s="8">
        <f t="shared" si="2"/>
        <v>0</v>
      </c>
      <c r="V21" s="8">
        <f t="shared" si="2"/>
        <v>2431148794</v>
      </c>
      <c r="W21" s="62">
        <f t="shared" si="2"/>
        <v>2431000000</v>
      </c>
    </row>
    <row r="22" spans="2:25" ht="39.950000000000003" customHeight="1" outlineLevel="1" x14ac:dyDescent="0.3">
      <c r="B22" s="49" t="str">
        <f t="shared" ref="B22" si="8">TRIM(E22)&amp;TRIM(F22)</f>
        <v>제작대성이엔지_모듈SHOP</v>
      </c>
      <c r="D22" s="61" t="s">
        <v>53</v>
      </c>
      <c r="E22" s="1" t="s">
        <v>38</v>
      </c>
      <c r="F22" s="45" t="s">
        <v>81</v>
      </c>
      <c r="G22" s="8">
        <f t="shared" si="2"/>
        <v>0</v>
      </c>
      <c r="H22" s="8">
        <f t="shared" si="2"/>
        <v>0</v>
      </c>
      <c r="I22" s="8">
        <f t="shared" si="2"/>
        <v>0</v>
      </c>
      <c r="J22" s="28">
        <f t="shared" si="2"/>
        <v>180.5</v>
      </c>
      <c r="K22" s="8">
        <f t="shared" si="2"/>
        <v>0</v>
      </c>
      <c r="L22" s="8">
        <f t="shared" si="2"/>
        <v>41515000</v>
      </c>
      <c r="M22" s="8">
        <f t="shared" si="2"/>
        <v>0</v>
      </c>
      <c r="N22" s="8">
        <f t="shared" si="2"/>
        <v>0</v>
      </c>
      <c r="O22" s="8">
        <f t="shared" si="2"/>
        <v>0</v>
      </c>
      <c r="P22" s="8">
        <f t="shared" si="2"/>
        <v>0</v>
      </c>
      <c r="Q22" s="8">
        <f t="shared" si="2"/>
        <v>0</v>
      </c>
      <c r="R22" s="8">
        <f t="shared" si="2"/>
        <v>41515000</v>
      </c>
      <c r="S22" s="8">
        <f t="shared" si="2"/>
        <v>0</v>
      </c>
      <c r="T22" s="8">
        <f t="shared" si="2"/>
        <v>0</v>
      </c>
      <c r="U22" s="8">
        <f t="shared" si="2"/>
        <v>0</v>
      </c>
      <c r="V22" s="8">
        <f t="shared" si="2"/>
        <v>41515000</v>
      </c>
      <c r="W22" s="62">
        <f t="shared" si="2"/>
        <v>41400000</v>
      </c>
    </row>
    <row r="23" spans="2:25" ht="39.950000000000003" customHeight="1" outlineLevel="1" x14ac:dyDescent="0.3">
      <c r="B23" s="49" t="str">
        <f t="shared" si="7"/>
        <v>제작태성하이텍_SHOP</v>
      </c>
      <c r="D23" s="61" t="s">
        <v>53</v>
      </c>
      <c r="E23" s="1" t="s">
        <v>38</v>
      </c>
      <c r="F23" s="1" t="s">
        <v>64</v>
      </c>
      <c r="G23" s="8">
        <f t="shared" si="2"/>
        <v>0</v>
      </c>
      <c r="H23" s="8">
        <f t="shared" si="2"/>
        <v>0</v>
      </c>
      <c r="I23" s="8">
        <f t="shared" si="2"/>
        <v>0</v>
      </c>
      <c r="J23" s="8">
        <f t="shared" si="2"/>
        <v>0</v>
      </c>
      <c r="K23" s="8">
        <f t="shared" si="2"/>
        <v>0</v>
      </c>
      <c r="L23" s="8">
        <f t="shared" si="2"/>
        <v>55700000</v>
      </c>
      <c r="M23" s="8">
        <f t="shared" si="2"/>
        <v>0</v>
      </c>
      <c r="N23" s="8">
        <f t="shared" si="2"/>
        <v>0</v>
      </c>
      <c r="O23" s="8">
        <f t="shared" si="2"/>
        <v>0</v>
      </c>
      <c r="P23" s="8">
        <f t="shared" si="2"/>
        <v>0</v>
      </c>
      <c r="Q23" s="8">
        <f t="shared" si="2"/>
        <v>0</v>
      </c>
      <c r="R23" s="8">
        <f t="shared" si="2"/>
        <v>55700000</v>
      </c>
      <c r="S23" s="8">
        <f t="shared" si="2"/>
        <v>0</v>
      </c>
      <c r="T23" s="8">
        <f t="shared" si="2"/>
        <v>0</v>
      </c>
      <c r="U23" s="8">
        <f t="shared" si="2"/>
        <v>0</v>
      </c>
      <c r="V23" s="8">
        <f t="shared" si="2"/>
        <v>55700000</v>
      </c>
      <c r="W23" s="62">
        <f t="shared" si="2"/>
        <v>55600000</v>
      </c>
    </row>
    <row r="24" spans="2:25" ht="39.950000000000003" customHeight="1" outlineLevel="1" x14ac:dyDescent="0.3">
      <c r="B24" s="49" t="str">
        <f t="shared" si="7"/>
        <v>제작다온이엔지</v>
      </c>
      <c r="D24" s="61" t="s">
        <v>53</v>
      </c>
      <c r="E24" s="1" t="s">
        <v>38</v>
      </c>
      <c r="F24" s="74" t="s">
        <v>120</v>
      </c>
      <c r="G24" s="8">
        <f t="shared" si="2"/>
        <v>0</v>
      </c>
      <c r="H24" s="8">
        <f t="shared" si="2"/>
        <v>0</v>
      </c>
      <c r="I24" s="8">
        <f t="shared" si="2"/>
        <v>0</v>
      </c>
      <c r="J24" s="8">
        <f t="shared" si="2"/>
        <v>0</v>
      </c>
      <c r="K24" s="8">
        <f t="shared" si="2"/>
        <v>0</v>
      </c>
      <c r="L24" s="8">
        <f t="shared" si="2"/>
        <v>29830000</v>
      </c>
      <c r="M24" s="8">
        <f t="shared" si="2"/>
        <v>0</v>
      </c>
      <c r="N24" s="8">
        <f t="shared" si="2"/>
        <v>0</v>
      </c>
      <c r="O24" s="8">
        <f t="shared" si="2"/>
        <v>0</v>
      </c>
      <c r="P24" s="8">
        <f t="shared" si="2"/>
        <v>0</v>
      </c>
      <c r="Q24" s="8">
        <f t="shared" si="2"/>
        <v>0</v>
      </c>
      <c r="R24" s="8">
        <f t="shared" si="2"/>
        <v>29830000</v>
      </c>
      <c r="S24" s="8">
        <f t="shared" si="2"/>
        <v>0</v>
      </c>
      <c r="T24" s="8">
        <f t="shared" si="2"/>
        <v>0</v>
      </c>
      <c r="U24" s="8">
        <f t="shared" si="2"/>
        <v>0</v>
      </c>
      <c r="V24" s="8">
        <f t="shared" si="2"/>
        <v>29830000</v>
      </c>
      <c r="W24" s="62">
        <f t="shared" si="2"/>
        <v>29830000</v>
      </c>
    </row>
    <row r="25" spans="2:25" ht="39.950000000000003" customHeight="1" outlineLevel="1" x14ac:dyDescent="0.3">
      <c r="B25" s="49" t="str">
        <f t="shared" si="7"/>
        <v>제작HL톄크</v>
      </c>
      <c r="D25" s="61" t="s">
        <v>53</v>
      </c>
      <c r="E25" s="1" t="s">
        <v>38</v>
      </c>
      <c r="F25" s="74" t="s">
        <v>125</v>
      </c>
      <c r="G25" s="8">
        <f t="shared" si="2"/>
        <v>0</v>
      </c>
      <c r="H25" s="8">
        <f t="shared" si="2"/>
        <v>0</v>
      </c>
      <c r="I25" s="8">
        <f t="shared" si="2"/>
        <v>0</v>
      </c>
      <c r="J25" s="8">
        <f t="shared" si="2"/>
        <v>0</v>
      </c>
      <c r="K25" s="8">
        <f t="shared" si="2"/>
        <v>0</v>
      </c>
      <c r="L25" s="8">
        <f t="shared" si="2"/>
        <v>9160000</v>
      </c>
      <c r="M25" s="8">
        <f t="shared" si="2"/>
        <v>0</v>
      </c>
      <c r="N25" s="8">
        <f t="shared" si="2"/>
        <v>0</v>
      </c>
      <c r="O25" s="8">
        <f t="shared" si="2"/>
        <v>0</v>
      </c>
      <c r="P25" s="8">
        <f t="shared" si="2"/>
        <v>0</v>
      </c>
      <c r="Q25" s="8">
        <f t="shared" si="2"/>
        <v>0</v>
      </c>
      <c r="R25" s="8">
        <f t="shared" si="2"/>
        <v>9160000</v>
      </c>
      <c r="S25" s="8">
        <f t="shared" si="2"/>
        <v>0</v>
      </c>
      <c r="T25" s="8">
        <f t="shared" si="2"/>
        <v>0</v>
      </c>
      <c r="U25" s="8">
        <f t="shared" si="2"/>
        <v>0</v>
      </c>
      <c r="V25" s="8">
        <f t="shared" si="2"/>
        <v>9160000</v>
      </c>
      <c r="W25" s="62">
        <f t="shared" si="2"/>
        <v>9160000</v>
      </c>
    </row>
    <row r="26" spans="2:25" s="4" customFormat="1" ht="39.950000000000003" customHeight="1" outlineLevel="1" thickBot="1" x14ac:dyDescent="0.35">
      <c r="B26" s="53"/>
      <c r="D26" s="103" t="s">
        <v>40</v>
      </c>
      <c r="E26" s="104"/>
      <c r="F26" s="104"/>
      <c r="G26" s="64">
        <f>SUM(G21:G25)</f>
        <v>113137.25</v>
      </c>
      <c r="H26" s="64">
        <f t="shared" ref="H26:W26" si="9">SUM(H21:H25)</f>
        <v>0</v>
      </c>
      <c r="I26" s="64">
        <f t="shared" si="9"/>
        <v>0</v>
      </c>
      <c r="J26" s="64">
        <f t="shared" si="9"/>
        <v>180.5</v>
      </c>
      <c r="K26" s="64">
        <f t="shared" si="9"/>
        <v>220731469</v>
      </c>
      <c r="L26" s="64">
        <f t="shared" si="9"/>
        <v>2567353794</v>
      </c>
      <c r="M26" s="64">
        <f t="shared" si="9"/>
        <v>0</v>
      </c>
      <c r="N26" s="64">
        <f t="shared" si="9"/>
        <v>0</v>
      </c>
      <c r="O26" s="64">
        <f t="shared" si="9"/>
        <v>0</v>
      </c>
      <c r="P26" s="64">
        <f t="shared" si="9"/>
        <v>0</v>
      </c>
      <c r="Q26" s="64">
        <f t="shared" si="9"/>
        <v>0</v>
      </c>
      <c r="R26" s="64">
        <f t="shared" si="9"/>
        <v>2567353794</v>
      </c>
      <c r="S26" s="64">
        <f t="shared" si="9"/>
        <v>0</v>
      </c>
      <c r="T26" s="64">
        <f t="shared" si="9"/>
        <v>0</v>
      </c>
      <c r="U26" s="64">
        <f t="shared" si="9"/>
        <v>0</v>
      </c>
      <c r="V26" s="64">
        <f t="shared" si="9"/>
        <v>2567353794</v>
      </c>
      <c r="W26" s="65">
        <f t="shared" si="9"/>
        <v>2566990000</v>
      </c>
      <c r="Y26" s="36">
        <f>+W20+W26</f>
        <v>2908800000</v>
      </c>
    </row>
    <row r="27" spans="2:25" ht="39.950000000000003" customHeight="1" x14ac:dyDescent="0.3"/>
    <row r="28" spans="2:25" ht="39.950000000000003" customHeight="1" thickBot="1" x14ac:dyDescent="0.35">
      <c r="S28" s="46"/>
    </row>
    <row r="29" spans="2:25" ht="39.950000000000003" customHeight="1" x14ac:dyDescent="0.3">
      <c r="B29" s="52"/>
      <c r="D29" s="120" t="s">
        <v>124</v>
      </c>
      <c r="E29" s="92"/>
      <c r="F29" s="92"/>
      <c r="G29" s="122" t="s">
        <v>41</v>
      </c>
      <c r="H29" s="122"/>
      <c r="I29" s="122"/>
      <c r="J29" s="122"/>
      <c r="K29" s="122"/>
      <c r="L29" s="92" t="s">
        <v>42</v>
      </c>
      <c r="M29" s="123" t="s">
        <v>0</v>
      </c>
      <c r="N29" s="123"/>
      <c r="O29" s="123"/>
      <c r="P29" s="92" t="s">
        <v>33</v>
      </c>
      <c r="Q29" s="92" t="s">
        <v>85</v>
      </c>
      <c r="R29" s="92" t="s">
        <v>103</v>
      </c>
      <c r="S29" s="92" t="s">
        <v>83</v>
      </c>
      <c r="T29" s="92" t="s">
        <v>104</v>
      </c>
      <c r="U29" s="92" t="s">
        <v>117</v>
      </c>
      <c r="V29" s="92" t="s">
        <v>102</v>
      </c>
      <c r="W29" s="97" t="s">
        <v>49</v>
      </c>
    </row>
    <row r="30" spans="2:25" ht="39.950000000000003" customHeight="1" x14ac:dyDescent="0.3">
      <c r="B30" s="52"/>
      <c r="D30" s="121"/>
      <c r="E30" s="91"/>
      <c r="F30" s="91"/>
      <c r="G30" s="80" t="s">
        <v>7</v>
      </c>
      <c r="H30" s="80" t="s">
        <v>8</v>
      </c>
      <c r="I30" s="80" t="s">
        <v>9</v>
      </c>
      <c r="J30" s="89" t="s">
        <v>10</v>
      </c>
      <c r="K30" s="80" t="s">
        <v>14</v>
      </c>
      <c r="L30" s="91"/>
      <c r="M30" s="80" t="s">
        <v>43</v>
      </c>
      <c r="N30" s="80" t="s">
        <v>97</v>
      </c>
      <c r="O30" s="80" t="s">
        <v>98</v>
      </c>
      <c r="P30" s="91"/>
      <c r="Q30" s="91"/>
      <c r="R30" s="91"/>
      <c r="S30" s="91"/>
      <c r="T30" s="91"/>
      <c r="U30" s="91"/>
      <c r="V30" s="91"/>
      <c r="W30" s="98"/>
    </row>
    <row r="31" spans="2:25" ht="39.950000000000003" customHeight="1" x14ac:dyDescent="0.3">
      <c r="B31" s="52"/>
      <c r="D31" s="66" t="s">
        <v>4</v>
      </c>
      <c r="E31" s="80" t="s">
        <v>5</v>
      </c>
      <c r="F31" s="80" t="s">
        <v>6</v>
      </c>
      <c r="G31" s="80" t="s">
        <v>11</v>
      </c>
      <c r="H31" s="80" t="s">
        <v>12</v>
      </c>
      <c r="I31" s="80" t="s">
        <v>17</v>
      </c>
      <c r="J31" s="91"/>
      <c r="K31" s="80" t="s">
        <v>13</v>
      </c>
      <c r="L31" s="27" t="s">
        <v>82</v>
      </c>
      <c r="M31" s="80" t="s">
        <v>18</v>
      </c>
      <c r="N31" s="80" t="s">
        <v>19</v>
      </c>
      <c r="O31" s="80" t="s">
        <v>20</v>
      </c>
      <c r="P31" s="80" t="s">
        <v>21</v>
      </c>
      <c r="Q31" s="79" t="s">
        <v>93</v>
      </c>
      <c r="R31" s="80" t="s">
        <v>22</v>
      </c>
      <c r="S31" s="80" t="s">
        <v>86</v>
      </c>
      <c r="T31" s="44" t="s">
        <v>78</v>
      </c>
      <c r="U31" s="80" t="s">
        <v>89</v>
      </c>
      <c r="V31" s="70" t="s">
        <v>106</v>
      </c>
      <c r="W31" s="99"/>
    </row>
    <row r="32" spans="2:25" ht="39.950000000000003" customHeight="1" x14ac:dyDescent="0.3">
      <c r="B32" s="49" t="str">
        <f t="shared" ref="B32:B33" si="10">TRIM(E32)&amp;TRIM(F32)</f>
        <v>Field태성하이텍(FAB)</v>
      </c>
      <c r="D32" s="61" t="s">
        <v>53</v>
      </c>
      <c r="E32" s="1" t="s">
        <v>23</v>
      </c>
      <c r="F32" s="1" t="s">
        <v>75</v>
      </c>
      <c r="G32" s="75">
        <v>2858</v>
      </c>
      <c r="H32" s="8">
        <v>0</v>
      </c>
      <c r="I32" s="31">
        <v>5229.5625</v>
      </c>
      <c r="J32" s="31">
        <f>I32</f>
        <v>5229.5625</v>
      </c>
      <c r="K32" s="57">
        <v>0</v>
      </c>
      <c r="L32" s="8">
        <f>($G32*$F$6)+($H32*$G$6)+$K32</f>
        <v>1357550000</v>
      </c>
      <c r="M32" s="8"/>
      <c r="N32" s="8">
        <v>48995063.333333336</v>
      </c>
      <c r="O32" s="8">
        <v>67036909</v>
      </c>
      <c r="P32" s="8">
        <v>977926875</v>
      </c>
      <c r="Q32" s="8">
        <f>M32+N32+O32+P32</f>
        <v>1093958847.3333333</v>
      </c>
      <c r="R32" s="8">
        <f>L32-Q32</f>
        <v>263591152.66666675</v>
      </c>
      <c r="S32" s="8">
        <v>0</v>
      </c>
      <c r="T32" s="8">
        <v>0</v>
      </c>
      <c r="U32" s="8">
        <v>-201066420</v>
      </c>
      <c r="V32" s="8">
        <f>R32+S32-T32+U32</f>
        <v>62524732.666666746</v>
      </c>
      <c r="W32" s="62">
        <v>0</v>
      </c>
      <c r="Y32" s="40" t="s">
        <v>73</v>
      </c>
    </row>
    <row r="33" spans="2:25" ht="39.950000000000003" customHeight="1" x14ac:dyDescent="0.3">
      <c r="B33" s="49" t="str">
        <f t="shared" si="10"/>
        <v>Field태성하이텍(SUP)</v>
      </c>
      <c r="D33" s="61" t="s">
        <v>53</v>
      </c>
      <c r="E33" s="1" t="s">
        <v>23</v>
      </c>
      <c r="F33" s="1" t="s">
        <v>76</v>
      </c>
      <c r="G33" s="75">
        <v>1198</v>
      </c>
      <c r="H33" s="8">
        <v>0</v>
      </c>
      <c r="I33" s="31">
        <v>1704.5625</v>
      </c>
      <c r="J33" s="31">
        <f>I33</f>
        <v>1704.5625</v>
      </c>
      <c r="K33" s="57">
        <v>0</v>
      </c>
      <c r="L33" s="8">
        <f>($G33*$F$7)+($H33*$G$7)+$K33</f>
        <v>443260000</v>
      </c>
      <c r="M33" s="8"/>
      <c r="N33" s="8">
        <v>16406270</v>
      </c>
      <c r="O33" s="8">
        <v>27502637</v>
      </c>
      <c r="P33" s="8">
        <v>324325625</v>
      </c>
      <c r="Q33" s="8">
        <f t="shared" ref="Q33:Q34" si="11">M33+N33+O33+P33</f>
        <v>368234532</v>
      </c>
      <c r="R33" s="8">
        <f t="shared" ref="R33:R38" si="12">L33-Q33</f>
        <v>75025468</v>
      </c>
      <c r="S33" s="8">
        <v>0</v>
      </c>
      <c r="T33" s="8">
        <v>0</v>
      </c>
      <c r="U33" s="8">
        <v>-134233997.48387098</v>
      </c>
      <c r="V33" s="8">
        <f>R33+S33-T33+U33</f>
        <v>-59208529.483870983</v>
      </c>
      <c r="W33" s="62">
        <v>0</v>
      </c>
      <c r="Y33" s="40" t="s">
        <v>73</v>
      </c>
    </row>
    <row r="34" spans="2:25" ht="39.950000000000003" customHeight="1" x14ac:dyDescent="0.3">
      <c r="B34" s="49" t="str">
        <f>TRIM(E34)&amp;TRIM(F34)</f>
        <v>Field대성이엔지(FAB)</v>
      </c>
      <c r="D34" s="61" t="s">
        <v>53</v>
      </c>
      <c r="E34" s="1" t="s">
        <v>23</v>
      </c>
      <c r="F34" s="1" t="s">
        <v>77</v>
      </c>
      <c r="G34" s="75">
        <v>1826</v>
      </c>
      <c r="H34" s="8">
        <v>0</v>
      </c>
      <c r="I34" s="31">
        <v>3887.0625</v>
      </c>
      <c r="J34" s="31">
        <f>I34</f>
        <v>3887.0625</v>
      </c>
      <c r="K34" s="57">
        <v>0</v>
      </c>
      <c r="L34" s="8">
        <f>($G34*$F$8)+($H34*$G$8)+$K34</f>
        <v>867350000</v>
      </c>
      <c r="M34" s="8"/>
      <c r="N34" s="8">
        <v>51715850</v>
      </c>
      <c r="O34" s="8">
        <v>49514091</v>
      </c>
      <c r="P34" s="8">
        <v>743956250</v>
      </c>
      <c r="Q34" s="8">
        <f t="shared" si="11"/>
        <v>845186191</v>
      </c>
      <c r="R34" s="8">
        <f t="shared" si="12"/>
        <v>22163809</v>
      </c>
      <c r="S34" s="8">
        <v>0</v>
      </c>
      <c r="T34" s="8">
        <v>0</v>
      </c>
      <c r="U34" s="8">
        <v>-174338537</v>
      </c>
      <c r="V34" s="8">
        <f>R34+S34-T34+U34</f>
        <v>-152174728</v>
      </c>
      <c r="W34" s="62">
        <v>0</v>
      </c>
      <c r="Y34" s="40" t="s">
        <v>73</v>
      </c>
    </row>
    <row r="35" spans="2:25" ht="39.950000000000003" customHeight="1" x14ac:dyDescent="0.3">
      <c r="B35" s="49" t="str">
        <f t="shared" ref="B35:B38" si="13">TRIM(E35)&amp;TRIM(F35)</f>
        <v>설계제이온</v>
      </c>
      <c r="D35" s="61" t="s">
        <v>53</v>
      </c>
      <c r="E35" s="1" t="s">
        <v>107</v>
      </c>
      <c r="F35" s="1" t="s">
        <v>55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  <c r="L35" s="8">
        <v>63200000</v>
      </c>
      <c r="M35" s="57">
        <v>0</v>
      </c>
      <c r="N35" s="57">
        <v>0</v>
      </c>
      <c r="O35" s="57">
        <v>0</v>
      </c>
      <c r="P35" s="57">
        <v>0</v>
      </c>
      <c r="Q35" s="57">
        <v>0</v>
      </c>
      <c r="R35" s="8">
        <f t="shared" si="12"/>
        <v>63200000</v>
      </c>
      <c r="S35" s="57">
        <v>0</v>
      </c>
      <c r="T35" s="57">
        <v>0</v>
      </c>
      <c r="U35" s="57">
        <v>0</v>
      </c>
      <c r="V35" s="8">
        <f t="shared" ref="V35:V37" si="14">R35+S35-T35+U35</f>
        <v>63200000</v>
      </c>
      <c r="W35" s="62">
        <f>ROUNDDOWN(V35,-5)</f>
        <v>63200000</v>
      </c>
    </row>
    <row r="36" spans="2:25" ht="39.950000000000003" customHeight="1" x14ac:dyDescent="0.3">
      <c r="B36" s="49" t="str">
        <f t="shared" si="13"/>
        <v>셀계세연이엔지</v>
      </c>
      <c r="D36" s="61" t="s">
        <v>53</v>
      </c>
      <c r="E36" s="1" t="s">
        <v>108</v>
      </c>
      <c r="F36" s="1" t="s">
        <v>109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8">
        <v>25500000</v>
      </c>
      <c r="M36" s="57">
        <v>0</v>
      </c>
      <c r="N36" s="57">
        <v>0</v>
      </c>
      <c r="O36" s="57">
        <v>0</v>
      </c>
      <c r="P36" s="57">
        <v>0</v>
      </c>
      <c r="Q36" s="57">
        <v>0</v>
      </c>
      <c r="R36" s="8">
        <f t="shared" si="12"/>
        <v>25500000</v>
      </c>
      <c r="S36" s="57">
        <v>0</v>
      </c>
      <c r="T36" s="57">
        <v>0</v>
      </c>
      <c r="U36" s="57">
        <v>0</v>
      </c>
      <c r="V36" s="8">
        <f t="shared" si="14"/>
        <v>25500000</v>
      </c>
      <c r="W36" s="62">
        <f>ROUNDDOWN(V36,-5)</f>
        <v>25500000</v>
      </c>
    </row>
    <row r="37" spans="2:25" ht="39.950000000000003" customHeight="1" x14ac:dyDescent="0.3">
      <c r="B37" s="49" t="str">
        <f t="shared" si="13"/>
        <v>셀계승우엔지니어링</v>
      </c>
      <c r="D37" s="61" t="s">
        <v>53</v>
      </c>
      <c r="E37" s="1" t="s">
        <v>108</v>
      </c>
      <c r="F37" s="1" t="s">
        <v>119</v>
      </c>
      <c r="G37" s="57">
        <v>0</v>
      </c>
      <c r="H37" s="57">
        <v>0</v>
      </c>
      <c r="I37" s="57">
        <v>0</v>
      </c>
      <c r="J37" s="57">
        <v>0</v>
      </c>
      <c r="K37" s="57">
        <v>0</v>
      </c>
      <c r="L37" s="8">
        <v>0</v>
      </c>
      <c r="M37" s="57">
        <v>0</v>
      </c>
      <c r="N37" s="57">
        <v>0</v>
      </c>
      <c r="O37" s="57">
        <v>0</v>
      </c>
      <c r="P37" s="57">
        <v>0</v>
      </c>
      <c r="Q37" s="57">
        <v>0</v>
      </c>
      <c r="R37" s="8">
        <f t="shared" si="12"/>
        <v>0</v>
      </c>
      <c r="S37" s="57">
        <v>0</v>
      </c>
      <c r="T37" s="57">
        <v>0</v>
      </c>
      <c r="U37" s="57">
        <v>0</v>
      </c>
      <c r="V37" s="8">
        <f t="shared" si="14"/>
        <v>0</v>
      </c>
      <c r="W37" s="62">
        <f>ROUNDDOWN(V37,-5)</f>
        <v>0</v>
      </c>
    </row>
    <row r="38" spans="2:25" ht="39.950000000000003" customHeight="1" x14ac:dyDescent="0.3">
      <c r="B38" s="49" t="str">
        <f t="shared" si="13"/>
        <v>품질베스트 
토탈솔루션</v>
      </c>
      <c r="D38" s="61" t="s">
        <v>53</v>
      </c>
      <c r="E38" s="1" t="s">
        <v>110</v>
      </c>
      <c r="F38" s="54" t="s">
        <v>111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8">
        <v>4600000</v>
      </c>
      <c r="M38" s="57">
        <v>0</v>
      </c>
      <c r="N38" s="57">
        <v>0</v>
      </c>
      <c r="O38" s="57">
        <v>0</v>
      </c>
      <c r="P38" s="57">
        <v>0</v>
      </c>
      <c r="Q38" s="57">
        <v>0</v>
      </c>
      <c r="R38" s="8">
        <f t="shared" si="12"/>
        <v>4600000</v>
      </c>
      <c r="S38" s="57">
        <v>0</v>
      </c>
      <c r="T38" s="57">
        <v>0</v>
      </c>
      <c r="U38" s="57">
        <v>0</v>
      </c>
      <c r="V38" s="8">
        <f>R38+S38-T38+U38</f>
        <v>4600000</v>
      </c>
      <c r="W38" s="62">
        <f>ROUNDDOWN(V38,-4)</f>
        <v>4600000</v>
      </c>
    </row>
    <row r="39" spans="2:25" ht="39.950000000000003" customHeight="1" x14ac:dyDescent="0.3">
      <c r="B39" s="53"/>
      <c r="D39" s="140" t="s">
        <v>37</v>
      </c>
      <c r="E39" s="141"/>
      <c r="F39" s="141"/>
      <c r="G39" s="76">
        <f>SUM(G32:G38)</f>
        <v>5882</v>
      </c>
      <c r="H39" s="9">
        <f t="shared" ref="H39:R39" si="15">SUM(H32:H38)</f>
        <v>0</v>
      </c>
      <c r="I39" s="9">
        <f t="shared" si="15"/>
        <v>10821.1875</v>
      </c>
      <c r="J39" s="9">
        <f t="shared" si="15"/>
        <v>10821.1875</v>
      </c>
      <c r="K39" s="9">
        <f t="shared" si="15"/>
        <v>0</v>
      </c>
      <c r="L39" s="9">
        <f t="shared" si="15"/>
        <v>2761460000</v>
      </c>
      <c r="M39" s="9">
        <f t="shared" si="15"/>
        <v>0</v>
      </c>
      <c r="N39" s="9">
        <f t="shared" si="15"/>
        <v>117117183.33333334</v>
      </c>
      <c r="O39" s="9">
        <f t="shared" si="15"/>
        <v>144053637</v>
      </c>
      <c r="P39" s="9">
        <f t="shared" si="15"/>
        <v>2046208750</v>
      </c>
      <c r="Q39" s="9">
        <f t="shared" si="15"/>
        <v>2307379570.333333</v>
      </c>
      <c r="R39" s="9">
        <f t="shared" si="15"/>
        <v>454080429.66666675</v>
      </c>
      <c r="S39" s="9">
        <f>SUM(S32:S38)</f>
        <v>0</v>
      </c>
      <c r="T39" s="9">
        <f>SUM(T32:T38)</f>
        <v>0</v>
      </c>
      <c r="U39" s="9">
        <f>SUM(U32:U38)</f>
        <v>-509638954.48387098</v>
      </c>
      <c r="V39" s="9">
        <f t="shared" ref="V39:W39" si="16">SUM(V32:V38)</f>
        <v>-55558524.817204237</v>
      </c>
      <c r="W39" s="67">
        <f t="shared" si="16"/>
        <v>93300000</v>
      </c>
    </row>
    <row r="40" spans="2:25" ht="39.950000000000003" customHeight="1" x14ac:dyDescent="0.3">
      <c r="B40" s="49" t="str">
        <f t="shared" ref="B40:B44" si="17">TRIM(E40)&amp;TRIM(F40)</f>
        <v>제작대성이엔지_SHOP</v>
      </c>
      <c r="D40" s="61" t="s">
        <v>53</v>
      </c>
      <c r="E40" s="1" t="s">
        <v>38</v>
      </c>
      <c r="F40" s="1" t="s">
        <v>39</v>
      </c>
      <c r="G40" s="77">
        <v>46897.625</v>
      </c>
      <c r="H40" s="57">
        <v>0</v>
      </c>
      <c r="I40" s="57">
        <v>0</v>
      </c>
      <c r="J40" s="8">
        <v>0</v>
      </c>
      <c r="K40" s="57">
        <f>22754169+45435000</f>
        <v>68189169</v>
      </c>
      <c r="L40" s="8">
        <f>903750375+K40</f>
        <v>971939544</v>
      </c>
      <c r="M40" s="57">
        <v>0</v>
      </c>
      <c r="N40" s="57">
        <v>0</v>
      </c>
      <c r="O40" s="57">
        <v>0</v>
      </c>
      <c r="P40" s="57">
        <v>0</v>
      </c>
      <c r="Q40" s="8">
        <f>M40+N40+O40+P40</f>
        <v>0</v>
      </c>
      <c r="R40" s="8">
        <f>L40-Q40</f>
        <v>971939544</v>
      </c>
      <c r="S40" s="57">
        <v>0</v>
      </c>
      <c r="T40" s="57">
        <v>0</v>
      </c>
      <c r="U40" s="57">
        <v>0</v>
      </c>
      <c r="V40" s="8">
        <f t="shared" ref="V40:V41" si="18">R40-S40</f>
        <v>971939544</v>
      </c>
      <c r="W40" s="62">
        <f>ROUNDDOWN(V40,-5)</f>
        <v>971900000</v>
      </c>
    </row>
    <row r="41" spans="2:25" ht="39.950000000000003" customHeight="1" x14ac:dyDescent="0.3">
      <c r="B41" s="49" t="str">
        <f t="shared" si="17"/>
        <v>제작대성이엔지_모듈SHOP</v>
      </c>
      <c r="D41" s="61" t="s">
        <v>53</v>
      </c>
      <c r="E41" s="1" t="s">
        <v>38</v>
      </c>
      <c r="F41" s="45" t="s">
        <v>81</v>
      </c>
      <c r="G41" s="57">
        <v>0</v>
      </c>
      <c r="H41" s="57">
        <v>0</v>
      </c>
      <c r="I41" s="57">
        <v>0</v>
      </c>
      <c r="J41" s="28">
        <v>0</v>
      </c>
      <c r="K41" s="57">
        <v>0</v>
      </c>
      <c r="L41" s="8">
        <v>0</v>
      </c>
      <c r="M41" s="57">
        <v>0</v>
      </c>
      <c r="N41" s="57">
        <v>0</v>
      </c>
      <c r="O41" s="57">
        <v>0</v>
      </c>
      <c r="P41" s="57">
        <v>0</v>
      </c>
      <c r="Q41" s="57">
        <v>0</v>
      </c>
      <c r="R41" s="8">
        <f>L41-Q41</f>
        <v>0</v>
      </c>
      <c r="S41" s="57">
        <v>0</v>
      </c>
      <c r="T41" s="57">
        <v>0</v>
      </c>
      <c r="U41" s="57">
        <v>0</v>
      </c>
      <c r="V41" s="8">
        <f t="shared" si="18"/>
        <v>0</v>
      </c>
      <c r="W41" s="62">
        <f>ROUNDDOWN(V41,-5)</f>
        <v>0</v>
      </c>
    </row>
    <row r="42" spans="2:25" ht="39.950000000000003" customHeight="1" x14ac:dyDescent="0.3">
      <c r="B42" s="49" t="str">
        <f t="shared" si="17"/>
        <v>제작태성하이텍_SHOP</v>
      </c>
      <c r="D42" s="61" t="s">
        <v>53</v>
      </c>
      <c r="E42" s="1" t="s">
        <v>38</v>
      </c>
      <c r="F42" s="1" t="s">
        <v>64</v>
      </c>
      <c r="G42" s="57">
        <v>0</v>
      </c>
      <c r="H42" s="57">
        <v>0</v>
      </c>
      <c r="I42" s="57">
        <v>0</v>
      </c>
      <c r="J42" s="57">
        <v>0</v>
      </c>
      <c r="K42" s="57">
        <v>0</v>
      </c>
      <c r="L42" s="57">
        <v>0</v>
      </c>
      <c r="M42" s="57">
        <v>0</v>
      </c>
      <c r="N42" s="57">
        <v>0</v>
      </c>
      <c r="O42" s="57">
        <v>0</v>
      </c>
      <c r="P42" s="57">
        <v>0</v>
      </c>
      <c r="Q42" s="57">
        <v>0</v>
      </c>
      <c r="R42" s="8">
        <f>L42-Q42</f>
        <v>0</v>
      </c>
      <c r="S42" s="8"/>
      <c r="T42" s="8"/>
      <c r="U42" s="8"/>
      <c r="V42" s="8">
        <f>R42-S42</f>
        <v>0</v>
      </c>
      <c r="W42" s="62">
        <f>ROUNDDOWN(V42,-5)</f>
        <v>0</v>
      </c>
    </row>
    <row r="43" spans="2:25" ht="39.950000000000003" customHeight="1" x14ac:dyDescent="0.3">
      <c r="B43" s="49" t="str">
        <f t="shared" si="17"/>
        <v>제작다온이엔지</v>
      </c>
      <c r="D43" s="61" t="s">
        <v>53</v>
      </c>
      <c r="E43" s="1" t="s">
        <v>38</v>
      </c>
      <c r="F43" s="74" t="s">
        <v>120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7">
        <v>25690000</v>
      </c>
      <c r="M43" s="57">
        <v>0</v>
      </c>
      <c r="N43" s="57">
        <v>0</v>
      </c>
      <c r="O43" s="57">
        <v>0</v>
      </c>
      <c r="P43" s="57">
        <v>0</v>
      </c>
      <c r="Q43" s="57">
        <v>0</v>
      </c>
      <c r="R43" s="8">
        <f>L43-Q43</f>
        <v>25690000</v>
      </c>
      <c r="S43" s="57">
        <v>0</v>
      </c>
      <c r="T43" s="57">
        <v>0</v>
      </c>
      <c r="U43" s="57">
        <v>0</v>
      </c>
      <c r="V43" s="8">
        <f>R43-S43</f>
        <v>25690000</v>
      </c>
      <c r="W43" s="62">
        <f>ROUNDDOWN(V43,-4)</f>
        <v>25690000</v>
      </c>
    </row>
    <row r="44" spans="2:25" ht="39.950000000000003" customHeight="1" x14ac:dyDescent="0.3">
      <c r="B44" s="49" t="str">
        <f t="shared" si="17"/>
        <v>제작HL톄크</v>
      </c>
      <c r="D44" s="61" t="s">
        <v>53</v>
      </c>
      <c r="E44" s="1" t="s">
        <v>38</v>
      </c>
      <c r="F44" s="74" t="s">
        <v>125</v>
      </c>
      <c r="G44" s="57">
        <v>0</v>
      </c>
      <c r="H44" s="57">
        <v>0</v>
      </c>
      <c r="I44" s="57">
        <v>0</v>
      </c>
      <c r="J44" s="57">
        <v>0</v>
      </c>
      <c r="K44" s="57">
        <v>0</v>
      </c>
      <c r="L44" s="81">
        <v>9160000</v>
      </c>
      <c r="M44" s="57">
        <v>0</v>
      </c>
      <c r="N44" s="57">
        <v>0</v>
      </c>
      <c r="O44" s="57">
        <v>0</v>
      </c>
      <c r="P44" s="57">
        <v>0</v>
      </c>
      <c r="Q44" s="57">
        <v>0</v>
      </c>
      <c r="R44" s="8">
        <f>L44-Q44</f>
        <v>9160000</v>
      </c>
      <c r="S44" s="57">
        <v>0</v>
      </c>
      <c r="T44" s="57">
        <v>0</v>
      </c>
      <c r="U44" s="57">
        <v>0</v>
      </c>
      <c r="V44" s="8">
        <f>R44-S44</f>
        <v>9160000</v>
      </c>
      <c r="W44" s="62">
        <f>ROUNDDOWN(V44,-4)</f>
        <v>9160000</v>
      </c>
    </row>
    <row r="45" spans="2:25" ht="39.950000000000003" customHeight="1" thickBot="1" x14ac:dyDescent="0.35">
      <c r="D45" s="142" t="s">
        <v>40</v>
      </c>
      <c r="E45" s="143"/>
      <c r="F45" s="143"/>
      <c r="G45" s="68">
        <f>SUM(G40:G43)</f>
        <v>46897.625</v>
      </c>
      <c r="H45" s="68">
        <f t="shared" ref="H45:W45" si="19">SUM(H40:H43)</f>
        <v>0</v>
      </c>
      <c r="I45" s="68">
        <f t="shared" si="19"/>
        <v>0</v>
      </c>
      <c r="J45" s="68">
        <f t="shared" si="19"/>
        <v>0</v>
      </c>
      <c r="K45" s="68">
        <f t="shared" si="19"/>
        <v>68189169</v>
      </c>
      <c r="L45" s="68">
        <f>SUM(L40:L44)</f>
        <v>1006789544</v>
      </c>
      <c r="M45" s="68">
        <f t="shared" si="19"/>
        <v>0</v>
      </c>
      <c r="N45" s="68">
        <f t="shared" si="19"/>
        <v>0</v>
      </c>
      <c r="O45" s="68">
        <f t="shared" si="19"/>
        <v>0</v>
      </c>
      <c r="P45" s="68">
        <f t="shared" si="19"/>
        <v>0</v>
      </c>
      <c r="Q45" s="68">
        <f t="shared" si="19"/>
        <v>0</v>
      </c>
      <c r="R45" s="68">
        <f t="shared" si="19"/>
        <v>997629544</v>
      </c>
      <c r="S45" s="68">
        <f t="shared" si="19"/>
        <v>0</v>
      </c>
      <c r="T45" s="68">
        <f t="shared" si="19"/>
        <v>0</v>
      </c>
      <c r="U45" s="68">
        <f t="shared" si="19"/>
        <v>0</v>
      </c>
      <c r="V45" s="68">
        <f t="shared" si="19"/>
        <v>997629544</v>
      </c>
      <c r="W45" s="69">
        <f t="shared" si="19"/>
        <v>997590000</v>
      </c>
    </row>
    <row r="46" spans="2:25" ht="39.950000000000003" customHeight="1" x14ac:dyDescent="0.3">
      <c r="D46" s="83"/>
      <c r="E46" s="84"/>
      <c r="F46" s="84"/>
      <c r="G46" s="84"/>
      <c r="H46" s="84"/>
      <c r="I46" s="84"/>
      <c r="J46" s="84"/>
      <c r="K46" s="84"/>
      <c r="L46" s="84"/>
      <c r="S46" s="46"/>
    </row>
    <row r="47" spans="2:25" ht="39.950000000000003" customHeight="1" thickBot="1" x14ac:dyDescent="0.35">
      <c r="D47" s="85"/>
      <c r="E47" s="85"/>
      <c r="F47" s="85"/>
      <c r="G47" s="85"/>
      <c r="H47" s="85"/>
      <c r="I47" s="85"/>
      <c r="J47" s="85"/>
      <c r="K47" s="85"/>
      <c r="L47" s="85"/>
      <c r="S47" s="46"/>
    </row>
    <row r="48" spans="2:25" ht="39.950000000000003" customHeight="1" x14ac:dyDescent="0.3">
      <c r="B48" s="52"/>
      <c r="D48" s="120" t="s">
        <v>118</v>
      </c>
      <c r="E48" s="92"/>
      <c r="F48" s="92"/>
      <c r="G48" s="122" t="s">
        <v>41</v>
      </c>
      <c r="H48" s="122"/>
      <c r="I48" s="122"/>
      <c r="J48" s="122"/>
      <c r="K48" s="122"/>
      <c r="L48" s="92" t="s">
        <v>42</v>
      </c>
      <c r="M48" s="123" t="s">
        <v>0</v>
      </c>
      <c r="N48" s="123"/>
      <c r="O48" s="123"/>
      <c r="P48" s="92" t="s">
        <v>33</v>
      </c>
      <c r="Q48" s="92" t="s">
        <v>85</v>
      </c>
      <c r="R48" s="92" t="s">
        <v>103</v>
      </c>
      <c r="S48" s="92" t="s">
        <v>83</v>
      </c>
      <c r="T48" s="92" t="s">
        <v>104</v>
      </c>
      <c r="U48" s="92" t="s">
        <v>117</v>
      </c>
      <c r="V48" s="92" t="s">
        <v>102</v>
      </c>
      <c r="W48" s="97" t="s">
        <v>49</v>
      </c>
    </row>
    <row r="49" spans="2:25" ht="39.950000000000003" customHeight="1" x14ac:dyDescent="0.3">
      <c r="B49" s="52"/>
      <c r="D49" s="121"/>
      <c r="E49" s="91"/>
      <c r="F49" s="91"/>
      <c r="G49" s="73" t="s">
        <v>7</v>
      </c>
      <c r="H49" s="73" t="s">
        <v>8</v>
      </c>
      <c r="I49" s="73" t="s">
        <v>9</v>
      </c>
      <c r="J49" s="89" t="s">
        <v>10</v>
      </c>
      <c r="K49" s="73" t="s">
        <v>14</v>
      </c>
      <c r="L49" s="91"/>
      <c r="M49" s="73" t="s">
        <v>43</v>
      </c>
      <c r="N49" s="73" t="s">
        <v>97</v>
      </c>
      <c r="O49" s="73" t="s">
        <v>98</v>
      </c>
      <c r="P49" s="91"/>
      <c r="Q49" s="91"/>
      <c r="R49" s="91"/>
      <c r="S49" s="91"/>
      <c r="T49" s="91"/>
      <c r="U49" s="91"/>
      <c r="V49" s="91"/>
      <c r="W49" s="98"/>
    </row>
    <row r="50" spans="2:25" ht="39.950000000000003" customHeight="1" x14ac:dyDescent="0.3">
      <c r="B50" s="52"/>
      <c r="D50" s="66" t="s">
        <v>4</v>
      </c>
      <c r="E50" s="73" t="s">
        <v>5</v>
      </c>
      <c r="F50" s="73" t="s">
        <v>6</v>
      </c>
      <c r="G50" s="73" t="s">
        <v>11</v>
      </c>
      <c r="H50" s="73" t="s">
        <v>12</v>
      </c>
      <c r="I50" s="73" t="s">
        <v>17</v>
      </c>
      <c r="J50" s="91"/>
      <c r="K50" s="73" t="s">
        <v>13</v>
      </c>
      <c r="L50" s="27" t="s">
        <v>82</v>
      </c>
      <c r="M50" s="73" t="s">
        <v>18</v>
      </c>
      <c r="N50" s="73" t="s">
        <v>19</v>
      </c>
      <c r="O50" s="73" t="s">
        <v>20</v>
      </c>
      <c r="P50" s="73" t="s">
        <v>21</v>
      </c>
      <c r="Q50" s="72" t="s">
        <v>93</v>
      </c>
      <c r="R50" s="73" t="s">
        <v>22</v>
      </c>
      <c r="S50" s="73" t="s">
        <v>86</v>
      </c>
      <c r="T50" s="44" t="s">
        <v>78</v>
      </c>
      <c r="U50" s="73" t="s">
        <v>89</v>
      </c>
      <c r="V50" s="70" t="s">
        <v>106</v>
      </c>
      <c r="W50" s="99"/>
    </row>
    <row r="51" spans="2:25" ht="39.950000000000003" customHeight="1" x14ac:dyDescent="0.3">
      <c r="B51" s="49" t="str">
        <f t="shared" ref="B51:B52" si="20">TRIM(E51)&amp;TRIM(F51)</f>
        <v>Field태성하이텍(FAB)</v>
      </c>
      <c r="D51" s="61" t="s">
        <v>53</v>
      </c>
      <c r="E51" s="1" t="s">
        <v>23</v>
      </c>
      <c r="F51" s="1" t="s">
        <v>75</v>
      </c>
      <c r="G51" s="75">
        <v>928.5</v>
      </c>
      <c r="H51" s="8"/>
      <c r="I51" s="31">
        <v>2304.75</v>
      </c>
      <c r="J51" s="31">
        <f>I51</f>
        <v>2304.75</v>
      </c>
      <c r="K51" s="8"/>
      <c r="L51" s="8">
        <f>($G51*$F$6)+($H51*$G$6)+$K51</f>
        <v>441037500</v>
      </c>
      <c r="M51" s="8"/>
      <c r="N51" s="8">
        <v>31651645.806451619</v>
      </c>
      <c r="O51" s="8">
        <v>34384546</v>
      </c>
      <c r="P51" s="8">
        <v>428889375</v>
      </c>
      <c r="Q51" s="8">
        <f>M51+N51+O51+P51</f>
        <v>494925566.80645162</v>
      </c>
      <c r="R51" s="8">
        <f>L51-Q51</f>
        <v>-53888066.806451619</v>
      </c>
      <c r="S51" s="8">
        <v>0</v>
      </c>
      <c r="T51" s="8">
        <v>0</v>
      </c>
      <c r="U51" s="8">
        <v>-147178353.41935486</v>
      </c>
      <c r="V51" s="8">
        <f>R51+S51-T51+U51</f>
        <v>-201066420.22580647</v>
      </c>
      <c r="W51" s="62">
        <v>0</v>
      </c>
      <c r="Y51" s="40" t="s">
        <v>73</v>
      </c>
    </row>
    <row r="52" spans="2:25" ht="39.950000000000003" customHeight="1" x14ac:dyDescent="0.3">
      <c r="B52" s="49" t="str">
        <f t="shared" si="20"/>
        <v>Field태성하이텍(SUP)</v>
      </c>
      <c r="D52" s="61" t="s">
        <v>53</v>
      </c>
      <c r="E52" s="1" t="s">
        <v>23</v>
      </c>
      <c r="F52" s="1" t="s">
        <v>76</v>
      </c>
      <c r="G52" s="75">
        <v>653.5</v>
      </c>
      <c r="H52" s="8"/>
      <c r="I52" s="31">
        <v>1246.1875</v>
      </c>
      <c r="J52" s="31">
        <f>I52</f>
        <v>1246.1875</v>
      </c>
      <c r="K52" s="8"/>
      <c r="L52" s="8">
        <f>($G52*$F$7)+($H52*$G$7)+$K52</f>
        <v>241795000</v>
      </c>
      <c r="M52" s="8"/>
      <c r="N52" s="8">
        <v>16537790</v>
      </c>
      <c r="O52" s="8">
        <v>17599817</v>
      </c>
      <c r="P52" s="8">
        <v>236194375</v>
      </c>
      <c r="Q52" s="8">
        <f t="shared" ref="Q52:Q53" si="21">M52+N52+O52+P52</f>
        <v>270331982</v>
      </c>
      <c r="R52" s="8">
        <f t="shared" ref="R52:R57" si="22">L52-Q52</f>
        <v>-28536982</v>
      </c>
      <c r="S52" s="8">
        <v>0</v>
      </c>
      <c r="T52" s="8">
        <v>0</v>
      </c>
      <c r="U52" s="8">
        <v>-105697015.483871</v>
      </c>
      <c r="V52" s="8">
        <f>R52+S52-T52+U52</f>
        <v>-134233997.48387098</v>
      </c>
      <c r="W52" s="62">
        <v>0</v>
      </c>
      <c r="Y52" s="40" t="s">
        <v>73</v>
      </c>
    </row>
    <row r="53" spans="2:25" ht="39.950000000000003" customHeight="1" x14ac:dyDescent="0.3">
      <c r="B53" s="49" t="str">
        <f>TRIM(E53)&amp;TRIM(F53)</f>
        <v>Field대성이엔지(FAB)</v>
      </c>
      <c r="D53" s="61" t="s">
        <v>53</v>
      </c>
      <c r="E53" s="1" t="s">
        <v>23</v>
      </c>
      <c r="F53" s="1" t="s">
        <v>77</v>
      </c>
      <c r="G53" s="75">
        <v>1047.5</v>
      </c>
      <c r="H53" s="8"/>
      <c r="I53" s="31">
        <v>2013.375</v>
      </c>
      <c r="J53" s="31">
        <v>2013.375</v>
      </c>
      <c r="K53" s="8"/>
      <c r="L53" s="8">
        <f>($G53*$F$8)+($H53*$G$8)+$K53</f>
        <v>497562500</v>
      </c>
      <c r="M53" s="8"/>
      <c r="N53" s="8">
        <v>44309770</v>
      </c>
      <c r="O53" s="8">
        <v>30145773</v>
      </c>
      <c r="P53" s="8">
        <v>386321250</v>
      </c>
      <c r="Q53" s="8">
        <f t="shared" si="21"/>
        <v>460776793</v>
      </c>
      <c r="R53" s="8">
        <f t="shared" si="22"/>
        <v>36785707</v>
      </c>
      <c r="S53" s="8">
        <v>0</v>
      </c>
      <c r="T53" s="8">
        <v>0</v>
      </c>
      <c r="U53" s="8">
        <v>-211124244</v>
      </c>
      <c r="V53" s="8">
        <f>R53+S53-T53+U53</f>
        <v>-174338537</v>
      </c>
      <c r="W53" s="62">
        <v>0</v>
      </c>
      <c r="Y53" s="40" t="s">
        <v>73</v>
      </c>
    </row>
    <row r="54" spans="2:25" ht="39.950000000000003" customHeight="1" x14ac:dyDescent="0.3">
      <c r="B54" s="49" t="str">
        <f t="shared" ref="B54:B57" si="23">TRIM(E54)&amp;TRIM(F54)</f>
        <v>설계제이온</v>
      </c>
      <c r="D54" s="61" t="s">
        <v>53</v>
      </c>
      <c r="E54" s="1" t="s">
        <v>107</v>
      </c>
      <c r="F54" s="1" t="s">
        <v>55</v>
      </c>
      <c r="G54" s="57">
        <v>0</v>
      </c>
      <c r="H54" s="57">
        <v>0</v>
      </c>
      <c r="I54" s="57">
        <v>0</v>
      </c>
      <c r="J54" s="57">
        <v>0</v>
      </c>
      <c r="K54" s="57">
        <v>0</v>
      </c>
      <c r="L54" s="8">
        <v>54300000</v>
      </c>
      <c r="M54" s="57">
        <v>0</v>
      </c>
      <c r="N54" s="57">
        <v>0</v>
      </c>
      <c r="O54" s="57">
        <v>0</v>
      </c>
      <c r="P54" s="57">
        <v>0</v>
      </c>
      <c r="Q54" s="57">
        <v>0</v>
      </c>
      <c r="R54" s="8">
        <f t="shared" si="22"/>
        <v>54300000</v>
      </c>
      <c r="S54" s="57">
        <v>0</v>
      </c>
      <c r="T54" s="57">
        <v>0</v>
      </c>
      <c r="U54" s="57">
        <v>0</v>
      </c>
      <c r="V54" s="8">
        <f t="shared" ref="V54:V55" si="24">R54+S54-T54+U54</f>
        <v>54300000</v>
      </c>
      <c r="W54" s="62">
        <f>ROUNDDOWN(V54,-5)</f>
        <v>54300000</v>
      </c>
    </row>
    <row r="55" spans="2:25" ht="39.950000000000003" customHeight="1" x14ac:dyDescent="0.3">
      <c r="B55" s="49" t="str">
        <f t="shared" si="23"/>
        <v>셀계세연이엔지</v>
      </c>
      <c r="D55" s="61" t="s">
        <v>53</v>
      </c>
      <c r="E55" s="1" t="s">
        <v>108</v>
      </c>
      <c r="F55" s="1" t="s">
        <v>109</v>
      </c>
      <c r="G55" s="57">
        <v>0</v>
      </c>
      <c r="H55" s="57">
        <v>0</v>
      </c>
      <c r="I55" s="57">
        <v>0</v>
      </c>
      <c r="J55" s="57">
        <v>0</v>
      </c>
      <c r="K55" s="57">
        <v>0</v>
      </c>
      <c r="L55" s="8">
        <v>25500000</v>
      </c>
      <c r="M55" s="57">
        <v>0</v>
      </c>
      <c r="N55" s="57">
        <v>0</v>
      </c>
      <c r="O55" s="57">
        <v>0</v>
      </c>
      <c r="P55" s="57">
        <v>0</v>
      </c>
      <c r="Q55" s="57">
        <v>0</v>
      </c>
      <c r="R55" s="8">
        <f t="shared" si="22"/>
        <v>25500000</v>
      </c>
      <c r="S55" s="57">
        <v>0</v>
      </c>
      <c r="T55" s="57">
        <v>0</v>
      </c>
      <c r="U55" s="57">
        <v>0</v>
      </c>
      <c r="V55" s="8">
        <f t="shared" si="24"/>
        <v>25500000</v>
      </c>
      <c r="W55" s="62">
        <f>ROUNDDOWN(V55,-5)</f>
        <v>25500000</v>
      </c>
    </row>
    <row r="56" spans="2:25" ht="39.950000000000003" customHeight="1" x14ac:dyDescent="0.3">
      <c r="B56" s="49" t="str">
        <f t="shared" si="23"/>
        <v>셀계승우엔지니어링</v>
      </c>
      <c r="D56" s="61" t="s">
        <v>53</v>
      </c>
      <c r="E56" s="1" t="s">
        <v>108</v>
      </c>
      <c r="F56" s="1" t="s">
        <v>119</v>
      </c>
      <c r="G56" s="57">
        <v>0</v>
      </c>
      <c r="H56" s="57">
        <v>0</v>
      </c>
      <c r="I56" s="57">
        <v>0</v>
      </c>
      <c r="J56" s="57">
        <v>0</v>
      </c>
      <c r="K56" s="57">
        <v>0</v>
      </c>
      <c r="L56" s="8">
        <v>4700000</v>
      </c>
      <c r="M56" s="57">
        <v>0</v>
      </c>
      <c r="N56" s="57">
        <v>0</v>
      </c>
      <c r="O56" s="57">
        <v>0</v>
      </c>
      <c r="P56" s="57">
        <v>0</v>
      </c>
      <c r="Q56" s="57">
        <v>0</v>
      </c>
      <c r="R56" s="8">
        <f t="shared" ref="R56" si="25">L56-Q56</f>
        <v>4700000</v>
      </c>
      <c r="S56" s="57">
        <v>0</v>
      </c>
      <c r="T56" s="57">
        <v>0</v>
      </c>
      <c r="U56" s="57">
        <v>0</v>
      </c>
      <c r="V56" s="8">
        <f t="shared" ref="V56" si="26">R56+S56-T56+U56</f>
        <v>4700000</v>
      </c>
      <c r="W56" s="62">
        <f>ROUNDDOWN(V56,-5)</f>
        <v>4700000</v>
      </c>
    </row>
    <row r="57" spans="2:25" ht="39.950000000000003" customHeight="1" x14ac:dyDescent="0.3">
      <c r="B57" s="49" t="str">
        <f t="shared" si="23"/>
        <v>품질베스트 
토탈솔루션</v>
      </c>
      <c r="D57" s="61" t="s">
        <v>53</v>
      </c>
      <c r="E57" s="1" t="s">
        <v>110</v>
      </c>
      <c r="F57" s="54" t="s">
        <v>111</v>
      </c>
      <c r="G57" s="57">
        <v>0</v>
      </c>
      <c r="H57" s="57">
        <v>0</v>
      </c>
      <c r="I57" s="57">
        <v>0</v>
      </c>
      <c r="J57" s="57">
        <v>0</v>
      </c>
      <c r="K57" s="57">
        <v>0</v>
      </c>
      <c r="L57" s="8">
        <v>2750000</v>
      </c>
      <c r="M57" s="57">
        <v>0</v>
      </c>
      <c r="N57" s="57">
        <v>0</v>
      </c>
      <c r="O57" s="57">
        <v>0</v>
      </c>
      <c r="P57" s="57">
        <v>0</v>
      </c>
      <c r="Q57" s="57">
        <v>0</v>
      </c>
      <c r="R57" s="8">
        <f t="shared" si="22"/>
        <v>2750000</v>
      </c>
      <c r="S57" s="57">
        <v>0</v>
      </c>
      <c r="T57" s="57">
        <v>0</v>
      </c>
      <c r="U57" s="57">
        <v>0</v>
      </c>
      <c r="V57" s="8">
        <f>R57+S57-T57+U57</f>
        <v>2750000</v>
      </c>
      <c r="W57" s="62">
        <f>ROUNDDOWN(V57,-4)</f>
        <v>2750000</v>
      </c>
    </row>
    <row r="58" spans="2:25" ht="39.950000000000003" customHeight="1" x14ac:dyDescent="0.3">
      <c r="B58" s="53"/>
      <c r="D58" s="140" t="s">
        <v>37</v>
      </c>
      <c r="E58" s="141"/>
      <c r="F58" s="141"/>
      <c r="G58" s="76">
        <f>SUM(G51:G57)</f>
        <v>2629.5</v>
      </c>
      <c r="H58" s="9">
        <f t="shared" ref="H58:R58" si="27">SUM(H51:H57)</f>
        <v>0</v>
      </c>
      <c r="I58" s="9">
        <f t="shared" si="27"/>
        <v>5564.3125</v>
      </c>
      <c r="J58" s="9">
        <f t="shared" si="27"/>
        <v>5564.3125</v>
      </c>
      <c r="K58" s="9">
        <f t="shared" si="27"/>
        <v>0</v>
      </c>
      <c r="L58" s="9">
        <f t="shared" si="27"/>
        <v>1267645000</v>
      </c>
      <c r="M58" s="9">
        <f t="shared" si="27"/>
        <v>0</v>
      </c>
      <c r="N58" s="9">
        <f t="shared" si="27"/>
        <v>92499205.806451619</v>
      </c>
      <c r="O58" s="9">
        <f t="shared" si="27"/>
        <v>82130136</v>
      </c>
      <c r="P58" s="9">
        <f t="shared" si="27"/>
        <v>1051405000</v>
      </c>
      <c r="Q58" s="9">
        <f t="shared" si="27"/>
        <v>1226034341.8064516</v>
      </c>
      <c r="R58" s="9">
        <f t="shared" si="27"/>
        <v>41610658.193548381</v>
      </c>
      <c r="S58" s="9">
        <f>SUM(S51:S57)</f>
        <v>0</v>
      </c>
      <c r="T58" s="9">
        <f>SUM(T51:T57)</f>
        <v>0</v>
      </c>
      <c r="U58" s="9">
        <f>SUM(U51:U57)</f>
        <v>-463999612.90322584</v>
      </c>
      <c r="V58" s="9">
        <f t="shared" ref="V58:W58" si="28">SUM(V51:V57)</f>
        <v>-422388954.70967746</v>
      </c>
      <c r="W58" s="67">
        <f t="shared" si="28"/>
        <v>87250000</v>
      </c>
    </row>
    <row r="59" spans="2:25" ht="39.950000000000003" customHeight="1" x14ac:dyDescent="0.3">
      <c r="B59" s="49" t="str">
        <f t="shared" ref="B59:B62" si="29">TRIM(E59)&amp;TRIM(F59)</f>
        <v>제작대성이엔지_SHOP</v>
      </c>
      <c r="D59" s="61" t="s">
        <v>53</v>
      </c>
      <c r="E59" s="1" t="s">
        <v>38</v>
      </c>
      <c r="F59" s="1" t="s">
        <v>39</v>
      </c>
      <c r="G59" s="77">
        <v>46897.625</v>
      </c>
      <c r="H59" s="57">
        <v>0</v>
      </c>
      <c r="I59" s="57">
        <v>0</v>
      </c>
      <c r="J59" s="8">
        <v>0</v>
      </c>
      <c r="K59" s="57">
        <f>28986259+114111750</f>
        <v>143098009</v>
      </c>
      <c r="L59" s="8">
        <f>925845375+K59</f>
        <v>1068943384</v>
      </c>
      <c r="M59" s="57">
        <v>0</v>
      </c>
      <c r="N59" s="57">
        <v>0</v>
      </c>
      <c r="O59" s="57">
        <v>0</v>
      </c>
      <c r="P59" s="57">
        <v>0</v>
      </c>
      <c r="Q59" s="8">
        <f>M59+N59+O59+P59</f>
        <v>0</v>
      </c>
      <c r="R59" s="8">
        <f>L59-Q59</f>
        <v>1068943384</v>
      </c>
      <c r="S59" s="57">
        <v>0</v>
      </c>
      <c r="T59" s="57">
        <v>0</v>
      </c>
      <c r="U59" s="57">
        <v>0</v>
      </c>
      <c r="V59" s="8">
        <f t="shared" ref="V59:V60" si="30">R59-S59</f>
        <v>1068943384</v>
      </c>
      <c r="W59" s="62">
        <f>ROUNDDOWN(V59,-5)</f>
        <v>1068900000</v>
      </c>
    </row>
    <row r="60" spans="2:25" ht="39.950000000000003" customHeight="1" x14ac:dyDescent="0.3">
      <c r="B60" s="49" t="str">
        <f t="shared" si="29"/>
        <v>제작대성이엔지_모듈SHOP</v>
      </c>
      <c r="D60" s="61" t="s">
        <v>53</v>
      </c>
      <c r="E60" s="1" t="s">
        <v>38</v>
      </c>
      <c r="F60" s="45" t="s">
        <v>81</v>
      </c>
      <c r="G60" s="57">
        <v>0</v>
      </c>
      <c r="H60" s="57">
        <v>0</v>
      </c>
      <c r="I60" s="57">
        <v>0</v>
      </c>
      <c r="J60" s="28">
        <v>56.5</v>
      </c>
      <c r="K60" s="57">
        <v>0</v>
      </c>
      <c r="L60" s="8">
        <f>J60*230000</f>
        <v>12995000</v>
      </c>
      <c r="M60" s="57">
        <v>0</v>
      </c>
      <c r="N60" s="57">
        <v>0</v>
      </c>
      <c r="O60" s="57">
        <v>0</v>
      </c>
      <c r="P60" s="57">
        <v>0</v>
      </c>
      <c r="Q60" s="57">
        <v>0</v>
      </c>
      <c r="R60" s="8">
        <f>L60-Q60</f>
        <v>12995000</v>
      </c>
      <c r="S60" s="57">
        <v>0</v>
      </c>
      <c r="T60" s="57">
        <v>0</v>
      </c>
      <c r="U60" s="57">
        <v>0</v>
      </c>
      <c r="V60" s="8">
        <f t="shared" si="30"/>
        <v>12995000</v>
      </c>
      <c r="W60" s="62">
        <f>ROUNDDOWN(V60,-5)</f>
        <v>12900000</v>
      </c>
    </row>
    <row r="61" spans="2:25" ht="39.950000000000003" customHeight="1" x14ac:dyDescent="0.3">
      <c r="B61" s="49" t="str">
        <f t="shared" si="29"/>
        <v>제작태성하이텍_SHOP</v>
      </c>
      <c r="D61" s="61" t="s">
        <v>53</v>
      </c>
      <c r="E61" s="1" t="s">
        <v>38</v>
      </c>
      <c r="F61" s="1" t="s">
        <v>64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7">
        <v>14840000</v>
      </c>
      <c r="M61" s="57">
        <v>0</v>
      </c>
      <c r="N61" s="57">
        <v>0</v>
      </c>
      <c r="O61" s="57">
        <v>0</v>
      </c>
      <c r="P61" s="57">
        <v>0</v>
      </c>
      <c r="Q61" s="57">
        <v>0</v>
      </c>
      <c r="R61" s="8">
        <f>L61-Q61</f>
        <v>14840000</v>
      </c>
      <c r="S61" s="8"/>
      <c r="T61" s="8"/>
      <c r="U61" s="8"/>
      <c r="V61" s="8">
        <f>R61-S61</f>
        <v>14840000</v>
      </c>
      <c r="W61" s="62">
        <f>ROUNDDOWN(V61,-5)</f>
        <v>14800000</v>
      </c>
    </row>
    <row r="62" spans="2:25" ht="39.950000000000003" customHeight="1" x14ac:dyDescent="0.3">
      <c r="B62" s="49" t="str">
        <f t="shared" si="29"/>
        <v>제작다온이엔지</v>
      </c>
      <c r="D62" s="61" t="s">
        <v>53</v>
      </c>
      <c r="E62" s="1" t="s">
        <v>38</v>
      </c>
      <c r="F62" s="74" t="s">
        <v>120</v>
      </c>
      <c r="G62" s="57">
        <v>0</v>
      </c>
      <c r="H62" s="57">
        <v>0</v>
      </c>
      <c r="I62" s="57">
        <v>0</v>
      </c>
      <c r="J62" s="57">
        <v>0</v>
      </c>
      <c r="K62" s="57">
        <v>0</v>
      </c>
      <c r="L62" s="57">
        <v>4140000</v>
      </c>
      <c r="M62" s="57">
        <v>0</v>
      </c>
      <c r="N62" s="57">
        <v>0</v>
      </c>
      <c r="O62" s="57">
        <v>0</v>
      </c>
      <c r="P62" s="57">
        <v>0</v>
      </c>
      <c r="Q62" s="57">
        <v>0</v>
      </c>
      <c r="R62" s="8">
        <f>L62-Q62</f>
        <v>4140000</v>
      </c>
      <c r="S62" s="57">
        <v>0</v>
      </c>
      <c r="T62" s="57">
        <v>0</v>
      </c>
      <c r="U62" s="57">
        <v>0</v>
      </c>
      <c r="V62" s="8">
        <f>R62-S62</f>
        <v>4140000</v>
      </c>
      <c r="W62" s="62">
        <f>ROUNDDOWN(V62,-4)</f>
        <v>4140000</v>
      </c>
    </row>
    <row r="63" spans="2:25" ht="39.950000000000003" customHeight="1" thickBot="1" x14ac:dyDescent="0.35">
      <c r="D63" s="142" t="s">
        <v>40</v>
      </c>
      <c r="E63" s="143"/>
      <c r="F63" s="143"/>
      <c r="G63" s="68">
        <f>SUM(G59:G62)</f>
        <v>46897.625</v>
      </c>
      <c r="H63" s="68">
        <f t="shared" ref="H63:W63" si="31">SUM(H59:H62)</f>
        <v>0</v>
      </c>
      <c r="I63" s="68">
        <f t="shared" si="31"/>
        <v>0</v>
      </c>
      <c r="J63" s="68">
        <f t="shared" si="31"/>
        <v>56.5</v>
      </c>
      <c r="K63" s="68">
        <f t="shared" si="31"/>
        <v>143098009</v>
      </c>
      <c r="L63" s="68">
        <f t="shared" si="31"/>
        <v>1100918384</v>
      </c>
      <c r="M63" s="68">
        <f t="shared" si="31"/>
        <v>0</v>
      </c>
      <c r="N63" s="68">
        <f t="shared" si="31"/>
        <v>0</v>
      </c>
      <c r="O63" s="68">
        <f t="shared" si="31"/>
        <v>0</v>
      </c>
      <c r="P63" s="68">
        <f t="shared" si="31"/>
        <v>0</v>
      </c>
      <c r="Q63" s="68">
        <f t="shared" si="31"/>
        <v>0</v>
      </c>
      <c r="R63" s="68">
        <f t="shared" si="31"/>
        <v>1100918384</v>
      </c>
      <c r="S63" s="68">
        <f t="shared" si="31"/>
        <v>0</v>
      </c>
      <c r="T63" s="68">
        <f t="shared" si="31"/>
        <v>0</v>
      </c>
      <c r="U63" s="68">
        <f t="shared" si="31"/>
        <v>0</v>
      </c>
      <c r="V63" s="68">
        <f t="shared" si="31"/>
        <v>1100918384</v>
      </c>
      <c r="W63" s="69">
        <f t="shared" si="31"/>
        <v>1100740000</v>
      </c>
    </row>
    <row r="64" spans="2:25" ht="39.950000000000003" customHeight="1" x14ac:dyDescent="0.3">
      <c r="D64" s="83" t="s">
        <v>123</v>
      </c>
      <c r="E64" s="84"/>
      <c r="F64" s="84"/>
      <c r="G64" s="84"/>
      <c r="H64" s="84"/>
      <c r="I64" s="84"/>
      <c r="J64" s="84"/>
      <c r="K64" s="84"/>
      <c r="L64" s="84"/>
      <c r="S64" s="46"/>
    </row>
    <row r="65" spans="2:25" ht="39.950000000000003" customHeight="1" thickBot="1" x14ac:dyDescent="0.35">
      <c r="D65" s="85"/>
      <c r="E65" s="85"/>
      <c r="F65" s="85"/>
      <c r="G65" s="85"/>
      <c r="H65" s="85"/>
      <c r="I65" s="85"/>
      <c r="J65" s="85"/>
      <c r="K65" s="85"/>
      <c r="L65" s="85"/>
      <c r="S65" s="46"/>
    </row>
    <row r="66" spans="2:25" ht="39.950000000000003" customHeight="1" x14ac:dyDescent="0.3">
      <c r="B66" s="52"/>
      <c r="D66" s="120" t="s">
        <v>74</v>
      </c>
      <c r="E66" s="92"/>
      <c r="F66" s="92"/>
      <c r="G66" s="122" t="s">
        <v>41</v>
      </c>
      <c r="H66" s="122"/>
      <c r="I66" s="122"/>
      <c r="J66" s="122"/>
      <c r="K66" s="122"/>
      <c r="L66" s="92" t="s">
        <v>42</v>
      </c>
      <c r="M66" s="123" t="s">
        <v>0</v>
      </c>
      <c r="N66" s="123"/>
      <c r="O66" s="123"/>
      <c r="P66" s="92" t="s">
        <v>33</v>
      </c>
      <c r="Q66" s="92" t="s">
        <v>85</v>
      </c>
      <c r="R66" s="92" t="s">
        <v>103</v>
      </c>
      <c r="S66" s="92" t="s">
        <v>83</v>
      </c>
      <c r="T66" s="92" t="s">
        <v>104</v>
      </c>
      <c r="U66" s="92" t="s">
        <v>117</v>
      </c>
      <c r="V66" s="92" t="s">
        <v>102</v>
      </c>
      <c r="W66" s="97" t="s">
        <v>49</v>
      </c>
    </row>
    <row r="67" spans="2:25" ht="39.950000000000003" customHeight="1" x14ac:dyDescent="0.3">
      <c r="B67" s="52"/>
      <c r="D67" s="121"/>
      <c r="E67" s="91"/>
      <c r="F67" s="91"/>
      <c r="G67" s="56" t="s">
        <v>7</v>
      </c>
      <c r="H67" s="56" t="s">
        <v>8</v>
      </c>
      <c r="I67" s="56" t="s">
        <v>9</v>
      </c>
      <c r="J67" s="89" t="s">
        <v>10</v>
      </c>
      <c r="K67" s="56" t="s">
        <v>14</v>
      </c>
      <c r="L67" s="91"/>
      <c r="M67" s="56" t="s">
        <v>43</v>
      </c>
      <c r="N67" s="56" t="s">
        <v>97</v>
      </c>
      <c r="O67" s="56" t="s">
        <v>98</v>
      </c>
      <c r="P67" s="91"/>
      <c r="Q67" s="91"/>
      <c r="R67" s="91"/>
      <c r="S67" s="91"/>
      <c r="T67" s="91"/>
      <c r="U67" s="91"/>
      <c r="V67" s="91"/>
      <c r="W67" s="98"/>
    </row>
    <row r="68" spans="2:25" ht="39.950000000000003" customHeight="1" x14ac:dyDescent="0.3">
      <c r="B68" s="52"/>
      <c r="D68" s="66" t="s">
        <v>4</v>
      </c>
      <c r="E68" s="56" t="s">
        <v>5</v>
      </c>
      <c r="F68" s="56" t="s">
        <v>6</v>
      </c>
      <c r="G68" s="56" t="s">
        <v>11</v>
      </c>
      <c r="H68" s="56" t="s">
        <v>12</v>
      </c>
      <c r="I68" s="56" t="s">
        <v>17</v>
      </c>
      <c r="J68" s="91"/>
      <c r="K68" s="56" t="s">
        <v>13</v>
      </c>
      <c r="L68" s="27" t="s">
        <v>82</v>
      </c>
      <c r="M68" s="56" t="s">
        <v>18</v>
      </c>
      <c r="N68" s="56" t="s">
        <v>19</v>
      </c>
      <c r="O68" s="56" t="s">
        <v>20</v>
      </c>
      <c r="P68" s="56" t="s">
        <v>21</v>
      </c>
      <c r="Q68" s="55" t="s">
        <v>93</v>
      </c>
      <c r="R68" s="56" t="s">
        <v>22</v>
      </c>
      <c r="S68" s="56" t="s">
        <v>86</v>
      </c>
      <c r="T68" s="44" t="s">
        <v>78</v>
      </c>
      <c r="U68" s="56" t="s">
        <v>89</v>
      </c>
      <c r="V68" s="70" t="s">
        <v>106</v>
      </c>
      <c r="W68" s="99"/>
    </row>
    <row r="69" spans="2:25" ht="39.950000000000003" customHeight="1" x14ac:dyDescent="0.3">
      <c r="B69" s="49" t="str">
        <f t="shared" ref="B69:B72" si="32">TRIM(E69)&amp;TRIM(F69)</f>
        <v>Field태성하이텍(FAB)</v>
      </c>
      <c r="D69" s="61" t="s">
        <v>53</v>
      </c>
      <c r="E69" s="1" t="s">
        <v>23</v>
      </c>
      <c r="F69" s="1" t="s">
        <v>75</v>
      </c>
      <c r="G69" s="8">
        <v>470</v>
      </c>
      <c r="H69" s="8"/>
      <c r="I69" s="31">
        <v>1311</v>
      </c>
      <c r="J69" s="31">
        <f>I69</f>
        <v>1311</v>
      </c>
      <c r="K69" s="8"/>
      <c r="L69" s="8">
        <f>($G69*$F$6)+($H69*$G$6)+$K69</f>
        <v>223250000</v>
      </c>
      <c r="M69" s="8"/>
      <c r="N69" s="8">
        <v>18539660</v>
      </c>
      <c r="O69" s="8">
        <v>17418272</v>
      </c>
      <c r="P69" s="8">
        <v>248626880</v>
      </c>
      <c r="Q69" s="8">
        <f>M69+N69+O69+P69</f>
        <v>284584812</v>
      </c>
      <c r="R69" s="8">
        <f>L69-Q69</f>
        <v>-61334812</v>
      </c>
      <c r="S69" s="8">
        <v>0</v>
      </c>
      <c r="T69" s="8">
        <v>0</v>
      </c>
      <c r="U69" s="8">
        <v>-85843541.419354841</v>
      </c>
      <c r="V69" s="8">
        <f>R69+S69-T69+U69</f>
        <v>-147178353.41935486</v>
      </c>
      <c r="W69" s="62">
        <v>0</v>
      </c>
      <c r="Y69" s="40" t="s">
        <v>73</v>
      </c>
    </row>
    <row r="70" spans="2:25" ht="39.950000000000003" customHeight="1" x14ac:dyDescent="0.3">
      <c r="B70" s="49" t="str">
        <f t="shared" si="32"/>
        <v>Field태성하이텍(SUP)</v>
      </c>
      <c r="D70" s="61" t="s">
        <v>53</v>
      </c>
      <c r="E70" s="1" t="s">
        <v>23</v>
      </c>
      <c r="F70" s="1" t="s">
        <v>76</v>
      </c>
      <c r="G70" s="8">
        <v>198</v>
      </c>
      <c r="H70" s="8"/>
      <c r="I70" s="31">
        <v>604.1875</v>
      </c>
      <c r="J70" s="31">
        <f>I70</f>
        <v>604.1875</v>
      </c>
      <c r="K70" s="8"/>
      <c r="L70" s="8">
        <f>($G70*$F$7)+($H70*$G$7)+$K70</f>
        <v>73260000</v>
      </c>
      <c r="M70" s="8"/>
      <c r="N70" s="8">
        <v>7865080</v>
      </c>
      <c r="O70" s="8">
        <v>8410545</v>
      </c>
      <c r="P70" s="8">
        <v>113828125</v>
      </c>
      <c r="Q70" s="8">
        <f t="shared" ref="Q70:Q71" si="33">M70+N70+O70+P70</f>
        <v>130103750</v>
      </c>
      <c r="R70" s="8">
        <f t="shared" ref="R70:R74" si="34">L70-Q70</f>
        <v>-56843750</v>
      </c>
      <c r="S70" s="8">
        <v>0</v>
      </c>
      <c r="T70" s="8">
        <v>0</v>
      </c>
      <c r="U70" s="8">
        <v>-48853265.483870998</v>
      </c>
      <c r="V70" s="8">
        <f>R70+S70-T70+U70</f>
        <v>-105697015.483871</v>
      </c>
      <c r="W70" s="62">
        <v>0</v>
      </c>
      <c r="Y70" s="40" t="s">
        <v>73</v>
      </c>
    </row>
    <row r="71" spans="2:25" ht="39.950000000000003" customHeight="1" x14ac:dyDescent="0.3">
      <c r="B71" s="49" t="str">
        <f>TRIM(E71)&amp;TRIM(F71)</f>
        <v>Field대성이엔지(FAB)</v>
      </c>
      <c r="D71" s="61" t="s">
        <v>53</v>
      </c>
      <c r="E71" s="1" t="s">
        <v>23</v>
      </c>
      <c r="F71" s="1" t="s">
        <v>77</v>
      </c>
      <c r="G71" s="8">
        <v>550</v>
      </c>
      <c r="H71" s="8"/>
      <c r="I71" s="31">
        <v>1328.3125</v>
      </c>
      <c r="J71" s="31">
        <f>I71</f>
        <v>1328.3125</v>
      </c>
      <c r="K71" s="8"/>
      <c r="L71" s="8">
        <f>($G71*$F$8)+($H71*$G$8)+$K71</f>
        <v>261250000</v>
      </c>
      <c r="M71" s="8"/>
      <c r="N71" s="8">
        <v>25041540</v>
      </c>
      <c r="O71" s="8">
        <v>19533136</v>
      </c>
      <c r="P71" s="8">
        <v>258639375</v>
      </c>
      <c r="Q71" s="8">
        <f t="shared" si="33"/>
        <v>303214051</v>
      </c>
      <c r="R71" s="8">
        <f t="shared" si="34"/>
        <v>-41964051</v>
      </c>
      <c r="S71" s="8">
        <v>211124244</v>
      </c>
      <c r="T71" s="8">
        <v>0</v>
      </c>
      <c r="U71" s="8">
        <v>-139160193</v>
      </c>
      <c r="V71" s="8">
        <f>R71+S71-T71+U71</f>
        <v>30000000</v>
      </c>
      <c r="W71" s="62">
        <f t="shared" ref="W71" si="35">ROUNDDOWN(V71,-5)</f>
        <v>30000000</v>
      </c>
      <c r="Y71" s="40" t="s">
        <v>73</v>
      </c>
    </row>
    <row r="72" spans="2:25" ht="39.950000000000003" customHeight="1" x14ac:dyDescent="0.3">
      <c r="B72" s="49" t="str">
        <f t="shared" si="32"/>
        <v>설계제이온</v>
      </c>
      <c r="D72" s="61" t="s">
        <v>53</v>
      </c>
      <c r="E72" s="1" t="s">
        <v>107</v>
      </c>
      <c r="F72" s="1" t="s">
        <v>55</v>
      </c>
      <c r="G72" s="57">
        <v>0</v>
      </c>
      <c r="H72" s="57">
        <v>0</v>
      </c>
      <c r="I72" s="57">
        <v>0</v>
      </c>
      <c r="J72" s="57">
        <v>0</v>
      </c>
      <c r="K72" s="57">
        <v>0</v>
      </c>
      <c r="L72" s="8">
        <v>53200000</v>
      </c>
      <c r="M72" s="57">
        <v>0</v>
      </c>
      <c r="N72" s="57">
        <v>0</v>
      </c>
      <c r="O72" s="57">
        <v>0</v>
      </c>
      <c r="P72" s="57">
        <v>0</v>
      </c>
      <c r="Q72" s="57">
        <v>0</v>
      </c>
      <c r="R72" s="8">
        <f t="shared" si="34"/>
        <v>53200000</v>
      </c>
      <c r="S72" s="57">
        <v>0</v>
      </c>
      <c r="T72" s="57">
        <v>0</v>
      </c>
      <c r="U72" s="57">
        <v>0</v>
      </c>
      <c r="V72" s="8">
        <f t="shared" ref="V72:V73" si="36">R72+S72-T72+U72</f>
        <v>53200000</v>
      </c>
      <c r="W72" s="62">
        <f>ROUNDDOWN(V72,-5)</f>
        <v>53200000</v>
      </c>
    </row>
    <row r="73" spans="2:25" ht="39.950000000000003" customHeight="1" x14ac:dyDescent="0.3">
      <c r="B73" s="49" t="str">
        <f t="shared" ref="B73:B74" si="37">TRIM(E73)&amp;TRIM(F73)</f>
        <v>셀계세연이엔지</v>
      </c>
      <c r="D73" s="61" t="s">
        <v>53</v>
      </c>
      <c r="E73" s="1" t="s">
        <v>108</v>
      </c>
      <c r="F73" s="1" t="s">
        <v>109</v>
      </c>
      <c r="G73" s="57">
        <v>0</v>
      </c>
      <c r="H73" s="57">
        <v>0</v>
      </c>
      <c r="I73" s="57">
        <v>0</v>
      </c>
      <c r="J73" s="57">
        <v>0</v>
      </c>
      <c r="K73" s="57">
        <v>0</v>
      </c>
      <c r="L73" s="8">
        <v>25500000</v>
      </c>
      <c r="M73" s="57">
        <v>0</v>
      </c>
      <c r="N73" s="57">
        <v>0</v>
      </c>
      <c r="O73" s="57">
        <v>0</v>
      </c>
      <c r="P73" s="57">
        <v>0</v>
      </c>
      <c r="Q73" s="57">
        <v>0</v>
      </c>
      <c r="R73" s="8">
        <f t="shared" si="34"/>
        <v>25500000</v>
      </c>
      <c r="S73" s="57">
        <v>0</v>
      </c>
      <c r="T73" s="57">
        <v>0</v>
      </c>
      <c r="U73" s="57">
        <v>0</v>
      </c>
      <c r="V73" s="8">
        <f t="shared" si="36"/>
        <v>25500000</v>
      </c>
      <c r="W73" s="62">
        <f>ROUNDDOWN(V73,-5)</f>
        <v>25500000</v>
      </c>
    </row>
    <row r="74" spans="2:25" ht="39.950000000000003" customHeight="1" x14ac:dyDescent="0.3">
      <c r="B74" s="49" t="str">
        <f t="shared" si="37"/>
        <v>품질베스트 
토탈솔루션</v>
      </c>
      <c r="D74" s="61" t="s">
        <v>53</v>
      </c>
      <c r="E74" s="1" t="s">
        <v>110</v>
      </c>
      <c r="F74" s="54" t="s">
        <v>111</v>
      </c>
      <c r="G74" s="57">
        <v>0</v>
      </c>
      <c r="H74" s="57">
        <v>0</v>
      </c>
      <c r="I74" s="57">
        <v>0</v>
      </c>
      <c r="J74" s="57">
        <v>0</v>
      </c>
      <c r="K74" s="57">
        <v>0</v>
      </c>
      <c r="L74" s="8">
        <v>1666000</v>
      </c>
      <c r="M74" s="57">
        <v>0</v>
      </c>
      <c r="N74" s="57">
        <v>0</v>
      </c>
      <c r="O74" s="57">
        <v>0</v>
      </c>
      <c r="P74" s="57">
        <v>0</v>
      </c>
      <c r="Q74" s="57">
        <v>0</v>
      </c>
      <c r="R74" s="8">
        <f t="shared" si="34"/>
        <v>1666000</v>
      </c>
      <c r="S74" s="57">
        <v>0</v>
      </c>
      <c r="T74" s="57">
        <v>0</v>
      </c>
      <c r="U74" s="57">
        <v>0</v>
      </c>
      <c r="V74" s="8">
        <f>R74+S74-T74+U74</f>
        <v>1666000</v>
      </c>
      <c r="W74" s="62">
        <f>ROUNDDOWN(V74,-4)</f>
        <v>1660000</v>
      </c>
    </row>
    <row r="75" spans="2:25" ht="39.950000000000003" customHeight="1" x14ac:dyDescent="0.3">
      <c r="B75" s="53"/>
      <c r="D75" s="140" t="s">
        <v>37</v>
      </c>
      <c r="E75" s="141"/>
      <c r="F75" s="141"/>
      <c r="G75" s="9">
        <f>SUM(G69:G74)</f>
        <v>1218</v>
      </c>
      <c r="H75" s="9">
        <f t="shared" ref="H75:W75" si="38">SUM(H69:H74)</f>
        <v>0</v>
      </c>
      <c r="I75" s="9">
        <f t="shared" si="38"/>
        <v>3243.5</v>
      </c>
      <c r="J75" s="9">
        <f t="shared" si="38"/>
        <v>3243.5</v>
      </c>
      <c r="K75" s="9">
        <f t="shared" si="38"/>
        <v>0</v>
      </c>
      <c r="L75" s="9">
        <f t="shared" si="38"/>
        <v>638126000</v>
      </c>
      <c r="M75" s="9">
        <f t="shared" si="38"/>
        <v>0</v>
      </c>
      <c r="N75" s="9">
        <f t="shared" si="38"/>
        <v>51446280</v>
      </c>
      <c r="O75" s="9">
        <f t="shared" si="38"/>
        <v>45361953</v>
      </c>
      <c r="P75" s="9">
        <f t="shared" si="38"/>
        <v>621094380</v>
      </c>
      <c r="Q75" s="9">
        <f t="shared" si="38"/>
        <v>717902613</v>
      </c>
      <c r="R75" s="9">
        <f t="shared" si="38"/>
        <v>-79776613</v>
      </c>
      <c r="S75" s="9">
        <f>SUM(S69:S74)</f>
        <v>211124244</v>
      </c>
      <c r="T75" s="9">
        <f>SUM(T69:T74)</f>
        <v>0</v>
      </c>
      <c r="U75" s="9">
        <f>SUM(U69:U74)</f>
        <v>-273856999.90322584</v>
      </c>
      <c r="V75" s="9">
        <f t="shared" si="38"/>
        <v>-142509368.90322584</v>
      </c>
      <c r="W75" s="67">
        <f t="shared" si="38"/>
        <v>110360000</v>
      </c>
    </row>
    <row r="76" spans="2:25" ht="39.950000000000003" customHeight="1" x14ac:dyDescent="0.3">
      <c r="B76" s="49" t="str">
        <f t="shared" ref="B76:B78" si="39">TRIM(E76)&amp;TRIM(F76)</f>
        <v>제작대성이엔지_SHOP</v>
      </c>
      <c r="D76" s="61" t="s">
        <v>53</v>
      </c>
      <c r="E76" s="1" t="s">
        <v>38</v>
      </c>
      <c r="F76" s="1" t="s">
        <v>39</v>
      </c>
      <c r="G76" s="28">
        <v>18311.5</v>
      </c>
      <c r="H76" s="8"/>
      <c r="I76" s="8"/>
      <c r="J76" s="8"/>
      <c r="K76" s="8">
        <v>9030824</v>
      </c>
      <c r="L76" s="8">
        <f>359994575+K76</f>
        <v>369025399</v>
      </c>
      <c r="M76" s="57">
        <v>0</v>
      </c>
      <c r="N76" s="57">
        <v>0</v>
      </c>
      <c r="O76" s="57">
        <v>0</v>
      </c>
      <c r="P76" s="57">
        <v>0</v>
      </c>
      <c r="Q76" s="8">
        <f>M76+N76+O76+P76</f>
        <v>0</v>
      </c>
      <c r="R76" s="8">
        <f>L76-Q76</f>
        <v>369025399</v>
      </c>
      <c r="S76" s="57">
        <v>0</v>
      </c>
      <c r="T76" s="57">
        <v>0</v>
      </c>
      <c r="U76" s="57">
        <v>0</v>
      </c>
      <c r="V76" s="8">
        <f>R76</f>
        <v>369025399</v>
      </c>
      <c r="W76" s="62">
        <f>ROUNDDOWN(V76,-5)</f>
        <v>369000000</v>
      </c>
    </row>
    <row r="77" spans="2:25" ht="39.950000000000003" customHeight="1" x14ac:dyDescent="0.3">
      <c r="B77" s="49" t="str">
        <f t="shared" ref="B77" si="40">TRIM(E77)&amp;TRIM(F77)</f>
        <v>제작대성이엔지_모듈SHOP</v>
      </c>
      <c r="D77" s="61" t="s">
        <v>53</v>
      </c>
      <c r="E77" s="1" t="s">
        <v>38</v>
      </c>
      <c r="F77" s="45" t="s">
        <v>81</v>
      </c>
      <c r="G77" s="57">
        <v>0</v>
      </c>
      <c r="H77" s="57">
        <v>0</v>
      </c>
      <c r="I77" s="57">
        <v>0</v>
      </c>
      <c r="J77" s="8">
        <v>124</v>
      </c>
      <c r="K77" s="57">
        <v>0</v>
      </c>
      <c r="L77" s="8">
        <f>J77*230000</f>
        <v>28520000</v>
      </c>
      <c r="M77" s="57">
        <v>0</v>
      </c>
      <c r="N77" s="57">
        <v>0</v>
      </c>
      <c r="O77" s="57">
        <v>0</v>
      </c>
      <c r="P77" s="57">
        <v>0</v>
      </c>
      <c r="Q77" s="57">
        <v>0</v>
      </c>
      <c r="R77" s="8">
        <f>L77-Q77</f>
        <v>28520000</v>
      </c>
      <c r="S77" s="57">
        <v>0</v>
      </c>
      <c r="T77" s="57">
        <v>0</v>
      </c>
      <c r="U77" s="57">
        <v>0</v>
      </c>
      <c r="V77" s="8">
        <f>R77</f>
        <v>28520000</v>
      </c>
      <c r="W77" s="62">
        <f>ROUNDDOWN(V77,-5)</f>
        <v>28500000</v>
      </c>
    </row>
    <row r="78" spans="2:25" ht="39.950000000000003" customHeight="1" x14ac:dyDescent="0.3">
      <c r="B78" s="49" t="str">
        <f t="shared" si="39"/>
        <v>제작태성하이텍_SHOP</v>
      </c>
      <c r="D78" s="61" t="s">
        <v>53</v>
      </c>
      <c r="E78" s="1" t="s">
        <v>38</v>
      </c>
      <c r="F78" s="1" t="s">
        <v>64</v>
      </c>
      <c r="G78" s="57">
        <v>0</v>
      </c>
      <c r="H78" s="57">
        <v>0</v>
      </c>
      <c r="I78" s="57">
        <v>0</v>
      </c>
      <c r="J78" s="57">
        <v>0</v>
      </c>
      <c r="K78" s="57">
        <v>0</v>
      </c>
      <c r="L78" s="57">
        <v>0</v>
      </c>
      <c r="M78" s="57">
        <v>0</v>
      </c>
      <c r="N78" s="57">
        <v>0</v>
      </c>
      <c r="O78" s="57">
        <v>0</v>
      </c>
      <c r="P78" s="57">
        <v>0</v>
      </c>
      <c r="Q78" s="57">
        <v>0</v>
      </c>
      <c r="R78" s="57">
        <v>0</v>
      </c>
      <c r="S78" s="57">
        <v>0</v>
      </c>
      <c r="T78" s="57">
        <v>0</v>
      </c>
      <c r="U78" s="57">
        <v>0</v>
      </c>
      <c r="V78" s="8">
        <f>R78</f>
        <v>0</v>
      </c>
      <c r="W78" s="62">
        <f>ROUNDDOWN(V78,-5)</f>
        <v>0</v>
      </c>
    </row>
    <row r="79" spans="2:25" ht="39.950000000000003" customHeight="1" thickBot="1" x14ac:dyDescent="0.35">
      <c r="D79" s="142" t="s">
        <v>40</v>
      </c>
      <c r="E79" s="143"/>
      <c r="F79" s="143"/>
      <c r="G79" s="68">
        <f>SUM(G76:G78)</f>
        <v>18311.5</v>
      </c>
      <c r="H79" s="68">
        <f t="shared" ref="H79:W79" si="41">SUM(H76:H78)</f>
        <v>0</v>
      </c>
      <c r="I79" s="68">
        <f t="shared" si="41"/>
        <v>0</v>
      </c>
      <c r="J79" s="68">
        <f t="shared" si="41"/>
        <v>124</v>
      </c>
      <c r="K79" s="68">
        <f t="shared" si="41"/>
        <v>9030824</v>
      </c>
      <c r="L79" s="68">
        <f t="shared" si="41"/>
        <v>397545399</v>
      </c>
      <c r="M79" s="68">
        <f t="shared" si="41"/>
        <v>0</v>
      </c>
      <c r="N79" s="68">
        <f t="shared" si="41"/>
        <v>0</v>
      </c>
      <c r="O79" s="68">
        <f t="shared" si="41"/>
        <v>0</v>
      </c>
      <c r="P79" s="68">
        <f t="shared" si="41"/>
        <v>0</v>
      </c>
      <c r="Q79" s="68">
        <f t="shared" si="41"/>
        <v>0</v>
      </c>
      <c r="R79" s="68">
        <f t="shared" si="41"/>
        <v>397545399</v>
      </c>
      <c r="S79" s="68">
        <f>SUM(S76:S78)</f>
        <v>0</v>
      </c>
      <c r="T79" s="68">
        <f>SUM(T76:T78)</f>
        <v>0</v>
      </c>
      <c r="U79" s="68">
        <f>SUM(U76:U78)</f>
        <v>0</v>
      </c>
      <c r="V79" s="68">
        <f t="shared" si="41"/>
        <v>397545399</v>
      </c>
      <c r="W79" s="69">
        <f t="shared" si="41"/>
        <v>397500000</v>
      </c>
    </row>
    <row r="80" spans="2:25" ht="39.950000000000003" customHeight="1" x14ac:dyDescent="0.3">
      <c r="S80" s="47"/>
      <c r="T80" s="47"/>
    </row>
    <row r="81" spans="2:25" ht="39.950000000000003" customHeight="1" x14ac:dyDescent="0.3"/>
    <row r="82" spans="2:25" ht="39.950000000000003" customHeight="1" x14ac:dyDescent="0.3">
      <c r="B82" s="52"/>
      <c r="D82" s="105" t="s">
        <v>63</v>
      </c>
      <c r="E82" s="106"/>
      <c r="F82" s="107"/>
      <c r="G82" s="111" t="s">
        <v>41</v>
      </c>
      <c r="H82" s="112"/>
      <c r="I82" s="112"/>
      <c r="J82" s="112"/>
      <c r="K82" s="113"/>
      <c r="L82" s="89" t="s">
        <v>42</v>
      </c>
      <c r="M82" s="114" t="s">
        <v>0</v>
      </c>
      <c r="N82" s="115"/>
      <c r="O82" s="116"/>
      <c r="P82" s="89" t="s">
        <v>33</v>
      </c>
      <c r="Q82" s="89" t="s">
        <v>47</v>
      </c>
      <c r="R82" s="89" t="s">
        <v>48</v>
      </c>
      <c r="S82" s="89" t="s">
        <v>83</v>
      </c>
      <c r="T82" s="95" t="s">
        <v>88</v>
      </c>
      <c r="U82" s="89" t="s">
        <v>84</v>
      </c>
      <c r="V82" s="95" t="s">
        <v>80</v>
      </c>
      <c r="W82" s="89" t="s">
        <v>49</v>
      </c>
    </row>
    <row r="83" spans="2:25" ht="39.950000000000003" customHeight="1" x14ac:dyDescent="0.3">
      <c r="B83" s="52"/>
      <c r="D83" s="108"/>
      <c r="E83" s="109"/>
      <c r="F83" s="110"/>
      <c r="G83" s="39" t="s">
        <v>7</v>
      </c>
      <c r="H83" s="39" t="s">
        <v>8</v>
      </c>
      <c r="I83" s="39" t="s">
        <v>9</v>
      </c>
      <c r="J83" s="89" t="s">
        <v>10</v>
      </c>
      <c r="K83" s="39" t="s">
        <v>14</v>
      </c>
      <c r="L83" s="91"/>
      <c r="M83" s="39" t="s">
        <v>43</v>
      </c>
      <c r="N83" s="39" t="s">
        <v>45</v>
      </c>
      <c r="O83" s="39" t="s">
        <v>44</v>
      </c>
      <c r="P83" s="91"/>
      <c r="Q83" s="91"/>
      <c r="R83" s="91"/>
      <c r="S83" s="91"/>
      <c r="T83" s="96"/>
      <c r="U83" s="91"/>
      <c r="V83" s="96"/>
      <c r="W83" s="90"/>
    </row>
    <row r="84" spans="2:25" ht="39.950000000000003" customHeight="1" x14ac:dyDescent="0.3">
      <c r="B84" s="52"/>
      <c r="D84" s="39" t="s">
        <v>4</v>
      </c>
      <c r="E84" s="39" t="s">
        <v>5</v>
      </c>
      <c r="F84" s="39" t="s">
        <v>6</v>
      </c>
      <c r="G84" s="39" t="s">
        <v>11</v>
      </c>
      <c r="H84" s="39" t="s">
        <v>12</v>
      </c>
      <c r="I84" s="39" t="s">
        <v>17</v>
      </c>
      <c r="J84" s="91"/>
      <c r="K84" s="39" t="s">
        <v>13</v>
      </c>
      <c r="L84" s="27" t="s">
        <v>82</v>
      </c>
      <c r="M84" s="39" t="s">
        <v>18</v>
      </c>
      <c r="N84" s="39" t="s">
        <v>19</v>
      </c>
      <c r="O84" s="39" t="s">
        <v>20</v>
      </c>
      <c r="P84" s="39" t="s">
        <v>21</v>
      </c>
      <c r="Q84" s="48" t="s">
        <v>92</v>
      </c>
      <c r="R84" s="39" t="s">
        <v>22</v>
      </c>
      <c r="S84" s="39" t="s">
        <v>79</v>
      </c>
      <c r="T84" s="44" t="s">
        <v>90</v>
      </c>
      <c r="U84" s="39" t="s">
        <v>87</v>
      </c>
      <c r="V84" s="39" t="s">
        <v>91</v>
      </c>
      <c r="W84" s="91"/>
    </row>
    <row r="85" spans="2:25" ht="39.950000000000003" customHeight="1" x14ac:dyDescent="0.3">
      <c r="B85" s="49" t="str">
        <f t="shared" ref="B85:B88" si="42">TRIM(E85)&amp;TRIM(F85)</f>
        <v>Field태성하이텍(FAB)</v>
      </c>
      <c r="D85" s="1" t="s">
        <v>53</v>
      </c>
      <c r="E85" s="1" t="s">
        <v>23</v>
      </c>
      <c r="F85" s="1" t="s">
        <v>75</v>
      </c>
      <c r="G85" s="8"/>
      <c r="H85" s="8"/>
      <c r="I85" s="31">
        <v>391.8125</v>
      </c>
      <c r="J85" s="31">
        <f>I85</f>
        <v>391.8125</v>
      </c>
      <c r="K85" s="8"/>
      <c r="L85" s="8">
        <f>($G85*$F$7)+($H85*$G$7)+($I85*$H$7)+$K85</f>
        <v>0</v>
      </c>
      <c r="M85" s="8"/>
      <c r="N85" s="8">
        <v>6559677.4193548402</v>
      </c>
      <c r="O85" s="8">
        <v>4176364</v>
      </c>
      <c r="P85" s="8">
        <v>75107500</v>
      </c>
      <c r="Q85" s="8">
        <f t="shared" ref="Q85:Q88" si="43">M85+N85+O85+P85</f>
        <v>85843541.419354841</v>
      </c>
      <c r="R85" s="8">
        <f>L85-Q85</f>
        <v>-85843541.419354841</v>
      </c>
      <c r="S85" s="8"/>
      <c r="T85" s="8"/>
      <c r="U85" s="8"/>
      <c r="V85" s="8">
        <f>R85+U85+S85-T85</f>
        <v>-85843541.419354841</v>
      </c>
      <c r="W85" s="8">
        <v>0</v>
      </c>
      <c r="Y85" s="40" t="s">
        <v>73</v>
      </c>
    </row>
    <row r="86" spans="2:25" ht="39.950000000000003" customHeight="1" x14ac:dyDescent="0.3">
      <c r="B86" s="49" t="str">
        <f t="shared" ref="B86" si="44">TRIM(E86)&amp;TRIM(F86)</f>
        <v>Field태성하이텍(SUP)</v>
      </c>
      <c r="D86" s="1" t="s">
        <v>53</v>
      </c>
      <c r="E86" s="1" t="s">
        <v>23</v>
      </c>
      <c r="F86" s="1" t="s">
        <v>76</v>
      </c>
      <c r="G86" s="8"/>
      <c r="H86" s="8"/>
      <c r="I86" s="31">
        <v>236.625</v>
      </c>
      <c r="J86" s="31">
        <f>I86</f>
        <v>236.625</v>
      </c>
      <c r="K86" s="8"/>
      <c r="L86" s="8">
        <f>($G86*$F$7)+($H86*$G$7)+($I86*$H$7)+$K86</f>
        <v>0</v>
      </c>
      <c r="M86" s="8"/>
      <c r="N86" s="8">
        <v>2641935.4838709678</v>
      </c>
      <c r="O86" s="8">
        <v>2869455</v>
      </c>
      <c r="P86" s="8">
        <v>43341875</v>
      </c>
      <c r="Q86" s="8">
        <f t="shared" si="43"/>
        <v>48853265.483870968</v>
      </c>
      <c r="R86" s="8">
        <f>L86-Q86</f>
        <v>-48853265.483870968</v>
      </c>
      <c r="S86" s="8"/>
      <c r="T86" s="8"/>
      <c r="U86" s="8"/>
      <c r="V86" s="8">
        <f>R86+U86+S86-T86</f>
        <v>-48853265.483870968</v>
      </c>
      <c r="W86" s="8">
        <v>0</v>
      </c>
      <c r="Y86" s="40" t="s">
        <v>73</v>
      </c>
    </row>
    <row r="87" spans="2:25" ht="39.950000000000003" customHeight="1" x14ac:dyDescent="0.3">
      <c r="B87" s="49" t="str">
        <f>TRIM(E87)&amp;TRIM(F87)</f>
        <v>Field대성이엔지(FAB)</v>
      </c>
      <c r="D87" s="1" t="s">
        <v>53</v>
      </c>
      <c r="E87" s="1" t="s">
        <v>23</v>
      </c>
      <c r="F87" s="1" t="s">
        <v>77</v>
      </c>
      <c r="G87" s="8"/>
      <c r="H87" s="8"/>
      <c r="I87" s="31">
        <v>582.25</v>
      </c>
      <c r="J87" s="31">
        <v>582.25</v>
      </c>
      <c r="K87" s="8"/>
      <c r="L87" s="8">
        <f>($G87*$F$6)+($H87*$G$6)+($I87*$H$6)+$K87</f>
        <v>0</v>
      </c>
      <c r="M87" s="8"/>
      <c r="N87" s="8">
        <v>18330000</v>
      </c>
      <c r="O87" s="8">
        <v>7940818</v>
      </c>
      <c r="P87" s="8">
        <v>112889375</v>
      </c>
      <c r="Q87" s="8">
        <f t="shared" si="43"/>
        <v>139160193</v>
      </c>
      <c r="R87" s="8">
        <f>L87-Q87</f>
        <v>-139160193</v>
      </c>
      <c r="S87" s="8"/>
      <c r="T87" s="8"/>
      <c r="U87" s="8"/>
      <c r="V87" s="8">
        <f>R87+U87+S87-T87</f>
        <v>-139160193</v>
      </c>
      <c r="W87" s="8">
        <v>0</v>
      </c>
      <c r="Y87" s="40" t="s">
        <v>73</v>
      </c>
    </row>
    <row r="88" spans="2:25" ht="39.950000000000003" customHeight="1" x14ac:dyDescent="0.3">
      <c r="B88" s="49" t="str">
        <f t="shared" si="42"/>
        <v>설계제이온</v>
      </c>
      <c r="D88" s="1" t="s">
        <v>53</v>
      </c>
      <c r="E88" s="1" t="s">
        <v>107</v>
      </c>
      <c r="F88" s="1" t="s">
        <v>55</v>
      </c>
      <c r="G88" s="37"/>
      <c r="H88" s="37"/>
      <c r="I88" s="37"/>
      <c r="J88" s="38"/>
      <c r="K88" s="37"/>
      <c r="L88" s="8">
        <v>48800000</v>
      </c>
      <c r="M88" s="37"/>
      <c r="N88" s="37"/>
      <c r="O88" s="37"/>
      <c r="P88" s="37"/>
      <c r="Q88" s="37">
        <f t="shared" si="43"/>
        <v>0</v>
      </c>
      <c r="R88" s="8">
        <f>L88-Q88</f>
        <v>48800000</v>
      </c>
      <c r="S88" s="37"/>
      <c r="T88" s="37"/>
      <c r="U88" s="37"/>
      <c r="V88" s="8">
        <f>ROUNDDOWN(R88+U88+S88-T88,-5)</f>
        <v>48800000</v>
      </c>
      <c r="W88" s="8">
        <f>ROUNDDOWN(V88,-5)</f>
        <v>48800000</v>
      </c>
    </row>
    <row r="89" spans="2:25" ht="39.950000000000003" customHeight="1" x14ac:dyDescent="0.3">
      <c r="B89" s="53"/>
      <c r="D89" s="117" t="s">
        <v>37</v>
      </c>
      <c r="E89" s="118"/>
      <c r="F89" s="119"/>
      <c r="G89" s="9">
        <f>SUM(G85:G88)</f>
        <v>0</v>
      </c>
      <c r="H89" s="9">
        <f t="shared" ref="H89:W89" si="45">SUM(H85:H88)</f>
        <v>0</v>
      </c>
      <c r="I89" s="32">
        <f t="shared" si="45"/>
        <v>1210.6875</v>
      </c>
      <c r="J89" s="32">
        <f t="shared" si="45"/>
        <v>1210.6875</v>
      </c>
      <c r="K89" s="9">
        <f t="shared" si="45"/>
        <v>0</v>
      </c>
      <c r="L89" s="9">
        <f t="shared" si="45"/>
        <v>48800000</v>
      </c>
      <c r="M89" s="9">
        <f t="shared" si="45"/>
        <v>0</v>
      </c>
      <c r="N89" s="9">
        <f t="shared" si="45"/>
        <v>27531612.903225809</v>
      </c>
      <c r="O89" s="9">
        <f t="shared" si="45"/>
        <v>14986637</v>
      </c>
      <c r="P89" s="9">
        <f t="shared" si="45"/>
        <v>231338750</v>
      </c>
      <c r="Q89" s="9">
        <f t="shared" si="45"/>
        <v>273856999.90322578</v>
      </c>
      <c r="R89" s="9">
        <f t="shared" si="45"/>
        <v>-225056999.90322578</v>
      </c>
      <c r="S89" s="9">
        <f>SUM(S85:S88)</f>
        <v>0</v>
      </c>
      <c r="T89" s="9">
        <f>SUM(T85:T88)</f>
        <v>0</v>
      </c>
      <c r="U89" s="9">
        <f t="shared" si="45"/>
        <v>0</v>
      </c>
      <c r="V89" s="9">
        <f t="shared" si="45"/>
        <v>-225056999.90322578</v>
      </c>
      <c r="W89" s="9">
        <f t="shared" si="45"/>
        <v>48800000</v>
      </c>
    </row>
    <row r="90" spans="2:25" ht="39.950000000000003" customHeight="1" x14ac:dyDescent="0.3">
      <c r="B90" s="49" t="str">
        <f t="shared" ref="B90:B91" si="46">TRIM(E90)&amp;TRIM(F90)</f>
        <v>제작대성이엔지_SHOP</v>
      </c>
      <c r="D90" s="1" t="s">
        <v>53</v>
      </c>
      <c r="E90" s="1" t="s">
        <v>38</v>
      </c>
      <c r="F90" s="1" t="s">
        <v>39</v>
      </c>
      <c r="G90" s="28">
        <v>1030.5</v>
      </c>
      <c r="H90" s="8"/>
      <c r="I90" s="8"/>
      <c r="J90" s="8"/>
      <c r="K90" s="8">
        <v>413467</v>
      </c>
      <c r="L90" s="8">
        <f>20827000+K90</f>
        <v>21240467</v>
      </c>
      <c r="M90" s="8"/>
      <c r="N90" s="8"/>
      <c r="O90" s="8"/>
      <c r="P90" s="8"/>
      <c r="Q90" s="8">
        <f t="shared" ref="Q90:Q92" si="47">M90+N90+O90+P90</f>
        <v>0</v>
      </c>
      <c r="R90" s="8">
        <f>L90-Q90</f>
        <v>21240467</v>
      </c>
      <c r="S90" s="8"/>
      <c r="T90" s="8"/>
      <c r="U90" s="8"/>
      <c r="V90" s="8">
        <f>R90-S90</f>
        <v>21240467</v>
      </c>
      <c r="W90" s="8">
        <f>ROUNDDOWN(V90,-5)</f>
        <v>21200000</v>
      </c>
    </row>
    <row r="91" spans="2:25" ht="39.950000000000003" customHeight="1" x14ac:dyDescent="0.3">
      <c r="B91" s="49" t="str">
        <f t="shared" si="46"/>
        <v>제작태성하이텍_SHOP</v>
      </c>
      <c r="D91" s="1" t="s">
        <v>53</v>
      </c>
      <c r="E91" s="1" t="s">
        <v>38</v>
      </c>
      <c r="F91" s="1" t="s">
        <v>64</v>
      </c>
      <c r="G91" s="8"/>
      <c r="H91" s="8"/>
      <c r="I91" s="8"/>
      <c r="J91" s="8"/>
      <c r="K91" s="8"/>
      <c r="L91" s="8">
        <v>40860000</v>
      </c>
      <c r="M91" s="8"/>
      <c r="N91" s="8"/>
      <c r="O91" s="8"/>
      <c r="P91" s="8"/>
      <c r="Q91" s="8">
        <f t="shared" si="47"/>
        <v>0</v>
      </c>
      <c r="R91" s="8">
        <f>L91-Q91</f>
        <v>40860000</v>
      </c>
      <c r="S91" s="8"/>
      <c r="T91" s="8"/>
      <c r="U91" s="8"/>
      <c r="V91" s="8">
        <f>R91-S91</f>
        <v>40860000</v>
      </c>
      <c r="W91" s="8">
        <f>ROUNDDOWN(V91,-5)</f>
        <v>40800000</v>
      </c>
    </row>
    <row r="92" spans="2:25" ht="39.950000000000003" customHeight="1" x14ac:dyDescent="0.3">
      <c r="D92" s="100" t="s">
        <v>40</v>
      </c>
      <c r="E92" s="101"/>
      <c r="F92" s="102"/>
      <c r="G92" s="10">
        <f>SUM(G90:G91)</f>
        <v>1030.5</v>
      </c>
      <c r="H92" s="10">
        <f t="shared" ref="H92:W92" si="48">SUM(H90:H91)</f>
        <v>0</v>
      </c>
      <c r="I92" s="10">
        <f t="shared" si="48"/>
        <v>0</v>
      </c>
      <c r="J92" s="10">
        <f t="shared" si="48"/>
        <v>0</v>
      </c>
      <c r="K92" s="10">
        <f t="shared" si="48"/>
        <v>413467</v>
      </c>
      <c r="L92" s="10">
        <f t="shared" si="48"/>
        <v>62100467</v>
      </c>
      <c r="M92" s="10">
        <f t="shared" si="48"/>
        <v>0</v>
      </c>
      <c r="N92" s="10">
        <f t="shared" si="48"/>
        <v>0</v>
      </c>
      <c r="O92" s="10">
        <f t="shared" si="48"/>
        <v>0</v>
      </c>
      <c r="P92" s="10">
        <f t="shared" si="48"/>
        <v>0</v>
      </c>
      <c r="Q92" s="10">
        <f t="shared" si="47"/>
        <v>0</v>
      </c>
      <c r="R92" s="10">
        <f t="shared" si="48"/>
        <v>62100467</v>
      </c>
      <c r="S92" s="10">
        <f>SUM(S90:S91)</f>
        <v>0</v>
      </c>
      <c r="T92" s="10">
        <f>SUM(T90:T91)</f>
        <v>0</v>
      </c>
      <c r="U92" s="10"/>
      <c r="V92" s="10">
        <f t="shared" si="48"/>
        <v>62100467</v>
      </c>
      <c r="W92" s="10">
        <f t="shared" si="48"/>
        <v>62000000</v>
      </c>
    </row>
    <row r="93" spans="2:25" ht="60" customHeight="1" x14ac:dyDescent="0.3">
      <c r="D93" s="83" t="s">
        <v>71</v>
      </c>
      <c r="E93" s="84"/>
      <c r="F93" s="84"/>
      <c r="G93" s="84"/>
      <c r="H93" s="84"/>
      <c r="I93" s="84"/>
      <c r="J93" s="84"/>
      <c r="K93" s="84"/>
      <c r="L93" s="84"/>
    </row>
    <row r="94" spans="2:25" ht="60" customHeight="1" x14ac:dyDescent="0.3">
      <c r="D94" s="85"/>
      <c r="E94" s="85"/>
      <c r="F94" s="85"/>
      <c r="G94" s="85"/>
      <c r="H94" s="85"/>
      <c r="I94" s="85"/>
      <c r="J94" s="85"/>
      <c r="K94" s="85"/>
      <c r="L94" s="85"/>
    </row>
    <row r="95" spans="2:25" s="2" customFormat="1" ht="39.950000000000003" customHeight="1" x14ac:dyDescent="0.3">
      <c r="B95" s="52"/>
      <c r="D95" s="138" t="s">
        <v>61</v>
      </c>
      <c r="E95" s="138"/>
      <c r="F95" s="138"/>
      <c r="G95" s="138" t="s">
        <v>41</v>
      </c>
      <c r="H95" s="138"/>
      <c r="I95" s="138"/>
      <c r="J95" s="138"/>
      <c r="K95" s="138"/>
      <c r="L95" s="138" t="s">
        <v>42</v>
      </c>
      <c r="M95" s="139" t="s">
        <v>0</v>
      </c>
      <c r="N95" s="139"/>
      <c r="O95" s="139"/>
      <c r="P95" s="89" t="s">
        <v>46</v>
      </c>
      <c r="Q95" s="89" t="s">
        <v>47</v>
      </c>
      <c r="R95" s="89" t="s">
        <v>48</v>
      </c>
      <c r="S95" s="89" t="s">
        <v>83</v>
      </c>
      <c r="T95" s="95" t="s">
        <v>88</v>
      </c>
      <c r="U95" s="89" t="s">
        <v>84</v>
      </c>
      <c r="V95" s="95" t="s">
        <v>80</v>
      </c>
      <c r="W95" s="89" t="s">
        <v>49</v>
      </c>
    </row>
    <row r="96" spans="2:25" s="2" customFormat="1" ht="39.950000000000003" customHeight="1" x14ac:dyDescent="0.3">
      <c r="B96" s="52"/>
      <c r="D96" s="138"/>
      <c r="E96" s="138"/>
      <c r="F96" s="138"/>
      <c r="G96" s="39" t="s">
        <v>7</v>
      </c>
      <c r="H96" s="39" t="s">
        <v>8</v>
      </c>
      <c r="I96" s="39" t="s">
        <v>9</v>
      </c>
      <c r="J96" s="138" t="s">
        <v>10</v>
      </c>
      <c r="K96" s="39" t="s">
        <v>14</v>
      </c>
      <c r="L96" s="138"/>
      <c r="M96" s="39" t="s">
        <v>43</v>
      </c>
      <c r="N96" s="39" t="s">
        <v>45</v>
      </c>
      <c r="O96" s="39" t="s">
        <v>44</v>
      </c>
      <c r="P96" s="91"/>
      <c r="Q96" s="91"/>
      <c r="R96" s="91"/>
      <c r="S96" s="91"/>
      <c r="T96" s="96"/>
      <c r="U96" s="91"/>
      <c r="V96" s="96"/>
      <c r="W96" s="90"/>
    </row>
    <row r="97" spans="2:23" s="2" customFormat="1" ht="39.950000000000003" customHeight="1" x14ac:dyDescent="0.3">
      <c r="B97" s="52"/>
      <c r="D97" s="39" t="s">
        <v>4</v>
      </c>
      <c r="E97" s="39" t="s">
        <v>5</v>
      </c>
      <c r="F97" s="39" t="s">
        <v>6</v>
      </c>
      <c r="G97" s="39" t="s">
        <v>11</v>
      </c>
      <c r="H97" s="39" t="s">
        <v>12</v>
      </c>
      <c r="I97" s="39" t="s">
        <v>17</v>
      </c>
      <c r="J97" s="138"/>
      <c r="K97" s="39" t="s">
        <v>13</v>
      </c>
      <c r="L97" s="27" t="s">
        <v>82</v>
      </c>
      <c r="M97" s="39" t="s">
        <v>18</v>
      </c>
      <c r="N97" s="39" t="s">
        <v>19</v>
      </c>
      <c r="O97" s="39" t="s">
        <v>20</v>
      </c>
      <c r="P97" s="39" t="s">
        <v>21</v>
      </c>
      <c r="Q97" s="48" t="s">
        <v>92</v>
      </c>
      <c r="R97" s="39" t="s">
        <v>22</v>
      </c>
      <c r="S97" s="39" t="s">
        <v>79</v>
      </c>
      <c r="T97" s="44" t="s">
        <v>90</v>
      </c>
      <c r="U97" s="39" t="s">
        <v>87</v>
      </c>
      <c r="V97" s="39" t="s">
        <v>91</v>
      </c>
      <c r="W97" s="91"/>
    </row>
    <row r="98" spans="2:23" ht="39.950000000000003" customHeight="1" x14ac:dyDescent="0.3">
      <c r="B98" s="49" t="str">
        <f t="shared" ref="B98:B100" si="49">TRIM(E98)&amp;TRIM(F98)</f>
        <v>Field태성하이텍</v>
      </c>
      <c r="D98" s="1" t="s">
        <v>53</v>
      </c>
      <c r="E98" s="1" t="s">
        <v>23</v>
      </c>
      <c r="F98" s="1" t="s">
        <v>27</v>
      </c>
      <c r="G98" s="8"/>
      <c r="H98" s="8"/>
      <c r="I98" s="8"/>
      <c r="J98" s="8"/>
      <c r="K98" s="8"/>
      <c r="L98" s="8">
        <f>($G98*$F$7)+($H98*$G$7)+($I98*$H$7)+$K98</f>
        <v>0</v>
      </c>
      <c r="M98" s="8"/>
      <c r="N98" s="8"/>
      <c r="O98" s="8"/>
      <c r="P98" s="8"/>
      <c r="Q98" s="8">
        <f t="shared" ref="Q98:Q100" si="50">M98+N98+O98+P98</f>
        <v>0</v>
      </c>
      <c r="R98" s="8">
        <f>L98-Q98</f>
        <v>0</v>
      </c>
      <c r="S98" s="8"/>
      <c r="T98" s="8"/>
      <c r="U98" s="8"/>
      <c r="V98" s="8">
        <f>ROUNDDOWN(R98+U98+S98-T98,-5)</f>
        <v>0</v>
      </c>
      <c r="W98" s="8">
        <v>0</v>
      </c>
    </row>
    <row r="99" spans="2:23" ht="39.950000000000003" customHeight="1" x14ac:dyDescent="0.3">
      <c r="B99" s="49" t="str">
        <f>TRIM(E99)&amp;TRIM(F99)</f>
        <v>Field대성이엔지</v>
      </c>
      <c r="D99" s="1" t="s">
        <v>53</v>
      </c>
      <c r="E99" s="1" t="s">
        <v>23</v>
      </c>
      <c r="F99" s="1" t="s">
        <v>25</v>
      </c>
      <c r="G99" s="8"/>
      <c r="H99" s="8"/>
      <c r="I99" s="8"/>
      <c r="J99" s="8"/>
      <c r="K99" s="8"/>
      <c r="L99" s="8">
        <f>($G99*$F$6)+($H99*$G$6)+($I99*$H$6)+$K99</f>
        <v>0</v>
      </c>
      <c r="M99" s="8"/>
      <c r="N99" s="8"/>
      <c r="O99" s="8"/>
      <c r="P99" s="8"/>
      <c r="Q99" s="8">
        <f t="shared" si="50"/>
        <v>0</v>
      </c>
      <c r="R99" s="8">
        <f>L99-Q99</f>
        <v>0</v>
      </c>
      <c r="S99" s="8"/>
      <c r="T99" s="8"/>
      <c r="U99" s="8"/>
      <c r="V99" s="8">
        <f>ROUNDDOWN(R99+U99+S99-T99,-5)</f>
        <v>0</v>
      </c>
      <c r="W99" s="8">
        <f>ROUNDDOWN(V99,-5)</f>
        <v>0</v>
      </c>
    </row>
    <row r="100" spans="2:23" ht="39.950000000000003" customHeight="1" x14ac:dyDescent="0.3">
      <c r="B100" s="49" t="str">
        <f t="shared" si="49"/>
        <v>설계제이온</v>
      </c>
      <c r="D100" s="1" t="s">
        <v>53</v>
      </c>
      <c r="E100" s="1" t="s">
        <v>107</v>
      </c>
      <c r="F100" s="1" t="s">
        <v>55</v>
      </c>
      <c r="G100" s="8"/>
      <c r="H100" s="8"/>
      <c r="I100" s="8"/>
      <c r="J100" s="8"/>
      <c r="K100" s="8"/>
      <c r="L100" s="8">
        <v>2100000</v>
      </c>
      <c r="M100" s="8"/>
      <c r="N100" s="8"/>
      <c r="O100" s="8"/>
      <c r="P100" s="8"/>
      <c r="Q100" s="8">
        <f t="shared" si="50"/>
        <v>0</v>
      </c>
      <c r="R100" s="8">
        <f>L100-Q100</f>
        <v>2100000</v>
      </c>
      <c r="S100" s="8"/>
      <c r="T100" s="8"/>
      <c r="U100" s="8"/>
      <c r="V100" s="8">
        <f>ROUNDDOWN(R100+U100+S100-T100,-5)</f>
        <v>2100000</v>
      </c>
      <c r="W100" s="8">
        <f>ROUNDDOWN(V100,-5)</f>
        <v>2100000</v>
      </c>
    </row>
    <row r="101" spans="2:23" s="4" customFormat="1" ht="39.950000000000003" customHeight="1" x14ac:dyDescent="0.3">
      <c r="B101" s="53"/>
      <c r="D101" s="117" t="s">
        <v>37</v>
      </c>
      <c r="E101" s="118"/>
      <c r="F101" s="119"/>
      <c r="G101" s="9">
        <f t="shared" ref="G101:R101" si="51">SUM(G98:G100)</f>
        <v>0</v>
      </c>
      <c r="H101" s="9">
        <f t="shared" si="51"/>
        <v>0</v>
      </c>
      <c r="I101" s="9">
        <f t="shared" si="51"/>
        <v>0</v>
      </c>
      <c r="J101" s="9">
        <f t="shared" si="51"/>
        <v>0</v>
      </c>
      <c r="K101" s="9">
        <f t="shared" si="51"/>
        <v>0</v>
      </c>
      <c r="L101" s="9">
        <f t="shared" si="51"/>
        <v>2100000</v>
      </c>
      <c r="M101" s="9">
        <f t="shared" si="51"/>
        <v>0</v>
      </c>
      <c r="N101" s="9">
        <f t="shared" si="51"/>
        <v>0</v>
      </c>
      <c r="O101" s="9">
        <f t="shared" si="51"/>
        <v>0</v>
      </c>
      <c r="P101" s="9">
        <f t="shared" si="51"/>
        <v>0</v>
      </c>
      <c r="Q101" s="9">
        <f t="shared" si="51"/>
        <v>0</v>
      </c>
      <c r="R101" s="9">
        <f t="shared" si="51"/>
        <v>2100000</v>
      </c>
      <c r="S101" s="9">
        <f>SUM(S98:S100)</f>
        <v>0</v>
      </c>
      <c r="T101" s="9">
        <f>SUM(T98:T100)</f>
        <v>0</v>
      </c>
      <c r="U101" s="9"/>
      <c r="V101" s="9">
        <f>SUM(V98:V100)</f>
        <v>2100000</v>
      </c>
      <c r="W101" s="9">
        <f>SUM(W98:W100)</f>
        <v>2100000</v>
      </c>
    </row>
    <row r="102" spans="2:23" ht="39.950000000000003" customHeight="1" x14ac:dyDescent="0.3">
      <c r="B102" s="49" t="str">
        <f t="shared" ref="B102" si="52">TRIM(E102)&amp;TRIM(F102)</f>
        <v>제작대성이엔지_SHOP</v>
      </c>
      <c r="D102" s="1" t="s">
        <v>53</v>
      </c>
      <c r="E102" s="1" t="s">
        <v>38</v>
      </c>
      <c r="F102" s="1" t="s">
        <v>39</v>
      </c>
      <c r="G102" s="8"/>
      <c r="H102" s="8"/>
      <c r="I102" s="8"/>
      <c r="J102" s="8"/>
      <c r="K102" s="8"/>
      <c r="L102" s="8">
        <v>0</v>
      </c>
      <c r="M102" s="8"/>
      <c r="N102" s="8"/>
      <c r="O102" s="8"/>
      <c r="P102" s="8"/>
      <c r="Q102" s="8">
        <f t="shared" ref="Q102:Q103" si="53">M102+N102+O102+P102</f>
        <v>0</v>
      </c>
      <c r="R102" s="8">
        <f>L102-Q102</f>
        <v>0</v>
      </c>
      <c r="S102" s="8"/>
      <c r="T102" s="8"/>
      <c r="U102" s="8"/>
      <c r="V102" s="8">
        <f>ROUNDDOWN(R102+U102+S102-T102,-5)</f>
        <v>0</v>
      </c>
      <c r="W102" s="8">
        <f t="shared" ref="W102" si="54">ROUNDDOWN(V102,-5)</f>
        <v>0</v>
      </c>
    </row>
    <row r="103" spans="2:23" s="4" customFormat="1" ht="39.950000000000003" customHeight="1" x14ac:dyDescent="0.3">
      <c r="B103" s="53"/>
      <c r="D103" s="100" t="s">
        <v>40</v>
      </c>
      <c r="E103" s="101"/>
      <c r="F103" s="102"/>
      <c r="G103" s="10">
        <f t="shared" ref="G103:V103" si="55">SUM(G102:G102)</f>
        <v>0</v>
      </c>
      <c r="H103" s="10">
        <f t="shared" si="55"/>
        <v>0</v>
      </c>
      <c r="I103" s="10">
        <f t="shared" si="55"/>
        <v>0</v>
      </c>
      <c r="J103" s="10">
        <f t="shared" si="55"/>
        <v>0</v>
      </c>
      <c r="K103" s="10">
        <f t="shared" si="55"/>
        <v>0</v>
      </c>
      <c r="L103" s="10">
        <f t="shared" si="55"/>
        <v>0</v>
      </c>
      <c r="M103" s="10">
        <f t="shared" si="55"/>
        <v>0</v>
      </c>
      <c r="N103" s="10">
        <f t="shared" si="55"/>
        <v>0</v>
      </c>
      <c r="O103" s="10">
        <f t="shared" si="55"/>
        <v>0</v>
      </c>
      <c r="P103" s="10">
        <f t="shared" si="55"/>
        <v>0</v>
      </c>
      <c r="Q103" s="10">
        <f t="shared" si="53"/>
        <v>0</v>
      </c>
      <c r="R103" s="10">
        <f t="shared" si="55"/>
        <v>0</v>
      </c>
      <c r="S103" s="10">
        <f>SUM(S102:S102)</f>
        <v>0</v>
      </c>
      <c r="T103" s="10">
        <f>SUM(T102:T102)</f>
        <v>0</v>
      </c>
      <c r="U103" s="10"/>
      <c r="V103" s="10">
        <f t="shared" si="55"/>
        <v>0</v>
      </c>
      <c r="W103" s="10">
        <f>SUM(W101:W101)</f>
        <v>2100000</v>
      </c>
    </row>
    <row r="104" spans="2:23" ht="39.950000000000003" customHeight="1" x14ac:dyDescent="0.3"/>
  </sheetData>
  <mergeCells count="96">
    <mergeCell ref="D46:L47"/>
    <mergeCell ref="V29:V30"/>
    <mergeCell ref="W29:W31"/>
    <mergeCell ref="J30:J31"/>
    <mergeCell ref="D39:F39"/>
    <mergeCell ref="D45:F45"/>
    <mergeCell ref="Q29:Q30"/>
    <mergeCell ref="R29:R30"/>
    <mergeCell ref="S29:S30"/>
    <mergeCell ref="T29:T30"/>
    <mergeCell ref="U29:U30"/>
    <mergeCell ref="D29:F30"/>
    <mergeCell ref="G29:K29"/>
    <mergeCell ref="L29:L30"/>
    <mergeCell ref="M29:O29"/>
    <mergeCell ref="P29:P30"/>
    <mergeCell ref="T48:T49"/>
    <mergeCell ref="U48:U49"/>
    <mergeCell ref="V48:V49"/>
    <mergeCell ref="W48:W50"/>
    <mergeCell ref="J49:J50"/>
    <mergeCell ref="M48:O48"/>
    <mergeCell ref="P48:P49"/>
    <mergeCell ref="Q48:Q49"/>
    <mergeCell ref="R48:R49"/>
    <mergeCell ref="S48:S49"/>
    <mergeCell ref="D48:F49"/>
    <mergeCell ref="G48:K48"/>
    <mergeCell ref="L48:L49"/>
    <mergeCell ref="D58:F58"/>
    <mergeCell ref="D63:F63"/>
    <mergeCell ref="D75:F75"/>
    <mergeCell ref="D79:F79"/>
    <mergeCell ref="Q66:Q67"/>
    <mergeCell ref="R66:R67"/>
    <mergeCell ref="S66:S67"/>
    <mergeCell ref="J67:J68"/>
    <mergeCell ref="J96:J97"/>
    <mergeCell ref="D101:F101"/>
    <mergeCell ref="D103:F103"/>
    <mergeCell ref="Q95:Q96"/>
    <mergeCell ref="R95:R96"/>
    <mergeCell ref="D95:F96"/>
    <mergeCell ref="G95:K95"/>
    <mergeCell ref="L95:L96"/>
    <mergeCell ref="M95:O95"/>
    <mergeCell ref="P95:P96"/>
    <mergeCell ref="S6:S8"/>
    <mergeCell ref="D20:F20"/>
    <mergeCell ref="V10:V11"/>
    <mergeCell ref="S10:S11"/>
    <mergeCell ref="T10:T11"/>
    <mergeCell ref="D10:F11"/>
    <mergeCell ref="G10:K10"/>
    <mergeCell ref="L10:L11"/>
    <mergeCell ref="M10:O10"/>
    <mergeCell ref="P10:P11"/>
    <mergeCell ref="O6:P6"/>
    <mergeCell ref="O8:P8"/>
    <mergeCell ref="D92:F92"/>
    <mergeCell ref="D93:L94"/>
    <mergeCell ref="D26:F26"/>
    <mergeCell ref="Q10:Q11"/>
    <mergeCell ref="R10:R11"/>
    <mergeCell ref="D82:F83"/>
    <mergeCell ref="G82:K82"/>
    <mergeCell ref="L82:L83"/>
    <mergeCell ref="M82:O82"/>
    <mergeCell ref="D89:F89"/>
    <mergeCell ref="D66:F67"/>
    <mergeCell ref="G66:K66"/>
    <mergeCell ref="L66:L67"/>
    <mergeCell ref="M66:O66"/>
    <mergeCell ref="P66:P67"/>
    <mergeCell ref="J11:J12"/>
    <mergeCell ref="J83:J84"/>
    <mergeCell ref="P82:P83"/>
    <mergeCell ref="Q82:Q83"/>
    <mergeCell ref="R82:R83"/>
    <mergeCell ref="S82:S83"/>
    <mergeCell ref="D64:L65"/>
    <mergeCell ref="W10:W12"/>
    <mergeCell ref="W82:W84"/>
    <mergeCell ref="W95:W97"/>
    <mergeCell ref="U66:U67"/>
    <mergeCell ref="U10:U11"/>
    <mergeCell ref="U82:U83"/>
    <mergeCell ref="S95:S96"/>
    <mergeCell ref="T95:T96"/>
    <mergeCell ref="V95:V96"/>
    <mergeCell ref="U95:U96"/>
    <mergeCell ref="W66:W68"/>
    <mergeCell ref="T66:T67"/>
    <mergeCell ref="V66:V67"/>
    <mergeCell ref="T82:T83"/>
    <mergeCell ref="V82:V83"/>
  </mergeCells>
  <phoneticPr fontId="1" type="noConversion"/>
  <pageMargins left="0.7" right="0.7" top="0.75" bottom="0.75" header="0.3" footer="0.3"/>
  <pageSetup paperSize="8" scale="3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5"/>
  <sheetViews>
    <sheetView workbookViewId="0">
      <selection activeCell="C16" sqref="C16"/>
    </sheetView>
  </sheetViews>
  <sheetFormatPr defaultRowHeight="16.5" x14ac:dyDescent="0.3"/>
  <cols>
    <col min="2" max="3" width="20.625" customWidth="1"/>
  </cols>
  <sheetData>
    <row r="3" spans="2:3" ht="30" customHeight="1" x14ac:dyDescent="0.3">
      <c r="B3" s="5" t="s">
        <v>50</v>
      </c>
      <c r="C3" s="6" t="s">
        <v>51</v>
      </c>
    </row>
    <row r="4" spans="2:3" ht="24.95" customHeight="1" x14ac:dyDescent="0.3">
      <c r="B4" s="144"/>
      <c r="C4" s="144"/>
    </row>
    <row r="5" spans="2:3" ht="24.95" customHeight="1" x14ac:dyDescent="0.3">
      <c r="B5" s="145"/>
      <c r="C5" s="145"/>
    </row>
  </sheetData>
  <mergeCells count="2">
    <mergeCell ref="B4:B5"/>
    <mergeCell ref="C4:C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Ph2 GAS&amp;PCW 1공구 외주기성 집계장</vt:lpstr>
      <vt:lpstr>기타</vt:lpstr>
      <vt:lpstr>'Ph2 GAS&amp;PCW 1공구 외주기성 집계장'!Print_Area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KCENC</cp:lastModifiedBy>
  <cp:lastPrinted>2026-07-07T01:37:10Z</cp:lastPrinted>
  <dcterms:created xsi:type="dcterms:W3CDTF">2025-09-08T00:18:34Z</dcterms:created>
  <dcterms:modified xsi:type="dcterms:W3CDTF">2026-07-07T01:37:17Z</dcterms:modified>
</cp:coreProperties>
</file>