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5월\S26-001\"/>
    </mc:Choice>
  </mc:AlternateContent>
  <xr:revisionPtr revIDLastSave="0" documentId="13_ncr:1_{FB9B81EE-78E9-4CAF-83DC-D4C3DEF228A1}" xr6:coauthVersionLast="36" xr6:coauthVersionMax="47" xr10:uidLastSave="{00000000-0000-0000-0000-000000000000}"/>
  <bookViews>
    <workbookView xWindow="28680" yWindow="-120" windowWidth="29040" windowHeight="15720" tabRatio="839" activeTab="5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state="hidden" r:id="rId4"/>
    <sheet name="집계장" sheetId="6" r:id="rId5"/>
    <sheet name="물량 내역서" sheetId="7" r:id="rId6"/>
    <sheet name="근로내역 (05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definedNames>
    <definedName name="_xlnm._FilterDatabase" localSheetId="5" hidden="1">'물량 내역서'!$A$5:$M$52</definedName>
    <definedName name="_xlnm._FilterDatabase" localSheetId="8" hidden="1">숙소관리비!$A$3:$L$81</definedName>
    <definedName name="_xlnm.Print_Area" localSheetId="10">기타비용!$A$1:$I$83</definedName>
    <definedName name="_xlnm.Print_Area" localSheetId="7">숙소임차료!$A$1:$J$29</definedName>
    <definedName name="_xlnm.Print_Area" localSheetId="9">식대비용!$A$1:$J$5</definedName>
    <definedName name="_xlnm.Print_Area" localSheetId="4">집계장!$B$1:$M$29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6" l="1"/>
  <c r="F19" i="6" l="1"/>
  <c r="G9" i="6"/>
  <c r="J19" i="6"/>
  <c r="J20" i="6"/>
  <c r="I20" i="6"/>
  <c r="H21" i="6"/>
  <c r="H25" i="6" s="1"/>
  <c r="J17" i="6"/>
  <c r="G21" i="6"/>
  <c r="H3" i="12" l="1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I3" i="9"/>
  <c r="I3" i="10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AN100" i="8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N84" i="8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AP99" i="8" l="1"/>
  <c r="AP100" i="8"/>
  <c r="AP98" i="8"/>
  <c r="AP97" i="8"/>
  <c r="AP96" i="8"/>
  <c r="AP95" i="8"/>
  <c r="AP94" i="8"/>
  <c r="AP93" i="8"/>
  <c r="AP91" i="8"/>
  <c r="AP90" i="8"/>
  <c r="AP88" i="8"/>
  <c r="AP87" i="8"/>
  <c r="AP86" i="8"/>
  <c r="AP85" i="8"/>
  <c r="AP84" i="8"/>
  <c r="AP83" i="8"/>
  <c r="AP82" i="8"/>
  <c r="AP81" i="8"/>
  <c r="AP80" i="8"/>
  <c r="AP77" i="8"/>
  <c r="AP76" i="8"/>
  <c r="AP73" i="8"/>
  <c r="AP71" i="8"/>
  <c r="AP92" i="8"/>
  <c r="AP89" i="8"/>
  <c r="AP79" i="8"/>
  <c r="AP78" i="8"/>
  <c r="AP75" i="8"/>
  <c r="AP74" i="8"/>
  <c r="AP72" i="8"/>
  <c r="J12" i="7"/>
  <c r="J16" i="6" l="1"/>
  <c r="H13" i="6" l="1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14" i="6" l="1"/>
  <c r="H18" i="6" s="1"/>
  <c r="H24" i="6" s="1"/>
  <c r="I5" i="11"/>
  <c r="AM113" i="8" l="1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112" i="8" l="1"/>
  <c r="AP112" i="8" s="1"/>
  <c r="AN111" i="8"/>
  <c r="AP111" i="8" s="1"/>
  <c r="AN110" i="8"/>
  <c r="AP110" i="8" s="1"/>
  <c r="AN109" i="8"/>
  <c r="AP109" i="8" s="1"/>
  <c r="AN108" i="8"/>
  <c r="AP108" i="8" s="1"/>
  <c r="AN107" i="8"/>
  <c r="AP107" i="8" s="1"/>
  <c r="AN106" i="8"/>
  <c r="AP106" i="8" s="1"/>
  <c r="F5" i="13"/>
  <c r="F6" i="13"/>
  <c r="F7" i="13"/>
  <c r="F8" i="13"/>
  <c r="F9" i="13"/>
  <c r="F10" i="13"/>
  <c r="F11" i="13"/>
  <c r="E27" i="13"/>
  <c r="F27" i="13" l="1"/>
  <c r="D14" i="2" l="1"/>
  <c r="H37" i="12"/>
  <c r="H36" i="12"/>
  <c r="H35" i="12"/>
  <c r="H34" i="12"/>
  <c r="H33" i="12"/>
  <c r="H32" i="12"/>
  <c r="AO114" i="8" l="1"/>
  <c r="AN102" i="8" l="1"/>
  <c r="AN103" i="8"/>
  <c r="AP103" i="8" s="1"/>
  <c r="AN104" i="8"/>
  <c r="AP104" i="8" s="1"/>
  <c r="AN105" i="8"/>
  <c r="AP105" i="8" s="1"/>
  <c r="H13" i="12"/>
  <c r="AN41" i="8"/>
  <c r="AP41" i="8" s="1"/>
  <c r="AN40" i="8"/>
  <c r="AP40" i="8" s="1"/>
  <c r="AN39" i="8"/>
  <c r="AP39" i="8" s="1"/>
  <c r="AP102" i="8" l="1"/>
  <c r="AP113" i="8" s="1"/>
  <c r="AN113" i="8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E11" i="6" l="1"/>
  <c r="E10" i="6"/>
  <c r="AN17" i="8" l="1"/>
  <c r="AP17" i="8" s="1"/>
  <c r="AN16" i="8"/>
  <c r="AP16" i="8" s="1"/>
  <c r="E10" i="2" l="1"/>
  <c r="E9" i="2"/>
  <c r="J51" i="7" l="1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K32" i="7" s="1"/>
  <c r="J31" i="7"/>
  <c r="J30" i="7"/>
  <c r="J29" i="7"/>
  <c r="E6" i="6" l="1"/>
  <c r="H6" i="12"/>
  <c r="H5" i="12"/>
  <c r="H4" i="12"/>
  <c r="G11" i="6" l="1"/>
  <c r="I11" i="6" s="1"/>
  <c r="G10" i="6"/>
  <c r="I10" i="6" s="1"/>
  <c r="AM3" i="8" l="1"/>
  <c r="AM1" i="8"/>
  <c r="AB114" i="8"/>
  <c r="AA114" i="8"/>
  <c r="Z114" i="8"/>
  <c r="X114" i="8"/>
  <c r="Q114" i="8"/>
  <c r="L114" i="8"/>
  <c r="K114" i="8"/>
  <c r="J114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E9" i="6" l="1"/>
  <c r="AG114" i="8"/>
  <c r="AH114" i="8"/>
  <c r="N114" i="8"/>
  <c r="AD114" i="8"/>
  <c r="O114" i="8"/>
  <c r="AE114" i="8"/>
  <c r="R114" i="8"/>
  <c r="I114" i="8"/>
  <c r="Y114" i="8"/>
  <c r="P114" i="8"/>
  <c r="AF114" i="8"/>
  <c r="AI114" i="8"/>
  <c r="T114" i="8"/>
  <c r="AJ114" i="8"/>
  <c r="S114" i="8"/>
  <c r="U114" i="8"/>
  <c r="AK114" i="8"/>
  <c r="V114" i="8"/>
  <c r="AL114" i="8"/>
  <c r="W114" i="8"/>
  <c r="AM114" i="8"/>
  <c r="M114" i="8"/>
  <c r="AC114" i="8"/>
  <c r="AP6" i="8"/>
  <c r="AP101" i="8" s="1"/>
  <c r="E51" i="7"/>
  <c r="K51" i="7" s="1"/>
  <c r="E50" i="7"/>
  <c r="K50" i="7" s="1"/>
  <c r="M50" i="7" s="1"/>
  <c r="G50" i="7" s="1"/>
  <c r="E49" i="7"/>
  <c r="K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E42" i="7"/>
  <c r="E41" i="7"/>
  <c r="E40" i="7"/>
  <c r="E39" i="7"/>
  <c r="E38" i="7"/>
  <c r="E37" i="7"/>
  <c r="E36" i="7"/>
  <c r="E35" i="7"/>
  <c r="K35" i="7" s="1"/>
  <c r="E34" i="7"/>
  <c r="K34" i="7" s="1"/>
  <c r="M34" i="7" s="1"/>
  <c r="G34" i="7" s="1"/>
  <c r="E33" i="7"/>
  <c r="K33" i="7" s="1"/>
  <c r="M33" i="7" s="1"/>
  <c r="G33" i="7" s="1"/>
  <c r="E31" i="7"/>
  <c r="E30" i="7"/>
  <c r="K30" i="7" s="1"/>
  <c r="M30" i="7" s="1"/>
  <c r="G30" i="7" s="1"/>
  <c r="E29" i="7"/>
  <c r="J28" i="7"/>
  <c r="J27" i="7"/>
  <c r="L27" i="7" s="1"/>
  <c r="F27" i="7" s="1"/>
  <c r="J26" i="7"/>
  <c r="K26" i="7" s="1"/>
  <c r="M26" i="7" s="1"/>
  <c r="G26" i="7" s="1"/>
  <c r="J25" i="7"/>
  <c r="K25" i="7" s="1"/>
  <c r="M25" i="7" s="1"/>
  <c r="G25" i="7" s="1"/>
  <c r="J24" i="7"/>
  <c r="L24" i="7" s="1"/>
  <c r="F24" i="7" s="1"/>
  <c r="J23" i="7"/>
  <c r="L23" i="7" s="1"/>
  <c r="F23" i="7" s="1"/>
  <c r="J22" i="7"/>
  <c r="K22" i="7" s="1"/>
  <c r="M22" i="7" s="1"/>
  <c r="G22" i="7" s="1"/>
  <c r="J21" i="7"/>
  <c r="L21" i="7" s="1"/>
  <c r="F21" i="7" s="1"/>
  <c r="J20" i="7"/>
  <c r="L20" i="7" s="1"/>
  <c r="F20" i="7" s="1"/>
  <c r="J19" i="7"/>
  <c r="K19" i="7" s="1"/>
  <c r="M19" i="7" s="1"/>
  <c r="G19" i="7" s="1"/>
  <c r="J18" i="7"/>
  <c r="L18" i="7" s="1"/>
  <c r="F18" i="7" s="1"/>
  <c r="J17" i="7"/>
  <c r="L17" i="7" s="1"/>
  <c r="F17" i="7" s="1"/>
  <c r="J16" i="7"/>
  <c r="L16" i="7" s="1"/>
  <c r="F16" i="7" s="1"/>
  <c r="J15" i="7"/>
  <c r="L15" i="7" s="1"/>
  <c r="F15" i="7" s="1"/>
  <c r="J14" i="7"/>
  <c r="K14" i="7" s="1"/>
  <c r="M14" i="7" s="1"/>
  <c r="G14" i="7" s="1"/>
  <c r="J13" i="7"/>
  <c r="L13" i="7" s="1"/>
  <c r="F13" i="7" s="1"/>
  <c r="L12" i="7"/>
  <c r="F12" i="7" s="1"/>
  <c r="J11" i="7"/>
  <c r="L11" i="7" s="1"/>
  <c r="F11" i="7" s="1"/>
  <c r="J10" i="7"/>
  <c r="L10" i="7" s="1"/>
  <c r="F10" i="7" s="1"/>
  <c r="J9" i="7"/>
  <c r="K9" i="7" s="1"/>
  <c r="M9" i="7" s="1"/>
  <c r="G9" i="7" s="1"/>
  <c r="J8" i="7"/>
  <c r="J7" i="7"/>
  <c r="L7" i="7" s="1"/>
  <c r="F7" i="7" s="1"/>
  <c r="J6" i="7"/>
  <c r="A2" i="7"/>
  <c r="I52" i="7"/>
  <c r="H52" i="7"/>
  <c r="M51" i="7"/>
  <c r="G51" i="7" s="1"/>
  <c r="L50" i="7"/>
  <c r="F50" i="7" s="1"/>
  <c r="M49" i="7"/>
  <c r="G49" i="7" s="1"/>
  <c r="L49" i="7"/>
  <c r="F49" i="7" s="1"/>
  <c r="L48" i="7"/>
  <c r="F48" i="7" s="1"/>
  <c r="L47" i="7"/>
  <c r="F47" i="7" s="1"/>
  <c r="L46" i="7"/>
  <c r="F46" i="7" s="1"/>
  <c r="L35" i="7"/>
  <c r="F35" i="7" s="1"/>
  <c r="L34" i="7"/>
  <c r="F34" i="7" s="1"/>
  <c r="L33" i="7"/>
  <c r="F33" i="7" s="1"/>
  <c r="L32" i="7"/>
  <c r="F32" i="7" s="1"/>
  <c r="M32" i="7"/>
  <c r="G32" i="7" s="1"/>
  <c r="B2" i="6"/>
  <c r="A2" i="13" s="1"/>
  <c r="M3" i="6"/>
  <c r="E19" i="6" l="1"/>
  <c r="K27" i="7"/>
  <c r="M27" i="7" s="1"/>
  <c r="G27" i="7" s="1"/>
  <c r="L8" i="7"/>
  <c r="F8" i="7" s="1"/>
  <c r="J52" i="7"/>
  <c r="L19" i="7"/>
  <c r="F19" i="7" s="1"/>
  <c r="K17" i="7"/>
  <c r="M17" i="7" s="1"/>
  <c r="G17" i="7" s="1"/>
  <c r="AN114" i="8"/>
  <c r="K24" i="7"/>
  <c r="M24" i="7" s="1"/>
  <c r="G24" i="7" s="1"/>
  <c r="K37" i="7"/>
  <c r="M37" i="7" s="1"/>
  <c r="G37" i="7" s="1"/>
  <c r="K38" i="7"/>
  <c r="M38" i="7" s="1"/>
  <c r="G38" i="7" s="1"/>
  <c r="K41" i="7"/>
  <c r="M41" i="7" s="1"/>
  <c r="G41" i="7" s="1"/>
  <c r="K42" i="7"/>
  <c r="M42" i="7" s="1"/>
  <c r="G42" i="7" s="1"/>
  <c r="L43" i="7"/>
  <c r="F43" i="7" s="1"/>
  <c r="K43" i="7"/>
  <c r="M43" i="7" s="1"/>
  <c r="G43" i="7" s="1"/>
  <c r="L9" i="7"/>
  <c r="F9" i="7" s="1"/>
  <c r="K39" i="7"/>
  <c r="K40" i="7"/>
  <c r="M40" i="7" s="1"/>
  <c r="G40" i="7" s="1"/>
  <c r="K11" i="7"/>
  <c r="M11" i="7" s="1"/>
  <c r="G11" i="7" s="1"/>
  <c r="K29" i="7"/>
  <c r="M29" i="7" s="1"/>
  <c r="G29" i="7" s="1"/>
  <c r="K31" i="7"/>
  <c r="M31" i="7" s="1"/>
  <c r="G31" i="7" s="1"/>
  <c r="K36" i="7"/>
  <c r="M36" i="7" s="1"/>
  <c r="G36" i="7" s="1"/>
  <c r="E7" i="6"/>
  <c r="G7" i="6" s="1"/>
  <c r="I7" i="6" s="1"/>
  <c r="J7" i="6" s="1"/>
  <c r="K8" i="7"/>
  <c r="E5" i="6"/>
  <c r="L28" i="7"/>
  <c r="F28" i="7" s="1"/>
  <c r="L25" i="7"/>
  <c r="F25" i="7" s="1"/>
  <c r="AP114" i="8"/>
  <c r="L41" i="7"/>
  <c r="F41" i="7" s="1"/>
  <c r="L39" i="7"/>
  <c r="F39" i="7" s="1"/>
  <c r="K7" i="7"/>
  <c r="M7" i="7" s="1"/>
  <c r="G7" i="7" s="1"/>
  <c r="K15" i="7"/>
  <c r="M15" i="7" s="1"/>
  <c r="G15" i="7" s="1"/>
  <c r="K23" i="7"/>
  <c r="M23" i="7" s="1"/>
  <c r="G23" i="7" s="1"/>
  <c r="K16" i="7"/>
  <c r="M16" i="7" s="1"/>
  <c r="G16" i="7" s="1"/>
  <c r="K6" i="7"/>
  <c r="L6" i="7"/>
  <c r="L14" i="7"/>
  <c r="F14" i="7" s="1"/>
  <c r="L22" i="7"/>
  <c r="F22" i="7" s="1"/>
  <c r="L30" i="7"/>
  <c r="F30" i="7" s="1"/>
  <c r="L37" i="7"/>
  <c r="F37" i="7" s="1"/>
  <c r="L44" i="7"/>
  <c r="F44" i="7" s="1"/>
  <c r="L51" i="7"/>
  <c r="F51" i="7" s="1"/>
  <c r="K12" i="7"/>
  <c r="M12" i="7" s="1"/>
  <c r="G12" i="7" s="1"/>
  <c r="K20" i="7"/>
  <c r="M20" i="7" s="1"/>
  <c r="G20" i="7" s="1"/>
  <c r="K28" i="7"/>
  <c r="M35" i="7"/>
  <c r="G35" i="7" s="1"/>
  <c r="L42" i="7"/>
  <c r="F42" i="7" s="1"/>
  <c r="L31" i="7"/>
  <c r="F31" i="7" s="1"/>
  <c r="L38" i="7"/>
  <c r="F38" i="7" s="1"/>
  <c r="L40" i="7"/>
  <c r="F40" i="7" s="1"/>
  <c r="K18" i="7"/>
  <c r="M18" i="7" s="1"/>
  <c r="G18" i="7" s="1"/>
  <c r="L26" i="7"/>
  <c r="F26" i="7" s="1"/>
  <c r="L45" i="7"/>
  <c r="F45" i="7" s="1"/>
  <c r="K10" i="7"/>
  <c r="M10" i="7" s="1"/>
  <c r="G10" i="7" s="1"/>
  <c r="K13" i="7"/>
  <c r="M13" i="7" s="1"/>
  <c r="G13" i="7" s="1"/>
  <c r="K21" i="7"/>
  <c r="M21" i="7" s="1"/>
  <c r="G21" i="7" s="1"/>
  <c r="L29" i="7"/>
  <c r="F29" i="7" s="1"/>
  <c r="L36" i="7"/>
  <c r="F36" i="7" s="1"/>
  <c r="G23" i="6"/>
  <c r="I22" i="6"/>
  <c r="J22" i="6" s="1"/>
  <c r="I17" i="6"/>
  <c r="I15" i="6"/>
  <c r="J15" i="6" s="1"/>
  <c r="G12" i="6"/>
  <c r="M8" i="7" l="1"/>
  <c r="G8" i="7" s="1"/>
  <c r="G5" i="6"/>
  <c r="I23" i="6"/>
  <c r="J23" i="6" s="1"/>
  <c r="E11" i="2"/>
  <c r="G6" i="6"/>
  <c r="M39" i="7"/>
  <c r="G39" i="7" s="1"/>
  <c r="M28" i="7"/>
  <c r="G28" i="7" s="1"/>
  <c r="L52" i="7"/>
  <c r="F6" i="7"/>
  <c r="F52" i="7" s="1"/>
  <c r="K52" i="7"/>
  <c r="M6" i="7"/>
  <c r="F11" i="6"/>
  <c r="J11" i="6"/>
  <c r="F10" i="6"/>
  <c r="I12" i="6"/>
  <c r="J12" i="6" s="1"/>
  <c r="J10" i="6"/>
  <c r="F6" i="5"/>
  <c r="F7" i="5"/>
  <c r="F8" i="5"/>
  <c r="F9" i="5"/>
  <c r="F10" i="5"/>
  <c r="F11" i="5"/>
  <c r="F5" i="5"/>
  <c r="E15" i="5"/>
  <c r="E3" i="2"/>
  <c r="D3" i="2"/>
  <c r="I5" i="6" l="1"/>
  <c r="G8" i="6"/>
  <c r="I8" i="6" s="1"/>
  <c r="E12" i="2"/>
  <c r="D12" i="2" s="1"/>
  <c r="I9" i="6"/>
  <c r="J9" i="6" s="1"/>
  <c r="G13" i="6"/>
  <c r="F6" i="6"/>
  <c r="I6" i="6"/>
  <c r="J6" i="6" s="1"/>
  <c r="F9" i="6"/>
  <c r="F5" i="6"/>
  <c r="M52" i="7"/>
  <c r="G6" i="7"/>
  <c r="G52" i="7" s="1"/>
  <c r="F13" i="5"/>
  <c r="D11" i="2"/>
  <c r="D10" i="2"/>
  <c r="D9" i="2"/>
  <c r="D7" i="2"/>
  <c r="J8" i="6" l="1"/>
  <c r="F15" i="5"/>
  <c r="J5" i="6"/>
  <c r="G14" i="6"/>
  <c r="G18" i="6" s="1"/>
  <c r="I13" i="6"/>
  <c r="J13" i="6" s="1"/>
  <c r="G24" i="6" l="1"/>
  <c r="I14" i="6"/>
  <c r="I18" i="6" s="1"/>
  <c r="I24" i="6" s="1"/>
  <c r="J14" i="6" l="1"/>
  <c r="J18" i="6" l="1"/>
  <c r="J24" i="6" s="1"/>
  <c r="J21" i="6" l="1"/>
  <c r="J25" i="6" s="1"/>
  <c r="E5" i="2" s="1"/>
  <c r="D5" i="2" s="1"/>
  <c r="I21" i="6"/>
  <c r="G25" i="6"/>
  <c r="I25" i="6" l="1"/>
  <c r="E8" i="2" s="1"/>
  <c r="D8" i="2" s="1"/>
  <c r="D13" i="2"/>
  <c r="E6" i="2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<sst xmlns="http://schemas.openxmlformats.org/spreadsheetml/2006/main" count="2036" uniqueCount="861">
  <si>
    <t>용 역 청 구 서</t>
    <phoneticPr fontId="5" type="noConversion"/>
  </si>
  <si>
    <t>용 역 청 구 서</t>
    <phoneticPr fontId="5" type="noConversion"/>
  </si>
  <si>
    <t>공      사      명</t>
    <phoneticPr fontId="8" type="noConversion"/>
  </si>
  <si>
    <t>:</t>
    <phoneticPr fontId="8" type="noConversion"/>
  </si>
  <si>
    <t>공               종</t>
    <phoneticPr fontId="8" type="noConversion"/>
  </si>
  <si>
    <t xml:space="preserve"> 외주용역(M/M부분)</t>
    <phoneticPr fontId="3" type="noConversion"/>
  </si>
  <si>
    <t>계   약    금   액</t>
    <phoneticPr fontId="8" type="noConversion"/>
  </si>
  <si>
    <t>(VAT 별도)</t>
    <phoneticPr fontId="8" type="noConversion"/>
  </si>
  <si>
    <t>누 계 기 성 금 액</t>
    <phoneticPr fontId="8" type="noConversion"/>
  </si>
  <si>
    <t>(VAT 별도)</t>
    <phoneticPr fontId="8" type="noConversion"/>
  </si>
  <si>
    <t>전 회 기 성 금 액</t>
    <phoneticPr fontId="8" type="noConversion"/>
  </si>
  <si>
    <t>:</t>
    <phoneticPr fontId="8" type="noConversion"/>
  </si>
  <si>
    <t>(VAT 별도)</t>
    <phoneticPr fontId="8" type="noConversion"/>
  </si>
  <si>
    <t>금 회 기 성 금 액</t>
    <phoneticPr fontId="8" type="noConversion"/>
  </si>
  <si>
    <t>(VAT 별도)</t>
    <phoneticPr fontId="8" type="noConversion"/>
  </si>
  <si>
    <t>선      금       액</t>
    <phoneticPr fontId="8" type="noConversion"/>
  </si>
  <si>
    <t>:</t>
    <phoneticPr fontId="8" type="noConversion"/>
  </si>
  <si>
    <t xml:space="preserve">선 금 전 회 공 제    </t>
    <phoneticPr fontId="8" type="noConversion"/>
  </si>
  <si>
    <t>:</t>
    <phoneticPr fontId="3" type="noConversion"/>
  </si>
  <si>
    <t>선 금 금 회 공 제</t>
    <phoneticPr fontId="8" type="noConversion"/>
  </si>
  <si>
    <t>선 금 잔 여 금 액</t>
    <phoneticPr fontId="8" type="noConversion"/>
  </si>
  <si>
    <t>금 회 청 구 금 액</t>
    <phoneticPr fontId="8" type="noConversion"/>
  </si>
  <si>
    <t>:</t>
    <phoneticPr fontId="8" type="noConversion"/>
  </si>
  <si>
    <t>잔 여 기 성 금 액</t>
    <phoneticPr fontId="8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</si>
  <si>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</si>
  <si>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</si>
  <si>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</si>
  <si>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</si>
  <si>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8" type="noConversion"/>
  </si>
  <si>
    <t>관하여 하자가 발견된 때에는 즉시 실액배상 또는 재 시공할것을 서약하고 이에 기성 청구서를 제출합니다.</t>
    <phoneticPr fontId="8" type="noConversion"/>
  </si>
  <si>
    <t>상기건과 관련하여 본 청구 이전까지의 모든 대금은 수령하였음을 확약합니다.</t>
    <phoneticPr fontId="3" type="noConversion"/>
  </si>
  <si>
    <t>상      호 :</t>
    <phoneticPr fontId="8" type="noConversion"/>
  </si>
  <si>
    <t xml:space="preserve">※첨  부 : 기성내역서            1부. </t>
    <phoneticPr fontId="8" type="noConversion"/>
  </si>
  <si>
    <t>주      소 :</t>
    <phoneticPr fontId="8" type="noConversion"/>
  </si>
  <si>
    <t>대표이사 :</t>
    <phoneticPr fontId="8" type="noConversion"/>
  </si>
  <si>
    <t>㈜케이씨이앤씨 귀하</t>
    <phoneticPr fontId="8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</si>
  <si>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</si>
  <si>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</si>
  <si>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</si>
  <si>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</si>
  <si>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</si>
  <si>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</si>
  <si>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</si>
  <si>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</si>
  <si>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</si>
  <si>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</si>
  <si>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</si>
  <si>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</si>
  <si>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</si>
  <si>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</si>
  <si>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</si>
  <si>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</si>
  <si>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</si>
  <si>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</si>
  <si>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</si>
  <si>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</si>
  <si>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</si>
  <si>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</si>
  <si>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</si>
  <si>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</si>
  <si>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</si>
  <si>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</si>
  <si>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</si>
  <si>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</si>
  <si>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</si>
  <si>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</si>
  <si>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</si>
  <si>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</si>
  <si>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</si>
  <si>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</si>
  <si>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</si>
  <si>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</si>
  <si>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</si>
  <si>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</si>
  <si>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</si>
  <si>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</si>
  <si>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</si>
  <si>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</si>
  <si>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</si>
  <si>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</si>
  <si>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</si>
  <si>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</si>
  <si>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</si>
  <si>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</si>
  <si>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</si>
  <si>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</si>
  <si>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</si>
  <si>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</si>
  <si>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</si>
  <si>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</si>
  <si>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</si>
  <si>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</si>
  <si>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</si>
  <si>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</si>
  <si>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</si>
  <si>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</si>
  <si>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</si>
  <si>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</si>
  <si>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</si>
  <si>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</si>
  <si>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</si>
  <si>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</si>
  <si>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</si>
  <si>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</si>
  <si>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</si>
  <si>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</si>
  <si>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</si>
  <si>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</si>
  <si>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</si>
  <si>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</si>
  <si>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</si>
  <si>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</si>
  <si>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</si>
  <si>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</si>
  <si>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</si>
  <si>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</si>
  <si>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</si>
  <si>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</si>
  <si>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</si>
  <si>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</si>
  <si>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</si>
  <si>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</si>
  <si>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</si>
  <si>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</si>
  <si>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</si>
  <si>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</si>
  <si>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</si>
  <si>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</si>
  <si>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</si>
  <si>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>직접노무비</t>
    <phoneticPr fontId="3" type="noConversion"/>
  </si>
  <si>
    <t>式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</si>
  <si>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</si>
  <si>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</si>
  <si>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</si>
  <si>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</si>
  <si>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</si>
  <si>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</si>
  <si>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</si>
  <si>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>기성금*XX%</t>
    <phoneticPr fontId="3" type="noConversion"/>
  </si>
  <si>
    <t>式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</si>
  <si>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</si>
  <si>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</si>
  <si>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</si>
  <si>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</si>
  <si>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</si>
  <si>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</si>
  <si>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</si>
  <si>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</si>
  <si>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</si>
  <si>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</si>
  <si>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</si>
  <si>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</si>
  <si>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</si>
  <si>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</si>
  <si>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</si>
  <si>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</si>
  <si>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</si>
  <si>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</si>
  <si>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</si>
  <si>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</si>
  <si>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</si>
  <si>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</si>
  <si>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</si>
  <si>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</si>
  <si>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</si>
  <si>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</si>
  <si>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</si>
  <si>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</si>
  <si>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</si>
  <si>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</si>
  <si>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</si>
  <si>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</si>
  <si>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</si>
  <si>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</si>
  <si>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</si>
  <si>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</si>
  <si>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</si>
  <si>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</si>
  <si>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</si>
  <si>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</si>
  <si>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</si>
  <si>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</si>
  <si>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</si>
  <si>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</si>
  <si>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</si>
  <si>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</si>
  <si>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</si>
  <si>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</si>
  <si>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</si>
  <si>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</si>
  <si>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</si>
  <si>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</si>
  <si>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</si>
  <si>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</si>
  <si>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</si>
  <si>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</si>
  <si>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</si>
  <si>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</si>
  <si>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</si>
  <si>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</si>
  <si>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</si>
  <si>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</si>
  <si>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</si>
  <si>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</si>
  <si>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</si>
  <si>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</si>
  <si>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</si>
  <si>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</si>
  <si>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</si>
  <si>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</si>
  <si>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</si>
  <si>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</si>
  <si>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</si>
  <si>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</si>
  <si>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</si>
  <si>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</si>
  <si>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</si>
  <si>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</si>
  <si>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</si>
  <si>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</si>
  <si>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</si>
  <si>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</si>
  <si>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</si>
  <si>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</si>
  <si>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</si>
  <si>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</si>
  <si>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</si>
  <si>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</si>
  <si>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</si>
  <si>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</si>
  <si>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</si>
  <si>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</si>
  <si>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</si>
  <si>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</si>
  <si>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</si>
  <si>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</si>
  <si>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</si>
  <si>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</si>
  <si>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</si>
  <si>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</si>
  <si>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</si>
  <si>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</si>
  <si>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</si>
  <si>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</si>
  <si>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</si>
  <si>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</si>
  <si>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</si>
  <si>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</si>
  <si>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</si>
  <si>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</si>
  <si>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</si>
  <si>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</si>
  <si>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</si>
  <si>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</si>
  <si>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</si>
  <si>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</si>
  <si>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</si>
  <si>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</si>
  <si>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</si>
  <si>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</si>
  <si>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</si>
  <si>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</si>
  <si>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</si>
  <si>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</si>
  <si>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</si>
  <si>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</si>
  <si>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</si>
  <si>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</si>
  <si>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</si>
  <si>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</si>
  <si>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</si>
  <si>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</si>
  <si>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</si>
  <si>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</si>
  <si>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</si>
  <si>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</si>
  <si>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</si>
  <si>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</si>
  <si>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</si>
  <si>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</si>
  <si>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</si>
  <si>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</si>
  <si>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</si>
  <si>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</si>
  <si>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</si>
  <si>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</si>
  <si>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</si>
  <si>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</si>
  <si>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</si>
  <si>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</si>
  <si>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</si>
  <si>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</si>
  <si>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</si>
  <si>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</si>
  <si>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</si>
  <si>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8" type="noConversion"/>
  </si>
  <si>
    <t>우리</t>
  </si>
  <si>
    <t>기업</t>
  </si>
  <si>
    <t>202호</t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</si>
  <si>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</si>
  <si>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</si>
  <si>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</si>
  <si>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</si>
  <si>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밥심</t>
    <phoneticPr fontId="3" type="noConversion"/>
  </si>
  <si>
    <t>하나</t>
  </si>
  <si>
    <t>우체국</t>
  </si>
  <si>
    <t>401호</t>
  </si>
  <si>
    <t>석임수</t>
  </si>
  <si>
    <t>911020-1685317</t>
  </si>
  <si>
    <t>공사보조</t>
    <phoneticPr fontId="3" type="noConversion"/>
  </si>
  <si>
    <t>안전보조</t>
    <phoneticPr fontId="3" type="noConversion"/>
  </si>
  <si>
    <t>238-910260-47407</t>
  </si>
  <si>
    <t>010-4183-1119</t>
  </si>
  <si>
    <t>보루 [5KG,면 [백호]]</t>
  </si>
  <si>
    <t>건전지 [AAA,2개 [벡셀]]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</si>
  <si>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</si>
  <si>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</si>
  <si>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</si>
  <si>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</si>
  <si>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</si>
  <si>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</si>
  <si>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</si>
  <si>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</si>
  <si>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</si>
  <si>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</si>
  <si>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</si>
  <si>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</si>
  <si>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</si>
  <si>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</si>
  <si>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</si>
  <si>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</si>
  <si>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1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</si>
  <si>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</si>
  <si>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</si>
  <si>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</si>
  <si>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</si>
  <si>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</si>
  <si>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</si>
  <si>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</si>
  <si>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S26-001</t>
    <phoneticPr fontId="5" type="noConversion"/>
  </si>
  <si>
    <t>조 수 원</t>
    <phoneticPr fontId="3" type="noConversion"/>
  </si>
  <si>
    <t>강희수</t>
  </si>
  <si>
    <t>730210-1029411</t>
  </si>
  <si>
    <t>도비공</t>
  </si>
  <si>
    <t>010-9561-6101</t>
  </si>
  <si>
    <t>110-490-486591</t>
  </si>
  <si>
    <t>김금성</t>
  </si>
  <si>
    <t>870118-1162639</t>
  </si>
  <si>
    <t>010-5125-5154</t>
  </si>
  <si>
    <t>351-1130-0614-23</t>
  </si>
  <si>
    <t>김동욱</t>
  </si>
  <si>
    <t>810302-1830628</t>
  </si>
  <si>
    <t>010-5022-0444</t>
  </si>
  <si>
    <t>302-5022-0444-11</t>
  </si>
  <si>
    <t>김마태</t>
  </si>
  <si>
    <t>830224-1912010</t>
  </si>
  <si>
    <t>010-2725-6089</t>
  </si>
  <si>
    <t>175-073189-01-013</t>
  </si>
  <si>
    <t>토스뱅크</t>
  </si>
  <si>
    <t>김정인</t>
  </si>
  <si>
    <t>911224-1235320</t>
  </si>
  <si>
    <t>010-3175-7994</t>
  </si>
  <si>
    <t>김진</t>
  </si>
  <si>
    <t>840728-1235014</t>
  </si>
  <si>
    <t>010-6246-4588</t>
  </si>
  <si>
    <t>458-013758-02-012</t>
  </si>
  <si>
    <t>김치헌</t>
  </si>
  <si>
    <t>790914-1567115</t>
  </si>
  <si>
    <t>010-4191-6886</t>
  </si>
  <si>
    <t>257602-04-003063</t>
  </si>
  <si>
    <t>김형태</t>
  </si>
  <si>
    <t>700430-1069427</t>
  </si>
  <si>
    <t>010-3186-7175</t>
  </si>
  <si>
    <t>352-1156-5484-53</t>
  </si>
  <si>
    <t>남현빈</t>
  </si>
  <si>
    <t>990907-1842410</t>
  </si>
  <si>
    <t>010-7131-4342</t>
  </si>
  <si>
    <t>카카오뱅크</t>
  </si>
  <si>
    <t>3333-13-8378173</t>
  </si>
  <si>
    <t>성지현</t>
  </si>
  <si>
    <t>861110-1351114</t>
  </si>
  <si>
    <t>010-9197-9732</t>
  </si>
  <si>
    <t>3333-01-9967097</t>
  </si>
  <si>
    <t>신민철</t>
  </si>
  <si>
    <t>830814-1183120</t>
  </si>
  <si>
    <t>010-7706-5000</t>
  </si>
  <si>
    <t>289-082628-01-018</t>
  </si>
  <si>
    <t>양정운</t>
  </si>
  <si>
    <t>821019-1449616</t>
  </si>
  <si>
    <t>010-3641-8181</t>
  </si>
  <si>
    <t>302-1350-3060-51</t>
  </si>
  <si>
    <t>양정인</t>
  </si>
  <si>
    <t>810207-1455012</t>
  </si>
  <si>
    <t>010-8824-6401</t>
  </si>
  <si>
    <t>472301-04-019277</t>
  </si>
  <si>
    <t>연승렬</t>
  </si>
  <si>
    <t>700216-1011916</t>
  </si>
  <si>
    <t>010-8098-3356</t>
  </si>
  <si>
    <t>186-086062-01-011</t>
  </si>
  <si>
    <t>옥유정</t>
  </si>
  <si>
    <t>850715-2093511</t>
  </si>
  <si>
    <t>010-2313-8731</t>
  </si>
  <si>
    <t>3333-17-6983150</t>
  </si>
  <si>
    <t>이강남</t>
  </si>
  <si>
    <t>750810-1106711</t>
  </si>
  <si>
    <t>010-2369-7579</t>
  </si>
  <si>
    <t>102319-02-095386</t>
  </si>
  <si>
    <t>이백창</t>
  </si>
  <si>
    <t>761016-1110611</t>
  </si>
  <si>
    <t>010-9815-0818</t>
  </si>
  <si>
    <t>NH투자증권</t>
  </si>
  <si>
    <t>207-01-565429</t>
  </si>
  <si>
    <t>이상덕</t>
  </si>
  <si>
    <t>730801-1545424</t>
  </si>
  <si>
    <t>010-2495-1870</t>
  </si>
  <si>
    <t>183-015807-01020</t>
  </si>
  <si>
    <t>이수빈</t>
  </si>
  <si>
    <t>940912-1105528</t>
  </si>
  <si>
    <t>010-7774-4872</t>
  </si>
  <si>
    <t>110802-04-289399</t>
  </si>
  <si>
    <t>이진</t>
  </si>
  <si>
    <t>900815-1066311</t>
  </si>
  <si>
    <t>010-8738-7072</t>
  </si>
  <si>
    <t>757102-04-212989</t>
  </si>
  <si>
    <t>이희준</t>
  </si>
  <si>
    <t>840808-1002416</t>
  </si>
  <si>
    <t>010-7612-6003</t>
  </si>
  <si>
    <t>1000-3396-8736</t>
  </si>
  <si>
    <t>정춘식</t>
  </si>
  <si>
    <t>870321-1050411</t>
  </si>
  <si>
    <t xml:space="preserve">010-3413-8703 </t>
  </si>
  <si>
    <t>352-1195-1823-93</t>
  </si>
  <si>
    <t>최원석</t>
  </si>
  <si>
    <t>791023-1065216</t>
  </si>
  <si>
    <t>010-6307-9819</t>
  </si>
  <si>
    <t>604401-01-239264</t>
  </si>
  <si>
    <t>최형권</t>
  </si>
  <si>
    <t>820625-1411930</t>
  </si>
  <si>
    <t>010-3121-3146</t>
  </si>
  <si>
    <t>1002-337-154871</t>
  </si>
  <si>
    <t>하성호</t>
  </si>
  <si>
    <t>770108-1468427</t>
  </si>
  <si>
    <t>010-8962-6247</t>
  </si>
  <si>
    <t>110-175-083529</t>
  </si>
  <si>
    <t>허남일</t>
  </si>
  <si>
    <t>771202-1452815</t>
  </si>
  <si>
    <t>010-8096-7102</t>
  </si>
  <si>
    <t>312363-02-228401</t>
  </si>
  <si>
    <t>황동우</t>
  </si>
  <si>
    <t>770113-1558817</t>
  </si>
  <si>
    <t>010-2360-6689</t>
  </si>
  <si>
    <t>688801-00-122509</t>
  </si>
  <si>
    <t>황민일</t>
  </si>
  <si>
    <t>030404-3253526</t>
  </si>
  <si>
    <t>010-5539-7068</t>
  </si>
  <si>
    <t>110-512-016280</t>
  </si>
  <si>
    <t>황순일</t>
  </si>
  <si>
    <t>960117-1254015</t>
  </si>
  <si>
    <t>010-3900-7068</t>
  </si>
  <si>
    <t>가위 [SB-P300,CTX [세신]]</t>
  </si>
  <si>
    <t>물파스 [90ML [현대약품]]</t>
  </si>
  <si>
    <t>알곤게이지 [KX-3 [코리아나]]</t>
  </si>
  <si>
    <t>강채연</t>
  </si>
  <si>
    <t>구윤하</t>
  </si>
  <si>
    <t>권중섭</t>
  </si>
  <si>
    <t>김의찬</t>
  </si>
  <si>
    <t>김정규</t>
  </si>
  <si>
    <t>김지민</t>
  </si>
  <si>
    <t>김택수</t>
  </si>
  <si>
    <t>김희강</t>
  </si>
  <si>
    <t>박지원</t>
  </si>
  <si>
    <t>박혁</t>
  </si>
  <si>
    <t>배찬영</t>
  </si>
  <si>
    <t>신경진</t>
  </si>
  <si>
    <t>심완</t>
  </si>
  <si>
    <t>안수현</t>
  </si>
  <si>
    <t>윤대성</t>
  </si>
  <si>
    <t>이동은</t>
  </si>
  <si>
    <t>이은희</t>
  </si>
  <si>
    <t>이철호</t>
  </si>
  <si>
    <t>이현우</t>
  </si>
  <si>
    <t>전현수</t>
  </si>
  <si>
    <t>정익수</t>
  </si>
  <si>
    <t>정재윤</t>
  </si>
  <si>
    <t>최수종</t>
  </si>
  <si>
    <t>최정민</t>
  </si>
  <si>
    <t>추호윤</t>
  </si>
  <si>
    <t>함지원</t>
  </si>
  <si>
    <t>980703-2192257</t>
  </si>
  <si>
    <t>680130-2162814</t>
  </si>
  <si>
    <t>830806-1697210</t>
  </si>
  <si>
    <t>810916-1090421</t>
  </si>
  <si>
    <t>821122-1047416</t>
  </si>
  <si>
    <t>930707-1150011</t>
  </si>
  <si>
    <t>751221-1663222</t>
  </si>
  <si>
    <t>010617-3234118</t>
  </si>
  <si>
    <t>960502-1784039</t>
  </si>
  <si>
    <t>741010-1241714</t>
  </si>
  <si>
    <t>771214 -1906312</t>
  </si>
  <si>
    <t>880103-1105818</t>
  </si>
  <si>
    <t>870602-1417011</t>
  </si>
  <si>
    <t>970206-2728016</t>
  </si>
  <si>
    <t xml:space="preserve">870228-1800810 </t>
  </si>
  <si>
    <t>900720-1156817</t>
  </si>
  <si>
    <t>950520-2522712</t>
  </si>
  <si>
    <t>740901-1345439</t>
  </si>
  <si>
    <t>910319-1078115</t>
  </si>
  <si>
    <t>880725-1001710</t>
  </si>
  <si>
    <t>940126-1081741</t>
  </si>
  <si>
    <t>830225-1009714</t>
  </si>
  <si>
    <t>990511-1024713</t>
  </si>
  <si>
    <t>000904-3247314</t>
  </si>
  <si>
    <t>020222-3095822</t>
  </si>
  <si>
    <t>951003-1042312</t>
  </si>
  <si>
    <t>보통인부</t>
    <phoneticPr fontId="3" type="noConversion"/>
  </si>
  <si>
    <t>010-5725-9067</t>
  </si>
  <si>
    <t>010-3259-2177</t>
  </si>
  <si>
    <t>010-9742-9790</t>
  </si>
  <si>
    <t xml:space="preserve">010-7748-9382 </t>
  </si>
  <si>
    <t>010-3240-6194</t>
  </si>
  <si>
    <t>010-8000-2457</t>
  </si>
  <si>
    <t xml:space="preserve">010-7942-1751 </t>
  </si>
  <si>
    <t>010-7728-5274</t>
  </si>
  <si>
    <t>010-2498-2025</t>
  </si>
  <si>
    <t>010 4943-6825</t>
  </si>
  <si>
    <t>010-8896-7746</t>
  </si>
  <si>
    <t>010-6540-2229</t>
  </si>
  <si>
    <t>010-5101-6010</t>
  </si>
  <si>
    <t>010-5045-9210</t>
  </si>
  <si>
    <t xml:space="preserve">010-6690-3570 </t>
  </si>
  <si>
    <t>010-5581-1814</t>
  </si>
  <si>
    <t>010-2359-1912</t>
  </si>
  <si>
    <t>010-9742-4992</t>
  </si>
  <si>
    <t>010-9685-6744</t>
  </si>
  <si>
    <t>010-2678-5126</t>
  </si>
  <si>
    <t>010-2323-7788</t>
  </si>
  <si>
    <t>010-4215-4580</t>
  </si>
  <si>
    <t>010-9439-3189</t>
  </si>
  <si>
    <t>010-6258-9703</t>
  </si>
  <si>
    <t>010-2101-6076</t>
  </si>
  <si>
    <t xml:space="preserve">010-7281-8411 </t>
  </si>
  <si>
    <t>399102-04-168176</t>
  </si>
  <si>
    <t>206-910258-60907</t>
  </si>
  <si>
    <t>110-430-392742</t>
  </si>
  <si>
    <t xml:space="preserve">121802-04-157456 </t>
  </si>
  <si>
    <t>757101-04-044154</t>
  </si>
  <si>
    <t>3333-13-9046173</t>
  </si>
  <si>
    <t>1002-339-327014</t>
  </si>
  <si>
    <t>1002-564-210008</t>
  </si>
  <si>
    <t>737302-01-193557</t>
  </si>
  <si>
    <t>502901-01-043350</t>
  </si>
  <si>
    <t>352-1366-3636-53</t>
  </si>
  <si>
    <t>507-027831-01-010</t>
  </si>
  <si>
    <t>292-910293-88807</t>
  </si>
  <si>
    <t>110-404-264147</t>
  </si>
  <si>
    <t>3333-17-1177994</t>
  </si>
  <si>
    <t>3333-13-0258058</t>
  </si>
  <si>
    <t>104893-02-161818</t>
  </si>
  <si>
    <t>923801-00-052642</t>
  </si>
  <si>
    <t>카카오</t>
  </si>
  <si>
    <t>3333-20-7007974</t>
  </si>
  <si>
    <t>110-398-862753</t>
  </si>
  <si>
    <t>1000-1986-6427</t>
  </si>
  <si>
    <t>3333-08-8329737</t>
  </si>
  <si>
    <t>356-1161-8531-13</t>
  </si>
  <si>
    <t>103-108101-01-015</t>
  </si>
  <si>
    <t>933502-00-554904</t>
  </si>
  <si>
    <t>에폭시접착제 [매직스틱,다목적용,114G,CTX [엑시아]]</t>
  </si>
  <si>
    <t>귀마개 [1100,끈없음,200개 [3M]]</t>
  </si>
  <si>
    <t>우의 [일회용,크래커,백색 [SW]]</t>
  </si>
  <si>
    <t>가위집 [PVC [AK]]</t>
  </si>
  <si>
    <t>컷쏘날 [S1122BF,철재,바이메탈,5개입 [보쉬]]</t>
  </si>
  <si>
    <t>장갑클립 [일반형]</t>
  </si>
  <si>
    <t>건전지 [AA,2개 [벡셀]]</t>
  </si>
  <si>
    <t>케이블타이 [300mm(1봉=500개),백색 [HNS]]</t>
  </si>
  <si>
    <t>철직자 [BD-FJ150,CTX [블루텍]]</t>
  </si>
  <si>
    <t>칫솔브러쉬 [브러쉬,스텐 [스마토]]</t>
  </si>
  <si>
    <t>SDS PLUS BIT [4날,17*210 [드라켄]]</t>
  </si>
  <si>
    <t>네임펜 [양면,흑색,12개 [모나미]]</t>
  </si>
  <si>
    <t>텅스텐봉 [3.2Q,10개,란탄2%,CTX [크레토스]]</t>
  </si>
  <si>
    <t>PP로프 [6mm*100m [HNS]]</t>
  </si>
  <si>
    <t>추가 공사건 투입인원 합   계</t>
    <phoneticPr fontId="3" type="noConversion"/>
  </si>
  <si>
    <t>만 단위 이하 절사</t>
    <phoneticPr fontId="8" type="noConversion"/>
  </si>
  <si>
    <t>기타지급 운영비</t>
    <phoneticPr fontId="3" type="noConversion"/>
  </si>
  <si>
    <t xml:space="preserve"> 2. 노무비</t>
    <phoneticPr fontId="3" type="noConversion"/>
  </si>
  <si>
    <t xml:space="preserve"> 3. 숙소 및 식대</t>
    <phoneticPr fontId="3" type="noConversion"/>
  </si>
  <si>
    <t xml:space="preserve"> 4. 기타 공제 내역</t>
    <phoneticPr fontId="3" type="noConversion"/>
  </si>
  <si>
    <t xml:space="preserve"> 5. 유보금</t>
    <phoneticPr fontId="3" type="noConversion"/>
  </si>
  <si>
    <t xml:space="preserve"> 6. 유보금 차액</t>
    <phoneticPr fontId="3" type="noConversion"/>
  </si>
  <si>
    <t xml:space="preserve"> 7. NEGO</t>
    <phoneticPr fontId="3" type="noConversion"/>
  </si>
  <si>
    <t xml:space="preserve"> 8. 기타지급운영비</t>
    <phoneticPr fontId="3" type="noConversion"/>
  </si>
  <si>
    <t>전회 누계유보금</t>
    <phoneticPr fontId="3" type="noConversion"/>
  </si>
  <si>
    <t>누계 적자기성액</t>
    <phoneticPr fontId="3" type="noConversion"/>
  </si>
  <si>
    <t>P4 Ph2 GAS&amp;PCW 1공구</t>
    <phoneticPr fontId="8" type="noConversion"/>
  </si>
  <si>
    <t>전월 적자 기성액 (139,160,193원)</t>
  </si>
  <si>
    <t>2026년 05월</t>
    <phoneticPr fontId="5" type="noConversion"/>
  </si>
  <si>
    <t>2026. 05. 01 ~ 2026. 05. 31</t>
    <phoneticPr fontId="3" type="noConversion"/>
  </si>
  <si>
    <t>작 성 일 :   2026  년  05 월   31 일</t>
    <phoneticPr fontId="8" type="noConversion"/>
  </si>
  <si>
    <t>구문정</t>
  </si>
  <si>
    <t>김민지</t>
  </si>
  <si>
    <t>김재윤</t>
  </si>
  <si>
    <t>박도현</t>
  </si>
  <si>
    <t>신주현</t>
  </si>
  <si>
    <t>오경미</t>
  </si>
  <si>
    <t>이완석</t>
  </si>
  <si>
    <t>조동만</t>
  </si>
  <si>
    <t>주효수</t>
  </si>
  <si>
    <t>김민재</t>
  </si>
  <si>
    <t>김대욱</t>
  </si>
  <si>
    <t>김호선</t>
  </si>
  <si>
    <t>조장윤</t>
  </si>
  <si>
    <t>이광재</t>
  </si>
  <si>
    <t>서용환</t>
  </si>
  <si>
    <t>홍유진</t>
  </si>
  <si>
    <t>김현중</t>
  </si>
  <si>
    <t>강동우</t>
  </si>
  <si>
    <t>김진재</t>
  </si>
  <si>
    <t>이인용</t>
  </si>
  <si>
    <t>조형래</t>
  </si>
  <si>
    <t>정경한</t>
  </si>
  <si>
    <t>박기태</t>
  </si>
  <si>
    <t>류덕원</t>
  </si>
  <si>
    <t>이형동</t>
  </si>
  <si>
    <t>진선주</t>
  </si>
  <si>
    <t>서국교</t>
  </si>
  <si>
    <t>천성욱</t>
  </si>
  <si>
    <t>최동철</t>
  </si>
  <si>
    <t>김진성</t>
  </si>
  <si>
    <t>이장원</t>
  </si>
  <si>
    <t>조치홍</t>
  </si>
  <si>
    <t>김성율</t>
  </si>
  <si>
    <t>정보천</t>
  </si>
  <si>
    <t>임형석</t>
  </si>
  <si>
    <t>임형균</t>
  </si>
  <si>
    <t>김기진</t>
  </si>
  <si>
    <t>설희수</t>
  </si>
  <si>
    <t>진영효</t>
  </si>
  <si>
    <t>681118-2567718</t>
  </si>
  <si>
    <t>850908-2661019</t>
  </si>
  <si>
    <t>861216-1157613</t>
  </si>
  <si>
    <t>810129-1102111</t>
  </si>
  <si>
    <t>810227-1063429</t>
  </si>
  <si>
    <t>800326-2783516</t>
  </si>
  <si>
    <t>921116-1151522</t>
  </si>
  <si>
    <t>890823-1409016</t>
  </si>
  <si>
    <t>950219-1194529</t>
  </si>
  <si>
    <t>940217-1474315</t>
  </si>
  <si>
    <t>890712-1058810</t>
  </si>
  <si>
    <t>750703-1231129</t>
  </si>
  <si>
    <t>970405-1198129</t>
  </si>
  <si>
    <t>940824-1017712</t>
  </si>
  <si>
    <t>930224-1155728</t>
  </si>
  <si>
    <t>721121-1841922</t>
  </si>
  <si>
    <t>920608-1476210</t>
  </si>
  <si>
    <t xml:space="preserve">810127-1026118 </t>
  </si>
  <si>
    <t>921012-1122616</t>
  </si>
  <si>
    <t>700412-1332911</t>
  </si>
  <si>
    <t>790904-1822240</t>
  </si>
  <si>
    <t>940505-1002610</t>
  </si>
  <si>
    <t>870119-1106216</t>
  </si>
  <si>
    <t>710419-1017220</t>
  </si>
  <si>
    <t>600705-1783124</t>
  </si>
  <si>
    <t>760210-1340424</t>
  </si>
  <si>
    <t>691016-1790012</t>
  </si>
  <si>
    <t>800328-1113122</t>
  </si>
  <si>
    <t>720320-1340329</t>
  </si>
  <si>
    <t>921101-1865311</t>
  </si>
  <si>
    <t>780613-1012314</t>
  </si>
  <si>
    <t>841107-1830644</t>
  </si>
  <si>
    <t>870729-1535314</t>
  </si>
  <si>
    <t>771124-1120011</t>
  </si>
  <si>
    <t>780315-1696625</t>
  </si>
  <si>
    <t>750505-1675611</t>
  </si>
  <si>
    <t>760118-1696412</t>
  </si>
  <si>
    <t>710817-2528013</t>
  </si>
  <si>
    <t>710124-1892314</t>
  </si>
  <si>
    <t>010-8180-1166</t>
  </si>
  <si>
    <t>010-3173-2826</t>
  </si>
  <si>
    <t>010-3955-1110</t>
  </si>
  <si>
    <t>010-8927-0083</t>
  </si>
  <si>
    <t>010-4763-4454</t>
  </si>
  <si>
    <t>010-2433-1425</t>
  </si>
  <si>
    <t>010-2624-6545</t>
  </si>
  <si>
    <t>010-4125-1296</t>
  </si>
  <si>
    <t>010-5830-9182</t>
  </si>
  <si>
    <t>010-9961-0647</t>
  </si>
  <si>
    <t>010-3646-9962</t>
  </si>
  <si>
    <t>010-3897-9438</t>
  </si>
  <si>
    <t>010-3541-0407</t>
  </si>
  <si>
    <t>010-8878-4284</t>
  </si>
  <si>
    <t>010-4100-9831</t>
  </si>
  <si>
    <t>010-9326-3250</t>
  </si>
  <si>
    <t>010-8304-4458</t>
  </si>
  <si>
    <t>010-5289-5546</t>
  </si>
  <si>
    <t>010-5578-4437</t>
  </si>
  <si>
    <t>010-5247-3585</t>
  </si>
  <si>
    <t>010-8062-6203</t>
  </si>
  <si>
    <t>010-9545-8974</t>
  </si>
  <si>
    <t>010-2345-8318</t>
  </si>
  <si>
    <t>010-8873-8998</t>
  </si>
  <si>
    <t>010-3827-8534</t>
  </si>
  <si>
    <t>010-3061-1296</t>
  </si>
  <si>
    <t>010-8945-3630</t>
  </si>
  <si>
    <t>010-6684-0888</t>
  </si>
  <si>
    <t>010-5476-8782</t>
  </si>
  <si>
    <t>010-8999-8537</t>
  </si>
  <si>
    <t>010-7380-3432</t>
  </si>
  <si>
    <t>010-7257-9440</t>
  </si>
  <si>
    <t>010-4040-7602</t>
  </si>
  <si>
    <t>010-4752-6598</t>
  </si>
  <si>
    <t>010-8232-5588</t>
  </si>
  <si>
    <t>010-6663-3558</t>
  </si>
  <si>
    <t>010-5454-1658</t>
  </si>
  <si>
    <t>010-5673-5700</t>
  </si>
  <si>
    <t>010-2113-3344</t>
  </si>
  <si>
    <t>302-0278-3068-51</t>
  </si>
  <si>
    <t>240801-04-433155</t>
  </si>
  <si>
    <t>110-305-768530</t>
  </si>
  <si>
    <t>960102-01-425739</t>
  </si>
  <si>
    <t>110-377-748020</t>
  </si>
  <si>
    <t>3333-08-9261688</t>
  </si>
  <si>
    <t>110-269-832310</t>
  </si>
  <si>
    <t>120-149293-01-011</t>
  </si>
  <si>
    <t>110-378-562733</t>
  </si>
  <si>
    <t>240801-04-477184</t>
  </si>
  <si>
    <t>110-248-997659</t>
  </si>
  <si>
    <t>356-0506-3136-13</t>
  </si>
  <si>
    <t>1000-6285-5246</t>
  </si>
  <si>
    <t>985-008251-01-011</t>
  </si>
  <si>
    <t>930-224-2004</t>
  </si>
  <si>
    <t>352-1323-8683-13</t>
  </si>
  <si>
    <t>742102-00-113592</t>
  </si>
  <si>
    <t>186-094740-01-017</t>
  </si>
  <si>
    <t>110-331-408388</t>
  </si>
  <si>
    <t>017-21-0946-366</t>
  </si>
  <si>
    <t>새마을금고</t>
  </si>
  <si>
    <t>9003-2531-2579-3</t>
  </si>
  <si>
    <t>310-076626-01-010</t>
  </si>
  <si>
    <t>855-02-115867</t>
  </si>
  <si>
    <t>247901-04-527598</t>
  </si>
  <si>
    <t>356-1324-1937-73</t>
  </si>
  <si>
    <t>352-1964-2454-83</t>
  </si>
  <si>
    <t>9003-2816-2519-9</t>
  </si>
  <si>
    <t>242-029714-02-011</t>
  </si>
  <si>
    <t>3333-13-6295061</t>
  </si>
  <si>
    <t>302-1180-9230-91</t>
  </si>
  <si>
    <t>660802-04-150062</t>
  </si>
  <si>
    <t>3333-37-3576022</t>
  </si>
  <si>
    <t>9003-2977-6251-1</t>
  </si>
  <si>
    <t>1943-10-009127-6</t>
  </si>
  <si>
    <t>3333-36-7696583</t>
  </si>
  <si>
    <t>430502-01-565642</t>
  </si>
  <si>
    <t>9003-3089-6898-9</t>
  </si>
  <si>
    <t>2026년 (    05   )월 일용 노무비명세서</t>
    <phoneticPr fontId="3" type="noConversion"/>
  </si>
  <si>
    <t xml:space="preserve">숙소임대료(05월분) </t>
    <phoneticPr fontId="3" type="noConversion"/>
  </si>
  <si>
    <t>평택시 고덕갈평9길 57 302호</t>
  </si>
  <si>
    <t>평택시 고덕갈평10길 40 301호</t>
  </si>
  <si>
    <t>평택시 고덕여염11길 14 202호</t>
  </si>
  <si>
    <t>평택시 함박산1길 50 401호</t>
  </si>
  <si>
    <t>평택시 함박산4길 3 301호</t>
  </si>
  <si>
    <t>평택시 함박산3길 37 301호</t>
  </si>
  <si>
    <t>평택시 함박산9길 28 401호(복층)</t>
  </si>
  <si>
    <t>평택시 함박산12길 35 301호</t>
  </si>
  <si>
    <t>평택시 함박산1길 34 201호</t>
  </si>
  <si>
    <t>평택시 고덕여염11길 149 202호</t>
  </si>
  <si>
    <t>평택시 고덕국제4길 60-16 202호</t>
  </si>
  <si>
    <t>평택시 고덕여염6길 199 202호</t>
  </si>
  <si>
    <t>평택시 함박산1길 34 301호</t>
  </si>
  <si>
    <t>평택시 함박산9길 26 202호</t>
  </si>
  <si>
    <t>평택시 함박산11길 9-1 202호</t>
  </si>
  <si>
    <t>평택시 함박산3길 11 301호</t>
  </si>
  <si>
    <t>평택시 고덕여염16길 115 202호</t>
  </si>
  <si>
    <t>평택시 함박산9길 26 201호</t>
  </si>
  <si>
    <t>평택시 고덕국제4길 60-10 202호</t>
  </si>
  <si>
    <t>평택시 함박산 2길 11 302호</t>
  </si>
  <si>
    <t>평택시 함박산 8길 13 201호</t>
  </si>
  <si>
    <t>평택시 고덕여염6길 199 301호</t>
  </si>
  <si>
    <t>평택시 함박산2길 16 201호</t>
  </si>
  <si>
    <t>평택시 함박산3길 11 202호</t>
  </si>
  <si>
    <t>평택시 함박산4길 28 301호</t>
  </si>
  <si>
    <t>302호</t>
  </si>
  <si>
    <t>302호</t>
    <phoneticPr fontId="3" type="noConversion"/>
  </si>
  <si>
    <t>복층)</t>
  </si>
  <si>
    <t>201호</t>
  </si>
  <si>
    <t>평택시 고덕여염16길 113 202호</t>
    <phoneticPr fontId="3" type="noConversion"/>
  </si>
  <si>
    <t xml:space="preserve">숙소수도세(05월분) </t>
  </si>
  <si>
    <t xml:space="preserve">숙소가스료(05월분) </t>
  </si>
  <si>
    <t xml:space="preserve">숙소전기료(05월분) </t>
  </si>
  <si>
    <t>평택시 고덕갈평9길 57 302호</t>
    <phoneticPr fontId="3" type="noConversion"/>
  </si>
  <si>
    <t>평택시 고덕갈평10길 40 301호</t>
    <phoneticPr fontId="3" type="noConversion"/>
  </si>
  <si>
    <t>평택시 고덕여염11길 14 202호</t>
    <phoneticPr fontId="3" type="noConversion"/>
  </si>
  <si>
    <t>평택시 함박산1길 50 401호</t>
    <phoneticPr fontId="3" type="noConversion"/>
  </si>
  <si>
    <t>평택시 함박산4길 3 301호</t>
    <phoneticPr fontId="3" type="noConversion"/>
  </si>
  <si>
    <t>평택시 함박산3길 37 301호</t>
    <phoneticPr fontId="3" type="noConversion"/>
  </si>
  <si>
    <t>평택시 함박산12길 35 301호</t>
    <phoneticPr fontId="3" type="noConversion"/>
  </si>
  <si>
    <t>평택시 함박산1길 34 201호</t>
    <phoneticPr fontId="3" type="noConversion"/>
  </si>
  <si>
    <t>평택시 고덕여염11길 149 202호</t>
    <phoneticPr fontId="3" type="noConversion"/>
  </si>
  <si>
    <t>평택시 고덕국제4길 60-16 202호</t>
    <phoneticPr fontId="3" type="noConversion"/>
  </si>
  <si>
    <t>평택시 고덕여염6길 199 202호</t>
    <phoneticPr fontId="3" type="noConversion"/>
  </si>
  <si>
    <t>평택시 함박산1길 34 301호</t>
    <phoneticPr fontId="3" type="noConversion"/>
  </si>
  <si>
    <t>평택시 함박산9길 26 202호</t>
    <phoneticPr fontId="3" type="noConversion"/>
  </si>
  <si>
    <t>평택시 함박산11길 9-1 202호</t>
    <phoneticPr fontId="3" type="noConversion"/>
  </si>
  <si>
    <t>평택시 함박산3길 11 301호</t>
    <phoneticPr fontId="3" type="noConversion"/>
  </si>
  <si>
    <t>평택시 고덕여염16길 115 202호</t>
    <phoneticPr fontId="3" type="noConversion"/>
  </si>
  <si>
    <t>평택시 함박산9길 26 201호</t>
    <phoneticPr fontId="3" type="noConversion"/>
  </si>
  <si>
    <t>평택시 고덕국제4길 60-10 202호</t>
    <phoneticPr fontId="3" type="noConversion"/>
  </si>
  <si>
    <t>평택시 함박산 2길 11 302호</t>
    <phoneticPr fontId="3" type="noConversion"/>
  </si>
  <si>
    <t>평택시 함박산 8길 13 201호</t>
    <phoneticPr fontId="3" type="noConversion"/>
  </si>
  <si>
    <t>평택시 고덕여염6길 199 301호</t>
    <phoneticPr fontId="3" type="noConversion"/>
  </si>
  <si>
    <t>평택시 함박산3길 11 202호</t>
    <phoneticPr fontId="3" type="noConversion"/>
  </si>
  <si>
    <t>평택시 함박산4길 28 301호</t>
    <phoneticPr fontId="3" type="noConversion"/>
  </si>
  <si>
    <t>평택시 함박산9길 28 401호</t>
    <phoneticPr fontId="3" type="noConversion"/>
  </si>
  <si>
    <t>티브러쉬 [75*6.스텐 [동양]]</t>
  </si>
  <si>
    <t>밴드쏘날 [1140*13*0.65-14T [WESPA]]</t>
  </si>
  <si>
    <t>다이아몬드줄 [180mm,평 [삼익]]</t>
  </si>
  <si>
    <t>다이아몬드줄 [180mm,반원 [삼익]]</t>
  </si>
  <si>
    <t>줄 [10",반원 [삼익]]</t>
  </si>
  <si>
    <t>추페이퍼 [100mm(2"),KELCO [3M]]</t>
  </si>
  <si>
    <t>쇼바 [BY4-365-10kg [부영]]</t>
  </si>
  <si>
    <t>쇼바브라켓 [BY4-BK-1,평자 [부영]]</t>
  </si>
  <si>
    <t>쇼바브라켓 [BY4-BK-2,ㄱ자 [부영]]</t>
  </si>
  <si>
    <t>하이스드릴 [5.0mm [와이지원]]</t>
  </si>
  <si>
    <t>검교정비,레이저레벨 [코라스성적서 [코텐]]</t>
  </si>
  <si>
    <t>수리비,레이저레벨기 [코텐,RX20,유리교체]</t>
  </si>
  <si>
    <t>쇠톱날 [12"*24TPI [바코]]</t>
  </si>
  <si>
    <t>텅스텐봉 [2.4Q,10개,란탄2%,CTX [크레토스]]</t>
  </si>
  <si>
    <t>공캔 [4L,뚜껑포함 [수입/SW]]</t>
  </si>
  <si>
    <t>밴드쏘고무링 [BS532,4~6"용,동일사이즈 [아사다]]</t>
  </si>
  <si>
    <t>와이어넘버열쇠 [NL410 [스마토]]</t>
  </si>
  <si>
    <t>안전화 [LT-122NA,250mm [K2]]</t>
  </si>
  <si>
    <t>PP로프 [16mm*100m [SW]]</t>
  </si>
  <si>
    <t>케이블타이 [270mm(1봉=500개),백색 [HNS]]</t>
  </si>
  <si>
    <t>컷쏘날 [S922BF,철재,바이메탈,5개입 [보쉬]]</t>
  </si>
  <si>
    <t>밴드쏘부품 [락킹핀,GCB120용 [보쉬]]</t>
  </si>
  <si>
    <t>포켓몽키 [UM-24S,CTX [로브스터]]</t>
  </si>
  <si>
    <t>포켓몽키 [UM-30S,CTX [로브스터]]</t>
  </si>
  <si>
    <t>티브러쉬 [75*6.카본 [동양]]</t>
  </si>
  <si>
    <t>칫솔브러쉬 [185mm,신주 [스마토]]</t>
  </si>
  <si>
    <t>용접검사거울 [SM-889 [스마토]]</t>
  </si>
  <si>
    <t>용접검사거울 [SM-914 [스마토]]</t>
  </si>
  <si>
    <t>스텐장석 [BY3-25,대 [부영]]</t>
  </si>
  <si>
    <t>튜브컷터날 [TCBC105 [슈퍼]]</t>
  </si>
  <si>
    <t>먹물 [검정,450ML [단아]]</t>
  </si>
  <si>
    <t>먹통 [자동 [갑구사]]</t>
  </si>
  <si>
    <t>먹실 [대,형광연두색 [수입]]</t>
  </si>
  <si>
    <t>철근절단비트 [MSRC-17 [모스툴]]</t>
  </si>
  <si>
    <t>하이스드릴 [8.0mm [와이지원]]</t>
  </si>
  <si>
    <t>PP로프 [6mm*200m [HNS]]</t>
  </si>
  <si>
    <t>밴드쏘부품 [GCB120용,클램핑유닛,받침대클램프고정장치 [보쉬]]</t>
  </si>
  <si>
    <t>라운드슬링바 [1t*1.5m,고리형 [KSW]]</t>
  </si>
  <si>
    <t>라운드슬링바 [1t*1m,아이형 [KSW]]</t>
  </si>
  <si>
    <t>물통 [식수통,하이쿨2호,DO-661,7L]</t>
  </si>
  <si>
    <t>순간접착제 [401,20g,CTX [록타이트]]</t>
  </si>
  <si>
    <t>화붓 [9호 [동양]]</t>
  </si>
  <si>
    <t>우레탄바퀴 [중량용,4",회전브레이크 [수입]]</t>
  </si>
  <si>
    <t>라운드슬링바 [1t*3m,아이형 [KSW]]</t>
  </si>
  <si>
    <t>볼펜 [153스틱,흑색,0.7mm,12개,CTX [모나미]]</t>
  </si>
  <si>
    <t>알곤용접봉 [TGC50.4.0mm,5kg [조선선재]]</t>
  </si>
  <si>
    <t>알곤스위치 [스위치(뒷선300mm),CTX [크레토스]]</t>
  </si>
  <si>
    <t>2026년 (05)월 물량 내역서</t>
    <phoneticPr fontId="3" type="noConversion"/>
  </si>
  <si>
    <t>익월발생예정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</si>
</sst>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_-* #,##0_-;&quot;₩&quot;\!\-* #,##0_-;_-* &quot;-&quot;_-;_-@_-"/>
    <numFmt numFmtId="188" formatCode="0.00000000000000000000000"/>
    <numFmt numFmtId="189" formatCode="_-* #,##0_-;\-* #,##0_-;_-* &quot;-&quot;??_-;_-@_-"/>
    <numFmt numFmtId="190" formatCode="_-* #,##0.0000_-;\-* #,##0.0000_-;_-* &quot;-&quot;_-;_-@_-"/>
  </numFmts>
  <fonts count="5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  <font>
      <b/>
      <sz val="20"/>
      <color theme="1"/>
      <name val="새굴림"/>
      <family val="1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0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5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4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178" fontId="1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9" fontId="0" fillId="0" borderId="0" xfId="0" applyNumberFormat="1">
      <alignment vertical="center"/>
    </xf>
    <xf numFmtId="41" fontId="1" fillId="0" borderId="0" xfId="0" applyNumberFormat="1" applyFont="1">
      <alignment vertical="center"/>
    </xf>
    <xf numFmtId="178" fontId="13" fillId="0" borderId="0" xfId="0" applyNumberFormat="1" applyFont="1" applyAlignment="1">
      <alignment horizontal="left" vertical="center"/>
    </xf>
    <xf numFmtId="41" fontId="13" fillId="0" borderId="0" xfId="0" applyNumberFormat="1" applyFont="1">
      <alignment vertical="center"/>
    </xf>
    <xf numFmtId="9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1" fontId="12" fillId="0" borderId="9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1" fontId="15" fillId="0" borderId="20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41" fontId="22" fillId="0" borderId="9" xfId="0" applyNumberFormat="1" applyFont="1" applyBorder="1">
      <alignment vertical="center"/>
    </xf>
    <xf numFmtId="41" fontId="12" fillId="0" borderId="23" xfId="0" applyNumberFormat="1" applyFont="1" applyBorder="1" applyAlignment="1">
      <alignment horizontal="center" vertical="center"/>
    </xf>
    <xf numFmtId="41" fontId="12" fillId="0" borderId="13" xfId="0" applyNumberFormat="1" applyFont="1" applyBorder="1" applyAlignment="1">
      <alignment horizontal="center" vertical="center"/>
    </xf>
    <xf numFmtId="41" fontId="12" fillId="0" borderId="12" xfId="0" applyNumberFormat="1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41" fontId="13" fillId="6" borderId="23" xfId="0" applyNumberFormat="1" applyFont="1" applyFill="1" applyBorder="1" applyAlignment="1">
      <alignment horizontal="center" vertical="center"/>
    </xf>
    <xf numFmtId="41" fontId="13" fillId="6" borderId="13" xfId="0" applyNumberFormat="1" applyFont="1" applyFill="1" applyBorder="1" applyAlignment="1">
      <alignment horizontal="center" vertical="center"/>
    </xf>
    <xf numFmtId="41" fontId="13" fillId="6" borderId="9" xfId="0" applyNumberFormat="1" applyFont="1" applyFill="1" applyBorder="1" applyAlignment="1">
      <alignment horizontal="center" vertical="center"/>
    </xf>
    <xf numFmtId="41" fontId="13" fillId="6" borderId="12" xfId="0" applyNumberFormat="1" applyFont="1" applyFill="1" applyBorder="1" applyAlignment="1">
      <alignment horizontal="center" vertical="center"/>
    </xf>
    <xf numFmtId="41" fontId="22" fillId="0" borderId="9" xfId="0" applyNumberFormat="1" applyFont="1" applyBorder="1" applyAlignment="1">
      <alignment vertical="center" shrinkToFit="1"/>
    </xf>
    <xf numFmtId="0" fontId="20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0" applyNumberFormat="1" applyBorder="1">
      <alignment vertical="center"/>
    </xf>
    <xf numFmtId="41" fontId="25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29" fillId="0" borderId="0" xfId="0" applyFont="1">
      <alignment vertical="center"/>
    </xf>
    <xf numFmtId="182" fontId="29" fillId="0" borderId="0" xfId="0" applyNumberFormat="1" applyFont="1">
      <alignment vertical="center"/>
    </xf>
    <xf numFmtId="0" fontId="30" fillId="0" borderId="0" xfId="0" applyFont="1" applyAlignment="1" applyProtection="1">
      <alignment horizontal="left" vertical="center"/>
      <protection locked="0"/>
    </xf>
    <xf numFmtId="40" fontId="31" fillId="0" borderId="0" xfId="0" applyNumberFormat="1" applyFont="1" applyAlignment="1" applyProtection="1">
      <alignment horizontal="left" vertical="center"/>
      <protection locked="0"/>
    </xf>
    <xf numFmtId="181" fontId="31" fillId="0" borderId="0" xfId="0" applyNumberFormat="1" applyFont="1" applyAlignment="1" applyProtection="1">
      <alignment horizontal="right" vertical="center"/>
      <protection locked="0"/>
    </xf>
    <xf numFmtId="41" fontId="13" fillId="5" borderId="33" xfId="0" applyNumberFormat="1" applyFont="1" applyFill="1" applyBorder="1" applyAlignment="1">
      <alignment horizontal="center" vertical="center"/>
    </xf>
    <xf numFmtId="41" fontId="13" fillId="5" borderId="34" xfId="0" applyNumberFormat="1" applyFont="1" applyFill="1" applyBorder="1" applyAlignment="1">
      <alignment horizontal="center" vertical="center"/>
    </xf>
    <xf numFmtId="182" fontId="13" fillId="5" borderId="34" xfId="0" applyNumberFormat="1" applyFont="1" applyFill="1" applyBorder="1" applyAlignment="1">
      <alignment horizontal="center" vertical="center"/>
    </xf>
    <xf numFmtId="182" fontId="13" fillId="5" borderId="35" xfId="0" applyNumberFormat="1" applyFont="1" applyFill="1" applyBorder="1" applyAlignment="1">
      <alignment horizontal="center" vertical="center"/>
    </xf>
    <xf numFmtId="181" fontId="13" fillId="5" borderId="33" xfId="0" applyNumberFormat="1" applyFont="1" applyFill="1" applyBorder="1" applyAlignment="1">
      <alignment horizontal="center" vertical="center"/>
    </xf>
    <xf numFmtId="181" fontId="13" fillId="5" borderId="35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3" fontId="13" fillId="0" borderId="11" xfId="0" applyNumberFormat="1" applyFont="1" applyBorder="1" applyAlignment="1">
      <alignment horizontal="center" vertical="center"/>
    </xf>
    <xf numFmtId="41" fontId="13" fillId="0" borderId="11" xfId="0" applyNumberFormat="1" applyFont="1" applyBorder="1" applyAlignment="1">
      <alignment horizontal="center" vertical="center"/>
    </xf>
    <xf numFmtId="182" fontId="13" fillId="0" borderId="11" xfId="0" applyNumberFormat="1" applyFont="1" applyBorder="1" applyAlignment="1">
      <alignment horizontal="center" vertical="center"/>
    </xf>
    <xf numFmtId="182" fontId="13" fillId="0" borderId="38" xfId="0" applyNumberFormat="1" applyFon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81" fontId="13" fillId="0" borderId="40" xfId="0" applyNumberFormat="1" applyFont="1" applyBorder="1" applyAlignment="1">
      <alignment horizontal="center" vertical="center"/>
    </xf>
    <xf numFmtId="184" fontId="13" fillId="0" borderId="38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/>
    </xf>
    <xf numFmtId="183" fontId="13" fillId="0" borderId="9" xfId="0" applyNumberFormat="1" applyFont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1" fontId="13" fillId="0" borderId="10" xfId="0" applyNumberFormat="1" applyFont="1" applyBorder="1" applyAlignment="1">
      <alignment horizontal="center" vertical="center"/>
    </xf>
    <xf numFmtId="185" fontId="15" fillId="6" borderId="36" xfId="0" applyNumberFormat="1" applyFont="1" applyFill="1" applyBorder="1" applyAlignment="1">
      <alignment horizontal="center" vertical="center" shrinkToFit="1"/>
    </xf>
    <xf numFmtId="185" fontId="15" fillId="6" borderId="37" xfId="0" applyNumberFormat="1" applyFont="1" applyFill="1" applyBorder="1" applyAlignment="1">
      <alignment horizontal="center" vertical="center" shrinkToFit="1"/>
    </xf>
    <xf numFmtId="185" fontId="15" fillId="6" borderId="33" xfId="0" applyNumberFormat="1" applyFont="1" applyFill="1" applyBorder="1" applyAlignment="1">
      <alignment horizontal="center" vertical="center" shrinkToFit="1"/>
    </xf>
    <xf numFmtId="41" fontId="15" fillId="6" borderId="34" xfId="0" applyNumberFormat="1" applyFont="1" applyFill="1" applyBorder="1" applyAlignment="1">
      <alignment horizontal="center" vertical="center" shrinkToFit="1"/>
    </xf>
    <xf numFmtId="41" fontId="15" fillId="6" borderId="35" xfId="0" applyNumberFormat="1" applyFont="1" applyFill="1" applyBorder="1" applyAlignment="1">
      <alignment horizontal="center" vertical="center" shrinkToFit="1"/>
    </xf>
    <xf numFmtId="185" fontId="33" fillId="2" borderId="36" xfId="0" applyNumberFormat="1" applyFont="1" applyFill="1" applyBorder="1" applyAlignment="1">
      <alignment horizontal="center" vertical="center" shrinkToFit="1"/>
    </xf>
    <xf numFmtId="185" fontId="33" fillId="2" borderId="34" xfId="0" applyNumberFormat="1" applyFont="1" applyFill="1" applyBorder="1" applyAlignment="1">
      <alignment horizontal="center" vertical="center" shrinkToFit="1"/>
    </xf>
    <xf numFmtId="185" fontId="33" fillId="2" borderId="33" xfId="0" applyNumberFormat="1" applyFont="1" applyFill="1" applyBorder="1" applyAlignment="1">
      <alignment horizontal="center" vertical="center" shrinkToFit="1"/>
    </xf>
    <xf numFmtId="41" fontId="33" fillId="2" borderId="34" xfId="0" applyNumberFormat="1" applyFont="1" applyFill="1" applyBorder="1" applyAlignment="1">
      <alignment horizontal="center" vertical="center" shrinkToFit="1"/>
    </xf>
    <xf numFmtId="41" fontId="33" fillId="2" borderId="35" xfId="0" applyNumberFormat="1" applyFont="1" applyFill="1" applyBorder="1" applyAlignment="1">
      <alignment horizontal="center" vertical="center" shrinkToFit="1"/>
    </xf>
    <xf numFmtId="40" fontId="29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181" fontId="29" fillId="0" borderId="0" xfId="0" applyNumberFormat="1" applyFont="1">
      <alignment vertical="center"/>
    </xf>
    <xf numFmtId="181" fontId="29" fillId="0" borderId="0" xfId="0" applyNumberFormat="1" applyFont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41" fontId="38" fillId="9" borderId="9" xfId="0" applyNumberFormat="1" applyFont="1" applyFill="1" applyBorder="1">
      <alignment vertical="center"/>
    </xf>
    <xf numFmtId="0" fontId="39" fillId="0" borderId="0" xfId="0" applyFont="1">
      <alignment vertical="center"/>
    </xf>
    <xf numFmtId="0" fontId="21" fillId="0" borderId="9" xfId="0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43" fontId="42" fillId="10" borderId="9" xfId="0" applyNumberFormat="1" applyFont="1" applyFill="1" applyBorder="1" applyAlignment="1">
      <alignment horizontal="center" vertical="center"/>
    </xf>
    <xf numFmtId="41" fontId="43" fillId="11" borderId="9" xfId="0" applyNumberFormat="1" applyFont="1" applyFill="1" applyBorder="1" applyAlignment="1">
      <alignment horizontal="center" vertical="center"/>
    </xf>
    <xf numFmtId="180" fontId="12" fillId="0" borderId="9" xfId="0" applyNumberFormat="1" applyFont="1" applyBorder="1" applyAlignment="1">
      <alignment horizontal="center" vertical="center"/>
    </xf>
    <xf numFmtId="180" fontId="25" fillId="2" borderId="9" xfId="0" applyNumberFormat="1" applyFont="1" applyFill="1" applyBorder="1">
      <alignment vertical="center"/>
    </xf>
    <xf numFmtId="41" fontId="29" fillId="0" borderId="0" xfId="0" applyNumberFormat="1" applyFont="1">
      <alignment vertical="center"/>
    </xf>
    <xf numFmtId="14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177" fontId="21" fillId="0" borderId="9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82" fontId="32" fillId="5" borderId="15" xfId="0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5" fillId="0" borderId="21" xfId="0" applyFont="1" applyBorder="1">
      <alignment vertical="center"/>
    </xf>
    <xf numFmtId="41" fontId="47" fillId="0" borderId="20" xfId="0" applyNumberFormat="1" applyFont="1" applyBorder="1" applyAlignment="1">
      <alignment vertical="center" shrinkToFit="1"/>
    </xf>
    <xf numFmtId="186" fontId="47" fillId="0" borderId="20" xfId="0" applyNumberFormat="1" applyFont="1" applyBorder="1" applyAlignment="1">
      <alignment horizontal="center" vertical="center"/>
    </xf>
    <xf numFmtId="41" fontId="47" fillId="0" borderId="20" xfId="0" applyNumberFormat="1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5" fillId="0" borderId="18" xfId="0" applyFont="1" applyBorder="1">
      <alignment vertical="center"/>
    </xf>
    <xf numFmtId="41" fontId="47" fillId="0" borderId="9" xfId="0" applyNumberFormat="1" applyFont="1" applyBorder="1" applyAlignment="1">
      <alignment vertical="center" shrinkToFit="1"/>
    </xf>
    <xf numFmtId="41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shrinkToFit="1"/>
    </xf>
    <xf numFmtId="0" fontId="48" fillId="0" borderId="17" xfId="0" applyFont="1" applyBorder="1" applyAlignment="1">
      <alignment horizontal="left" vertical="center"/>
    </xf>
    <xf numFmtId="41" fontId="47" fillId="0" borderId="9" xfId="0" applyNumberFormat="1" applyFont="1" applyBorder="1">
      <alignment vertical="center"/>
    </xf>
    <xf numFmtId="41" fontId="47" fillId="0" borderId="9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left" vertical="center" indent="1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left" vertical="center" wrapText="1" indent="1"/>
    </xf>
    <xf numFmtId="0" fontId="47" fillId="0" borderId="17" xfId="0" applyFont="1" applyBorder="1" applyAlignment="1">
      <alignment vertical="center" shrinkToFit="1"/>
    </xf>
    <xf numFmtId="0" fontId="47" fillId="12" borderId="17" xfId="0" applyFont="1" applyFill="1" applyBorder="1" applyAlignment="1">
      <alignment horizontal="left" vertical="center" indent="1"/>
    </xf>
    <xf numFmtId="187" fontId="47" fillId="0" borderId="9" xfId="0" applyNumberFormat="1" applyFont="1" applyBorder="1" applyAlignment="1">
      <alignment horizontal="center" vertical="center"/>
    </xf>
    <xf numFmtId="0" fontId="47" fillId="0" borderId="17" xfId="0" applyFont="1" applyBorder="1" applyAlignment="1">
      <alignment horizontal="left" vertical="center" wrapText="1"/>
    </xf>
    <xf numFmtId="188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89" fontId="47" fillId="0" borderId="9" xfId="0" applyNumberFormat="1" applyFont="1" applyBorder="1" applyAlignment="1">
      <alignment vertical="center" shrinkToFit="1"/>
    </xf>
    <xf numFmtId="9" fontId="47" fillId="0" borderId="9" xfId="0" applyNumberFormat="1" applyFont="1" applyBorder="1" applyAlignment="1">
      <alignment vertical="center" shrinkToFit="1"/>
    </xf>
    <xf numFmtId="0" fontId="47" fillId="0" borderId="17" xfId="0" applyFont="1" applyBorder="1" applyAlignment="1">
      <alignment horizontal="center" vertical="center" wrapText="1"/>
    </xf>
    <xf numFmtId="41" fontId="47" fillId="0" borderId="17" xfId="0" applyNumberFormat="1" applyFont="1" applyBorder="1" applyAlignment="1">
      <alignment horizontal="center" vertical="center"/>
    </xf>
    <xf numFmtId="184" fontId="45" fillId="0" borderId="18" xfId="0" quotePrefix="1" applyNumberFormat="1" applyFont="1" applyBorder="1" applyAlignment="1">
      <alignment vertical="center" shrinkToFit="1"/>
    </xf>
    <xf numFmtId="43" fontId="1" fillId="0" borderId="0" xfId="0" applyNumberFormat="1" applyFont="1">
      <alignment vertical="center"/>
    </xf>
    <xf numFmtId="0" fontId="1" fillId="0" borderId="18" xfId="0" applyFont="1" applyBorder="1">
      <alignment vertical="center"/>
    </xf>
    <xf numFmtId="184" fontId="46" fillId="0" borderId="18" xfId="0" quotePrefix="1" applyNumberFormat="1" applyFont="1" applyBorder="1" applyAlignment="1">
      <alignment vertical="center" shrinkToFit="1"/>
    </xf>
    <xf numFmtId="184" fontId="46" fillId="0" borderId="18" xfId="0" applyNumberFormat="1" applyFont="1" applyBorder="1" applyAlignment="1">
      <alignment vertical="center" shrinkToFit="1"/>
    </xf>
    <xf numFmtId="41" fontId="50" fillId="13" borderId="9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right" vertical="center"/>
    </xf>
    <xf numFmtId="0" fontId="52" fillId="0" borderId="0" xfId="0" quotePrefix="1" applyFont="1">
      <alignment vertical="center"/>
    </xf>
    <xf numFmtId="0" fontId="50" fillId="0" borderId="0" xfId="0" quotePrefix="1" applyFont="1">
      <alignment vertical="center"/>
    </xf>
    <xf numFmtId="190" fontId="15" fillId="6" borderId="33" xfId="0" applyNumberFormat="1" applyFont="1" applyFill="1" applyBorder="1" applyAlignment="1">
      <alignment horizontal="center" vertical="center" shrinkToFit="1"/>
    </xf>
    <xf numFmtId="0" fontId="13" fillId="5" borderId="9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41" fontId="13" fillId="6" borderId="22" xfId="0" applyNumberFormat="1" applyFont="1" applyFill="1" applyBorder="1" applyAlignment="1">
      <alignment horizontal="center" vertical="center"/>
    </xf>
    <xf numFmtId="41" fontId="50" fillId="0" borderId="0" xfId="0" applyNumberFormat="1" applyFont="1">
      <alignment vertical="center"/>
    </xf>
    <xf numFmtId="0" fontId="12" fillId="0" borderId="12" xfId="0" applyFont="1" applyBorder="1">
      <alignment vertical="center"/>
    </xf>
    <xf numFmtId="41" fontId="22" fillId="0" borderId="12" xfId="0" applyNumberFormat="1" applyFont="1" applyBorder="1">
      <alignment vertical="center"/>
    </xf>
    <xf numFmtId="0" fontId="21" fillId="0" borderId="44" xfId="0" applyFont="1" applyBorder="1">
      <alignment vertical="center"/>
    </xf>
    <xf numFmtId="0" fontId="13" fillId="0" borderId="0" xfId="0" applyFont="1" applyAlignment="1">
      <alignment horizontal="right"/>
    </xf>
    <xf numFmtId="0" fontId="13" fillId="0" borderId="45" xfId="0" applyFont="1" applyBorder="1" applyAlignment="1">
      <alignment horizontal="right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2" fillId="0" borderId="17" xfId="0" applyFont="1" applyBorder="1">
      <alignment vertical="center"/>
    </xf>
    <xf numFmtId="0" fontId="13" fillId="0" borderId="17" xfId="0" applyFont="1" applyBorder="1" applyAlignment="1">
      <alignment horizontal="left" vertical="center"/>
    </xf>
    <xf numFmtId="41" fontId="23" fillId="6" borderId="17" xfId="0" applyNumberFormat="1" applyFont="1" applyFill="1" applyBorder="1" applyAlignment="1">
      <alignment horizontal="left" vertical="center" indent="1"/>
    </xf>
    <xf numFmtId="0" fontId="13" fillId="4" borderId="18" xfId="0" applyFont="1" applyFill="1" applyBorder="1" applyAlignment="1">
      <alignment horizontal="center" vertical="center"/>
    </xf>
    <xf numFmtId="0" fontId="13" fillId="0" borderId="44" xfId="0" applyFont="1" applyBorder="1">
      <alignment vertical="center"/>
    </xf>
    <xf numFmtId="0" fontId="21" fillId="0" borderId="45" xfId="0" applyFont="1" applyBorder="1">
      <alignment vertical="center"/>
    </xf>
    <xf numFmtId="0" fontId="13" fillId="0" borderId="49" xfId="0" applyFont="1" applyBorder="1">
      <alignment vertical="center"/>
    </xf>
    <xf numFmtId="0" fontId="21" fillId="0" borderId="50" xfId="0" applyFont="1" applyBorder="1">
      <alignment vertical="center"/>
    </xf>
    <xf numFmtId="0" fontId="21" fillId="0" borderId="51" xfId="0" applyFont="1" applyBorder="1">
      <alignment vertical="center"/>
    </xf>
    <xf numFmtId="41" fontId="13" fillId="6" borderId="24" xfId="0" applyNumberFormat="1" applyFont="1" applyFill="1" applyBorder="1" applyAlignment="1">
      <alignment horizontal="center" vertical="center"/>
    </xf>
    <xf numFmtId="41" fontId="12" fillId="0" borderId="10" xfId="0" applyNumberFormat="1" applyFont="1" applyBorder="1" applyAlignment="1">
      <alignment horizontal="center" vertical="center"/>
    </xf>
    <xf numFmtId="41" fontId="12" fillId="0" borderId="11" xfId="0" applyNumberFormat="1" applyFont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21" fillId="0" borderId="9" xfId="0" applyFont="1" applyBorder="1">
      <alignment vertical="center"/>
    </xf>
    <xf numFmtId="0" fontId="13" fillId="4" borderId="9" xfId="0" applyFont="1" applyFill="1" applyBorder="1" applyAlignment="1">
      <alignment horizontal="center" vertical="center"/>
    </xf>
    <xf numFmtId="41" fontId="21" fillId="2" borderId="9" xfId="0" applyNumberFormat="1" applyFont="1" applyFill="1" applyBorder="1" applyAlignment="1">
      <alignment horizontal="center" vertical="center"/>
    </xf>
    <xf numFmtId="41" fontId="12" fillId="0" borderId="9" xfId="0" applyNumberFormat="1" applyFont="1" applyBorder="1">
      <alignment vertical="center"/>
    </xf>
    <xf numFmtId="41" fontId="12" fillId="0" borderId="12" xfId="0" applyNumberFormat="1" applyFont="1" applyBorder="1">
      <alignment vertical="center"/>
    </xf>
    <xf numFmtId="0" fontId="13" fillId="2" borderId="9" xfId="0" applyFont="1" applyFill="1" applyBorder="1" applyAlignment="1">
      <alignment horizontal="center" vertical="center"/>
    </xf>
    <xf numFmtId="41" fontId="13" fillId="2" borderId="23" xfId="0" applyNumberFormat="1" applyFont="1" applyFill="1" applyBorder="1" applyAlignment="1">
      <alignment horizontal="center" vertical="center"/>
    </xf>
    <xf numFmtId="41" fontId="13" fillId="2" borderId="13" xfId="0" applyNumberFormat="1" applyFont="1" applyFill="1" applyBorder="1" applyAlignment="1">
      <alignment horizontal="center" vertical="center"/>
    </xf>
    <xf numFmtId="41" fontId="13" fillId="2" borderId="9" xfId="0" applyNumberFormat="1" applyFont="1" applyFill="1" applyBorder="1" applyAlignment="1">
      <alignment horizontal="center" vertical="center"/>
    </xf>
    <xf numFmtId="41" fontId="13" fillId="2" borderId="12" xfId="0" applyNumberFormat="1" applyFont="1" applyFill="1" applyBorder="1" applyAlignment="1">
      <alignment horizontal="center" vertical="center"/>
    </xf>
    <xf numFmtId="0" fontId="13" fillId="2" borderId="12" xfId="0" applyFont="1" applyFill="1" applyBorder="1">
      <alignment vertical="center"/>
    </xf>
    <xf numFmtId="41" fontId="12" fillId="2" borderId="9" xfId="0" applyNumberFormat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84" fontId="50" fillId="13" borderId="14" xfId="0" applyNumberFormat="1" applyFont="1" applyFill="1" applyBorder="1" applyAlignment="1">
      <alignment horizontal="center" vertical="center"/>
    </xf>
    <xf numFmtId="184" fontId="50" fillId="13" borderId="17" xfId="0" applyNumberFormat="1" applyFont="1" applyFill="1" applyBorder="1" applyAlignment="1">
      <alignment horizontal="center" vertical="center"/>
    </xf>
    <xf numFmtId="184" fontId="50" fillId="13" borderId="15" xfId="0" applyNumberFormat="1" applyFont="1" applyFill="1" applyBorder="1" applyAlignment="1">
      <alignment horizontal="center" vertical="center"/>
    </xf>
    <xf numFmtId="184" fontId="50" fillId="13" borderId="9" xfId="0" applyNumberFormat="1" applyFont="1" applyFill="1" applyBorder="1" applyAlignment="1">
      <alignment horizontal="center" vertical="center"/>
    </xf>
    <xf numFmtId="41" fontId="50" fillId="13" borderId="15" xfId="0" applyNumberFormat="1" applyFont="1" applyFill="1" applyBorder="1" applyAlignment="1">
      <alignment horizontal="center" vertical="center"/>
    </xf>
    <xf numFmtId="41" fontId="50" fillId="13" borderId="9" xfId="0" applyNumberFormat="1" applyFont="1" applyFill="1" applyBorder="1" applyAlignment="1">
      <alignment horizontal="center" vertical="center"/>
    </xf>
    <xf numFmtId="41" fontId="49" fillId="13" borderId="16" xfId="0" applyNumberFormat="1" applyFont="1" applyFill="1" applyBorder="1" applyAlignment="1">
      <alignment horizontal="center" vertical="center" shrinkToFit="1"/>
    </xf>
    <xf numFmtId="41" fontId="49" fillId="13" borderId="18" xfId="0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41" fontId="23" fillId="6" borderId="12" xfId="0" applyNumberFormat="1" applyFont="1" applyFill="1" applyBorder="1" applyAlignment="1">
      <alignment horizontal="center" vertical="center"/>
    </xf>
    <xf numFmtId="41" fontId="23" fillId="6" borderId="13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81" fontId="28" fillId="0" borderId="13" xfId="0" applyNumberFormat="1" applyFont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/>
    </xf>
    <xf numFmtId="0" fontId="15" fillId="6" borderId="42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33" fillId="2" borderId="41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10" borderId="9" xfId="0" applyFont="1" applyFill="1" applyBorder="1" applyAlignment="1">
      <alignment horizontal="center" vertical="center"/>
    </xf>
    <xf numFmtId="49" fontId="42" fillId="10" borderId="9" xfId="0" applyNumberFormat="1" applyFont="1" applyFill="1" applyBorder="1" applyAlignment="1">
      <alignment horizontal="center" vertical="center"/>
    </xf>
    <xf numFmtId="43" fontId="42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</cellXfs>
  <cellStyles count="1">
    <cellStyle name="표준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777875</xdr:colOff>
      <xdr:row>52</xdr:row>
      <xdr:rowOff>79375</xdr:rowOff>
    </xdr:from>
    <xdr:to>
      <xdr:col>10</xdr:col>
      <xdr:colOff>682870</xdr:colOff>
      <xdr:row>59</xdr:row>
      <xdr:rowOff>31750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398250" y="17891125"/>
          <a:ext cx="920995" cy="13970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51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52</xdr:row>
      <xdr:rowOff>82794</xdr:rowOff>
    </xdr:from>
    <xdr:to>
      <xdr:col>12</xdr:col>
      <xdr:colOff>1334966</xdr:colOff>
      <xdr:row>59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309943" y="18495163"/>
          <a:ext cx="3013166" cy="1497330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재 윤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정 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52510</xdr:colOff>
      <xdr:row>53</xdr:row>
      <xdr:rowOff>108682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688885" y="18126807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B25" sqref="B25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09" t="s">
        <v>0</v>
      </c>
      <c r="C4" s="209"/>
      <c r="D4" s="209"/>
      <c r="E4" s="209"/>
      <c r="F4" s="7"/>
    </row>
    <row r="5" spans="1:6" ht="21.9" customHeight="1" x14ac:dyDescent="0.4">
      <c r="A5" s="8"/>
      <c r="B5" s="209"/>
      <c r="C5" s="209"/>
      <c r="D5" s="209"/>
      <c r="E5" s="209"/>
      <c r="F5" s="9"/>
    </row>
    <row r="6" spans="1:6" ht="21.9" customHeight="1" x14ac:dyDescent="0.4">
      <c r="A6" s="10"/>
      <c r="B6" s="209"/>
      <c r="C6" s="209"/>
      <c r="D6" s="209"/>
      <c r="E6" s="209"/>
      <c r="F6" s="11"/>
    </row>
    <row r="7" spans="1:6" ht="36.9" customHeight="1" x14ac:dyDescent="0.4">
      <c r="A7" s="12"/>
      <c r="B7" s="210" t="s">
        <v>593</v>
      </c>
      <c r="C7" s="210"/>
      <c r="D7" s="210"/>
      <c r="E7" s="210"/>
      <c r="F7" s="11"/>
    </row>
    <row r="8" spans="1:6" ht="29.1" customHeight="1" x14ac:dyDescent="0.4">
      <c r="A8" s="8"/>
      <c r="B8" s="13"/>
      <c r="C8" s="211" t="s">
        <v>339</v>
      </c>
      <c r="D8" s="212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13" t="s">
        <v>595</v>
      </c>
      <c r="D14" s="213"/>
      <c r="E14" s="13"/>
      <c r="F14" s="9"/>
    </row>
    <row r="15" spans="1:6" ht="21.9" customHeight="1" x14ac:dyDescent="0.4">
      <c r="A15" s="8"/>
      <c r="B15" s="13"/>
      <c r="C15" s="214" t="s">
        <v>292</v>
      </c>
      <c r="D15" s="214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08"/>
      <c r="D19" s="208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sqref="A1:K1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15" t="s">
        <v>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2</v>
      </c>
      <c r="C3" s="21" t="s">
        <v>3</v>
      </c>
      <c r="D3" s="22" t="str">
        <f>'용역청구서 표지'!$B$7</f>
        <v>P4 Ph2 GAS&amp;PCW 1공구</v>
      </c>
      <c r="E3" s="23" t="str">
        <f>'용역청구서 표지'!$C$8</f>
        <v>S26-001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4</v>
      </c>
      <c r="C4" s="21" t="s">
        <v>3</v>
      </c>
      <c r="D4" s="24" t="s">
        <v>5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6</v>
      </c>
      <c r="C5" s="21" t="s">
        <v>3</v>
      </c>
      <c r="D5" s="25">
        <f>ROUNDUP(E5,0)</f>
        <v>-174338537</v>
      </c>
      <c r="E5" s="22">
        <f>집계장!J25</f>
        <v>-174338537</v>
      </c>
      <c r="F5" s="26" t="s">
        <v>7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8</v>
      </c>
      <c r="C6" s="21" t="s">
        <v>3</v>
      </c>
      <c r="D6" s="25">
        <f t="shared" ref="D6:D12" si="0">ROUNDUP(E6,0)</f>
        <v>0</v>
      </c>
      <c r="E6" s="22">
        <f>E7+E13</f>
        <v>0</v>
      </c>
      <c r="F6" s="26" t="s">
        <v>9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10</v>
      </c>
      <c r="C7" s="21" t="s">
        <v>11</v>
      </c>
      <c r="D7" s="25">
        <f t="shared" si="0"/>
        <v>0</v>
      </c>
      <c r="E7" s="22">
        <v>0</v>
      </c>
      <c r="F7" s="26" t="s">
        <v>12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13</v>
      </c>
      <c r="C8" s="21" t="s">
        <v>3</v>
      </c>
      <c r="D8" s="25">
        <f t="shared" si="0"/>
        <v>-174338537</v>
      </c>
      <c r="E8" s="22">
        <f>집계장!I25</f>
        <v>-174338537</v>
      </c>
      <c r="F8" s="26" t="s">
        <v>14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15</v>
      </c>
      <c r="C9" s="21" t="s">
        <v>16</v>
      </c>
      <c r="D9" s="25">
        <f t="shared" si="0"/>
        <v>0</v>
      </c>
      <c r="E9" s="22">
        <f>집계장!L23</f>
        <v>0</v>
      </c>
      <c r="F9" s="26" t="s">
        <v>9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17</v>
      </c>
      <c r="C10" s="21" t="s">
        <v>18</v>
      </c>
      <c r="D10" s="25">
        <f t="shared" si="0"/>
        <v>0</v>
      </c>
      <c r="E10" s="22">
        <f>집계장!H23</f>
        <v>0</v>
      </c>
      <c r="F10" s="26" t="s">
        <v>7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19</v>
      </c>
      <c r="C11" s="21" t="s">
        <v>16</v>
      </c>
      <c r="D11" s="25">
        <f t="shared" si="0"/>
        <v>0</v>
      </c>
      <c r="E11" s="22">
        <f>집계장!G23</f>
        <v>0</v>
      </c>
      <c r="F11" s="26" t="s">
        <v>14</v>
      </c>
      <c r="G11" s="18"/>
      <c r="H11" s="18"/>
      <c r="I11" s="18"/>
      <c r="J11" s="18"/>
      <c r="K11" s="18"/>
      <c r="L11" s="19"/>
    </row>
    <row r="12" spans="1:12" ht="21.9" customHeight="1" x14ac:dyDescent="0.4">
      <c r="A12" s="20">
        <v>10</v>
      </c>
      <c r="B12" s="21" t="s">
        <v>20</v>
      </c>
      <c r="C12" s="21" t="s">
        <v>3</v>
      </c>
      <c r="D12" s="25">
        <f t="shared" si="0"/>
        <v>0</v>
      </c>
      <c r="E12" s="22">
        <f>집계장!M23</f>
        <v>0</v>
      </c>
      <c r="F12" s="26" t="s">
        <v>7</v>
      </c>
      <c r="G12" s="18"/>
      <c r="H12" s="18"/>
      <c r="I12" s="18"/>
      <c r="J12" s="18"/>
      <c r="K12" s="18"/>
      <c r="L12" s="29"/>
    </row>
    <row r="13" spans="1:12" ht="21.9" customHeight="1" x14ac:dyDescent="0.4">
      <c r="A13" s="20">
        <v>11</v>
      </c>
      <c r="B13" s="24" t="s">
        <v>21</v>
      </c>
      <c r="C13" s="21" t="s">
        <v>22</v>
      </c>
      <c r="D13" s="30">
        <f>ROUNDUP(E13,0)</f>
        <v>0</v>
      </c>
      <c r="E13" s="31">
        <v>0</v>
      </c>
      <c r="F13" s="26" t="s">
        <v>12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23</v>
      </c>
      <c r="C14" s="21" t="s">
        <v>22</v>
      </c>
      <c r="D14" s="25">
        <f>ROUNDUP(E14,0)</f>
        <v>0</v>
      </c>
      <c r="E14" s="22"/>
      <c r="F14" s="26" t="s">
        <v>7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24</v>
      </c>
      <c r="C15" s="21" t="s">
        <v>25</v>
      </c>
      <c r="D15" s="32">
        <v>1</v>
      </c>
      <c r="E15" s="22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26</v>
      </c>
      <c r="C16" s="21" t="s">
        <v>27</v>
      </c>
      <c r="D16" s="32" t="s">
        <v>596</v>
      </c>
      <c r="E16" s="22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2"/>
      <c r="E17" s="22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16" t="s">
        <v>28</v>
      </c>
      <c r="C18" s="216"/>
      <c r="D18" s="216"/>
      <c r="E18" s="216"/>
      <c r="F18" s="216"/>
      <c r="G18" s="216"/>
      <c r="H18" s="216"/>
      <c r="I18" s="216"/>
      <c r="J18" s="217"/>
      <c r="K18" s="21"/>
    </row>
    <row r="19" spans="1:11" ht="21.9" customHeight="1" x14ac:dyDescent="0.25">
      <c r="A19" s="20"/>
      <c r="B19" s="21" t="s">
        <v>29</v>
      </c>
      <c r="C19" s="21"/>
      <c r="D19" s="21"/>
      <c r="E19" s="22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30</v>
      </c>
      <c r="C20" s="21"/>
      <c r="D20" s="21"/>
      <c r="E20" s="22"/>
      <c r="F20" s="21"/>
      <c r="G20" s="21"/>
      <c r="H20" s="21"/>
      <c r="I20" s="21"/>
      <c r="J20" s="21"/>
      <c r="K20" s="21"/>
    </row>
    <row r="21" spans="1:11" ht="21.9" customHeight="1" x14ac:dyDescent="0.25">
      <c r="A21" s="33"/>
      <c r="B21" s="21"/>
      <c r="C21" s="21"/>
      <c r="D21" s="21"/>
      <c r="E21" s="22"/>
      <c r="F21" s="24" t="s">
        <v>597</v>
      </c>
      <c r="G21" s="24"/>
      <c r="H21" s="24"/>
      <c r="I21" s="24"/>
      <c r="J21" s="21"/>
      <c r="K21" s="21"/>
    </row>
    <row r="22" spans="1:11" ht="21.9" customHeight="1" x14ac:dyDescent="0.25">
      <c r="A22" s="33"/>
      <c r="B22" s="21"/>
      <c r="C22" s="21"/>
      <c r="D22" s="21"/>
      <c r="E22" s="22"/>
      <c r="F22" s="21"/>
      <c r="G22" s="21"/>
      <c r="H22" s="21"/>
      <c r="I22" s="21"/>
      <c r="J22" s="21"/>
      <c r="K22" s="21"/>
    </row>
    <row r="23" spans="1:11" ht="21.9" customHeight="1" x14ac:dyDescent="0.25">
      <c r="A23" s="33"/>
      <c r="B23" s="21"/>
      <c r="C23" s="21"/>
      <c r="D23" s="21"/>
      <c r="E23" s="22"/>
      <c r="F23" s="24" t="s">
        <v>31</v>
      </c>
      <c r="G23" s="218" t="s">
        <v>292</v>
      </c>
      <c r="H23" s="218"/>
      <c r="I23" s="218"/>
      <c r="J23" s="218"/>
      <c r="K23" s="218"/>
    </row>
    <row r="24" spans="1:11" ht="21.9" customHeight="1" x14ac:dyDescent="0.25">
      <c r="A24" s="33"/>
      <c r="B24" s="21" t="s">
        <v>32</v>
      </c>
      <c r="C24" s="21"/>
      <c r="D24" s="21"/>
      <c r="E24" s="22"/>
      <c r="F24" s="24" t="s">
        <v>33</v>
      </c>
      <c r="G24" s="218" t="s">
        <v>293</v>
      </c>
      <c r="H24" s="218"/>
      <c r="I24" s="218"/>
      <c r="J24" s="218"/>
      <c r="K24" s="218"/>
    </row>
    <row r="25" spans="1:11" ht="21.9" customHeight="1" x14ac:dyDescent="0.25">
      <c r="A25" s="18"/>
      <c r="B25" s="21"/>
      <c r="C25" s="21"/>
      <c r="D25" s="21"/>
      <c r="E25" s="22"/>
      <c r="F25" s="24" t="s">
        <v>34</v>
      </c>
      <c r="G25" s="218" t="s">
        <v>294</v>
      </c>
      <c r="H25" s="218"/>
      <c r="I25" s="23" t="s">
        <v>295</v>
      </c>
      <c r="J25" s="24"/>
      <c r="K25" s="24"/>
    </row>
    <row r="26" spans="1:11" ht="21.9" customHeight="1" x14ac:dyDescent="0.25">
      <c r="A26" s="18"/>
      <c r="B26" s="18"/>
      <c r="C26" s="18"/>
      <c r="D26" s="34" t="s">
        <v>35</v>
      </c>
      <c r="E26" s="29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 x14ac:dyDescent="0.4"/>
  <cols>
    <col min="1" max="1" width="29.19921875" style="35" bestFit="1" customWidth="1"/>
    <col min="2" max="2" width="18.59765625" style="35" customWidth="1"/>
    <col min="3" max="3" width="9" style="35"/>
    <col min="4" max="4" width="12.3984375" style="35" bestFit="1" customWidth="1"/>
    <col min="5" max="5" width="8.59765625" style="35" customWidth="1"/>
    <col min="6" max="6" width="15.59765625" style="35" customWidth="1"/>
    <col min="7" max="7" width="13.59765625" style="35" customWidth="1"/>
  </cols>
  <sheetData>
    <row r="1" spans="1:7" ht="69.900000000000006" customHeight="1" x14ac:dyDescent="0.4">
      <c r="A1" s="219" t="s">
        <v>80</v>
      </c>
      <c r="B1" s="220"/>
      <c r="C1" s="220"/>
      <c r="D1" s="220"/>
      <c r="E1" s="220"/>
      <c r="F1" s="220"/>
      <c r="G1" s="220"/>
    </row>
    <row r="2" spans="1:7" ht="39.9" customHeight="1" thickBot="1" x14ac:dyDescent="0.45">
      <c r="A2" s="39" t="s">
        <v>81</v>
      </c>
      <c r="G2" s="40" t="s">
        <v>82</v>
      </c>
    </row>
    <row r="3" spans="1:7" ht="27.9" customHeight="1" x14ac:dyDescent="0.4">
      <c r="A3" s="221" t="s">
        <v>83</v>
      </c>
      <c r="B3" s="223" t="s">
        <v>84</v>
      </c>
      <c r="C3" s="223" t="s">
        <v>85</v>
      </c>
      <c r="D3" s="223" t="s">
        <v>86</v>
      </c>
      <c r="E3" s="223" t="s">
        <v>87</v>
      </c>
      <c r="F3" s="223"/>
      <c r="G3" s="225"/>
    </row>
    <row r="4" spans="1:7" ht="27.9" customHeight="1" x14ac:dyDescent="0.4">
      <c r="A4" s="222"/>
      <c r="B4" s="224"/>
      <c r="C4" s="224"/>
      <c r="D4" s="224"/>
      <c r="E4" s="41" t="s">
        <v>88</v>
      </c>
      <c r="F4" s="41" t="s">
        <v>89</v>
      </c>
      <c r="G4" s="42" t="s">
        <v>90</v>
      </c>
    </row>
    <row r="5" spans="1:7" ht="27.9" customHeight="1" x14ac:dyDescent="0.4">
      <c r="A5" s="43" t="s">
        <v>91</v>
      </c>
      <c r="B5" s="44" t="s">
        <v>92</v>
      </c>
      <c r="C5" s="44" t="s">
        <v>93</v>
      </c>
      <c r="D5" s="45">
        <v>1400000</v>
      </c>
      <c r="E5" s="44">
        <v>1</v>
      </c>
      <c r="F5" s="45">
        <f>D5*E5</f>
        <v>1400000</v>
      </c>
      <c r="G5" s="46"/>
    </row>
    <row r="6" spans="1:7" ht="27.9" customHeight="1" x14ac:dyDescent="0.4">
      <c r="A6" s="43" t="s">
        <v>91</v>
      </c>
      <c r="B6" s="44" t="s">
        <v>94</v>
      </c>
      <c r="C6" s="44" t="s">
        <v>95</v>
      </c>
      <c r="D6" s="45">
        <v>1200000</v>
      </c>
      <c r="E6" s="44"/>
      <c r="F6" s="45">
        <f t="shared" ref="F6:F11" si="0">D6*E6</f>
        <v>0</v>
      </c>
      <c r="G6" s="46"/>
    </row>
    <row r="7" spans="1:7" ht="27.9" customHeight="1" x14ac:dyDescent="0.4">
      <c r="A7" s="43" t="s">
        <v>96</v>
      </c>
      <c r="B7" s="44" t="s">
        <v>97</v>
      </c>
      <c r="C7" s="44" t="s">
        <v>95</v>
      </c>
      <c r="D7" s="45">
        <v>1000000</v>
      </c>
      <c r="E7" s="44"/>
      <c r="F7" s="45">
        <f t="shared" si="0"/>
        <v>0</v>
      </c>
      <c r="G7" s="46"/>
    </row>
    <row r="8" spans="1:7" ht="27.9" customHeight="1" x14ac:dyDescent="0.4">
      <c r="A8" s="43" t="s">
        <v>98</v>
      </c>
      <c r="B8" s="44" t="s">
        <v>99</v>
      </c>
      <c r="C8" s="44" t="s">
        <v>100</v>
      </c>
      <c r="D8" s="45">
        <v>900000</v>
      </c>
      <c r="E8" s="44"/>
      <c r="F8" s="45">
        <f t="shared" si="0"/>
        <v>0</v>
      </c>
      <c r="G8" s="46"/>
    </row>
    <row r="9" spans="1:7" ht="27.9" customHeight="1" x14ac:dyDescent="0.4">
      <c r="A9" s="43" t="s">
        <v>96</v>
      </c>
      <c r="B9" s="44" t="s">
        <v>101</v>
      </c>
      <c r="C9" s="44" t="s">
        <v>93</v>
      </c>
      <c r="D9" s="45">
        <v>800000</v>
      </c>
      <c r="E9" s="44"/>
      <c r="F9" s="45">
        <f t="shared" si="0"/>
        <v>0</v>
      </c>
      <c r="G9" s="46"/>
    </row>
    <row r="10" spans="1:7" ht="27.9" customHeight="1" x14ac:dyDescent="0.4">
      <c r="A10" s="43" t="s">
        <v>102</v>
      </c>
      <c r="B10" s="44" t="s">
        <v>103</v>
      </c>
      <c r="C10" s="44" t="s">
        <v>93</v>
      </c>
      <c r="D10" s="45">
        <v>700000</v>
      </c>
      <c r="E10" s="44"/>
      <c r="F10" s="45">
        <f t="shared" si="0"/>
        <v>0</v>
      </c>
      <c r="G10" s="46"/>
    </row>
    <row r="11" spans="1:7" ht="27.9" customHeight="1" x14ac:dyDescent="0.4">
      <c r="A11" s="43" t="s">
        <v>104</v>
      </c>
      <c r="B11" s="44" t="s">
        <v>105</v>
      </c>
      <c r="C11" s="44" t="s">
        <v>106</v>
      </c>
      <c r="D11" s="45">
        <v>600000</v>
      </c>
      <c r="E11" s="44"/>
      <c r="F11" s="45">
        <f t="shared" si="0"/>
        <v>0</v>
      </c>
      <c r="G11" s="46"/>
    </row>
    <row r="12" spans="1:7" ht="27.9" customHeight="1" x14ac:dyDescent="0.4">
      <c r="A12" s="43"/>
      <c r="B12" s="44"/>
      <c r="C12" s="44"/>
      <c r="D12" s="44"/>
      <c r="E12" s="44"/>
      <c r="F12" s="44"/>
      <c r="G12" s="46"/>
    </row>
    <row r="13" spans="1:7" ht="27.9" customHeight="1" x14ac:dyDescent="0.4">
      <c r="A13" s="43" t="s">
        <v>107</v>
      </c>
      <c r="B13" s="44"/>
      <c r="C13" s="44"/>
      <c r="D13" s="44"/>
      <c r="E13" s="47">
        <v>0.01</v>
      </c>
      <c r="F13" s="45">
        <f>SUM(F5:F11)*E13</f>
        <v>14000</v>
      </c>
      <c r="G13" s="46"/>
    </row>
    <row r="14" spans="1:7" ht="27.9" customHeight="1" x14ac:dyDescent="0.4">
      <c r="A14" s="43"/>
      <c r="B14" s="44"/>
      <c r="C14" s="44"/>
      <c r="D14" s="44"/>
      <c r="E14" s="44"/>
      <c r="F14" s="44"/>
      <c r="G14" s="46"/>
    </row>
    <row r="15" spans="1:7" ht="27.9" customHeight="1" thickBot="1" x14ac:dyDescent="0.45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topLeftCell="A13" zoomScale="85" zoomScaleNormal="85" zoomScaleSheetLayoutView="80" workbookViewId="0">
      <selection activeCell="I15" sqref="I15"/>
    </sheetView>
  </sheetViews>
  <sheetFormatPr defaultColWidth="9" defaultRowHeight="17.399999999999999" x14ac:dyDescent="0.4"/>
  <cols>
    <col min="1" max="1" width="25.59765625" style="18" customWidth="1"/>
    <col min="2" max="2" width="20.19921875" style="18" customWidth="1"/>
    <col min="3" max="3" width="7.3984375" style="18" customWidth="1"/>
    <col min="4" max="4" width="10.59765625" style="128" customWidth="1"/>
    <col min="5" max="5" width="9.8984375" style="18" customWidth="1"/>
    <col min="6" max="6" width="17.69921875" style="18" customWidth="1"/>
    <col min="7" max="7" width="15.59765625" style="18" customWidth="1"/>
    <col min="8" max="8" width="9" style="18"/>
    <col min="9" max="9" width="15.59765625" style="29" customWidth="1"/>
    <col min="10" max="10" width="7" style="18" bestFit="1" customWidth="1"/>
    <col min="11" max="11" width="14.19921875" style="18" bestFit="1" customWidth="1"/>
    <col min="12" max="12" width="35.69921875" style="18" customWidth="1"/>
    <col min="13" max="16384" width="9" style="18"/>
  </cols>
  <sheetData>
    <row r="1" spans="1:12" ht="69" customHeight="1" x14ac:dyDescent="0.4">
      <c r="A1" s="226" t="s">
        <v>338</v>
      </c>
      <c r="B1" s="226"/>
      <c r="C1" s="226"/>
      <c r="D1" s="226"/>
      <c r="E1" s="226"/>
      <c r="F1" s="226"/>
      <c r="G1" s="226"/>
    </row>
    <row r="2" spans="1:12" ht="39.75" customHeight="1" thickBot="1" x14ac:dyDescent="0.45">
      <c r="A2" s="175" t="str">
        <f>집계장!B2</f>
        <v>P4 Ph2 GAS&amp;PCW 1공구</v>
      </c>
      <c r="B2" s="170"/>
      <c r="C2" s="170"/>
      <c r="D2" s="170"/>
      <c r="E2" s="169"/>
      <c r="F2" s="168"/>
      <c r="G2" s="168" t="s">
        <v>337</v>
      </c>
    </row>
    <row r="3" spans="1:12" ht="27.9" customHeight="1" x14ac:dyDescent="0.4">
      <c r="A3" s="227" t="s">
        <v>336</v>
      </c>
      <c r="B3" s="229" t="s">
        <v>335</v>
      </c>
      <c r="C3" s="229" t="s">
        <v>334</v>
      </c>
      <c r="D3" s="231" t="s">
        <v>333</v>
      </c>
      <c r="E3" s="231" t="s">
        <v>332</v>
      </c>
      <c r="F3" s="231"/>
      <c r="G3" s="233" t="s">
        <v>331</v>
      </c>
    </row>
    <row r="4" spans="1:12" ht="27.9" customHeight="1" x14ac:dyDescent="0.4">
      <c r="A4" s="228"/>
      <c r="B4" s="230"/>
      <c r="C4" s="230"/>
      <c r="D4" s="232"/>
      <c r="E4" s="167" t="s">
        <v>330</v>
      </c>
      <c r="F4" s="167" t="s">
        <v>329</v>
      </c>
      <c r="G4" s="234"/>
    </row>
    <row r="5" spans="1:12" ht="27.9" customHeight="1" x14ac:dyDescent="0.4">
      <c r="A5" s="161" t="s">
        <v>327</v>
      </c>
      <c r="B5" s="149" t="s">
        <v>328</v>
      </c>
      <c r="C5" s="149" t="s">
        <v>317</v>
      </c>
      <c r="D5" s="146">
        <v>1400000</v>
      </c>
      <c r="E5" s="141">
        <v>8</v>
      </c>
      <c r="F5" s="141">
        <f t="shared" ref="F5:F11" si="0">D5*E5</f>
        <v>11200000</v>
      </c>
      <c r="G5" s="166"/>
    </row>
    <row r="6" spans="1:12" ht="27.9" customHeight="1" x14ac:dyDescent="0.4">
      <c r="A6" s="161" t="s">
        <v>327</v>
      </c>
      <c r="B6" s="149" t="s">
        <v>326</v>
      </c>
      <c r="C6" s="149" t="s">
        <v>317</v>
      </c>
      <c r="D6" s="146">
        <v>1200000</v>
      </c>
      <c r="E6" s="141">
        <v>2</v>
      </c>
      <c r="F6" s="141">
        <f t="shared" si="0"/>
        <v>2400000</v>
      </c>
      <c r="G6" s="165" t="s">
        <v>323</v>
      </c>
    </row>
    <row r="7" spans="1:12" ht="27.9" customHeight="1" x14ac:dyDescent="0.4">
      <c r="A7" s="161" t="s">
        <v>321</v>
      </c>
      <c r="B7" s="149" t="s">
        <v>325</v>
      </c>
      <c r="C7" s="149" t="s">
        <v>317</v>
      </c>
      <c r="D7" s="146">
        <v>1000000</v>
      </c>
      <c r="E7" s="141">
        <v>6</v>
      </c>
      <c r="F7" s="141">
        <f t="shared" si="0"/>
        <v>6000000</v>
      </c>
      <c r="G7" s="162" t="s">
        <v>323</v>
      </c>
    </row>
    <row r="8" spans="1:12" ht="27.9" customHeight="1" x14ac:dyDescent="0.4">
      <c r="A8" s="161" t="s">
        <v>321</v>
      </c>
      <c r="B8" s="149" t="s">
        <v>324</v>
      </c>
      <c r="C8" s="149" t="s">
        <v>317</v>
      </c>
      <c r="D8" s="146">
        <v>900000</v>
      </c>
      <c r="E8" s="141">
        <v>1</v>
      </c>
      <c r="F8" s="141">
        <f t="shared" si="0"/>
        <v>900000</v>
      </c>
      <c r="G8" s="162" t="s">
        <v>323</v>
      </c>
    </row>
    <row r="9" spans="1:12" ht="27.9" customHeight="1" x14ac:dyDescent="0.4">
      <c r="A9" s="161" t="s">
        <v>321</v>
      </c>
      <c r="B9" s="149" t="s">
        <v>322</v>
      </c>
      <c r="C9" s="149" t="s">
        <v>317</v>
      </c>
      <c r="D9" s="146">
        <v>800000</v>
      </c>
      <c r="E9" s="141">
        <v>4</v>
      </c>
      <c r="F9" s="141">
        <f t="shared" si="0"/>
        <v>3200000</v>
      </c>
      <c r="G9" s="164"/>
      <c r="K9" s="29"/>
      <c r="L9" s="163"/>
    </row>
    <row r="10" spans="1:12" ht="27.9" customHeight="1" x14ac:dyDescent="0.4">
      <c r="A10" s="161" t="s">
        <v>321</v>
      </c>
      <c r="B10" s="149" t="s">
        <v>320</v>
      </c>
      <c r="C10" s="149" t="s">
        <v>317</v>
      </c>
      <c r="D10" s="146">
        <v>700000</v>
      </c>
      <c r="E10" s="141">
        <v>9</v>
      </c>
      <c r="F10" s="141">
        <f t="shared" si="0"/>
        <v>6300000</v>
      </c>
      <c r="G10" s="162"/>
    </row>
    <row r="11" spans="1:12" ht="27.9" customHeight="1" x14ac:dyDescent="0.4">
      <c r="A11" s="161" t="s">
        <v>319</v>
      </c>
      <c r="B11" s="149" t="s">
        <v>318</v>
      </c>
      <c r="C11" s="149" t="s">
        <v>317</v>
      </c>
      <c r="D11" s="146">
        <v>600000</v>
      </c>
      <c r="E11" s="141"/>
      <c r="F11" s="141">
        <f t="shared" si="0"/>
        <v>0</v>
      </c>
      <c r="G11" s="140"/>
    </row>
    <row r="12" spans="1:12" ht="27.9" customHeight="1" x14ac:dyDescent="0.4">
      <c r="A12" s="155"/>
      <c r="B12" s="149"/>
      <c r="C12" s="149"/>
      <c r="D12" s="146"/>
      <c r="E12" s="141"/>
      <c r="F12" s="141"/>
      <c r="G12" s="140"/>
    </row>
    <row r="13" spans="1:12" ht="27.9" customHeight="1" x14ac:dyDescent="0.4">
      <c r="A13" s="160"/>
      <c r="B13" s="149"/>
      <c r="C13" s="149"/>
      <c r="D13" s="154"/>
      <c r="E13" s="159"/>
      <c r="F13" s="158"/>
      <c r="G13" s="140"/>
      <c r="J13" s="157"/>
      <c r="K13" s="29"/>
      <c r="L13" s="156"/>
    </row>
    <row r="14" spans="1:12" ht="27.9" customHeight="1" x14ac:dyDescent="0.4">
      <c r="A14" s="155"/>
      <c r="B14" s="149"/>
      <c r="C14" s="149"/>
      <c r="D14" s="154"/>
      <c r="E14" s="141"/>
      <c r="F14" s="141"/>
      <c r="G14" s="140"/>
      <c r="K14" s="29"/>
    </row>
    <row r="15" spans="1:12" ht="27.9" customHeight="1" x14ac:dyDescent="0.4">
      <c r="A15" s="155"/>
      <c r="B15" s="150"/>
      <c r="C15" s="149"/>
      <c r="D15" s="154"/>
      <c r="E15" s="141"/>
      <c r="F15" s="141"/>
      <c r="G15" s="140"/>
      <c r="K15" s="29"/>
    </row>
    <row r="16" spans="1:12" ht="27.9" customHeight="1" x14ac:dyDescent="0.4">
      <c r="A16" s="155"/>
      <c r="B16" s="150"/>
      <c r="C16" s="149"/>
      <c r="D16" s="154"/>
      <c r="E16" s="141"/>
      <c r="F16" s="141"/>
      <c r="G16" s="140"/>
    </row>
    <row r="17" spans="1:7" ht="27.9" customHeight="1" x14ac:dyDescent="0.4">
      <c r="A17" s="155"/>
      <c r="B17" s="150"/>
      <c r="C17" s="149"/>
      <c r="D17" s="154"/>
      <c r="E17" s="141"/>
      <c r="F17" s="141"/>
      <c r="G17" s="140"/>
    </row>
    <row r="18" spans="1:7" ht="27.9" customHeight="1" x14ac:dyDescent="0.4">
      <c r="A18" s="153"/>
      <c r="B18" s="147"/>
      <c r="C18" s="146"/>
      <c r="D18" s="141"/>
      <c r="E18" s="141"/>
      <c r="F18" s="141"/>
      <c r="G18" s="140"/>
    </row>
    <row r="19" spans="1:7" ht="27.9" customHeight="1" x14ac:dyDescent="0.4">
      <c r="A19" s="152"/>
      <c r="B19" s="147"/>
      <c r="C19" s="149"/>
      <c r="D19" s="145"/>
      <c r="E19" s="141"/>
      <c r="F19" s="141"/>
      <c r="G19" s="140"/>
    </row>
    <row r="20" spans="1:7" ht="27.9" customHeight="1" x14ac:dyDescent="0.4">
      <c r="A20" s="152"/>
      <c r="B20" s="147"/>
      <c r="C20" s="149"/>
      <c r="D20" s="145"/>
      <c r="E20" s="141"/>
      <c r="F20" s="141"/>
      <c r="G20" s="140"/>
    </row>
    <row r="21" spans="1:7" ht="27.9" customHeight="1" x14ac:dyDescent="0.4">
      <c r="A21" s="151"/>
      <c r="B21" s="150"/>
      <c r="C21" s="149"/>
      <c r="D21" s="145"/>
      <c r="E21" s="141"/>
      <c r="F21" s="141"/>
      <c r="G21" s="140"/>
    </row>
    <row r="22" spans="1:7" ht="27.9" customHeight="1" x14ac:dyDescent="0.4">
      <c r="A22" s="151"/>
      <c r="B22" s="150"/>
      <c r="C22" s="149"/>
      <c r="D22" s="145"/>
      <c r="E22" s="141"/>
      <c r="F22" s="141"/>
      <c r="G22" s="140"/>
    </row>
    <row r="23" spans="1:7" ht="27.9" customHeight="1" x14ac:dyDescent="0.4">
      <c r="A23" s="148"/>
      <c r="B23" s="147"/>
      <c r="C23" s="146"/>
      <c r="D23" s="145"/>
      <c r="E23" s="141"/>
      <c r="F23" s="141"/>
      <c r="G23" s="140"/>
    </row>
    <row r="24" spans="1:7" ht="27.9" customHeight="1" x14ac:dyDescent="0.4">
      <c r="A24" s="151"/>
      <c r="B24" s="150"/>
      <c r="C24" s="149"/>
      <c r="D24" s="145"/>
      <c r="E24" s="141"/>
      <c r="F24" s="141"/>
      <c r="G24" s="140"/>
    </row>
    <row r="25" spans="1:7" ht="27.9" customHeight="1" x14ac:dyDescent="0.4">
      <c r="A25" s="148"/>
      <c r="B25" s="147"/>
      <c r="C25" s="146"/>
      <c r="D25" s="145"/>
      <c r="E25" s="141"/>
      <c r="F25" s="141"/>
      <c r="G25" s="140"/>
    </row>
    <row r="26" spans="1:7" ht="27.9" customHeight="1" x14ac:dyDescent="0.4">
      <c r="A26" s="144"/>
      <c r="B26" s="143"/>
      <c r="C26" s="142"/>
      <c r="D26" s="142"/>
      <c r="E26" s="141"/>
      <c r="F26" s="141"/>
      <c r="G26" s="140"/>
    </row>
    <row r="27" spans="1:7" ht="27.9" customHeight="1" thickBot="1" x14ac:dyDescent="0.45">
      <c r="A27" s="139" t="s">
        <v>316</v>
      </c>
      <c r="B27" s="138"/>
      <c r="C27" s="137"/>
      <c r="D27" s="136"/>
      <c r="E27" s="135">
        <f>SUM(E5:E11)</f>
        <v>30</v>
      </c>
      <c r="F27" s="134">
        <f>SUM(F5:F26)</f>
        <v>30000000</v>
      </c>
      <c r="G27" s="133"/>
    </row>
    <row r="28" spans="1:7" ht="14.4" x14ac:dyDescent="0.4">
      <c r="A28" s="132"/>
      <c r="B28" s="131"/>
      <c r="C28" s="130"/>
      <c r="D28" s="130"/>
    </row>
    <row r="29" spans="1:7" ht="14.4" x14ac:dyDescent="0.4">
      <c r="A29" s="130"/>
      <c r="B29" s="130"/>
      <c r="C29" s="130"/>
      <c r="D29" s="130"/>
    </row>
    <row r="30" spans="1:7" s="29" customFormat="1" ht="14.4" x14ac:dyDescent="0.4">
      <c r="A30" s="130"/>
      <c r="B30" s="130"/>
      <c r="C30" s="130"/>
      <c r="D30" s="130"/>
      <c r="E30" s="18"/>
      <c r="F30" s="18"/>
      <c r="G30" s="18"/>
    </row>
    <row r="31" spans="1:7" s="29" customFormat="1" ht="14.4" x14ac:dyDescent="0.4">
      <c r="A31" s="130"/>
      <c r="B31" s="130"/>
      <c r="C31" s="130"/>
      <c r="D31" s="130"/>
      <c r="E31" s="18"/>
      <c r="F31" s="18"/>
      <c r="G31" s="18"/>
    </row>
    <row r="32" spans="1:7" s="29" customFormat="1" ht="14.4" x14ac:dyDescent="0.4">
      <c r="A32" s="130"/>
      <c r="B32" s="130"/>
      <c r="C32" s="130"/>
      <c r="D32" s="130"/>
      <c r="E32" s="18"/>
      <c r="F32" s="18"/>
      <c r="G32" s="18"/>
    </row>
    <row r="33" spans="1:7" s="29" customFormat="1" ht="14.4" x14ac:dyDescent="0.4">
      <c r="A33" s="129"/>
      <c r="B33" s="129"/>
      <c r="C33" s="129"/>
      <c r="D33" s="129"/>
      <c r="E33" s="18"/>
      <c r="F33" s="18"/>
      <c r="G33" s="18"/>
    </row>
    <row r="34" spans="1:7" s="29" customFormat="1" ht="14.4" x14ac:dyDescent="0.4">
      <c r="A34" s="129"/>
      <c r="B34" s="129"/>
      <c r="C34" s="129"/>
      <c r="D34" s="129"/>
      <c r="E34" s="18"/>
      <c r="F34" s="18"/>
      <c r="G34" s="18"/>
    </row>
    <row r="35" spans="1:7" s="29" customFormat="1" ht="14.4" x14ac:dyDescent="0.4">
      <c r="A35" s="129"/>
      <c r="B35" s="129"/>
      <c r="C35" s="129"/>
      <c r="D35" s="129"/>
      <c r="E35" s="18"/>
      <c r="F35" s="18"/>
      <c r="G35" s="18"/>
    </row>
    <row r="36" spans="1:7" s="29" customFormat="1" ht="14.4" x14ac:dyDescent="0.4">
      <c r="A36" s="129"/>
      <c r="B36" s="129"/>
      <c r="C36" s="129"/>
      <c r="D36" s="129"/>
      <c r="E36" s="18"/>
      <c r="F36" s="18"/>
      <c r="G36" s="18"/>
    </row>
    <row r="37" spans="1:7" s="29" customFormat="1" ht="14.4" x14ac:dyDescent="0.4">
      <c r="A37" s="129"/>
      <c r="B37" s="129"/>
      <c r="C37" s="129"/>
      <c r="D37" s="129"/>
      <c r="E37" s="18"/>
      <c r="F37" s="18"/>
      <c r="G37" s="18"/>
    </row>
    <row r="38" spans="1:7" s="29" customFormat="1" ht="14.4" x14ac:dyDescent="0.4">
      <c r="A38" s="129"/>
      <c r="B38" s="129"/>
      <c r="C38" s="129"/>
      <c r="D38" s="129"/>
      <c r="E38" s="18"/>
      <c r="F38" s="18"/>
      <c r="G38" s="18"/>
    </row>
    <row r="39" spans="1:7" s="29" customFormat="1" ht="14.4" x14ac:dyDescent="0.4">
      <c r="A39" s="129"/>
      <c r="B39" s="18"/>
      <c r="C39" s="129"/>
      <c r="D39" s="129"/>
      <c r="E39" s="18"/>
      <c r="F39" s="18"/>
      <c r="G39" s="18"/>
    </row>
    <row r="40" spans="1:7" s="29" customFormat="1" ht="14.4" x14ac:dyDescent="0.4">
      <c r="A40" s="129"/>
      <c r="B40" s="18"/>
      <c r="C40" s="129"/>
      <c r="D40" s="129"/>
      <c r="E40" s="18"/>
      <c r="F40" s="18"/>
      <c r="G40" s="18"/>
    </row>
    <row r="41" spans="1:7" s="29" customFormat="1" ht="14.4" x14ac:dyDescent="0.4">
      <c r="A41" s="129"/>
      <c r="B41" s="18"/>
      <c r="C41" s="129"/>
      <c r="D41" s="129"/>
      <c r="E41" s="18"/>
      <c r="F41" s="18"/>
      <c r="G41" s="18"/>
    </row>
    <row r="42" spans="1:7" s="29" customFormat="1" ht="14.4" x14ac:dyDescent="0.4">
      <c r="A42" s="129"/>
      <c r="B42" s="18"/>
      <c r="C42" s="129"/>
      <c r="D42" s="129"/>
      <c r="E42" s="18"/>
      <c r="F42" s="18"/>
      <c r="G42" s="18"/>
    </row>
    <row r="43" spans="1:7" s="29" customFormat="1" ht="14.4" x14ac:dyDescent="0.4">
      <c r="A43" s="129"/>
      <c r="B43" s="18"/>
      <c r="C43" s="129"/>
      <c r="D43" s="129"/>
      <c r="E43" s="18"/>
      <c r="F43" s="18"/>
      <c r="G43" s="18"/>
    </row>
    <row r="44" spans="1:7" s="29" customFormat="1" ht="14.4" x14ac:dyDescent="0.4">
      <c r="A44" s="18"/>
      <c r="B44" s="18"/>
      <c r="C44" s="129"/>
      <c r="D44" s="129"/>
      <c r="E44" s="18"/>
      <c r="F44" s="18"/>
      <c r="G44" s="18"/>
    </row>
    <row r="45" spans="1:7" s="29" customFormat="1" x14ac:dyDescent="0.4">
      <c r="A45" s="18"/>
      <c r="B45" s="18"/>
      <c r="C45" s="129"/>
      <c r="D45" s="128"/>
      <c r="E45" s="18"/>
      <c r="F45" s="18"/>
      <c r="G45" s="18"/>
    </row>
    <row r="46" spans="1:7" s="29" customFormat="1" x14ac:dyDescent="0.4">
      <c r="A46" s="18"/>
      <c r="B46" s="18"/>
      <c r="C46" s="129"/>
      <c r="D46" s="128"/>
      <c r="E46" s="18"/>
      <c r="F46" s="18"/>
      <c r="G46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29"/>
  <sheetViews>
    <sheetView view="pageBreakPreview" zoomScale="85" zoomScaleNormal="70" zoomScaleSheetLayoutView="85" zoomScalePageLayoutView="85" workbookViewId="0">
      <selection activeCell="O10" sqref="O10"/>
    </sheetView>
  </sheetViews>
  <sheetFormatPr defaultRowHeight="17.399999999999999" x14ac:dyDescent="0.4"/>
  <cols>
    <col min="2" max="2" width="21.59765625" style="52" customWidth="1"/>
    <col min="3" max="3" width="20.59765625" style="52" customWidth="1"/>
    <col min="4" max="4" width="6.59765625" style="52" customWidth="1"/>
    <col min="5" max="5" width="12.09765625" style="52" customWidth="1"/>
    <col min="6" max="6" width="16.59765625" style="52" customWidth="1"/>
    <col min="7" max="10" width="19.59765625" style="52" customWidth="1"/>
    <col min="11" max="11" width="15.59765625" style="52" customWidth="1"/>
    <col min="12" max="13" width="11.59765625" style="52" customWidth="1"/>
    <col min="15" max="15" width="13.59765625" bestFit="1" customWidth="1"/>
  </cols>
  <sheetData>
    <row r="1" spans="2:15" ht="18" thickBot="1" x14ac:dyDescent="0.45"/>
    <row r="2" spans="2:15" ht="39.9" customHeight="1" x14ac:dyDescent="0.4">
      <c r="B2" s="247" t="str">
        <f>'용역청구서 표지'!$B$7</f>
        <v>P4 Ph2 GAS&amp;PCW 1공구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9"/>
    </row>
    <row r="3" spans="2:15" ht="20.100000000000001" customHeight="1" x14ac:dyDescent="0.35">
      <c r="B3" s="178"/>
      <c r="K3" s="179"/>
      <c r="M3" s="180" t="str">
        <f>'용역청구서 표지'!$C$15</f>
        <v>대성이엔지</v>
      </c>
    </row>
    <row r="4" spans="2:15" ht="30" customHeight="1" x14ac:dyDescent="0.4">
      <c r="B4" s="181" t="s">
        <v>109</v>
      </c>
      <c r="C4" s="172" t="s">
        <v>110</v>
      </c>
      <c r="D4" s="172" t="s">
        <v>111</v>
      </c>
      <c r="E4" s="172" t="s">
        <v>112</v>
      </c>
      <c r="F4" s="172" t="s">
        <v>113</v>
      </c>
      <c r="G4" s="173" t="s">
        <v>114</v>
      </c>
      <c r="H4" s="53" t="s">
        <v>115</v>
      </c>
      <c r="I4" s="172" t="s">
        <v>116</v>
      </c>
      <c r="J4" s="54" t="s">
        <v>117</v>
      </c>
      <c r="K4" s="250" t="s">
        <v>118</v>
      </c>
      <c r="L4" s="250"/>
      <c r="M4" s="251"/>
    </row>
    <row r="5" spans="2:15" ht="30" customHeight="1" x14ac:dyDescent="0.4">
      <c r="B5" s="182" t="s">
        <v>119</v>
      </c>
      <c r="C5" s="55" t="s">
        <v>120</v>
      </c>
      <c r="D5" s="44" t="s">
        <v>121</v>
      </c>
      <c r="E5" s="119">
        <f>SUM('물량 내역서'!$J$6:$J$28)</f>
        <v>1047.5</v>
      </c>
      <c r="F5" s="45">
        <f>G5/E5</f>
        <v>475000</v>
      </c>
      <c r="G5" s="56">
        <f>SUM('물량 내역서'!$K$6:$K$28)</f>
        <v>497562500</v>
      </c>
      <c r="H5" s="57">
        <v>261250000</v>
      </c>
      <c r="I5" s="45">
        <f>G5</f>
        <v>497562500</v>
      </c>
      <c r="J5" s="58">
        <f>H5+I5</f>
        <v>758812500</v>
      </c>
      <c r="K5" s="235"/>
      <c r="L5" s="236"/>
      <c r="M5" s="237"/>
    </row>
    <row r="6" spans="2:15" ht="30" customHeight="1" x14ac:dyDescent="0.4">
      <c r="B6" s="183"/>
      <c r="C6" s="55" t="s">
        <v>122</v>
      </c>
      <c r="D6" s="44" t="s">
        <v>123</v>
      </c>
      <c r="E6" s="45">
        <f>SUM('물량 내역서'!$J$29:$J$51)</f>
        <v>0</v>
      </c>
      <c r="F6" s="45" t="e">
        <f>G6/E6</f>
        <v>#DIV/0!</v>
      </c>
      <c r="G6" s="56">
        <f>SUM('물량 내역서'!$K$29:$K$51)</f>
        <v>0</v>
      </c>
      <c r="H6" s="57">
        <v>0</v>
      </c>
      <c r="I6" s="45">
        <f t="shared" ref="I6:I23" si="0">G6</f>
        <v>0</v>
      </c>
      <c r="J6" s="58">
        <f t="shared" ref="J6:J7" si="1">H6+I6</f>
        <v>0</v>
      </c>
      <c r="K6" s="235"/>
      <c r="L6" s="236"/>
      <c r="M6" s="237"/>
    </row>
    <row r="7" spans="2:15" ht="30" customHeight="1" x14ac:dyDescent="0.4">
      <c r="B7" s="184"/>
      <c r="C7" s="55" t="s">
        <v>124</v>
      </c>
      <c r="D7" s="44" t="s">
        <v>125</v>
      </c>
      <c r="E7" s="59">
        <f>'근로내역 (05월)'!AN113</f>
        <v>0</v>
      </c>
      <c r="F7" s="45">
        <v>0</v>
      </c>
      <c r="G7" s="56">
        <f>E7*F7</f>
        <v>0</v>
      </c>
      <c r="H7" s="57">
        <v>0</v>
      </c>
      <c r="I7" s="45">
        <f t="shared" si="0"/>
        <v>0</v>
      </c>
      <c r="J7" s="58">
        <f t="shared" si="1"/>
        <v>0</v>
      </c>
      <c r="K7" s="235"/>
      <c r="L7" s="236"/>
      <c r="M7" s="237"/>
    </row>
    <row r="8" spans="2:15" ht="30" customHeight="1" x14ac:dyDescent="0.4">
      <c r="B8" s="185" t="s">
        <v>127</v>
      </c>
      <c r="C8" s="238" t="s">
        <v>128</v>
      </c>
      <c r="D8" s="239"/>
      <c r="E8" s="60"/>
      <c r="F8" s="60"/>
      <c r="G8" s="61">
        <f>SUM(G5:G7)</f>
        <v>497562500</v>
      </c>
      <c r="H8" s="62">
        <v>261250000</v>
      </c>
      <c r="I8" s="63">
        <f t="shared" si="0"/>
        <v>497562500</v>
      </c>
      <c r="J8" s="64">
        <f>H8+I8</f>
        <v>758812500</v>
      </c>
      <c r="K8" s="240"/>
      <c r="L8" s="241"/>
      <c r="M8" s="242"/>
      <c r="O8" s="19"/>
    </row>
    <row r="9" spans="2:15" ht="30" customHeight="1" x14ac:dyDescent="0.4">
      <c r="B9" s="182" t="s">
        <v>584</v>
      </c>
      <c r="C9" s="55" t="s">
        <v>129</v>
      </c>
      <c r="D9" s="44" t="s">
        <v>130</v>
      </c>
      <c r="E9" s="59">
        <f>'근로내역 (05월)'!AN101</f>
        <v>2013.375</v>
      </c>
      <c r="F9" s="45">
        <f>G9/E9</f>
        <v>191877.44458930899</v>
      </c>
      <c r="G9" s="56">
        <f>'근로내역 (05월)'!AP101</f>
        <v>386321250</v>
      </c>
      <c r="H9" s="57">
        <v>371528750</v>
      </c>
      <c r="I9" s="45">
        <f>G9</f>
        <v>386321250</v>
      </c>
      <c r="J9" s="58">
        <f>H9+I9</f>
        <v>757850000</v>
      </c>
      <c r="K9" s="235"/>
      <c r="L9" s="236"/>
      <c r="M9" s="237"/>
    </row>
    <row r="10" spans="2:15" ht="30" customHeight="1" x14ac:dyDescent="0.4">
      <c r="B10" s="182" t="s">
        <v>585</v>
      </c>
      <c r="C10" s="55" t="s">
        <v>131</v>
      </c>
      <c r="D10" s="44" t="s">
        <v>126</v>
      </c>
      <c r="E10" s="44">
        <f>SUM(숙소임차료!H4:H6)+SUM(숙소관리비!H4:H8)</f>
        <v>38</v>
      </c>
      <c r="F10" s="45">
        <f>G10/E10</f>
        <v>1166046.5789473683</v>
      </c>
      <c r="G10" s="56">
        <f>숙소임차료!I3+숙소관리비!I3</f>
        <v>44309770</v>
      </c>
      <c r="H10" s="57">
        <v>43371540</v>
      </c>
      <c r="I10" s="45">
        <f>G10</f>
        <v>44309770</v>
      </c>
      <c r="J10" s="58">
        <f t="shared" ref="J10:J12" si="2">H10+I10</f>
        <v>87681310</v>
      </c>
      <c r="K10" s="235"/>
      <c r="L10" s="236"/>
      <c r="M10" s="237"/>
      <c r="O10" s="19">
        <f>+I10+I11</f>
        <v>74455543</v>
      </c>
    </row>
    <row r="11" spans="2:15" ht="30" customHeight="1" x14ac:dyDescent="0.4">
      <c r="B11" s="182"/>
      <c r="C11" s="55" t="s">
        <v>132</v>
      </c>
      <c r="D11" s="44" t="s">
        <v>133</v>
      </c>
      <c r="E11" s="44">
        <f>SUM(식대비용!G4:G4)</f>
        <v>90</v>
      </c>
      <c r="F11" s="45">
        <f>G11/E11</f>
        <v>334953.03333333333</v>
      </c>
      <c r="G11" s="56">
        <f>식대비용!I3</f>
        <v>30145773</v>
      </c>
      <c r="H11" s="57">
        <v>27473954</v>
      </c>
      <c r="I11" s="45">
        <f>G11</f>
        <v>30145773</v>
      </c>
      <c r="J11" s="58">
        <f t="shared" si="2"/>
        <v>57619727</v>
      </c>
      <c r="K11" s="235"/>
      <c r="L11" s="236"/>
      <c r="M11" s="237"/>
    </row>
    <row r="12" spans="2:15" ht="30" customHeight="1" x14ac:dyDescent="0.4">
      <c r="B12" s="182" t="s">
        <v>586</v>
      </c>
      <c r="C12" s="55"/>
      <c r="D12" s="44" t="s">
        <v>126</v>
      </c>
      <c r="E12" s="44"/>
      <c r="F12" s="45">
        <v>0</v>
      </c>
      <c r="G12" s="56">
        <f t="shared" ref="G12" si="3">E12*F12</f>
        <v>0</v>
      </c>
      <c r="H12" s="57"/>
      <c r="I12" s="45">
        <f t="shared" si="0"/>
        <v>0</v>
      </c>
      <c r="J12" s="58">
        <f t="shared" si="2"/>
        <v>0</v>
      </c>
      <c r="K12" s="235"/>
      <c r="L12" s="236"/>
      <c r="M12" s="237"/>
    </row>
    <row r="13" spans="2:15" ht="30" customHeight="1" x14ac:dyDescent="0.4">
      <c r="B13" s="185" t="s">
        <v>134</v>
      </c>
      <c r="C13" s="238" t="s">
        <v>135</v>
      </c>
      <c r="D13" s="239"/>
      <c r="E13" s="60"/>
      <c r="F13" s="60"/>
      <c r="G13" s="61">
        <f>SUM(G9:G12)</f>
        <v>460776793</v>
      </c>
      <c r="H13" s="64">
        <f>SUM(H9:H12)</f>
        <v>442374244</v>
      </c>
      <c r="I13" s="63">
        <f t="shared" si="0"/>
        <v>460776793</v>
      </c>
      <c r="J13" s="64">
        <f>H13+I13</f>
        <v>903151037</v>
      </c>
      <c r="K13" s="240" t="s">
        <v>594</v>
      </c>
      <c r="L13" s="241"/>
      <c r="M13" s="242"/>
    </row>
    <row r="14" spans="2:15" ht="30" customHeight="1" x14ac:dyDescent="0.4">
      <c r="B14" s="185" t="s">
        <v>136</v>
      </c>
      <c r="C14" s="238" t="s">
        <v>137</v>
      </c>
      <c r="D14" s="239"/>
      <c r="E14" s="60"/>
      <c r="F14" s="60"/>
      <c r="G14" s="61">
        <f>G8-G13</f>
        <v>36785707</v>
      </c>
      <c r="H14" s="64">
        <f>H8-H13</f>
        <v>-181124244</v>
      </c>
      <c r="I14" s="63">
        <f>G14</f>
        <v>36785707</v>
      </c>
      <c r="J14" s="64">
        <f>H14+I14</f>
        <v>-144338537</v>
      </c>
      <c r="K14" s="240"/>
      <c r="L14" s="241"/>
      <c r="M14" s="242"/>
    </row>
    <row r="15" spans="2:15" ht="30" customHeight="1" x14ac:dyDescent="0.4">
      <c r="B15" s="182" t="s">
        <v>587</v>
      </c>
      <c r="C15" s="55" t="s">
        <v>138</v>
      </c>
      <c r="D15" s="44" t="s">
        <v>126</v>
      </c>
      <c r="E15" s="44"/>
      <c r="F15" s="44"/>
      <c r="G15" s="56"/>
      <c r="H15" s="57"/>
      <c r="I15" s="45">
        <f t="shared" si="0"/>
        <v>0</v>
      </c>
      <c r="J15" s="58">
        <f>H15+I15</f>
        <v>0</v>
      </c>
      <c r="K15" s="235"/>
      <c r="L15" s="236"/>
      <c r="M15" s="237"/>
      <c r="O15" s="19"/>
    </row>
    <row r="16" spans="2:15" ht="30" customHeight="1" x14ac:dyDescent="0.4">
      <c r="B16" s="182" t="s">
        <v>588</v>
      </c>
      <c r="C16" s="65" t="s">
        <v>591</v>
      </c>
      <c r="D16" s="44" t="s">
        <v>139</v>
      </c>
      <c r="E16" s="44"/>
      <c r="F16" s="45"/>
      <c r="G16" s="56"/>
      <c r="H16" s="57"/>
      <c r="I16" s="45"/>
      <c r="J16" s="58">
        <f>H16+I16</f>
        <v>0</v>
      </c>
      <c r="K16" s="235"/>
      <c r="L16" s="236"/>
      <c r="M16" s="237"/>
    </row>
    <row r="17" spans="2:13" ht="30" customHeight="1" x14ac:dyDescent="0.4">
      <c r="B17" s="182" t="s">
        <v>589</v>
      </c>
      <c r="C17" s="55" t="s">
        <v>140</v>
      </c>
      <c r="D17" s="44" t="s">
        <v>141</v>
      </c>
      <c r="E17" s="44"/>
      <c r="G17" s="56"/>
      <c r="I17" s="45">
        <f>G17</f>
        <v>0</v>
      </c>
      <c r="J17" s="58">
        <f>H17+I17</f>
        <v>0</v>
      </c>
      <c r="K17" s="235"/>
      <c r="L17" s="236"/>
      <c r="M17" s="237"/>
    </row>
    <row r="18" spans="2:13" ht="30" customHeight="1" x14ac:dyDescent="0.4">
      <c r="B18" s="185" t="s">
        <v>142</v>
      </c>
      <c r="C18" s="238" t="s">
        <v>143</v>
      </c>
      <c r="D18" s="239"/>
      <c r="E18" s="60"/>
      <c r="F18" s="60"/>
      <c r="G18" s="61">
        <f>G14+G15+G16+G17</f>
        <v>36785707</v>
      </c>
      <c r="H18" s="174">
        <f t="shared" ref="H18:J18" si="4">H14+H15+H16+H17</f>
        <v>-181124244</v>
      </c>
      <c r="I18" s="62">
        <f t="shared" si="4"/>
        <v>36785707</v>
      </c>
      <c r="J18" s="64">
        <f t="shared" si="4"/>
        <v>-144338537</v>
      </c>
      <c r="K18" s="240"/>
      <c r="L18" s="241"/>
      <c r="M18" s="242"/>
    </row>
    <row r="19" spans="2:13" ht="30" customHeight="1" x14ac:dyDescent="0.4">
      <c r="B19" s="182" t="s">
        <v>590</v>
      </c>
      <c r="C19" s="55" t="s">
        <v>583</v>
      </c>
      <c r="D19" s="44" t="s">
        <v>126</v>
      </c>
      <c r="E19" s="119">
        <f>SUM('물량 내역서'!$J$6:$J$28)</f>
        <v>1047.5</v>
      </c>
      <c r="F19" s="45">
        <f>G19/E19</f>
        <v>201550.59093078758</v>
      </c>
      <c r="G19" s="56">
        <v>211124244</v>
      </c>
      <c r="H19" s="57">
        <v>-30000000</v>
      </c>
      <c r="I19" s="45"/>
      <c r="J19" s="58">
        <f>H19+G19</f>
        <v>181124244</v>
      </c>
      <c r="K19" s="235"/>
      <c r="L19" s="236"/>
      <c r="M19" s="237"/>
    </row>
    <row r="20" spans="2:13" ht="30" customHeight="1" x14ac:dyDescent="0.4">
      <c r="B20" s="182"/>
      <c r="C20" s="177" t="s">
        <v>592</v>
      </c>
      <c r="D20" s="44" t="s">
        <v>126</v>
      </c>
      <c r="E20" s="119"/>
      <c r="F20" s="45"/>
      <c r="G20" s="56">
        <v>-211124244</v>
      </c>
      <c r="H20" s="57"/>
      <c r="I20" s="193">
        <f>G20</f>
        <v>-211124244</v>
      </c>
      <c r="J20" s="58">
        <f>H20+G20</f>
        <v>-211124244</v>
      </c>
      <c r="K20" s="235"/>
      <c r="L20" s="236"/>
      <c r="M20" s="237"/>
    </row>
    <row r="21" spans="2:13" ht="30" customHeight="1" x14ac:dyDescent="0.4">
      <c r="B21" s="185" t="s">
        <v>127</v>
      </c>
      <c r="C21" s="238"/>
      <c r="D21" s="239"/>
      <c r="E21" s="60"/>
      <c r="F21" s="60"/>
      <c r="G21" s="61">
        <f>SUM(G19:G20)</f>
        <v>0</v>
      </c>
      <c r="H21" s="192">
        <f>SUM(H19:H20)</f>
        <v>-30000000</v>
      </c>
      <c r="I21" s="63">
        <f>SUM(I19:I20)</f>
        <v>-211124244</v>
      </c>
      <c r="J21" s="192">
        <f>SUM(J19:J20)</f>
        <v>-30000000</v>
      </c>
      <c r="K21" s="240"/>
      <c r="L21" s="241"/>
      <c r="M21" s="242"/>
    </row>
    <row r="22" spans="2:13" ht="30" customHeight="1" x14ac:dyDescent="0.4">
      <c r="B22" s="256" t="s">
        <v>144</v>
      </c>
      <c r="C22" s="199" t="s">
        <v>145</v>
      </c>
      <c r="D22" s="44" t="s">
        <v>139</v>
      </c>
      <c r="E22" s="44"/>
      <c r="F22" s="44"/>
      <c r="G22" s="56"/>
      <c r="H22" s="57"/>
      <c r="I22" s="194">
        <f>G22</f>
        <v>0</v>
      </c>
      <c r="J22" s="58">
        <f t="shared" ref="J22:J23" si="5">H22+I22</f>
        <v>0</v>
      </c>
      <c r="K22" s="176"/>
      <c r="L22" s="197" t="s">
        <v>146</v>
      </c>
      <c r="M22" s="186" t="s">
        <v>147</v>
      </c>
    </row>
    <row r="23" spans="2:13" ht="30" customHeight="1" x14ac:dyDescent="0.4">
      <c r="B23" s="256"/>
      <c r="C23" s="199" t="s">
        <v>148</v>
      </c>
      <c r="D23" s="44" t="s">
        <v>139</v>
      </c>
      <c r="E23" s="44"/>
      <c r="F23" s="44"/>
      <c r="G23" s="56">
        <f>ROUNDDOWN(G22,-5)</f>
        <v>0</v>
      </c>
      <c r="H23" s="57"/>
      <c r="I23" s="45">
        <f t="shared" si="0"/>
        <v>0</v>
      </c>
      <c r="J23" s="58">
        <f t="shared" si="5"/>
        <v>0</v>
      </c>
      <c r="K23" s="200" t="s">
        <v>149</v>
      </c>
      <c r="L23" s="243"/>
      <c r="M23" s="244"/>
    </row>
    <row r="24" spans="2:13" ht="30" customHeight="1" x14ac:dyDescent="0.4">
      <c r="B24" s="257" t="s">
        <v>150</v>
      </c>
      <c r="C24" s="258"/>
      <c r="D24" s="259"/>
      <c r="E24" s="201"/>
      <c r="F24" s="201"/>
      <c r="G24" s="202">
        <f>G18-G23</f>
        <v>36785707</v>
      </c>
      <c r="H24" s="203">
        <f>H18-H23</f>
        <v>-181124244</v>
      </c>
      <c r="I24" s="204">
        <f>I18-I23</f>
        <v>36785707</v>
      </c>
      <c r="J24" s="205">
        <f>J18-J23</f>
        <v>-144338537</v>
      </c>
      <c r="K24" s="206"/>
      <c r="L24" s="243"/>
      <c r="M24" s="245"/>
    </row>
    <row r="25" spans="2:13" ht="30" customHeight="1" x14ac:dyDescent="0.4">
      <c r="B25" s="257" t="s">
        <v>151</v>
      </c>
      <c r="C25" s="258"/>
      <c r="D25" s="259"/>
      <c r="E25" s="201"/>
      <c r="F25" s="201"/>
      <c r="G25" s="202">
        <f>G24+G21</f>
        <v>36785707</v>
      </c>
      <c r="H25" s="203">
        <f>H24+H21</f>
        <v>-211124244</v>
      </c>
      <c r="I25" s="204">
        <f>I24+I21</f>
        <v>-174338537</v>
      </c>
      <c r="J25" s="205">
        <f>J24+J21</f>
        <v>-174338537</v>
      </c>
      <c r="K25" s="207" t="s">
        <v>582</v>
      </c>
      <c r="L25" s="243"/>
      <c r="M25" s="246"/>
    </row>
    <row r="26" spans="2:13" ht="30" customHeight="1" x14ac:dyDescent="0.4">
      <c r="B26" s="252" t="s">
        <v>152</v>
      </c>
      <c r="C26" s="253"/>
      <c r="D26" s="254"/>
      <c r="E26" s="253" t="s">
        <v>153</v>
      </c>
      <c r="F26" s="253"/>
      <c r="G26" s="253"/>
      <c r="H26" s="253"/>
      <c r="I26" s="253"/>
      <c r="J26" s="253"/>
      <c r="K26" s="253"/>
      <c r="L26" s="253"/>
      <c r="M26" s="255"/>
    </row>
    <row r="27" spans="2:13" ht="21" customHeight="1" x14ac:dyDescent="0.4">
      <c r="B27" s="187" t="s">
        <v>154</v>
      </c>
      <c r="M27" s="188"/>
    </row>
    <row r="28" spans="2:13" ht="21" customHeight="1" x14ac:dyDescent="0.4">
      <c r="B28" s="187" t="s">
        <v>155</v>
      </c>
      <c r="M28" s="188"/>
    </row>
    <row r="29" spans="2:13" ht="21" customHeight="1" thickBot="1" x14ac:dyDescent="0.45">
      <c r="B29" s="189" t="s">
        <v>156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1"/>
    </row>
  </sheetData>
  <mergeCells count="31">
    <mergeCell ref="B26:D26"/>
    <mergeCell ref="E26:M26"/>
    <mergeCell ref="K17:M17"/>
    <mergeCell ref="C18:D18"/>
    <mergeCell ref="K18:M18"/>
    <mergeCell ref="B22:B23"/>
    <mergeCell ref="B24:D24"/>
    <mergeCell ref="B25:D25"/>
    <mergeCell ref="K19:M19"/>
    <mergeCell ref="B2:M2"/>
    <mergeCell ref="K4:M4"/>
    <mergeCell ref="K5:M5"/>
    <mergeCell ref="K6:M6"/>
    <mergeCell ref="K7:M7"/>
    <mergeCell ref="C8:D8"/>
    <mergeCell ref="K8:M8"/>
    <mergeCell ref="K9:M9"/>
    <mergeCell ref="K10:M10"/>
    <mergeCell ref="K11:M11"/>
    <mergeCell ref="K12:M12"/>
    <mergeCell ref="C13:D13"/>
    <mergeCell ref="K13:M13"/>
    <mergeCell ref="C14:D14"/>
    <mergeCell ref="L23:L25"/>
    <mergeCell ref="M23:M25"/>
    <mergeCell ref="K20:M20"/>
    <mergeCell ref="C21:D21"/>
    <mergeCell ref="K21:M21"/>
    <mergeCell ref="K14:M14"/>
    <mergeCell ref="K15:M15"/>
    <mergeCell ref="K16:M16"/>
  </mergeCells>
  <phoneticPr fontId="3" type="noConversion"/>
  <pageMargins left="0.7" right="0.7" top="0.48" bottom="0.51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2"/>
  <sheetViews>
    <sheetView tabSelected="1" view="pageBreakPreview" zoomScale="70" zoomScaleNormal="70" zoomScaleSheetLayoutView="70" workbookViewId="0">
      <pane ySplit="4" topLeftCell="A38" activePane="bottomLeft" state="frozen"/>
      <selection pane="bottomLeft" activeCell="J20" sqref="J9:J20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7.59765625" customWidth="1"/>
    <col min="8" max="8" width="11.59765625" customWidth="1"/>
    <col min="9" max="9" width="17.59765625" customWidth="1"/>
    <col min="10" max="10" width="13.19921875" bestFit="1" customWidth="1"/>
    <col min="11" max="11" width="17.59765625" customWidth="1"/>
    <col min="12" max="12" width="13.19921875" bestFit="1" customWidth="1"/>
    <col min="13" max="13" width="17.59765625" customWidth="1"/>
  </cols>
  <sheetData>
    <row r="1" spans="1:13" ht="37.799999999999997" x14ac:dyDescent="0.4">
      <c r="A1" s="263" t="s">
        <v>859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</row>
    <row r="2" spans="1:13" ht="19.2" x14ac:dyDescent="0.4">
      <c r="A2" s="34" t="str">
        <f>'용역청구서 표지'!$B$7</f>
        <v>P4 Ph2 GAS&amp;PCW 1공구</v>
      </c>
      <c r="M2" s="40" t="s">
        <v>157</v>
      </c>
    </row>
    <row r="3" spans="1:13" ht="27.9" customHeight="1" x14ac:dyDescent="0.4">
      <c r="A3" s="264" t="s">
        <v>158</v>
      </c>
      <c r="B3" s="264" t="s">
        <v>159</v>
      </c>
      <c r="C3" s="264" t="s">
        <v>160</v>
      </c>
      <c r="D3" s="265" t="s">
        <v>161</v>
      </c>
      <c r="E3" s="264" t="s">
        <v>162</v>
      </c>
      <c r="F3" s="264" t="s">
        <v>163</v>
      </c>
      <c r="G3" s="264"/>
      <c r="H3" s="264" t="s">
        <v>164</v>
      </c>
      <c r="I3" s="264"/>
      <c r="J3" s="264" t="s">
        <v>165</v>
      </c>
      <c r="K3" s="264"/>
      <c r="L3" s="264" t="s">
        <v>166</v>
      </c>
      <c r="M3" s="264"/>
    </row>
    <row r="4" spans="1:13" ht="27.9" customHeight="1" x14ac:dyDescent="0.4">
      <c r="A4" s="264"/>
      <c r="B4" s="264"/>
      <c r="C4" s="264"/>
      <c r="D4" s="265"/>
      <c r="E4" s="264"/>
      <c r="F4" s="66" t="s">
        <v>167</v>
      </c>
      <c r="G4" s="66" t="s">
        <v>168</v>
      </c>
      <c r="H4" s="66" t="s">
        <v>167</v>
      </c>
      <c r="I4" s="66" t="s">
        <v>168</v>
      </c>
      <c r="J4" s="66" t="s">
        <v>167</v>
      </c>
      <c r="K4" s="66" t="s">
        <v>169</v>
      </c>
      <c r="L4" s="66" t="s">
        <v>167</v>
      </c>
      <c r="M4" s="66" t="s">
        <v>169</v>
      </c>
    </row>
    <row r="5" spans="1:13" ht="27.9" customHeight="1" x14ac:dyDescent="0.4">
      <c r="A5" s="66"/>
      <c r="B5" s="66"/>
      <c r="C5" s="66"/>
      <c r="D5" s="195"/>
      <c r="E5" s="66"/>
      <c r="F5" s="66"/>
      <c r="G5" s="66"/>
      <c r="H5" s="66"/>
      <c r="I5" s="66"/>
      <c r="J5" s="66"/>
      <c r="K5" s="66"/>
      <c r="L5" s="66"/>
      <c r="M5" s="66"/>
    </row>
    <row r="6" spans="1:13" ht="27.9" customHeight="1" x14ac:dyDescent="0.4">
      <c r="A6" s="67" t="s">
        <v>170</v>
      </c>
      <c r="B6" s="36" t="s">
        <v>171</v>
      </c>
      <c r="C6" s="36" t="s">
        <v>172</v>
      </c>
      <c r="D6" s="68"/>
      <c r="E6" s="69">
        <v>475000</v>
      </c>
      <c r="F6" s="71">
        <f>L6</f>
        <v>0</v>
      </c>
      <c r="G6" s="69">
        <f>M6</f>
        <v>0</v>
      </c>
      <c r="H6" s="71"/>
      <c r="I6" s="69"/>
      <c r="J6" s="71">
        <f>$D6*'DIA-INCH'!$C5</f>
        <v>0</v>
      </c>
      <c r="K6" s="69">
        <f>$E6*$J6</f>
        <v>0</v>
      </c>
      <c r="L6" s="71">
        <f>H6+J6</f>
        <v>0</v>
      </c>
      <c r="M6" s="69">
        <f>I6+K6</f>
        <v>0</v>
      </c>
    </row>
    <row r="7" spans="1:13" ht="27.9" customHeight="1" x14ac:dyDescent="0.4">
      <c r="A7" s="67" t="s">
        <v>173</v>
      </c>
      <c r="B7" s="36" t="s">
        <v>174</v>
      </c>
      <c r="C7" s="36" t="s">
        <v>175</v>
      </c>
      <c r="D7" s="68"/>
      <c r="E7" s="69">
        <v>475000</v>
      </c>
      <c r="F7" s="71">
        <f t="shared" ref="F7:G51" si="0">L7</f>
        <v>0</v>
      </c>
      <c r="G7" s="69">
        <f t="shared" si="0"/>
        <v>0</v>
      </c>
      <c r="H7" s="71"/>
      <c r="I7" s="69"/>
      <c r="J7" s="71">
        <f>$D7*'DIA-INCH'!$C6</f>
        <v>0</v>
      </c>
      <c r="K7" s="69">
        <f t="shared" ref="K7:K28" si="1">$E7*$J7</f>
        <v>0</v>
      </c>
      <c r="L7" s="71">
        <f t="shared" ref="L7:M51" si="2">H7+J7</f>
        <v>0</v>
      </c>
      <c r="M7" s="69">
        <f t="shared" si="2"/>
        <v>0</v>
      </c>
    </row>
    <row r="8" spans="1:13" ht="27.9" customHeight="1" x14ac:dyDescent="0.4">
      <c r="A8" s="67" t="s">
        <v>170</v>
      </c>
      <c r="B8" s="36" t="s">
        <v>176</v>
      </c>
      <c r="C8" s="36" t="s">
        <v>172</v>
      </c>
      <c r="D8" s="68"/>
      <c r="E8" s="69">
        <v>475000</v>
      </c>
      <c r="F8" s="71">
        <f t="shared" si="0"/>
        <v>0</v>
      </c>
      <c r="G8" s="69">
        <f t="shared" si="0"/>
        <v>0</v>
      </c>
      <c r="H8" s="71"/>
      <c r="I8" s="69"/>
      <c r="J8" s="71">
        <f>$D8*'DIA-INCH'!$C7</f>
        <v>0</v>
      </c>
      <c r="K8" s="69">
        <f t="shared" si="1"/>
        <v>0</v>
      </c>
      <c r="L8" s="71">
        <f t="shared" si="2"/>
        <v>0</v>
      </c>
      <c r="M8" s="69">
        <f t="shared" si="2"/>
        <v>0</v>
      </c>
    </row>
    <row r="9" spans="1:13" ht="27.9" customHeight="1" x14ac:dyDescent="0.4">
      <c r="A9" s="67" t="s">
        <v>170</v>
      </c>
      <c r="B9" s="36" t="s">
        <v>177</v>
      </c>
      <c r="C9" s="36" t="s">
        <v>172</v>
      </c>
      <c r="D9" s="68">
        <v>173</v>
      </c>
      <c r="E9" s="69">
        <v>475000</v>
      </c>
      <c r="F9" s="71">
        <f t="shared" si="0"/>
        <v>173</v>
      </c>
      <c r="G9" s="69">
        <f t="shared" si="0"/>
        <v>82175000</v>
      </c>
      <c r="H9" s="71"/>
      <c r="I9" s="69"/>
      <c r="J9" s="71">
        <f>$D9*'DIA-INCH'!$C8</f>
        <v>173</v>
      </c>
      <c r="K9" s="69">
        <f t="shared" si="1"/>
        <v>82175000</v>
      </c>
      <c r="L9" s="71">
        <f t="shared" si="2"/>
        <v>173</v>
      </c>
      <c r="M9" s="69">
        <f t="shared" si="2"/>
        <v>82175000</v>
      </c>
    </row>
    <row r="10" spans="1:13" ht="27.9" customHeight="1" x14ac:dyDescent="0.4">
      <c r="A10" s="67" t="s">
        <v>170</v>
      </c>
      <c r="B10" s="36" t="s">
        <v>178</v>
      </c>
      <c r="C10" s="36" t="s">
        <v>172</v>
      </c>
      <c r="D10" s="68"/>
      <c r="E10" s="69">
        <v>475000</v>
      </c>
      <c r="F10" s="71">
        <f t="shared" si="0"/>
        <v>0</v>
      </c>
      <c r="G10" s="69">
        <f t="shared" si="0"/>
        <v>0</v>
      </c>
      <c r="H10" s="71"/>
      <c r="I10" s="69"/>
      <c r="J10" s="71">
        <f>$D10*'DIA-INCH'!$C9</f>
        <v>0</v>
      </c>
      <c r="K10" s="69">
        <f t="shared" si="1"/>
        <v>0</v>
      </c>
      <c r="L10" s="71">
        <f t="shared" si="2"/>
        <v>0</v>
      </c>
      <c r="M10" s="69">
        <f t="shared" si="2"/>
        <v>0</v>
      </c>
    </row>
    <row r="11" spans="1:13" ht="27.9" customHeight="1" x14ac:dyDescent="0.4">
      <c r="A11" s="67" t="s">
        <v>170</v>
      </c>
      <c r="B11" s="36" t="s">
        <v>179</v>
      </c>
      <c r="C11" s="36" t="s">
        <v>175</v>
      </c>
      <c r="D11" s="68">
        <v>51</v>
      </c>
      <c r="E11" s="69">
        <v>475000</v>
      </c>
      <c r="F11" s="71">
        <f t="shared" si="0"/>
        <v>76.5</v>
      </c>
      <c r="G11" s="69">
        <f t="shared" si="0"/>
        <v>36337500</v>
      </c>
      <c r="H11" s="71"/>
      <c r="I11" s="69"/>
      <c r="J11" s="71">
        <f>$D11*'DIA-INCH'!$C10</f>
        <v>76.5</v>
      </c>
      <c r="K11" s="69">
        <f t="shared" si="1"/>
        <v>36337500</v>
      </c>
      <c r="L11" s="71">
        <f t="shared" si="2"/>
        <v>76.5</v>
      </c>
      <c r="M11" s="69">
        <f t="shared" si="2"/>
        <v>36337500</v>
      </c>
    </row>
    <row r="12" spans="1:13" ht="27.9" customHeight="1" x14ac:dyDescent="0.4">
      <c r="A12" s="67" t="s">
        <v>170</v>
      </c>
      <c r="B12" s="36" t="s">
        <v>180</v>
      </c>
      <c r="C12" s="36" t="s">
        <v>175</v>
      </c>
      <c r="D12" s="68">
        <v>11</v>
      </c>
      <c r="E12" s="69">
        <v>475000</v>
      </c>
      <c r="F12" s="71">
        <f t="shared" si="0"/>
        <v>188</v>
      </c>
      <c r="G12" s="69">
        <f t="shared" si="0"/>
        <v>89300000</v>
      </c>
      <c r="H12" s="71">
        <v>166</v>
      </c>
      <c r="I12" s="69">
        <v>78850000</v>
      </c>
      <c r="J12" s="71">
        <f>$D12*'DIA-INCH'!$C11</f>
        <v>22</v>
      </c>
      <c r="K12" s="69">
        <f t="shared" si="1"/>
        <v>10450000</v>
      </c>
      <c r="L12" s="71">
        <f t="shared" si="2"/>
        <v>188</v>
      </c>
      <c r="M12" s="69">
        <f t="shared" si="2"/>
        <v>89300000</v>
      </c>
    </row>
    <row r="13" spans="1:13" ht="27.9" customHeight="1" x14ac:dyDescent="0.4">
      <c r="A13" s="67" t="s">
        <v>173</v>
      </c>
      <c r="B13" s="36" t="s">
        <v>181</v>
      </c>
      <c r="C13" s="36" t="s">
        <v>172</v>
      </c>
      <c r="D13" s="68">
        <v>6</v>
      </c>
      <c r="E13" s="69">
        <v>475000</v>
      </c>
      <c r="F13" s="71">
        <f t="shared" si="0"/>
        <v>15</v>
      </c>
      <c r="G13" s="69">
        <f t="shared" si="0"/>
        <v>7125000</v>
      </c>
      <c r="H13" s="71"/>
      <c r="I13" s="69"/>
      <c r="J13" s="71">
        <f>$D13*'DIA-INCH'!$C12</f>
        <v>15</v>
      </c>
      <c r="K13" s="69">
        <f t="shared" si="1"/>
        <v>7125000</v>
      </c>
      <c r="L13" s="71">
        <f t="shared" si="2"/>
        <v>15</v>
      </c>
      <c r="M13" s="69">
        <f t="shared" si="2"/>
        <v>7125000</v>
      </c>
    </row>
    <row r="14" spans="1:13" ht="27.9" customHeight="1" x14ac:dyDescent="0.4">
      <c r="A14" s="67" t="s">
        <v>170</v>
      </c>
      <c r="B14" s="36" t="s">
        <v>182</v>
      </c>
      <c r="C14" s="36" t="s">
        <v>172</v>
      </c>
      <c r="D14" s="68">
        <v>38</v>
      </c>
      <c r="E14" s="69">
        <v>475000</v>
      </c>
      <c r="F14" s="71">
        <f t="shared" si="0"/>
        <v>114</v>
      </c>
      <c r="G14" s="69">
        <f t="shared" si="0"/>
        <v>54150000</v>
      </c>
      <c r="H14" s="71"/>
      <c r="I14" s="69"/>
      <c r="J14" s="71">
        <f>$D14*'DIA-INCH'!$C13</f>
        <v>114</v>
      </c>
      <c r="K14" s="69">
        <f t="shared" si="1"/>
        <v>54150000</v>
      </c>
      <c r="L14" s="71">
        <f t="shared" si="2"/>
        <v>114</v>
      </c>
      <c r="M14" s="69">
        <f t="shared" si="2"/>
        <v>54150000</v>
      </c>
    </row>
    <row r="15" spans="1:13" ht="27.9" customHeight="1" x14ac:dyDescent="0.4">
      <c r="A15" s="67" t="s">
        <v>183</v>
      </c>
      <c r="B15" s="36" t="s">
        <v>184</v>
      </c>
      <c r="C15" s="36" t="s">
        <v>172</v>
      </c>
      <c r="D15" s="68">
        <v>16</v>
      </c>
      <c r="E15" s="69">
        <v>475000</v>
      </c>
      <c r="F15" s="71">
        <f t="shared" si="0"/>
        <v>328</v>
      </c>
      <c r="G15" s="69">
        <f t="shared" si="0"/>
        <v>155800000</v>
      </c>
      <c r="H15" s="71">
        <v>264</v>
      </c>
      <c r="I15" s="69">
        <v>125400000</v>
      </c>
      <c r="J15" s="71">
        <f>$D15*'DIA-INCH'!$C14</f>
        <v>64</v>
      </c>
      <c r="K15" s="69">
        <f t="shared" si="1"/>
        <v>30400000</v>
      </c>
      <c r="L15" s="71">
        <f t="shared" si="2"/>
        <v>328</v>
      </c>
      <c r="M15" s="69">
        <f t="shared" si="2"/>
        <v>155800000</v>
      </c>
    </row>
    <row r="16" spans="1:13" ht="27.9" customHeight="1" x14ac:dyDescent="0.4">
      <c r="A16" s="67" t="s">
        <v>170</v>
      </c>
      <c r="B16" s="36" t="s">
        <v>185</v>
      </c>
      <c r="C16" s="36" t="s">
        <v>175</v>
      </c>
      <c r="D16" s="68"/>
      <c r="E16" s="69">
        <v>475000</v>
      </c>
      <c r="F16" s="71">
        <f t="shared" si="0"/>
        <v>0</v>
      </c>
      <c r="G16" s="69">
        <f t="shared" si="0"/>
        <v>0</v>
      </c>
      <c r="H16" s="71"/>
      <c r="I16" s="69"/>
      <c r="J16" s="71">
        <f>$D16*'DIA-INCH'!$C15</f>
        <v>0</v>
      </c>
      <c r="K16" s="69">
        <f t="shared" si="1"/>
        <v>0</v>
      </c>
      <c r="L16" s="71">
        <f t="shared" si="2"/>
        <v>0</v>
      </c>
      <c r="M16" s="69">
        <f t="shared" si="2"/>
        <v>0</v>
      </c>
    </row>
    <row r="17" spans="1:13" ht="27.9" customHeight="1" x14ac:dyDescent="0.4">
      <c r="A17" s="67" t="s">
        <v>173</v>
      </c>
      <c r="B17" s="36" t="s">
        <v>186</v>
      </c>
      <c r="C17" s="36" t="s">
        <v>172</v>
      </c>
      <c r="D17" s="68">
        <v>67</v>
      </c>
      <c r="E17" s="69">
        <v>475000</v>
      </c>
      <c r="F17" s="71">
        <f t="shared" si="0"/>
        <v>335</v>
      </c>
      <c r="G17" s="69">
        <f t="shared" si="0"/>
        <v>159125000</v>
      </c>
      <c r="H17" s="71"/>
      <c r="I17" s="69"/>
      <c r="J17" s="71">
        <f>$D17*'DIA-INCH'!$C16</f>
        <v>335</v>
      </c>
      <c r="K17" s="69">
        <f t="shared" si="1"/>
        <v>159125000</v>
      </c>
      <c r="L17" s="71">
        <f t="shared" si="2"/>
        <v>335</v>
      </c>
      <c r="M17" s="69">
        <f t="shared" si="2"/>
        <v>159125000</v>
      </c>
    </row>
    <row r="18" spans="1:13" ht="27.9" customHeight="1" x14ac:dyDescent="0.4">
      <c r="A18" s="67" t="s">
        <v>173</v>
      </c>
      <c r="B18" s="36" t="s">
        <v>187</v>
      </c>
      <c r="C18" s="36" t="s">
        <v>172</v>
      </c>
      <c r="D18" s="68"/>
      <c r="E18" s="69">
        <v>475000</v>
      </c>
      <c r="F18" s="71">
        <f t="shared" si="0"/>
        <v>0</v>
      </c>
      <c r="G18" s="69">
        <f t="shared" si="0"/>
        <v>0</v>
      </c>
      <c r="H18" s="71"/>
      <c r="I18" s="69"/>
      <c r="J18" s="71">
        <f>$D18*'DIA-INCH'!$C17</f>
        <v>0</v>
      </c>
      <c r="K18" s="69">
        <f t="shared" si="1"/>
        <v>0</v>
      </c>
      <c r="L18" s="71">
        <f t="shared" si="2"/>
        <v>0</v>
      </c>
      <c r="M18" s="69">
        <f t="shared" si="2"/>
        <v>0</v>
      </c>
    </row>
    <row r="19" spans="1:13" ht="27.9" customHeight="1" x14ac:dyDescent="0.4">
      <c r="A19" s="67" t="s">
        <v>173</v>
      </c>
      <c r="B19" s="36" t="s">
        <v>188</v>
      </c>
      <c r="C19" s="36" t="s">
        <v>172</v>
      </c>
      <c r="D19" s="68"/>
      <c r="E19" s="69">
        <v>475000</v>
      </c>
      <c r="F19" s="71">
        <f t="shared" si="0"/>
        <v>0</v>
      </c>
      <c r="G19" s="69">
        <f t="shared" si="0"/>
        <v>0</v>
      </c>
      <c r="H19" s="71"/>
      <c r="I19" s="69"/>
      <c r="J19" s="71">
        <f>$D19*'DIA-INCH'!$C18</f>
        <v>0</v>
      </c>
      <c r="K19" s="69">
        <f t="shared" si="1"/>
        <v>0</v>
      </c>
      <c r="L19" s="71">
        <f t="shared" si="2"/>
        <v>0</v>
      </c>
      <c r="M19" s="69">
        <f t="shared" si="2"/>
        <v>0</v>
      </c>
    </row>
    <row r="20" spans="1:13" ht="27.9" customHeight="1" x14ac:dyDescent="0.4">
      <c r="A20" s="67" t="s">
        <v>173</v>
      </c>
      <c r="B20" s="36" t="s">
        <v>189</v>
      </c>
      <c r="C20" s="36" t="s">
        <v>172</v>
      </c>
      <c r="D20" s="68">
        <v>31</v>
      </c>
      <c r="E20" s="69">
        <v>475000</v>
      </c>
      <c r="F20" s="71">
        <f t="shared" si="0"/>
        <v>368</v>
      </c>
      <c r="G20" s="69">
        <f t="shared" si="0"/>
        <v>174800000</v>
      </c>
      <c r="H20" s="71">
        <v>120</v>
      </c>
      <c r="I20" s="69">
        <v>57000000</v>
      </c>
      <c r="J20" s="71">
        <f>$D20*'DIA-INCH'!$C19</f>
        <v>248</v>
      </c>
      <c r="K20" s="69">
        <f t="shared" si="1"/>
        <v>117800000</v>
      </c>
      <c r="L20" s="71">
        <f t="shared" si="2"/>
        <v>368</v>
      </c>
      <c r="M20" s="69">
        <f t="shared" si="2"/>
        <v>174800000</v>
      </c>
    </row>
    <row r="21" spans="1:13" ht="27.9" customHeight="1" x14ac:dyDescent="0.4">
      <c r="A21" s="67" t="s">
        <v>170</v>
      </c>
      <c r="B21" s="36" t="s">
        <v>190</v>
      </c>
      <c r="C21" s="36" t="s">
        <v>175</v>
      </c>
      <c r="D21" s="68"/>
      <c r="E21" s="69">
        <v>475000</v>
      </c>
      <c r="F21" s="71">
        <f t="shared" si="0"/>
        <v>0</v>
      </c>
      <c r="G21" s="69">
        <f t="shared" si="0"/>
        <v>0</v>
      </c>
      <c r="H21" s="71"/>
      <c r="I21" s="69"/>
      <c r="J21" s="71">
        <f>$D21*'DIA-INCH'!$C20</f>
        <v>0</v>
      </c>
      <c r="K21" s="69">
        <f t="shared" si="1"/>
        <v>0</v>
      </c>
      <c r="L21" s="71">
        <f t="shared" si="2"/>
        <v>0</v>
      </c>
      <c r="M21" s="69">
        <f t="shared" si="2"/>
        <v>0</v>
      </c>
    </row>
    <row r="22" spans="1:13" ht="27.9" customHeight="1" x14ac:dyDescent="0.4">
      <c r="A22" s="67" t="s">
        <v>170</v>
      </c>
      <c r="B22" s="36" t="s">
        <v>191</v>
      </c>
      <c r="C22" s="36" t="s">
        <v>192</v>
      </c>
      <c r="D22" s="68"/>
      <c r="E22" s="69">
        <v>475000</v>
      </c>
      <c r="F22" s="71">
        <f t="shared" si="0"/>
        <v>0</v>
      </c>
      <c r="G22" s="69">
        <f t="shared" si="0"/>
        <v>0</v>
      </c>
      <c r="H22" s="71"/>
      <c r="I22" s="69"/>
      <c r="J22" s="71">
        <f>$D22*'DIA-INCH'!$C21</f>
        <v>0</v>
      </c>
      <c r="K22" s="69">
        <f t="shared" si="1"/>
        <v>0</v>
      </c>
      <c r="L22" s="71">
        <f t="shared" si="2"/>
        <v>0</v>
      </c>
      <c r="M22" s="69">
        <f t="shared" si="2"/>
        <v>0</v>
      </c>
    </row>
    <row r="23" spans="1:13" ht="27.9" customHeight="1" x14ac:dyDescent="0.4">
      <c r="A23" s="67" t="s">
        <v>173</v>
      </c>
      <c r="B23" s="36" t="s">
        <v>193</v>
      </c>
      <c r="C23" s="36" t="s">
        <v>194</v>
      </c>
      <c r="D23" s="68"/>
      <c r="E23" s="69">
        <v>475000</v>
      </c>
      <c r="F23" s="71">
        <f t="shared" si="0"/>
        <v>0</v>
      </c>
      <c r="G23" s="69">
        <f t="shared" si="0"/>
        <v>0</v>
      </c>
      <c r="H23" s="71"/>
      <c r="I23" s="69"/>
      <c r="J23" s="71">
        <f>$D23*'DIA-INCH'!$C22</f>
        <v>0</v>
      </c>
      <c r="K23" s="69">
        <f t="shared" si="1"/>
        <v>0</v>
      </c>
      <c r="L23" s="71">
        <f t="shared" si="2"/>
        <v>0</v>
      </c>
      <c r="M23" s="69">
        <f t="shared" si="2"/>
        <v>0</v>
      </c>
    </row>
    <row r="24" spans="1:13" ht="27.9" customHeight="1" x14ac:dyDescent="0.4">
      <c r="A24" s="67" t="s">
        <v>195</v>
      </c>
      <c r="B24" s="36" t="s">
        <v>196</v>
      </c>
      <c r="C24" s="36" t="s">
        <v>172</v>
      </c>
      <c r="D24" s="68"/>
      <c r="E24" s="69">
        <v>475000</v>
      </c>
      <c r="F24" s="71">
        <f t="shared" si="0"/>
        <v>0</v>
      </c>
      <c r="G24" s="69">
        <f t="shared" si="0"/>
        <v>0</v>
      </c>
      <c r="H24" s="71"/>
      <c r="I24" s="69"/>
      <c r="J24" s="71">
        <f>$D24*'DIA-INCH'!$C23</f>
        <v>0</v>
      </c>
      <c r="K24" s="69">
        <f t="shared" si="1"/>
        <v>0</v>
      </c>
      <c r="L24" s="71">
        <f t="shared" si="2"/>
        <v>0</v>
      </c>
      <c r="M24" s="69">
        <f t="shared" si="2"/>
        <v>0</v>
      </c>
    </row>
    <row r="25" spans="1:13" ht="27.9" customHeight="1" x14ac:dyDescent="0.4">
      <c r="A25" s="67" t="s">
        <v>170</v>
      </c>
      <c r="B25" s="36" t="s">
        <v>197</v>
      </c>
      <c r="C25" s="36" t="s">
        <v>175</v>
      </c>
      <c r="D25" s="68"/>
      <c r="E25" s="69">
        <v>475000</v>
      </c>
      <c r="F25" s="71">
        <f t="shared" si="0"/>
        <v>0</v>
      </c>
      <c r="G25" s="69">
        <f t="shared" si="0"/>
        <v>0</v>
      </c>
      <c r="H25" s="71"/>
      <c r="I25" s="69"/>
      <c r="J25" s="71">
        <f>$D25*'DIA-INCH'!$C24</f>
        <v>0</v>
      </c>
      <c r="K25" s="69">
        <f t="shared" si="1"/>
        <v>0</v>
      </c>
      <c r="L25" s="71">
        <f t="shared" si="2"/>
        <v>0</v>
      </c>
      <c r="M25" s="69">
        <f t="shared" si="2"/>
        <v>0</v>
      </c>
    </row>
    <row r="26" spans="1:13" ht="27.9" customHeight="1" x14ac:dyDescent="0.4">
      <c r="A26" s="67" t="s">
        <v>183</v>
      </c>
      <c r="B26" s="36" t="s">
        <v>198</v>
      </c>
      <c r="C26" s="36" t="s">
        <v>199</v>
      </c>
      <c r="D26" s="68"/>
      <c r="E26" s="69">
        <v>475000</v>
      </c>
      <c r="F26" s="71">
        <f t="shared" si="0"/>
        <v>0</v>
      </c>
      <c r="G26" s="69">
        <f t="shared" si="0"/>
        <v>0</v>
      </c>
      <c r="H26" s="71"/>
      <c r="I26" s="69"/>
      <c r="J26" s="71">
        <f>$D26*'DIA-INCH'!$C25</f>
        <v>0</v>
      </c>
      <c r="K26" s="69">
        <f t="shared" si="1"/>
        <v>0</v>
      </c>
      <c r="L26" s="71">
        <f t="shared" si="2"/>
        <v>0</v>
      </c>
      <c r="M26" s="69">
        <f t="shared" si="2"/>
        <v>0</v>
      </c>
    </row>
    <row r="27" spans="1:13" ht="27.9" customHeight="1" x14ac:dyDescent="0.4">
      <c r="A27" s="67" t="s">
        <v>173</v>
      </c>
      <c r="B27" s="36" t="s">
        <v>200</v>
      </c>
      <c r="C27" s="36" t="s">
        <v>172</v>
      </c>
      <c r="D27" s="68"/>
      <c r="E27" s="69">
        <v>475000</v>
      </c>
      <c r="F27" s="71">
        <f t="shared" si="0"/>
        <v>0</v>
      </c>
      <c r="G27" s="69">
        <f t="shared" si="0"/>
        <v>0</v>
      </c>
      <c r="H27" s="71"/>
      <c r="I27" s="69"/>
      <c r="J27" s="71">
        <f>$D27*'DIA-INCH'!$C26</f>
        <v>0</v>
      </c>
      <c r="K27" s="69">
        <f t="shared" si="1"/>
        <v>0</v>
      </c>
      <c r="L27" s="71">
        <f t="shared" si="2"/>
        <v>0</v>
      </c>
      <c r="M27" s="69">
        <f t="shared" si="2"/>
        <v>0</v>
      </c>
    </row>
    <row r="28" spans="1:13" ht="27.9" customHeight="1" x14ac:dyDescent="0.4">
      <c r="A28" s="67" t="s">
        <v>183</v>
      </c>
      <c r="B28" s="36" t="s">
        <v>201</v>
      </c>
      <c r="C28" s="36" t="s">
        <v>172</v>
      </c>
      <c r="D28" s="68"/>
      <c r="E28" s="69">
        <v>475000</v>
      </c>
      <c r="F28" s="71">
        <f t="shared" si="0"/>
        <v>0</v>
      </c>
      <c r="G28" s="69">
        <f t="shared" si="0"/>
        <v>0</v>
      </c>
      <c r="H28" s="71"/>
      <c r="I28" s="69"/>
      <c r="J28" s="71">
        <f>$D28*'DIA-INCH'!$C27</f>
        <v>0</v>
      </c>
      <c r="K28" s="69">
        <f t="shared" si="1"/>
        <v>0</v>
      </c>
      <c r="L28" s="71">
        <f t="shared" si="2"/>
        <v>0</v>
      </c>
      <c r="M28" s="69">
        <f t="shared" si="2"/>
        <v>0</v>
      </c>
    </row>
    <row r="29" spans="1:13" ht="27.9" customHeight="1" x14ac:dyDescent="0.4">
      <c r="A29" s="67" t="s">
        <v>202</v>
      </c>
      <c r="B29" s="36" t="s">
        <v>171</v>
      </c>
      <c r="C29" s="36" t="s">
        <v>203</v>
      </c>
      <c r="D29" s="68"/>
      <c r="E29" s="69">
        <f>$E$32*'DIA-INCH'!$C5</f>
        <v>12500</v>
      </c>
      <c r="F29" s="69">
        <f t="shared" si="0"/>
        <v>0</v>
      </c>
      <c r="G29" s="69">
        <f t="shared" si="0"/>
        <v>0</v>
      </c>
      <c r="H29" s="67"/>
      <c r="I29" s="69"/>
      <c r="J29" s="69">
        <f>D29</f>
        <v>0</v>
      </c>
      <c r="K29" s="69">
        <f>$J29*$E29</f>
        <v>0</v>
      </c>
      <c r="L29" s="69">
        <f t="shared" si="2"/>
        <v>0</v>
      </c>
      <c r="M29" s="69">
        <f t="shared" si="2"/>
        <v>0</v>
      </c>
    </row>
    <row r="30" spans="1:13" ht="27.9" customHeight="1" x14ac:dyDescent="0.4">
      <c r="A30" s="67" t="s">
        <v>204</v>
      </c>
      <c r="B30" s="36" t="s">
        <v>174</v>
      </c>
      <c r="C30" s="36" t="s">
        <v>203</v>
      </c>
      <c r="D30" s="68"/>
      <c r="E30" s="69">
        <f>$E$32*'DIA-INCH'!$C6</f>
        <v>25000</v>
      </c>
      <c r="F30" s="69">
        <f t="shared" si="0"/>
        <v>0</v>
      </c>
      <c r="G30" s="69">
        <f t="shared" si="0"/>
        <v>0</v>
      </c>
      <c r="H30" s="67"/>
      <c r="I30" s="69"/>
      <c r="J30" s="69">
        <f t="shared" ref="J30:J51" si="3">D30</f>
        <v>0</v>
      </c>
      <c r="K30" s="69">
        <f t="shared" ref="K30:K51" si="4">$J30*$E30</f>
        <v>0</v>
      </c>
      <c r="L30" s="69">
        <f t="shared" si="2"/>
        <v>0</v>
      </c>
      <c r="M30" s="69">
        <f t="shared" si="2"/>
        <v>0</v>
      </c>
    </row>
    <row r="31" spans="1:13" ht="27.9" customHeight="1" x14ac:dyDescent="0.4">
      <c r="A31" s="67" t="s">
        <v>205</v>
      </c>
      <c r="B31" s="36" t="s">
        <v>176</v>
      </c>
      <c r="C31" s="36" t="s">
        <v>203</v>
      </c>
      <c r="D31" s="68"/>
      <c r="E31" s="69">
        <f>$E$32*'DIA-INCH'!$C7</f>
        <v>37500</v>
      </c>
      <c r="F31" s="69">
        <f t="shared" si="0"/>
        <v>0</v>
      </c>
      <c r="G31" s="69">
        <f t="shared" si="0"/>
        <v>0</v>
      </c>
      <c r="H31" s="67"/>
      <c r="I31" s="69"/>
      <c r="J31" s="69">
        <f t="shared" si="3"/>
        <v>0</v>
      </c>
      <c r="K31" s="69">
        <f t="shared" si="4"/>
        <v>0</v>
      </c>
      <c r="L31" s="69">
        <f t="shared" si="2"/>
        <v>0</v>
      </c>
      <c r="M31" s="69">
        <f t="shared" si="2"/>
        <v>0</v>
      </c>
    </row>
    <row r="32" spans="1:13" ht="27.9" customHeight="1" x14ac:dyDescent="0.4">
      <c r="A32" s="67" t="s">
        <v>206</v>
      </c>
      <c r="B32" s="36" t="s">
        <v>177</v>
      </c>
      <c r="C32" s="36" t="s">
        <v>207</v>
      </c>
      <c r="D32" s="68"/>
      <c r="E32" s="69">
        <v>50000</v>
      </c>
      <c r="F32" s="69">
        <f t="shared" si="0"/>
        <v>0</v>
      </c>
      <c r="G32" s="69">
        <f t="shared" si="0"/>
        <v>0</v>
      </c>
      <c r="H32" s="67"/>
      <c r="I32" s="69"/>
      <c r="J32" s="69">
        <f t="shared" si="3"/>
        <v>0</v>
      </c>
      <c r="K32" s="69">
        <f t="shared" si="4"/>
        <v>0</v>
      </c>
      <c r="L32" s="69">
        <f t="shared" si="2"/>
        <v>0</v>
      </c>
      <c r="M32" s="69">
        <f t="shared" si="2"/>
        <v>0</v>
      </c>
    </row>
    <row r="33" spans="1:13" ht="27.9" customHeight="1" x14ac:dyDescent="0.4">
      <c r="A33" s="67" t="s">
        <v>206</v>
      </c>
      <c r="B33" s="36" t="s">
        <v>178</v>
      </c>
      <c r="C33" s="36" t="s">
        <v>203</v>
      </c>
      <c r="D33" s="68"/>
      <c r="E33" s="69">
        <f>$E$32*'DIA-INCH'!$C9</f>
        <v>62500</v>
      </c>
      <c r="F33" s="69">
        <f t="shared" si="0"/>
        <v>0</v>
      </c>
      <c r="G33" s="69">
        <f t="shared" si="0"/>
        <v>0</v>
      </c>
      <c r="H33" s="67"/>
      <c r="I33" s="69"/>
      <c r="J33" s="69">
        <f t="shared" si="3"/>
        <v>0</v>
      </c>
      <c r="K33" s="69">
        <f t="shared" si="4"/>
        <v>0</v>
      </c>
      <c r="L33" s="69">
        <f t="shared" si="2"/>
        <v>0</v>
      </c>
      <c r="M33" s="69">
        <f t="shared" si="2"/>
        <v>0</v>
      </c>
    </row>
    <row r="34" spans="1:13" ht="27.9" customHeight="1" x14ac:dyDescent="0.4">
      <c r="A34" s="67" t="s">
        <v>206</v>
      </c>
      <c r="B34" s="36" t="s">
        <v>179</v>
      </c>
      <c r="C34" s="36" t="s">
        <v>123</v>
      </c>
      <c r="D34" s="68"/>
      <c r="E34" s="69">
        <f>$E$32*'DIA-INCH'!$C10</f>
        <v>75000</v>
      </c>
      <c r="F34" s="69">
        <f t="shared" si="0"/>
        <v>0</v>
      </c>
      <c r="G34" s="69">
        <f t="shared" si="0"/>
        <v>0</v>
      </c>
      <c r="H34" s="67"/>
      <c r="I34" s="69"/>
      <c r="J34" s="69">
        <f t="shared" si="3"/>
        <v>0</v>
      </c>
      <c r="K34" s="69">
        <f t="shared" si="4"/>
        <v>0</v>
      </c>
      <c r="L34" s="69">
        <f t="shared" si="2"/>
        <v>0</v>
      </c>
      <c r="M34" s="69">
        <f t="shared" si="2"/>
        <v>0</v>
      </c>
    </row>
    <row r="35" spans="1:13" ht="27.9" customHeight="1" x14ac:dyDescent="0.4">
      <c r="A35" s="67" t="s">
        <v>206</v>
      </c>
      <c r="B35" s="36" t="s">
        <v>180</v>
      </c>
      <c r="C35" s="36" t="s">
        <v>203</v>
      </c>
      <c r="D35" s="68"/>
      <c r="E35" s="69">
        <f>$E$32*'DIA-INCH'!$C11</f>
        <v>100000</v>
      </c>
      <c r="F35" s="69">
        <f t="shared" si="0"/>
        <v>0</v>
      </c>
      <c r="G35" s="69">
        <f t="shared" si="0"/>
        <v>0</v>
      </c>
      <c r="H35" s="67"/>
      <c r="I35" s="69"/>
      <c r="J35" s="69">
        <f t="shared" si="3"/>
        <v>0</v>
      </c>
      <c r="K35" s="69">
        <f t="shared" si="4"/>
        <v>0</v>
      </c>
      <c r="L35" s="69">
        <f t="shared" si="2"/>
        <v>0</v>
      </c>
      <c r="M35" s="69">
        <f t="shared" si="2"/>
        <v>0</v>
      </c>
    </row>
    <row r="36" spans="1:13" ht="27.9" customHeight="1" x14ac:dyDescent="0.4">
      <c r="A36" s="67" t="s">
        <v>202</v>
      </c>
      <c r="B36" s="36" t="s">
        <v>181</v>
      </c>
      <c r="C36" s="36" t="s">
        <v>123</v>
      </c>
      <c r="D36" s="68"/>
      <c r="E36" s="69">
        <f>$E$32*'DIA-INCH'!$C12</f>
        <v>125000</v>
      </c>
      <c r="F36" s="69">
        <f t="shared" si="0"/>
        <v>0</v>
      </c>
      <c r="G36" s="69">
        <f t="shared" si="0"/>
        <v>0</v>
      </c>
      <c r="H36" s="67"/>
      <c r="I36" s="69"/>
      <c r="J36" s="69">
        <f t="shared" si="3"/>
        <v>0</v>
      </c>
      <c r="K36" s="69">
        <f t="shared" si="4"/>
        <v>0</v>
      </c>
      <c r="L36" s="69">
        <f t="shared" si="2"/>
        <v>0</v>
      </c>
      <c r="M36" s="69">
        <f t="shared" si="2"/>
        <v>0</v>
      </c>
    </row>
    <row r="37" spans="1:13" ht="27.9" customHeight="1" x14ac:dyDescent="0.4">
      <c r="A37" s="67" t="s">
        <v>202</v>
      </c>
      <c r="B37" s="36" t="s">
        <v>182</v>
      </c>
      <c r="C37" s="36" t="s">
        <v>203</v>
      </c>
      <c r="D37" s="68"/>
      <c r="E37" s="69">
        <f>$E$32*'DIA-INCH'!$C13</f>
        <v>150000</v>
      </c>
      <c r="F37" s="69">
        <f t="shared" si="0"/>
        <v>0</v>
      </c>
      <c r="G37" s="69">
        <f t="shared" si="0"/>
        <v>0</v>
      </c>
      <c r="H37" s="67"/>
      <c r="I37" s="69"/>
      <c r="J37" s="69">
        <f t="shared" si="3"/>
        <v>0</v>
      </c>
      <c r="K37" s="69">
        <f t="shared" si="4"/>
        <v>0</v>
      </c>
      <c r="L37" s="69">
        <f t="shared" si="2"/>
        <v>0</v>
      </c>
      <c r="M37" s="69">
        <f t="shared" si="2"/>
        <v>0</v>
      </c>
    </row>
    <row r="38" spans="1:13" ht="27.9" customHeight="1" x14ac:dyDescent="0.4">
      <c r="A38" s="67" t="s">
        <v>204</v>
      </c>
      <c r="B38" s="36" t="s">
        <v>184</v>
      </c>
      <c r="C38" s="36" t="s">
        <v>203</v>
      </c>
      <c r="D38" s="68"/>
      <c r="E38" s="69">
        <f>$E$32*'DIA-INCH'!$C14</f>
        <v>200000</v>
      </c>
      <c r="F38" s="69">
        <f t="shared" si="0"/>
        <v>0</v>
      </c>
      <c r="G38" s="69">
        <f t="shared" si="0"/>
        <v>0</v>
      </c>
      <c r="H38" s="67"/>
      <c r="I38" s="69"/>
      <c r="J38" s="69">
        <f t="shared" si="3"/>
        <v>0</v>
      </c>
      <c r="K38" s="69">
        <f t="shared" si="4"/>
        <v>0</v>
      </c>
      <c r="L38" s="69">
        <f t="shared" si="2"/>
        <v>0</v>
      </c>
      <c r="M38" s="69">
        <f t="shared" si="2"/>
        <v>0</v>
      </c>
    </row>
    <row r="39" spans="1:13" ht="27.9" customHeight="1" x14ac:dyDescent="0.4">
      <c r="A39" s="67" t="s">
        <v>202</v>
      </c>
      <c r="B39" s="36" t="s">
        <v>185</v>
      </c>
      <c r="C39" s="36" t="s">
        <v>208</v>
      </c>
      <c r="D39" s="68"/>
      <c r="E39" s="69">
        <f>$E$32*'DIA-INCH'!$C15</f>
        <v>200000</v>
      </c>
      <c r="F39" s="69">
        <f t="shared" si="0"/>
        <v>0</v>
      </c>
      <c r="G39" s="69">
        <f t="shared" si="0"/>
        <v>0</v>
      </c>
      <c r="H39" s="67"/>
      <c r="I39" s="69"/>
      <c r="J39" s="69">
        <f t="shared" si="3"/>
        <v>0</v>
      </c>
      <c r="K39" s="69">
        <f t="shared" si="4"/>
        <v>0</v>
      </c>
      <c r="L39" s="69">
        <f t="shared" si="2"/>
        <v>0</v>
      </c>
      <c r="M39" s="69">
        <f t="shared" si="2"/>
        <v>0</v>
      </c>
    </row>
    <row r="40" spans="1:13" ht="27.9" customHeight="1" x14ac:dyDescent="0.4">
      <c r="A40" s="67" t="s">
        <v>202</v>
      </c>
      <c r="B40" s="36" t="s">
        <v>186</v>
      </c>
      <c r="C40" s="36" t="s">
        <v>209</v>
      </c>
      <c r="D40" s="68"/>
      <c r="E40" s="69">
        <f>$E$32*'DIA-INCH'!$C16</f>
        <v>250000</v>
      </c>
      <c r="F40" s="69">
        <f t="shared" si="0"/>
        <v>0</v>
      </c>
      <c r="G40" s="69">
        <f t="shared" si="0"/>
        <v>0</v>
      </c>
      <c r="H40" s="67"/>
      <c r="I40" s="69"/>
      <c r="J40" s="69">
        <f t="shared" si="3"/>
        <v>0</v>
      </c>
      <c r="K40" s="69">
        <f t="shared" si="4"/>
        <v>0</v>
      </c>
      <c r="L40" s="69">
        <f t="shared" si="2"/>
        <v>0</v>
      </c>
      <c r="M40" s="69">
        <f t="shared" si="2"/>
        <v>0</v>
      </c>
    </row>
    <row r="41" spans="1:13" ht="27.9" customHeight="1" x14ac:dyDescent="0.4">
      <c r="A41" s="67" t="s">
        <v>202</v>
      </c>
      <c r="B41" s="36" t="s">
        <v>187</v>
      </c>
      <c r="C41" s="36" t="s">
        <v>203</v>
      </c>
      <c r="D41" s="68"/>
      <c r="E41" s="69">
        <f>$E$32*'DIA-INCH'!$C17</f>
        <v>300000</v>
      </c>
      <c r="F41" s="69">
        <f t="shared" si="0"/>
        <v>0</v>
      </c>
      <c r="G41" s="69">
        <f t="shared" si="0"/>
        <v>0</v>
      </c>
      <c r="H41" s="67"/>
      <c r="I41" s="69"/>
      <c r="J41" s="69">
        <f t="shared" si="3"/>
        <v>0</v>
      </c>
      <c r="K41" s="69">
        <f t="shared" si="4"/>
        <v>0</v>
      </c>
      <c r="L41" s="69">
        <f t="shared" si="2"/>
        <v>0</v>
      </c>
      <c r="M41" s="69">
        <f t="shared" si="2"/>
        <v>0</v>
      </c>
    </row>
    <row r="42" spans="1:13" ht="27.9" customHeight="1" x14ac:dyDescent="0.4">
      <c r="A42" s="67" t="s">
        <v>202</v>
      </c>
      <c r="B42" s="36" t="s">
        <v>188</v>
      </c>
      <c r="C42" s="36" t="s">
        <v>123</v>
      </c>
      <c r="D42" s="68"/>
      <c r="E42" s="69">
        <f>$E$32*'DIA-INCH'!$C18</f>
        <v>350000</v>
      </c>
      <c r="F42" s="69">
        <f t="shared" si="0"/>
        <v>0</v>
      </c>
      <c r="G42" s="69">
        <f t="shared" si="0"/>
        <v>0</v>
      </c>
      <c r="H42" s="67"/>
      <c r="I42" s="69"/>
      <c r="J42" s="69">
        <f t="shared" si="3"/>
        <v>0</v>
      </c>
      <c r="K42" s="69">
        <f t="shared" si="4"/>
        <v>0</v>
      </c>
      <c r="L42" s="69">
        <f t="shared" si="2"/>
        <v>0</v>
      </c>
      <c r="M42" s="69">
        <f t="shared" si="2"/>
        <v>0</v>
      </c>
    </row>
    <row r="43" spans="1:13" ht="27.9" customHeight="1" x14ac:dyDescent="0.4">
      <c r="A43" s="67" t="s">
        <v>202</v>
      </c>
      <c r="B43" s="36" t="s">
        <v>189</v>
      </c>
      <c r="C43" s="36" t="s">
        <v>203</v>
      </c>
      <c r="D43" s="68"/>
      <c r="E43" s="69">
        <f>$E$32*'DIA-INCH'!$C19</f>
        <v>400000</v>
      </c>
      <c r="F43" s="69">
        <f t="shared" si="0"/>
        <v>0</v>
      </c>
      <c r="G43" s="69">
        <f t="shared" si="0"/>
        <v>0</v>
      </c>
      <c r="H43" s="67"/>
      <c r="I43" s="69"/>
      <c r="J43" s="69">
        <f t="shared" si="3"/>
        <v>0</v>
      </c>
      <c r="K43" s="69">
        <f t="shared" si="4"/>
        <v>0</v>
      </c>
      <c r="L43" s="69">
        <f t="shared" si="2"/>
        <v>0</v>
      </c>
      <c r="M43" s="69">
        <f t="shared" si="2"/>
        <v>0</v>
      </c>
    </row>
    <row r="44" spans="1:13" ht="27.9" customHeight="1" x14ac:dyDescent="0.4">
      <c r="A44" s="67" t="s">
        <v>202</v>
      </c>
      <c r="B44" s="36" t="s">
        <v>190</v>
      </c>
      <c r="C44" s="36" t="s">
        <v>203</v>
      </c>
      <c r="D44" s="68"/>
      <c r="E44" s="69">
        <f>$E$32*'DIA-INCH'!$C20</f>
        <v>450000</v>
      </c>
      <c r="F44" s="69">
        <f t="shared" si="0"/>
        <v>0</v>
      </c>
      <c r="G44" s="69">
        <f t="shared" si="0"/>
        <v>0</v>
      </c>
      <c r="H44" s="67"/>
      <c r="I44" s="69"/>
      <c r="J44" s="69">
        <f t="shared" si="3"/>
        <v>0</v>
      </c>
      <c r="K44" s="69">
        <f t="shared" si="4"/>
        <v>0</v>
      </c>
      <c r="L44" s="69">
        <f t="shared" si="2"/>
        <v>0</v>
      </c>
      <c r="M44" s="69">
        <f t="shared" si="2"/>
        <v>0</v>
      </c>
    </row>
    <row r="45" spans="1:13" ht="27.9" customHeight="1" x14ac:dyDescent="0.4">
      <c r="A45" s="67" t="s">
        <v>202</v>
      </c>
      <c r="B45" s="36" t="s">
        <v>191</v>
      </c>
      <c r="C45" s="36" t="s">
        <v>123</v>
      </c>
      <c r="D45" s="68"/>
      <c r="E45" s="69">
        <f>$E$32*'DIA-INCH'!$C21</f>
        <v>500000</v>
      </c>
      <c r="F45" s="69">
        <f t="shared" si="0"/>
        <v>0</v>
      </c>
      <c r="G45" s="69">
        <f t="shared" si="0"/>
        <v>0</v>
      </c>
      <c r="H45" s="67"/>
      <c r="I45" s="69"/>
      <c r="J45" s="69">
        <f t="shared" si="3"/>
        <v>0</v>
      </c>
      <c r="K45" s="69">
        <f t="shared" si="4"/>
        <v>0</v>
      </c>
      <c r="L45" s="69">
        <f t="shared" si="2"/>
        <v>0</v>
      </c>
      <c r="M45" s="69">
        <f t="shared" si="2"/>
        <v>0</v>
      </c>
    </row>
    <row r="46" spans="1:13" ht="27.9" customHeight="1" x14ac:dyDescent="0.4">
      <c r="A46" s="67" t="s">
        <v>204</v>
      </c>
      <c r="B46" s="36" t="s">
        <v>193</v>
      </c>
      <c r="C46" s="36" t="s">
        <v>123</v>
      </c>
      <c r="D46" s="68"/>
      <c r="E46" s="69">
        <f>$E$32*'DIA-INCH'!$C22</f>
        <v>600000</v>
      </c>
      <c r="F46" s="69">
        <f t="shared" si="0"/>
        <v>0</v>
      </c>
      <c r="G46" s="69">
        <f t="shared" si="0"/>
        <v>0</v>
      </c>
      <c r="H46" s="67"/>
      <c r="I46" s="69"/>
      <c r="J46" s="69">
        <f t="shared" si="3"/>
        <v>0</v>
      </c>
      <c r="K46" s="69">
        <f t="shared" si="4"/>
        <v>0</v>
      </c>
      <c r="L46" s="69">
        <f t="shared" si="2"/>
        <v>0</v>
      </c>
      <c r="M46" s="69">
        <f t="shared" si="2"/>
        <v>0</v>
      </c>
    </row>
    <row r="47" spans="1:13" ht="27.9" customHeight="1" x14ac:dyDescent="0.4">
      <c r="A47" s="67" t="s">
        <v>202</v>
      </c>
      <c r="B47" s="36" t="s">
        <v>196</v>
      </c>
      <c r="C47" s="36" t="s">
        <v>203</v>
      </c>
      <c r="D47" s="68"/>
      <c r="E47" s="69">
        <f>$E$32*'DIA-INCH'!$C23</f>
        <v>700000</v>
      </c>
      <c r="F47" s="69">
        <f t="shared" si="0"/>
        <v>0</v>
      </c>
      <c r="G47" s="69">
        <f t="shared" si="0"/>
        <v>0</v>
      </c>
      <c r="H47" s="67"/>
      <c r="I47" s="69"/>
      <c r="J47" s="69">
        <f t="shared" si="3"/>
        <v>0</v>
      </c>
      <c r="K47" s="69">
        <f t="shared" si="4"/>
        <v>0</v>
      </c>
      <c r="L47" s="69">
        <f t="shared" si="2"/>
        <v>0</v>
      </c>
      <c r="M47" s="69">
        <f t="shared" si="2"/>
        <v>0</v>
      </c>
    </row>
    <row r="48" spans="1:13" ht="27.9" customHeight="1" x14ac:dyDescent="0.4">
      <c r="A48" s="67" t="s">
        <v>202</v>
      </c>
      <c r="B48" s="36" t="s">
        <v>197</v>
      </c>
      <c r="C48" s="36" t="s">
        <v>208</v>
      </c>
      <c r="D48" s="68"/>
      <c r="E48" s="69">
        <f>$E$32*'DIA-INCH'!$C24</f>
        <v>800000</v>
      </c>
      <c r="F48" s="69">
        <f t="shared" si="0"/>
        <v>0</v>
      </c>
      <c r="G48" s="69">
        <f t="shared" si="0"/>
        <v>0</v>
      </c>
      <c r="H48" s="67"/>
      <c r="I48" s="69"/>
      <c r="J48" s="69">
        <f t="shared" si="3"/>
        <v>0</v>
      </c>
      <c r="K48" s="69">
        <f t="shared" si="4"/>
        <v>0</v>
      </c>
      <c r="L48" s="69">
        <f t="shared" si="2"/>
        <v>0</v>
      </c>
      <c r="M48" s="69">
        <f t="shared" si="2"/>
        <v>0</v>
      </c>
    </row>
    <row r="49" spans="1:13" ht="27.9" customHeight="1" x14ac:dyDescent="0.4">
      <c r="A49" s="67" t="s">
        <v>205</v>
      </c>
      <c r="B49" s="36" t="s">
        <v>198</v>
      </c>
      <c r="C49" s="36" t="s">
        <v>203</v>
      </c>
      <c r="D49" s="68"/>
      <c r="E49" s="69">
        <f>$E$32*'DIA-INCH'!$C25</f>
        <v>900000</v>
      </c>
      <c r="F49" s="69">
        <f t="shared" si="0"/>
        <v>0</v>
      </c>
      <c r="G49" s="69">
        <f t="shared" si="0"/>
        <v>0</v>
      </c>
      <c r="H49" s="67"/>
      <c r="I49" s="69"/>
      <c r="J49" s="69">
        <f t="shared" si="3"/>
        <v>0</v>
      </c>
      <c r="K49" s="69">
        <f t="shared" si="4"/>
        <v>0</v>
      </c>
      <c r="L49" s="69">
        <f t="shared" si="2"/>
        <v>0</v>
      </c>
      <c r="M49" s="69">
        <f t="shared" si="2"/>
        <v>0</v>
      </c>
    </row>
    <row r="50" spans="1:13" ht="27.9" customHeight="1" x14ac:dyDescent="0.4">
      <c r="A50" s="67" t="s">
        <v>202</v>
      </c>
      <c r="B50" s="36" t="s">
        <v>200</v>
      </c>
      <c r="C50" s="36" t="s">
        <v>203</v>
      </c>
      <c r="D50" s="68"/>
      <c r="E50" s="69">
        <f>$E$32*'DIA-INCH'!$C26</f>
        <v>1000000</v>
      </c>
      <c r="F50" s="69">
        <f t="shared" si="0"/>
        <v>0</v>
      </c>
      <c r="G50" s="69">
        <f t="shared" si="0"/>
        <v>0</v>
      </c>
      <c r="H50" s="67"/>
      <c r="I50" s="69"/>
      <c r="J50" s="69">
        <f t="shared" si="3"/>
        <v>0</v>
      </c>
      <c r="K50" s="69">
        <f t="shared" si="4"/>
        <v>0</v>
      </c>
      <c r="L50" s="69">
        <f t="shared" si="2"/>
        <v>0</v>
      </c>
      <c r="M50" s="69">
        <f t="shared" si="2"/>
        <v>0</v>
      </c>
    </row>
    <row r="51" spans="1:13" ht="27.9" customHeight="1" x14ac:dyDescent="0.4">
      <c r="A51" s="67" t="s">
        <v>205</v>
      </c>
      <c r="B51" s="36" t="s">
        <v>201</v>
      </c>
      <c r="C51" s="36" t="s">
        <v>208</v>
      </c>
      <c r="D51" s="68"/>
      <c r="E51" s="69">
        <f>$E$32*'DIA-INCH'!$C27</f>
        <v>1100000</v>
      </c>
      <c r="F51" s="69">
        <f t="shared" si="0"/>
        <v>0</v>
      </c>
      <c r="G51" s="69">
        <f t="shared" si="0"/>
        <v>0</v>
      </c>
      <c r="H51" s="67"/>
      <c r="I51" s="69"/>
      <c r="J51" s="69">
        <f t="shared" si="3"/>
        <v>0</v>
      </c>
      <c r="K51" s="69">
        <f t="shared" si="4"/>
        <v>0</v>
      </c>
      <c r="L51" s="69">
        <f t="shared" si="2"/>
        <v>0</v>
      </c>
      <c r="M51" s="69">
        <f t="shared" si="2"/>
        <v>0</v>
      </c>
    </row>
    <row r="52" spans="1:13" ht="27.9" customHeight="1" x14ac:dyDescent="0.4">
      <c r="A52" s="260" t="s">
        <v>210</v>
      </c>
      <c r="B52" s="261"/>
      <c r="C52" s="261"/>
      <c r="D52" s="261"/>
      <c r="E52" s="262"/>
      <c r="F52" s="120">
        <f>SUM(F6:F51)</f>
        <v>1597.5</v>
      </c>
      <c r="G52" s="70">
        <f t="shared" ref="G52:M52" si="5">SUM(G6:G51)</f>
        <v>758812500</v>
      </c>
      <c r="H52" s="120">
        <f t="shared" si="5"/>
        <v>550</v>
      </c>
      <c r="I52" s="70">
        <f t="shared" si="5"/>
        <v>261250000</v>
      </c>
      <c r="J52" s="120">
        <f>SUM(J6:J51)</f>
        <v>1047.5</v>
      </c>
      <c r="K52" s="70">
        <f t="shared" si="5"/>
        <v>497562500</v>
      </c>
      <c r="L52" s="120">
        <f t="shared" si="5"/>
        <v>1597.5</v>
      </c>
      <c r="M52" s="70">
        <f t="shared" si="5"/>
        <v>758812500</v>
      </c>
    </row>
  </sheetData>
  <autoFilter ref="A5:M52" xr:uid="{10522A8F-FD76-48C9-9226-3D4E4FB63175}"/>
  <mergeCells count="11">
    <mergeCell ref="A52:E52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0" fitToHeight="0" orientation="landscape" r:id="rId1"/>
  <rowBreaks count="1" manualBreakCount="1">
    <brk id="28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95"/>
  <sheetViews>
    <sheetView view="pageBreakPreview" zoomScale="55" zoomScaleNormal="70" zoomScaleSheetLayoutView="55" workbookViewId="0">
      <selection sqref="A1:AG3"/>
    </sheetView>
  </sheetViews>
  <sheetFormatPr defaultRowHeight="17.399999999999999" x14ac:dyDescent="0.4"/>
  <cols>
    <col min="1" max="1" width="6.3984375" style="72" bestFit="1" customWidth="1"/>
    <col min="2" max="2" width="9.19921875" style="72" customWidth="1"/>
    <col min="3" max="3" width="18.09765625" style="72" customWidth="1"/>
    <col min="4" max="4" width="11.19921875" style="72" customWidth="1"/>
    <col min="5" max="5" width="18.09765625" style="72" customWidth="1"/>
    <col min="6" max="6" width="11.09765625" style="72" customWidth="1"/>
    <col min="7" max="7" width="9.3984375" style="73" customWidth="1"/>
    <col min="8" max="8" width="21.59765625" style="73" customWidth="1"/>
    <col min="9" max="39" width="7.59765625" style="72" customWidth="1"/>
    <col min="40" max="40" width="11.8984375" style="72" customWidth="1"/>
    <col min="41" max="41" width="15.8984375" style="106" bestFit="1" customWidth="1"/>
    <col min="42" max="42" width="18.19921875" style="108" bestFit="1" customWidth="1"/>
  </cols>
  <sheetData>
    <row r="1" spans="1:42" ht="32.1" customHeight="1" x14ac:dyDescent="0.4">
      <c r="A1" s="278" t="s">
        <v>753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80"/>
      <c r="AH1" s="269" t="s">
        <v>211</v>
      </c>
      <c r="AI1" s="270"/>
      <c r="AJ1" s="270"/>
      <c r="AK1" s="270"/>
      <c r="AL1" s="271"/>
      <c r="AM1" s="266" t="str">
        <f>'용역청구서 표지'!$B$7</f>
        <v>P4 Ph2 GAS&amp;PCW 1공구</v>
      </c>
      <c r="AN1" s="267"/>
      <c r="AO1" s="267"/>
      <c r="AP1" s="268"/>
    </row>
    <row r="2" spans="1:42" ht="32.1" customHeight="1" x14ac:dyDescent="0.4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3"/>
      <c r="AH2" s="269" t="s">
        <v>212</v>
      </c>
      <c r="AI2" s="270"/>
      <c r="AJ2" s="270"/>
      <c r="AK2" s="270"/>
      <c r="AL2" s="271"/>
      <c r="AM2" s="266" t="s">
        <v>340</v>
      </c>
      <c r="AN2" s="267"/>
      <c r="AO2" s="267"/>
      <c r="AP2" s="268"/>
    </row>
    <row r="3" spans="1:42" ht="32.1" customHeight="1" x14ac:dyDescent="0.4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6"/>
      <c r="AH3" s="269" t="s">
        <v>213</v>
      </c>
      <c r="AI3" s="270"/>
      <c r="AJ3" s="270"/>
      <c r="AK3" s="270"/>
      <c r="AL3" s="271"/>
      <c r="AM3" s="266" t="str">
        <f>'용역청구서 표지'!$C$8</f>
        <v>S26-001</v>
      </c>
      <c r="AN3" s="267"/>
      <c r="AO3" s="267"/>
      <c r="AP3" s="268"/>
    </row>
    <row r="4" spans="1:42" ht="24.9" customHeight="1" thickBot="1" x14ac:dyDescent="0.45">
      <c r="AH4" s="74"/>
      <c r="AI4" s="74"/>
      <c r="AJ4" s="74"/>
      <c r="AK4" s="74"/>
      <c r="AL4" s="74"/>
      <c r="AM4" s="74"/>
      <c r="AN4" s="74"/>
      <c r="AO4" s="75"/>
      <c r="AP4" s="76"/>
    </row>
    <row r="5" spans="1:42" ht="24.9" customHeight="1" thickBot="1" x14ac:dyDescent="0.45">
      <c r="A5" s="77" t="s">
        <v>214</v>
      </c>
      <c r="B5" s="78" t="s">
        <v>215</v>
      </c>
      <c r="C5" s="78" t="s">
        <v>216</v>
      </c>
      <c r="D5" s="78" t="s">
        <v>217</v>
      </c>
      <c r="E5" s="78" t="s">
        <v>218</v>
      </c>
      <c r="F5" s="78" t="s">
        <v>219</v>
      </c>
      <c r="G5" s="79" t="s">
        <v>220</v>
      </c>
      <c r="H5" s="80" t="s">
        <v>221</v>
      </c>
      <c r="I5" s="126">
        <v>1</v>
      </c>
      <c r="J5" s="126">
        <v>2</v>
      </c>
      <c r="K5" s="126">
        <v>3</v>
      </c>
      <c r="L5" s="126">
        <v>4</v>
      </c>
      <c r="M5" s="126">
        <v>5</v>
      </c>
      <c r="N5" s="126">
        <v>6</v>
      </c>
      <c r="O5" s="126">
        <v>7</v>
      </c>
      <c r="P5" s="126">
        <v>8</v>
      </c>
      <c r="Q5" s="126">
        <v>9</v>
      </c>
      <c r="R5" s="126">
        <v>10</v>
      </c>
      <c r="S5" s="126">
        <v>11</v>
      </c>
      <c r="T5" s="126">
        <v>12</v>
      </c>
      <c r="U5" s="126">
        <v>13</v>
      </c>
      <c r="V5" s="126">
        <v>14</v>
      </c>
      <c r="W5" s="126">
        <v>15</v>
      </c>
      <c r="X5" s="126">
        <v>16</v>
      </c>
      <c r="Y5" s="126">
        <v>17</v>
      </c>
      <c r="Z5" s="126">
        <v>18</v>
      </c>
      <c r="AA5" s="126">
        <v>19</v>
      </c>
      <c r="AB5" s="126">
        <v>20</v>
      </c>
      <c r="AC5" s="126">
        <v>21</v>
      </c>
      <c r="AD5" s="126">
        <v>22</v>
      </c>
      <c r="AE5" s="126">
        <v>23</v>
      </c>
      <c r="AF5" s="126">
        <v>24</v>
      </c>
      <c r="AG5" s="126">
        <v>25</v>
      </c>
      <c r="AH5" s="126">
        <v>26</v>
      </c>
      <c r="AI5" s="126">
        <v>27</v>
      </c>
      <c r="AJ5" s="126">
        <v>28</v>
      </c>
      <c r="AK5" s="126">
        <v>29</v>
      </c>
      <c r="AL5" s="126">
        <v>30</v>
      </c>
      <c r="AM5" s="126">
        <v>31</v>
      </c>
      <c r="AN5" s="81" t="s">
        <v>222</v>
      </c>
      <c r="AO5" s="78" t="s">
        <v>223</v>
      </c>
      <c r="AP5" s="82" t="s">
        <v>224</v>
      </c>
    </row>
    <row r="6" spans="1:42" ht="24.9" customHeight="1" x14ac:dyDescent="0.4">
      <c r="A6" s="83">
        <v>1</v>
      </c>
      <c r="B6" s="83" t="s">
        <v>462</v>
      </c>
      <c r="C6" s="84" t="s">
        <v>488</v>
      </c>
      <c r="D6" s="36" t="s">
        <v>225</v>
      </c>
      <c r="E6" s="36" t="s">
        <v>515</v>
      </c>
      <c r="F6" s="85" t="s">
        <v>226</v>
      </c>
      <c r="G6" s="86" t="s">
        <v>462</v>
      </c>
      <c r="H6" s="87" t="s">
        <v>541</v>
      </c>
      <c r="I6" s="88"/>
      <c r="J6" s="88">
        <v>1</v>
      </c>
      <c r="K6" s="88"/>
      <c r="L6" s="88">
        <v>1</v>
      </c>
      <c r="M6" s="88">
        <v>1.5</v>
      </c>
      <c r="N6" s="88">
        <v>1</v>
      </c>
      <c r="O6" s="88">
        <v>1.25</v>
      </c>
      <c r="P6" s="88">
        <v>1</v>
      </c>
      <c r="Q6" s="88">
        <v>1</v>
      </c>
      <c r="R6" s="88"/>
      <c r="S6" s="88">
        <v>1</v>
      </c>
      <c r="T6" s="88">
        <v>1.5</v>
      </c>
      <c r="U6" s="88">
        <v>1</v>
      </c>
      <c r="V6" s="88">
        <v>1.5</v>
      </c>
      <c r="W6" s="88">
        <v>1</v>
      </c>
      <c r="X6" s="88">
        <v>1</v>
      </c>
      <c r="Y6" s="88"/>
      <c r="Z6" s="88">
        <v>1</v>
      </c>
      <c r="AA6" s="88">
        <v>1.5</v>
      </c>
      <c r="AB6" s="88">
        <v>1</v>
      </c>
      <c r="AC6" s="88">
        <v>1.5</v>
      </c>
      <c r="AD6" s="88">
        <v>1</v>
      </c>
      <c r="AE6" s="88">
        <v>0.75</v>
      </c>
      <c r="AF6" s="88"/>
      <c r="AG6" s="88">
        <v>1.5</v>
      </c>
      <c r="AH6" s="88">
        <v>1.5</v>
      </c>
      <c r="AI6" s="88">
        <v>1</v>
      </c>
      <c r="AJ6" s="88">
        <v>0.5</v>
      </c>
      <c r="AK6" s="88">
        <v>1</v>
      </c>
      <c r="AL6" s="88"/>
      <c r="AM6" s="88"/>
      <c r="AN6" s="89">
        <f>SUM(I6:AM6)</f>
        <v>27</v>
      </c>
      <c r="AO6" s="85">
        <v>150000</v>
      </c>
      <c r="AP6" s="90">
        <f>AN6*AO6</f>
        <v>4050000</v>
      </c>
    </row>
    <row r="7" spans="1:42" ht="24.9" customHeight="1" x14ac:dyDescent="0.4">
      <c r="A7" s="83">
        <v>2</v>
      </c>
      <c r="B7" s="83" t="s">
        <v>341</v>
      </c>
      <c r="C7" s="84" t="s">
        <v>342</v>
      </c>
      <c r="D7" s="36" t="s">
        <v>343</v>
      </c>
      <c r="E7" s="125" t="s">
        <v>344</v>
      </c>
      <c r="F7" s="93" t="s">
        <v>230</v>
      </c>
      <c r="G7" s="86" t="s">
        <v>341</v>
      </c>
      <c r="H7" s="87" t="s">
        <v>345</v>
      </c>
      <c r="I7" s="88"/>
      <c r="J7" s="88"/>
      <c r="K7" s="88"/>
      <c r="L7" s="88">
        <v>0.5</v>
      </c>
      <c r="M7" s="88">
        <v>1.5</v>
      </c>
      <c r="N7" s="88">
        <v>0.5</v>
      </c>
      <c r="O7" s="88">
        <v>1.5</v>
      </c>
      <c r="P7" s="88">
        <v>1</v>
      </c>
      <c r="Q7" s="88">
        <v>1</v>
      </c>
      <c r="R7" s="88"/>
      <c r="S7" s="88">
        <v>1</v>
      </c>
      <c r="T7" s="88">
        <v>1.5</v>
      </c>
      <c r="U7" s="88">
        <v>1</v>
      </c>
      <c r="V7" s="88">
        <v>1.5</v>
      </c>
      <c r="W7" s="88">
        <v>0.5</v>
      </c>
      <c r="X7" s="88">
        <v>1</v>
      </c>
      <c r="Y7" s="88"/>
      <c r="Z7" s="88">
        <v>1</v>
      </c>
      <c r="AA7" s="88">
        <v>1.5</v>
      </c>
      <c r="AB7" s="88">
        <v>1</v>
      </c>
      <c r="AC7" s="88">
        <v>1.5</v>
      </c>
      <c r="AD7" s="88">
        <v>1</v>
      </c>
      <c r="AE7" s="88"/>
      <c r="AF7" s="88"/>
      <c r="AG7" s="88">
        <v>1.5</v>
      </c>
      <c r="AH7" s="88">
        <v>1.5</v>
      </c>
      <c r="AI7" s="88">
        <v>1</v>
      </c>
      <c r="AJ7" s="88">
        <v>1.5</v>
      </c>
      <c r="AK7" s="88">
        <v>1</v>
      </c>
      <c r="AL7" s="88"/>
      <c r="AM7" s="88"/>
      <c r="AN7" s="89">
        <f t="shared" ref="AN7:AN15" si="0">SUM(I7:AM7)</f>
        <v>25</v>
      </c>
      <c r="AO7" s="85">
        <v>210000</v>
      </c>
      <c r="AP7" s="90">
        <f t="shared" ref="AP7:AP15" si="1">AN7*AO7</f>
        <v>5250000</v>
      </c>
    </row>
    <row r="8" spans="1:42" ht="24.9" customHeight="1" x14ac:dyDescent="0.4">
      <c r="A8" s="83">
        <v>3</v>
      </c>
      <c r="B8" s="83" t="s">
        <v>598</v>
      </c>
      <c r="C8" s="84" t="s">
        <v>637</v>
      </c>
      <c r="D8" s="36" t="s">
        <v>225</v>
      </c>
      <c r="E8" s="36" t="s">
        <v>676</v>
      </c>
      <c r="F8" s="93" t="s">
        <v>229</v>
      </c>
      <c r="G8" s="86" t="s">
        <v>598</v>
      </c>
      <c r="H8" s="87" t="s">
        <v>715</v>
      </c>
      <c r="I8" s="88"/>
      <c r="J8" s="88"/>
      <c r="K8" s="88"/>
      <c r="L8" s="88">
        <v>0.6875</v>
      </c>
      <c r="M8" s="88">
        <v>1.125</v>
      </c>
      <c r="N8" s="88"/>
      <c r="O8" s="88">
        <v>0.75</v>
      </c>
      <c r="P8" s="88">
        <v>1</v>
      </c>
      <c r="Q8" s="88"/>
      <c r="R8" s="88"/>
      <c r="S8" s="88">
        <v>1</v>
      </c>
      <c r="T8" s="88">
        <v>1.5</v>
      </c>
      <c r="U8" s="88">
        <v>1</v>
      </c>
      <c r="V8" s="88">
        <v>1.5</v>
      </c>
      <c r="W8" s="88">
        <v>1</v>
      </c>
      <c r="X8" s="88">
        <v>1</v>
      </c>
      <c r="Y8" s="88"/>
      <c r="Z8" s="88">
        <v>1</v>
      </c>
      <c r="AA8" s="88">
        <v>1.5</v>
      </c>
      <c r="AB8" s="88">
        <v>1</v>
      </c>
      <c r="AC8" s="88">
        <v>1.5</v>
      </c>
      <c r="AD8" s="88">
        <v>1</v>
      </c>
      <c r="AE8" s="88">
        <v>0.75</v>
      </c>
      <c r="AF8" s="88"/>
      <c r="AG8" s="88">
        <v>1.5</v>
      </c>
      <c r="AH8" s="88">
        <v>1.5</v>
      </c>
      <c r="AI8" s="88">
        <v>1</v>
      </c>
      <c r="AJ8" s="88">
        <v>1.5</v>
      </c>
      <c r="AK8" s="88">
        <v>1</v>
      </c>
      <c r="AL8" s="88"/>
      <c r="AM8" s="88"/>
      <c r="AN8" s="89">
        <f t="shared" si="0"/>
        <v>23.8125</v>
      </c>
      <c r="AO8" s="85">
        <v>150000</v>
      </c>
      <c r="AP8" s="90">
        <f t="shared" si="1"/>
        <v>3571875</v>
      </c>
    </row>
    <row r="9" spans="1:42" ht="24.9" customHeight="1" x14ac:dyDescent="0.4">
      <c r="A9" s="83">
        <v>4</v>
      </c>
      <c r="B9" s="83" t="s">
        <v>463</v>
      </c>
      <c r="C9" s="84" t="s">
        <v>489</v>
      </c>
      <c r="D9" s="36" t="s">
        <v>225</v>
      </c>
      <c r="E9" s="125" t="s">
        <v>516</v>
      </c>
      <c r="F9" s="93" t="s">
        <v>304</v>
      </c>
      <c r="G9" s="86" t="s">
        <v>463</v>
      </c>
      <c r="H9" s="87" t="s">
        <v>542</v>
      </c>
      <c r="I9" s="88"/>
      <c r="J9" s="88">
        <v>1</v>
      </c>
      <c r="K9" s="88"/>
      <c r="L9" s="88">
        <v>1</v>
      </c>
      <c r="M9" s="88">
        <v>1.5</v>
      </c>
      <c r="N9" s="88">
        <v>1</v>
      </c>
      <c r="O9" s="88">
        <v>1.5</v>
      </c>
      <c r="P9" s="88">
        <v>1</v>
      </c>
      <c r="Q9" s="88"/>
      <c r="R9" s="88"/>
      <c r="S9" s="88">
        <v>1</v>
      </c>
      <c r="T9" s="88">
        <v>1.5</v>
      </c>
      <c r="U9" s="88">
        <v>0.5</v>
      </c>
      <c r="V9" s="88">
        <v>1.5</v>
      </c>
      <c r="W9" s="88">
        <v>1</v>
      </c>
      <c r="X9" s="88">
        <v>1</v>
      </c>
      <c r="Y9" s="88"/>
      <c r="Z9" s="88">
        <v>1</v>
      </c>
      <c r="AA9" s="88">
        <v>1.5</v>
      </c>
      <c r="AB9" s="88">
        <v>1</v>
      </c>
      <c r="AC9" s="88">
        <v>1.5</v>
      </c>
      <c r="AD9" s="88">
        <v>1</v>
      </c>
      <c r="AE9" s="88">
        <v>0.75</v>
      </c>
      <c r="AF9" s="88"/>
      <c r="AG9" s="88">
        <v>1.5</v>
      </c>
      <c r="AH9" s="88">
        <v>1.5</v>
      </c>
      <c r="AI9" s="88">
        <v>1</v>
      </c>
      <c r="AJ9" s="88">
        <v>1.5</v>
      </c>
      <c r="AK9" s="88"/>
      <c r="AL9" s="88"/>
      <c r="AM9" s="88"/>
      <c r="AN9" s="89">
        <f t="shared" si="0"/>
        <v>25.75</v>
      </c>
      <c r="AO9" s="85">
        <v>150000</v>
      </c>
      <c r="AP9" s="90">
        <f t="shared" si="1"/>
        <v>3862500</v>
      </c>
    </row>
    <row r="10" spans="1:42" ht="24.9" customHeight="1" x14ac:dyDescent="0.4">
      <c r="A10" s="83">
        <v>5</v>
      </c>
      <c r="B10" s="83" t="s">
        <v>464</v>
      </c>
      <c r="C10" s="84" t="s">
        <v>490</v>
      </c>
      <c r="D10" s="36" t="s">
        <v>228</v>
      </c>
      <c r="E10" s="125" t="s">
        <v>517</v>
      </c>
      <c r="F10" s="93" t="s">
        <v>230</v>
      </c>
      <c r="G10" s="86" t="s">
        <v>464</v>
      </c>
      <c r="H10" s="87" t="s">
        <v>543</v>
      </c>
      <c r="I10" s="88"/>
      <c r="J10" s="88"/>
      <c r="K10" s="88"/>
      <c r="L10" s="88">
        <v>1</v>
      </c>
      <c r="M10" s="88">
        <v>1.5</v>
      </c>
      <c r="N10" s="88">
        <v>1</v>
      </c>
      <c r="O10" s="88">
        <v>1.5</v>
      </c>
      <c r="P10" s="88">
        <v>1</v>
      </c>
      <c r="Q10" s="88"/>
      <c r="R10" s="88"/>
      <c r="S10" s="88">
        <v>1</v>
      </c>
      <c r="T10" s="88">
        <v>1.5</v>
      </c>
      <c r="U10" s="88">
        <v>1</v>
      </c>
      <c r="V10" s="88">
        <v>1.5</v>
      </c>
      <c r="W10" s="88">
        <v>1</v>
      </c>
      <c r="X10" s="88">
        <v>1</v>
      </c>
      <c r="Y10" s="88"/>
      <c r="Z10" s="88">
        <v>1</v>
      </c>
      <c r="AA10" s="88">
        <v>1.5</v>
      </c>
      <c r="AB10" s="88">
        <v>0.875</v>
      </c>
      <c r="AC10" s="88">
        <v>1.5</v>
      </c>
      <c r="AD10" s="88">
        <v>1</v>
      </c>
      <c r="AE10" s="88">
        <v>0.75</v>
      </c>
      <c r="AF10" s="88"/>
      <c r="AG10" s="88">
        <v>1.5</v>
      </c>
      <c r="AH10" s="88">
        <v>1.5</v>
      </c>
      <c r="AI10" s="88">
        <v>1</v>
      </c>
      <c r="AJ10" s="88">
        <v>1.5</v>
      </c>
      <c r="AK10" s="88">
        <v>1</v>
      </c>
      <c r="AL10" s="88"/>
      <c r="AM10" s="88"/>
      <c r="AN10" s="89">
        <f t="shared" si="0"/>
        <v>26.125</v>
      </c>
      <c r="AO10" s="85">
        <v>230000</v>
      </c>
      <c r="AP10" s="90">
        <f t="shared" si="1"/>
        <v>6008750</v>
      </c>
    </row>
    <row r="11" spans="1:42" ht="24.9" customHeight="1" x14ac:dyDescent="0.4">
      <c r="A11" s="83">
        <v>6</v>
      </c>
      <c r="B11" s="83" t="s">
        <v>346</v>
      </c>
      <c r="C11" s="84" t="s">
        <v>347</v>
      </c>
      <c r="D11" s="36" t="s">
        <v>225</v>
      </c>
      <c r="E11" s="125" t="s">
        <v>348</v>
      </c>
      <c r="F11" s="93" t="s">
        <v>229</v>
      </c>
      <c r="G11" s="86" t="s">
        <v>346</v>
      </c>
      <c r="H11" s="87" t="s">
        <v>349</v>
      </c>
      <c r="I11" s="88"/>
      <c r="J11" s="88"/>
      <c r="K11" s="88"/>
      <c r="L11" s="88"/>
      <c r="M11" s="88">
        <v>1.5</v>
      </c>
      <c r="N11" s="88">
        <v>1</v>
      </c>
      <c r="O11" s="88">
        <v>1.5</v>
      </c>
      <c r="P11" s="88">
        <v>1</v>
      </c>
      <c r="Q11" s="88">
        <v>0.25</v>
      </c>
      <c r="R11" s="88"/>
      <c r="S11" s="88">
        <v>1</v>
      </c>
      <c r="T11" s="88">
        <v>1.5</v>
      </c>
      <c r="U11" s="88">
        <v>1</v>
      </c>
      <c r="V11" s="88">
        <v>1.5</v>
      </c>
      <c r="W11" s="88">
        <v>1</v>
      </c>
      <c r="X11" s="88"/>
      <c r="Y11" s="88"/>
      <c r="Z11" s="88">
        <v>0.5</v>
      </c>
      <c r="AA11" s="88"/>
      <c r="AB11" s="88">
        <v>1</v>
      </c>
      <c r="AC11" s="88">
        <v>1.5</v>
      </c>
      <c r="AD11" s="88">
        <v>1</v>
      </c>
      <c r="AE11" s="88"/>
      <c r="AF11" s="88"/>
      <c r="AG11" s="88">
        <v>1.5</v>
      </c>
      <c r="AH11" s="88"/>
      <c r="AI11" s="88"/>
      <c r="AJ11" s="88"/>
      <c r="AK11" s="88"/>
      <c r="AL11" s="88"/>
      <c r="AM11" s="88"/>
      <c r="AN11" s="89">
        <f t="shared" si="0"/>
        <v>16.75</v>
      </c>
      <c r="AO11" s="85">
        <v>160000</v>
      </c>
      <c r="AP11" s="90">
        <f t="shared" si="1"/>
        <v>2680000</v>
      </c>
    </row>
    <row r="12" spans="1:42" ht="24.9" customHeight="1" x14ac:dyDescent="0.4">
      <c r="A12" s="83">
        <v>7</v>
      </c>
      <c r="B12" s="83" t="s">
        <v>350</v>
      </c>
      <c r="C12" s="84" t="s">
        <v>351</v>
      </c>
      <c r="D12" s="36" t="s">
        <v>228</v>
      </c>
      <c r="E12" s="125" t="s">
        <v>352</v>
      </c>
      <c r="F12" s="93" t="s">
        <v>229</v>
      </c>
      <c r="G12" s="86" t="s">
        <v>350</v>
      </c>
      <c r="H12" s="87" t="s">
        <v>353</v>
      </c>
      <c r="I12" s="88"/>
      <c r="J12" s="88"/>
      <c r="K12" s="88"/>
      <c r="L12" s="88">
        <v>1</v>
      </c>
      <c r="M12" s="88">
        <v>1.5</v>
      </c>
      <c r="N12" s="88">
        <v>1</v>
      </c>
      <c r="O12" s="88">
        <v>1.5</v>
      </c>
      <c r="P12" s="88">
        <v>1</v>
      </c>
      <c r="Q12" s="88">
        <v>1</v>
      </c>
      <c r="R12" s="88"/>
      <c r="S12" s="88">
        <v>1</v>
      </c>
      <c r="T12" s="88">
        <v>1.5</v>
      </c>
      <c r="U12" s="88">
        <v>1</v>
      </c>
      <c r="V12" s="88">
        <v>1.5</v>
      </c>
      <c r="W12" s="88">
        <v>1</v>
      </c>
      <c r="X12" s="88">
        <v>1</v>
      </c>
      <c r="Y12" s="88"/>
      <c r="Z12" s="88">
        <v>1</v>
      </c>
      <c r="AA12" s="88">
        <v>1.5</v>
      </c>
      <c r="AB12" s="88">
        <v>1</v>
      </c>
      <c r="AC12" s="88">
        <v>1.5</v>
      </c>
      <c r="AD12" s="88">
        <v>1</v>
      </c>
      <c r="AE12" s="88"/>
      <c r="AF12" s="88"/>
      <c r="AG12" s="88">
        <v>1.5</v>
      </c>
      <c r="AH12" s="88">
        <v>1.5</v>
      </c>
      <c r="AI12" s="88">
        <v>1</v>
      </c>
      <c r="AJ12" s="88">
        <v>1.5</v>
      </c>
      <c r="AK12" s="88">
        <v>1</v>
      </c>
      <c r="AL12" s="88"/>
      <c r="AM12" s="88"/>
      <c r="AN12" s="89">
        <f t="shared" si="0"/>
        <v>26.5</v>
      </c>
      <c r="AO12" s="85">
        <v>210000</v>
      </c>
      <c r="AP12" s="90">
        <f t="shared" si="1"/>
        <v>5565000</v>
      </c>
    </row>
    <row r="13" spans="1:42" ht="24.9" customHeight="1" x14ac:dyDescent="0.4">
      <c r="A13" s="83">
        <v>8</v>
      </c>
      <c r="B13" s="83" t="s">
        <v>354</v>
      </c>
      <c r="C13" s="84" t="s">
        <v>355</v>
      </c>
      <c r="D13" s="36" t="s">
        <v>228</v>
      </c>
      <c r="E13" s="125" t="s">
        <v>356</v>
      </c>
      <c r="F13" s="93" t="s">
        <v>297</v>
      </c>
      <c r="G13" s="86" t="s">
        <v>354</v>
      </c>
      <c r="H13" s="87" t="s">
        <v>357</v>
      </c>
      <c r="I13" s="88"/>
      <c r="J13" s="88">
        <v>1</v>
      </c>
      <c r="K13" s="88"/>
      <c r="L13" s="88">
        <v>1</v>
      </c>
      <c r="M13" s="88">
        <v>1.5</v>
      </c>
      <c r="N13" s="88">
        <v>1</v>
      </c>
      <c r="O13" s="88">
        <v>1.5</v>
      </c>
      <c r="P13" s="88">
        <v>1</v>
      </c>
      <c r="Q13" s="88">
        <v>1</v>
      </c>
      <c r="R13" s="88"/>
      <c r="S13" s="88">
        <v>1</v>
      </c>
      <c r="T13" s="88">
        <v>1.5</v>
      </c>
      <c r="U13" s="88"/>
      <c r="V13" s="88">
        <v>1.5</v>
      </c>
      <c r="W13" s="88">
        <v>1</v>
      </c>
      <c r="X13" s="88">
        <v>1</v>
      </c>
      <c r="Y13" s="88"/>
      <c r="Z13" s="88">
        <v>1</v>
      </c>
      <c r="AA13" s="88">
        <v>1.5</v>
      </c>
      <c r="AB13" s="88">
        <v>1</v>
      </c>
      <c r="AC13" s="88">
        <v>1.5</v>
      </c>
      <c r="AD13" s="88">
        <v>1</v>
      </c>
      <c r="AE13" s="88"/>
      <c r="AF13" s="88"/>
      <c r="AG13" s="88">
        <v>1.5</v>
      </c>
      <c r="AH13" s="88">
        <v>1.5</v>
      </c>
      <c r="AI13" s="88">
        <v>1</v>
      </c>
      <c r="AJ13" s="88">
        <v>1.5</v>
      </c>
      <c r="AK13" s="88">
        <v>1</v>
      </c>
      <c r="AL13" s="88"/>
      <c r="AM13" s="88"/>
      <c r="AN13" s="89">
        <f t="shared" si="0"/>
        <v>26.5</v>
      </c>
      <c r="AO13" s="85">
        <v>250000</v>
      </c>
      <c r="AP13" s="90">
        <f t="shared" si="1"/>
        <v>6625000</v>
      </c>
    </row>
    <row r="14" spans="1:42" ht="24.9" customHeight="1" x14ac:dyDescent="0.4">
      <c r="A14" s="83">
        <v>9</v>
      </c>
      <c r="B14" s="83" t="s">
        <v>599</v>
      </c>
      <c r="C14" s="84" t="s">
        <v>638</v>
      </c>
      <c r="D14" s="36" t="s">
        <v>225</v>
      </c>
      <c r="E14" s="125" t="s">
        <v>677</v>
      </c>
      <c r="F14" s="93" t="s">
        <v>226</v>
      </c>
      <c r="G14" s="86" t="s">
        <v>599</v>
      </c>
      <c r="H14" s="87" t="s">
        <v>716</v>
      </c>
      <c r="I14" s="88"/>
      <c r="J14" s="88"/>
      <c r="K14" s="88"/>
      <c r="L14" s="88">
        <v>0.6875</v>
      </c>
      <c r="M14" s="88">
        <v>1.125</v>
      </c>
      <c r="N14" s="88"/>
      <c r="O14" s="88">
        <v>0.75</v>
      </c>
      <c r="P14" s="88">
        <v>1</v>
      </c>
      <c r="Q14" s="88"/>
      <c r="R14" s="88"/>
      <c r="S14" s="88">
        <v>1</v>
      </c>
      <c r="T14" s="88">
        <v>1.5</v>
      </c>
      <c r="U14" s="88">
        <v>1</v>
      </c>
      <c r="V14" s="88">
        <v>1.5</v>
      </c>
      <c r="W14" s="88">
        <v>1</v>
      </c>
      <c r="X14" s="88"/>
      <c r="Y14" s="88"/>
      <c r="Z14" s="88">
        <v>1</v>
      </c>
      <c r="AA14" s="88">
        <v>1.5</v>
      </c>
      <c r="AB14" s="88">
        <v>1</v>
      </c>
      <c r="AC14" s="88">
        <v>1.5</v>
      </c>
      <c r="AD14" s="88">
        <v>1</v>
      </c>
      <c r="AE14" s="88">
        <v>0.75</v>
      </c>
      <c r="AF14" s="88"/>
      <c r="AG14" s="88">
        <v>1.5</v>
      </c>
      <c r="AH14" s="88">
        <v>1.5</v>
      </c>
      <c r="AI14" s="88">
        <v>1</v>
      </c>
      <c r="AJ14" s="88">
        <v>1.5</v>
      </c>
      <c r="AK14" s="88">
        <v>1</v>
      </c>
      <c r="AL14" s="88"/>
      <c r="AM14" s="88"/>
      <c r="AN14" s="89">
        <f t="shared" si="0"/>
        <v>22.8125</v>
      </c>
      <c r="AO14" s="85">
        <v>150000</v>
      </c>
      <c r="AP14" s="90">
        <f t="shared" si="1"/>
        <v>3421875</v>
      </c>
    </row>
    <row r="15" spans="1:42" ht="23.25" customHeight="1" x14ac:dyDescent="0.4">
      <c r="A15" s="83">
        <v>10</v>
      </c>
      <c r="B15" s="83" t="s">
        <v>465</v>
      </c>
      <c r="C15" s="84" t="s">
        <v>491</v>
      </c>
      <c r="D15" s="127" t="s">
        <v>225</v>
      </c>
      <c r="E15" s="36" t="s">
        <v>518</v>
      </c>
      <c r="F15" s="95" t="s">
        <v>226</v>
      </c>
      <c r="G15" s="86" t="s">
        <v>465</v>
      </c>
      <c r="H15" s="87" t="s">
        <v>544</v>
      </c>
      <c r="I15" s="88"/>
      <c r="J15" s="88"/>
      <c r="K15" s="88"/>
      <c r="L15" s="88">
        <v>1</v>
      </c>
      <c r="M15" s="88">
        <v>1.5</v>
      </c>
      <c r="N15" s="88">
        <v>1</v>
      </c>
      <c r="O15" s="88">
        <v>1.5</v>
      </c>
      <c r="P15" s="88">
        <v>1</v>
      </c>
      <c r="Q15" s="88">
        <v>1</v>
      </c>
      <c r="R15" s="88"/>
      <c r="S15" s="88">
        <v>1</v>
      </c>
      <c r="T15" s="88">
        <v>1.5</v>
      </c>
      <c r="U15" s="88">
        <v>1</v>
      </c>
      <c r="V15" s="88">
        <v>1.5</v>
      </c>
      <c r="W15" s="88">
        <v>1</v>
      </c>
      <c r="X15" s="88">
        <v>1</v>
      </c>
      <c r="Y15" s="88"/>
      <c r="Z15" s="88">
        <v>1</v>
      </c>
      <c r="AA15" s="88">
        <v>1.5</v>
      </c>
      <c r="AB15" s="88">
        <v>1</v>
      </c>
      <c r="AC15" s="88">
        <v>1.5</v>
      </c>
      <c r="AD15" s="88">
        <v>1</v>
      </c>
      <c r="AE15" s="88">
        <v>0.75</v>
      </c>
      <c r="AF15" s="88"/>
      <c r="AG15" s="88">
        <v>1.5</v>
      </c>
      <c r="AH15" s="88">
        <v>1.5</v>
      </c>
      <c r="AI15" s="88">
        <v>1</v>
      </c>
      <c r="AJ15" s="88">
        <v>1.5</v>
      </c>
      <c r="AK15" s="88">
        <v>1</v>
      </c>
      <c r="AL15" s="88"/>
      <c r="AM15" s="88"/>
      <c r="AN15" s="89">
        <f t="shared" si="0"/>
        <v>27.25</v>
      </c>
      <c r="AO15" s="85">
        <v>170000</v>
      </c>
      <c r="AP15" s="90">
        <f t="shared" si="1"/>
        <v>4632500</v>
      </c>
    </row>
    <row r="16" spans="1:42" ht="24.9" customHeight="1" x14ac:dyDescent="0.4">
      <c r="A16" s="83">
        <v>11</v>
      </c>
      <c r="B16" s="83" t="s">
        <v>600</v>
      </c>
      <c r="C16" s="84" t="s">
        <v>639</v>
      </c>
      <c r="D16" s="36" t="s">
        <v>227</v>
      </c>
      <c r="E16" s="36" t="s">
        <v>678</v>
      </c>
      <c r="F16" s="93" t="s">
        <v>230</v>
      </c>
      <c r="G16" s="86" t="s">
        <v>600</v>
      </c>
      <c r="H16" s="87" t="s">
        <v>717</v>
      </c>
      <c r="I16" s="88"/>
      <c r="J16" s="88"/>
      <c r="K16" s="88"/>
      <c r="L16" s="88">
        <v>0.6875</v>
      </c>
      <c r="M16" s="88">
        <v>1.125</v>
      </c>
      <c r="N16" s="88">
        <v>0.5</v>
      </c>
      <c r="O16" s="88">
        <v>0.5</v>
      </c>
      <c r="P16" s="88">
        <v>1</v>
      </c>
      <c r="Q16" s="88"/>
      <c r="R16" s="88"/>
      <c r="S16" s="88">
        <v>1</v>
      </c>
      <c r="T16" s="88">
        <v>1.5</v>
      </c>
      <c r="U16" s="88">
        <v>1</v>
      </c>
      <c r="V16" s="88">
        <v>1.5</v>
      </c>
      <c r="W16" s="88">
        <v>1</v>
      </c>
      <c r="X16" s="88">
        <v>1</v>
      </c>
      <c r="Y16" s="88"/>
      <c r="Z16" s="88">
        <v>1</v>
      </c>
      <c r="AA16" s="88">
        <v>1.5</v>
      </c>
      <c r="AB16" s="88">
        <v>1</v>
      </c>
      <c r="AC16" s="88">
        <v>1.5</v>
      </c>
      <c r="AD16" s="88">
        <v>1</v>
      </c>
      <c r="AE16" s="88">
        <v>0.75</v>
      </c>
      <c r="AF16" s="88"/>
      <c r="AG16" s="88">
        <v>1.5</v>
      </c>
      <c r="AH16" s="88">
        <v>1.5</v>
      </c>
      <c r="AI16" s="88">
        <v>1</v>
      </c>
      <c r="AJ16" s="88">
        <v>1.5</v>
      </c>
      <c r="AK16" s="88">
        <v>1</v>
      </c>
      <c r="AL16" s="88"/>
      <c r="AM16" s="88"/>
      <c r="AN16" s="89">
        <f t="shared" ref="AN16:AN23" si="2">SUM(I16:AM16)</f>
        <v>24.0625</v>
      </c>
      <c r="AO16" s="85">
        <v>240000</v>
      </c>
      <c r="AP16" s="90">
        <f t="shared" ref="AP16:AP23" si="3">AN16*AO16</f>
        <v>5775000</v>
      </c>
    </row>
    <row r="17" spans="1:42" ht="24.9" customHeight="1" x14ac:dyDescent="0.4">
      <c r="A17" s="83">
        <v>12</v>
      </c>
      <c r="B17" s="83" t="s">
        <v>466</v>
      </c>
      <c r="C17" s="84" t="s">
        <v>492</v>
      </c>
      <c r="D17" s="36" t="s">
        <v>225</v>
      </c>
      <c r="E17" s="125" t="s">
        <v>519</v>
      </c>
      <c r="F17" s="95" t="s">
        <v>226</v>
      </c>
      <c r="G17" s="86" t="s">
        <v>466</v>
      </c>
      <c r="H17" s="87" t="s">
        <v>545</v>
      </c>
      <c r="I17" s="88"/>
      <c r="J17" s="88">
        <v>1</v>
      </c>
      <c r="K17" s="88"/>
      <c r="L17" s="88">
        <v>1</v>
      </c>
      <c r="M17" s="88">
        <v>1.5</v>
      </c>
      <c r="N17" s="88">
        <v>1</v>
      </c>
      <c r="O17" s="88">
        <v>1.5</v>
      </c>
      <c r="P17" s="88">
        <v>1</v>
      </c>
      <c r="Q17" s="88"/>
      <c r="R17" s="88"/>
      <c r="S17" s="88">
        <v>1</v>
      </c>
      <c r="T17" s="88"/>
      <c r="U17" s="88">
        <v>1</v>
      </c>
      <c r="V17" s="88">
        <v>1.5</v>
      </c>
      <c r="W17" s="88">
        <v>1</v>
      </c>
      <c r="X17" s="88">
        <v>1</v>
      </c>
      <c r="Y17" s="88"/>
      <c r="Z17" s="88">
        <v>1</v>
      </c>
      <c r="AA17" s="88">
        <v>1.5</v>
      </c>
      <c r="AB17" s="88">
        <v>1</v>
      </c>
      <c r="AC17" s="88">
        <v>1.5</v>
      </c>
      <c r="AD17" s="88">
        <v>1</v>
      </c>
      <c r="AE17" s="88">
        <v>0.5</v>
      </c>
      <c r="AF17" s="88"/>
      <c r="AG17" s="88">
        <v>1.5</v>
      </c>
      <c r="AH17" s="88">
        <v>1.5</v>
      </c>
      <c r="AI17" s="88">
        <v>1</v>
      </c>
      <c r="AJ17" s="88">
        <v>1.5</v>
      </c>
      <c r="AK17" s="88">
        <v>1</v>
      </c>
      <c r="AL17" s="88"/>
      <c r="AM17" s="88"/>
      <c r="AN17" s="89">
        <f t="shared" si="2"/>
        <v>25.5</v>
      </c>
      <c r="AO17" s="85">
        <v>160000</v>
      </c>
      <c r="AP17" s="90">
        <f t="shared" si="3"/>
        <v>4080000</v>
      </c>
    </row>
    <row r="18" spans="1:42" ht="24.9" customHeight="1" x14ac:dyDescent="0.4">
      <c r="A18" s="83">
        <v>13</v>
      </c>
      <c r="B18" s="83" t="s">
        <v>359</v>
      </c>
      <c r="C18" s="84" t="s">
        <v>360</v>
      </c>
      <c r="D18" s="127" t="s">
        <v>227</v>
      </c>
      <c r="E18" s="125" t="s">
        <v>361</v>
      </c>
      <c r="F18" s="93" t="s">
        <v>297</v>
      </c>
      <c r="G18" s="86" t="s">
        <v>359</v>
      </c>
      <c r="H18" s="87" t="s">
        <v>361</v>
      </c>
      <c r="I18" s="88"/>
      <c r="J18" s="88"/>
      <c r="K18" s="88"/>
      <c r="L18" s="88">
        <v>1</v>
      </c>
      <c r="M18" s="88">
        <v>1.5</v>
      </c>
      <c r="N18" s="88">
        <v>1</v>
      </c>
      <c r="O18" s="88">
        <v>1.5</v>
      </c>
      <c r="P18" s="88">
        <v>1</v>
      </c>
      <c r="Q18" s="88">
        <v>1</v>
      </c>
      <c r="R18" s="88"/>
      <c r="S18" s="88">
        <v>1</v>
      </c>
      <c r="T18" s="88">
        <v>1.5</v>
      </c>
      <c r="U18" s="88">
        <v>1</v>
      </c>
      <c r="V18" s="88">
        <v>1.5</v>
      </c>
      <c r="W18" s="88">
        <v>1</v>
      </c>
      <c r="X18" s="88"/>
      <c r="Y18" s="88"/>
      <c r="Z18" s="88">
        <v>1</v>
      </c>
      <c r="AA18" s="88">
        <v>1.5</v>
      </c>
      <c r="AB18" s="88">
        <v>1</v>
      </c>
      <c r="AC18" s="88">
        <v>1.5</v>
      </c>
      <c r="AD18" s="88">
        <v>1</v>
      </c>
      <c r="AE18" s="88">
        <v>0.75</v>
      </c>
      <c r="AF18" s="88"/>
      <c r="AG18" s="88">
        <v>1.5</v>
      </c>
      <c r="AH18" s="88">
        <v>1.5</v>
      </c>
      <c r="AI18" s="88">
        <v>1</v>
      </c>
      <c r="AJ18" s="88">
        <v>1.5</v>
      </c>
      <c r="AK18" s="88">
        <v>0.875</v>
      </c>
      <c r="AL18" s="88"/>
      <c r="AM18" s="88"/>
      <c r="AN18" s="89">
        <f t="shared" si="2"/>
        <v>26.125</v>
      </c>
      <c r="AO18" s="85">
        <v>250000</v>
      </c>
      <c r="AP18" s="90">
        <f t="shared" si="3"/>
        <v>6531250</v>
      </c>
    </row>
    <row r="19" spans="1:42" ht="24.9" customHeight="1" x14ac:dyDescent="0.4">
      <c r="A19" s="83">
        <v>14</v>
      </c>
      <c r="B19" s="83" t="s">
        <v>467</v>
      </c>
      <c r="C19" s="84" t="s">
        <v>493</v>
      </c>
      <c r="D19" s="36" t="s">
        <v>228</v>
      </c>
      <c r="E19" s="36" t="s">
        <v>520</v>
      </c>
      <c r="F19" s="93" t="s">
        <v>377</v>
      </c>
      <c r="G19" s="86" t="s">
        <v>467</v>
      </c>
      <c r="H19" s="87" t="s">
        <v>546</v>
      </c>
      <c r="I19" s="88"/>
      <c r="J19" s="88">
        <v>1</v>
      </c>
      <c r="K19" s="88"/>
      <c r="L19" s="88">
        <v>1</v>
      </c>
      <c r="M19" s="88">
        <v>1.5</v>
      </c>
      <c r="N19" s="88">
        <v>1</v>
      </c>
      <c r="O19" s="88">
        <v>1.5</v>
      </c>
      <c r="P19" s="88">
        <v>1</v>
      </c>
      <c r="Q19" s="88">
        <v>1</v>
      </c>
      <c r="R19" s="88"/>
      <c r="S19" s="88">
        <v>1</v>
      </c>
      <c r="T19" s="88">
        <v>1.5</v>
      </c>
      <c r="U19" s="88">
        <v>1</v>
      </c>
      <c r="V19" s="88">
        <v>1.5</v>
      </c>
      <c r="W19" s="88">
        <v>1</v>
      </c>
      <c r="X19" s="88"/>
      <c r="Y19" s="88"/>
      <c r="Z19" s="88">
        <v>0.875</v>
      </c>
      <c r="AA19" s="88">
        <v>1.5</v>
      </c>
      <c r="AB19" s="88">
        <v>1</v>
      </c>
      <c r="AC19" s="88">
        <v>1.5</v>
      </c>
      <c r="AD19" s="88">
        <v>1</v>
      </c>
      <c r="AE19" s="88">
        <v>0.75</v>
      </c>
      <c r="AF19" s="88"/>
      <c r="AG19" s="88">
        <v>1.5</v>
      </c>
      <c r="AH19" s="88">
        <v>1.5</v>
      </c>
      <c r="AI19" s="88">
        <v>1</v>
      </c>
      <c r="AJ19" s="88">
        <v>1.5</v>
      </c>
      <c r="AK19" s="88">
        <v>1</v>
      </c>
      <c r="AL19" s="88"/>
      <c r="AM19" s="88"/>
      <c r="AN19" s="89">
        <f t="shared" si="2"/>
        <v>27.125</v>
      </c>
      <c r="AO19" s="85">
        <v>220000</v>
      </c>
      <c r="AP19" s="90">
        <f t="shared" si="3"/>
        <v>5967500</v>
      </c>
    </row>
    <row r="20" spans="1:42" ht="24.9" customHeight="1" x14ac:dyDescent="0.4">
      <c r="A20" s="83">
        <v>15</v>
      </c>
      <c r="B20" s="83" t="s">
        <v>362</v>
      </c>
      <c r="C20" s="84" t="s">
        <v>363</v>
      </c>
      <c r="D20" s="36" t="s">
        <v>309</v>
      </c>
      <c r="E20" s="36" t="s">
        <v>364</v>
      </c>
      <c r="F20" s="93" t="s">
        <v>297</v>
      </c>
      <c r="G20" s="86" t="s">
        <v>362</v>
      </c>
      <c r="H20" s="87" t="s">
        <v>365</v>
      </c>
      <c r="I20" s="88"/>
      <c r="J20" s="88"/>
      <c r="K20" s="88"/>
      <c r="L20" s="88">
        <v>1</v>
      </c>
      <c r="M20" s="88">
        <v>1.5</v>
      </c>
      <c r="N20" s="88">
        <v>1</v>
      </c>
      <c r="O20" s="88">
        <v>1.5</v>
      </c>
      <c r="P20" s="88">
        <v>1</v>
      </c>
      <c r="Q20" s="88">
        <v>1</v>
      </c>
      <c r="R20" s="88"/>
      <c r="S20" s="88">
        <v>1</v>
      </c>
      <c r="T20" s="88">
        <v>1.5</v>
      </c>
      <c r="U20" s="88">
        <v>1</v>
      </c>
      <c r="V20" s="88">
        <v>1.5</v>
      </c>
      <c r="W20" s="88">
        <v>1</v>
      </c>
      <c r="X20" s="88">
        <v>0.5</v>
      </c>
      <c r="Y20" s="88"/>
      <c r="Z20" s="88">
        <v>1</v>
      </c>
      <c r="AA20" s="88">
        <v>1.5</v>
      </c>
      <c r="AB20" s="88">
        <v>1</v>
      </c>
      <c r="AC20" s="88">
        <v>1.5</v>
      </c>
      <c r="AD20" s="88">
        <v>1</v>
      </c>
      <c r="AE20" s="88">
        <v>0.75</v>
      </c>
      <c r="AF20" s="88"/>
      <c r="AG20" s="88">
        <v>1.5</v>
      </c>
      <c r="AH20" s="88">
        <v>1.5</v>
      </c>
      <c r="AI20" s="88">
        <v>1</v>
      </c>
      <c r="AJ20" s="88">
        <v>1.5</v>
      </c>
      <c r="AK20" s="88">
        <v>1</v>
      </c>
      <c r="AL20" s="88">
        <v>0.375</v>
      </c>
      <c r="AM20" s="88"/>
      <c r="AN20" s="89">
        <f t="shared" si="2"/>
        <v>27.125</v>
      </c>
      <c r="AO20" s="85">
        <v>240000</v>
      </c>
      <c r="AP20" s="90">
        <f t="shared" si="3"/>
        <v>6510000</v>
      </c>
    </row>
    <row r="21" spans="1:42" ht="24.9" customHeight="1" x14ac:dyDescent="0.4">
      <c r="A21" s="83">
        <v>16</v>
      </c>
      <c r="B21" s="83" t="s">
        <v>366</v>
      </c>
      <c r="C21" s="84" t="s">
        <v>367</v>
      </c>
      <c r="D21" s="36" t="s">
        <v>228</v>
      </c>
      <c r="E21" s="36" t="s">
        <v>368</v>
      </c>
      <c r="F21" s="93" t="s">
        <v>226</v>
      </c>
      <c r="G21" s="86" t="s">
        <v>366</v>
      </c>
      <c r="H21" s="87" t="s">
        <v>369</v>
      </c>
      <c r="I21" s="88"/>
      <c r="J21" s="88">
        <v>1</v>
      </c>
      <c r="K21" s="88"/>
      <c r="L21" s="88">
        <v>1</v>
      </c>
      <c r="M21" s="88">
        <v>1.5</v>
      </c>
      <c r="N21" s="88">
        <v>1</v>
      </c>
      <c r="O21" s="88">
        <v>1.5</v>
      </c>
      <c r="P21" s="88">
        <v>1</v>
      </c>
      <c r="Q21" s="88"/>
      <c r="R21" s="88"/>
      <c r="S21" s="88">
        <v>1</v>
      </c>
      <c r="T21" s="88">
        <v>1.5</v>
      </c>
      <c r="U21" s="88">
        <v>1</v>
      </c>
      <c r="V21" s="88">
        <v>1.5</v>
      </c>
      <c r="W21" s="88">
        <v>1</v>
      </c>
      <c r="X21" s="88">
        <v>1</v>
      </c>
      <c r="Y21" s="88"/>
      <c r="Z21" s="88">
        <v>1</v>
      </c>
      <c r="AA21" s="88">
        <v>1.5</v>
      </c>
      <c r="AB21" s="88">
        <v>1</v>
      </c>
      <c r="AC21" s="88">
        <v>1.5</v>
      </c>
      <c r="AD21" s="88">
        <v>1</v>
      </c>
      <c r="AE21" s="88">
        <v>0.75</v>
      </c>
      <c r="AF21" s="88"/>
      <c r="AG21" s="88">
        <v>1.5</v>
      </c>
      <c r="AH21" s="88">
        <v>1.5</v>
      </c>
      <c r="AI21" s="88">
        <v>1</v>
      </c>
      <c r="AJ21" s="88">
        <v>1.5</v>
      </c>
      <c r="AK21" s="88">
        <v>1</v>
      </c>
      <c r="AL21" s="88"/>
      <c r="AM21" s="88"/>
      <c r="AN21" s="89">
        <f t="shared" si="2"/>
        <v>27.25</v>
      </c>
      <c r="AO21" s="85">
        <v>250000</v>
      </c>
      <c r="AP21" s="90">
        <f t="shared" si="3"/>
        <v>6812500</v>
      </c>
    </row>
    <row r="22" spans="1:42" ht="24.9" customHeight="1" x14ac:dyDescent="0.4">
      <c r="A22" s="83">
        <v>17</v>
      </c>
      <c r="B22" s="83" t="s">
        <v>468</v>
      </c>
      <c r="C22" s="84" t="s">
        <v>494</v>
      </c>
      <c r="D22" s="36" t="s">
        <v>225</v>
      </c>
      <c r="E22" s="36" t="s">
        <v>521</v>
      </c>
      <c r="F22" s="93" t="s">
        <v>296</v>
      </c>
      <c r="G22" s="86" t="s">
        <v>468</v>
      </c>
      <c r="H22" s="87" t="s">
        <v>547</v>
      </c>
      <c r="I22" s="88"/>
      <c r="J22" s="88"/>
      <c r="K22" s="88"/>
      <c r="L22" s="88">
        <v>1</v>
      </c>
      <c r="M22" s="88">
        <v>1.5</v>
      </c>
      <c r="N22" s="88">
        <v>1</v>
      </c>
      <c r="O22" s="88">
        <v>1.5</v>
      </c>
      <c r="P22" s="88">
        <v>1</v>
      </c>
      <c r="Q22" s="88">
        <v>1</v>
      </c>
      <c r="R22" s="88"/>
      <c r="S22" s="88">
        <v>1</v>
      </c>
      <c r="T22" s="88">
        <v>1.5</v>
      </c>
      <c r="U22" s="88">
        <v>1</v>
      </c>
      <c r="V22" s="88">
        <v>1.5</v>
      </c>
      <c r="W22" s="88">
        <v>1</v>
      </c>
      <c r="X22" s="88">
        <v>1</v>
      </c>
      <c r="Y22" s="88"/>
      <c r="Z22" s="88">
        <v>1</v>
      </c>
      <c r="AA22" s="88">
        <v>1.5</v>
      </c>
      <c r="AB22" s="88">
        <v>1</v>
      </c>
      <c r="AC22" s="88">
        <v>1.5</v>
      </c>
      <c r="AD22" s="88">
        <v>1</v>
      </c>
      <c r="AE22" s="88">
        <v>0.75</v>
      </c>
      <c r="AF22" s="88"/>
      <c r="AG22" s="88">
        <v>1.5</v>
      </c>
      <c r="AH22" s="88">
        <v>1.5</v>
      </c>
      <c r="AI22" s="88">
        <v>1</v>
      </c>
      <c r="AJ22" s="88">
        <v>1.5</v>
      </c>
      <c r="AK22" s="88">
        <v>1</v>
      </c>
      <c r="AL22" s="88"/>
      <c r="AM22" s="88"/>
      <c r="AN22" s="89">
        <f t="shared" si="2"/>
        <v>27.25</v>
      </c>
      <c r="AO22" s="85">
        <v>160000</v>
      </c>
      <c r="AP22" s="90">
        <f t="shared" si="3"/>
        <v>4360000</v>
      </c>
    </row>
    <row r="23" spans="1:42" ht="24.9" customHeight="1" x14ac:dyDescent="0.4">
      <c r="A23" s="83">
        <v>18</v>
      </c>
      <c r="B23" s="83" t="s">
        <v>370</v>
      </c>
      <c r="C23" s="84" t="s">
        <v>371</v>
      </c>
      <c r="D23" s="36" t="s">
        <v>343</v>
      </c>
      <c r="E23" s="36" t="s">
        <v>372</v>
      </c>
      <c r="F23" s="95" t="s">
        <v>229</v>
      </c>
      <c r="G23" s="86" t="s">
        <v>370</v>
      </c>
      <c r="H23" s="87" t="s">
        <v>373</v>
      </c>
      <c r="I23" s="88"/>
      <c r="J23" s="88">
        <v>1</v>
      </c>
      <c r="K23" s="88"/>
      <c r="L23" s="88">
        <v>1</v>
      </c>
      <c r="M23" s="88">
        <v>1.5</v>
      </c>
      <c r="N23" s="88">
        <v>1</v>
      </c>
      <c r="O23" s="88">
        <v>1.5</v>
      </c>
      <c r="P23" s="88">
        <v>1</v>
      </c>
      <c r="Q23" s="88">
        <v>1</v>
      </c>
      <c r="R23" s="88"/>
      <c r="S23" s="88">
        <v>1</v>
      </c>
      <c r="T23" s="88">
        <v>1.5</v>
      </c>
      <c r="U23" s="88">
        <v>1</v>
      </c>
      <c r="V23" s="88">
        <v>1.5</v>
      </c>
      <c r="W23" s="88">
        <v>1</v>
      </c>
      <c r="X23" s="88">
        <v>1</v>
      </c>
      <c r="Y23" s="88"/>
      <c r="Z23" s="88">
        <v>1</v>
      </c>
      <c r="AA23" s="88">
        <v>1.5</v>
      </c>
      <c r="AB23" s="88">
        <v>1</v>
      </c>
      <c r="AC23" s="88">
        <v>1.5</v>
      </c>
      <c r="AD23" s="88">
        <v>1</v>
      </c>
      <c r="AE23" s="88">
        <v>0.75</v>
      </c>
      <c r="AF23" s="88"/>
      <c r="AG23" s="88">
        <v>1.5</v>
      </c>
      <c r="AH23" s="88">
        <v>1.5</v>
      </c>
      <c r="AI23" s="88">
        <v>1</v>
      </c>
      <c r="AJ23" s="88">
        <v>1.5</v>
      </c>
      <c r="AK23" s="88">
        <v>1</v>
      </c>
      <c r="AL23" s="88"/>
      <c r="AM23" s="88"/>
      <c r="AN23" s="89">
        <f t="shared" si="2"/>
        <v>28.25</v>
      </c>
      <c r="AO23" s="85">
        <v>180000</v>
      </c>
      <c r="AP23" s="90">
        <f t="shared" si="3"/>
        <v>5085000</v>
      </c>
    </row>
    <row r="24" spans="1:42" ht="24.9" customHeight="1" x14ac:dyDescent="0.4">
      <c r="A24" s="83">
        <v>19</v>
      </c>
      <c r="B24" s="83" t="s">
        <v>469</v>
      </c>
      <c r="C24" s="84" t="s">
        <v>495</v>
      </c>
      <c r="D24" s="36" t="s">
        <v>225</v>
      </c>
      <c r="E24" s="36" t="s">
        <v>522</v>
      </c>
      <c r="F24" s="93" t="s">
        <v>296</v>
      </c>
      <c r="G24" s="86" t="s">
        <v>469</v>
      </c>
      <c r="H24" s="87" t="s">
        <v>548</v>
      </c>
      <c r="I24" s="88"/>
      <c r="J24" s="88"/>
      <c r="K24" s="88"/>
      <c r="L24" s="88">
        <v>1</v>
      </c>
      <c r="M24" s="88">
        <v>1.5</v>
      </c>
      <c r="N24" s="88">
        <v>1</v>
      </c>
      <c r="O24" s="88">
        <v>1.5</v>
      </c>
      <c r="P24" s="88">
        <v>1</v>
      </c>
      <c r="Q24" s="88">
        <v>1</v>
      </c>
      <c r="R24" s="88"/>
      <c r="S24" s="88">
        <v>1</v>
      </c>
      <c r="T24" s="88">
        <v>1.5</v>
      </c>
      <c r="U24" s="88">
        <v>1</v>
      </c>
      <c r="V24" s="88">
        <v>1.5</v>
      </c>
      <c r="W24" s="88">
        <v>1</v>
      </c>
      <c r="X24" s="88">
        <v>1</v>
      </c>
      <c r="Y24" s="88"/>
      <c r="Z24" s="88">
        <v>1</v>
      </c>
      <c r="AA24" s="88">
        <v>1.5</v>
      </c>
      <c r="AB24" s="88">
        <v>1</v>
      </c>
      <c r="AC24" s="88">
        <v>1.5</v>
      </c>
      <c r="AD24" s="88">
        <v>1</v>
      </c>
      <c r="AE24" s="88">
        <v>0.75</v>
      </c>
      <c r="AF24" s="88"/>
      <c r="AG24" s="88">
        <v>1.5</v>
      </c>
      <c r="AH24" s="88">
        <v>1.5</v>
      </c>
      <c r="AI24" s="88">
        <v>1</v>
      </c>
      <c r="AJ24" s="88">
        <v>1.5</v>
      </c>
      <c r="AK24" s="88">
        <v>1</v>
      </c>
      <c r="AL24" s="88"/>
      <c r="AM24" s="88"/>
      <c r="AN24" s="89">
        <f t="shared" ref="AN24:AN37" si="4">SUM(I24:AM24)</f>
        <v>27.25</v>
      </c>
      <c r="AO24" s="85">
        <v>160000</v>
      </c>
      <c r="AP24" s="90">
        <f t="shared" ref="AP24:AP37" si="5">AN24*AO24</f>
        <v>4360000</v>
      </c>
    </row>
    <row r="25" spans="1:42" ht="24.9" customHeight="1" x14ac:dyDescent="0.4">
      <c r="A25" s="83">
        <v>20</v>
      </c>
      <c r="B25" s="83" t="s">
        <v>374</v>
      </c>
      <c r="C25" s="84" t="s">
        <v>375</v>
      </c>
      <c r="D25" s="127" t="s">
        <v>228</v>
      </c>
      <c r="E25" s="125" t="s">
        <v>376</v>
      </c>
      <c r="F25" s="93" t="s">
        <v>377</v>
      </c>
      <c r="G25" s="86" t="s">
        <v>374</v>
      </c>
      <c r="H25" s="87" t="s">
        <v>378</v>
      </c>
      <c r="I25" s="88"/>
      <c r="J25" s="88">
        <v>1</v>
      </c>
      <c r="K25" s="88"/>
      <c r="L25" s="88">
        <v>1</v>
      </c>
      <c r="M25" s="88">
        <v>1.5</v>
      </c>
      <c r="N25" s="88">
        <v>1</v>
      </c>
      <c r="O25" s="88">
        <v>0.5</v>
      </c>
      <c r="P25" s="88">
        <v>1</v>
      </c>
      <c r="Q25" s="88">
        <v>1</v>
      </c>
      <c r="R25" s="88"/>
      <c r="S25" s="88">
        <v>1</v>
      </c>
      <c r="T25" s="88">
        <v>1.5</v>
      </c>
      <c r="U25" s="88">
        <v>1</v>
      </c>
      <c r="V25" s="88">
        <v>1.5</v>
      </c>
      <c r="W25" s="88">
        <v>1</v>
      </c>
      <c r="X25" s="88"/>
      <c r="Y25" s="88"/>
      <c r="Z25" s="88">
        <v>1</v>
      </c>
      <c r="AA25" s="88">
        <v>1.5</v>
      </c>
      <c r="AB25" s="88">
        <v>1</v>
      </c>
      <c r="AC25" s="88">
        <v>1.5</v>
      </c>
      <c r="AD25" s="88">
        <v>1</v>
      </c>
      <c r="AE25" s="88">
        <v>0.75</v>
      </c>
      <c r="AF25" s="88"/>
      <c r="AG25" s="88">
        <v>1.5</v>
      </c>
      <c r="AH25" s="88">
        <v>1.5</v>
      </c>
      <c r="AI25" s="88">
        <v>1</v>
      </c>
      <c r="AJ25" s="88">
        <v>1.5</v>
      </c>
      <c r="AK25" s="88">
        <v>1</v>
      </c>
      <c r="AL25" s="88"/>
      <c r="AM25" s="88"/>
      <c r="AN25" s="89">
        <f t="shared" si="4"/>
        <v>26.25</v>
      </c>
      <c r="AO25" s="85">
        <v>190000</v>
      </c>
      <c r="AP25" s="90">
        <f t="shared" si="5"/>
        <v>4987500</v>
      </c>
    </row>
    <row r="26" spans="1:42" ht="24.9" customHeight="1" x14ac:dyDescent="0.4">
      <c r="A26" s="83">
        <v>21</v>
      </c>
      <c r="B26" s="83" t="s">
        <v>601</v>
      </c>
      <c r="C26" s="84" t="s">
        <v>640</v>
      </c>
      <c r="D26" s="36" t="s">
        <v>225</v>
      </c>
      <c r="E26" s="125" t="s">
        <v>679</v>
      </c>
      <c r="F26" s="93" t="s">
        <v>226</v>
      </c>
      <c r="G26" s="86" t="s">
        <v>601</v>
      </c>
      <c r="H26" s="87" t="s">
        <v>718</v>
      </c>
      <c r="I26" s="88"/>
      <c r="J26" s="88"/>
      <c r="K26" s="88"/>
      <c r="L26" s="88">
        <v>0.6875</v>
      </c>
      <c r="M26" s="88">
        <v>1.125</v>
      </c>
      <c r="N26" s="88"/>
      <c r="O26" s="88">
        <v>0.5</v>
      </c>
      <c r="P26" s="88">
        <v>1</v>
      </c>
      <c r="Q26" s="88"/>
      <c r="R26" s="88"/>
      <c r="S26" s="88">
        <v>1</v>
      </c>
      <c r="T26" s="88">
        <v>1.5</v>
      </c>
      <c r="U26" s="88">
        <v>1</v>
      </c>
      <c r="V26" s="88">
        <v>1.5</v>
      </c>
      <c r="W26" s="88">
        <v>1</v>
      </c>
      <c r="X26" s="88">
        <v>1</v>
      </c>
      <c r="Y26" s="88"/>
      <c r="Z26" s="88">
        <v>1</v>
      </c>
      <c r="AA26" s="88">
        <v>1.5</v>
      </c>
      <c r="AB26" s="88">
        <v>1</v>
      </c>
      <c r="AC26" s="88">
        <v>1.5</v>
      </c>
      <c r="AD26" s="88">
        <v>1</v>
      </c>
      <c r="AE26" s="88">
        <v>0.75</v>
      </c>
      <c r="AF26" s="88"/>
      <c r="AG26" s="88">
        <v>1.5</v>
      </c>
      <c r="AH26" s="88">
        <v>1.5</v>
      </c>
      <c r="AI26" s="88">
        <v>1</v>
      </c>
      <c r="AJ26" s="88">
        <v>0.25</v>
      </c>
      <c r="AK26" s="88">
        <v>1</v>
      </c>
      <c r="AL26" s="88"/>
      <c r="AM26" s="88"/>
      <c r="AN26" s="89">
        <f t="shared" si="4"/>
        <v>22.3125</v>
      </c>
      <c r="AO26" s="85">
        <v>160000</v>
      </c>
      <c r="AP26" s="90">
        <f t="shared" si="5"/>
        <v>3570000</v>
      </c>
    </row>
    <row r="27" spans="1:42" ht="24.9" customHeight="1" x14ac:dyDescent="0.4">
      <c r="A27" s="83">
        <v>22</v>
      </c>
      <c r="B27" s="83" t="s">
        <v>470</v>
      </c>
      <c r="C27" s="84" t="s">
        <v>496</v>
      </c>
      <c r="D27" s="127" t="s">
        <v>228</v>
      </c>
      <c r="E27" s="125" t="s">
        <v>523</v>
      </c>
      <c r="F27" s="93" t="s">
        <v>226</v>
      </c>
      <c r="G27" s="86" t="s">
        <v>470</v>
      </c>
      <c r="H27" s="87" t="s">
        <v>549</v>
      </c>
      <c r="I27" s="88"/>
      <c r="J27" s="88"/>
      <c r="K27" s="88"/>
      <c r="L27" s="88">
        <v>1</v>
      </c>
      <c r="M27" s="88">
        <v>1.5</v>
      </c>
      <c r="N27" s="88">
        <v>1</v>
      </c>
      <c r="O27" s="88">
        <v>1.5</v>
      </c>
      <c r="P27" s="88">
        <v>1</v>
      </c>
      <c r="Q27" s="88">
        <v>1</v>
      </c>
      <c r="R27" s="88"/>
      <c r="S27" s="88">
        <v>1</v>
      </c>
      <c r="T27" s="88">
        <v>1.5</v>
      </c>
      <c r="U27" s="88">
        <v>1</v>
      </c>
      <c r="V27" s="88">
        <v>1.5</v>
      </c>
      <c r="W27" s="88">
        <v>1</v>
      </c>
      <c r="X27" s="88">
        <v>1</v>
      </c>
      <c r="Y27" s="88"/>
      <c r="Z27" s="88">
        <v>1</v>
      </c>
      <c r="AA27" s="88">
        <v>1.5</v>
      </c>
      <c r="AB27" s="88">
        <v>1</v>
      </c>
      <c r="AC27" s="88">
        <v>1.5</v>
      </c>
      <c r="AD27" s="88">
        <v>1</v>
      </c>
      <c r="AE27" s="88">
        <v>0.75</v>
      </c>
      <c r="AF27" s="88"/>
      <c r="AG27" s="88">
        <v>1.5</v>
      </c>
      <c r="AH27" s="88">
        <v>1.5</v>
      </c>
      <c r="AI27" s="88">
        <v>1</v>
      </c>
      <c r="AJ27" s="88">
        <v>1.5</v>
      </c>
      <c r="AK27" s="88">
        <v>1</v>
      </c>
      <c r="AL27" s="88"/>
      <c r="AM27" s="88"/>
      <c r="AN27" s="89">
        <f t="shared" si="4"/>
        <v>27.25</v>
      </c>
      <c r="AO27" s="85">
        <v>230000</v>
      </c>
      <c r="AP27" s="90">
        <f t="shared" si="5"/>
        <v>6267500</v>
      </c>
    </row>
    <row r="28" spans="1:42" ht="24.9" customHeight="1" x14ac:dyDescent="0.4">
      <c r="A28" s="83">
        <v>23</v>
      </c>
      <c r="B28" s="83" t="s">
        <v>471</v>
      </c>
      <c r="C28" s="84" t="s">
        <v>497</v>
      </c>
      <c r="D28" s="36" t="s">
        <v>228</v>
      </c>
      <c r="E28" s="125" t="s">
        <v>524</v>
      </c>
      <c r="F28" s="93" t="s">
        <v>226</v>
      </c>
      <c r="G28" s="86" t="s">
        <v>471</v>
      </c>
      <c r="H28" s="87" t="s">
        <v>550</v>
      </c>
      <c r="I28" s="88"/>
      <c r="J28" s="88"/>
      <c r="K28" s="88"/>
      <c r="L28" s="88">
        <v>1</v>
      </c>
      <c r="M28" s="88">
        <v>1.5</v>
      </c>
      <c r="N28" s="88">
        <v>1</v>
      </c>
      <c r="O28" s="88">
        <v>1.5</v>
      </c>
      <c r="P28" s="88">
        <v>1</v>
      </c>
      <c r="Q28" s="88"/>
      <c r="R28" s="88"/>
      <c r="S28" s="88">
        <v>1</v>
      </c>
      <c r="T28" s="88">
        <v>1.5</v>
      </c>
      <c r="U28" s="88">
        <v>1</v>
      </c>
      <c r="V28" s="88">
        <v>0.5</v>
      </c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9">
        <f t="shared" si="4"/>
        <v>10</v>
      </c>
      <c r="AO28" s="85">
        <v>230000</v>
      </c>
      <c r="AP28" s="90">
        <f t="shared" si="5"/>
        <v>2300000</v>
      </c>
    </row>
    <row r="29" spans="1:42" ht="24.9" customHeight="1" x14ac:dyDescent="0.4">
      <c r="A29" s="83">
        <v>24</v>
      </c>
      <c r="B29" s="83" t="s">
        <v>472</v>
      </c>
      <c r="C29" s="84" t="s">
        <v>498</v>
      </c>
      <c r="D29" s="36" t="s">
        <v>225</v>
      </c>
      <c r="E29" s="36" t="s">
        <v>525</v>
      </c>
      <c r="F29" s="95" t="s">
        <v>229</v>
      </c>
      <c r="G29" s="86" t="s">
        <v>472</v>
      </c>
      <c r="H29" s="87" t="s">
        <v>551</v>
      </c>
      <c r="I29" s="88"/>
      <c r="J29" s="88"/>
      <c r="K29" s="88"/>
      <c r="L29" s="88">
        <v>1</v>
      </c>
      <c r="M29" s="88">
        <v>1.5</v>
      </c>
      <c r="N29" s="88">
        <v>1</v>
      </c>
      <c r="O29" s="88">
        <v>1.5</v>
      </c>
      <c r="P29" s="88">
        <v>1</v>
      </c>
      <c r="Q29" s="88">
        <v>0.375</v>
      </c>
      <c r="R29" s="88"/>
      <c r="S29" s="88">
        <v>1</v>
      </c>
      <c r="T29" s="88">
        <v>1.5</v>
      </c>
      <c r="U29" s="88">
        <v>1</v>
      </c>
      <c r="V29" s="88">
        <v>1.5</v>
      </c>
      <c r="W29" s="88"/>
      <c r="X29" s="88"/>
      <c r="Y29" s="88"/>
      <c r="Z29" s="88">
        <v>1</v>
      </c>
      <c r="AA29" s="88">
        <v>1.5</v>
      </c>
      <c r="AB29" s="88">
        <v>1</v>
      </c>
      <c r="AC29" s="88">
        <v>1.5</v>
      </c>
      <c r="AD29" s="88">
        <v>1</v>
      </c>
      <c r="AE29" s="88">
        <v>0.5</v>
      </c>
      <c r="AF29" s="88"/>
      <c r="AG29" s="88">
        <v>1.5</v>
      </c>
      <c r="AH29" s="88">
        <v>1.5</v>
      </c>
      <c r="AI29" s="88">
        <v>1</v>
      </c>
      <c r="AJ29" s="88">
        <v>1.5</v>
      </c>
      <c r="AK29" s="88">
        <v>1</v>
      </c>
      <c r="AL29" s="88"/>
      <c r="AM29" s="88"/>
      <c r="AN29" s="89">
        <f t="shared" si="4"/>
        <v>24.375</v>
      </c>
      <c r="AO29" s="85">
        <v>160000</v>
      </c>
      <c r="AP29" s="90">
        <f t="shared" si="5"/>
        <v>3900000</v>
      </c>
    </row>
    <row r="30" spans="1:42" ht="24.9" customHeight="1" x14ac:dyDescent="0.4">
      <c r="A30" s="83">
        <v>25</v>
      </c>
      <c r="B30" s="83" t="s">
        <v>307</v>
      </c>
      <c r="C30" s="84" t="s">
        <v>308</v>
      </c>
      <c r="D30" s="36" t="s">
        <v>310</v>
      </c>
      <c r="E30" s="36" t="s">
        <v>312</v>
      </c>
      <c r="F30" s="93" t="s">
        <v>304</v>
      </c>
      <c r="G30" s="86" t="s">
        <v>307</v>
      </c>
      <c r="H30" s="87" t="s">
        <v>311</v>
      </c>
      <c r="I30" s="88"/>
      <c r="J30" s="88">
        <v>1</v>
      </c>
      <c r="K30" s="88"/>
      <c r="L30" s="88">
        <v>1</v>
      </c>
      <c r="M30" s="88">
        <v>1.5</v>
      </c>
      <c r="N30" s="88">
        <v>1</v>
      </c>
      <c r="O30" s="88">
        <v>1.5</v>
      </c>
      <c r="P30" s="88">
        <v>1</v>
      </c>
      <c r="Q30" s="88"/>
      <c r="R30" s="88"/>
      <c r="S30" s="88">
        <v>1</v>
      </c>
      <c r="T30" s="88">
        <v>1.5</v>
      </c>
      <c r="U30" s="88">
        <v>1</v>
      </c>
      <c r="V30" s="88">
        <v>1.5</v>
      </c>
      <c r="W30" s="88">
        <v>1</v>
      </c>
      <c r="X30" s="88">
        <v>1</v>
      </c>
      <c r="Y30" s="88"/>
      <c r="Z30" s="88">
        <v>1</v>
      </c>
      <c r="AA30" s="88">
        <v>1.5</v>
      </c>
      <c r="AB30" s="88">
        <v>1</v>
      </c>
      <c r="AC30" s="88">
        <v>1.5</v>
      </c>
      <c r="AD30" s="88">
        <v>1</v>
      </c>
      <c r="AE30" s="88">
        <v>0.8125</v>
      </c>
      <c r="AF30" s="88"/>
      <c r="AG30" s="88">
        <v>1.5</v>
      </c>
      <c r="AH30" s="88">
        <v>1.5</v>
      </c>
      <c r="AI30" s="88">
        <v>1</v>
      </c>
      <c r="AJ30" s="88">
        <v>1.5</v>
      </c>
      <c r="AK30" s="88">
        <v>1</v>
      </c>
      <c r="AL30" s="88">
        <v>0.375</v>
      </c>
      <c r="AM30" s="88"/>
      <c r="AN30" s="89">
        <f t="shared" si="4"/>
        <v>27.6875</v>
      </c>
      <c r="AO30" s="85">
        <v>190000</v>
      </c>
      <c r="AP30" s="90">
        <f t="shared" si="5"/>
        <v>5260625</v>
      </c>
    </row>
    <row r="31" spans="1:42" ht="24.9" customHeight="1" x14ac:dyDescent="0.4">
      <c r="A31" s="83">
        <v>26</v>
      </c>
      <c r="B31" s="83" t="s">
        <v>379</v>
      </c>
      <c r="C31" s="84" t="s">
        <v>380</v>
      </c>
      <c r="D31" s="36" t="s">
        <v>514</v>
      </c>
      <c r="E31" s="125" t="s">
        <v>381</v>
      </c>
      <c r="F31" s="95" t="s">
        <v>377</v>
      </c>
      <c r="G31" s="86" t="s">
        <v>379</v>
      </c>
      <c r="H31" s="87" t="s">
        <v>382</v>
      </c>
      <c r="I31" s="88"/>
      <c r="J31" s="88">
        <v>1</v>
      </c>
      <c r="K31" s="88"/>
      <c r="L31" s="88">
        <v>1</v>
      </c>
      <c r="M31" s="88">
        <v>1.5</v>
      </c>
      <c r="N31" s="88">
        <v>1</v>
      </c>
      <c r="O31" s="88">
        <v>1.375</v>
      </c>
      <c r="P31" s="88">
        <v>1</v>
      </c>
      <c r="Q31" s="88"/>
      <c r="R31" s="88"/>
      <c r="S31" s="88">
        <v>1</v>
      </c>
      <c r="T31" s="88">
        <v>1.5</v>
      </c>
      <c r="U31" s="88">
        <v>1</v>
      </c>
      <c r="V31" s="88">
        <v>1.5</v>
      </c>
      <c r="W31" s="88">
        <v>1</v>
      </c>
      <c r="X31" s="88">
        <v>1</v>
      </c>
      <c r="Y31" s="88"/>
      <c r="Z31" s="88">
        <v>1</v>
      </c>
      <c r="AA31" s="88">
        <v>1.5</v>
      </c>
      <c r="AB31" s="88">
        <v>1</v>
      </c>
      <c r="AC31" s="88">
        <v>1.5</v>
      </c>
      <c r="AD31" s="88">
        <v>1</v>
      </c>
      <c r="AE31" s="88">
        <v>0.75</v>
      </c>
      <c r="AF31" s="88"/>
      <c r="AG31" s="88">
        <v>1.5</v>
      </c>
      <c r="AH31" s="88">
        <v>1.5</v>
      </c>
      <c r="AI31" s="88">
        <v>1</v>
      </c>
      <c r="AJ31" s="88">
        <v>1.5</v>
      </c>
      <c r="AK31" s="88">
        <v>1</v>
      </c>
      <c r="AL31" s="88"/>
      <c r="AM31" s="88"/>
      <c r="AN31" s="89">
        <f t="shared" si="4"/>
        <v>27.125</v>
      </c>
      <c r="AO31" s="85">
        <v>230000</v>
      </c>
      <c r="AP31" s="90">
        <f t="shared" si="5"/>
        <v>6238750</v>
      </c>
    </row>
    <row r="32" spans="1:42" ht="24.9" customHeight="1" x14ac:dyDescent="0.4">
      <c r="A32" s="83">
        <v>27</v>
      </c>
      <c r="B32" s="83" t="s">
        <v>473</v>
      </c>
      <c r="C32" s="84" t="s">
        <v>499</v>
      </c>
      <c r="D32" s="36" t="s">
        <v>227</v>
      </c>
      <c r="E32" s="125" t="s">
        <v>526</v>
      </c>
      <c r="F32" s="93" t="s">
        <v>297</v>
      </c>
      <c r="G32" s="86" t="s">
        <v>473</v>
      </c>
      <c r="H32" s="87" t="s">
        <v>526</v>
      </c>
      <c r="I32" s="88"/>
      <c r="J32" s="88">
        <v>1</v>
      </c>
      <c r="K32" s="88"/>
      <c r="L32" s="88">
        <v>1</v>
      </c>
      <c r="M32" s="88">
        <v>1.5</v>
      </c>
      <c r="N32" s="88">
        <v>1</v>
      </c>
      <c r="O32" s="88">
        <v>1.5</v>
      </c>
      <c r="P32" s="88">
        <v>1</v>
      </c>
      <c r="Q32" s="88">
        <v>1</v>
      </c>
      <c r="R32" s="88"/>
      <c r="S32" s="88">
        <v>1</v>
      </c>
      <c r="T32" s="88">
        <v>1.5</v>
      </c>
      <c r="U32" s="88">
        <v>1</v>
      </c>
      <c r="V32" s="88">
        <v>1.5</v>
      </c>
      <c r="W32" s="88">
        <v>1</v>
      </c>
      <c r="X32" s="88">
        <v>1</v>
      </c>
      <c r="Y32" s="88"/>
      <c r="Z32" s="88">
        <v>1</v>
      </c>
      <c r="AA32" s="88">
        <v>1.5</v>
      </c>
      <c r="AB32" s="88">
        <v>1</v>
      </c>
      <c r="AC32" s="88">
        <v>1.5</v>
      </c>
      <c r="AD32" s="88">
        <v>1</v>
      </c>
      <c r="AE32" s="88">
        <v>0.75</v>
      </c>
      <c r="AF32" s="88"/>
      <c r="AG32" s="88">
        <v>1.5</v>
      </c>
      <c r="AH32" s="88">
        <v>1.5</v>
      </c>
      <c r="AI32" s="88">
        <v>1</v>
      </c>
      <c r="AJ32" s="88">
        <v>1.5</v>
      </c>
      <c r="AK32" s="88">
        <v>1</v>
      </c>
      <c r="AL32" s="88"/>
      <c r="AM32" s="88"/>
      <c r="AN32" s="89">
        <f t="shared" si="4"/>
        <v>28.25</v>
      </c>
      <c r="AO32" s="85">
        <v>240000</v>
      </c>
      <c r="AP32" s="90">
        <f t="shared" si="5"/>
        <v>6780000</v>
      </c>
    </row>
    <row r="33" spans="1:42" ht="24.9" customHeight="1" x14ac:dyDescent="0.4">
      <c r="A33" s="83">
        <v>28</v>
      </c>
      <c r="B33" s="83" t="s">
        <v>383</v>
      </c>
      <c r="C33" s="84" t="s">
        <v>384</v>
      </c>
      <c r="D33" s="36" t="s">
        <v>309</v>
      </c>
      <c r="E33" s="36" t="s">
        <v>385</v>
      </c>
      <c r="F33" s="93" t="s">
        <v>297</v>
      </c>
      <c r="G33" s="86" t="s">
        <v>383</v>
      </c>
      <c r="H33" s="87" t="s">
        <v>386</v>
      </c>
      <c r="I33" s="88"/>
      <c r="J33" s="88">
        <v>1</v>
      </c>
      <c r="K33" s="88"/>
      <c r="L33" s="88">
        <v>1</v>
      </c>
      <c r="M33" s="88">
        <v>1.5</v>
      </c>
      <c r="N33" s="88">
        <v>0.625</v>
      </c>
      <c r="O33" s="88">
        <v>0.75</v>
      </c>
      <c r="P33" s="88">
        <v>1</v>
      </c>
      <c r="Q33" s="88">
        <v>1</v>
      </c>
      <c r="R33" s="88"/>
      <c r="S33" s="88">
        <v>1</v>
      </c>
      <c r="T33" s="88">
        <v>1.5</v>
      </c>
      <c r="U33" s="88">
        <v>1</v>
      </c>
      <c r="V33" s="88">
        <v>1.5</v>
      </c>
      <c r="W33" s="88">
        <v>1</v>
      </c>
      <c r="X33" s="88"/>
      <c r="Y33" s="88"/>
      <c r="Z33" s="88">
        <v>1</v>
      </c>
      <c r="AA33" s="88">
        <v>1.5</v>
      </c>
      <c r="AB33" s="88">
        <v>1</v>
      </c>
      <c r="AC33" s="88">
        <v>1.5</v>
      </c>
      <c r="AD33" s="88">
        <v>1</v>
      </c>
      <c r="AE33" s="88">
        <v>0.8125</v>
      </c>
      <c r="AF33" s="88"/>
      <c r="AG33" s="88">
        <v>1.5</v>
      </c>
      <c r="AH33" s="88">
        <v>1.5</v>
      </c>
      <c r="AI33" s="88">
        <v>1</v>
      </c>
      <c r="AJ33" s="88">
        <v>1.5</v>
      </c>
      <c r="AK33" s="88">
        <v>1</v>
      </c>
      <c r="AL33" s="88">
        <v>0.375</v>
      </c>
      <c r="AM33" s="88"/>
      <c r="AN33" s="89">
        <f t="shared" si="4"/>
        <v>26.5625</v>
      </c>
      <c r="AO33" s="85">
        <v>220000</v>
      </c>
      <c r="AP33" s="90">
        <f t="shared" si="5"/>
        <v>5843750</v>
      </c>
    </row>
    <row r="34" spans="1:42" ht="24.9" customHeight="1" x14ac:dyDescent="0.4">
      <c r="A34" s="83">
        <v>29</v>
      </c>
      <c r="B34" s="83" t="s">
        <v>602</v>
      </c>
      <c r="C34" s="84" t="s">
        <v>641</v>
      </c>
      <c r="D34" s="36" t="s">
        <v>228</v>
      </c>
      <c r="E34" s="36" t="s">
        <v>680</v>
      </c>
      <c r="F34" s="93" t="s">
        <v>230</v>
      </c>
      <c r="G34" s="86" t="s">
        <v>602</v>
      </c>
      <c r="H34" s="87" t="s">
        <v>719</v>
      </c>
      <c r="I34" s="88"/>
      <c r="J34" s="88"/>
      <c r="K34" s="88"/>
      <c r="L34" s="88">
        <v>0.6875</v>
      </c>
      <c r="M34" s="88">
        <v>1.125</v>
      </c>
      <c r="N34" s="88">
        <v>0.5</v>
      </c>
      <c r="O34" s="88">
        <v>0.625</v>
      </c>
      <c r="P34" s="88">
        <v>1</v>
      </c>
      <c r="Q34" s="88"/>
      <c r="R34" s="88"/>
      <c r="S34" s="88">
        <v>1</v>
      </c>
      <c r="T34" s="88">
        <v>1.5</v>
      </c>
      <c r="U34" s="88">
        <v>1</v>
      </c>
      <c r="V34" s="88">
        <v>1.5</v>
      </c>
      <c r="W34" s="88">
        <v>1</v>
      </c>
      <c r="X34" s="88">
        <v>1</v>
      </c>
      <c r="Y34" s="88"/>
      <c r="Z34" s="88">
        <v>1</v>
      </c>
      <c r="AA34" s="88">
        <v>1.5</v>
      </c>
      <c r="AB34" s="88">
        <v>1</v>
      </c>
      <c r="AC34" s="88">
        <v>1.5</v>
      </c>
      <c r="AD34" s="88">
        <v>1</v>
      </c>
      <c r="AE34" s="88">
        <v>0.75</v>
      </c>
      <c r="AF34" s="88"/>
      <c r="AG34" s="88">
        <v>1.5</v>
      </c>
      <c r="AH34" s="88">
        <v>1.5</v>
      </c>
      <c r="AI34" s="88">
        <v>1</v>
      </c>
      <c r="AJ34" s="88">
        <v>1.5</v>
      </c>
      <c r="AK34" s="88">
        <v>1</v>
      </c>
      <c r="AL34" s="88"/>
      <c r="AM34" s="88"/>
      <c r="AN34" s="89">
        <f t="shared" si="4"/>
        <v>24.1875</v>
      </c>
      <c r="AO34" s="85">
        <v>190000</v>
      </c>
      <c r="AP34" s="90">
        <f t="shared" si="5"/>
        <v>4595625</v>
      </c>
    </row>
    <row r="35" spans="1:42" ht="24.9" customHeight="1" x14ac:dyDescent="0.4">
      <c r="A35" s="83">
        <v>30</v>
      </c>
      <c r="B35" s="83" t="s">
        <v>474</v>
      </c>
      <c r="C35" s="84" t="s">
        <v>500</v>
      </c>
      <c r="D35" s="36" t="s">
        <v>227</v>
      </c>
      <c r="E35" s="36" t="s">
        <v>527</v>
      </c>
      <c r="F35" s="93" t="s">
        <v>297</v>
      </c>
      <c r="G35" s="86" t="s">
        <v>474</v>
      </c>
      <c r="H35" s="87" t="s">
        <v>552</v>
      </c>
      <c r="I35" s="88"/>
      <c r="J35" s="88">
        <v>1</v>
      </c>
      <c r="K35" s="88"/>
      <c r="L35" s="88">
        <v>0.875</v>
      </c>
      <c r="M35" s="88">
        <v>1.5</v>
      </c>
      <c r="N35" s="88">
        <v>1</v>
      </c>
      <c r="O35" s="88">
        <v>1.5</v>
      </c>
      <c r="P35" s="88">
        <v>1</v>
      </c>
      <c r="Q35" s="88">
        <v>1</v>
      </c>
      <c r="R35" s="88"/>
      <c r="S35" s="88">
        <v>1</v>
      </c>
      <c r="T35" s="88">
        <v>1.5</v>
      </c>
      <c r="U35" s="88">
        <v>1</v>
      </c>
      <c r="V35" s="88">
        <v>1.5</v>
      </c>
      <c r="W35" s="88">
        <v>1</v>
      </c>
      <c r="X35" s="88">
        <v>1</v>
      </c>
      <c r="Y35" s="88"/>
      <c r="Z35" s="88">
        <v>1</v>
      </c>
      <c r="AA35" s="88">
        <v>1.5</v>
      </c>
      <c r="AB35" s="88">
        <v>1</v>
      </c>
      <c r="AC35" s="88">
        <v>1.5</v>
      </c>
      <c r="AD35" s="88">
        <v>1</v>
      </c>
      <c r="AE35" s="88">
        <v>0.75</v>
      </c>
      <c r="AF35" s="88"/>
      <c r="AG35" s="88">
        <v>1.5</v>
      </c>
      <c r="AH35" s="88">
        <v>1.5</v>
      </c>
      <c r="AI35" s="88">
        <v>1</v>
      </c>
      <c r="AJ35" s="88">
        <v>1.5</v>
      </c>
      <c r="AK35" s="88">
        <v>1</v>
      </c>
      <c r="AL35" s="88"/>
      <c r="AM35" s="88"/>
      <c r="AN35" s="89">
        <f t="shared" si="4"/>
        <v>28.125</v>
      </c>
      <c r="AO35" s="85">
        <v>240000</v>
      </c>
      <c r="AP35" s="90">
        <f t="shared" si="5"/>
        <v>6750000</v>
      </c>
    </row>
    <row r="36" spans="1:42" ht="24.9" customHeight="1" x14ac:dyDescent="0.4">
      <c r="A36" s="83">
        <v>31</v>
      </c>
      <c r="B36" s="83" t="s">
        <v>475</v>
      </c>
      <c r="C36" s="84" t="s">
        <v>501</v>
      </c>
      <c r="D36" s="36" t="s">
        <v>227</v>
      </c>
      <c r="E36" s="36" t="s">
        <v>528</v>
      </c>
      <c r="F36" s="93" t="s">
        <v>304</v>
      </c>
      <c r="G36" s="86" t="s">
        <v>475</v>
      </c>
      <c r="H36" s="87" t="s">
        <v>553</v>
      </c>
      <c r="I36" s="88"/>
      <c r="J36" s="88">
        <v>1</v>
      </c>
      <c r="K36" s="88"/>
      <c r="L36" s="88">
        <v>1</v>
      </c>
      <c r="M36" s="88">
        <v>1.5</v>
      </c>
      <c r="N36" s="88">
        <v>1</v>
      </c>
      <c r="O36" s="88">
        <v>1.5</v>
      </c>
      <c r="P36" s="88">
        <v>1</v>
      </c>
      <c r="Q36" s="88">
        <v>1</v>
      </c>
      <c r="R36" s="88"/>
      <c r="S36" s="88">
        <v>1</v>
      </c>
      <c r="T36" s="88">
        <v>1.5</v>
      </c>
      <c r="U36" s="88">
        <v>1</v>
      </c>
      <c r="V36" s="88">
        <v>1.5</v>
      </c>
      <c r="W36" s="88">
        <v>1</v>
      </c>
      <c r="X36" s="88"/>
      <c r="Y36" s="88"/>
      <c r="Z36" s="88">
        <v>1</v>
      </c>
      <c r="AA36" s="88">
        <v>1.5</v>
      </c>
      <c r="AB36" s="88">
        <v>1</v>
      </c>
      <c r="AC36" s="88">
        <v>1.5</v>
      </c>
      <c r="AD36" s="88">
        <v>1</v>
      </c>
      <c r="AE36" s="88"/>
      <c r="AF36" s="88"/>
      <c r="AG36" s="88">
        <v>1.5</v>
      </c>
      <c r="AH36" s="88"/>
      <c r="AI36" s="88"/>
      <c r="AJ36" s="88">
        <v>1</v>
      </c>
      <c r="AK36" s="88"/>
      <c r="AL36" s="88"/>
      <c r="AM36" s="88"/>
      <c r="AN36" s="89">
        <f t="shared" si="4"/>
        <v>22.5</v>
      </c>
      <c r="AO36" s="85">
        <v>240000</v>
      </c>
      <c r="AP36" s="90">
        <f t="shared" si="5"/>
        <v>5400000</v>
      </c>
    </row>
    <row r="37" spans="1:42" ht="24.9" customHeight="1" x14ac:dyDescent="0.4">
      <c r="A37" s="83">
        <v>32</v>
      </c>
      <c r="B37" s="83" t="s">
        <v>387</v>
      </c>
      <c r="C37" s="84" t="s">
        <v>388</v>
      </c>
      <c r="D37" s="36" t="s">
        <v>309</v>
      </c>
      <c r="E37" s="36" t="s">
        <v>389</v>
      </c>
      <c r="F37" s="95" t="s">
        <v>229</v>
      </c>
      <c r="G37" s="86" t="s">
        <v>387</v>
      </c>
      <c r="H37" s="87" t="s">
        <v>390</v>
      </c>
      <c r="I37" s="88"/>
      <c r="J37" s="88">
        <v>1</v>
      </c>
      <c r="K37" s="88"/>
      <c r="L37" s="88">
        <v>1</v>
      </c>
      <c r="M37" s="88">
        <v>1.5</v>
      </c>
      <c r="N37" s="88">
        <v>1</v>
      </c>
      <c r="O37" s="88">
        <v>1.5</v>
      </c>
      <c r="P37" s="88">
        <v>1</v>
      </c>
      <c r="Q37" s="88">
        <v>1</v>
      </c>
      <c r="R37" s="88"/>
      <c r="S37" s="88">
        <v>1</v>
      </c>
      <c r="T37" s="88">
        <v>1.5</v>
      </c>
      <c r="U37" s="88">
        <v>0.5</v>
      </c>
      <c r="V37" s="88">
        <v>1.5</v>
      </c>
      <c r="W37" s="88">
        <v>1</v>
      </c>
      <c r="X37" s="88">
        <v>1</v>
      </c>
      <c r="Y37" s="88"/>
      <c r="Z37" s="88">
        <v>1</v>
      </c>
      <c r="AA37" s="88">
        <v>1.5</v>
      </c>
      <c r="AB37" s="88">
        <v>1</v>
      </c>
      <c r="AC37" s="88">
        <v>1.5</v>
      </c>
      <c r="AD37" s="88">
        <v>1</v>
      </c>
      <c r="AE37" s="88">
        <v>0.8125</v>
      </c>
      <c r="AF37" s="88"/>
      <c r="AG37" s="88">
        <v>1.5</v>
      </c>
      <c r="AH37" s="88">
        <v>1.5</v>
      </c>
      <c r="AI37" s="88">
        <v>1</v>
      </c>
      <c r="AJ37" s="88">
        <v>1</v>
      </c>
      <c r="AK37" s="88">
        <v>1</v>
      </c>
      <c r="AL37" s="88">
        <v>0.375</v>
      </c>
      <c r="AM37" s="88"/>
      <c r="AN37" s="89">
        <f t="shared" si="4"/>
        <v>27.6875</v>
      </c>
      <c r="AO37" s="85">
        <v>250000</v>
      </c>
      <c r="AP37" s="90">
        <f t="shared" si="5"/>
        <v>6921875</v>
      </c>
    </row>
    <row r="38" spans="1:42" ht="24.9" customHeight="1" x14ac:dyDescent="0.4">
      <c r="A38" s="83">
        <v>33</v>
      </c>
      <c r="B38" s="83" t="s">
        <v>391</v>
      </c>
      <c r="C38" s="84" t="s">
        <v>392</v>
      </c>
      <c r="D38" s="127" t="s">
        <v>225</v>
      </c>
      <c r="E38" s="36" t="s">
        <v>393</v>
      </c>
      <c r="F38" s="93" t="s">
        <v>226</v>
      </c>
      <c r="G38" s="86" t="s">
        <v>391</v>
      </c>
      <c r="H38" s="87" t="s">
        <v>394</v>
      </c>
      <c r="I38" s="88"/>
      <c r="J38" s="88">
        <v>1</v>
      </c>
      <c r="K38" s="88"/>
      <c r="L38" s="88">
        <v>1</v>
      </c>
      <c r="M38" s="88">
        <v>1.5</v>
      </c>
      <c r="N38" s="88">
        <v>1</v>
      </c>
      <c r="O38" s="88">
        <v>1.5</v>
      </c>
      <c r="P38" s="88">
        <v>1</v>
      </c>
      <c r="Q38" s="88">
        <v>1</v>
      </c>
      <c r="R38" s="88"/>
      <c r="S38" s="88">
        <v>1</v>
      </c>
      <c r="T38" s="88">
        <v>1.5</v>
      </c>
      <c r="U38" s="88">
        <v>1</v>
      </c>
      <c r="V38" s="88">
        <v>1.5</v>
      </c>
      <c r="W38" s="88">
        <v>1</v>
      </c>
      <c r="X38" s="88">
        <v>1</v>
      </c>
      <c r="Y38" s="88"/>
      <c r="Z38" s="88">
        <v>1</v>
      </c>
      <c r="AA38" s="88">
        <v>1.5</v>
      </c>
      <c r="AB38" s="88">
        <v>1</v>
      </c>
      <c r="AC38" s="88">
        <v>1.5</v>
      </c>
      <c r="AD38" s="88">
        <v>1</v>
      </c>
      <c r="AE38" s="88">
        <v>0.75</v>
      </c>
      <c r="AF38" s="88"/>
      <c r="AG38" s="88">
        <v>1.5</v>
      </c>
      <c r="AH38" s="88">
        <v>1.5</v>
      </c>
      <c r="AI38" s="88">
        <v>1</v>
      </c>
      <c r="AJ38" s="88">
        <v>1.5</v>
      </c>
      <c r="AK38" s="88">
        <v>1</v>
      </c>
      <c r="AL38" s="88"/>
      <c r="AM38" s="88"/>
      <c r="AN38" s="89">
        <f t="shared" ref="AN38:AN66" si="6">SUM(I38:AM38)</f>
        <v>28.25</v>
      </c>
      <c r="AO38" s="85">
        <v>170000</v>
      </c>
      <c r="AP38" s="90">
        <f t="shared" ref="AP38:AP66" si="7">AN38*AO38</f>
        <v>4802500</v>
      </c>
    </row>
    <row r="39" spans="1:42" ht="24.9" customHeight="1" x14ac:dyDescent="0.4">
      <c r="A39" s="83">
        <v>34</v>
      </c>
      <c r="B39" s="83" t="s">
        <v>395</v>
      </c>
      <c r="C39" s="84" t="s">
        <v>396</v>
      </c>
      <c r="D39" s="127" t="s">
        <v>225</v>
      </c>
      <c r="E39" s="125" t="s">
        <v>397</v>
      </c>
      <c r="F39" s="93" t="s">
        <v>297</v>
      </c>
      <c r="G39" s="86" t="s">
        <v>395</v>
      </c>
      <c r="H39" s="87" t="s">
        <v>398</v>
      </c>
      <c r="I39" s="88"/>
      <c r="J39" s="88">
        <v>0.5</v>
      </c>
      <c r="K39" s="88"/>
      <c r="L39" s="88">
        <v>1</v>
      </c>
      <c r="M39" s="88">
        <v>1.5</v>
      </c>
      <c r="N39" s="88"/>
      <c r="O39" s="88">
        <v>1.5</v>
      </c>
      <c r="P39" s="88">
        <v>1</v>
      </c>
      <c r="Q39" s="88">
        <v>1</v>
      </c>
      <c r="R39" s="88"/>
      <c r="S39" s="88">
        <v>1</v>
      </c>
      <c r="T39" s="88">
        <v>1.5</v>
      </c>
      <c r="U39" s="88">
        <v>1</v>
      </c>
      <c r="V39" s="88">
        <v>1.5</v>
      </c>
      <c r="W39" s="88">
        <v>1</v>
      </c>
      <c r="X39" s="88">
        <v>0.5</v>
      </c>
      <c r="Y39" s="88"/>
      <c r="Z39" s="88">
        <v>1</v>
      </c>
      <c r="AA39" s="88">
        <v>1.5</v>
      </c>
      <c r="AB39" s="88">
        <v>1</v>
      </c>
      <c r="AC39" s="88">
        <v>1.5</v>
      </c>
      <c r="AD39" s="88">
        <v>1</v>
      </c>
      <c r="AE39" s="88">
        <v>0.75</v>
      </c>
      <c r="AF39" s="88"/>
      <c r="AG39" s="88">
        <v>1.5</v>
      </c>
      <c r="AH39" s="88">
        <v>1.5</v>
      </c>
      <c r="AI39" s="88">
        <v>1</v>
      </c>
      <c r="AJ39" s="88">
        <v>1.5</v>
      </c>
      <c r="AK39" s="88">
        <v>1</v>
      </c>
      <c r="AL39" s="88"/>
      <c r="AM39" s="88"/>
      <c r="AN39" s="89">
        <f t="shared" si="6"/>
        <v>26.25</v>
      </c>
      <c r="AO39" s="85">
        <v>160000</v>
      </c>
      <c r="AP39" s="90">
        <f t="shared" si="7"/>
        <v>4200000</v>
      </c>
    </row>
    <row r="40" spans="1:42" ht="24.9" customHeight="1" x14ac:dyDescent="0.4">
      <c r="A40" s="83">
        <v>35</v>
      </c>
      <c r="B40" s="83" t="s">
        <v>603</v>
      </c>
      <c r="C40" s="84" t="s">
        <v>642</v>
      </c>
      <c r="D40" s="36" t="s">
        <v>225</v>
      </c>
      <c r="E40" s="125" t="s">
        <v>681</v>
      </c>
      <c r="F40" s="93" t="s">
        <v>377</v>
      </c>
      <c r="G40" s="86" t="s">
        <v>603</v>
      </c>
      <c r="H40" s="87" t="s">
        <v>720</v>
      </c>
      <c r="I40" s="88"/>
      <c r="J40" s="88"/>
      <c r="K40" s="88"/>
      <c r="L40" s="88">
        <v>0.6875</v>
      </c>
      <c r="M40" s="88">
        <v>1.125</v>
      </c>
      <c r="N40" s="88"/>
      <c r="O40" s="88">
        <v>0.75</v>
      </c>
      <c r="P40" s="88">
        <v>1</v>
      </c>
      <c r="Q40" s="88"/>
      <c r="R40" s="88"/>
      <c r="S40" s="88">
        <v>1</v>
      </c>
      <c r="T40" s="88">
        <v>1.5</v>
      </c>
      <c r="U40" s="88"/>
      <c r="V40" s="88"/>
      <c r="W40" s="88">
        <v>1</v>
      </c>
      <c r="X40" s="88"/>
      <c r="Y40" s="88"/>
      <c r="Z40" s="88">
        <v>1</v>
      </c>
      <c r="AA40" s="88">
        <v>1.5</v>
      </c>
      <c r="AB40" s="88">
        <v>1</v>
      </c>
      <c r="AC40" s="88"/>
      <c r="AD40" s="88">
        <v>1</v>
      </c>
      <c r="AE40" s="88">
        <v>0.75</v>
      </c>
      <c r="AF40" s="88"/>
      <c r="AG40" s="88">
        <v>1.5</v>
      </c>
      <c r="AH40" s="88">
        <v>1.5</v>
      </c>
      <c r="AI40" s="88">
        <v>1</v>
      </c>
      <c r="AJ40" s="88">
        <v>1.5</v>
      </c>
      <c r="AK40" s="88">
        <v>1</v>
      </c>
      <c r="AL40" s="88"/>
      <c r="AM40" s="88"/>
      <c r="AN40" s="89">
        <f t="shared" si="6"/>
        <v>18.8125</v>
      </c>
      <c r="AO40" s="85">
        <v>150000</v>
      </c>
      <c r="AP40" s="90">
        <f t="shared" si="7"/>
        <v>2821875</v>
      </c>
    </row>
    <row r="41" spans="1:42" ht="24.9" customHeight="1" x14ac:dyDescent="0.4">
      <c r="A41" s="83">
        <v>36</v>
      </c>
      <c r="B41" s="83" t="s">
        <v>399</v>
      </c>
      <c r="C41" s="84" t="s">
        <v>400</v>
      </c>
      <c r="D41" s="36" t="s">
        <v>225</v>
      </c>
      <c r="E41" s="125" t="s">
        <v>401</v>
      </c>
      <c r="F41" s="93" t="s">
        <v>377</v>
      </c>
      <c r="G41" s="86" t="s">
        <v>399</v>
      </c>
      <c r="H41" s="87" t="s">
        <v>402</v>
      </c>
      <c r="I41" s="88"/>
      <c r="J41" s="88"/>
      <c r="K41" s="88"/>
      <c r="L41" s="88">
        <v>1</v>
      </c>
      <c r="M41" s="88">
        <v>1.5</v>
      </c>
      <c r="N41" s="88">
        <v>1</v>
      </c>
      <c r="O41" s="88">
        <v>1.5</v>
      </c>
      <c r="P41" s="88">
        <v>1</v>
      </c>
      <c r="Q41" s="88">
        <v>0.5</v>
      </c>
      <c r="R41" s="88"/>
      <c r="S41" s="88">
        <v>1</v>
      </c>
      <c r="T41" s="88">
        <v>1.5</v>
      </c>
      <c r="U41" s="88">
        <v>1</v>
      </c>
      <c r="V41" s="88">
        <v>1.5</v>
      </c>
      <c r="W41" s="88">
        <v>1</v>
      </c>
      <c r="X41" s="88"/>
      <c r="Y41" s="88"/>
      <c r="Z41" s="88">
        <v>1</v>
      </c>
      <c r="AA41" s="88">
        <v>1.5</v>
      </c>
      <c r="AB41" s="88">
        <v>1</v>
      </c>
      <c r="AC41" s="88">
        <v>1.5</v>
      </c>
      <c r="AD41" s="88">
        <v>1</v>
      </c>
      <c r="AE41" s="88"/>
      <c r="AF41" s="88"/>
      <c r="AG41" s="88">
        <v>1.5</v>
      </c>
      <c r="AH41" s="88">
        <v>1.5</v>
      </c>
      <c r="AI41" s="88">
        <v>1</v>
      </c>
      <c r="AJ41" s="88">
        <v>1.5</v>
      </c>
      <c r="AK41" s="88">
        <v>1</v>
      </c>
      <c r="AL41" s="88"/>
      <c r="AM41" s="88"/>
      <c r="AN41" s="89">
        <f t="shared" si="6"/>
        <v>25</v>
      </c>
      <c r="AO41" s="85">
        <v>150000</v>
      </c>
      <c r="AP41" s="90">
        <f t="shared" si="7"/>
        <v>3750000</v>
      </c>
    </row>
    <row r="42" spans="1:42" ht="24.9" customHeight="1" x14ac:dyDescent="0.4">
      <c r="A42" s="83">
        <v>37</v>
      </c>
      <c r="B42" s="83" t="s">
        <v>476</v>
      </c>
      <c r="C42" s="84" t="s">
        <v>502</v>
      </c>
      <c r="D42" s="36" t="s">
        <v>227</v>
      </c>
      <c r="E42" s="125" t="s">
        <v>529</v>
      </c>
      <c r="F42" s="93" t="s">
        <v>230</v>
      </c>
      <c r="G42" s="86" t="s">
        <v>476</v>
      </c>
      <c r="H42" s="87" t="s">
        <v>554</v>
      </c>
      <c r="I42" s="88"/>
      <c r="J42" s="88"/>
      <c r="K42" s="88"/>
      <c r="L42" s="88">
        <v>0.5</v>
      </c>
      <c r="M42" s="88">
        <v>1.5</v>
      </c>
      <c r="N42" s="88">
        <v>1</v>
      </c>
      <c r="O42" s="88">
        <v>1.5</v>
      </c>
      <c r="P42" s="88">
        <v>1</v>
      </c>
      <c r="Q42" s="88">
        <v>1</v>
      </c>
      <c r="R42" s="88"/>
      <c r="S42" s="88">
        <v>1</v>
      </c>
      <c r="T42" s="88">
        <v>1.5</v>
      </c>
      <c r="U42" s="88">
        <v>1</v>
      </c>
      <c r="V42" s="88">
        <v>1.5</v>
      </c>
      <c r="W42" s="88">
        <v>1</v>
      </c>
      <c r="X42" s="88"/>
      <c r="Y42" s="88"/>
      <c r="Z42" s="88">
        <v>1</v>
      </c>
      <c r="AA42" s="88">
        <v>1.5</v>
      </c>
      <c r="AB42" s="88">
        <v>1</v>
      </c>
      <c r="AC42" s="88">
        <v>1</v>
      </c>
      <c r="AD42" s="88">
        <v>1</v>
      </c>
      <c r="AE42" s="88">
        <v>0.625</v>
      </c>
      <c r="AF42" s="88"/>
      <c r="AG42" s="88">
        <v>1.5</v>
      </c>
      <c r="AH42" s="88">
        <v>1.5</v>
      </c>
      <c r="AI42" s="88">
        <v>1</v>
      </c>
      <c r="AJ42" s="88">
        <v>1.5</v>
      </c>
      <c r="AK42" s="88">
        <v>1</v>
      </c>
      <c r="AL42" s="88"/>
      <c r="AM42" s="88"/>
      <c r="AN42" s="89">
        <f t="shared" si="6"/>
        <v>25.125</v>
      </c>
      <c r="AO42" s="85">
        <v>240000</v>
      </c>
      <c r="AP42" s="90">
        <f t="shared" si="7"/>
        <v>6030000</v>
      </c>
    </row>
    <row r="43" spans="1:42" ht="24.9" customHeight="1" x14ac:dyDescent="0.4">
      <c r="A43" s="83">
        <v>38</v>
      </c>
      <c r="B43" s="83" t="s">
        <v>403</v>
      </c>
      <c r="C43" s="84" t="s">
        <v>404</v>
      </c>
      <c r="D43" s="36" t="s">
        <v>225</v>
      </c>
      <c r="E43" s="125" t="s">
        <v>405</v>
      </c>
      <c r="F43" s="93" t="s">
        <v>305</v>
      </c>
      <c r="G43" s="86" t="s">
        <v>403</v>
      </c>
      <c r="H43" s="87" t="s">
        <v>406</v>
      </c>
      <c r="I43" s="88"/>
      <c r="J43" s="88">
        <v>1</v>
      </c>
      <c r="K43" s="88"/>
      <c r="L43" s="88">
        <v>1</v>
      </c>
      <c r="M43" s="88">
        <v>1.5</v>
      </c>
      <c r="N43" s="88"/>
      <c r="O43" s="88">
        <v>1.5</v>
      </c>
      <c r="P43" s="88">
        <v>1</v>
      </c>
      <c r="Q43" s="88">
        <v>1</v>
      </c>
      <c r="R43" s="88"/>
      <c r="S43" s="88">
        <v>1</v>
      </c>
      <c r="T43" s="88">
        <v>1.5</v>
      </c>
      <c r="U43" s="88">
        <v>1</v>
      </c>
      <c r="V43" s="88">
        <v>1.5</v>
      </c>
      <c r="W43" s="88"/>
      <c r="X43" s="88">
        <v>1</v>
      </c>
      <c r="Y43" s="88"/>
      <c r="Z43" s="88">
        <v>1</v>
      </c>
      <c r="AA43" s="88">
        <v>1.5</v>
      </c>
      <c r="AB43" s="88">
        <v>1</v>
      </c>
      <c r="AC43" s="88">
        <v>1.5</v>
      </c>
      <c r="AD43" s="88">
        <v>1</v>
      </c>
      <c r="AE43" s="88">
        <v>0.75</v>
      </c>
      <c r="AF43" s="88"/>
      <c r="AG43" s="88">
        <v>1.5</v>
      </c>
      <c r="AH43" s="88">
        <v>1.5</v>
      </c>
      <c r="AI43" s="88">
        <v>1</v>
      </c>
      <c r="AJ43" s="88">
        <v>1.5</v>
      </c>
      <c r="AK43" s="88">
        <v>1</v>
      </c>
      <c r="AL43" s="88"/>
      <c r="AM43" s="88"/>
      <c r="AN43" s="89">
        <f t="shared" si="6"/>
        <v>26.25</v>
      </c>
      <c r="AO43" s="85">
        <v>160000</v>
      </c>
      <c r="AP43" s="90">
        <f t="shared" si="7"/>
        <v>4200000</v>
      </c>
    </row>
    <row r="44" spans="1:42" ht="24.9" customHeight="1" x14ac:dyDescent="0.4">
      <c r="A44" s="83">
        <v>39</v>
      </c>
      <c r="B44" s="83" t="s">
        <v>477</v>
      </c>
      <c r="C44" s="84" t="s">
        <v>503</v>
      </c>
      <c r="D44" s="127" t="s">
        <v>309</v>
      </c>
      <c r="E44" s="36" t="s">
        <v>530</v>
      </c>
      <c r="F44" s="95" t="s">
        <v>377</v>
      </c>
      <c r="G44" s="86" t="s">
        <v>477</v>
      </c>
      <c r="H44" s="87" t="s">
        <v>555</v>
      </c>
      <c r="I44" s="88"/>
      <c r="J44" s="88">
        <v>1</v>
      </c>
      <c r="K44" s="88"/>
      <c r="L44" s="88">
        <v>1</v>
      </c>
      <c r="M44" s="88">
        <v>1.5</v>
      </c>
      <c r="N44" s="88">
        <v>1</v>
      </c>
      <c r="O44" s="88">
        <v>1.5</v>
      </c>
      <c r="P44" s="88">
        <v>1</v>
      </c>
      <c r="Q44" s="88">
        <v>1</v>
      </c>
      <c r="R44" s="88"/>
      <c r="S44" s="88"/>
      <c r="T44" s="88">
        <v>1.5</v>
      </c>
      <c r="U44" s="88">
        <v>1</v>
      </c>
      <c r="V44" s="88">
        <v>1.5</v>
      </c>
      <c r="W44" s="88">
        <v>1</v>
      </c>
      <c r="X44" s="88">
        <v>1</v>
      </c>
      <c r="Y44" s="88"/>
      <c r="Z44" s="88">
        <v>1</v>
      </c>
      <c r="AA44" s="88">
        <v>1.5</v>
      </c>
      <c r="AB44" s="88">
        <v>1</v>
      </c>
      <c r="AC44" s="88">
        <v>1.5</v>
      </c>
      <c r="AD44" s="88">
        <v>1</v>
      </c>
      <c r="AE44" s="88">
        <v>0.8125</v>
      </c>
      <c r="AF44" s="88"/>
      <c r="AG44" s="88">
        <v>1.5</v>
      </c>
      <c r="AH44" s="88">
        <v>1.5</v>
      </c>
      <c r="AI44" s="88">
        <v>1</v>
      </c>
      <c r="AJ44" s="88">
        <v>1.5</v>
      </c>
      <c r="AK44" s="88">
        <v>1</v>
      </c>
      <c r="AL44" s="88"/>
      <c r="AM44" s="88"/>
      <c r="AN44" s="89">
        <f t="shared" si="6"/>
        <v>27.3125</v>
      </c>
      <c r="AO44" s="85">
        <v>240000</v>
      </c>
      <c r="AP44" s="90">
        <f t="shared" si="7"/>
        <v>6555000</v>
      </c>
    </row>
    <row r="45" spans="1:42" ht="24.9" customHeight="1" x14ac:dyDescent="0.4">
      <c r="A45" s="83">
        <v>40</v>
      </c>
      <c r="B45" s="83" t="s">
        <v>407</v>
      </c>
      <c r="C45" s="84" t="s">
        <v>408</v>
      </c>
      <c r="D45" s="36" t="s">
        <v>225</v>
      </c>
      <c r="E45" s="36" t="s">
        <v>409</v>
      </c>
      <c r="F45" s="93" t="s">
        <v>410</v>
      </c>
      <c r="G45" s="86" t="s">
        <v>407</v>
      </c>
      <c r="H45" s="87" t="s">
        <v>411</v>
      </c>
      <c r="I45" s="88"/>
      <c r="J45" s="88">
        <v>1</v>
      </c>
      <c r="K45" s="88"/>
      <c r="L45" s="88">
        <v>1</v>
      </c>
      <c r="M45" s="88">
        <v>1.5</v>
      </c>
      <c r="N45" s="88">
        <v>1</v>
      </c>
      <c r="O45" s="88">
        <v>1.5</v>
      </c>
      <c r="P45" s="88">
        <v>1</v>
      </c>
      <c r="Q45" s="88"/>
      <c r="R45" s="88"/>
      <c r="S45" s="88">
        <v>1</v>
      </c>
      <c r="T45" s="88">
        <v>1.5</v>
      </c>
      <c r="U45" s="88">
        <v>1</v>
      </c>
      <c r="V45" s="88">
        <v>1.5</v>
      </c>
      <c r="W45" s="88">
        <v>1</v>
      </c>
      <c r="X45" s="88">
        <v>0.5</v>
      </c>
      <c r="Y45" s="88"/>
      <c r="Z45" s="88">
        <v>1</v>
      </c>
      <c r="AA45" s="88">
        <v>1.5</v>
      </c>
      <c r="AB45" s="88">
        <v>1</v>
      </c>
      <c r="AC45" s="88">
        <v>1.5</v>
      </c>
      <c r="AD45" s="88">
        <v>1</v>
      </c>
      <c r="AE45" s="88">
        <v>0.75</v>
      </c>
      <c r="AF45" s="88"/>
      <c r="AG45" s="88">
        <v>1.5</v>
      </c>
      <c r="AH45" s="88">
        <v>1.5</v>
      </c>
      <c r="AI45" s="88">
        <v>1</v>
      </c>
      <c r="AJ45" s="88"/>
      <c r="AK45" s="88">
        <v>1</v>
      </c>
      <c r="AL45" s="88"/>
      <c r="AM45" s="88"/>
      <c r="AN45" s="89">
        <f t="shared" si="6"/>
        <v>25.25</v>
      </c>
      <c r="AO45" s="85">
        <v>170000</v>
      </c>
      <c r="AP45" s="90">
        <f t="shared" si="7"/>
        <v>4292500</v>
      </c>
    </row>
    <row r="46" spans="1:42" ht="24.9" customHeight="1" x14ac:dyDescent="0.4">
      <c r="A46" s="83">
        <v>41</v>
      </c>
      <c r="B46" s="83" t="s">
        <v>412</v>
      </c>
      <c r="C46" s="84" t="s">
        <v>413</v>
      </c>
      <c r="D46" s="36" t="s">
        <v>309</v>
      </c>
      <c r="E46" s="125" t="s">
        <v>414</v>
      </c>
      <c r="F46" s="95" t="s">
        <v>297</v>
      </c>
      <c r="G46" s="86" t="s">
        <v>412</v>
      </c>
      <c r="H46" s="87" t="s">
        <v>415</v>
      </c>
      <c r="I46" s="88"/>
      <c r="J46" s="88">
        <v>1</v>
      </c>
      <c r="K46" s="88"/>
      <c r="L46" s="88">
        <v>1</v>
      </c>
      <c r="M46" s="88">
        <v>1.5</v>
      </c>
      <c r="N46" s="88">
        <v>1</v>
      </c>
      <c r="O46" s="88">
        <v>1.5</v>
      </c>
      <c r="P46" s="88">
        <v>1</v>
      </c>
      <c r="Q46" s="88">
        <v>1</v>
      </c>
      <c r="R46" s="88"/>
      <c r="S46" s="88">
        <v>1</v>
      </c>
      <c r="T46" s="88">
        <v>1.5</v>
      </c>
      <c r="U46" s="88">
        <v>1</v>
      </c>
      <c r="V46" s="88">
        <v>1.5</v>
      </c>
      <c r="W46" s="88">
        <v>1</v>
      </c>
      <c r="X46" s="88">
        <v>1</v>
      </c>
      <c r="Y46" s="88"/>
      <c r="Z46" s="88">
        <v>1</v>
      </c>
      <c r="AA46" s="88">
        <v>1.5</v>
      </c>
      <c r="AB46" s="88">
        <v>1</v>
      </c>
      <c r="AC46" s="88">
        <v>1.5</v>
      </c>
      <c r="AD46" s="88">
        <v>1</v>
      </c>
      <c r="AE46" s="88">
        <v>0.8125</v>
      </c>
      <c r="AF46" s="88"/>
      <c r="AG46" s="88">
        <v>1.5</v>
      </c>
      <c r="AH46" s="88">
        <v>1.5</v>
      </c>
      <c r="AI46" s="88">
        <v>1</v>
      </c>
      <c r="AJ46" s="88">
        <v>1.5</v>
      </c>
      <c r="AK46" s="88">
        <v>1</v>
      </c>
      <c r="AL46" s="88">
        <v>0.375</v>
      </c>
      <c r="AM46" s="88"/>
      <c r="AN46" s="89">
        <f t="shared" si="6"/>
        <v>28.6875</v>
      </c>
      <c r="AO46" s="85">
        <v>270000</v>
      </c>
      <c r="AP46" s="90">
        <f t="shared" si="7"/>
        <v>7745625</v>
      </c>
    </row>
    <row r="47" spans="1:42" ht="24.9" customHeight="1" x14ac:dyDescent="0.4">
      <c r="A47" s="83">
        <v>42</v>
      </c>
      <c r="B47" s="83" t="s">
        <v>416</v>
      </c>
      <c r="C47" s="84" t="s">
        <v>417</v>
      </c>
      <c r="D47" s="127" t="s">
        <v>310</v>
      </c>
      <c r="E47" s="125" t="s">
        <v>418</v>
      </c>
      <c r="F47" s="93" t="s">
        <v>226</v>
      </c>
      <c r="G47" s="86" t="s">
        <v>416</v>
      </c>
      <c r="H47" s="87" t="s">
        <v>419</v>
      </c>
      <c r="I47" s="88"/>
      <c r="J47" s="88">
        <v>1</v>
      </c>
      <c r="K47" s="88"/>
      <c r="L47" s="88">
        <v>1</v>
      </c>
      <c r="M47" s="88">
        <v>1.5</v>
      </c>
      <c r="N47" s="88">
        <v>1</v>
      </c>
      <c r="O47" s="88">
        <v>1.5</v>
      </c>
      <c r="P47" s="88">
        <v>1</v>
      </c>
      <c r="Q47" s="88">
        <v>1</v>
      </c>
      <c r="R47" s="88"/>
      <c r="S47" s="88">
        <v>1</v>
      </c>
      <c r="T47" s="88">
        <v>1.5</v>
      </c>
      <c r="U47" s="88">
        <v>1</v>
      </c>
      <c r="V47" s="88">
        <v>1.5</v>
      </c>
      <c r="W47" s="88">
        <v>0.75</v>
      </c>
      <c r="X47" s="88">
        <v>1</v>
      </c>
      <c r="Y47" s="88"/>
      <c r="Z47" s="88">
        <v>1</v>
      </c>
      <c r="AA47" s="88">
        <v>1.5</v>
      </c>
      <c r="AB47" s="88">
        <v>1</v>
      </c>
      <c r="AC47" s="88">
        <v>1.5</v>
      </c>
      <c r="AD47" s="88">
        <v>1</v>
      </c>
      <c r="AE47" s="88">
        <v>1</v>
      </c>
      <c r="AF47" s="88"/>
      <c r="AG47" s="88">
        <v>1.5</v>
      </c>
      <c r="AH47" s="88">
        <v>1.5</v>
      </c>
      <c r="AI47" s="88">
        <v>1</v>
      </c>
      <c r="AJ47" s="88">
        <v>1.5</v>
      </c>
      <c r="AK47" s="88">
        <v>1</v>
      </c>
      <c r="AL47" s="88">
        <v>0.375</v>
      </c>
      <c r="AM47" s="88"/>
      <c r="AN47" s="89">
        <f t="shared" si="6"/>
        <v>28.625</v>
      </c>
      <c r="AO47" s="85">
        <v>180000</v>
      </c>
      <c r="AP47" s="90">
        <f t="shared" si="7"/>
        <v>5152500</v>
      </c>
    </row>
    <row r="48" spans="1:42" ht="24.9" customHeight="1" x14ac:dyDescent="0.4">
      <c r="A48" s="83">
        <v>43</v>
      </c>
      <c r="B48" s="83" t="s">
        <v>604</v>
      </c>
      <c r="C48" s="84" t="s">
        <v>643</v>
      </c>
      <c r="D48" s="36" t="s">
        <v>227</v>
      </c>
      <c r="E48" s="36" t="s">
        <v>682</v>
      </c>
      <c r="F48" s="93" t="s">
        <v>230</v>
      </c>
      <c r="G48" s="86" t="s">
        <v>604</v>
      </c>
      <c r="H48" s="87" t="s">
        <v>721</v>
      </c>
      <c r="I48" s="88"/>
      <c r="J48" s="88"/>
      <c r="K48" s="88"/>
      <c r="L48" s="88">
        <v>0.6875</v>
      </c>
      <c r="M48" s="88">
        <v>1.125</v>
      </c>
      <c r="N48" s="88">
        <v>0.5</v>
      </c>
      <c r="O48" s="88">
        <v>0.5</v>
      </c>
      <c r="P48" s="88">
        <v>1</v>
      </c>
      <c r="Q48" s="88"/>
      <c r="R48" s="88"/>
      <c r="S48" s="88">
        <v>1</v>
      </c>
      <c r="T48" s="88">
        <v>1.5</v>
      </c>
      <c r="U48" s="88">
        <v>1</v>
      </c>
      <c r="V48" s="88">
        <v>1.5</v>
      </c>
      <c r="W48" s="88">
        <v>1</v>
      </c>
      <c r="X48" s="88">
        <v>1</v>
      </c>
      <c r="Y48" s="88"/>
      <c r="Z48" s="88">
        <v>1</v>
      </c>
      <c r="AA48" s="88">
        <v>1.5</v>
      </c>
      <c r="AB48" s="88">
        <v>1</v>
      </c>
      <c r="AC48" s="88">
        <v>1.5</v>
      </c>
      <c r="AD48" s="88">
        <v>1</v>
      </c>
      <c r="AE48" s="88">
        <v>0.75</v>
      </c>
      <c r="AF48" s="88"/>
      <c r="AG48" s="88">
        <v>1.5</v>
      </c>
      <c r="AH48" s="88">
        <v>1.5</v>
      </c>
      <c r="AI48" s="88">
        <v>1</v>
      </c>
      <c r="AJ48" s="88">
        <v>1.5</v>
      </c>
      <c r="AK48" s="88">
        <v>1</v>
      </c>
      <c r="AL48" s="88"/>
      <c r="AM48" s="88"/>
      <c r="AN48" s="89">
        <f t="shared" si="6"/>
        <v>24.0625</v>
      </c>
      <c r="AO48" s="85">
        <v>240000</v>
      </c>
      <c r="AP48" s="90">
        <f t="shared" si="7"/>
        <v>5775000</v>
      </c>
    </row>
    <row r="49" spans="1:42" ht="24.9" customHeight="1" x14ac:dyDescent="0.4">
      <c r="A49" s="83">
        <v>44</v>
      </c>
      <c r="B49" s="83" t="s">
        <v>478</v>
      </c>
      <c r="C49" s="84" t="s">
        <v>504</v>
      </c>
      <c r="D49" s="36" t="s">
        <v>310</v>
      </c>
      <c r="E49" s="36" t="s">
        <v>531</v>
      </c>
      <c r="F49" s="93" t="s">
        <v>377</v>
      </c>
      <c r="G49" s="86" t="s">
        <v>478</v>
      </c>
      <c r="H49" s="87" t="s">
        <v>556</v>
      </c>
      <c r="I49" s="88"/>
      <c r="J49" s="88">
        <v>1</v>
      </c>
      <c r="K49" s="88"/>
      <c r="L49" s="88">
        <v>1</v>
      </c>
      <c r="M49" s="88">
        <v>1.5</v>
      </c>
      <c r="N49" s="88">
        <v>1</v>
      </c>
      <c r="O49" s="88">
        <v>1.5</v>
      </c>
      <c r="P49" s="88">
        <v>1</v>
      </c>
      <c r="Q49" s="88">
        <v>1</v>
      </c>
      <c r="R49" s="88"/>
      <c r="S49" s="88">
        <v>1</v>
      </c>
      <c r="T49" s="88">
        <v>1.5</v>
      </c>
      <c r="U49" s="88">
        <v>1</v>
      </c>
      <c r="V49" s="88">
        <v>1.5</v>
      </c>
      <c r="W49" s="88">
        <v>1</v>
      </c>
      <c r="X49" s="88"/>
      <c r="Y49" s="88"/>
      <c r="Z49" s="88">
        <v>1</v>
      </c>
      <c r="AA49" s="88">
        <v>1.5</v>
      </c>
      <c r="AB49" s="88">
        <v>1</v>
      </c>
      <c r="AC49" s="88">
        <v>1.5</v>
      </c>
      <c r="AD49" s="88">
        <v>1</v>
      </c>
      <c r="AE49" s="88">
        <v>0.8125</v>
      </c>
      <c r="AF49" s="88"/>
      <c r="AG49" s="88">
        <v>1.5</v>
      </c>
      <c r="AH49" s="88">
        <v>1.5</v>
      </c>
      <c r="AI49" s="88">
        <v>1</v>
      </c>
      <c r="AJ49" s="88">
        <v>1.5</v>
      </c>
      <c r="AK49" s="88">
        <v>1</v>
      </c>
      <c r="AL49" s="88">
        <v>0.375</v>
      </c>
      <c r="AM49" s="88"/>
      <c r="AN49" s="89">
        <f t="shared" si="6"/>
        <v>27.6875</v>
      </c>
      <c r="AO49" s="85">
        <v>180000</v>
      </c>
      <c r="AP49" s="90">
        <f t="shared" si="7"/>
        <v>4983750</v>
      </c>
    </row>
    <row r="50" spans="1:42" ht="24.9" customHeight="1" x14ac:dyDescent="0.4">
      <c r="A50" s="83">
        <v>45</v>
      </c>
      <c r="B50" s="83" t="s">
        <v>420</v>
      </c>
      <c r="C50" s="84" t="s">
        <v>421</v>
      </c>
      <c r="D50" s="36" t="s">
        <v>514</v>
      </c>
      <c r="E50" s="36" t="s">
        <v>422</v>
      </c>
      <c r="F50" s="93" t="s">
        <v>226</v>
      </c>
      <c r="G50" s="86" t="s">
        <v>420</v>
      </c>
      <c r="H50" s="87" t="s">
        <v>423</v>
      </c>
      <c r="I50" s="88"/>
      <c r="J50" s="88">
        <v>1</v>
      </c>
      <c r="K50" s="88"/>
      <c r="L50" s="88">
        <v>1</v>
      </c>
      <c r="M50" s="88">
        <v>1.5</v>
      </c>
      <c r="N50" s="88">
        <v>1</v>
      </c>
      <c r="O50" s="88">
        <v>1.5</v>
      </c>
      <c r="P50" s="88">
        <v>1</v>
      </c>
      <c r="Q50" s="88">
        <v>1</v>
      </c>
      <c r="R50" s="88"/>
      <c r="S50" s="88">
        <v>1</v>
      </c>
      <c r="T50" s="88">
        <v>1.5</v>
      </c>
      <c r="U50" s="88">
        <v>1</v>
      </c>
      <c r="V50" s="88">
        <v>1.5</v>
      </c>
      <c r="W50" s="88">
        <v>1</v>
      </c>
      <c r="X50" s="88"/>
      <c r="Y50" s="88"/>
      <c r="Z50" s="88">
        <v>1</v>
      </c>
      <c r="AA50" s="88">
        <v>1.5</v>
      </c>
      <c r="AB50" s="88">
        <v>1</v>
      </c>
      <c r="AC50" s="88">
        <v>1.5</v>
      </c>
      <c r="AD50" s="88">
        <v>1</v>
      </c>
      <c r="AE50" s="88">
        <v>0.75</v>
      </c>
      <c r="AF50" s="88"/>
      <c r="AG50" s="88">
        <v>1.5</v>
      </c>
      <c r="AH50" s="88">
        <v>1.5</v>
      </c>
      <c r="AI50" s="88">
        <v>1</v>
      </c>
      <c r="AJ50" s="88">
        <v>1.5</v>
      </c>
      <c r="AK50" s="88">
        <v>1</v>
      </c>
      <c r="AL50" s="88"/>
      <c r="AM50" s="88"/>
      <c r="AN50" s="89">
        <f t="shared" si="6"/>
        <v>27.25</v>
      </c>
      <c r="AO50" s="85">
        <v>200000</v>
      </c>
      <c r="AP50" s="90">
        <f t="shared" si="7"/>
        <v>5450000</v>
      </c>
    </row>
    <row r="51" spans="1:42" ht="24.9" customHeight="1" x14ac:dyDescent="0.4">
      <c r="A51" s="83">
        <v>46</v>
      </c>
      <c r="B51" s="83" t="s">
        <v>479</v>
      </c>
      <c r="C51" s="84" t="s">
        <v>505</v>
      </c>
      <c r="D51" s="36" t="s">
        <v>343</v>
      </c>
      <c r="E51" s="36" t="s">
        <v>532</v>
      </c>
      <c r="F51" s="93" t="s">
        <v>305</v>
      </c>
      <c r="G51" s="86" t="s">
        <v>479</v>
      </c>
      <c r="H51" s="87" t="s">
        <v>557</v>
      </c>
      <c r="I51" s="88"/>
      <c r="J51" s="88"/>
      <c r="K51" s="88"/>
      <c r="L51" s="88">
        <v>1</v>
      </c>
      <c r="M51" s="88">
        <v>1.5</v>
      </c>
      <c r="N51" s="88">
        <v>1</v>
      </c>
      <c r="O51" s="88">
        <v>1.5</v>
      </c>
      <c r="P51" s="88">
        <v>1</v>
      </c>
      <c r="Q51" s="88">
        <v>1</v>
      </c>
      <c r="R51" s="88"/>
      <c r="S51" s="88">
        <v>1</v>
      </c>
      <c r="T51" s="88">
        <v>1.5</v>
      </c>
      <c r="U51" s="88">
        <v>1</v>
      </c>
      <c r="V51" s="88">
        <v>1.5</v>
      </c>
      <c r="W51" s="88">
        <v>1</v>
      </c>
      <c r="X51" s="88">
        <v>1</v>
      </c>
      <c r="Y51" s="88"/>
      <c r="Z51" s="88">
        <v>1</v>
      </c>
      <c r="AA51" s="88">
        <v>1.5</v>
      </c>
      <c r="AB51" s="88">
        <v>1</v>
      </c>
      <c r="AC51" s="88">
        <v>1.5</v>
      </c>
      <c r="AD51" s="88">
        <v>1</v>
      </c>
      <c r="AE51" s="88">
        <v>0.75</v>
      </c>
      <c r="AF51" s="88"/>
      <c r="AG51" s="88">
        <v>1.5</v>
      </c>
      <c r="AH51" s="88">
        <v>1.5</v>
      </c>
      <c r="AI51" s="88">
        <v>1</v>
      </c>
      <c r="AJ51" s="88">
        <v>1.5</v>
      </c>
      <c r="AK51" s="88">
        <v>1</v>
      </c>
      <c r="AL51" s="88"/>
      <c r="AM51" s="88"/>
      <c r="AN51" s="89">
        <f t="shared" si="6"/>
        <v>27.25</v>
      </c>
      <c r="AO51" s="85">
        <v>190000</v>
      </c>
      <c r="AP51" s="90">
        <f t="shared" si="7"/>
        <v>5177500</v>
      </c>
    </row>
    <row r="52" spans="1:42" ht="24.9" customHeight="1" x14ac:dyDescent="0.4">
      <c r="A52" s="83">
        <v>47</v>
      </c>
      <c r="B52" s="83" t="s">
        <v>480</v>
      </c>
      <c r="C52" s="84" t="s">
        <v>506</v>
      </c>
      <c r="D52" s="36" t="s">
        <v>225</v>
      </c>
      <c r="E52" s="36" t="s">
        <v>533</v>
      </c>
      <c r="F52" s="95" t="s">
        <v>226</v>
      </c>
      <c r="G52" s="86" t="s">
        <v>480</v>
      </c>
      <c r="H52" s="87" t="s">
        <v>558</v>
      </c>
      <c r="I52" s="88"/>
      <c r="J52" s="88"/>
      <c r="K52" s="88"/>
      <c r="L52" s="88">
        <v>1</v>
      </c>
      <c r="M52" s="88">
        <v>1.5</v>
      </c>
      <c r="N52" s="88">
        <v>0.5</v>
      </c>
      <c r="O52" s="88">
        <v>1.5</v>
      </c>
      <c r="P52" s="88">
        <v>1</v>
      </c>
      <c r="Q52" s="88">
        <v>1</v>
      </c>
      <c r="R52" s="88"/>
      <c r="S52" s="88">
        <v>1</v>
      </c>
      <c r="T52" s="88">
        <v>1.5</v>
      </c>
      <c r="U52" s="88">
        <v>1</v>
      </c>
      <c r="V52" s="88">
        <v>1.5</v>
      </c>
      <c r="W52" s="88">
        <v>1</v>
      </c>
      <c r="X52" s="88"/>
      <c r="Y52" s="88"/>
      <c r="Z52" s="88">
        <v>1</v>
      </c>
      <c r="AA52" s="88">
        <v>1.5</v>
      </c>
      <c r="AB52" s="88">
        <v>1</v>
      </c>
      <c r="AC52" s="88">
        <v>1.5</v>
      </c>
      <c r="AD52" s="88">
        <v>1</v>
      </c>
      <c r="AE52" s="88">
        <v>0.75</v>
      </c>
      <c r="AF52" s="88"/>
      <c r="AG52" s="88">
        <v>1.5</v>
      </c>
      <c r="AH52" s="88">
        <v>1.5</v>
      </c>
      <c r="AI52" s="88">
        <v>1</v>
      </c>
      <c r="AJ52" s="88">
        <v>1.5</v>
      </c>
      <c r="AK52" s="88">
        <v>1</v>
      </c>
      <c r="AL52" s="88"/>
      <c r="AM52" s="88"/>
      <c r="AN52" s="89">
        <f t="shared" si="6"/>
        <v>25.75</v>
      </c>
      <c r="AO52" s="85">
        <v>170000</v>
      </c>
      <c r="AP52" s="90">
        <f t="shared" si="7"/>
        <v>4377500</v>
      </c>
    </row>
    <row r="53" spans="1:42" ht="24.9" customHeight="1" x14ac:dyDescent="0.4">
      <c r="A53" s="83">
        <v>48</v>
      </c>
      <c r="B53" s="83" t="s">
        <v>424</v>
      </c>
      <c r="C53" s="84" t="s">
        <v>425</v>
      </c>
      <c r="D53" s="36" t="s">
        <v>309</v>
      </c>
      <c r="E53" s="36" t="s">
        <v>426</v>
      </c>
      <c r="F53" s="93" t="s">
        <v>358</v>
      </c>
      <c r="G53" s="86" t="s">
        <v>424</v>
      </c>
      <c r="H53" s="87" t="s">
        <v>427</v>
      </c>
      <c r="I53" s="88"/>
      <c r="J53" s="88">
        <v>1</v>
      </c>
      <c r="K53" s="88"/>
      <c r="L53" s="88">
        <v>1</v>
      </c>
      <c r="M53" s="88">
        <v>1.3125</v>
      </c>
      <c r="N53" s="88">
        <v>1</v>
      </c>
      <c r="O53" s="88">
        <v>1.5</v>
      </c>
      <c r="P53" s="88">
        <v>0.625</v>
      </c>
      <c r="Q53" s="88">
        <v>1</v>
      </c>
      <c r="R53" s="88"/>
      <c r="S53" s="88">
        <v>1</v>
      </c>
      <c r="T53" s="88">
        <v>1.5</v>
      </c>
      <c r="U53" s="88">
        <v>1</v>
      </c>
      <c r="V53" s="88">
        <v>1.5</v>
      </c>
      <c r="W53" s="88">
        <v>1</v>
      </c>
      <c r="X53" s="88">
        <v>1</v>
      </c>
      <c r="Y53" s="88"/>
      <c r="Z53" s="88">
        <v>1</v>
      </c>
      <c r="AA53" s="88">
        <v>1.5</v>
      </c>
      <c r="AB53" s="88">
        <v>1</v>
      </c>
      <c r="AC53" s="88">
        <v>1.5</v>
      </c>
      <c r="AD53" s="88">
        <v>1</v>
      </c>
      <c r="AE53" s="88">
        <v>0.5</v>
      </c>
      <c r="AF53" s="88"/>
      <c r="AG53" s="88">
        <v>1.5</v>
      </c>
      <c r="AH53" s="88">
        <v>1.5</v>
      </c>
      <c r="AI53" s="88">
        <v>1</v>
      </c>
      <c r="AJ53" s="88">
        <v>1.5</v>
      </c>
      <c r="AK53" s="88">
        <v>1</v>
      </c>
      <c r="AL53" s="88">
        <v>0.375</v>
      </c>
      <c r="AM53" s="88"/>
      <c r="AN53" s="89">
        <f t="shared" si="6"/>
        <v>27.8125</v>
      </c>
      <c r="AO53" s="85">
        <v>230000</v>
      </c>
      <c r="AP53" s="90">
        <f t="shared" si="7"/>
        <v>6396875</v>
      </c>
    </row>
    <row r="54" spans="1:42" ht="24.9" customHeight="1" x14ac:dyDescent="0.4">
      <c r="A54" s="83">
        <v>49</v>
      </c>
      <c r="B54" s="83" t="s">
        <v>481</v>
      </c>
      <c r="C54" s="84" t="s">
        <v>507</v>
      </c>
      <c r="D54" s="127" t="s">
        <v>225</v>
      </c>
      <c r="E54" s="125" t="s">
        <v>534</v>
      </c>
      <c r="F54" s="93" t="s">
        <v>559</v>
      </c>
      <c r="G54" s="86" t="s">
        <v>481</v>
      </c>
      <c r="H54" s="87" t="s">
        <v>560</v>
      </c>
      <c r="I54" s="88"/>
      <c r="J54" s="88">
        <v>1</v>
      </c>
      <c r="K54" s="88"/>
      <c r="L54" s="88">
        <v>1</v>
      </c>
      <c r="M54" s="88">
        <v>1.5</v>
      </c>
      <c r="N54" s="88">
        <v>1</v>
      </c>
      <c r="O54" s="88">
        <v>1.5</v>
      </c>
      <c r="P54" s="88">
        <v>1</v>
      </c>
      <c r="Q54" s="88">
        <v>1</v>
      </c>
      <c r="R54" s="88"/>
      <c r="S54" s="88">
        <v>1</v>
      </c>
      <c r="T54" s="88">
        <v>1.5</v>
      </c>
      <c r="U54" s="88">
        <v>1</v>
      </c>
      <c r="V54" s="88">
        <v>1.5</v>
      </c>
      <c r="W54" s="88">
        <v>1</v>
      </c>
      <c r="X54" s="88">
        <v>1</v>
      </c>
      <c r="Y54" s="88"/>
      <c r="Z54" s="88">
        <v>1</v>
      </c>
      <c r="AA54" s="88">
        <v>1.5</v>
      </c>
      <c r="AB54" s="88">
        <v>1</v>
      </c>
      <c r="AC54" s="88">
        <v>1.5</v>
      </c>
      <c r="AD54" s="88">
        <v>1</v>
      </c>
      <c r="AE54" s="88">
        <v>0.75</v>
      </c>
      <c r="AF54" s="88"/>
      <c r="AG54" s="88">
        <v>1.5</v>
      </c>
      <c r="AH54" s="88">
        <v>1.5</v>
      </c>
      <c r="AI54" s="88">
        <v>1</v>
      </c>
      <c r="AJ54" s="88">
        <v>1.5</v>
      </c>
      <c r="AK54" s="88">
        <v>0.875</v>
      </c>
      <c r="AL54" s="88"/>
      <c r="AM54" s="88"/>
      <c r="AN54" s="89">
        <f t="shared" si="6"/>
        <v>28.125</v>
      </c>
      <c r="AO54" s="85">
        <v>180000</v>
      </c>
      <c r="AP54" s="90">
        <f t="shared" si="7"/>
        <v>5062500</v>
      </c>
    </row>
    <row r="55" spans="1:42" ht="24.9" customHeight="1" x14ac:dyDescent="0.4">
      <c r="A55" s="83">
        <v>50</v>
      </c>
      <c r="B55" s="83" t="s">
        <v>482</v>
      </c>
      <c r="C55" s="84" t="s">
        <v>508</v>
      </c>
      <c r="D55" s="36" t="s">
        <v>228</v>
      </c>
      <c r="E55" s="125" t="s">
        <v>535</v>
      </c>
      <c r="F55" s="93" t="s">
        <v>230</v>
      </c>
      <c r="G55" s="86" t="s">
        <v>482</v>
      </c>
      <c r="H55" s="87" t="s">
        <v>561</v>
      </c>
      <c r="I55" s="88"/>
      <c r="J55" s="88">
        <v>1</v>
      </c>
      <c r="K55" s="88"/>
      <c r="L55" s="88">
        <v>1</v>
      </c>
      <c r="M55" s="88">
        <v>1.5</v>
      </c>
      <c r="N55" s="88">
        <v>1</v>
      </c>
      <c r="O55" s="88">
        <v>1.5</v>
      </c>
      <c r="P55" s="88">
        <v>1</v>
      </c>
      <c r="Q55" s="88">
        <v>1</v>
      </c>
      <c r="R55" s="88"/>
      <c r="S55" s="88">
        <v>1</v>
      </c>
      <c r="T55" s="88">
        <v>1.5</v>
      </c>
      <c r="U55" s="88">
        <v>1</v>
      </c>
      <c r="V55" s="88">
        <v>1.5</v>
      </c>
      <c r="W55" s="88">
        <v>1</v>
      </c>
      <c r="X55" s="88"/>
      <c r="Y55" s="88"/>
      <c r="Z55" s="88">
        <v>1</v>
      </c>
      <c r="AA55" s="88">
        <v>1.5</v>
      </c>
      <c r="AB55" s="88">
        <v>1</v>
      </c>
      <c r="AC55" s="88">
        <v>1.5</v>
      </c>
      <c r="AD55" s="88">
        <v>1</v>
      </c>
      <c r="AE55" s="88">
        <v>0.75</v>
      </c>
      <c r="AF55" s="88"/>
      <c r="AG55" s="88">
        <v>1.5</v>
      </c>
      <c r="AH55" s="88">
        <v>1.5</v>
      </c>
      <c r="AI55" s="88">
        <v>1</v>
      </c>
      <c r="AJ55" s="88">
        <v>1.5</v>
      </c>
      <c r="AK55" s="88">
        <v>1</v>
      </c>
      <c r="AL55" s="88"/>
      <c r="AM55" s="88"/>
      <c r="AN55" s="89">
        <f t="shared" si="6"/>
        <v>27.25</v>
      </c>
      <c r="AO55" s="85">
        <v>210000</v>
      </c>
      <c r="AP55" s="90">
        <f t="shared" si="7"/>
        <v>5722500</v>
      </c>
    </row>
    <row r="56" spans="1:42" ht="24.9" customHeight="1" x14ac:dyDescent="0.4">
      <c r="A56" s="83">
        <v>51</v>
      </c>
      <c r="B56" s="83" t="s">
        <v>483</v>
      </c>
      <c r="C56" s="84" t="s">
        <v>509</v>
      </c>
      <c r="D56" s="127" t="s">
        <v>225</v>
      </c>
      <c r="E56" s="125" t="s">
        <v>536</v>
      </c>
      <c r="F56" s="93" t="s">
        <v>358</v>
      </c>
      <c r="G56" s="86" t="s">
        <v>483</v>
      </c>
      <c r="H56" s="87" t="s">
        <v>562</v>
      </c>
      <c r="I56" s="88"/>
      <c r="J56" s="88">
        <v>1</v>
      </c>
      <c r="K56" s="88"/>
      <c r="L56" s="88"/>
      <c r="M56" s="88"/>
      <c r="N56" s="88">
        <v>1</v>
      </c>
      <c r="O56" s="88">
        <v>1.5</v>
      </c>
      <c r="P56" s="88">
        <v>1</v>
      </c>
      <c r="Q56" s="88">
        <v>1</v>
      </c>
      <c r="R56" s="88"/>
      <c r="S56" s="88">
        <v>1</v>
      </c>
      <c r="T56" s="88">
        <v>1.375</v>
      </c>
      <c r="U56" s="88">
        <v>1</v>
      </c>
      <c r="V56" s="88">
        <v>1.5</v>
      </c>
      <c r="W56" s="88">
        <v>1</v>
      </c>
      <c r="X56" s="88">
        <v>1</v>
      </c>
      <c r="Y56" s="88"/>
      <c r="Z56" s="88">
        <v>1</v>
      </c>
      <c r="AA56" s="88">
        <v>1.5</v>
      </c>
      <c r="AB56" s="88">
        <v>1</v>
      </c>
      <c r="AC56" s="88">
        <v>1.5</v>
      </c>
      <c r="AD56" s="88">
        <v>1</v>
      </c>
      <c r="AE56" s="88"/>
      <c r="AF56" s="88"/>
      <c r="AG56" s="88">
        <v>1.5</v>
      </c>
      <c r="AH56" s="88">
        <v>1.5</v>
      </c>
      <c r="AI56" s="88">
        <v>1</v>
      </c>
      <c r="AJ56" s="88">
        <v>1.5</v>
      </c>
      <c r="AK56" s="88">
        <v>1</v>
      </c>
      <c r="AL56" s="88"/>
      <c r="AM56" s="88"/>
      <c r="AN56" s="89">
        <f t="shared" si="6"/>
        <v>24.875</v>
      </c>
      <c r="AO56" s="85">
        <v>150000</v>
      </c>
      <c r="AP56" s="90">
        <f t="shared" si="7"/>
        <v>3731250</v>
      </c>
    </row>
    <row r="57" spans="1:42" ht="24.9" customHeight="1" x14ac:dyDescent="0.4">
      <c r="A57" s="83">
        <v>52</v>
      </c>
      <c r="B57" s="83" t="s">
        <v>428</v>
      </c>
      <c r="C57" s="84" t="s">
        <v>429</v>
      </c>
      <c r="D57" s="36" t="s">
        <v>228</v>
      </c>
      <c r="E57" s="125" t="s">
        <v>430</v>
      </c>
      <c r="F57" s="93" t="s">
        <v>229</v>
      </c>
      <c r="G57" s="86" t="s">
        <v>428</v>
      </c>
      <c r="H57" s="87" t="s">
        <v>431</v>
      </c>
      <c r="I57" s="88"/>
      <c r="J57" s="88"/>
      <c r="K57" s="88"/>
      <c r="L57" s="88">
        <v>1</v>
      </c>
      <c r="M57" s="88">
        <v>1.5</v>
      </c>
      <c r="N57" s="88">
        <v>1</v>
      </c>
      <c r="O57" s="88">
        <v>1.5</v>
      </c>
      <c r="P57" s="88">
        <v>1</v>
      </c>
      <c r="Q57" s="88"/>
      <c r="R57" s="88"/>
      <c r="S57" s="88">
        <v>1</v>
      </c>
      <c r="T57" s="88"/>
      <c r="U57" s="88">
        <v>1</v>
      </c>
      <c r="V57" s="88">
        <v>1.5</v>
      </c>
      <c r="W57" s="88">
        <v>1</v>
      </c>
      <c r="X57" s="88">
        <v>1</v>
      </c>
      <c r="Y57" s="88"/>
      <c r="Z57" s="88">
        <v>1</v>
      </c>
      <c r="AA57" s="88">
        <v>1.5</v>
      </c>
      <c r="AB57" s="88">
        <v>1</v>
      </c>
      <c r="AC57" s="88">
        <v>0.5</v>
      </c>
      <c r="AD57" s="88">
        <v>1</v>
      </c>
      <c r="AE57" s="88"/>
      <c r="AF57" s="88"/>
      <c r="AG57" s="88">
        <v>1.5</v>
      </c>
      <c r="AH57" s="88"/>
      <c r="AI57" s="88">
        <v>1</v>
      </c>
      <c r="AJ57" s="88">
        <v>1.5</v>
      </c>
      <c r="AK57" s="88">
        <v>1</v>
      </c>
      <c r="AL57" s="88"/>
      <c r="AM57" s="88"/>
      <c r="AN57" s="89">
        <f t="shared" si="6"/>
        <v>21.5</v>
      </c>
      <c r="AO57" s="85">
        <v>230000</v>
      </c>
      <c r="AP57" s="90">
        <f t="shared" si="7"/>
        <v>4945000</v>
      </c>
    </row>
    <row r="58" spans="1:42" ht="24.9" customHeight="1" x14ac:dyDescent="0.4">
      <c r="A58" s="83">
        <v>53</v>
      </c>
      <c r="B58" s="83" t="s">
        <v>605</v>
      </c>
      <c r="C58" s="84" t="s">
        <v>644</v>
      </c>
      <c r="D58" s="36" t="s">
        <v>225</v>
      </c>
      <c r="E58" s="36" t="s">
        <v>683</v>
      </c>
      <c r="F58" s="95" t="s">
        <v>297</v>
      </c>
      <c r="G58" s="86" t="s">
        <v>605</v>
      </c>
      <c r="H58" s="87" t="s">
        <v>722</v>
      </c>
      <c r="I58" s="88"/>
      <c r="J58" s="88"/>
      <c r="K58" s="88"/>
      <c r="L58" s="88">
        <v>0.6875</v>
      </c>
      <c r="M58" s="88">
        <v>1.125</v>
      </c>
      <c r="N58" s="88"/>
      <c r="O58" s="88">
        <v>0.75</v>
      </c>
      <c r="P58" s="88">
        <v>1</v>
      </c>
      <c r="Q58" s="88"/>
      <c r="R58" s="88"/>
      <c r="S58" s="88">
        <v>1</v>
      </c>
      <c r="T58" s="88">
        <v>1.5</v>
      </c>
      <c r="U58" s="88">
        <v>1</v>
      </c>
      <c r="V58" s="88">
        <v>1.5</v>
      </c>
      <c r="W58" s="88">
        <v>1</v>
      </c>
      <c r="X58" s="88">
        <v>1</v>
      </c>
      <c r="Y58" s="88"/>
      <c r="Z58" s="88">
        <v>1</v>
      </c>
      <c r="AA58" s="88">
        <v>1.5</v>
      </c>
      <c r="AB58" s="88">
        <v>1</v>
      </c>
      <c r="AC58" s="88">
        <v>1.5</v>
      </c>
      <c r="AD58" s="88">
        <v>1</v>
      </c>
      <c r="AE58" s="88">
        <v>0.75</v>
      </c>
      <c r="AF58" s="88"/>
      <c r="AG58" s="88">
        <v>1.5</v>
      </c>
      <c r="AH58" s="88">
        <v>1.5</v>
      </c>
      <c r="AI58" s="88">
        <v>1</v>
      </c>
      <c r="AJ58" s="88">
        <v>1.5</v>
      </c>
      <c r="AK58" s="88">
        <v>1</v>
      </c>
      <c r="AL58" s="88"/>
      <c r="AM58" s="88"/>
      <c r="AN58" s="89">
        <f t="shared" si="6"/>
        <v>23.8125</v>
      </c>
      <c r="AO58" s="85">
        <v>170000</v>
      </c>
      <c r="AP58" s="90">
        <f t="shared" si="7"/>
        <v>4048125</v>
      </c>
    </row>
    <row r="59" spans="1:42" ht="24.9" customHeight="1" x14ac:dyDescent="0.4">
      <c r="A59" s="83">
        <v>54</v>
      </c>
      <c r="B59" s="83" t="s">
        <v>606</v>
      </c>
      <c r="C59" s="84" t="s">
        <v>645</v>
      </c>
      <c r="D59" s="36" t="s">
        <v>225</v>
      </c>
      <c r="E59" s="36" t="s">
        <v>684</v>
      </c>
      <c r="F59" s="93" t="s">
        <v>230</v>
      </c>
      <c r="G59" s="86" t="s">
        <v>606</v>
      </c>
      <c r="H59" s="87" t="s">
        <v>723</v>
      </c>
      <c r="I59" s="88"/>
      <c r="J59" s="88"/>
      <c r="K59" s="88"/>
      <c r="L59" s="88">
        <v>0.6875</v>
      </c>
      <c r="M59" s="88">
        <v>1.125</v>
      </c>
      <c r="N59" s="88"/>
      <c r="O59" s="88">
        <v>0.625</v>
      </c>
      <c r="P59" s="88">
        <v>1</v>
      </c>
      <c r="Q59" s="88"/>
      <c r="R59" s="88"/>
      <c r="S59" s="88">
        <v>1</v>
      </c>
      <c r="T59" s="88">
        <v>1.5</v>
      </c>
      <c r="U59" s="88">
        <v>1</v>
      </c>
      <c r="V59" s="88">
        <v>1.5</v>
      </c>
      <c r="W59" s="88">
        <v>1</v>
      </c>
      <c r="X59" s="88">
        <v>0.5</v>
      </c>
      <c r="Y59" s="88"/>
      <c r="Z59" s="88">
        <v>1</v>
      </c>
      <c r="AA59" s="88">
        <v>1.5</v>
      </c>
      <c r="AB59" s="88">
        <v>1</v>
      </c>
      <c r="AC59" s="88">
        <v>1.5</v>
      </c>
      <c r="AD59" s="88">
        <v>1</v>
      </c>
      <c r="AE59" s="88"/>
      <c r="AF59" s="88"/>
      <c r="AG59" s="88">
        <v>1.5</v>
      </c>
      <c r="AH59" s="88">
        <v>1.5</v>
      </c>
      <c r="AI59" s="88">
        <v>1</v>
      </c>
      <c r="AJ59" s="88">
        <v>1.5</v>
      </c>
      <c r="AK59" s="88">
        <v>1</v>
      </c>
      <c r="AL59" s="88"/>
      <c r="AM59" s="88"/>
      <c r="AN59" s="89">
        <f t="shared" si="6"/>
        <v>22.4375</v>
      </c>
      <c r="AO59" s="85">
        <v>160000</v>
      </c>
      <c r="AP59" s="90">
        <f t="shared" si="7"/>
        <v>3590000</v>
      </c>
    </row>
    <row r="60" spans="1:42" ht="24.9" customHeight="1" x14ac:dyDescent="0.4">
      <c r="A60" s="83">
        <v>55</v>
      </c>
      <c r="B60" s="83" t="s">
        <v>484</v>
      </c>
      <c r="C60" s="84" t="s">
        <v>510</v>
      </c>
      <c r="D60" s="36" t="s">
        <v>225</v>
      </c>
      <c r="E60" s="125" t="s">
        <v>537</v>
      </c>
      <c r="F60" s="95" t="s">
        <v>377</v>
      </c>
      <c r="G60" s="86" t="s">
        <v>484</v>
      </c>
      <c r="H60" s="87" t="s">
        <v>563</v>
      </c>
      <c r="I60" s="88"/>
      <c r="J60" s="88">
        <v>1</v>
      </c>
      <c r="K60" s="88"/>
      <c r="L60" s="88">
        <v>1</v>
      </c>
      <c r="M60" s="88">
        <v>1.5</v>
      </c>
      <c r="N60" s="88">
        <v>1</v>
      </c>
      <c r="O60" s="88">
        <v>1.5</v>
      </c>
      <c r="P60" s="88">
        <v>1</v>
      </c>
      <c r="Q60" s="88"/>
      <c r="R60" s="88"/>
      <c r="S60" s="88">
        <v>1</v>
      </c>
      <c r="T60" s="88">
        <v>1.5</v>
      </c>
      <c r="U60" s="88">
        <v>1</v>
      </c>
      <c r="V60" s="88">
        <v>1.5</v>
      </c>
      <c r="W60" s="88">
        <v>1</v>
      </c>
      <c r="X60" s="88">
        <v>1</v>
      </c>
      <c r="Y60" s="88"/>
      <c r="Z60" s="88">
        <v>1</v>
      </c>
      <c r="AA60" s="88">
        <v>1.5</v>
      </c>
      <c r="AB60" s="88">
        <v>1</v>
      </c>
      <c r="AC60" s="88">
        <v>1.5</v>
      </c>
      <c r="AD60" s="88">
        <v>1</v>
      </c>
      <c r="AE60" s="88">
        <v>0.75</v>
      </c>
      <c r="AF60" s="88"/>
      <c r="AG60" s="88">
        <v>1.5</v>
      </c>
      <c r="AH60" s="88">
        <v>1.5</v>
      </c>
      <c r="AI60" s="88">
        <v>1</v>
      </c>
      <c r="AJ60" s="88">
        <v>1.5</v>
      </c>
      <c r="AK60" s="88">
        <v>1</v>
      </c>
      <c r="AL60" s="88"/>
      <c r="AM60" s="88"/>
      <c r="AN60" s="89">
        <f t="shared" si="6"/>
        <v>27.25</v>
      </c>
      <c r="AO60" s="85">
        <v>160000</v>
      </c>
      <c r="AP60" s="90">
        <f t="shared" si="7"/>
        <v>4360000</v>
      </c>
    </row>
    <row r="61" spans="1:42" ht="24.9" customHeight="1" x14ac:dyDescent="0.4">
      <c r="A61" s="83">
        <v>56</v>
      </c>
      <c r="B61" s="83" t="s">
        <v>432</v>
      </c>
      <c r="C61" s="84" t="s">
        <v>433</v>
      </c>
      <c r="D61" s="36" t="s">
        <v>228</v>
      </c>
      <c r="E61" s="125" t="s">
        <v>434</v>
      </c>
      <c r="F61" s="93" t="s">
        <v>226</v>
      </c>
      <c r="G61" s="86" t="s">
        <v>432</v>
      </c>
      <c r="H61" s="87" t="s">
        <v>435</v>
      </c>
      <c r="I61" s="88"/>
      <c r="J61" s="88">
        <v>1</v>
      </c>
      <c r="K61" s="88"/>
      <c r="L61" s="88">
        <v>1</v>
      </c>
      <c r="M61" s="88">
        <v>1.5</v>
      </c>
      <c r="N61" s="88">
        <v>1</v>
      </c>
      <c r="O61" s="88">
        <v>1.5</v>
      </c>
      <c r="P61" s="88">
        <v>1</v>
      </c>
      <c r="Q61" s="88">
        <v>1</v>
      </c>
      <c r="R61" s="88"/>
      <c r="S61" s="88">
        <v>1</v>
      </c>
      <c r="T61" s="88">
        <v>1.5</v>
      </c>
      <c r="U61" s="88">
        <v>1</v>
      </c>
      <c r="V61" s="88">
        <v>1.5</v>
      </c>
      <c r="W61" s="88">
        <v>1</v>
      </c>
      <c r="X61" s="88">
        <v>1</v>
      </c>
      <c r="Y61" s="88"/>
      <c r="Z61" s="88">
        <v>1</v>
      </c>
      <c r="AA61" s="88">
        <v>1.5</v>
      </c>
      <c r="AB61" s="88">
        <v>1</v>
      </c>
      <c r="AC61" s="88">
        <v>1.5</v>
      </c>
      <c r="AD61" s="88">
        <v>1</v>
      </c>
      <c r="AE61" s="88">
        <v>0.75</v>
      </c>
      <c r="AF61" s="88"/>
      <c r="AG61" s="88">
        <v>1.5</v>
      </c>
      <c r="AH61" s="88">
        <v>1.5</v>
      </c>
      <c r="AI61" s="88">
        <v>1</v>
      </c>
      <c r="AJ61" s="88">
        <v>1.5</v>
      </c>
      <c r="AK61" s="88">
        <v>1</v>
      </c>
      <c r="AL61" s="88"/>
      <c r="AM61" s="88"/>
      <c r="AN61" s="89">
        <f t="shared" si="6"/>
        <v>28.25</v>
      </c>
      <c r="AO61" s="85">
        <v>230000</v>
      </c>
      <c r="AP61" s="90">
        <f t="shared" si="7"/>
        <v>6497500</v>
      </c>
    </row>
    <row r="62" spans="1:42" ht="24.9" customHeight="1" x14ac:dyDescent="0.4">
      <c r="A62" s="83">
        <v>57</v>
      </c>
      <c r="B62" s="83" t="s">
        <v>485</v>
      </c>
      <c r="C62" s="84" t="s">
        <v>511</v>
      </c>
      <c r="D62" s="36" t="s">
        <v>225</v>
      </c>
      <c r="E62" s="36" t="s">
        <v>538</v>
      </c>
      <c r="F62" s="93" t="s">
        <v>229</v>
      </c>
      <c r="G62" s="86" t="s">
        <v>485</v>
      </c>
      <c r="H62" s="87" t="s">
        <v>564</v>
      </c>
      <c r="I62" s="88"/>
      <c r="J62" s="88">
        <v>1</v>
      </c>
      <c r="K62" s="88"/>
      <c r="L62" s="88">
        <v>1</v>
      </c>
      <c r="M62" s="88">
        <v>1.5</v>
      </c>
      <c r="N62" s="88">
        <v>1</v>
      </c>
      <c r="O62" s="88">
        <v>1.5</v>
      </c>
      <c r="P62" s="88">
        <v>1</v>
      </c>
      <c r="Q62" s="88">
        <v>1</v>
      </c>
      <c r="R62" s="88"/>
      <c r="S62" s="88">
        <v>1</v>
      </c>
      <c r="T62" s="88">
        <v>1.5</v>
      </c>
      <c r="U62" s="88">
        <v>1</v>
      </c>
      <c r="V62" s="88">
        <v>1.5</v>
      </c>
      <c r="W62" s="88">
        <v>1</v>
      </c>
      <c r="X62" s="88">
        <v>1</v>
      </c>
      <c r="Y62" s="88"/>
      <c r="Z62" s="88">
        <v>1</v>
      </c>
      <c r="AA62" s="88">
        <v>1.5</v>
      </c>
      <c r="AB62" s="88">
        <v>1</v>
      </c>
      <c r="AC62" s="88">
        <v>1.5</v>
      </c>
      <c r="AD62" s="88">
        <v>1</v>
      </c>
      <c r="AE62" s="88">
        <v>0.75</v>
      </c>
      <c r="AF62" s="88"/>
      <c r="AG62" s="88">
        <v>1.5</v>
      </c>
      <c r="AH62" s="88">
        <v>0.5</v>
      </c>
      <c r="AI62" s="88"/>
      <c r="AJ62" s="88"/>
      <c r="AK62" s="88"/>
      <c r="AL62" s="88"/>
      <c r="AM62" s="88"/>
      <c r="AN62" s="89">
        <f t="shared" si="6"/>
        <v>23.75</v>
      </c>
      <c r="AO62" s="85">
        <v>150000</v>
      </c>
      <c r="AP62" s="90">
        <f t="shared" si="7"/>
        <v>3562500</v>
      </c>
    </row>
    <row r="63" spans="1:42" ht="24.9" customHeight="1" x14ac:dyDescent="0.4">
      <c r="A63" s="83">
        <v>58</v>
      </c>
      <c r="B63" s="83" t="s">
        <v>436</v>
      </c>
      <c r="C63" s="84" t="s">
        <v>437</v>
      </c>
      <c r="D63" s="36" t="s">
        <v>225</v>
      </c>
      <c r="E63" s="36" t="s">
        <v>438</v>
      </c>
      <c r="F63" s="93" t="s">
        <v>296</v>
      </c>
      <c r="G63" s="86" t="s">
        <v>436</v>
      </c>
      <c r="H63" s="87" t="s">
        <v>439</v>
      </c>
      <c r="I63" s="88"/>
      <c r="J63" s="88"/>
      <c r="K63" s="88"/>
      <c r="L63" s="88">
        <v>1</v>
      </c>
      <c r="M63" s="88">
        <v>1.5</v>
      </c>
      <c r="N63" s="88">
        <v>1</v>
      </c>
      <c r="O63" s="88">
        <v>1.5</v>
      </c>
      <c r="P63" s="88">
        <v>1</v>
      </c>
      <c r="Q63" s="88">
        <v>0.5</v>
      </c>
      <c r="R63" s="88"/>
      <c r="S63" s="88">
        <v>1</v>
      </c>
      <c r="T63" s="88">
        <v>1.5</v>
      </c>
      <c r="U63" s="88">
        <v>1</v>
      </c>
      <c r="V63" s="88">
        <v>1.5</v>
      </c>
      <c r="W63" s="88">
        <v>1</v>
      </c>
      <c r="X63" s="88">
        <v>1</v>
      </c>
      <c r="Y63" s="88"/>
      <c r="Z63" s="88">
        <v>1</v>
      </c>
      <c r="AA63" s="88">
        <v>1.5</v>
      </c>
      <c r="AB63" s="88">
        <v>1</v>
      </c>
      <c r="AC63" s="88">
        <v>1.5</v>
      </c>
      <c r="AD63" s="88">
        <v>1</v>
      </c>
      <c r="AE63" s="88">
        <v>0.75</v>
      </c>
      <c r="AF63" s="88"/>
      <c r="AG63" s="88">
        <v>1.5</v>
      </c>
      <c r="AH63" s="88">
        <v>1.5</v>
      </c>
      <c r="AI63" s="88">
        <v>1</v>
      </c>
      <c r="AJ63" s="88">
        <v>1.5</v>
      </c>
      <c r="AK63" s="88">
        <v>1</v>
      </c>
      <c r="AL63" s="88"/>
      <c r="AM63" s="88"/>
      <c r="AN63" s="89">
        <f t="shared" si="6"/>
        <v>26.75</v>
      </c>
      <c r="AO63" s="85">
        <v>170000</v>
      </c>
      <c r="AP63" s="90">
        <f t="shared" si="7"/>
        <v>4547500</v>
      </c>
    </row>
    <row r="64" spans="1:42" ht="24.9" customHeight="1" x14ac:dyDescent="0.4">
      <c r="A64" s="83">
        <v>59</v>
      </c>
      <c r="B64" s="83" t="s">
        <v>486</v>
      </c>
      <c r="C64" s="84" t="s">
        <v>512</v>
      </c>
      <c r="D64" s="36" t="s">
        <v>225</v>
      </c>
      <c r="E64" s="36" t="s">
        <v>539</v>
      </c>
      <c r="F64" s="93" t="s">
        <v>297</v>
      </c>
      <c r="G64" s="86" t="s">
        <v>486</v>
      </c>
      <c r="H64" s="87" t="s">
        <v>565</v>
      </c>
      <c r="I64" s="88"/>
      <c r="J64" s="88"/>
      <c r="K64" s="88"/>
      <c r="L64" s="88">
        <v>1</v>
      </c>
      <c r="M64" s="88">
        <v>1.5</v>
      </c>
      <c r="N64" s="88">
        <v>1</v>
      </c>
      <c r="O64" s="88">
        <v>1.5</v>
      </c>
      <c r="P64" s="88">
        <v>1</v>
      </c>
      <c r="Q64" s="88">
        <v>0.5</v>
      </c>
      <c r="R64" s="88"/>
      <c r="S64" s="88">
        <v>1</v>
      </c>
      <c r="T64" s="88">
        <v>1.5</v>
      </c>
      <c r="U64" s="88">
        <v>1</v>
      </c>
      <c r="V64" s="88">
        <v>1.5</v>
      </c>
      <c r="W64" s="88">
        <v>1</v>
      </c>
      <c r="X64" s="88"/>
      <c r="Y64" s="88"/>
      <c r="Z64" s="88">
        <v>0.875</v>
      </c>
      <c r="AA64" s="88">
        <v>1.5</v>
      </c>
      <c r="AB64" s="88">
        <v>1</v>
      </c>
      <c r="AC64" s="88">
        <v>1.5</v>
      </c>
      <c r="AD64" s="88">
        <v>1</v>
      </c>
      <c r="AE64" s="88">
        <v>0.75</v>
      </c>
      <c r="AF64" s="88"/>
      <c r="AG64" s="88">
        <v>1.5</v>
      </c>
      <c r="AH64" s="88">
        <v>1.5</v>
      </c>
      <c r="AI64" s="88">
        <v>1</v>
      </c>
      <c r="AJ64" s="88">
        <v>1.5</v>
      </c>
      <c r="AK64" s="88">
        <v>1</v>
      </c>
      <c r="AL64" s="88"/>
      <c r="AM64" s="88"/>
      <c r="AN64" s="89">
        <f t="shared" si="6"/>
        <v>25.625</v>
      </c>
      <c r="AO64" s="85">
        <v>150000</v>
      </c>
      <c r="AP64" s="90">
        <f t="shared" si="7"/>
        <v>3843750</v>
      </c>
    </row>
    <row r="65" spans="1:42" ht="24.9" customHeight="1" x14ac:dyDescent="0.4">
      <c r="A65" s="83">
        <v>60</v>
      </c>
      <c r="B65" s="83" t="s">
        <v>440</v>
      </c>
      <c r="C65" s="84" t="s">
        <v>441</v>
      </c>
      <c r="D65" s="36" t="s">
        <v>228</v>
      </c>
      <c r="E65" s="36" t="s">
        <v>442</v>
      </c>
      <c r="F65" s="93" t="s">
        <v>230</v>
      </c>
      <c r="G65" s="86" t="s">
        <v>440</v>
      </c>
      <c r="H65" s="87" t="s">
        <v>443</v>
      </c>
      <c r="I65" s="88"/>
      <c r="J65" s="88"/>
      <c r="K65" s="88"/>
      <c r="L65" s="88">
        <v>1</v>
      </c>
      <c r="M65" s="88">
        <v>1.5</v>
      </c>
      <c r="N65" s="88">
        <v>1</v>
      </c>
      <c r="O65" s="88">
        <v>1.5</v>
      </c>
      <c r="P65" s="88">
        <v>1</v>
      </c>
      <c r="Q65" s="88">
        <v>1</v>
      </c>
      <c r="R65" s="88"/>
      <c r="S65" s="88">
        <v>1</v>
      </c>
      <c r="T65" s="88">
        <v>1.5</v>
      </c>
      <c r="U65" s="88">
        <v>1</v>
      </c>
      <c r="V65" s="88">
        <v>1.5</v>
      </c>
      <c r="W65" s="88">
        <v>1</v>
      </c>
      <c r="X65" s="88">
        <v>1</v>
      </c>
      <c r="Y65" s="88"/>
      <c r="Z65" s="88">
        <v>1</v>
      </c>
      <c r="AA65" s="88">
        <v>1.5</v>
      </c>
      <c r="AB65" s="88">
        <v>1</v>
      </c>
      <c r="AC65" s="88">
        <v>1.5</v>
      </c>
      <c r="AD65" s="88">
        <v>1</v>
      </c>
      <c r="AE65" s="88">
        <v>0.75</v>
      </c>
      <c r="AF65" s="88"/>
      <c r="AG65" s="88">
        <v>1.5</v>
      </c>
      <c r="AH65" s="88">
        <v>1.5</v>
      </c>
      <c r="AI65" s="88">
        <v>1</v>
      </c>
      <c r="AJ65" s="88">
        <v>1.5</v>
      </c>
      <c r="AK65" s="88">
        <v>1</v>
      </c>
      <c r="AL65" s="88"/>
      <c r="AM65" s="88"/>
      <c r="AN65" s="89">
        <f t="shared" si="6"/>
        <v>27.25</v>
      </c>
      <c r="AO65" s="85">
        <v>190000</v>
      </c>
      <c r="AP65" s="90">
        <f t="shared" si="7"/>
        <v>5177500</v>
      </c>
    </row>
    <row r="66" spans="1:42" ht="24.9" customHeight="1" x14ac:dyDescent="0.4">
      <c r="A66" s="83">
        <v>61</v>
      </c>
      <c r="B66" s="83" t="s">
        <v>487</v>
      </c>
      <c r="C66" s="84" t="s">
        <v>513</v>
      </c>
      <c r="D66" s="36" t="s">
        <v>225</v>
      </c>
      <c r="E66" s="36" t="s">
        <v>540</v>
      </c>
      <c r="F66" s="95" t="s">
        <v>226</v>
      </c>
      <c r="G66" s="86" t="s">
        <v>487</v>
      </c>
      <c r="H66" s="87" t="s">
        <v>566</v>
      </c>
      <c r="I66" s="88"/>
      <c r="J66" s="88"/>
      <c r="K66" s="88"/>
      <c r="L66" s="88"/>
      <c r="M66" s="88">
        <v>1.5</v>
      </c>
      <c r="N66" s="88">
        <v>1</v>
      </c>
      <c r="O66" s="88">
        <v>1.5</v>
      </c>
      <c r="P66" s="88">
        <v>1</v>
      </c>
      <c r="Q66" s="88">
        <v>1</v>
      </c>
      <c r="R66" s="88"/>
      <c r="S66" s="88">
        <v>1</v>
      </c>
      <c r="T66" s="88">
        <v>1.5</v>
      </c>
      <c r="U66" s="88">
        <v>1</v>
      </c>
      <c r="V66" s="88">
        <v>1.5</v>
      </c>
      <c r="W66" s="88">
        <v>1</v>
      </c>
      <c r="X66" s="88"/>
      <c r="Y66" s="88"/>
      <c r="Z66" s="88">
        <v>1</v>
      </c>
      <c r="AA66" s="88">
        <v>1.5</v>
      </c>
      <c r="AB66" s="88">
        <v>1</v>
      </c>
      <c r="AC66" s="88">
        <v>1.5</v>
      </c>
      <c r="AD66" s="88">
        <v>1</v>
      </c>
      <c r="AE66" s="88">
        <v>0.75</v>
      </c>
      <c r="AF66" s="88"/>
      <c r="AG66" s="88">
        <v>1.5</v>
      </c>
      <c r="AH66" s="88">
        <v>1.5</v>
      </c>
      <c r="AI66" s="88">
        <v>1</v>
      </c>
      <c r="AJ66" s="88">
        <v>1.5</v>
      </c>
      <c r="AK66" s="88">
        <v>1</v>
      </c>
      <c r="AL66" s="88"/>
      <c r="AM66" s="88"/>
      <c r="AN66" s="89">
        <f t="shared" si="6"/>
        <v>25.25</v>
      </c>
      <c r="AO66" s="85">
        <v>170000</v>
      </c>
      <c r="AP66" s="90">
        <f t="shared" si="7"/>
        <v>4292500</v>
      </c>
    </row>
    <row r="67" spans="1:42" ht="24.9" customHeight="1" x14ac:dyDescent="0.4">
      <c r="A67" s="83">
        <v>62</v>
      </c>
      <c r="B67" s="83" t="s">
        <v>444</v>
      </c>
      <c r="C67" s="84" t="s">
        <v>445</v>
      </c>
      <c r="D67" s="127" t="s">
        <v>343</v>
      </c>
      <c r="E67" s="36" t="s">
        <v>446</v>
      </c>
      <c r="F67" s="93" t="s">
        <v>305</v>
      </c>
      <c r="G67" s="86" t="s">
        <v>444</v>
      </c>
      <c r="H67" s="87" t="s">
        <v>447</v>
      </c>
      <c r="I67" s="88"/>
      <c r="J67" s="88">
        <v>1</v>
      </c>
      <c r="K67" s="88"/>
      <c r="L67" s="88">
        <v>1</v>
      </c>
      <c r="M67" s="88">
        <v>1.5</v>
      </c>
      <c r="N67" s="88">
        <v>1</v>
      </c>
      <c r="O67" s="88">
        <v>1.5</v>
      </c>
      <c r="P67" s="88">
        <v>1</v>
      </c>
      <c r="Q67" s="88">
        <v>1</v>
      </c>
      <c r="R67" s="88"/>
      <c r="S67" s="88">
        <v>1</v>
      </c>
      <c r="T67" s="88">
        <v>1.5</v>
      </c>
      <c r="U67" s="88">
        <v>1</v>
      </c>
      <c r="V67" s="88">
        <v>1.5</v>
      </c>
      <c r="W67" s="88">
        <v>1</v>
      </c>
      <c r="X67" s="88"/>
      <c r="Y67" s="88"/>
      <c r="Z67" s="88">
        <v>1</v>
      </c>
      <c r="AA67" s="88">
        <v>1.5</v>
      </c>
      <c r="AB67" s="88">
        <v>1</v>
      </c>
      <c r="AC67" s="88">
        <v>1.5</v>
      </c>
      <c r="AD67" s="88">
        <v>1</v>
      </c>
      <c r="AE67" s="88">
        <v>0.75</v>
      </c>
      <c r="AF67" s="88"/>
      <c r="AG67" s="88">
        <v>1.5</v>
      </c>
      <c r="AH67" s="88">
        <v>1.5</v>
      </c>
      <c r="AI67" s="88"/>
      <c r="AJ67" s="88"/>
      <c r="AK67" s="88"/>
      <c r="AL67" s="88"/>
      <c r="AM67" s="88"/>
      <c r="AN67" s="89">
        <f t="shared" ref="AN67:AN96" si="8">SUM(I67:AM67)</f>
        <v>23.75</v>
      </c>
      <c r="AO67" s="85">
        <v>180000</v>
      </c>
      <c r="AP67" s="90">
        <f t="shared" ref="AP67:AP96" si="9">AN67*AO67</f>
        <v>4275000</v>
      </c>
    </row>
    <row r="68" spans="1:42" ht="24.9" customHeight="1" x14ac:dyDescent="0.4">
      <c r="A68" s="83">
        <v>63</v>
      </c>
      <c r="B68" s="83" t="s">
        <v>448</v>
      </c>
      <c r="C68" s="84" t="s">
        <v>449</v>
      </c>
      <c r="D68" s="127" t="s">
        <v>343</v>
      </c>
      <c r="E68" s="125" t="s">
        <v>450</v>
      </c>
      <c r="F68" s="93" t="s">
        <v>226</v>
      </c>
      <c r="G68" s="86" t="s">
        <v>448</v>
      </c>
      <c r="H68" s="87" t="s">
        <v>451</v>
      </c>
      <c r="I68" s="88"/>
      <c r="J68" s="88"/>
      <c r="K68" s="88"/>
      <c r="L68" s="88">
        <v>1</v>
      </c>
      <c r="M68" s="88">
        <v>1.5</v>
      </c>
      <c r="N68" s="88">
        <v>1</v>
      </c>
      <c r="O68" s="88">
        <v>1.5</v>
      </c>
      <c r="P68" s="88">
        <v>1</v>
      </c>
      <c r="Q68" s="88">
        <v>1</v>
      </c>
      <c r="R68" s="88"/>
      <c r="S68" s="88">
        <v>1</v>
      </c>
      <c r="T68" s="88">
        <v>1.5</v>
      </c>
      <c r="U68" s="88">
        <v>1</v>
      </c>
      <c r="V68" s="88">
        <v>1.5</v>
      </c>
      <c r="W68" s="88">
        <v>1</v>
      </c>
      <c r="X68" s="88"/>
      <c r="Y68" s="88"/>
      <c r="Z68" s="88">
        <v>1</v>
      </c>
      <c r="AA68" s="88">
        <v>1.5</v>
      </c>
      <c r="AB68" s="88">
        <v>1</v>
      </c>
      <c r="AC68" s="88">
        <v>1.5</v>
      </c>
      <c r="AD68" s="88">
        <v>1</v>
      </c>
      <c r="AE68" s="88">
        <v>0.75</v>
      </c>
      <c r="AF68" s="88"/>
      <c r="AG68" s="88">
        <v>1.5</v>
      </c>
      <c r="AH68" s="88">
        <v>1.5</v>
      </c>
      <c r="AI68" s="88">
        <v>1</v>
      </c>
      <c r="AJ68" s="88">
        <v>1.5</v>
      </c>
      <c r="AK68" s="88">
        <v>1</v>
      </c>
      <c r="AL68" s="88"/>
      <c r="AM68" s="88"/>
      <c r="AN68" s="89">
        <f t="shared" si="8"/>
        <v>26.25</v>
      </c>
      <c r="AO68" s="85">
        <v>190000</v>
      </c>
      <c r="AP68" s="90">
        <f t="shared" si="9"/>
        <v>4987500</v>
      </c>
    </row>
    <row r="69" spans="1:42" ht="24.9" customHeight="1" x14ac:dyDescent="0.4">
      <c r="A69" s="83">
        <v>64</v>
      </c>
      <c r="B69" s="83" t="s">
        <v>452</v>
      </c>
      <c r="C69" s="84" t="s">
        <v>453</v>
      </c>
      <c r="D69" s="36" t="s">
        <v>225</v>
      </c>
      <c r="E69" s="125" t="s">
        <v>454</v>
      </c>
      <c r="F69" s="93" t="s">
        <v>230</v>
      </c>
      <c r="G69" s="86" t="s">
        <v>452</v>
      </c>
      <c r="H69" s="87" t="s">
        <v>455</v>
      </c>
      <c r="I69" s="88"/>
      <c r="J69" s="88"/>
      <c r="K69" s="88"/>
      <c r="L69" s="88">
        <v>1</v>
      </c>
      <c r="M69" s="88">
        <v>1.5</v>
      </c>
      <c r="N69" s="88">
        <v>1</v>
      </c>
      <c r="O69" s="88">
        <v>1.5</v>
      </c>
      <c r="P69" s="88">
        <v>1</v>
      </c>
      <c r="Q69" s="88">
        <v>1</v>
      </c>
      <c r="R69" s="88"/>
      <c r="S69" s="88">
        <v>1</v>
      </c>
      <c r="T69" s="88">
        <v>1.5</v>
      </c>
      <c r="U69" s="88">
        <v>1</v>
      </c>
      <c r="V69" s="88">
        <v>1.5</v>
      </c>
      <c r="W69" s="88">
        <v>1</v>
      </c>
      <c r="X69" s="88"/>
      <c r="Y69" s="88"/>
      <c r="Z69" s="88">
        <v>1</v>
      </c>
      <c r="AA69" s="88">
        <v>1.5</v>
      </c>
      <c r="AB69" s="88">
        <v>1</v>
      </c>
      <c r="AC69" s="88">
        <v>1.5</v>
      </c>
      <c r="AD69" s="88">
        <v>1</v>
      </c>
      <c r="AE69" s="88">
        <v>0.75</v>
      </c>
      <c r="AF69" s="88"/>
      <c r="AG69" s="88">
        <v>1.5</v>
      </c>
      <c r="AH69" s="88">
        <v>1.5</v>
      </c>
      <c r="AI69" s="88">
        <v>1</v>
      </c>
      <c r="AJ69" s="88">
        <v>1.5</v>
      </c>
      <c r="AK69" s="88">
        <v>1</v>
      </c>
      <c r="AL69" s="88"/>
      <c r="AM69" s="88"/>
      <c r="AN69" s="89">
        <f t="shared" si="8"/>
        <v>26.25</v>
      </c>
      <c r="AO69" s="85">
        <v>150000</v>
      </c>
      <c r="AP69" s="90">
        <f t="shared" si="9"/>
        <v>3937500</v>
      </c>
    </row>
    <row r="70" spans="1:42" ht="24.9" customHeight="1" x14ac:dyDescent="0.4">
      <c r="A70" s="83">
        <v>65</v>
      </c>
      <c r="B70" s="83" t="s">
        <v>456</v>
      </c>
      <c r="C70" s="84" t="s">
        <v>457</v>
      </c>
      <c r="D70" s="36" t="s">
        <v>225</v>
      </c>
      <c r="E70" s="125" t="s">
        <v>458</v>
      </c>
      <c r="F70" s="93" t="s">
        <v>297</v>
      </c>
      <c r="G70" s="86" t="s">
        <v>456</v>
      </c>
      <c r="H70" s="87" t="s">
        <v>458</v>
      </c>
      <c r="I70" s="88"/>
      <c r="J70" s="88">
        <v>1</v>
      </c>
      <c r="K70" s="88"/>
      <c r="L70" s="88">
        <v>1</v>
      </c>
      <c r="M70" s="88">
        <v>1.5</v>
      </c>
      <c r="N70" s="88">
        <v>1</v>
      </c>
      <c r="O70" s="88">
        <v>1.5</v>
      </c>
      <c r="P70" s="88">
        <v>0.5</v>
      </c>
      <c r="Q70" s="88"/>
      <c r="R70" s="88"/>
      <c r="S70" s="88">
        <v>1</v>
      </c>
      <c r="T70" s="88">
        <v>1.5</v>
      </c>
      <c r="U70" s="88">
        <v>1</v>
      </c>
      <c r="V70" s="88">
        <v>1.5</v>
      </c>
      <c r="W70" s="88">
        <v>1</v>
      </c>
      <c r="X70" s="88">
        <v>1</v>
      </c>
      <c r="Y70" s="88"/>
      <c r="Z70" s="88">
        <v>1</v>
      </c>
      <c r="AA70" s="88">
        <v>1.5</v>
      </c>
      <c r="AB70" s="88">
        <v>1</v>
      </c>
      <c r="AC70" s="88">
        <v>1.5</v>
      </c>
      <c r="AD70" s="88">
        <v>1</v>
      </c>
      <c r="AE70" s="88"/>
      <c r="AF70" s="88"/>
      <c r="AG70" s="88">
        <v>1.5</v>
      </c>
      <c r="AH70" s="88">
        <v>1.5</v>
      </c>
      <c r="AI70" s="88">
        <v>1</v>
      </c>
      <c r="AJ70" s="88">
        <v>1.5</v>
      </c>
      <c r="AK70" s="88">
        <v>1</v>
      </c>
      <c r="AL70" s="88"/>
      <c r="AM70" s="88"/>
      <c r="AN70" s="89">
        <f t="shared" si="8"/>
        <v>26</v>
      </c>
      <c r="AO70" s="85">
        <v>150000</v>
      </c>
      <c r="AP70" s="90">
        <f t="shared" si="9"/>
        <v>3900000</v>
      </c>
    </row>
    <row r="71" spans="1:42" ht="24.9" customHeight="1" x14ac:dyDescent="0.4">
      <c r="A71" s="83">
        <v>66</v>
      </c>
      <c r="B71" s="83" t="s">
        <v>607</v>
      </c>
      <c r="C71" s="84" t="s">
        <v>646</v>
      </c>
      <c r="D71" s="36" t="s">
        <v>228</v>
      </c>
      <c r="E71" s="125" t="s">
        <v>685</v>
      </c>
      <c r="F71" s="93" t="s">
        <v>226</v>
      </c>
      <c r="G71" s="86" t="s">
        <v>607</v>
      </c>
      <c r="H71" s="87" t="s">
        <v>724</v>
      </c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>
        <v>0.6875</v>
      </c>
      <c r="T71" s="88">
        <v>1.125</v>
      </c>
      <c r="U71" s="88">
        <v>0.5</v>
      </c>
      <c r="V71" s="88">
        <v>0.5</v>
      </c>
      <c r="W71" s="88">
        <v>1</v>
      </c>
      <c r="X71" s="88"/>
      <c r="Y71" s="88"/>
      <c r="Z71" s="88">
        <v>1</v>
      </c>
      <c r="AA71" s="88">
        <v>1.5</v>
      </c>
      <c r="AB71" s="88">
        <v>1</v>
      </c>
      <c r="AC71" s="88">
        <v>1.5</v>
      </c>
      <c r="AD71" s="88">
        <v>1</v>
      </c>
      <c r="AE71" s="88">
        <v>0.75</v>
      </c>
      <c r="AF71" s="88"/>
      <c r="AG71" s="88">
        <v>1.5</v>
      </c>
      <c r="AH71" s="88">
        <v>1.5</v>
      </c>
      <c r="AI71" s="88">
        <v>1</v>
      </c>
      <c r="AJ71" s="88">
        <v>1.5</v>
      </c>
      <c r="AK71" s="88">
        <v>1</v>
      </c>
      <c r="AL71" s="88"/>
      <c r="AM71" s="88"/>
      <c r="AN71" s="89">
        <f t="shared" si="8"/>
        <v>17.0625</v>
      </c>
      <c r="AO71" s="85">
        <v>230000</v>
      </c>
      <c r="AP71" s="90">
        <f t="shared" si="9"/>
        <v>3924375</v>
      </c>
    </row>
    <row r="72" spans="1:42" ht="24.9" customHeight="1" x14ac:dyDescent="0.4">
      <c r="A72" s="83">
        <v>67</v>
      </c>
      <c r="B72" s="83" t="s">
        <v>608</v>
      </c>
      <c r="C72" s="84" t="s">
        <v>647</v>
      </c>
      <c r="D72" s="36" t="s">
        <v>227</v>
      </c>
      <c r="E72" s="125" t="s">
        <v>686</v>
      </c>
      <c r="F72" s="93" t="s">
        <v>230</v>
      </c>
      <c r="G72" s="86" t="s">
        <v>608</v>
      </c>
      <c r="H72" s="87" t="s">
        <v>725</v>
      </c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>
        <v>0.6875</v>
      </c>
      <c r="T72" s="88">
        <v>1.125</v>
      </c>
      <c r="U72" s="88">
        <v>0.5</v>
      </c>
      <c r="V72" s="88">
        <v>0.5</v>
      </c>
      <c r="W72" s="88">
        <v>1</v>
      </c>
      <c r="X72" s="88"/>
      <c r="Y72" s="88"/>
      <c r="Z72" s="88">
        <v>1</v>
      </c>
      <c r="AA72" s="88">
        <v>1.5</v>
      </c>
      <c r="AB72" s="88">
        <v>1</v>
      </c>
      <c r="AC72" s="88">
        <v>1.5</v>
      </c>
      <c r="AD72" s="88">
        <v>1</v>
      </c>
      <c r="AE72" s="88">
        <v>0.75</v>
      </c>
      <c r="AF72" s="88"/>
      <c r="AG72" s="88">
        <v>1.5</v>
      </c>
      <c r="AH72" s="88">
        <v>1.5</v>
      </c>
      <c r="AI72" s="88">
        <v>1</v>
      </c>
      <c r="AJ72" s="88">
        <v>1.5</v>
      </c>
      <c r="AK72" s="88">
        <v>1</v>
      </c>
      <c r="AL72" s="88"/>
      <c r="AM72" s="88"/>
      <c r="AN72" s="89">
        <f t="shared" si="8"/>
        <v>17.0625</v>
      </c>
      <c r="AO72" s="85">
        <v>240000</v>
      </c>
      <c r="AP72" s="90">
        <f t="shared" si="9"/>
        <v>4095000</v>
      </c>
    </row>
    <row r="73" spans="1:42" ht="24.9" customHeight="1" x14ac:dyDescent="0.4">
      <c r="A73" s="83">
        <v>68</v>
      </c>
      <c r="B73" s="83" t="s">
        <v>609</v>
      </c>
      <c r="C73" s="84" t="s">
        <v>648</v>
      </c>
      <c r="D73" s="36" t="s">
        <v>225</v>
      </c>
      <c r="E73" s="125" t="s">
        <v>687</v>
      </c>
      <c r="F73" s="93" t="s">
        <v>229</v>
      </c>
      <c r="G73" s="86" t="s">
        <v>609</v>
      </c>
      <c r="H73" s="87" t="s">
        <v>726</v>
      </c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>
        <v>0.6875</v>
      </c>
      <c r="T73" s="88">
        <v>1.125</v>
      </c>
      <c r="U73" s="88"/>
      <c r="V73" s="88">
        <v>0.5</v>
      </c>
      <c r="W73" s="88">
        <v>1</v>
      </c>
      <c r="X73" s="88"/>
      <c r="Y73" s="88"/>
      <c r="Z73" s="88">
        <v>1</v>
      </c>
      <c r="AA73" s="88">
        <v>1.5</v>
      </c>
      <c r="AB73" s="88">
        <v>1</v>
      </c>
      <c r="AC73" s="88">
        <v>1.5</v>
      </c>
      <c r="AD73" s="88">
        <v>1</v>
      </c>
      <c r="AE73" s="88">
        <v>0.75</v>
      </c>
      <c r="AF73" s="88"/>
      <c r="AG73" s="88">
        <v>1.5</v>
      </c>
      <c r="AH73" s="88">
        <v>1.5</v>
      </c>
      <c r="AI73" s="88">
        <v>1</v>
      </c>
      <c r="AJ73" s="88">
        <v>1.5</v>
      </c>
      <c r="AK73" s="88">
        <v>1</v>
      </c>
      <c r="AL73" s="88"/>
      <c r="AM73" s="88"/>
      <c r="AN73" s="89">
        <f t="shared" si="8"/>
        <v>16.5625</v>
      </c>
      <c r="AO73" s="85">
        <v>220000</v>
      </c>
      <c r="AP73" s="90">
        <f t="shared" si="9"/>
        <v>3643750</v>
      </c>
    </row>
    <row r="74" spans="1:42" ht="24.9" customHeight="1" x14ac:dyDescent="0.4">
      <c r="A74" s="83">
        <v>69</v>
      </c>
      <c r="B74" s="83" t="s">
        <v>610</v>
      </c>
      <c r="C74" s="84" t="s">
        <v>649</v>
      </c>
      <c r="D74" s="127" t="s">
        <v>225</v>
      </c>
      <c r="E74" s="36" t="s">
        <v>688</v>
      </c>
      <c r="F74" s="95" t="s">
        <v>358</v>
      </c>
      <c r="G74" s="86" t="s">
        <v>610</v>
      </c>
      <c r="H74" s="87" t="s">
        <v>727</v>
      </c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>
        <v>0.6875</v>
      </c>
      <c r="T74" s="88">
        <v>1.125</v>
      </c>
      <c r="U74" s="88"/>
      <c r="V74" s="88">
        <v>0.5</v>
      </c>
      <c r="W74" s="88"/>
      <c r="X74" s="88"/>
      <c r="Y74" s="88"/>
      <c r="Z74" s="88">
        <v>1</v>
      </c>
      <c r="AA74" s="88"/>
      <c r="AB74" s="88">
        <v>1</v>
      </c>
      <c r="AC74" s="88">
        <v>1.5</v>
      </c>
      <c r="AD74" s="88">
        <v>1</v>
      </c>
      <c r="AE74" s="88">
        <v>0.75</v>
      </c>
      <c r="AF74" s="88"/>
      <c r="AG74" s="88">
        <v>1.5</v>
      </c>
      <c r="AH74" s="88">
        <v>1.5</v>
      </c>
      <c r="AI74" s="88">
        <v>1</v>
      </c>
      <c r="AJ74" s="88">
        <v>1.5</v>
      </c>
      <c r="AK74" s="88">
        <v>1</v>
      </c>
      <c r="AL74" s="88"/>
      <c r="AM74" s="88"/>
      <c r="AN74" s="89">
        <f t="shared" si="8"/>
        <v>14.0625</v>
      </c>
      <c r="AO74" s="85">
        <v>160000</v>
      </c>
      <c r="AP74" s="90">
        <f t="shared" si="9"/>
        <v>2250000</v>
      </c>
    </row>
    <row r="75" spans="1:42" ht="24.9" customHeight="1" x14ac:dyDescent="0.4">
      <c r="A75" s="83">
        <v>70</v>
      </c>
      <c r="B75" s="83" t="s">
        <v>611</v>
      </c>
      <c r="C75" s="84" t="s">
        <v>650</v>
      </c>
      <c r="D75" s="36" t="s">
        <v>225</v>
      </c>
      <c r="E75" s="36" t="s">
        <v>689</v>
      </c>
      <c r="F75" s="93" t="s">
        <v>297</v>
      </c>
      <c r="G75" s="86" t="s">
        <v>611</v>
      </c>
      <c r="H75" s="87" t="s">
        <v>728</v>
      </c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>
        <v>0.6875</v>
      </c>
      <c r="T75" s="88">
        <v>1.125</v>
      </c>
      <c r="U75" s="88"/>
      <c r="V75" s="88">
        <v>0.5</v>
      </c>
      <c r="W75" s="88">
        <v>1</v>
      </c>
      <c r="X75" s="88"/>
      <c r="Y75" s="88"/>
      <c r="Z75" s="88">
        <v>1</v>
      </c>
      <c r="AA75" s="88">
        <v>1.5</v>
      </c>
      <c r="AB75" s="88">
        <v>1</v>
      </c>
      <c r="AC75" s="88">
        <v>1.5</v>
      </c>
      <c r="AD75" s="88">
        <v>1</v>
      </c>
      <c r="AE75" s="88">
        <v>0.5</v>
      </c>
      <c r="AF75" s="88"/>
      <c r="AG75" s="88">
        <v>1.5</v>
      </c>
      <c r="AH75" s="88">
        <v>1.5</v>
      </c>
      <c r="AI75" s="88">
        <v>1</v>
      </c>
      <c r="AJ75" s="88">
        <v>1.5</v>
      </c>
      <c r="AK75" s="88">
        <v>1</v>
      </c>
      <c r="AL75" s="88"/>
      <c r="AM75" s="88"/>
      <c r="AN75" s="89">
        <f t="shared" si="8"/>
        <v>16.3125</v>
      </c>
      <c r="AO75" s="85">
        <v>180000</v>
      </c>
      <c r="AP75" s="90">
        <f t="shared" si="9"/>
        <v>2936250</v>
      </c>
    </row>
    <row r="76" spans="1:42" ht="24.9" customHeight="1" x14ac:dyDescent="0.4">
      <c r="A76" s="83">
        <v>71</v>
      </c>
      <c r="B76" s="83" t="s">
        <v>612</v>
      </c>
      <c r="C76" s="84" t="s">
        <v>651</v>
      </c>
      <c r="D76" s="36" t="s">
        <v>225</v>
      </c>
      <c r="E76" s="125" t="s">
        <v>690</v>
      </c>
      <c r="F76" s="95" t="s">
        <v>297</v>
      </c>
      <c r="G76" s="86" t="s">
        <v>612</v>
      </c>
      <c r="H76" s="87" t="s">
        <v>729</v>
      </c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>
        <v>0.6875</v>
      </c>
      <c r="T76" s="88">
        <v>1.125</v>
      </c>
      <c r="U76" s="88"/>
      <c r="V76" s="88">
        <v>0.5</v>
      </c>
      <c r="W76" s="88">
        <v>1</v>
      </c>
      <c r="X76" s="88"/>
      <c r="Y76" s="88"/>
      <c r="Z76" s="88">
        <v>1</v>
      </c>
      <c r="AA76" s="88">
        <v>1.5</v>
      </c>
      <c r="AB76" s="88">
        <v>1</v>
      </c>
      <c r="AC76" s="88">
        <v>1.5</v>
      </c>
      <c r="AD76" s="88">
        <v>1</v>
      </c>
      <c r="AE76" s="88">
        <v>0.75</v>
      </c>
      <c r="AF76" s="88"/>
      <c r="AG76" s="88">
        <v>1.5</v>
      </c>
      <c r="AH76" s="88">
        <v>1.5</v>
      </c>
      <c r="AI76" s="88">
        <v>1</v>
      </c>
      <c r="AJ76" s="88">
        <v>1.5</v>
      </c>
      <c r="AK76" s="88">
        <v>1</v>
      </c>
      <c r="AL76" s="88"/>
      <c r="AM76" s="88"/>
      <c r="AN76" s="89">
        <f t="shared" si="8"/>
        <v>16.5625</v>
      </c>
      <c r="AO76" s="85">
        <v>170000</v>
      </c>
      <c r="AP76" s="90">
        <f t="shared" si="9"/>
        <v>2815625</v>
      </c>
    </row>
    <row r="77" spans="1:42" ht="24.9" customHeight="1" x14ac:dyDescent="0.4">
      <c r="A77" s="83">
        <v>72</v>
      </c>
      <c r="B77" s="83" t="s">
        <v>613</v>
      </c>
      <c r="C77" s="84" t="s">
        <v>652</v>
      </c>
      <c r="D77" s="127" t="s">
        <v>225</v>
      </c>
      <c r="E77" s="125" t="s">
        <v>691</v>
      </c>
      <c r="F77" s="93" t="s">
        <v>229</v>
      </c>
      <c r="G77" s="86" t="s">
        <v>613</v>
      </c>
      <c r="H77" s="87" t="s">
        <v>730</v>
      </c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>
        <v>0.6875</v>
      </c>
      <c r="T77" s="88">
        <v>1.125</v>
      </c>
      <c r="U77" s="88"/>
      <c r="V77" s="88">
        <v>0.5</v>
      </c>
      <c r="W77" s="88">
        <v>1</v>
      </c>
      <c r="X77" s="88"/>
      <c r="Y77" s="88"/>
      <c r="Z77" s="88">
        <v>1</v>
      </c>
      <c r="AA77" s="88">
        <v>1.5</v>
      </c>
      <c r="AB77" s="88">
        <v>1</v>
      </c>
      <c r="AC77" s="88">
        <v>1.5</v>
      </c>
      <c r="AD77" s="88">
        <v>1</v>
      </c>
      <c r="AE77" s="88">
        <v>0.75</v>
      </c>
      <c r="AF77" s="88"/>
      <c r="AG77" s="88">
        <v>1.5</v>
      </c>
      <c r="AH77" s="88">
        <v>1.5</v>
      </c>
      <c r="AI77" s="88">
        <v>1</v>
      </c>
      <c r="AJ77" s="88">
        <v>1.5</v>
      </c>
      <c r="AK77" s="88">
        <v>1</v>
      </c>
      <c r="AL77" s="88"/>
      <c r="AM77" s="88"/>
      <c r="AN77" s="89">
        <f t="shared" si="8"/>
        <v>16.5625</v>
      </c>
      <c r="AO77" s="85">
        <v>170000</v>
      </c>
      <c r="AP77" s="90">
        <f t="shared" si="9"/>
        <v>2815625</v>
      </c>
    </row>
    <row r="78" spans="1:42" ht="24.9" customHeight="1" x14ac:dyDescent="0.4">
      <c r="A78" s="83">
        <v>73</v>
      </c>
      <c r="B78" s="83" t="s">
        <v>614</v>
      </c>
      <c r="C78" s="84" t="s">
        <v>653</v>
      </c>
      <c r="D78" s="36" t="s">
        <v>225</v>
      </c>
      <c r="E78" s="36" t="s">
        <v>692</v>
      </c>
      <c r="F78" s="93" t="s">
        <v>226</v>
      </c>
      <c r="G78" s="86" t="s">
        <v>614</v>
      </c>
      <c r="H78" s="87" t="s">
        <v>731</v>
      </c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>
        <v>0.6875</v>
      </c>
      <c r="T78" s="88">
        <v>1.125</v>
      </c>
      <c r="U78" s="88"/>
      <c r="V78" s="88">
        <v>0.5</v>
      </c>
      <c r="W78" s="88">
        <v>1</v>
      </c>
      <c r="X78" s="88"/>
      <c r="Y78" s="88"/>
      <c r="Z78" s="88">
        <v>1</v>
      </c>
      <c r="AA78" s="88">
        <v>1.5</v>
      </c>
      <c r="AB78" s="88">
        <v>1</v>
      </c>
      <c r="AC78" s="88">
        <v>1.5</v>
      </c>
      <c r="AD78" s="88">
        <v>1</v>
      </c>
      <c r="AE78" s="88">
        <v>0.75</v>
      </c>
      <c r="AF78" s="88"/>
      <c r="AG78" s="88">
        <v>1.5</v>
      </c>
      <c r="AH78" s="88">
        <v>1.5</v>
      </c>
      <c r="AI78" s="88">
        <v>1</v>
      </c>
      <c r="AJ78" s="88">
        <v>1.5</v>
      </c>
      <c r="AK78" s="88">
        <v>0.5</v>
      </c>
      <c r="AL78" s="88"/>
      <c r="AM78" s="88"/>
      <c r="AN78" s="89">
        <f t="shared" si="8"/>
        <v>16.0625</v>
      </c>
      <c r="AO78" s="85">
        <v>170000</v>
      </c>
      <c r="AP78" s="90">
        <f t="shared" si="9"/>
        <v>2730625</v>
      </c>
    </row>
    <row r="79" spans="1:42" ht="24.9" customHeight="1" x14ac:dyDescent="0.4">
      <c r="A79" s="83">
        <v>74</v>
      </c>
      <c r="B79" s="83" t="s">
        <v>615</v>
      </c>
      <c r="C79" s="84" t="s">
        <v>654</v>
      </c>
      <c r="D79" s="36" t="s">
        <v>309</v>
      </c>
      <c r="E79" s="36" t="s">
        <v>693</v>
      </c>
      <c r="F79" s="93" t="s">
        <v>297</v>
      </c>
      <c r="G79" s="86" t="s">
        <v>615</v>
      </c>
      <c r="H79" s="87" t="s">
        <v>732</v>
      </c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>
        <v>0.6875</v>
      </c>
      <c r="AA79" s="88"/>
      <c r="AB79" s="88">
        <v>0.5</v>
      </c>
      <c r="AC79" s="88">
        <v>0.75</v>
      </c>
      <c r="AD79" s="88">
        <v>1</v>
      </c>
      <c r="AE79" s="88"/>
      <c r="AF79" s="88"/>
      <c r="AG79" s="88">
        <v>1.5</v>
      </c>
      <c r="AH79" s="88">
        <v>1.5</v>
      </c>
      <c r="AI79" s="88">
        <v>1</v>
      </c>
      <c r="AJ79" s="88">
        <v>1.5</v>
      </c>
      <c r="AK79" s="88">
        <v>1</v>
      </c>
      <c r="AL79" s="88">
        <v>0.375</v>
      </c>
      <c r="AM79" s="88"/>
      <c r="AN79" s="89">
        <f t="shared" si="8"/>
        <v>9.8125</v>
      </c>
      <c r="AO79" s="85">
        <v>240000</v>
      </c>
      <c r="AP79" s="90">
        <f t="shared" si="9"/>
        <v>2355000</v>
      </c>
    </row>
    <row r="80" spans="1:42" ht="24.9" customHeight="1" x14ac:dyDescent="0.4">
      <c r="A80" s="83">
        <v>75</v>
      </c>
      <c r="B80" s="83" t="s">
        <v>616</v>
      </c>
      <c r="C80" s="84" t="s">
        <v>655</v>
      </c>
      <c r="D80" s="36" t="s">
        <v>228</v>
      </c>
      <c r="E80" s="36" t="s">
        <v>694</v>
      </c>
      <c r="F80" s="93" t="s">
        <v>230</v>
      </c>
      <c r="G80" s="86" t="s">
        <v>616</v>
      </c>
      <c r="H80" s="87" t="s">
        <v>733</v>
      </c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>
        <v>0.6875</v>
      </c>
      <c r="AA80" s="88">
        <v>1.125</v>
      </c>
      <c r="AB80" s="88">
        <v>0.5</v>
      </c>
      <c r="AC80" s="88">
        <v>0.75</v>
      </c>
      <c r="AD80" s="88">
        <v>1</v>
      </c>
      <c r="AE80" s="88"/>
      <c r="AF80" s="88"/>
      <c r="AG80" s="88">
        <v>1.5</v>
      </c>
      <c r="AH80" s="88">
        <v>1.5</v>
      </c>
      <c r="AI80" s="88">
        <v>1</v>
      </c>
      <c r="AJ80" s="88">
        <v>1.5</v>
      </c>
      <c r="AK80" s="88">
        <v>1</v>
      </c>
      <c r="AL80" s="88"/>
      <c r="AM80" s="88"/>
      <c r="AN80" s="89">
        <f t="shared" si="8"/>
        <v>10.5625</v>
      </c>
      <c r="AO80" s="85">
        <v>200000</v>
      </c>
      <c r="AP80" s="90">
        <f t="shared" si="9"/>
        <v>2112500</v>
      </c>
    </row>
    <row r="81" spans="1:42" ht="24.9" customHeight="1" x14ac:dyDescent="0.4">
      <c r="A81" s="83">
        <v>76</v>
      </c>
      <c r="B81" s="83" t="s">
        <v>617</v>
      </c>
      <c r="C81" s="84" t="s">
        <v>656</v>
      </c>
      <c r="D81" s="36" t="s">
        <v>228</v>
      </c>
      <c r="E81" s="36" t="s">
        <v>695</v>
      </c>
      <c r="F81" s="93" t="s">
        <v>226</v>
      </c>
      <c r="G81" s="86" t="s">
        <v>617</v>
      </c>
      <c r="H81" s="87" t="s">
        <v>734</v>
      </c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>
        <v>0.6875</v>
      </c>
      <c r="AA81" s="88">
        <v>1.125</v>
      </c>
      <c r="AB81" s="88">
        <v>0.5</v>
      </c>
      <c r="AC81" s="88">
        <v>0.75</v>
      </c>
      <c r="AD81" s="88">
        <v>1</v>
      </c>
      <c r="AE81" s="88"/>
      <c r="AF81" s="88"/>
      <c r="AG81" s="88">
        <v>1.5</v>
      </c>
      <c r="AH81" s="88">
        <v>1.5</v>
      </c>
      <c r="AI81" s="88">
        <v>1</v>
      </c>
      <c r="AJ81" s="88">
        <v>1.5</v>
      </c>
      <c r="AK81" s="88">
        <v>1</v>
      </c>
      <c r="AL81" s="88"/>
      <c r="AM81" s="88"/>
      <c r="AN81" s="89">
        <f t="shared" si="8"/>
        <v>10.5625</v>
      </c>
      <c r="AO81" s="85">
        <v>220000</v>
      </c>
      <c r="AP81" s="90">
        <f t="shared" si="9"/>
        <v>2323750</v>
      </c>
    </row>
    <row r="82" spans="1:42" ht="24.9" customHeight="1" x14ac:dyDescent="0.4">
      <c r="A82" s="83">
        <v>77</v>
      </c>
      <c r="B82" s="83" t="s">
        <v>618</v>
      </c>
      <c r="C82" s="84" t="s">
        <v>657</v>
      </c>
      <c r="D82" s="36" t="s">
        <v>228</v>
      </c>
      <c r="E82" s="36" t="s">
        <v>696</v>
      </c>
      <c r="F82" s="95" t="s">
        <v>735</v>
      </c>
      <c r="G82" s="86" t="s">
        <v>618</v>
      </c>
      <c r="H82" s="87" t="s">
        <v>736</v>
      </c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>
        <v>0.6875</v>
      </c>
      <c r="AA82" s="88">
        <v>1.125</v>
      </c>
      <c r="AB82" s="88">
        <v>0.5</v>
      </c>
      <c r="AC82" s="88">
        <v>0.75</v>
      </c>
      <c r="AD82" s="88">
        <v>1</v>
      </c>
      <c r="AE82" s="88"/>
      <c r="AF82" s="88"/>
      <c r="AG82" s="88">
        <v>1.5</v>
      </c>
      <c r="AH82" s="88">
        <v>1.5</v>
      </c>
      <c r="AI82" s="88">
        <v>1</v>
      </c>
      <c r="AJ82" s="88">
        <v>1.5</v>
      </c>
      <c r="AK82" s="88">
        <v>1</v>
      </c>
      <c r="AL82" s="88"/>
      <c r="AM82" s="88"/>
      <c r="AN82" s="89">
        <f t="shared" si="8"/>
        <v>10.5625</v>
      </c>
      <c r="AO82" s="85">
        <v>170000</v>
      </c>
      <c r="AP82" s="90">
        <f t="shared" si="9"/>
        <v>1795625</v>
      </c>
    </row>
    <row r="83" spans="1:42" ht="24.9" customHeight="1" x14ac:dyDescent="0.4">
      <c r="A83" s="83">
        <v>78</v>
      </c>
      <c r="B83" s="83" t="s">
        <v>619</v>
      </c>
      <c r="C83" s="84" t="s">
        <v>658</v>
      </c>
      <c r="D83" s="36" t="s">
        <v>227</v>
      </c>
      <c r="E83" s="36" t="s">
        <v>697</v>
      </c>
      <c r="F83" s="93" t="s">
        <v>297</v>
      </c>
      <c r="G83" s="86" t="s">
        <v>619</v>
      </c>
      <c r="H83" s="87" t="s">
        <v>737</v>
      </c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>
        <v>0.6875</v>
      </c>
      <c r="AA83" s="88">
        <v>1.125</v>
      </c>
      <c r="AB83" s="88">
        <v>0.5</v>
      </c>
      <c r="AC83" s="88">
        <v>0.75</v>
      </c>
      <c r="AD83" s="88">
        <v>1</v>
      </c>
      <c r="AE83" s="88"/>
      <c r="AF83" s="88"/>
      <c r="AG83" s="88">
        <v>1.5</v>
      </c>
      <c r="AH83" s="88">
        <v>1.5</v>
      </c>
      <c r="AI83" s="88">
        <v>1</v>
      </c>
      <c r="AJ83" s="88">
        <v>1.5</v>
      </c>
      <c r="AK83" s="88">
        <v>0.5</v>
      </c>
      <c r="AL83" s="88"/>
      <c r="AM83" s="88"/>
      <c r="AN83" s="89">
        <f t="shared" si="8"/>
        <v>10.0625</v>
      </c>
      <c r="AO83" s="85">
        <v>230000</v>
      </c>
      <c r="AP83" s="90">
        <f t="shared" si="9"/>
        <v>2314375</v>
      </c>
    </row>
    <row r="84" spans="1:42" ht="24.9" customHeight="1" x14ac:dyDescent="0.4">
      <c r="A84" s="83">
        <v>79</v>
      </c>
      <c r="B84" s="83" t="s">
        <v>620</v>
      </c>
      <c r="C84" s="84" t="s">
        <v>659</v>
      </c>
      <c r="D84" s="127" t="s">
        <v>343</v>
      </c>
      <c r="E84" s="125" t="s">
        <v>698</v>
      </c>
      <c r="F84" s="93" t="s">
        <v>229</v>
      </c>
      <c r="G84" s="86" t="s">
        <v>620</v>
      </c>
      <c r="H84" s="87" t="s">
        <v>738</v>
      </c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>
        <v>0.6875</v>
      </c>
      <c r="AA84" s="88">
        <v>1.125</v>
      </c>
      <c r="AB84" s="88">
        <v>0.5</v>
      </c>
      <c r="AC84" s="88">
        <v>0.75</v>
      </c>
      <c r="AD84" s="88">
        <v>1</v>
      </c>
      <c r="AE84" s="88"/>
      <c r="AF84" s="88"/>
      <c r="AG84" s="88">
        <v>1.5</v>
      </c>
      <c r="AH84" s="88">
        <v>1.5</v>
      </c>
      <c r="AI84" s="88">
        <v>1</v>
      </c>
      <c r="AJ84" s="88">
        <v>1.5</v>
      </c>
      <c r="AK84" s="88">
        <v>1</v>
      </c>
      <c r="AL84" s="88"/>
      <c r="AM84" s="88"/>
      <c r="AN84" s="89">
        <f t="shared" si="8"/>
        <v>10.5625</v>
      </c>
      <c r="AO84" s="85">
        <v>180000</v>
      </c>
      <c r="AP84" s="90">
        <f t="shared" si="9"/>
        <v>1901250</v>
      </c>
    </row>
    <row r="85" spans="1:42" ht="24.9" customHeight="1" x14ac:dyDescent="0.4">
      <c r="A85" s="83">
        <v>80</v>
      </c>
      <c r="B85" s="83" t="s">
        <v>621</v>
      </c>
      <c r="C85" s="84" t="s">
        <v>660</v>
      </c>
      <c r="D85" s="36" t="s">
        <v>343</v>
      </c>
      <c r="E85" s="125" t="s">
        <v>699</v>
      </c>
      <c r="F85" s="93" t="s">
        <v>226</v>
      </c>
      <c r="G85" s="86" t="s">
        <v>621</v>
      </c>
      <c r="H85" s="87" t="s">
        <v>739</v>
      </c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>
        <v>0.6875</v>
      </c>
      <c r="AA85" s="88">
        <v>1.125</v>
      </c>
      <c r="AB85" s="88">
        <v>0.5</v>
      </c>
      <c r="AC85" s="88">
        <v>0.75</v>
      </c>
      <c r="AD85" s="88">
        <v>1</v>
      </c>
      <c r="AE85" s="88"/>
      <c r="AF85" s="88"/>
      <c r="AG85" s="88">
        <v>1.5</v>
      </c>
      <c r="AH85" s="88">
        <v>1.5</v>
      </c>
      <c r="AI85" s="88">
        <v>1</v>
      </c>
      <c r="AJ85" s="88">
        <v>1.5</v>
      </c>
      <c r="AK85" s="88">
        <v>1</v>
      </c>
      <c r="AL85" s="88"/>
      <c r="AM85" s="88"/>
      <c r="AN85" s="89">
        <f t="shared" si="8"/>
        <v>10.5625</v>
      </c>
      <c r="AO85" s="85">
        <v>200000</v>
      </c>
      <c r="AP85" s="90">
        <f t="shared" si="9"/>
        <v>2112500</v>
      </c>
    </row>
    <row r="86" spans="1:42" ht="24.9" customHeight="1" x14ac:dyDescent="0.4">
      <c r="A86" s="83">
        <v>81</v>
      </c>
      <c r="B86" s="83" t="s">
        <v>622</v>
      </c>
      <c r="C86" s="84" t="s">
        <v>661</v>
      </c>
      <c r="D86" s="127" t="s">
        <v>343</v>
      </c>
      <c r="E86" s="125" t="s">
        <v>700</v>
      </c>
      <c r="F86" s="93" t="s">
        <v>297</v>
      </c>
      <c r="G86" s="86" t="s">
        <v>622</v>
      </c>
      <c r="H86" s="87" t="s">
        <v>700</v>
      </c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>
        <v>0.6875</v>
      </c>
      <c r="AA86" s="88">
        <v>1.125</v>
      </c>
      <c r="AB86" s="88">
        <v>0.5</v>
      </c>
      <c r="AC86" s="88">
        <v>0.75</v>
      </c>
      <c r="AD86" s="88">
        <v>1</v>
      </c>
      <c r="AE86" s="88"/>
      <c r="AF86" s="88"/>
      <c r="AG86" s="88">
        <v>1.5</v>
      </c>
      <c r="AH86" s="88">
        <v>1.5</v>
      </c>
      <c r="AI86" s="88">
        <v>1</v>
      </c>
      <c r="AJ86" s="88">
        <v>1.5</v>
      </c>
      <c r="AK86" s="88">
        <v>1</v>
      </c>
      <c r="AL86" s="88"/>
      <c r="AM86" s="88"/>
      <c r="AN86" s="89">
        <f t="shared" si="8"/>
        <v>10.5625</v>
      </c>
      <c r="AO86" s="85">
        <v>210000</v>
      </c>
      <c r="AP86" s="90">
        <f t="shared" si="9"/>
        <v>2218125</v>
      </c>
    </row>
    <row r="87" spans="1:42" ht="24.9" customHeight="1" x14ac:dyDescent="0.4">
      <c r="A87" s="83">
        <v>82</v>
      </c>
      <c r="B87" s="83" t="s">
        <v>623</v>
      </c>
      <c r="C87" s="84" t="s">
        <v>662</v>
      </c>
      <c r="D87" s="36" t="s">
        <v>225</v>
      </c>
      <c r="E87" s="125" t="s">
        <v>701</v>
      </c>
      <c r="F87" s="93" t="s">
        <v>229</v>
      </c>
      <c r="G87" s="86" t="s">
        <v>623</v>
      </c>
      <c r="H87" s="87" t="s">
        <v>740</v>
      </c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>
        <v>0.6875</v>
      </c>
      <c r="AA87" s="88">
        <v>1.125</v>
      </c>
      <c r="AB87" s="88"/>
      <c r="AC87" s="88">
        <v>0.75</v>
      </c>
      <c r="AD87" s="88">
        <v>1</v>
      </c>
      <c r="AE87" s="88"/>
      <c r="AF87" s="88"/>
      <c r="AG87" s="88">
        <v>1.5</v>
      </c>
      <c r="AH87" s="88"/>
      <c r="AI87" s="88">
        <v>1</v>
      </c>
      <c r="AJ87" s="88">
        <v>1.5</v>
      </c>
      <c r="AK87" s="88">
        <v>1</v>
      </c>
      <c r="AL87" s="88"/>
      <c r="AM87" s="88"/>
      <c r="AN87" s="89">
        <f t="shared" si="8"/>
        <v>8.5625</v>
      </c>
      <c r="AO87" s="85">
        <v>160000</v>
      </c>
      <c r="AP87" s="90">
        <f t="shared" si="9"/>
        <v>1370000</v>
      </c>
    </row>
    <row r="88" spans="1:42" ht="24.9" customHeight="1" x14ac:dyDescent="0.4">
      <c r="A88" s="83">
        <v>83</v>
      </c>
      <c r="B88" s="83" t="s">
        <v>624</v>
      </c>
      <c r="C88" s="84" t="s">
        <v>663</v>
      </c>
      <c r="D88" s="36" t="s">
        <v>225</v>
      </c>
      <c r="E88" s="36" t="s">
        <v>702</v>
      </c>
      <c r="F88" s="95" t="s">
        <v>229</v>
      </c>
      <c r="G88" s="86" t="s">
        <v>624</v>
      </c>
      <c r="H88" s="87" t="s">
        <v>741</v>
      </c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>
        <v>0.6875</v>
      </c>
      <c r="AA88" s="88">
        <v>1.125</v>
      </c>
      <c r="AB88" s="88"/>
      <c r="AC88" s="88">
        <v>0.75</v>
      </c>
      <c r="AD88" s="88">
        <v>1</v>
      </c>
      <c r="AE88" s="88"/>
      <c r="AF88" s="88"/>
      <c r="AG88" s="88">
        <v>1.5</v>
      </c>
      <c r="AH88" s="88">
        <v>1.5</v>
      </c>
      <c r="AI88" s="88">
        <v>1</v>
      </c>
      <c r="AJ88" s="88">
        <v>1.5</v>
      </c>
      <c r="AK88" s="88">
        <v>1</v>
      </c>
      <c r="AL88" s="88"/>
      <c r="AM88" s="88"/>
      <c r="AN88" s="89">
        <f t="shared" si="8"/>
        <v>10.0625</v>
      </c>
      <c r="AO88" s="85">
        <v>150000</v>
      </c>
      <c r="AP88" s="90">
        <f t="shared" si="9"/>
        <v>1509375</v>
      </c>
    </row>
    <row r="89" spans="1:42" ht="24.9" customHeight="1" x14ac:dyDescent="0.4">
      <c r="A89" s="83">
        <v>84</v>
      </c>
      <c r="B89" s="83" t="s">
        <v>625</v>
      </c>
      <c r="C89" s="84" t="s">
        <v>664</v>
      </c>
      <c r="D89" s="36" t="s">
        <v>225</v>
      </c>
      <c r="E89" s="36" t="s">
        <v>703</v>
      </c>
      <c r="F89" s="93" t="s">
        <v>735</v>
      </c>
      <c r="G89" s="86" t="s">
        <v>625</v>
      </c>
      <c r="H89" s="87" t="s">
        <v>742</v>
      </c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>
        <v>0.6875</v>
      </c>
      <c r="AA89" s="88">
        <v>1.125</v>
      </c>
      <c r="AB89" s="88"/>
      <c r="AC89" s="88">
        <v>0.75</v>
      </c>
      <c r="AD89" s="88">
        <v>1</v>
      </c>
      <c r="AE89" s="88"/>
      <c r="AF89" s="88"/>
      <c r="AG89" s="88">
        <v>1.5</v>
      </c>
      <c r="AH89" s="88">
        <v>1.5</v>
      </c>
      <c r="AI89" s="88">
        <v>1</v>
      </c>
      <c r="AJ89" s="88">
        <v>1.5</v>
      </c>
      <c r="AK89" s="88">
        <v>1</v>
      </c>
      <c r="AL89" s="88"/>
      <c r="AM89" s="88"/>
      <c r="AN89" s="89">
        <f t="shared" si="8"/>
        <v>10.0625</v>
      </c>
      <c r="AO89" s="85">
        <v>170000</v>
      </c>
      <c r="AP89" s="90">
        <f t="shared" si="9"/>
        <v>1710625</v>
      </c>
    </row>
    <row r="90" spans="1:42" ht="24.9" customHeight="1" x14ac:dyDescent="0.4">
      <c r="A90" s="83">
        <v>85</v>
      </c>
      <c r="B90" s="83" t="s">
        <v>626</v>
      </c>
      <c r="C90" s="84" t="s">
        <v>665</v>
      </c>
      <c r="D90" s="36" t="s">
        <v>225</v>
      </c>
      <c r="E90" s="125" t="s">
        <v>704</v>
      </c>
      <c r="F90" s="95" t="s">
        <v>297</v>
      </c>
      <c r="G90" s="86" t="s">
        <v>626</v>
      </c>
      <c r="H90" s="87" t="s">
        <v>743</v>
      </c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>
        <v>0.6875</v>
      </c>
      <c r="AA90" s="88">
        <v>1.125</v>
      </c>
      <c r="AB90" s="88"/>
      <c r="AC90" s="88">
        <v>0.75</v>
      </c>
      <c r="AD90" s="88">
        <v>1</v>
      </c>
      <c r="AE90" s="88"/>
      <c r="AF90" s="88"/>
      <c r="AG90" s="88">
        <v>1.5</v>
      </c>
      <c r="AH90" s="88">
        <v>1.5</v>
      </c>
      <c r="AI90" s="88">
        <v>1</v>
      </c>
      <c r="AJ90" s="88">
        <v>1.5</v>
      </c>
      <c r="AK90" s="88">
        <v>1</v>
      </c>
      <c r="AL90" s="88"/>
      <c r="AM90" s="88"/>
      <c r="AN90" s="89">
        <f t="shared" si="8"/>
        <v>10.0625</v>
      </c>
      <c r="AO90" s="85">
        <v>160000</v>
      </c>
      <c r="AP90" s="90">
        <f t="shared" si="9"/>
        <v>1610000</v>
      </c>
    </row>
    <row r="91" spans="1:42" ht="24.9" customHeight="1" x14ac:dyDescent="0.4">
      <c r="A91" s="83">
        <v>86</v>
      </c>
      <c r="B91" s="83" t="s">
        <v>627</v>
      </c>
      <c r="C91" s="84" t="s">
        <v>666</v>
      </c>
      <c r="D91" s="36" t="s">
        <v>225</v>
      </c>
      <c r="E91" s="125" t="s">
        <v>705</v>
      </c>
      <c r="F91" s="93" t="s">
        <v>377</v>
      </c>
      <c r="G91" s="86" t="s">
        <v>627</v>
      </c>
      <c r="H91" s="87" t="s">
        <v>744</v>
      </c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>
        <v>0.6875</v>
      </c>
      <c r="AA91" s="88">
        <v>1.125</v>
      </c>
      <c r="AB91" s="88"/>
      <c r="AC91" s="88">
        <v>0.75</v>
      </c>
      <c r="AD91" s="88">
        <v>1</v>
      </c>
      <c r="AE91" s="88"/>
      <c r="AF91" s="88"/>
      <c r="AG91" s="88">
        <v>1.5</v>
      </c>
      <c r="AH91" s="88">
        <v>1.5</v>
      </c>
      <c r="AI91" s="88">
        <v>1</v>
      </c>
      <c r="AJ91" s="88">
        <v>1.5</v>
      </c>
      <c r="AK91" s="88">
        <v>1</v>
      </c>
      <c r="AL91" s="88"/>
      <c r="AM91" s="88"/>
      <c r="AN91" s="89">
        <f t="shared" si="8"/>
        <v>10.0625</v>
      </c>
      <c r="AO91" s="85">
        <v>150000</v>
      </c>
      <c r="AP91" s="90">
        <f t="shared" si="9"/>
        <v>1509375</v>
      </c>
    </row>
    <row r="92" spans="1:42" ht="24.9" customHeight="1" x14ac:dyDescent="0.4">
      <c r="A92" s="83">
        <v>87</v>
      </c>
      <c r="B92" s="83" t="s">
        <v>628</v>
      </c>
      <c r="C92" s="84" t="s">
        <v>667</v>
      </c>
      <c r="D92" s="36" t="s">
        <v>225</v>
      </c>
      <c r="E92" s="36" t="s">
        <v>706</v>
      </c>
      <c r="F92" s="93" t="s">
        <v>229</v>
      </c>
      <c r="G92" s="86" t="s">
        <v>628</v>
      </c>
      <c r="H92" s="87" t="s">
        <v>745</v>
      </c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>
        <v>0.6875</v>
      </c>
      <c r="AA92" s="88">
        <v>1.125</v>
      </c>
      <c r="AB92" s="88"/>
      <c r="AC92" s="88">
        <v>0.75</v>
      </c>
      <c r="AD92" s="88">
        <v>1</v>
      </c>
      <c r="AE92" s="88"/>
      <c r="AF92" s="88"/>
      <c r="AG92" s="88">
        <v>1.5</v>
      </c>
      <c r="AH92" s="88">
        <v>1.5</v>
      </c>
      <c r="AI92" s="88">
        <v>1</v>
      </c>
      <c r="AJ92" s="88">
        <v>1.5</v>
      </c>
      <c r="AK92" s="88">
        <v>1</v>
      </c>
      <c r="AL92" s="88"/>
      <c r="AM92" s="88"/>
      <c r="AN92" s="89">
        <f t="shared" si="8"/>
        <v>10.0625</v>
      </c>
      <c r="AO92" s="85">
        <v>160000</v>
      </c>
      <c r="AP92" s="90">
        <f t="shared" si="9"/>
        <v>1610000</v>
      </c>
    </row>
    <row r="93" spans="1:42" ht="24.9" customHeight="1" x14ac:dyDescent="0.4">
      <c r="A93" s="83">
        <v>88</v>
      </c>
      <c r="B93" s="83" t="s">
        <v>629</v>
      </c>
      <c r="C93" s="84" t="s">
        <v>668</v>
      </c>
      <c r="D93" s="36" t="s">
        <v>225</v>
      </c>
      <c r="E93" s="36" t="s">
        <v>707</v>
      </c>
      <c r="F93" s="93" t="s">
        <v>226</v>
      </c>
      <c r="G93" s="86" t="s">
        <v>629</v>
      </c>
      <c r="H93" s="87" t="s">
        <v>746</v>
      </c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>
        <v>0.6875</v>
      </c>
      <c r="AA93" s="88">
        <v>1.125</v>
      </c>
      <c r="AB93" s="88"/>
      <c r="AC93" s="88">
        <v>0.75</v>
      </c>
      <c r="AD93" s="88">
        <v>1</v>
      </c>
      <c r="AE93" s="88"/>
      <c r="AF93" s="88"/>
      <c r="AG93" s="88">
        <v>1.5</v>
      </c>
      <c r="AH93" s="88">
        <v>1.5</v>
      </c>
      <c r="AI93" s="88">
        <v>1</v>
      </c>
      <c r="AJ93" s="88">
        <v>1.5</v>
      </c>
      <c r="AK93" s="88">
        <v>1</v>
      </c>
      <c r="AL93" s="88"/>
      <c r="AM93" s="88"/>
      <c r="AN93" s="89">
        <f t="shared" si="8"/>
        <v>10.0625</v>
      </c>
      <c r="AO93" s="85">
        <v>160000</v>
      </c>
      <c r="AP93" s="90">
        <f t="shared" si="9"/>
        <v>1610000</v>
      </c>
    </row>
    <row r="94" spans="1:42" ht="24.9" customHeight="1" x14ac:dyDescent="0.4">
      <c r="A94" s="83">
        <v>89</v>
      </c>
      <c r="B94" s="83" t="s">
        <v>630</v>
      </c>
      <c r="C94" s="84" t="s">
        <v>669</v>
      </c>
      <c r="D94" s="36" t="s">
        <v>225</v>
      </c>
      <c r="E94" s="36" t="s">
        <v>708</v>
      </c>
      <c r="F94" s="93" t="s">
        <v>377</v>
      </c>
      <c r="G94" s="86" t="s">
        <v>630</v>
      </c>
      <c r="H94" s="87" t="s">
        <v>747</v>
      </c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>
        <v>0.6875</v>
      </c>
      <c r="AA94" s="88">
        <v>1.125</v>
      </c>
      <c r="AB94" s="88"/>
      <c r="AC94" s="88">
        <v>0.75</v>
      </c>
      <c r="AD94" s="88">
        <v>1</v>
      </c>
      <c r="AE94" s="88"/>
      <c r="AF94" s="88"/>
      <c r="AG94" s="88">
        <v>1.5</v>
      </c>
      <c r="AH94" s="88">
        <v>1.5</v>
      </c>
      <c r="AI94" s="88">
        <v>1</v>
      </c>
      <c r="AJ94" s="88">
        <v>1.5</v>
      </c>
      <c r="AK94" s="88">
        <v>0.625</v>
      </c>
      <c r="AL94" s="88"/>
      <c r="AM94" s="88"/>
      <c r="AN94" s="89">
        <f t="shared" si="8"/>
        <v>9.6875</v>
      </c>
      <c r="AO94" s="85">
        <v>160000</v>
      </c>
      <c r="AP94" s="90">
        <f t="shared" si="9"/>
        <v>1550000</v>
      </c>
    </row>
    <row r="95" spans="1:42" ht="24.9" customHeight="1" x14ac:dyDescent="0.4">
      <c r="A95" s="83">
        <v>90</v>
      </c>
      <c r="B95" s="83" t="s">
        <v>631</v>
      </c>
      <c r="C95" s="84" t="s">
        <v>670</v>
      </c>
      <c r="D95" s="36" t="s">
        <v>225</v>
      </c>
      <c r="E95" s="36" t="s">
        <v>709</v>
      </c>
      <c r="F95" s="93" t="s">
        <v>297</v>
      </c>
      <c r="G95" s="86" t="s">
        <v>631</v>
      </c>
      <c r="H95" s="87" t="s">
        <v>709</v>
      </c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>
        <v>0.6875</v>
      </c>
      <c r="AA95" s="88">
        <v>1.125</v>
      </c>
      <c r="AB95" s="88"/>
      <c r="AC95" s="88">
        <v>0.75</v>
      </c>
      <c r="AD95" s="88">
        <v>1</v>
      </c>
      <c r="AE95" s="88"/>
      <c r="AF95" s="88"/>
      <c r="AG95" s="88">
        <v>1.5</v>
      </c>
      <c r="AH95" s="88">
        <v>1.5</v>
      </c>
      <c r="AI95" s="88">
        <v>1</v>
      </c>
      <c r="AJ95" s="88">
        <v>1.5</v>
      </c>
      <c r="AK95" s="88">
        <v>1</v>
      </c>
      <c r="AL95" s="88"/>
      <c r="AM95" s="88"/>
      <c r="AN95" s="89">
        <f t="shared" si="8"/>
        <v>10.0625</v>
      </c>
      <c r="AO95" s="85">
        <v>170000</v>
      </c>
      <c r="AP95" s="90">
        <f t="shared" si="9"/>
        <v>1710625</v>
      </c>
    </row>
    <row r="96" spans="1:42" ht="24.9" customHeight="1" x14ac:dyDescent="0.4">
      <c r="A96" s="83">
        <v>91</v>
      </c>
      <c r="B96" s="83" t="s">
        <v>632</v>
      </c>
      <c r="C96" s="84" t="s">
        <v>671</v>
      </c>
      <c r="D96" s="36" t="s">
        <v>225</v>
      </c>
      <c r="E96" s="36" t="s">
        <v>710</v>
      </c>
      <c r="F96" s="95" t="s">
        <v>735</v>
      </c>
      <c r="G96" s="86" t="s">
        <v>632</v>
      </c>
      <c r="H96" s="87" t="s">
        <v>748</v>
      </c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>
        <v>0.6875</v>
      </c>
      <c r="AA96" s="88">
        <v>1.125</v>
      </c>
      <c r="AB96" s="88"/>
      <c r="AC96" s="88">
        <v>0.75</v>
      </c>
      <c r="AD96" s="88">
        <v>1</v>
      </c>
      <c r="AE96" s="88"/>
      <c r="AF96" s="88"/>
      <c r="AG96" s="88">
        <v>1.5</v>
      </c>
      <c r="AH96" s="88">
        <v>1.5</v>
      </c>
      <c r="AI96" s="88">
        <v>1</v>
      </c>
      <c r="AJ96" s="88">
        <v>1.5</v>
      </c>
      <c r="AK96" s="88">
        <v>1</v>
      </c>
      <c r="AL96" s="88"/>
      <c r="AM96" s="88"/>
      <c r="AN96" s="89">
        <f t="shared" si="8"/>
        <v>10.0625</v>
      </c>
      <c r="AO96" s="85">
        <v>160000</v>
      </c>
      <c r="AP96" s="90">
        <f t="shared" si="9"/>
        <v>1610000</v>
      </c>
    </row>
    <row r="97" spans="1:42" ht="24.9" customHeight="1" x14ac:dyDescent="0.4">
      <c r="A97" s="83">
        <v>92</v>
      </c>
      <c r="B97" s="83" t="s">
        <v>633</v>
      </c>
      <c r="C97" s="84" t="s">
        <v>672</v>
      </c>
      <c r="D97" s="127" t="s">
        <v>225</v>
      </c>
      <c r="E97" s="36" t="s">
        <v>711</v>
      </c>
      <c r="F97" s="93" t="s">
        <v>735</v>
      </c>
      <c r="G97" s="86" t="s">
        <v>633</v>
      </c>
      <c r="H97" s="87" t="s">
        <v>749</v>
      </c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>
        <v>0.6875</v>
      </c>
      <c r="AA97" s="88">
        <v>1.125</v>
      </c>
      <c r="AB97" s="88"/>
      <c r="AC97" s="88">
        <v>0.75</v>
      </c>
      <c r="AD97" s="88">
        <v>1</v>
      </c>
      <c r="AE97" s="88"/>
      <c r="AF97" s="88"/>
      <c r="AG97" s="88">
        <v>1.5</v>
      </c>
      <c r="AH97" s="88">
        <v>1.5</v>
      </c>
      <c r="AI97" s="88">
        <v>1</v>
      </c>
      <c r="AJ97" s="88">
        <v>1.5</v>
      </c>
      <c r="AK97" s="88">
        <v>1</v>
      </c>
      <c r="AL97" s="88"/>
      <c r="AM97" s="88"/>
      <c r="AN97" s="89">
        <f t="shared" ref="AN97:AN100" si="10">SUM(I97:AM97)</f>
        <v>10.0625</v>
      </c>
      <c r="AO97" s="85">
        <v>160000</v>
      </c>
      <c r="AP97" s="90">
        <f t="shared" ref="AP97:AP100" si="11">AN97*AO97</f>
        <v>1610000</v>
      </c>
    </row>
    <row r="98" spans="1:42" ht="24.9" customHeight="1" x14ac:dyDescent="0.4">
      <c r="A98" s="83">
        <v>93</v>
      </c>
      <c r="B98" s="83" t="s">
        <v>634</v>
      </c>
      <c r="C98" s="84" t="s">
        <v>673</v>
      </c>
      <c r="D98" s="127" t="s">
        <v>225</v>
      </c>
      <c r="E98" s="125" t="s">
        <v>712</v>
      </c>
      <c r="F98" s="93" t="s">
        <v>377</v>
      </c>
      <c r="G98" s="86" t="s">
        <v>634</v>
      </c>
      <c r="H98" s="87" t="s">
        <v>750</v>
      </c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>
        <v>0.6875</v>
      </c>
      <c r="AA98" s="88">
        <v>1.125</v>
      </c>
      <c r="AB98" s="88"/>
      <c r="AC98" s="88">
        <v>0.75</v>
      </c>
      <c r="AD98" s="88">
        <v>1</v>
      </c>
      <c r="AE98" s="88"/>
      <c r="AF98" s="88"/>
      <c r="AG98" s="88">
        <v>1.5</v>
      </c>
      <c r="AH98" s="88">
        <v>1.5</v>
      </c>
      <c r="AI98" s="88">
        <v>1</v>
      </c>
      <c r="AJ98" s="88"/>
      <c r="AK98" s="88"/>
      <c r="AL98" s="88"/>
      <c r="AM98" s="88"/>
      <c r="AN98" s="89">
        <f t="shared" si="10"/>
        <v>7.5625</v>
      </c>
      <c r="AO98" s="85">
        <v>160000</v>
      </c>
      <c r="AP98" s="90">
        <f t="shared" si="11"/>
        <v>1210000</v>
      </c>
    </row>
    <row r="99" spans="1:42" ht="24.9" customHeight="1" x14ac:dyDescent="0.4">
      <c r="A99" s="83">
        <v>94</v>
      </c>
      <c r="B99" s="83" t="s">
        <v>635</v>
      </c>
      <c r="C99" s="84" t="s">
        <v>674</v>
      </c>
      <c r="D99" s="36" t="s">
        <v>225</v>
      </c>
      <c r="E99" s="125" t="s">
        <v>713</v>
      </c>
      <c r="F99" s="93" t="s">
        <v>226</v>
      </c>
      <c r="G99" s="86" t="s">
        <v>635</v>
      </c>
      <c r="H99" s="87" t="s">
        <v>751</v>
      </c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>
        <v>0.6875</v>
      </c>
      <c r="AA99" s="88">
        <v>1.125</v>
      </c>
      <c r="AB99" s="88"/>
      <c r="AC99" s="88">
        <v>0.75</v>
      </c>
      <c r="AD99" s="88">
        <v>1</v>
      </c>
      <c r="AE99" s="88"/>
      <c r="AF99" s="88"/>
      <c r="AG99" s="88">
        <v>1.5</v>
      </c>
      <c r="AH99" s="88">
        <v>1.5</v>
      </c>
      <c r="AI99" s="88">
        <v>1</v>
      </c>
      <c r="AJ99" s="88">
        <v>1.5</v>
      </c>
      <c r="AK99" s="88">
        <v>0.875</v>
      </c>
      <c r="AL99" s="88"/>
      <c r="AM99" s="88"/>
      <c r="AN99" s="89">
        <f t="shared" si="10"/>
        <v>9.9375</v>
      </c>
      <c r="AO99" s="85">
        <v>150000</v>
      </c>
      <c r="AP99" s="90">
        <f t="shared" si="11"/>
        <v>1490625</v>
      </c>
    </row>
    <row r="100" spans="1:42" ht="24.9" customHeight="1" thickBot="1" x14ac:dyDescent="0.45">
      <c r="A100" s="83">
        <v>95</v>
      </c>
      <c r="B100" s="83" t="s">
        <v>636</v>
      </c>
      <c r="C100" s="84" t="s">
        <v>675</v>
      </c>
      <c r="D100" s="36" t="s">
        <v>225</v>
      </c>
      <c r="E100" s="125" t="s">
        <v>714</v>
      </c>
      <c r="F100" s="93" t="s">
        <v>735</v>
      </c>
      <c r="G100" s="86" t="s">
        <v>636</v>
      </c>
      <c r="H100" s="87" t="s">
        <v>752</v>
      </c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>
        <v>0.6875</v>
      </c>
      <c r="AA100" s="88">
        <v>1.125</v>
      </c>
      <c r="AB100" s="88"/>
      <c r="AC100" s="88">
        <v>0.75</v>
      </c>
      <c r="AD100" s="88">
        <v>1</v>
      </c>
      <c r="AE100" s="88"/>
      <c r="AF100" s="88"/>
      <c r="AG100" s="88">
        <v>1.5</v>
      </c>
      <c r="AH100" s="88">
        <v>1.5</v>
      </c>
      <c r="AI100" s="88">
        <v>1</v>
      </c>
      <c r="AJ100" s="88">
        <v>1.5</v>
      </c>
      <c r="AK100" s="88">
        <v>1</v>
      </c>
      <c r="AL100" s="88"/>
      <c r="AM100" s="88"/>
      <c r="AN100" s="89">
        <f t="shared" si="10"/>
        <v>10.0625</v>
      </c>
      <c r="AO100" s="85">
        <v>170000</v>
      </c>
      <c r="AP100" s="90">
        <f t="shared" si="11"/>
        <v>1710625</v>
      </c>
    </row>
    <row r="101" spans="1:42" ht="30" customHeight="1" thickBot="1" x14ac:dyDescent="0.45">
      <c r="A101" s="272" t="s">
        <v>210</v>
      </c>
      <c r="B101" s="273"/>
      <c r="C101" s="273"/>
      <c r="D101" s="273"/>
      <c r="E101" s="273"/>
      <c r="F101" s="273"/>
      <c r="G101" s="273"/>
      <c r="H101" s="274"/>
      <c r="I101" s="96">
        <f>SUM(I10:I100)</f>
        <v>0</v>
      </c>
      <c r="J101" s="96">
        <f>SUM(J10:J100)</f>
        <v>30.5</v>
      </c>
      <c r="K101" s="96">
        <f t="shared" ref="K101:AL101" si="12">SUM(K10:K100)</f>
        <v>0</v>
      </c>
      <c r="L101" s="96">
        <f t="shared" si="12"/>
        <v>54.875</v>
      </c>
      <c r="M101" s="96">
        <f t="shared" si="12"/>
        <v>86.8125</v>
      </c>
      <c r="N101" s="96">
        <f t="shared" si="12"/>
        <v>51.625</v>
      </c>
      <c r="O101" s="96">
        <f t="shared" si="12"/>
        <v>82.625</v>
      </c>
      <c r="P101" s="96">
        <f t="shared" si="12"/>
        <v>60.125</v>
      </c>
      <c r="Q101" s="96">
        <f t="shared" si="12"/>
        <v>40.125</v>
      </c>
      <c r="R101" s="96">
        <f t="shared" si="12"/>
        <v>0</v>
      </c>
      <c r="S101" s="96">
        <f t="shared" si="12"/>
        <v>65.5</v>
      </c>
      <c r="T101" s="96">
        <f t="shared" si="12"/>
        <v>97.375</v>
      </c>
      <c r="U101" s="96">
        <f t="shared" si="12"/>
        <v>59.5</v>
      </c>
      <c r="V101" s="96">
        <f t="shared" si="12"/>
        <v>93</v>
      </c>
      <c r="W101" s="96">
        <f t="shared" si="12"/>
        <v>64.75</v>
      </c>
      <c r="X101" s="96">
        <f t="shared" si="12"/>
        <v>38</v>
      </c>
      <c r="Y101" s="96">
        <f t="shared" si="12"/>
        <v>0</v>
      </c>
      <c r="Z101" s="96">
        <f t="shared" si="12"/>
        <v>82.375</v>
      </c>
      <c r="AA101" s="96">
        <f t="shared" si="12"/>
        <v>122.625</v>
      </c>
      <c r="AB101" s="96">
        <f t="shared" si="12"/>
        <v>71.875</v>
      </c>
      <c r="AC101" s="96">
        <f t="shared" si="12"/>
        <v>115.5</v>
      </c>
      <c r="AD101" s="96">
        <f t="shared" si="12"/>
        <v>90</v>
      </c>
      <c r="AE101" s="96">
        <f t="shared" si="12"/>
        <v>43.75</v>
      </c>
      <c r="AF101" s="96">
        <f t="shared" si="12"/>
        <v>0</v>
      </c>
      <c r="AG101" s="96">
        <f t="shared" si="12"/>
        <v>135</v>
      </c>
      <c r="AH101" s="96">
        <f t="shared" si="12"/>
        <v>128</v>
      </c>
      <c r="AI101" s="96">
        <f t="shared" si="12"/>
        <v>86</v>
      </c>
      <c r="AJ101" s="96">
        <f t="shared" si="12"/>
        <v>125.25</v>
      </c>
      <c r="AK101" s="96">
        <f t="shared" si="12"/>
        <v>83.25</v>
      </c>
      <c r="AL101" s="96">
        <f t="shared" si="12"/>
        <v>3.375</v>
      </c>
      <c r="AM101" s="96">
        <f>SUM(AM10:AM100)</f>
        <v>0</v>
      </c>
      <c r="AN101" s="171">
        <f>SUM(AN6:AN100)</f>
        <v>2013.375</v>
      </c>
      <c r="AO101" s="99">
        <f>AVERAGE(AO6:AO100)</f>
        <v>189263.15789473685</v>
      </c>
      <c r="AP101" s="100">
        <f>SUM(AP6:AP100)</f>
        <v>386321250</v>
      </c>
    </row>
    <row r="102" spans="1:42" ht="24.9" hidden="1" customHeight="1" x14ac:dyDescent="0.4">
      <c r="A102" s="83">
        <v>1</v>
      </c>
      <c r="B102" s="83"/>
      <c r="C102" s="84"/>
      <c r="D102" s="94"/>
      <c r="E102" s="84"/>
      <c r="F102" s="85"/>
      <c r="G102" s="86"/>
      <c r="H102" s="87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9">
        <f>SUM(I102:AM102)</f>
        <v>0</v>
      </c>
      <c r="AO102" s="85"/>
      <c r="AP102" s="90">
        <f>AN102*AO102</f>
        <v>0</v>
      </c>
    </row>
    <row r="103" spans="1:42" ht="24.9" hidden="1" customHeight="1" x14ac:dyDescent="0.4">
      <c r="A103" s="91">
        <v>2</v>
      </c>
      <c r="B103" s="83"/>
      <c r="C103" s="84"/>
      <c r="D103" s="94"/>
      <c r="E103" s="84"/>
      <c r="F103" s="93"/>
      <c r="G103" s="86"/>
      <c r="H103" s="87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9">
        <f t="shared" ref="AN103:AN105" si="13">SUM(I103:AM103)</f>
        <v>0</v>
      </c>
      <c r="AO103" s="85"/>
      <c r="AP103" s="90">
        <f t="shared" ref="AP103:AP105" si="14">AN103*AO103</f>
        <v>0</v>
      </c>
    </row>
    <row r="104" spans="1:42" ht="24.9" hidden="1" customHeight="1" x14ac:dyDescent="0.4">
      <c r="A104" s="91">
        <v>3</v>
      </c>
      <c r="B104" s="83"/>
      <c r="C104" s="84"/>
      <c r="D104" s="92"/>
      <c r="E104" s="84"/>
      <c r="F104" s="93"/>
      <c r="G104" s="86"/>
      <c r="H104" s="87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9">
        <f t="shared" si="13"/>
        <v>0</v>
      </c>
      <c r="AO104" s="85"/>
      <c r="AP104" s="90">
        <f t="shared" si="14"/>
        <v>0</v>
      </c>
    </row>
    <row r="105" spans="1:42" ht="24.9" hidden="1" customHeight="1" x14ac:dyDescent="0.4">
      <c r="A105" s="91">
        <v>4</v>
      </c>
      <c r="B105" s="83"/>
      <c r="C105" s="84"/>
      <c r="D105" s="92"/>
      <c r="E105" s="84"/>
      <c r="F105" s="93"/>
      <c r="G105" s="86"/>
      <c r="H105" s="87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9">
        <f t="shared" si="13"/>
        <v>0</v>
      </c>
      <c r="AO105" s="85"/>
      <c r="AP105" s="90">
        <f t="shared" si="14"/>
        <v>0</v>
      </c>
    </row>
    <row r="106" spans="1:42" ht="24.9" hidden="1" customHeight="1" x14ac:dyDescent="0.4">
      <c r="A106" s="91">
        <v>5</v>
      </c>
      <c r="B106" s="83"/>
      <c r="C106" s="84"/>
      <c r="D106" s="94"/>
      <c r="E106" s="84"/>
      <c r="F106" s="85"/>
      <c r="G106" s="86"/>
      <c r="H106" s="87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9">
        <f>SUM(I106:AM106)</f>
        <v>0</v>
      </c>
      <c r="AO106" s="85"/>
      <c r="AP106" s="90">
        <f>AN106*AO106</f>
        <v>0</v>
      </c>
    </row>
    <row r="107" spans="1:42" ht="24.9" hidden="1" customHeight="1" x14ac:dyDescent="0.4">
      <c r="A107" s="91">
        <v>6</v>
      </c>
      <c r="B107" s="83"/>
      <c r="C107" s="84"/>
      <c r="D107" s="94"/>
      <c r="E107" s="84"/>
      <c r="F107" s="93"/>
      <c r="G107" s="86"/>
      <c r="H107" s="87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9">
        <f t="shared" ref="AN107:AN109" si="15">SUM(I107:AM107)</f>
        <v>0</v>
      </c>
      <c r="AO107" s="85"/>
      <c r="AP107" s="90">
        <f t="shared" ref="AP107:AP109" si="16">AN107*AO107</f>
        <v>0</v>
      </c>
    </row>
    <row r="108" spans="1:42" ht="24.9" hidden="1" customHeight="1" x14ac:dyDescent="0.4">
      <c r="A108" s="91">
        <v>7</v>
      </c>
      <c r="B108" s="83"/>
      <c r="C108" s="84"/>
      <c r="D108" s="92"/>
      <c r="E108" s="84"/>
      <c r="F108" s="93"/>
      <c r="G108" s="86"/>
      <c r="H108" s="87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9">
        <f t="shared" si="15"/>
        <v>0</v>
      </c>
      <c r="AO108" s="85"/>
      <c r="AP108" s="90">
        <f t="shared" si="16"/>
        <v>0</v>
      </c>
    </row>
    <row r="109" spans="1:42" ht="24.9" hidden="1" customHeight="1" x14ac:dyDescent="0.4">
      <c r="A109" s="91">
        <v>8</v>
      </c>
      <c r="B109" s="83"/>
      <c r="C109" s="84"/>
      <c r="D109" s="92"/>
      <c r="E109" s="84"/>
      <c r="F109" s="93"/>
      <c r="G109" s="86"/>
      <c r="H109" s="87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9">
        <f t="shared" si="15"/>
        <v>0</v>
      </c>
      <c r="AO109" s="85"/>
      <c r="AP109" s="90">
        <f t="shared" si="16"/>
        <v>0</v>
      </c>
    </row>
    <row r="110" spans="1:42" ht="24.9" hidden="1" customHeight="1" x14ac:dyDescent="0.4">
      <c r="A110" s="91">
        <v>9</v>
      </c>
      <c r="B110" s="83"/>
      <c r="C110" s="84"/>
      <c r="D110" s="94"/>
      <c r="E110" s="84"/>
      <c r="F110" s="93"/>
      <c r="G110" s="86"/>
      <c r="H110" s="87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9">
        <f t="shared" ref="AN110:AN112" si="17">SUM(I110:AM110)</f>
        <v>0</v>
      </c>
      <c r="AO110" s="85"/>
      <c r="AP110" s="90">
        <f t="shared" ref="AP110:AP112" si="18">AN110*AO110</f>
        <v>0</v>
      </c>
    </row>
    <row r="111" spans="1:42" ht="24.9" hidden="1" customHeight="1" x14ac:dyDescent="0.4">
      <c r="A111" s="91">
        <v>10</v>
      </c>
      <c r="B111" s="83"/>
      <c r="C111" s="84"/>
      <c r="D111" s="92"/>
      <c r="E111" s="84"/>
      <c r="F111" s="93"/>
      <c r="G111" s="86"/>
      <c r="H111" s="87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9">
        <f t="shared" si="17"/>
        <v>0</v>
      </c>
      <c r="AO111" s="85"/>
      <c r="AP111" s="90">
        <f t="shared" si="18"/>
        <v>0</v>
      </c>
    </row>
    <row r="112" spans="1:42" ht="24.9" hidden="1" customHeight="1" thickBot="1" x14ac:dyDescent="0.45">
      <c r="A112" s="91">
        <v>11</v>
      </c>
      <c r="B112" s="83"/>
      <c r="C112" s="84"/>
      <c r="D112" s="92"/>
      <c r="E112" s="84"/>
      <c r="F112" s="93"/>
      <c r="G112" s="86"/>
      <c r="H112" s="87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9">
        <f t="shared" si="17"/>
        <v>0</v>
      </c>
      <c r="AO112" s="85"/>
      <c r="AP112" s="90">
        <f t="shared" si="18"/>
        <v>0</v>
      </c>
    </row>
    <row r="113" spans="1:42" ht="30" hidden="1" customHeight="1" thickBot="1" x14ac:dyDescent="0.45">
      <c r="A113" s="272" t="s">
        <v>581</v>
      </c>
      <c r="B113" s="273"/>
      <c r="C113" s="273"/>
      <c r="D113" s="273"/>
      <c r="E113" s="273"/>
      <c r="F113" s="273"/>
      <c r="G113" s="273"/>
      <c r="H113" s="274"/>
      <c r="I113" s="96">
        <f>SUM(I102:I112)</f>
        <v>0</v>
      </c>
      <c r="J113" s="96">
        <f t="shared" ref="J113:AL113" si="19">SUM(J102:J112)</f>
        <v>0</v>
      </c>
      <c r="K113" s="96">
        <f t="shared" si="19"/>
        <v>0</v>
      </c>
      <c r="L113" s="96">
        <f t="shared" si="19"/>
        <v>0</v>
      </c>
      <c r="M113" s="96">
        <f t="shared" si="19"/>
        <v>0</v>
      </c>
      <c r="N113" s="96">
        <f t="shared" si="19"/>
        <v>0</v>
      </c>
      <c r="O113" s="96">
        <f t="shared" si="19"/>
        <v>0</v>
      </c>
      <c r="P113" s="96">
        <f t="shared" si="19"/>
        <v>0</v>
      </c>
      <c r="Q113" s="96">
        <f t="shared" si="19"/>
        <v>0</v>
      </c>
      <c r="R113" s="96">
        <f t="shared" si="19"/>
        <v>0</v>
      </c>
      <c r="S113" s="96">
        <f t="shared" si="19"/>
        <v>0</v>
      </c>
      <c r="T113" s="96">
        <f t="shared" si="19"/>
        <v>0</v>
      </c>
      <c r="U113" s="96">
        <f t="shared" si="19"/>
        <v>0</v>
      </c>
      <c r="V113" s="96">
        <f t="shared" si="19"/>
        <v>0</v>
      </c>
      <c r="W113" s="96">
        <f t="shared" si="19"/>
        <v>0</v>
      </c>
      <c r="X113" s="96">
        <f t="shared" si="19"/>
        <v>0</v>
      </c>
      <c r="Y113" s="96">
        <f t="shared" si="19"/>
        <v>0</v>
      </c>
      <c r="Z113" s="96">
        <f t="shared" si="19"/>
        <v>0</v>
      </c>
      <c r="AA113" s="96">
        <f t="shared" si="19"/>
        <v>0</v>
      </c>
      <c r="AB113" s="96">
        <f t="shared" si="19"/>
        <v>0</v>
      </c>
      <c r="AC113" s="96">
        <f t="shared" si="19"/>
        <v>0</v>
      </c>
      <c r="AD113" s="96">
        <f t="shared" si="19"/>
        <v>0</v>
      </c>
      <c r="AE113" s="96">
        <f t="shared" si="19"/>
        <v>0</v>
      </c>
      <c r="AF113" s="96">
        <f t="shared" si="19"/>
        <v>0</v>
      </c>
      <c r="AG113" s="96">
        <f t="shared" si="19"/>
        <v>0</v>
      </c>
      <c r="AH113" s="96">
        <f t="shared" si="19"/>
        <v>0</v>
      </c>
      <c r="AI113" s="96">
        <f t="shared" si="19"/>
        <v>0</v>
      </c>
      <c r="AJ113" s="96">
        <f t="shared" si="19"/>
        <v>0</v>
      </c>
      <c r="AK113" s="96">
        <f t="shared" si="19"/>
        <v>0</v>
      </c>
      <c r="AL113" s="96">
        <f t="shared" si="19"/>
        <v>0</v>
      </c>
      <c r="AM113" s="97">
        <f>SUM(AM102:AM112)</f>
        <v>0</v>
      </c>
      <c r="AN113" s="98">
        <f>SUM(AN102:AN112)</f>
        <v>0</v>
      </c>
      <c r="AO113" s="99"/>
      <c r="AP113" s="100">
        <f>SUM(AP102:AP112)</f>
        <v>0</v>
      </c>
    </row>
    <row r="114" spans="1:42" ht="35.1" customHeight="1" thickBot="1" x14ac:dyDescent="0.45">
      <c r="A114" s="275" t="s">
        <v>231</v>
      </c>
      <c r="B114" s="276"/>
      <c r="C114" s="276"/>
      <c r="D114" s="276"/>
      <c r="E114" s="276"/>
      <c r="F114" s="276"/>
      <c r="G114" s="276"/>
      <c r="H114" s="277"/>
      <c r="I114" s="101">
        <f t="shared" ref="I114:AP114" si="20">I101+I113</f>
        <v>0</v>
      </c>
      <c r="J114" s="102">
        <f t="shared" si="20"/>
        <v>30.5</v>
      </c>
      <c r="K114" s="102">
        <f t="shared" si="20"/>
        <v>0</v>
      </c>
      <c r="L114" s="102">
        <f t="shared" si="20"/>
        <v>54.875</v>
      </c>
      <c r="M114" s="102">
        <f t="shared" si="20"/>
        <v>86.8125</v>
      </c>
      <c r="N114" s="102">
        <f t="shared" si="20"/>
        <v>51.625</v>
      </c>
      <c r="O114" s="102">
        <f t="shared" si="20"/>
        <v>82.625</v>
      </c>
      <c r="P114" s="102">
        <f t="shared" si="20"/>
        <v>60.125</v>
      </c>
      <c r="Q114" s="102">
        <f t="shared" si="20"/>
        <v>40.125</v>
      </c>
      <c r="R114" s="102">
        <f t="shared" si="20"/>
        <v>0</v>
      </c>
      <c r="S114" s="102">
        <f t="shared" si="20"/>
        <v>65.5</v>
      </c>
      <c r="T114" s="102">
        <f t="shared" si="20"/>
        <v>97.375</v>
      </c>
      <c r="U114" s="102">
        <f t="shared" si="20"/>
        <v>59.5</v>
      </c>
      <c r="V114" s="102">
        <f t="shared" si="20"/>
        <v>93</v>
      </c>
      <c r="W114" s="102">
        <f t="shared" si="20"/>
        <v>64.75</v>
      </c>
      <c r="X114" s="102">
        <f t="shared" si="20"/>
        <v>38</v>
      </c>
      <c r="Y114" s="102">
        <f t="shared" si="20"/>
        <v>0</v>
      </c>
      <c r="Z114" s="102">
        <f t="shared" si="20"/>
        <v>82.375</v>
      </c>
      <c r="AA114" s="102">
        <f t="shared" si="20"/>
        <v>122.625</v>
      </c>
      <c r="AB114" s="102">
        <f t="shared" si="20"/>
        <v>71.875</v>
      </c>
      <c r="AC114" s="102">
        <f t="shared" si="20"/>
        <v>115.5</v>
      </c>
      <c r="AD114" s="102">
        <f t="shared" si="20"/>
        <v>90</v>
      </c>
      <c r="AE114" s="102">
        <f t="shared" si="20"/>
        <v>43.75</v>
      </c>
      <c r="AF114" s="102">
        <f t="shared" si="20"/>
        <v>0</v>
      </c>
      <c r="AG114" s="102">
        <f t="shared" si="20"/>
        <v>135</v>
      </c>
      <c r="AH114" s="102">
        <f t="shared" si="20"/>
        <v>128</v>
      </c>
      <c r="AI114" s="102">
        <f t="shared" si="20"/>
        <v>86</v>
      </c>
      <c r="AJ114" s="102">
        <f t="shared" si="20"/>
        <v>125.25</v>
      </c>
      <c r="AK114" s="102">
        <f t="shared" si="20"/>
        <v>83.25</v>
      </c>
      <c r="AL114" s="102">
        <f t="shared" si="20"/>
        <v>3.375</v>
      </c>
      <c r="AM114" s="102">
        <f t="shared" si="20"/>
        <v>0</v>
      </c>
      <c r="AN114" s="103">
        <f t="shared" si="20"/>
        <v>2013.375</v>
      </c>
      <c r="AO114" s="104">
        <f t="shared" si="20"/>
        <v>189263.15789473685</v>
      </c>
      <c r="AP114" s="105">
        <f t="shared" si="20"/>
        <v>386321250</v>
      </c>
    </row>
    <row r="115" spans="1:42" x14ac:dyDescent="0.4">
      <c r="G115" s="72"/>
      <c r="H115" s="72"/>
      <c r="AG115" s="106"/>
      <c r="AI115" s="107"/>
      <c r="AO115" s="72"/>
    </row>
    <row r="116" spans="1:42" x14ac:dyDescent="0.4">
      <c r="G116" s="72"/>
      <c r="H116" s="72"/>
      <c r="AG116" s="106"/>
      <c r="AI116" s="107"/>
      <c r="AO116" s="121"/>
    </row>
    <row r="117" spans="1:42" x14ac:dyDescent="0.4">
      <c r="G117" s="72"/>
      <c r="H117" s="72"/>
      <c r="AG117" s="106"/>
      <c r="AI117" s="107"/>
      <c r="AO117" s="72"/>
    </row>
    <row r="118" spans="1:42" x14ac:dyDescent="0.4">
      <c r="G118" s="72"/>
      <c r="H118" s="72"/>
      <c r="AG118" s="106"/>
      <c r="AI118" s="107"/>
      <c r="AO118" s="72"/>
    </row>
    <row r="119" spans="1:42" x14ac:dyDescent="0.4">
      <c r="G119" s="72"/>
      <c r="H119" s="72"/>
      <c r="AI119" s="106"/>
      <c r="AM119" s="107"/>
      <c r="AO119" s="72"/>
    </row>
    <row r="120" spans="1:42" x14ac:dyDescent="0.4">
      <c r="G120" s="72"/>
      <c r="H120" s="72"/>
      <c r="AI120" s="106"/>
      <c r="AJ120" s="106"/>
      <c r="AM120" s="107"/>
      <c r="AO120" s="72"/>
    </row>
    <row r="121" spans="1:42" x14ac:dyDescent="0.4">
      <c r="G121" s="72"/>
      <c r="H121" s="72"/>
      <c r="AJ121" s="106"/>
      <c r="AK121" s="106"/>
      <c r="AL121" s="106"/>
      <c r="AO121" s="72"/>
    </row>
    <row r="122" spans="1:42" x14ac:dyDescent="0.4">
      <c r="G122" s="72"/>
      <c r="H122" s="72"/>
      <c r="AJ122" s="106"/>
      <c r="AK122" s="106"/>
      <c r="AL122" s="106"/>
      <c r="AO122" s="72"/>
    </row>
    <row r="123" spans="1:42" x14ac:dyDescent="0.4">
      <c r="G123" s="72"/>
      <c r="H123" s="72"/>
      <c r="AJ123" s="106"/>
      <c r="AK123" s="106"/>
      <c r="AL123" s="106"/>
      <c r="AO123" s="72"/>
    </row>
    <row r="124" spans="1:42" x14ac:dyDescent="0.4">
      <c r="G124" s="72"/>
      <c r="H124" s="72"/>
      <c r="AK124" s="106"/>
      <c r="AL124" s="106"/>
      <c r="AO124" s="72"/>
    </row>
    <row r="125" spans="1:42" x14ac:dyDescent="0.4">
      <c r="C125" s="73"/>
      <c r="D125" s="73"/>
      <c r="E125" s="73"/>
      <c r="G125" s="72"/>
      <c r="H125" s="72"/>
      <c r="AN125" s="107"/>
      <c r="AO125" s="72"/>
    </row>
    <row r="126" spans="1:42" x14ac:dyDescent="0.4">
      <c r="C126" s="73"/>
      <c r="D126" s="73"/>
      <c r="E126" s="73"/>
      <c r="G126" s="72"/>
      <c r="H126" s="72"/>
      <c r="AN126" s="107"/>
      <c r="AO126" s="72"/>
    </row>
    <row r="127" spans="1:42" x14ac:dyDescent="0.4">
      <c r="C127" s="73"/>
      <c r="D127" s="73"/>
      <c r="E127" s="73"/>
      <c r="G127" s="72"/>
      <c r="H127" s="72"/>
      <c r="AN127" s="107"/>
      <c r="AO127" s="72"/>
    </row>
    <row r="128" spans="1:42" x14ac:dyDescent="0.4">
      <c r="C128" s="73"/>
      <c r="D128" s="73"/>
      <c r="E128" s="73"/>
      <c r="G128" s="72"/>
      <c r="H128" s="72"/>
      <c r="AN128" s="107"/>
      <c r="AO128" s="72"/>
    </row>
    <row r="129" spans="3:41" x14ac:dyDescent="0.4">
      <c r="C129" s="73"/>
      <c r="D129" s="73"/>
      <c r="E129" s="73"/>
      <c r="G129" s="72"/>
      <c r="H129" s="72"/>
      <c r="AN129" s="107"/>
      <c r="AO129" s="72"/>
    </row>
    <row r="130" spans="3:41" x14ac:dyDescent="0.4">
      <c r="E130" s="73"/>
      <c r="F130" s="73"/>
      <c r="G130" s="72"/>
      <c r="H130" s="72"/>
      <c r="AO130" s="107"/>
    </row>
    <row r="131" spans="3:41" x14ac:dyDescent="0.4">
      <c r="E131" s="73"/>
      <c r="F131" s="73"/>
      <c r="G131" s="72"/>
      <c r="H131" s="72"/>
      <c r="AO131" s="107"/>
    </row>
    <row r="132" spans="3:41" x14ac:dyDescent="0.4">
      <c r="E132" s="73"/>
      <c r="F132" s="73"/>
      <c r="G132" s="72"/>
      <c r="H132" s="72"/>
      <c r="AO132" s="107"/>
    </row>
    <row r="133" spans="3:41" x14ac:dyDescent="0.4">
      <c r="E133" s="73"/>
      <c r="F133" s="73"/>
      <c r="G133" s="72"/>
      <c r="H133" s="72"/>
      <c r="AO133" s="107"/>
    </row>
    <row r="134" spans="3:41" x14ac:dyDescent="0.4">
      <c r="E134" s="73"/>
      <c r="F134" s="73"/>
      <c r="G134" s="72"/>
      <c r="H134" s="72"/>
      <c r="AO134" s="107"/>
    </row>
    <row r="135" spans="3:41" x14ac:dyDescent="0.4">
      <c r="E135" s="73"/>
      <c r="F135" s="73"/>
      <c r="G135" s="72"/>
      <c r="H135" s="72"/>
      <c r="AO135" s="107"/>
    </row>
    <row r="136" spans="3:41" x14ac:dyDescent="0.4">
      <c r="E136" s="73"/>
      <c r="F136" s="73"/>
      <c r="G136" s="72"/>
      <c r="H136" s="72"/>
      <c r="AO136" s="107"/>
    </row>
    <row r="137" spans="3:41" x14ac:dyDescent="0.4">
      <c r="E137" s="73"/>
      <c r="F137" s="73"/>
      <c r="G137" s="72"/>
      <c r="H137" s="72"/>
      <c r="AO137" s="107"/>
    </row>
    <row r="138" spans="3:41" x14ac:dyDescent="0.4">
      <c r="E138" s="73"/>
      <c r="F138" s="73"/>
      <c r="G138" s="72"/>
      <c r="H138" s="72"/>
      <c r="AO138" s="107"/>
    </row>
    <row r="139" spans="3:41" x14ac:dyDescent="0.4">
      <c r="E139" s="73"/>
      <c r="F139" s="73"/>
      <c r="G139" s="72"/>
      <c r="H139" s="72"/>
      <c r="AO139" s="107"/>
    </row>
    <row r="140" spans="3:41" x14ac:dyDescent="0.4">
      <c r="E140" s="73"/>
      <c r="F140" s="73"/>
      <c r="G140" s="72"/>
      <c r="H140" s="72"/>
      <c r="AO140" s="107"/>
    </row>
    <row r="141" spans="3:41" x14ac:dyDescent="0.4">
      <c r="E141" s="73"/>
      <c r="F141" s="73"/>
      <c r="G141" s="72"/>
      <c r="H141" s="72"/>
      <c r="AO141" s="107"/>
    </row>
    <row r="142" spans="3:41" x14ac:dyDescent="0.4">
      <c r="E142" s="73"/>
      <c r="F142" s="73"/>
      <c r="G142" s="72"/>
      <c r="H142" s="72"/>
      <c r="AO142" s="107"/>
    </row>
    <row r="143" spans="3:41" x14ac:dyDescent="0.4">
      <c r="E143" s="73"/>
      <c r="F143" s="73"/>
      <c r="G143" s="72"/>
      <c r="H143" s="72"/>
      <c r="AO143" s="107"/>
    </row>
    <row r="144" spans="3:41" x14ac:dyDescent="0.4">
      <c r="E144" s="73"/>
      <c r="F144" s="73"/>
      <c r="G144" s="72"/>
      <c r="H144" s="72"/>
      <c r="AO144" s="107"/>
    </row>
    <row r="145" spans="5:42" x14ac:dyDescent="0.4">
      <c r="E145" s="73"/>
      <c r="F145" s="73"/>
      <c r="G145" s="72"/>
      <c r="H145" s="72"/>
      <c r="AO145" s="107"/>
    </row>
    <row r="146" spans="5:42" x14ac:dyDescent="0.4">
      <c r="E146" s="73"/>
      <c r="F146" s="73"/>
      <c r="G146" s="72"/>
      <c r="H146" s="72"/>
      <c r="AO146" s="107"/>
    </row>
    <row r="147" spans="5:42" x14ac:dyDescent="0.4">
      <c r="E147" s="73"/>
      <c r="F147" s="73"/>
      <c r="G147" s="72"/>
      <c r="H147" s="72"/>
      <c r="AO147" s="107"/>
    </row>
    <row r="148" spans="5:42" x14ac:dyDescent="0.4">
      <c r="E148" s="73"/>
      <c r="F148" s="73"/>
      <c r="G148" s="72"/>
      <c r="H148" s="72"/>
      <c r="AO148" s="107"/>
    </row>
    <row r="149" spans="5:42" x14ac:dyDescent="0.4">
      <c r="E149" s="73"/>
      <c r="F149" s="73"/>
      <c r="G149" s="72"/>
      <c r="H149" s="72"/>
      <c r="AO149" s="107"/>
    </row>
    <row r="150" spans="5:42" x14ac:dyDescent="0.4">
      <c r="E150" s="73"/>
      <c r="F150" s="73"/>
      <c r="G150" s="72"/>
      <c r="H150" s="72"/>
      <c r="AO150" s="107"/>
    </row>
    <row r="151" spans="5:42" x14ac:dyDescent="0.4">
      <c r="E151" s="73"/>
      <c r="F151" s="73"/>
      <c r="G151" s="72"/>
      <c r="H151" s="72"/>
      <c r="AO151" s="107"/>
    </row>
    <row r="152" spans="5:42" x14ac:dyDescent="0.4">
      <c r="E152" s="73"/>
      <c r="F152" s="73"/>
      <c r="G152" s="72"/>
      <c r="H152" s="72"/>
      <c r="AO152" s="107"/>
    </row>
    <row r="153" spans="5:42" x14ac:dyDescent="0.4">
      <c r="E153" s="73"/>
      <c r="F153" s="73"/>
      <c r="G153" s="72"/>
      <c r="H153" s="72"/>
      <c r="AO153" s="107"/>
    </row>
    <row r="154" spans="5:42" x14ac:dyDescent="0.4">
      <c r="F154" s="73"/>
      <c r="H154" s="72"/>
      <c r="AN154" s="106"/>
      <c r="AO154" s="72"/>
      <c r="AP154" s="109"/>
    </row>
    <row r="155" spans="5:42" x14ac:dyDescent="0.4">
      <c r="F155" s="73"/>
      <c r="H155" s="72"/>
      <c r="AN155" s="106"/>
      <c r="AO155" s="72"/>
      <c r="AP155" s="109"/>
    </row>
    <row r="156" spans="5:42" x14ac:dyDescent="0.4">
      <c r="F156" s="73"/>
      <c r="H156" s="72"/>
      <c r="AN156" s="106"/>
      <c r="AO156" s="72"/>
      <c r="AP156" s="109"/>
    </row>
    <row r="157" spans="5:42" x14ac:dyDescent="0.4">
      <c r="F157" s="73"/>
      <c r="H157" s="72"/>
      <c r="AN157" s="106"/>
      <c r="AO157" s="72"/>
      <c r="AP157" s="109"/>
    </row>
    <row r="158" spans="5:42" x14ac:dyDescent="0.4">
      <c r="F158" s="73"/>
      <c r="H158" s="72"/>
      <c r="AN158" s="106"/>
      <c r="AO158" s="72"/>
      <c r="AP158" s="109"/>
    </row>
    <row r="159" spans="5:42" x14ac:dyDescent="0.4">
      <c r="F159" s="73"/>
      <c r="H159" s="72"/>
      <c r="AN159" s="106"/>
      <c r="AO159" s="72"/>
      <c r="AP159" s="109"/>
    </row>
    <row r="160" spans="5:42" x14ac:dyDescent="0.4">
      <c r="F160" s="73"/>
      <c r="H160" s="72"/>
      <c r="AN160" s="106"/>
      <c r="AO160" s="72"/>
      <c r="AP160" s="109"/>
    </row>
    <row r="161" spans="6:42" x14ac:dyDescent="0.4">
      <c r="F161" s="73"/>
      <c r="H161" s="72"/>
      <c r="AN161" s="106"/>
      <c r="AO161" s="72"/>
      <c r="AP161" s="109"/>
    </row>
    <row r="162" spans="6:42" x14ac:dyDescent="0.4">
      <c r="F162" s="73"/>
      <c r="H162" s="72"/>
      <c r="AN162" s="106"/>
      <c r="AO162" s="72"/>
      <c r="AP162" s="109"/>
    </row>
    <row r="163" spans="6:42" x14ac:dyDescent="0.4">
      <c r="F163" s="73"/>
      <c r="H163" s="72"/>
      <c r="AN163" s="106"/>
      <c r="AO163" s="72"/>
      <c r="AP163" s="109"/>
    </row>
    <row r="164" spans="6:42" x14ac:dyDescent="0.4">
      <c r="F164" s="73"/>
      <c r="H164" s="72"/>
      <c r="AN164" s="106"/>
      <c r="AO164" s="72"/>
      <c r="AP164" s="109"/>
    </row>
    <row r="165" spans="6:42" x14ac:dyDescent="0.4">
      <c r="F165" s="73"/>
      <c r="H165" s="72"/>
      <c r="AN165" s="106"/>
      <c r="AO165" s="72"/>
      <c r="AP165" s="109"/>
    </row>
    <row r="166" spans="6:42" x14ac:dyDescent="0.4">
      <c r="F166" s="73"/>
      <c r="H166" s="72"/>
      <c r="AN166" s="106"/>
      <c r="AO166" s="72"/>
      <c r="AP166" s="109"/>
    </row>
    <row r="167" spans="6:42" x14ac:dyDescent="0.4">
      <c r="F167" s="73"/>
      <c r="H167" s="72"/>
      <c r="AN167" s="106"/>
      <c r="AO167" s="72"/>
      <c r="AP167" s="109"/>
    </row>
    <row r="168" spans="6:42" x14ac:dyDescent="0.4">
      <c r="F168" s="73"/>
      <c r="H168" s="72"/>
      <c r="AN168" s="106"/>
      <c r="AO168" s="72"/>
      <c r="AP168" s="109"/>
    </row>
    <row r="169" spans="6:42" x14ac:dyDescent="0.4">
      <c r="F169" s="73"/>
      <c r="H169" s="72"/>
      <c r="AN169" s="106"/>
      <c r="AO169" s="72"/>
      <c r="AP169" s="109"/>
    </row>
    <row r="170" spans="6:42" x14ac:dyDescent="0.4">
      <c r="F170" s="73"/>
      <c r="H170" s="72"/>
      <c r="AN170" s="106"/>
      <c r="AO170" s="72"/>
      <c r="AP170" s="109"/>
    </row>
    <row r="171" spans="6:42" x14ac:dyDescent="0.4">
      <c r="F171" s="73"/>
      <c r="H171" s="72"/>
      <c r="AN171" s="106"/>
      <c r="AO171" s="72"/>
      <c r="AP171" s="109"/>
    </row>
    <row r="172" spans="6:42" x14ac:dyDescent="0.4">
      <c r="F172" s="73"/>
      <c r="H172" s="72"/>
      <c r="AN172" s="106"/>
      <c r="AO172" s="72"/>
      <c r="AP172" s="109"/>
    </row>
    <row r="173" spans="6:42" x14ac:dyDescent="0.4">
      <c r="F173" s="73"/>
      <c r="H173" s="72"/>
      <c r="AN173" s="106"/>
      <c r="AO173" s="72"/>
      <c r="AP173" s="109"/>
    </row>
    <row r="174" spans="6:42" x14ac:dyDescent="0.4">
      <c r="F174" s="73"/>
      <c r="H174" s="72"/>
      <c r="AN174" s="106"/>
      <c r="AO174" s="72"/>
      <c r="AP174" s="109"/>
    </row>
    <row r="175" spans="6:42" x14ac:dyDescent="0.4">
      <c r="F175" s="73"/>
      <c r="H175" s="72"/>
      <c r="AN175" s="106"/>
      <c r="AO175" s="72"/>
      <c r="AP175" s="109"/>
    </row>
    <row r="176" spans="6:42" x14ac:dyDescent="0.4">
      <c r="F176" s="73"/>
      <c r="H176" s="72"/>
      <c r="AN176" s="106"/>
      <c r="AO176" s="72"/>
      <c r="AP176" s="109"/>
    </row>
    <row r="177" spans="6:42" x14ac:dyDescent="0.4">
      <c r="F177" s="73"/>
      <c r="H177" s="72"/>
      <c r="AN177" s="106"/>
      <c r="AO177" s="72"/>
      <c r="AP177" s="109"/>
    </row>
    <row r="178" spans="6:42" x14ac:dyDescent="0.4">
      <c r="F178" s="73"/>
      <c r="H178" s="72"/>
      <c r="AN178" s="106"/>
      <c r="AO178" s="72"/>
      <c r="AP178" s="109"/>
    </row>
    <row r="179" spans="6:42" x14ac:dyDescent="0.4">
      <c r="F179" s="73"/>
      <c r="H179" s="72"/>
      <c r="AN179" s="106"/>
      <c r="AO179" s="72"/>
      <c r="AP179" s="109"/>
    </row>
    <row r="180" spans="6:42" x14ac:dyDescent="0.4">
      <c r="F180" s="73"/>
      <c r="H180" s="72"/>
      <c r="AN180" s="106"/>
      <c r="AO180" s="72"/>
      <c r="AP180" s="109"/>
    </row>
    <row r="181" spans="6:42" x14ac:dyDescent="0.4">
      <c r="F181" s="73"/>
      <c r="H181" s="72"/>
      <c r="AN181" s="106"/>
      <c r="AO181" s="72"/>
      <c r="AP181" s="109"/>
    </row>
    <row r="182" spans="6:42" x14ac:dyDescent="0.4">
      <c r="F182" s="73"/>
      <c r="H182" s="72"/>
      <c r="AN182" s="106"/>
      <c r="AO182" s="72"/>
      <c r="AP182" s="109"/>
    </row>
    <row r="183" spans="6:42" x14ac:dyDescent="0.4">
      <c r="F183" s="73"/>
      <c r="H183" s="72"/>
      <c r="AN183" s="106"/>
      <c r="AO183" s="72"/>
      <c r="AP183" s="109"/>
    </row>
    <row r="184" spans="6:42" x14ac:dyDescent="0.4">
      <c r="F184" s="73"/>
      <c r="H184" s="72"/>
      <c r="AN184" s="106"/>
      <c r="AO184" s="72"/>
      <c r="AP184" s="109"/>
    </row>
    <row r="185" spans="6:42" x14ac:dyDescent="0.4">
      <c r="F185" s="73"/>
      <c r="H185" s="72"/>
      <c r="AN185" s="106"/>
      <c r="AO185" s="72"/>
      <c r="AP185" s="109"/>
    </row>
    <row r="186" spans="6:42" x14ac:dyDescent="0.4">
      <c r="F186" s="73"/>
      <c r="H186" s="72"/>
      <c r="AN186" s="106"/>
      <c r="AO186" s="72"/>
      <c r="AP186" s="109"/>
    </row>
    <row r="187" spans="6:42" x14ac:dyDescent="0.4">
      <c r="F187" s="73"/>
      <c r="H187" s="72"/>
      <c r="AN187" s="106"/>
      <c r="AO187" s="72"/>
      <c r="AP187" s="109"/>
    </row>
    <row r="188" spans="6:42" x14ac:dyDescent="0.4">
      <c r="F188" s="73"/>
      <c r="H188" s="72"/>
      <c r="AN188" s="106"/>
      <c r="AO188" s="72"/>
      <c r="AP188" s="109"/>
    </row>
    <row r="189" spans="6:42" x14ac:dyDescent="0.4">
      <c r="F189" s="73"/>
      <c r="H189" s="72"/>
      <c r="AN189" s="106"/>
      <c r="AO189" s="72"/>
      <c r="AP189" s="109"/>
    </row>
    <row r="190" spans="6:42" x14ac:dyDescent="0.4">
      <c r="F190" s="73"/>
      <c r="H190" s="72"/>
      <c r="AN190" s="106"/>
      <c r="AO190" s="72"/>
      <c r="AP190" s="109"/>
    </row>
    <row r="191" spans="6:42" x14ac:dyDescent="0.4">
      <c r="F191" s="73"/>
      <c r="H191" s="72"/>
      <c r="AN191" s="106"/>
      <c r="AO191" s="72"/>
      <c r="AP191" s="109"/>
    </row>
    <row r="192" spans="6:42" x14ac:dyDescent="0.4">
      <c r="F192" s="73"/>
      <c r="H192" s="72"/>
      <c r="AN192" s="106"/>
      <c r="AO192" s="72"/>
      <c r="AP192" s="109"/>
    </row>
    <row r="193" spans="6:42" x14ac:dyDescent="0.4">
      <c r="F193" s="73"/>
      <c r="H193" s="72"/>
      <c r="AN193" s="106"/>
      <c r="AO193" s="72"/>
      <c r="AP193" s="109"/>
    </row>
    <row r="194" spans="6:42" x14ac:dyDescent="0.4">
      <c r="F194" s="73"/>
      <c r="H194" s="72"/>
      <c r="AN194" s="106"/>
      <c r="AO194" s="72"/>
      <c r="AP194" s="109"/>
    </row>
    <row r="195" spans="6:42" x14ac:dyDescent="0.4">
      <c r="F195" s="73"/>
      <c r="H195" s="72"/>
      <c r="AN195" s="106"/>
      <c r="AO195" s="72"/>
      <c r="AP195" s="109"/>
    </row>
  </sheetData>
  <mergeCells count="10">
    <mergeCell ref="A101:H101"/>
    <mergeCell ref="A113:H113"/>
    <mergeCell ref="A114:H114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102:B112">
    <cfRule type="duplicateValues" dxfId="54" priority="117"/>
  </conditionalFormatting>
  <conditionalFormatting sqref="B115:B1048576 B1:B100">
    <cfRule type="duplicateValues" dxfId="53" priority="17"/>
  </conditionalFormatting>
  <conditionalFormatting sqref="B6:C100">
    <cfRule type="duplicateValues" dxfId="52" priority="150"/>
  </conditionalFormatting>
  <conditionalFormatting sqref="B102:C112">
    <cfRule type="duplicateValues" dxfId="51" priority="119"/>
  </conditionalFormatting>
  <conditionalFormatting sqref="B115:C1048576 B1:C5">
    <cfRule type="duplicateValues" dxfId="50" priority="41"/>
  </conditionalFormatting>
  <conditionalFormatting sqref="C5">
    <cfRule type="duplicateValues" dxfId="49" priority="34"/>
    <cfRule type="duplicateValues" dxfId="48" priority="35"/>
    <cfRule type="duplicateValues" dxfId="47" priority="36"/>
  </conditionalFormatting>
  <conditionalFormatting sqref="C6:C100">
    <cfRule type="duplicateValues" dxfId="46" priority="152"/>
    <cfRule type="duplicateValues" dxfId="45" priority="153"/>
    <cfRule type="duplicateValues" dxfId="44" priority="154"/>
    <cfRule type="duplicateValues" dxfId="43" priority="155"/>
  </conditionalFormatting>
  <conditionalFormatting sqref="C102:C112 E102:E112">
    <cfRule type="duplicateValues" dxfId="42" priority="121"/>
  </conditionalFormatting>
  <conditionalFormatting sqref="C102:C112">
    <cfRule type="duplicateValues" dxfId="41" priority="123"/>
    <cfRule type="duplicateValues" dxfId="40" priority="124"/>
    <cfRule type="duplicateValues" dxfId="39" priority="125"/>
  </conditionalFormatting>
  <conditionalFormatting sqref="C115:C1048576 C1:C5">
    <cfRule type="duplicateValues" dxfId="38" priority="18"/>
  </conditionalFormatting>
  <conditionalFormatting sqref="C115:C1048576 C4">
    <cfRule type="duplicateValues" dxfId="37" priority="33"/>
  </conditionalFormatting>
  <conditionalFormatting sqref="C115:C1048576 C4:C5">
    <cfRule type="duplicateValues" dxfId="36" priority="23"/>
    <cfRule type="duplicateValues" dxfId="35" priority="26"/>
    <cfRule type="duplicateValues" dxfId="34" priority="31"/>
  </conditionalFormatting>
  <conditionalFormatting sqref="C115:C1048576">
    <cfRule type="duplicateValues" dxfId="33" priority="27"/>
  </conditionalFormatting>
  <conditionalFormatting sqref="E5">
    <cfRule type="duplicateValues" dxfId="32" priority="37"/>
    <cfRule type="duplicateValues" dxfId="31" priority="38"/>
  </conditionalFormatting>
  <conditionalFormatting sqref="E102:E112">
    <cfRule type="duplicateValues" dxfId="30" priority="131"/>
    <cfRule type="duplicateValues" dxfId="29" priority="132"/>
    <cfRule type="duplicateValues" dxfId="28" priority="133"/>
  </conditionalFormatting>
  <conditionalFormatting sqref="E115:E1048576 C4:C5 E4:E5 C115:C1048576">
    <cfRule type="duplicateValues" dxfId="27" priority="28"/>
  </conditionalFormatting>
  <conditionalFormatting sqref="E115:E1048576 E1:E5">
    <cfRule type="duplicateValues" dxfId="26" priority="20"/>
  </conditionalFormatting>
  <conditionalFormatting sqref="E115:E1048576 E4:E5">
    <cfRule type="duplicateValues" dxfId="25" priority="22"/>
    <cfRule type="duplicateValues" dxfId="24" priority="25"/>
    <cfRule type="duplicateValues" dxfId="23" priority="30"/>
  </conditionalFormatting>
  <conditionalFormatting sqref="G6:H100">
    <cfRule type="duplicateValues" dxfId="22" priority="169"/>
  </conditionalFormatting>
  <conditionalFormatting sqref="G102:H112">
    <cfRule type="duplicateValues" dxfId="21" priority="141"/>
  </conditionalFormatting>
  <conditionalFormatting sqref="G115:H1048576 G1:H5">
    <cfRule type="duplicateValues" dxfId="20" priority="19"/>
  </conditionalFormatting>
  <conditionalFormatting sqref="H5">
    <cfRule type="duplicateValues" dxfId="19" priority="39"/>
    <cfRule type="duplicateValues" dxfId="18" priority="40"/>
  </conditionalFormatting>
  <conditionalFormatting sqref="H6:H100">
    <cfRule type="duplicateValues" dxfId="17" priority="171"/>
    <cfRule type="duplicateValues" dxfId="16" priority="172"/>
    <cfRule type="duplicateValues" dxfId="15" priority="173"/>
    <cfRule type="duplicateValues" dxfId="14" priority="174"/>
    <cfRule type="duplicateValues" dxfId="13" priority="175"/>
    <cfRule type="duplicateValues" dxfId="12" priority="176"/>
  </conditionalFormatting>
  <conditionalFormatting sqref="H102:H112">
    <cfRule type="duplicateValues" dxfId="11" priority="143"/>
    <cfRule type="duplicateValues" dxfId="10" priority="144"/>
    <cfRule type="duplicateValues" dxfId="9" priority="145"/>
    <cfRule type="duplicateValues" dxfId="8" priority="146"/>
    <cfRule type="duplicateValues" dxfId="7" priority="147"/>
    <cfRule type="duplicateValues" dxfId="6" priority="148"/>
  </conditionalFormatting>
  <conditionalFormatting sqref="H115:H1048576 H4">
    <cfRule type="duplicateValues" dxfId="5" priority="32"/>
  </conditionalFormatting>
  <conditionalFormatting sqref="H115:H1048576 H4:H5">
    <cfRule type="duplicateValues" dxfId="4" priority="21"/>
    <cfRule type="duplicateValues" dxfId="3" priority="24"/>
    <cfRule type="duplicateValues" dxfId="2" priority="29"/>
  </conditionalFormatting>
  <pageMargins left="0.7" right="0.7" top="0.75" bottom="0.75" header="0.3" footer="0.3"/>
  <pageSetup paperSize="9" scale="1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9"/>
  <sheetViews>
    <sheetView view="pageBreakPreview" zoomScaleNormal="100" zoomScaleSheetLayoutView="100" workbookViewId="0">
      <selection sqref="A1:J1"/>
    </sheetView>
  </sheetViews>
  <sheetFormatPr defaultRowHeight="17.399999999999999" x14ac:dyDescent="0.4"/>
  <cols>
    <col min="1" max="1" width="9" style="52"/>
    <col min="2" max="3" width="12.59765625" style="52" customWidth="1"/>
    <col min="4" max="4" width="16" style="52" bestFit="1" customWidth="1"/>
    <col min="5" max="5" width="31.3984375" style="52" bestFit="1" customWidth="1"/>
    <col min="6" max="6" width="10.59765625" style="52" customWidth="1"/>
    <col min="7" max="8" width="8.09765625" style="52" customWidth="1"/>
    <col min="9" max="9" width="13.59765625" style="52" customWidth="1"/>
    <col min="10" max="10" width="35.59765625" style="52" customWidth="1"/>
    <col min="11" max="12" width="9" style="52"/>
  </cols>
  <sheetData>
    <row r="1" spans="1:12" ht="35.1" customHeight="1" x14ac:dyDescent="0.4">
      <c r="A1" s="287" t="s">
        <v>232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2" ht="20.100000000000001" customHeight="1" x14ac:dyDescent="0.4">
      <c r="A2" s="290" t="s">
        <v>233</v>
      </c>
      <c r="B2" s="290" t="s">
        <v>234</v>
      </c>
      <c r="C2" s="290" t="s">
        <v>235</v>
      </c>
      <c r="D2" s="290" t="s">
        <v>236</v>
      </c>
      <c r="E2" s="290" t="s">
        <v>237</v>
      </c>
      <c r="F2" s="290" t="s">
        <v>238</v>
      </c>
      <c r="G2" s="290" t="s">
        <v>239</v>
      </c>
      <c r="H2" s="290" t="s">
        <v>240</v>
      </c>
      <c r="I2" s="110" t="s">
        <v>241</v>
      </c>
      <c r="J2" s="290" t="s">
        <v>242</v>
      </c>
    </row>
    <row r="3" spans="1:12" ht="20.100000000000001" customHeight="1" x14ac:dyDescent="0.4">
      <c r="A3" s="290"/>
      <c r="B3" s="290"/>
      <c r="C3" s="290"/>
      <c r="D3" s="290"/>
      <c r="E3" s="290"/>
      <c r="F3" s="290"/>
      <c r="G3" s="290"/>
      <c r="H3" s="290"/>
      <c r="I3" s="111">
        <f>SUM(I4:I29)</f>
        <v>42980000</v>
      </c>
      <c r="J3" s="290"/>
      <c r="L3" s="112" t="s">
        <v>243</v>
      </c>
    </row>
    <row r="4" spans="1:12" ht="20.100000000000001" customHeight="1" x14ac:dyDescent="0.4">
      <c r="A4" s="113">
        <v>1</v>
      </c>
      <c r="B4" s="122">
        <v>46173</v>
      </c>
      <c r="C4" s="113" t="s">
        <v>244</v>
      </c>
      <c r="D4" s="113" t="s">
        <v>754</v>
      </c>
      <c r="E4" s="123" t="s">
        <v>755</v>
      </c>
      <c r="F4" s="113" t="s">
        <v>781</v>
      </c>
      <c r="G4" s="113">
        <v>1</v>
      </c>
      <c r="H4" s="113">
        <v>4</v>
      </c>
      <c r="I4" s="114">
        <v>1200000</v>
      </c>
      <c r="J4" s="113" t="s">
        <v>246</v>
      </c>
      <c r="L4" s="115" t="s">
        <v>247</v>
      </c>
    </row>
    <row r="5" spans="1:12" ht="20.100000000000001" customHeight="1" x14ac:dyDescent="0.4">
      <c r="A5" s="113">
        <v>2</v>
      </c>
      <c r="B5" s="122">
        <v>46173</v>
      </c>
      <c r="C5" s="113" t="s">
        <v>244</v>
      </c>
      <c r="D5" s="113" t="s">
        <v>754</v>
      </c>
      <c r="E5" s="123" t="s">
        <v>756</v>
      </c>
      <c r="F5" s="113" t="s">
        <v>245</v>
      </c>
      <c r="G5" s="113">
        <v>1</v>
      </c>
      <c r="H5" s="113">
        <v>6</v>
      </c>
      <c r="I5" s="114">
        <v>1600000</v>
      </c>
      <c r="J5" s="113" t="s">
        <v>246</v>
      </c>
      <c r="L5" s="115" t="s">
        <v>248</v>
      </c>
    </row>
    <row r="6" spans="1:12" ht="20.100000000000001" customHeight="1" x14ac:dyDescent="0.4">
      <c r="A6" s="113">
        <v>3</v>
      </c>
      <c r="B6" s="122">
        <v>46173</v>
      </c>
      <c r="C6" s="113" t="s">
        <v>244</v>
      </c>
      <c r="D6" s="113" t="s">
        <v>754</v>
      </c>
      <c r="E6" s="123" t="s">
        <v>757</v>
      </c>
      <c r="F6" s="113" t="s">
        <v>298</v>
      </c>
      <c r="G6" s="113">
        <v>1</v>
      </c>
      <c r="H6" s="113">
        <v>4</v>
      </c>
      <c r="I6" s="198">
        <v>1300000</v>
      </c>
      <c r="J6" s="113" t="s">
        <v>246</v>
      </c>
      <c r="L6" s="115" t="s">
        <v>249</v>
      </c>
    </row>
    <row r="7" spans="1:12" ht="20.100000000000001" customHeight="1" x14ac:dyDescent="0.4">
      <c r="A7" s="113">
        <v>4</v>
      </c>
      <c r="B7" s="122">
        <v>46173</v>
      </c>
      <c r="C7" s="113" t="s">
        <v>244</v>
      </c>
      <c r="D7" s="113" t="s">
        <v>754</v>
      </c>
      <c r="E7" s="123" t="s">
        <v>758</v>
      </c>
      <c r="F7" s="113" t="s">
        <v>306</v>
      </c>
      <c r="G7" s="113">
        <v>1</v>
      </c>
      <c r="H7" s="113">
        <v>6</v>
      </c>
      <c r="I7" s="114">
        <v>1700000</v>
      </c>
      <c r="J7" s="113" t="s">
        <v>246</v>
      </c>
      <c r="L7" s="115" t="s">
        <v>250</v>
      </c>
    </row>
    <row r="8" spans="1:12" ht="20.100000000000001" customHeight="1" x14ac:dyDescent="0.4">
      <c r="A8" s="113">
        <v>5</v>
      </c>
      <c r="B8" s="122">
        <v>46173</v>
      </c>
      <c r="C8" s="113" t="s">
        <v>244</v>
      </c>
      <c r="D8" s="113" t="s">
        <v>754</v>
      </c>
      <c r="E8" s="123" t="s">
        <v>759</v>
      </c>
      <c r="F8" s="113" t="s">
        <v>245</v>
      </c>
      <c r="G8" s="113">
        <v>1</v>
      </c>
      <c r="H8" s="113">
        <v>6</v>
      </c>
      <c r="I8" s="114">
        <v>1530000</v>
      </c>
      <c r="J8" s="113" t="s">
        <v>246</v>
      </c>
      <c r="L8" s="116" t="s">
        <v>251</v>
      </c>
    </row>
    <row r="9" spans="1:12" ht="20.100000000000001" customHeight="1" x14ac:dyDescent="0.4">
      <c r="A9" s="113">
        <v>6</v>
      </c>
      <c r="B9" s="122">
        <v>46173</v>
      </c>
      <c r="C9" s="113" t="s">
        <v>244</v>
      </c>
      <c r="D9" s="113" t="s">
        <v>754</v>
      </c>
      <c r="E9" s="123" t="s">
        <v>760</v>
      </c>
      <c r="F9" s="113" t="s">
        <v>245</v>
      </c>
      <c r="G9" s="113">
        <v>1</v>
      </c>
      <c r="H9" s="113">
        <v>6</v>
      </c>
      <c r="I9" s="114">
        <v>1600000</v>
      </c>
      <c r="J9" s="113" t="s">
        <v>246</v>
      </c>
      <c r="L9" s="116" t="s">
        <v>252</v>
      </c>
    </row>
    <row r="10" spans="1:12" ht="20.100000000000001" customHeight="1" x14ac:dyDescent="0.4">
      <c r="A10" s="113">
        <v>7</v>
      </c>
      <c r="B10" s="122">
        <v>46173</v>
      </c>
      <c r="C10" s="113" t="s">
        <v>244</v>
      </c>
      <c r="D10" s="113" t="s">
        <v>754</v>
      </c>
      <c r="E10" s="123" t="s">
        <v>761</v>
      </c>
      <c r="F10" s="113" t="s">
        <v>782</v>
      </c>
      <c r="G10" s="113">
        <v>1</v>
      </c>
      <c r="H10" s="113">
        <v>6</v>
      </c>
      <c r="I10" s="114">
        <v>2000000</v>
      </c>
      <c r="J10" s="113" t="s">
        <v>246</v>
      </c>
      <c r="L10" s="116" t="s">
        <v>253</v>
      </c>
    </row>
    <row r="11" spans="1:12" ht="20.100000000000001" customHeight="1" x14ac:dyDescent="0.4">
      <c r="A11" s="113">
        <v>8</v>
      </c>
      <c r="B11" s="122">
        <v>46173</v>
      </c>
      <c r="C11" s="113" t="s">
        <v>244</v>
      </c>
      <c r="D11" s="113" t="s">
        <v>754</v>
      </c>
      <c r="E11" s="123" t="s">
        <v>762</v>
      </c>
      <c r="F11" s="113" t="s">
        <v>245</v>
      </c>
      <c r="G11" s="113">
        <v>1</v>
      </c>
      <c r="H11" s="113">
        <v>6</v>
      </c>
      <c r="I11" s="114">
        <v>1800000</v>
      </c>
      <c r="J11" s="113" t="s">
        <v>246</v>
      </c>
      <c r="L11" s="116"/>
    </row>
    <row r="12" spans="1:12" ht="20.100000000000001" customHeight="1" x14ac:dyDescent="0.4">
      <c r="A12" s="113">
        <v>9</v>
      </c>
      <c r="B12" s="122">
        <v>46173</v>
      </c>
      <c r="C12" s="113" t="s">
        <v>244</v>
      </c>
      <c r="D12" s="113" t="s">
        <v>754</v>
      </c>
      <c r="E12" s="123" t="s">
        <v>763</v>
      </c>
      <c r="F12" s="113" t="s">
        <v>783</v>
      </c>
      <c r="G12" s="113">
        <v>1</v>
      </c>
      <c r="H12" s="113">
        <v>6</v>
      </c>
      <c r="I12" s="114">
        <v>1700000</v>
      </c>
      <c r="J12" s="113" t="s">
        <v>246</v>
      </c>
      <c r="L12" s="112" t="s">
        <v>254</v>
      </c>
    </row>
    <row r="13" spans="1:12" ht="20.100000000000001" customHeight="1" x14ac:dyDescent="0.4">
      <c r="A13" s="113">
        <v>10</v>
      </c>
      <c r="B13" s="122">
        <v>46173</v>
      </c>
      <c r="C13" s="113" t="s">
        <v>244</v>
      </c>
      <c r="D13" s="113" t="s">
        <v>754</v>
      </c>
      <c r="E13" s="123" t="s">
        <v>764</v>
      </c>
      <c r="F13" s="113" t="s">
        <v>298</v>
      </c>
      <c r="G13" s="113">
        <v>1</v>
      </c>
      <c r="H13" s="113">
        <v>6</v>
      </c>
      <c r="I13" s="114">
        <v>1900000</v>
      </c>
      <c r="J13" s="113" t="s">
        <v>246</v>
      </c>
    </row>
    <row r="14" spans="1:12" ht="20.100000000000001" customHeight="1" x14ac:dyDescent="0.4">
      <c r="A14" s="113">
        <v>11</v>
      </c>
      <c r="B14" s="122">
        <v>46173</v>
      </c>
      <c r="C14" s="113" t="s">
        <v>244</v>
      </c>
      <c r="D14" s="113" t="s">
        <v>754</v>
      </c>
      <c r="E14" s="123" t="s">
        <v>765</v>
      </c>
      <c r="F14" s="113" t="s">
        <v>298</v>
      </c>
      <c r="G14" s="113">
        <v>1</v>
      </c>
      <c r="H14" s="113">
        <v>6</v>
      </c>
      <c r="I14" s="114">
        <v>1600000</v>
      </c>
      <c r="J14" s="113" t="s">
        <v>246</v>
      </c>
    </row>
    <row r="15" spans="1:12" ht="20.100000000000001" customHeight="1" x14ac:dyDescent="0.4">
      <c r="A15" s="113">
        <v>12</v>
      </c>
      <c r="B15" s="122">
        <v>46173</v>
      </c>
      <c r="C15" s="113" t="s">
        <v>244</v>
      </c>
      <c r="D15" s="113" t="s">
        <v>754</v>
      </c>
      <c r="E15" s="123" t="s">
        <v>784</v>
      </c>
      <c r="F15" s="113" t="s">
        <v>298</v>
      </c>
      <c r="G15" s="113">
        <v>1</v>
      </c>
      <c r="H15" s="113">
        <v>6</v>
      </c>
      <c r="I15" s="114">
        <v>1900000</v>
      </c>
      <c r="J15" s="113" t="s">
        <v>246</v>
      </c>
    </row>
    <row r="16" spans="1:12" ht="20.100000000000001" customHeight="1" x14ac:dyDescent="0.4">
      <c r="A16" s="113">
        <v>13</v>
      </c>
      <c r="B16" s="122">
        <v>46173</v>
      </c>
      <c r="C16" s="113" t="s">
        <v>244</v>
      </c>
      <c r="D16" s="113" t="s">
        <v>754</v>
      </c>
      <c r="E16" s="123" t="s">
        <v>766</v>
      </c>
      <c r="F16" s="113" t="s">
        <v>298</v>
      </c>
      <c r="G16" s="113">
        <v>1</v>
      </c>
      <c r="H16" s="113">
        <v>6</v>
      </c>
      <c r="I16" s="114">
        <v>1800000</v>
      </c>
      <c r="J16" s="113" t="s">
        <v>246</v>
      </c>
    </row>
    <row r="17" spans="1:10" ht="20.100000000000001" customHeight="1" x14ac:dyDescent="0.4">
      <c r="A17" s="113">
        <v>14</v>
      </c>
      <c r="B17" s="122">
        <v>46173</v>
      </c>
      <c r="C17" s="113" t="s">
        <v>244</v>
      </c>
      <c r="D17" s="113" t="s">
        <v>754</v>
      </c>
      <c r="E17" s="123" t="s">
        <v>767</v>
      </c>
      <c r="F17" s="113" t="s">
        <v>245</v>
      </c>
      <c r="G17" s="113">
        <v>1</v>
      </c>
      <c r="H17" s="113">
        <v>6</v>
      </c>
      <c r="I17" s="114">
        <v>1700000</v>
      </c>
      <c r="J17" s="113" t="s">
        <v>246</v>
      </c>
    </row>
    <row r="18" spans="1:10" ht="20.100000000000001" customHeight="1" x14ac:dyDescent="0.4">
      <c r="A18" s="113">
        <v>15</v>
      </c>
      <c r="B18" s="122">
        <v>46173</v>
      </c>
      <c r="C18" s="113" t="s">
        <v>244</v>
      </c>
      <c r="D18" s="113" t="s">
        <v>754</v>
      </c>
      <c r="E18" s="123" t="s">
        <v>768</v>
      </c>
      <c r="F18" s="113" t="s">
        <v>298</v>
      </c>
      <c r="G18" s="113">
        <v>1</v>
      </c>
      <c r="H18" s="113">
        <v>6</v>
      </c>
      <c r="I18" s="114">
        <v>1600000</v>
      </c>
      <c r="J18" s="113" t="s">
        <v>246</v>
      </c>
    </row>
    <row r="19" spans="1:10" ht="20.100000000000001" customHeight="1" x14ac:dyDescent="0.4">
      <c r="A19" s="113">
        <v>16</v>
      </c>
      <c r="B19" s="122">
        <v>46173</v>
      </c>
      <c r="C19" s="113" t="s">
        <v>244</v>
      </c>
      <c r="D19" s="113" t="s">
        <v>754</v>
      </c>
      <c r="E19" s="123" t="s">
        <v>769</v>
      </c>
      <c r="F19" s="113" t="s">
        <v>298</v>
      </c>
      <c r="G19" s="113">
        <v>1</v>
      </c>
      <c r="H19" s="113">
        <v>6</v>
      </c>
      <c r="I19" s="114">
        <v>1650000</v>
      </c>
      <c r="J19" s="113" t="s">
        <v>246</v>
      </c>
    </row>
    <row r="20" spans="1:10" ht="20.100000000000001" customHeight="1" x14ac:dyDescent="0.4">
      <c r="A20" s="113">
        <v>17</v>
      </c>
      <c r="B20" s="122">
        <v>46173</v>
      </c>
      <c r="C20" s="113" t="s">
        <v>244</v>
      </c>
      <c r="D20" s="113" t="s">
        <v>754</v>
      </c>
      <c r="E20" s="123" t="s">
        <v>770</v>
      </c>
      <c r="F20" s="113" t="s">
        <v>245</v>
      </c>
      <c r="G20" s="113">
        <v>1</v>
      </c>
      <c r="H20" s="113">
        <v>6</v>
      </c>
      <c r="I20" s="114">
        <v>1900000</v>
      </c>
      <c r="J20" s="113" t="s">
        <v>246</v>
      </c>
    </row>
    <row r="21" spans="1:10" ht="20.100000000000001" customHeight="1" x14ac:dyDescent="0.4">
      <c r="A21" s="113">
        <v>18</v>
      </c>
      <c r="B21" s="122">
        <v>46173</v>
      </c>
      <c r="C21" s="113" t="s">
        <v>244</v>
      </c>
      <c r="D21" s="113" t="s">
        <v>754</v>
      </c>
      <c r="E21" s="123" t="s">
        <v>771</v>
      </c>
      <c r="F21" s="113" t="s">
        <v>298</v>
      </c>
      <c r="G21" s="113">
        <v>1</v>
      </c>
      <c r="H21" s="113">
        <v>4</v>
      </c>
      <c r="I21" s="114">
        <v>1400000</v>
      </c>
      <c r="J21" s="113" t="s">
        <v>246</v>
      </c>
    </row>
    <row r="22" spans="1:10" ht="20.100000000000001" customHeight="1" x14ac:dyDescent="0.4">
      <c r="A22" s="113">
        <v>19</v>
      </c>
      <c r="B22" s="122">
        <v>46173</v>
      </c>
      <c r="C22" s="113" t="s">
        <v>244</v>
      </c>
      <c r="D22" s="113" t="s">
        <v>754</v>
      </c>
      <c r="E22" s="123" t="s">
        <v>772</v>
      </c>
      <c r="F22" s="113" t="s">
        <v>783</v>
      </c>
      <c r="G22" s="113">
        <v>1</v>
      </c>
      <c r="H22" s="113">
        <v>6</v>
      </c>
      <c r="I22" s="114">
        <v>1800000</v>
      </c>
      <c r="J22" s="113" t="s">
        <v>246</v>
      </c>
    </row>
    <row r="23" spans="1:10" ht="20.100000000000001" customHeight="1" x14ac:dyDescent="0.4">
      <c r="A23" s="113">
        <v>20</v>
      </c>
      <c r="B23" s="122">
        <v>46173</v>
      </c>
      <c r="C23" s="113" t="s">
        <v>244</v>
      </c>
      <c r="D23" s="113" t="s">
        <v>754</v>
      </c>
      <c r="E23" s="123" t="s">
        <v>773</v>
      </c>
      <c r="F23" s="113" t="s">
        <v>298</v>
      </c>
      <c r="G23" s="113">
        <v>1</v>
      </c>
      <c r="H23" s="113">
        <v>6</v>
      </c>
      <c r="I23" s="114">
        <v>1650000</v>
      </c>
      <c r="J23" s="113" t="s">
        <v>246</v>
      </c>
    </row>
    <row r="24" spans="1:10" ht="20.100000000000001" customHeight="1" x14ac:dyDescent="0.4">
      <c r="A24" s="113">
        <v>21</v>
      </c>
      <c r="B24" s="122">
        <v>46173</v>
      </c>
      <c r="C24" s="113" t="s">
        <v>244</v>
      </c>
      <c r="D24" s="113" t="s">
        <v>754</v>
      </c>
      <c r="E24" s="123" t="s">
        <v>774</v>
      </c>
      <c r="F24" s="113" t="s">
        <v>780</v>
      </c>
      <c r="G24" s="113">
        <v>1</v>
      </c>
      <c r="H24" s="113">
        <v>6</v>
      </c>
      <c r="I24" s="114">
        <v>1500000</v>
      </c>
      <c r="J24" s="113" t="s">
        <v>246</v>
      </c>
    </row>
    <row r="25" spans="1:10" ht="20.100000000000001" customHeight="1" x14ac:dyDescent="0.4">
      <c r="A25" s="113">
        <v>22</v>
      </c>
      <c r="B25" s="122">
        <v>46173</v>
      </c>
      <c r="C25" s="113" t="s">
        <v>244</v>
      </c>
      <c r="D25" s="113" t="s">
        <v>754</v>
      </c>
      <c r="E25" s="123" t="s">
        <v>775</v>
      </c>
      <c r="F25" s="113" t="s">
        <v>783</v>
      </c>
      <c r="G25" s="113">
        <v>1</v>
      </c>
      <c r="H25" s="113">
        <v>6</v>
      </c>
      <c r="I25" s="114">
        <v>1650000</v>
      </c>
      <c r="J25" s="113" t="s">
        <v>246</v>
      </c>
    </row>
    <row r="26" spans="1:10" ht="20.100000000000001" customHeight="1" x14ac:dyDescent="0.4">
      <c r="A26" s="113">
        <v>23</v>
      </c>
      <c r="B26" s="122">
        <v>46173</v>
      </c>
      <c r="C26" s="113" t="s">
        <v>244</v>
      </c>
      <c r="D26" s="113" t="s">
        <v>754</v>
      </c>
      <c r="E26" s="123" t="s">
        <v>776</v>
      </c>
      <c r="F26" s="113" t="s">
        <v>245</v>
      </c>
      <c r="G26" s="113">
        <v>1</v>
      </c>
      <c r="H26" s="113">
        <v>6</v>
      </c>
      <c r="I26" s="114">
        <v>1600000</v>
      </c>
      <c r="J26" s="113" t="s">
        <v>246</v>
      </c>
    </row>
    <row r="27" spans="1:10" ht="20.100000000000001" customHeight="1" x14ac:dyDescent="0.4">
      <c r="A27" s="113">
        <v>24</v>
      </c>
      <c r="B27" s="122">
        <v>46173</v>
      </c>
      <c r="C27" s="113" t="s">
        <v>244</v>
      </c>
      <c r="D27" s="113" t="s">
        <v>754</v>
      </c>
      <c r="E27" s="123" t="s">
        <v>777</v>
      </c>
      <c r="F27" s="113" t="s">
        <v>783</v>
      </c>
      <c r="G27" s="113">
        <v>1</v>
      </c>
      <c r="H27" s="113">
        <v>6</v>
      </c>
      <c r="I27" s="114">
        <v>1500000</v>
      </c>
      <c r="J27" s="113" t="s">
        <v>246</v>
      </c>
    </row>
    <row r="28" spans="1:10" ht="20.100000000000001" customHeight="1" x14ac:dyDescent="0.4">
      <c r="A28" s="113">
        <v>25</v>
      </c>
      <c r="B28" s="122">
        <v>46173</v>
      </c>
      <c r="C28" s="113" t="s">
        <v>244</v>
      </c>
      <c r="D28" s="113" t="s">
        <v>754</v>
      </c>
      <c r="E28" s="123" t="s">
        <v>778</v>
      </c>
      <c r="F28" s="113" t="s">
        <v>298</v>
      </c>
      <c r="G28" s="113">
        <v>1</v>
      </c>
      <c r="H28" s="113">
        <v>6</v>
      </c>
      <c r="I28" s="198">
        <v>1800000</v>
      </c>
      <c r="J28" s="113" t="s">
        <v>246</v>
      </c>
    </row>
    <row r="29" spans="1:10" ht="20.100000000000001" customHeight="1" x14ac:dyDescent="0.4">
      <c r="A29" s="113">
        <v>26</v>
      </c>
      <c r="B29" s="122">
        <v>46173</v>
      </c>
      <c r="C29" s="113" t="s">
        <v>244</v>
      </c>
      <c r="D29" s="113" t="s">
        <v>754</v>
      </c>
      <c r="E29" s="123" t="s">
        <v>779</v>
      </c>
      <c r="F29" s="113" t="s">
        <v>245</v>
      </c>
      <c r="G29" s="113">
        <v>1</v>
      </c>
      <c r="H29" s="113">
        <v>6</v>
      </c>
      <c r="I29" s="114">
        <v>1600000</v>
      </c>
      <c r="J29" s="113" t="s">
        <v>246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29">
    <cfRule type="duplicateValues" dxfId="1" priority="1"/>
    <cfRule type="duplicateValues" dxfId="0" priority="2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81"/>
  <sheetViews>
    <sheetView view="pageBreakPreview" zoomScaleNormal="100" zoomScaleSheetLayoutView="100" workbookViewId="0">
      <selection sqref="A1:J1"/>
    </sheetView>
  </sheetViews>
  <sheetFormatPr defaultRowHeight="17.399999999999999" x14ac:dyDescent="0.4"/>
  <cols>
    <col min="1" max="1" width="9" style="52"/>
    <col min="2" max="3" width="12.59765625" style="52" customWidth="1"/>
    <col min="4" max="4" width="16" style="52" bestFit="1" customWidth="1"/>
    <col min="5" max="5" width="31.3984375" style="52" bestFit="1" customWidth="1"/>
    <col min="6" max="6" width="10.59765625" style="52" customWidth="1"/>
    <col min="7" max="8" width="8.09765625" style="52" customWidth="1"/>
    <col min="9" max="9" width="13.59765625" style="52" customWidth="1"/>
    <col min="10" max="10" width="35.59765625" style="52" customWidth="1"/>
  </cols>
  <sheetData>
    <row r="1" spans="1:10" ht="35.1" customHeight="1" x14ac:dyDescent="0.4">
      <c r="A1" s="287" t="s">
        <v>255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0" ht="20.100000000000001" customHeight="1" x14ac:dyDescent="0.4">
      <c r="A2" s="290" t="s">
        <v>256</v>
      </c>
      <c r="B2" s="290" t="s">
        <v>234</v>
      </c>
      <c r="C2" s="290" t="s">
        <v>257</v>
      </c>
      <c r="D2" s="290" t="s">
        <v>236</v>
      </c>
      <c r="E2" s="290" t="s">
        <v>237</v>
      </c>
      <c r="F2" s="290" t="s">
        <v>238</v>
      </c>
      <c r="G2" s="290" t="s">
        <v>258</v>
      </c>
      <c r="H2" s="290" t="s">
        <v>259</v>
      </c>
      <c r="I2" s="110" t="s">
        <v>299</v>
      </c>
      <c r="J2" s="290" t="s">
        <v>260</v>
      </c>
    </row>
    <row r="3" spans="1:10" ht="20.100000000000001" customHeight="1" x14ac:dyDescent="0.4">
      <c r="A3" s="290"/>
      <c r="B3" s="290"/>
      <c r="C3" s="290"/>
      <c r="D3" s="290"/>
      <c r="E3" s="290"/>
      <c r="F3" s="290"/>
      <c r="G3" s="290"/>
      <c r="H3" s="290"/>
      <c r="I3" s="111">
        <f>SUM(I4:I81)</f>
        <v>1329770</v>
      </c>
      <c r="J3" s="290"/>
    </row>
    <row r="4" spans="1:10" ht="20.100000000000001" customHeight="1" x14ac:dyDescent="0.4">
      <c r="A4" s="113">
        <v>1</v>
      </c>
      <c r="B4" s="122">
        <v>46173</v>
      </c>
      <c r="C4" s="113" t="s">
        <v>261</v>
      </c>
      <c r="D4" s="113" t="s">
        <v>785</v>
      </c>
      <c r="E4" s="123" t="s">
        <v>788</v>
      </c>
      <c r="F4" s="113" t="s">
        <v>781</v>
      </c>
      <c r="G4" s="113">
        <v>1</v>
      </c>
      <c r="H4" s="113">
        <v>4</v>
      </c>
      <c r="I4" s="114" t="s">
        <v>860</v>
      </c>
      <c r="J4" s="113" t="s">
        <v>246</v>
      </c>
    </row>
    <row r="5" spans="1:10" ht="20.100000000000001" customHeight="1" x14ac:dyDescent="0.4">
      <c r="A5" s="113">
        <v>2</v>
      </c>
      <c r="B5" s="122">
        <v>46173</v>
      </c>
      <c r="C5" s="113" t="s">
        <v>262</v>
      </c>
      <c r="D5" s="113" t="s">
        <v>786</v>
      </c>
      <c r="E5" s="123" t="s">
        <v>788</v>
      </c>
      <c r="F5" s="113" t="s">
        <v>781</v>
      </c>
      <c r="G5" s="113">
        <v>1</v>
      </c>
      <c r="H5" s="113">
        <v>4</v>
      </c>
      <c r="I5" s="114" t="s">
        <v>860</v>
      </c>
      <c r="J5" s="113" t="s">
        <v>246</v>
      </c>
    </row>
    <row r="6" spans="1:10" ht="19.5" customHeight="1" x14ac:dyDescent="0.4">
      <c r="A6" s="113">
        <v>3</v>
      </c>
      <c r="B6" s="122">
        <v>46173</v>
      </c>
      <c r="C6" s="113" t="s">
        <v>262</v>
      </c>
      <c r="D6" s="113" t="s">
        <v>787</v>
      </c>
      <c r="E6" s="123" t="s">
        <v>788</v>
      </c>
      <c r="F6" s="113" t="s">
        <v>781</v>
      </c>
      <c r="G6" s="113">
        <v>1</v>
      </c>
      <c r="H6" s="113">
        <v>4</v>
      </c>
      <c r="I6" s="114" t="s">
        <v>860</v>
      </c>
      <c r="J6" s="113" t="s">
        <v>246</v>
      </c>
    </row>
    <row r="7" spans="1:10" ht="20.100000000000001" customHeight="1" x14ac:dyDescent="0.4">
      <c r="A7" s="113">
        <v>4</v>
      </c>
      <c r="B7" s="122">
        <v>46173</v>
      </c>
      <c r="C7" s="113" t="s">
        <v>262</v>
      </c>
      <c r="D7" s="113" t="s">
        <v>785</v>
      </c>
      <c r="E7" s="123" t="s">
        <v>789</v>
      </c>
      <c r="F7" s="113" t="s">
        <v>245</v>
      </c>
      <c r="G7" s="113">
        <v>1</v>
      </c>
      <c r="H7" s="113">
        <v>6</v>
      </c>
      <c r="I7" s="114">
        <v>4500</v>
      </c>
      <c r="J7" s="113" t="s">
        <v>246</v>
      </c>
    </row>
    <row r="8" spans="1:10" ht="19.5" customHeight="1" x14ac:dyDescent="0.4">
      <c r="A8" s="113">
        <v>5</v>
      </c>
      <c r="B8" s="122">
        <v>46173</v>
      </c>
      <c r="C8" s="113" t="s">
        <v>262</v>
      </c>
      <c r="D8" s="113" t="s">
        <v>786</v>
      </c>
      <c r="E8" s="123" t="s">
        <v>789</v>
      </c>
      <c r="F8" s="113" t="s">
        <v>245</v>
      </c>
      <c r="G8" s="113">
        <v>1</v>
      </c>
      <c r="H8" s="113">
        <v>6</v>
      </c>
      <c r="I8" s="114">
        <v>61890</v>
      </c>
      <c r="J8" s="113" t="s">
        <v>246</v>
      </c>
    </row>
    <row r="9" spans="1:10" ht="20.100000000000001" customHeight="1" x14ac:dyDescent="0.4">
      <c r="A9" s="113">
        <v>6</v>
      </c>
      <c r="B9" s="122">
        <v>46173</v>
      </c>
      <c r="C9" s="113" t="s">
        <v>261</v>
      </c>
      <c r="D9" s="113" t="s">
        <v>787</v>
      </c>
      <c r="E9" s="123" t="s">
        <v>789</v>
      </c>
      <c r="F9" s="113" t="s">
        <v>245</v>
      </c>
      <c r="G9" s="113">
        <v>1</v>
      </c>
      <c r="H9" s="113">
        <v>6</v>
      </c>
      <c r="I9" s="114">
        <v>24360</v>
      </c>
      <c r="J9" s="113" t="s">
        <v>246</v>
      </c>
    </row>
    <row r="10" spans="1:10" ht="20.100000000000001" customHeight="1" x14ac:dyDescent="0.4">
      <c r="A10" s="113">
        <v>7</v>
      </c>
      <c r="B10" s="122">
        <v>46173</v>
      </c>
      <c r="C10" s="113" t="s">
        <v>261</v>
      </c>
      <c r="D10" s="113" t="s">
        <v>785</v>
      </c>
      <c r="E10" s="123" t="s">
        <v>790</v>
      </c>
      <c r="F10" s="113" t="s">
        <v>298</v>
      </c>
      <c r="G10" s="113">
        <v>1</v>
      </c>
      <c r="H10" s="113">
        <v>6</v>
      </c>
      <c r="I10" s="114">
        <v>27010</v>
      </c>
      <c r="J10" s="113" t="s">
        <v>246</v>
      </c>
    </row>
    <row r="11" spans="1:10" ht="19.5" customHeight="1" x14ac:dyDescent="0.4">
      <c r="A11" s="113">
        <v>8</v>
      </c>
      <c r="B11" s="122">
        <v>46173</v>
      </c>
      <c r="C11" s="113" t="s">
        <v>261</v>
      </c>
      <c r="D11" s="113" t="s">
        <v>786</v>
      </c>
      <c r="E11" s="123" t="s">
        <v>790</v>
      </c>
      <c r="F11" s="113" t="s">
        <v>298</v>
      </c>
      <c r="G11" s="113">
        <v>1</v>
      </c>
      <c r="H11" s="113">
        <v>6</v>
      </c>
      <c r="I11" s="114">
        <v>44200</v>
      </c>
      <c r="J11" s="113" t="s">
        <v>246</v>
      </c>
    </row>
    <row r="12" spans="1:10" ht="20.100000000000001" customHeight="1" x14ac:dyDescent="0.4">
      <c r="A12" s="113">
        <v>9</v>
      </c>
      <c r="B12" s="122">
        <v>46173</v>
      </c>
      <c r="C12" s="113" t="s">
        <v>261</v>
      </c>
      <c r="D12" s="113" t="s">
        <v>787</v>
      </c>
      <c r="E12" s="123" t="s">
        <v>790</v>
      </c>
      <c r="F12" s="113" t="s">
        <v>298</v>
      </c>
      <c r="G12" s="113">
        <v>1</v>
      </c>
      <c r="H12" s="113">
        <v>6</v>
      </c>
      <c r="I12" s="114">
        <v>24960</v>
      </c>
      <c r="J12" s="113" t="s">
        <v>246</v>
      </c>
    </row>
    <row r="13" spans="1:10" ht="20.100000000000001" customHeight="1" x14ac:dyDescent="0.4">
      <c r="A13" s="113">
        <v>10</v>
      </c>
      <c r="B13" s="122">
        <v>46173</v>
      </c>
      <c r="C13" s="113" t="s">
        <v>261</v>
      </c>
      <c r="D13" s="113" t="s">
        <v>785</v>
      </c>
      <c r="E13" s="123" t="s">
        <v>791</v>
      </c>
      <c r="F13" s="113" t="s">
        <v>306</v>
      </c>
      <c r="G13" s="113">
        <v>1</v>
      </c>
      <c r="H13" s="113">
        <v>6</v>
      </c>
      <c r="I13" s="114">
        <v>62360</v>
      </c>
      <c r="J13" s="113" t="s">
        <v>246</v>
      </c>
    </row>
    <row r="14" spans="1:10" ht="19.5" customHeight="1" x14ac:dyDescent="0.4">
      <c r="A14" s="113">
        <v>11</v>
      </c>
      <c r="B14" s="122">
        <v>46173</v>
      </c>
      <c r="C14" s="113" t="s">
        <v>261</v>
      </c>
      <c r="D14" s="113" t="s">
        <v>786</v>
      </c>
      <c r="E14" s="123" t="s">
        <v>791</v>
      </c>
      <c r="F14" s="113" t="s">
        <v>306</v>
      </c>
      <c r="G14" s="113">
        <v>1</v>
      </c>
      <c r="H14" s="113">
        <v>6</v>
      </c>
      <c r="I14" s="114">
        <v>62080</v>
      </c>
      <c r="J14" s="113" t="s">
        <v>246</v>
      </c>
    </row>
    <row r="15" spans="1:10" ht="20.100000000000001" customHeight="1" x14ac:dyDescent="0.4">
      <c r="A15" s="113">
        <v>12</v>
      </c>
      <c r="B15" s="122">
        <v>46173</v>
      </c>
      <c r="C15" s="113" t="s">
        <v>261</v>
      </c>
      <c r="D15" s="113" t="s">
        <v>787</v>
      </c>
      <c r="E15" s="123" t="s">
        <v>791</v>
      </c>
      <c r="F15" s="113" t="s">
        <v>306</v>
      </c>
      <c r="G15" s="113">
        <v>1</v>
      </c>
      <c r="H15" s="113">
        <v>6</v>
      </c>
      <c r="I15" s="114">
        <v>26470</v>
      </c>
      <c r="J15" s="113" t="s">
        <v>246</v>
      </c>
    </row>
    <row r="16" spans="1:10" ht="20.100000000000001" customHeight="1" x14ac:dyDescent="0.4">
      <c r="A16" s="113">
        <v>13</v>
      </c>
      <c r="B16" s="122">
        <v>46173</v>
      </c>
      <c r="C16" s="113" t="s">
        <v>261</v>
      </c>
      <c r="D16" s="113" t="s">
        <v>785</v>
      </c>
      <c r="E16" s="123" t="s">
        <v>792</v>
      </c>
      <c r="F16" s="113" t="s">
        <v>245</v>
      </c>
      <c r="G16" s="113">
        <v>1</v>
      </c>
      <c r="H16" s="113">
        <v>6</v>
      </c>
      <c r="I16" s="114">
        <v>46140</v>
      </c>
      <c r="J16" s="113" t="s">
        <v>246</v>
      </c>
    </row>
    <row r="17" spans="1:10" ht="19.5" customHeight="1" x14ac:dyDescent="0.4">
      <c r="A17" s="113">
        <v>14</v>
      </c>
      <c r="B17" s="122">
        <v>46173</v>
      </c>
      <c r="C17" s="113" t="s">
        <v>261</v>
      </c>
      <c r="D17" s="113" t="s">
        <v>786</v>
      </c>
      <c r="E17" s="123" t="s">
        <v>792</v>
      </c>
      <c r="F17" s="113" t="s">
        <v>245</v>
      </c>
      <c r="G17" s="113">
        <v>1</v>
      </c>
      <c r="H17" s="113">
        <v>6</v>
      </c>
      <c r="I17" s="114">
        <v>73360</v>
      </c>
      <c r="J17" s="113" t="s">
        <v>246</v>
      </c>
    </row>
    <row r="18" spans="1:10" ht="20.100000000000001" customHeight="1" x14ac:dyDescent="0.4">
      <c r="A18" s="113">
        <v>15</v>
      </c>
      <c r="B18" s="122">
        <v>46173</v>
      </c>
      <c r="C18" s="113" t="s">
        <v>261</v>
      </c>
      <c r="D18" s="113" t="s">
        <v>787</v>
      </c>
      <c r="E18" s="123" t="s">
        <v>792</v>
      </c>
      <c r="F18" s="113" t="s">
        <v>245</v>
      </c>
      <c r="G18" s="113">
        <v>1</v>
      </c>
      <c r="H18" s="113">
        <v>6</v>
      </c>
      <c r="I18" s="114">
        <v>44970</v>
      </c>
      <c r="J18" s="113" t="s">
        <v>246</v>
      </c>
    </row>
    <row r="19" spans="1:10" ht="20.100000000000001" customHeight="1" x14ac:dyDescent="0.4">
      <c r="A19" s="113">
        <v>16</v>
      </c>
      <c r="B19" s="122">
        <v>46173</v>
      </c>
      <c r="C19" s="113" t="s">
        <v>261</v>
      </c>
      <c r="D19" s="113" t="s">
        <v>785</v>
      </c>
      <c r="E19" s="123" t="s">
        <v>793</v>
      </c>
      <c r="F19" s="113" t="s">
        <v>245</v>
      </c>
      <c r="G19" s="113">
        <v>1</v>
      </c>
      <c r="H19" s="113">
        <v>6</v>
      </c>
      <c r="I19" s="114">
        <v>0</v>
      </c>
      <c r="J19" s="113" t="s">
        <v>246</v>
      </c>
    </row>
    <row r="20" spans="1:10" ht="19.5" customHeight="1" x14ac:dyDescent="0.4">
      <c r="A20" s="113">
        <v>17</v>
      </c>
      <c r="B20" s="122">
        <v>46173</v>
      </c>
      <c r="C20" s="113" t="s">
        <v>261</v>
      </c>
      <c r="D20" s="113" t="s">
        <v>786</v>
      </c>
      <c r="E20" s="123" t="s">
        <v>793</v>
      </c>
      <c r="F20" s="113" t="s">
        <v>245</v>
      </c>
      <c r="G20" s="113">
        <v>1</v>
      </c>
      <c r="H20" s="113">
        <v>6</v>
      </c>
      <c r="I20" s="114">
        <v>54510</v>
      </c>
      <c r="J20" s="113" t="s">
        <v>246</v>
      </c>
    </row>
    <row r="21" spans="1:10" ht="20.100000000000001" customHeight="1" x14ac:dyDescent="0.4">
      <c r="A21" s="113">
        <v>18</v>
      </c>
      <c r="B21" s="122">
        <v>46173</v>
      </c>
      <c r="C21" s="113" t="s">
        <v>261</v>
      </c>
      <c r="D21" s="113" t="s">
        <v>787</v>
      </c>
      <c r="E21" s="123" t="s">
        <v>793</v>
      </c>
      <c r="F21" s="113" t="s">
        <v>245</v>
      </c>
      <c r="G21" s="113">
        <v>1</v>
      </c>
      <c r="H21" s="113">
        <v>6</v>
      </c>
      <c r="I21" s="114">
        <v>24880</v>
      </c>
      <c r="J21" s="113" t="s">
        <v>246</v>
      </c>
    </row>
    <row r="22" spans="1:10" ht="20.100000000000001" customHeight="1" x14ac:dyDescent="0.4">
      <c r="A22" s="113">
        <v>19</v>
      </c>
      <c r="B22" s="122">
        <v>46173</v>
      </c>
      <c r="C22" s="113" t="s">
        <v>261</v>
      </c>
      <c r="D22" s="113" t="s">
        <v>785</v>
      </c>
      <c r="E22" s="123" t="s">
        <v>811</v>
      </c>
      <c r="F22" s="113" t="s">
        <v>306</v>
      </c>
      <c r="G22" s="113">
        <v>1</v>
      </c>
      <c r="H22" s="113">
        <v>6</v>
      </c>
      <c r="I22" s="114">
        <v>30520</v>
      </c>
      <c r="J22" s="113" t="s">
        <v>246</v>
      </c>
    </row>
    <row r="23" spans="1:10" ht="19.5" customHeight="1" x14ac:dyDescent="0.4">
      <c r="A23" s="113">
        <v>20</v>
      </c>
      <c r="B23" s="122">
        <v>46173</v>
      </c>
      <c r="C23" s="113" t="s">
        <v>261</v>
      </c>
      <c r="D23" s="113" t="s">
        <v>786</v>
      </c>
      <c r="E23" s="123" t="s">
        <v>811</v>
      </c>
      <c r="F23" s="113" t="s">
        <v>306</v>
      </c>
      <c r="G23" s="113">
        <v>1</v>
      </c>
      <c r="H23" s="113">
        <v>6</v>
      </c>
      <c r="I23" s="114">
        <v>36720</v>
      </c>
      <c r="J23" s="113" t="s">
        <v>246</v>
      </c>
    </row>
    <row r="24" spans="1:10" ht="20.100000000000001" customHeight="1" x14ac:dyDescent="0.4">
      <c r="A24" s="113">
        <v>21</v>
      </c>
      <c r="B24" s="122">
        <v>46173</v>
      </c>
      <c r="C24" s="113" t="s">
        <v>261</v>
      </c>
      <c r="D24" s="113" t="s">
        <v>787</v>
      </c>
      <c r="E24" s="123" t="s">
        <v>811</v>
      </c>
      <c r="F24" s="113" t="s">
        <v>306</v>
      </c>
      <c r="G24" s="113">
        <v>1</v>
      </c>
      <c r="H24" s="113">
        <v>6</v>
      </c>
      <c r="I24" s="114">
        <v>24880</v>
      </c>
      <c r="J24" s="113" t="s">
        <v>246</v>
      </c>
    </row>
    <row r="25" spans="1:10" ht="20.100000000000001" customHeight="1" x14ac:dyDescent="0.4">
      <c r="A25" s="113">
        <v>22</v>
      </c>
      <c r="B25" s="122">
        <v>46173</v>
      </c>
      <c r="C25" s="113" t="s">
        <v>261</v>
      </c>
      <c r="D25" s="113" t="s">
        <v>785</v>
      </c>
      <c r="E25" s="123" t="s">
        <v>794</v>
      </c>
      <c r="F25" s="113" t="s">
        <v>245</v>
      </c>
      <c r="G25" s="113">
        <v>1</v>
      </c>
      <c r="H25" s="113">
        <v>6</v>
      </c>
      <c r="I25" s="114">
        <v>22640</v>
      </c>
      <c r="J25" s="113" t="s">
        <v>246</v>
      </c>
    </row>
    <row r="26" spans="1:10" ht="19.5" customHeight="1" x14ac:dyDescent="0.4">
      <c r="A26" s="113">
        <v>23</v>
      </c>
      <c r="B26" s="122">
        <v>46173</v>
      </c>
      <c r="C26" s="113" t="s">
        <v>261</v>
      </c>
      <c r="D26" s="113" t="s">
        <v>786</v>
      </c>
      <c r="E26" s="123" t="s">
        <v>794</v>
      </c>
      <c r="F26" s="113" t="s">
        <v>245</v>
      </c>
      <c r="G26" s="113">
        <v>1</v>
      </c>
      <c r="H26" s="113">
        <v>6</v>
      </c>
      <c r="I26" s="114" t="s">
        <v>860</v>
      </c>
      <c r="J26" s="113" t="s">
        <v>246</v>
      </c>
    </row>
    <row r="27" spans="1:10" ht="20.100000000000001" customHeight="1" x14ac:dyDescent="0.4">
      <c r="A27" s="113">
        <v>24</v>
      </c>
      <c r="B27" s="122">
        <v>46173</v>
      </c>
      <c r="C27" s="113" t="s">
        <v>261</v>
      </c>
      <c r="D27" s="113" t="s">
        <v>787</v>
      </c>
      <c r="E27" s="123" t="s">
        <v>794</v>
      </c>
      <c r="F27" s="113" t="s">
        <v>245</v>
      </c>
      <c r="G27" s="113">
        <v>1</v>
      </c>
      <c r="H27" s="113">
        <v>6</v>
      </c>
      <c r="I27" s="114">
        <v>27520</v>
      </c>
      <c r="J27" s="113" t="s">
        <v>246</v>
      </c>
    </row>
    <row r="28" spans="1:10" ht="20.100000000000001" customHeight="1" x14ac:dyDescent="0.4">
      <c r="A28" s="113">
        <v>25</v>
      </c>
      <c r="B28" s="122">
        <v>46173</v>
      </c>
      <c r="C28" s="113" t="s">
        <v>261</v>
      </c>
      <c r="D28" s="113" t="s">
        <v>785</v>
      </c>
      <c r="E28" s="123" t="s">
        <v>795</v>
      </c>
      <c r="F28" s="113" t="s">
        <v>783</v>
      </c>
      <c r="G28" s="113">
        <v>1</v>
      </c>
      <c r="H28" s="113">
        <v>6</v>
      </c>
      <c r="I28" s="114" t="s">
        <v>860</v>
      </c>
      <c r="J28" s="113" t="s">
        <v>246</v>
      </c>
    </row>
    <row r="29" spans="1:10" ht="19.5" customHeight="1" x14ac:dyDescent="0.4">
      <c r="A29" s="113">
        <v>26</v>
      </c>
      <c r="B29" s="122">
        <v>46173</v>
      </c>
      <c r="C29" s="113" t="s">
        <v>261</v>
      </c>
      <c r="D29" s="113" t="s">
        <v>786</v>
      </c>
      <c r="E29" s="123" t="s">
        <v>795</v>
      </c>
      <c r="F29" s="113" t="s">
        <v>783</v>
      </c>
      <c r="G29" s="113">
        <v>1</v>
      </c>
      <c r="H29" s="113">
        <v>6</v>
      </c>
      <c r="I29" s="114" t="s">
        <v>860</v>
      </c>
      <c r="J29" s="113" t="s">
        <v>246</v>
      </c>
    </row>
    <row r="30" spans="1:10" ht="20.100000000000001" customHeight="1" x14ac:dyDescent="0.4">
      <c r="A30" s="113">
        <v>27</v>
      </c>
      <c r="B30" s="122">
        <v>46173</v>
      </c>
      <c r="C30" s="113" t="s">
        <v>261</v>
      </c>
      <c r="D30" s="113" t="s">
        <v>787</v>
      </c>
      <c r="E30" s="123" t="s">
        <v>795</v>
      </c>
      <c r="F30" s="113" t="s">
        <v>783</v>
      </c>
      <c r="G30" s="113">
        <v>1</v>
      </c>
      <c r="H30" s="113">
        <v>6</v>
      </c>
      <c r="I30" s="114" t="s">
        <v>860</v>
      </c>
      <c r="J30" s="113" t="s">
        <v>246</v>
      </c>
    </row>
    <row r="31" spans="1:10" ht="20.100000000000001" customHeight="1" x14ac:dyDescent="0.4">
      <c r="A31" s="113">
        <v>28</v>
      </c>
      <c r="B31" s="122">
        <v>46173</v>
      </c>
      <c r="C31" s="113" t="s">
        <v>261</v>
      </c>
      <c r="D31" s="113" t="s">
        <v>785</v>
      </c>
      <c r="E31" s="123" t="s">
        <v>796</v>
      </c>
      <c r="F31" s="113" t="s">
        <v>298</v>
      </c>
      <c r="G31" s="113">
        <v>1</v>
      </c>
      <c r="H31" s="113">
        <v>6</v>
      </c>
      <c r="I31" s="114">
        <v>0</v>
      </c>
      <c r="J31" s="113" t="s">
        <v>246</v>
      </c>
    </row>
    <row r="32" spans="1:10" ht="19.5" customHeight="1" x14ac:dyDescent="0.4">
      <c r="A32" s="113">
        <v>29</v>
      </c>
      <c r="B32" s="122">
        <v>46173</v>
      </c>
      <c r="C32" s="113" t="s">
        <v>261</v>
      </c>
      <c r="D32" s="113" t="s">
        <v>786</v>
      </c>
      <c r="E32" s="123" t="s">
        <v>796</v>
      </c>
      <c r="F32" s="113" t="s">
        <v>298</v>
      </c>
      <c r="G32" s="113">
        <v>1</v>
      </c>
      <c r="H32" s="113">
        <v>6</v>
      </c>
      <c r="I32" s="114">
        <v>58800</v>
      </c>
      <c r="J32" s="113" t="s">
        <v>246</v>
      </c>
    </row>
    <row r="33" spans="1:10" ht="20.100000000000001" customHeight="1" x14ac:dyDescent="0.4">
      <c r="A33" s="113">
        <v>30</v>
      </c>
      <c r="B33" s="122">
        <v>46173</v>
      </c>
      <c r="C33" s="113" t="s">
        <v>261</v>
      </c>
      <c r="D33" s="113" t="s">
        <v>787</v>
      </c>
      <c r="E33" s="123" t="s">
        <v>796</v>
      </c>
      <c r="F33" s="113" t="s">
        <v>298</v>
      </c>
      <c r="G33" s="113">
        <v>1</v>
      </c>
      <c r="H33" s="113">
        <v>6</v>
      </c>
      <c r="I33" s="114">
        <v>0</v>
      </c>
      <c r="J33" s="113" t="s">
        <v>246</v>
      </c>
    </row>
    <row r="34" spans="1:10" ht="20.100000000000001" customHeight="1" x14ac:dyDescent="0.4">
      <c r="A34" s="113">
        <v>31</v>
      </c>
      <c r="B34" s="122">
        <v>46173</v>
      </c>
      <c r="C34" s="113" t="s">
        <v>261</v>
      </c>
      <c r="D34" s="113" t="s">
        <v>785</v>
      </c>
      <c r="E34" s="123" t="s">
        <v>797</v>
      </c>
      <c r="F34" s="113" t="s">
        <v>298</v>
      </c>
      <c r="G34" s="113">
        <v>1</v>
      </c>
      <c r="H34" s="113">
        <v>6</v>
      </c>
      <c r="I34" s="114">
        <v>11020</v>
      </c>
      <c r="J34" s="113" t="s">
        <v>246</v>
      </c>
    </row>
    <row r="35" spans="1:10" ht="19.5" customHeight="1" x14ac:dyDescent="0.4">
      <c r="A35" s="113">
        <v>32</v>
      </c>
      <c r="B35" s="122">
        <v>46173</v>
      </c>
      <c r="C35" s="113" t="s">
        <v>261</v>
      </c>
      <c r="D35" s="113" t="s">
        <v>786</v>
      </c>
      <c r="E35" s="123" t="s">
        <v>797</v>
      </c>
      <c r="F35" s="113" t="s">
        <v>298</v>
      </c>
      <c r="G35" s="113">
        <v>1</v>
      </c>
      <c r="H35" s="113">
        <v>6</v>
      </c>
      <c r="I35" s="114">
        <v>49290</v>
      </c>
      <c r="J35" s="113" t="s">
        <v>246</v>
      </c>
    </row>
    <row r="36" spans="1:10" ht="20.100000000000001" customHeight="1" x14ac:dyDescent="0.4">
      <c r="A36" s="113">
        <v>33</v>
      </c>
      <c r="B36" s="122">
        <v>46173</v>
      </c>
      <c r="C36" s="113" t="s">
        <v>261</v>
      </c>
      <c r="D36" s="113" t="s">
        <v>787</v>
      </c>
      <c r="E36" s="123" t="s">
        <v>797</v>
      </c>
      <c r="F36" s="113" t="s">
        <v>298</v>
      </c>
      <c r="G36" s="113">
        <v>1</v>
      </c>
      <c r="H36" s="113">
        <v>6</v>
      </c>
      <c r="I36" s="114">
        <v>43350</v>
      </c>
      <c r="J36" s="113" t="s">
        <v>246</v>
      </c>
    </row>
    <row r="37" spans="1:10" ht="20.100000000000001" customHeight="1" x14ac:dyDescent="0.4">
      <c r="A37" s="113">
        <v>34</v>
      </c>
      <c r="B37" s="122">
        <v>46173</v>
      </c>
      <c r="C37" s="113" t="s">
        <v>261</v>
      </c>
      <c r="D37" s="113" t="s">
        <v>785</v>
      </c>
      <c r="E37" s="123" t="s">
        <v>784</v>
      </c>
      <c r="F37" s="113" t="s">
        <v>298</v>
      </c>
      <c r="G37" s="113">
        <v>1</v>
      </c>
      <c r="H37" s="113">
        <v>6</v>
      </c>
      <c r="I37" s="114" t="s">
        <v>860</v>
      </c>
      <c r="J37" s="113" t="s">
        <v>246</v>
      </c>
    </row>
    <row r="38" spans="1:10" ht="19.5" customHeight="1" x14ac:dyDescent="0.4">
      <c r="A38" s="113">
        <v>35</v>
      </c>
      <c r="B38" s="122">
        <v>46173</v>
      </c>
      <c r="C38" s="113" t="s">
        <v>261</v>
      </c>
      <c r="D38" s="113" t="s">
        <v>786</v>
      </c>
      <c r="E38" s="123" t="s">
        <v>784</v>
      </c>
      <c r="F38" s="113" t="s">
        <v>298</v>
      </c>
      <c r="G38" s="113">
        <v>1</v>
      </c>
      <c r="H38" s="113">
        <v>6</v>
      </c>
      <c r="I38" s="114" t="s">
        <v>860</v>
      </c>
      <c r="J38" s="113" t="s">
        <v>246</v>
      </c>
    </row>
    <row r="39" spans="1:10" ht="20.100000000000001" customHeight="1" x14ac:dyDescent="0.4">
      <c r="A39" s="113">
        <v>36</v>
      </c>
      <c r="B39" s="122">
        <v>46173</v>
      </c>
      <c r="C39" s="113" t="s">
        <v>261</v>
      </c>
      <c r="D39" s="113" t="s">
        <v>787</v>
      </c>
      <c r="E39" s="123" t="s">
        <v>784</v>
      </c>
      <c r="F39" s="113" t="s">
        <v>298</v>
      </c>
      <c r="G39" s="113">
        <v>1</v>
      </c>
      <c r="H39" s="113">
        <v>6</v>
      </c>
      <c r="I39" s="114" t="s">
        <v>860</v>
      </c>
      <c r="J39" s="113" t="s">
        <v>246</v>
      </c>
    </row>
    <row r="40" spans="1:10" ht="20.100000000000001" customHeight="1" x14ac:dyDescent="0.4">
      <c r="A40" s="113">
        <v>37</v>
      </c>
      <c r="B40" s="122">
        <v>46173</v>
      </c>
      <c r="C40" s="113" t="s">
        <v>261</v>
      </c>
      <c r="D40" s="113" t="s">
        <v>785</v>
      </c>
      <c r="E40" s="123" t="s">
        <v>798</v>
      </c>
      <c r="F40" s="113" t="s">
        <v>298</v>
      </c>
      <c r="G40" s="113">
        <v>1</v>
      </c>
      <c r="H40" s="113">
        <v>6</v>
      </c>
      <c r="I40" s="114">
        <v>2400</v>
      </c>
      <c r="J40" s="113" t="s">
        <v>246</v>
      </c>
    </row>
    <row r="41" spans="1:10" ht="19.5" customHeight="1" x14ac:dyDescent="0.4">
      <c r="A41" s="113">
        <v>38</v>
      </c>
      <c r="B41" s="122">
        <v>46173</v>
      </c>
      <c r="C41" s="113" t="s">
        <v>261</v>
      </c>
      <c r="D41" s="113" t="s">
        <v>786</v>
      </c>
      <c r="E41" s="123" t="s">
        <v>798</v>
      </c>
      <c r="F41" s="113" t="s">
        <v>298</v>
      </c>
      <c r="G41" s="113">
        <v>1</v>
      </c>
      <c r="H41" s="113">
        <v>6</v>
      </c>
      <c r="I41" s="114">
        <v>71170</v>
      </c>
      <c r="J41" s="113" t="s">
        <v>246</v>
      </c>
    </row>
    <row r="42" spans="1:10" ht="20.100000000000001" customHeight="1" x14ac:dyDescent="0.4">
      <c r="A42" s="113">
        <v>39</v>
      </c>
      <c r="B42" s="122">
        <v>46173</v>
      </c>
      <c r="C42" s="113" t="s">
        <v>261</v>
      </c>
      <c r="D42" s="113" t="s">
        <v>787</v>
      </c>
      <c r="E42" s="123" t="s">
        <v>798</v>
      </c>
      <c r="F42" s="113" t="s">
        <v>298</v>
      </c>
      <c r="G42" s="113">
        <v>1</v>
      </c>
      <c r="H42" s="113">
        <v>6</v>
      </c>
      <c r="I42" s="114">
        <v>33390</v>
      </c>
      <c r="J42" s="113" t="s">
        <v>246</v>
      </c>
    </row>
    <row r="43" spans="1:10" ht="20.100000000000001" customHeight="1" x14ac:dyDescent="0.4">
      <c r="A43" s="113">
        <v>40</v>
      </c>
      <c r="B43" s="122">
        <v>46173</v>
      </c>
      <c r="C43" s="113" t="s">
        <v>261</v>
      </c>
      <c r="D43" s="113" t="s">
        <v>785</v>
      </c>
      <c r="E43" s="123" t="s">
        <v>799</v>
      </c>
      <c r="F43" s="113" t="s">
        <v>245</v>
      </c>
      <c r="G43" s="113">
        <v>1</v>
      </c>
      <c r="H43" s="113">
        <v>6</v>
      </c>
      <c r="I43" s="114">
        <v>18480</v>
      </c>
      <c r="J43" s="113" t="s">
        <v>246</v>
      </c>
    </row>
    <row r="44" spans="1:10" ht="19.5" customHeight="1" x14ac:dyDescent="0.4">
      <c r="A44" s="113">
        <v>41</v>
      </c>
      <c r="B44" s="122">
        <v>46173</v>
      </c>
      <c r="C44" s="113" t="s">
        <v>261</v>
      </c>
      <c r="D44" s="113" t="s">
        <v>786</v>
      </c>
      <c r="E44" s="123" t="s">
        <v>799</v>
      </c>
      <c r="F44" s="113" t="s">
        <v>245</v>
      </c>
      <c r="G44" s="113">
        <v>1</v>
      </c>
      <c r="H44" s="113">
        <v>6</v>
      </c>
      <c r="I44" s="114">
        <v>32340</v>
      </c>
      <c r="J44" s="113" t="s">
        <v>246</v>
      </c>
    </row>
    <row r="45" spans="1:10" ht="20.100000000000001" customHeight="1" x14ac:dyDescent="0.4">
      <c r="A45" s="113">
        <v>42</v>
      </c>
      <c r="B45" s="122">
        <v>46173</v>
      </c>
      <c r="C45" s="113" t="s">
        <v>261</v>
      </c>
      <c r="D45" s="113" t="s">
        <v>787</v>
      </c>
      <c r="E45" s="123" t="s">
        <v>799</v>
      </c>
      <c r="F45" s="113" t="s">
        <v>245</v>
      </c>
      <c r="G45" s="113">
        <v>1</v>
      </c>
      <c r="H45" s="113">
        <v>6</v>
      </c>
      <c r="I45" s="114">
        <v>41760</v>
      </c>
      <c r="J45" s="113" t="s">
        <v>246</v>
      </c>
    </row>
    <row r="46" spans="1:10" ht="20.100000000000001" customHeight="1" x14ac:dyDescent="0.4">
      <c r="A46" s="113">
        <v>43</v>
      </c>
      <c r="B46" s="122">
        <v>46173</v>
      </c>
      <c r="C46" s="113" t="s">
        <v>261</v>
      </c>
      <c r="D46" s="113" t="s">
        <v>785</v>
      </c>
      <c r="E46" s="123" t="s">
        <v>800</v>
      </c>
      <c r="F46" s="113" t="s">
        <v>298</v>
      </c>
      <c r="G46" s="113">
        <v>1</v>
      </c>
      <c r="H46" s="113">
        <v>6</v>
      </c>
      <c r="I46" s="114">
        <v>1200</v>
      </c>
      <c r="J46" s="113" t="s">
        <v>246</v>
      </c>
    </row>
    <row r="47" spans="1:10" ht="19.5" customHeight="1" x14ac:dyDescent="0.4">
      <c r="A47" s="113">
        <v>44</v>
      </c>
      <c r="B47" s="122">
        <v>46173</v>
      </c>
      <c r="C47" s="113" t="s">
        <v>261</v>
      </c>
      <c r="D47" s="113" t="s">
        <v>786</v>
      </c>
      <c r="E47" s="123" t="s">
        <v>800</v>
      </c>
      <c r="F47" s="113" t="s">
        <v>298</v>
      </c>
      <c r="G47" s="113">
        <v>1</v>
      </c>
      <c r="H47" s="113">
        <v>6</v>
      </c>
      <c r="I47" s="114" t="s">
        <v>860</v>
      </c>
      <c r="J47" s="113" t="s">
        <v>246</v>
      </c>
    </row>
    <row r="48" spans="1:10" ht="20.100000000000001" customHeight="1" x14ac:dyDescent="0.4">
      <c r="A48" s="113">
        <v>45</v>
      </c>
      <c r="B48" s="122">
        <v>46173</v>
      </c>
      <c r="C48" s="113" t="s">
        <v>261</v>
      </c>
      <c r="D48" s="113" t="s">
        <v>787</v>
      </c>
      <c r="E48" s="123" t="s">
        <v>800</v>
      </c>
      <c r="F48" s="113" t="s">
        <v>298</v>
      </c>
      <c r="G48" s="113">
        <v>1</v>
      </c>
      <c r="H48" s="113">
        <v>6</v>
      </c>
      <c r="I48" s="114">
        <v>0</v>
      </c>
      <c r="J48" s="113" t="s">
        <v>246</v>
      </c>
    </row>
    <row r="49" spans="1:10" ht="20.100000000000001" customHeight="1" x14ac:dyDescent="0.4">
      <c r="A49" s="113">
        <v>46</v>
      </c>
      <c r="B49" s="122">
        <v>46173</v>
      </c>
      <c r="C49" s="113" t="s">
        <v>261</v>
      </c>
      <c r="D49" s="113" t="s">
        <v>785</v>
      </c>
      <c r="E49" s="123" t="s">
        <v>801</v>
      </c>
      <c r="F49" s="113" t="s">
        <v>298</v>
      </c>
      <c r="G49" s="113">
        <v>1</v>
      </c>
      <c r="H49" s="113">
        <v>6</v>
      </c>
      <c r="I49" s="114">
        <v>1200</v>
      </c>
      <c r="J49" s="113" t="s">
        <v>246</v>
      </c>
    </row>
    <row r="50" spans="1:10" ht="19.5" customHeight="1" x14ac:dyDescent="0.4">
      <c r="A50" s="113">
        <v>47</v>
      </c>
      <c r="B50" s="122">
        <v>46173</v>
      </c>
      <c r="C50" s="113" t="s">
        <v>261</v>
      </c>
      <c r="D50" s="113" t="s">
        <v>786</v>
      </c>
      <c r="E50" s="123" t="s">
        <v>801</v>
      </c>
      <c r="F50" s="113" t="s">
        <v>298</v>
      </c>
      <c r="G50" s="113">
        <v>1</v>
      </c>
      <c r="H50" s="113">
        <v>6</v>
      </c>
      <c r="I50" s="114">
        <v>12980</v>
      </c>
      <c r="J50" s="113" t="s">
        <v>246</v>
      </c>
    </row>
    <row r="51" spans="1:10" ht="20.100000000000001" customHeight="1" x14ac:dyDescent="0.4">
      <c r="A51" s="113">
        <v>48</v>
      </c>
      <c r="B51" s="122">
        <v>46173</v>
      </c>
      <c r="C51" s="113" t="s">
        <v>261</v>
      </c>
      <c r="D51" s="113" t="s">
        <v>787</v>
      </c>
      <c r="E51" s="123" t="s">
        <v>801</v>
      </c>
      <c r="F51" s="113" t="s">
        <v>298</v>
      </c>
      <c r="G51" s="113">
        <v>1</v>
      </c>
      <c r="H51" s="113">
        <v>6</v>
      </c>
      <c r="I51" s="114">
        <v>40030</v>
      </c>
      <c r="J51" s="113" t="s">
        <v>246</v>
      </c>
    </row>
    <row r="52" spans="1:10" ht="20.100000000000001" customHeight="1" x14ac:dyDescent="0.4">
      <c r="A52" s="113">
        <v>49</v>
      </c>
      <c r="B52" s="122">
        <v>46173</v>
      </c>
      <c r="C52" s="113" t="s">
        <v>261</v>
      </c>
      <c r="D52" s="113" t="s">
        <v>785</v>
      </c>
      <c r="E52" s="123" t="s">
        <v>802</v>
      </c>
      <c r="F52" s="113" t="s">
        <v>245</v>
      </c>
      <c r="G52" s="113">
        <v>1</v>
      </c>
      <c r="H52" s="113">
        <v>6</v>
      </c>
      <c r="I52" s="114">
        <v>1200</v>
      </c>
      <c r="J52" s="113" t="s">
        <v>246</v>
      </c>
    </row>
    <row r="53" spans="1:10" ht="19.5" customHeight="1" x14ac:dyDescent="0.4">
      <c r="A53" s="113">
        <v>50</v>
      </c>
      <c r="B53" s="122">
        <v>46173</v>
      </c>
      <c r="C53" s="113" t="s">
        <v>261</v>
      </c>
      <c r="D53" s="113" t="s">
        <v>786</v>
      </c>
      <c r="E53" s="123" t="s">
        <v>802</v>
      </c>
      <c r="F53" s="113" t="s">
        <v>245</v>
      </c>
      <c r="G53" s="113">
        <v>1</v>
      </c>
      <c r="H53" s="113">
        <v>6</v>
      </c>
      <c r="I53" s="114">
        <v>72100</v>
      </c>
      <c r="J53" s="113" t="s">
        <v>246</v>
      </c>
    </row>
    <row r="54" spans="1:10" ht="19.5" customHeight="1" x14ac:dyDescent="0.4">
      <c r="A54" s="113">
        <v>51</v>
      </c>
      <c r="B54" s="122">
        <v>46173</v>
      </c>
      <c r="C54" s="113" t="s">
        <v>261</v>
      </c>
      <c r="D54" s="113" t="s">
        <v>787</v>
      </c>
      <c r="E54" s="123" t="s">
        <v>802</v>
      </c>
      <c r="F54" s="113" t="s">
        <v>245</v>
      </c>
      <c r="G54" s="113">
        <v>1</v>
      </c>
      <c r="H54" s="113">
        <v>6</v>
      </c>
      <c r="I54" s="114">
        <v>0</v>
      </c>
      <c r="J54" s="113" t="s">
        <v>246</v>
      </c>
    </row>
    <row r="55" spans="1:10" ht="20.100000000000001" customHeight="1" x14ac:dyDescent="0.4">
      <c r="A55" s="113">
        <v>52</v>
      </c>
      <c r="B55" s="122">
        <v>46173</v>
      </c>
      <c r="C55" s="113" t="s">
        <v>261</v>
      </c>
      <c r="D55" s="113" t="s">
        <v>785</v>
      </c>
      <c r="E55" s="123" t="s">
        <v>803</v>
      </c>
      <c r="F55" s="113" t="s">
        <v>298</v>
      </c>
      <c r="G55" s="113">
        <v>1</v>
      </c>
      <c r="H55" s="113">
        <v>4</v>
      </c>
      <c r="I55" s="114">
        <v>2400</v>
      </c>
      <c r="J55" s="113" t="s">
        <v>246</v>
      </c>
    </row>
    <row r="56" spans="1:10" ht="19.5" customHeight="1" x14ac:dyDescent="0.4">
      <c r="A56" s="113">
        <v>53</v>
      </c>
      <c r="B56" s="122">
        <v>46173</v>
      </c>
      <c r="C56" s="113" t="s">
        <v>261</v>
      </c>
      <c r="D56" s="113" t="s">
        <v>786</v>
      </c>
      <c r="E56" s="123" t="s">
        <v>803</v>
      </c>
      <c r="F56" s="113" t="s">
        <v>298</v>
      </c>
      <c r="G56" s="113">
        <v>1</v>
      </c>
      <c r="H56" s="113">
        <v>4</v>
      </c>
      <c r="I56" s="114">
        <v>46680</v>
      </c>
      <c r="J56" s="113" t="s">
        <v>246</v>
      </c>
    </row>
    <row r="57" spans="1:10" ht="19.5" customHeight="1" x14ac:dyDescent="0.4">
      <c r="A57" s="113">
        <v>54</v>
      </c>
      <c r="B57" s="122">
        <v>46173</v>
      </c>
      <c r="C57" s="113" t="s">
        <v>261</v>
      </c>
      <c r="D57" s="113" t="s">
        <v>787</v>
      </c>
      <c r="E57" s="123" t="s">
        <v>803</v>
      </c>
      <c r="F57" s="113" t="s">
        <v>298</v>
      </c>
      <c r="G57" s="113">
        <v>1</v>
      </c>
      <c r="H57" s="113">
        <v>4</v>
      </c>
      <c r="I57" s="114">
        <v>19200</v>
      </c>
      <c r="J57" s="113" t="s">
        <v>246</v>
      </c>
    </row>
    <row r="58" spans="1:10" ht="20.100000000000001" customHeight="1" x14ac:dyDescent="0.4">
      <c r="A58" s="113">
        <v>55</v>
      </c>
      <c r="B58" s="122">
        <v>46173</v>
      </c>
      <c r="C58" s="113" t="s">
        <v>261</v>
      </c>
      <c r="D58" s="113" t="s">
        <v>785</v>
      </c>
      <c r="E58" s="123" t="s">
        <v>804</v>
      </c>
      <c r="F58" s="113" t="s">
        <v>783</v>
      </c>
      <c r="G58" s="113">
        <v>1</v>
      </c>
      <c r="H58" s="113">
        <v>6</v>
      </c>
      <c r="I58" s="114">
        <v>1200</v>
      </c>
      <c r="J58" s="113" t="s">
        <v>246</v>
      </c>
    </row>
    <row r="59" spans="1:10" ht="19.5" customHeight="1" x14ac:dyDescent="0.4">
      <c r="A59" s="113">
        <v>56</v>
      </c>
      <c r="B59" s="122">
        <v>46173</v>
      </c>
      <c r="C59" s="113" t="s">
        <v>261</v>
      </c>
      <c r="D59" s="113" t="s">
        <v>786</v>
      </c>
      <c r="E59" s="123" t="s">
        <v>804</v>
      </c>
      <c r="F59" s="113" t="s">
        <v>783</v>
      </c>
      <c r="G59" s="113">
        <v>1</v>
      </c>
      <c r="H59" s="113">
        <v>6</v>
      </c>
      <c r="I59" s="114">
        <v>17200</v>
      </c>
      <c r="J59" s="113" t="s">
        <v>246</v>
      </c>
    </row>
    <row r="60" spans="1:10" ht="19.5" customHeight="1" x14ac:dyDescent="0.4">
      <c r="A60" s="113">
        <v>57</v>
      </c>
      <c r="B60" s="122">
        <v>46173</v>
      </c>
      <c r="C60" s="113" t="s">
        <v>261</v>
      </c>
      <c r="D60" s="113" t="s">
        <v>787</v>
      </c>
      <c r="E60" s="123" t="s">
        <v>804</v>
      </c>
      <c r="F60" s="113" t="s">
        <v>783</v>
      </c>
      <c r="G60" s="113">
        <v>1</v>
      </c>
      <c r="H60" s="113">
        <v>6</v>
      </c>
      <c r="I60" s="114">
        <v>28410</v>
      </c>
      <c r="J60" s="113" t="s">
        <v>246</v>
      </c>
    </row>
    <row r="61" spans="1:10" ht="20.100000000000001" customHeight="1" x14ac:dyDescent="0.4">
      <c r="A61" s="113">
        <v>58</v>
      </c>
      <c r="B61" s="122">
        <v>46173</v>
      </c>
      <c r="C61" s="113" t="s">
        <v>261</v>
      </c>
      <c r="D61" s="113" t="s">
        <v>785</v>
      </c>
      <c r="E61" s="123" t="s">
        <v>805</v>
      </c>
      <c r="F61" s="113" t="s">
        <v>298</v>
      </c>
      <c r="G61" s="113">
        <v>1</v>
      </c>
      <c r="H61" s="113">
        <v>6</v>
      </c>
      <c r="I61" s="114" t="s">
        <v>860</v>
      </c>
      <c r="J61" s="113" t="s">
        <v>246</v>
      </c>
    </row>
    <row r="62" spans="1:10" ht="19.5" customHeight="1" x14ac:dyDescent="0.4">
      <c r="A62" s="113">
        <v>59</v>
      </c>
      <c r="B62" s="122">
        <v>46173</v>
      </c>
      <c r="C62" s="113" t="s">
        <v>261</v>
      </c>
      <c r="D62" s="113" t="s">
        <v>786</v>
      </c>
      <c r="E62" s="123" t="s">
        <v>805</v>
      </c>
      <c r="F62" s="113" t="s">
        <v>298</v>
      </c>
      <c r="G62" s="113">
        <v>1</v>
      </c>
      <c r="H62" s="113">
        <v>6</v>
      </c>
      <c r="I62" s="114" t="s">
        <v>860</v>
      </c>
      <c r="J62" s="113" t="s">
        <v>246</v>
      </c>
    </row>
    <row r="63" spans="1:10" ht="19.5" customHeight="1" x14ac:dyDescent="0.4">
      <c r="A63" s="113">
        <v>60</v>
      </c>
      <c r="B63" s="122">
        <v>46173</v>
      </c>
      <c r="C63" s="113" t="s">
        <v>261</v>
      </c>
      <c r="D63" s="113" t="s">
        <v>787</v>
      </c>
      <c r="E63" s="123" t="s">
        <v>805</v>
      </c>
      <c r="F63" s="113" t="s">
        <v>298</v>
      </c>
      <c r="G63" s="113">
        <v>1</v>
      </c>
      <c r="H63" s="113">
        <v>6</v>
      </c>
      <c r="I63" s="114" t="s">
        <v>860</v>
      </c>
      <c r="J63" s="113" t="s">
        <v>246</v>
      </c>
    </row>
    <row r="64" spans="1:10" ht="20.100000000000001" customHeight="1" x14ac:dyDescent="0.4">
      <c r="A64" s="113">
        <v>61</v>
      </c>
      <c r="B64" s="122">
        <v>46173</v>
      </c>
      <c r="C64" s="113" t="s">
        <v>261</v>
      </c>
      <c r="D64" s="113" t="s">
        <v>785</v>
      </c>
      <c r="E64" s="123" t="s">
        <v>806</v>
      </c>
      <c r="F64" s="113" t="s">
        <v>780</v>
      </c>
      <c r="G64" s="113">
        <v>1</v>
      </c>
      <c r="H64" s="113">
        <v>6</v>
      </c>
      <c r="I64" s="114" t="s">
        <v>860</v>
      </c>
      <c r="J64" s="113" t="s">
        <v>246</v>
      </c>
    </row>
    <row r="65" spans="1:10" ht="19.5" customHeight="1" x14ac:dyDescent="0.4">
      <c r="A65" s="113">
        <v>62</v>
      </c>
      <c r="B65" s="122">
        <v>46173</v>
      </c>
      <c r="C65" s="113" t="s">
        <v>261</v>
      </c>
      <c r="D65" s="113" t="s">
        <v>786</v>
      </c>
      <c r="E65" s="123" t="s">
        <v>806</v>
      </c>
      <c r="F65" s="113" t="s">
        <v>780</v>
      </c>
      <c r="G65" s="113">
        <v>1</v>
      </c>
      <c r="H65" s="113">
        <v>6</v>
      </c>
      <c r="I65" s="114" t="s">
        <v>860</v>
      </c>
      <c r="J65" s="113" t="s">
        <v>246</v>
      </c>
    </row>
    <row r="66" spans="1:10" ht="19.5" customHeight="1" x14ac:dyDescent="0.4">
      <c r="A66" s="113">
        <v>63</v>
      </c>
      <c r="B66" s="122">
        <v>46173</v>
      </c>
      <c r="C66" s="113" t="s">
        <v>261</v>
      </c>
      <c r="D66" s="113" t="s">
        <v>787</v>
      </c>
      <c r="E66" s="123" t="s">
        <v>806</v>
      </c>
      <c r="F66" s="113" t="s">
        <v>780</v>
      </c>
      <c r="G66" s="113">
        <v>1</v>
      </c>
      <c r="H66" s="113">
        <v>6</v>
      </c>
      <c r="I66" s="114" t="s">
        <v>860</v>
      </c>
      <c r="J66" s="113" t="s">
        <v>246</v>
      </c>
    </row>
    <row r="67" spans="1:10" ht="20.100000000000001" customHeight="1" x14ac:dyDescent="0.4">
      <c r="A67" s="113">
        <v>64</v>
      </c>
      <c r="B67" s="122">
        <v>46173</v>
      </c>
      <c r="C67" s="113" t="s">
        <v>261</v>
      </c>
      <c r="D67" s="113" t="s">
        <v>785</v>
      </c>
      <c r="E67" s="123" t="s">
        <v>807</v>
      </c>
      <c r="F67" s="113" t="s">
        <v>783</v>
      </c>
      <c r="G67" s="113">
        <v>1</v>
      </c>
      <c r="H67" s="113">
        <v>6</v>
      </c>
      <c r="I67" s="114" t="s">
        <v>860</v>
      </c>
      <c r="J67" s="113" t="s">
        <v>246</v>
      </c>
    </row>
    <row r="68" spans="1:10" ht="19.5" customHeight="1" x14ac:dyDescent="0.4">
      <c r="A68" s="113">
        <v>65</v>
      </c>
      <c r="B68" s="122">
        <v>46173</v>
      </c>
      <c r="C68" s="113" t="s">
        <v>261</v>
      </c>
      <c r="D68" s="113" t="s">
        <v>786</v>
      </c>
      <c r="E68" s="123" t="s">
        <v>807</v>
      </c>
      <c r="F68" s="113" t="s">
        <v>783</v>
      </c>
      <c r="G68" s="113">
        <v>1</v>
      </c>
      <c r="H68" s="113">
        <v>6</v>
      </c>
      <c r="I68" s="114" t="s">
        <v>860</v>
      </c>
      <c r="J68" s="113" t="s">
        <v>246</v>
      </c>
    </row>
    <row r="69" spans="1:10" ht="19.5" customHeight="1" x14ac:dyDescent="0.4">
      <c r="A69" s="113">
        <v>66</v>
      </c>
      <c r="B69" s="122">
        <v>46173</v>
      </c>
      <c r="C69" s="113" t="s">
        <v>261</v>
      </c>
      <c r="D69" s="113" t="s">
        <v>787</v>
      </c>
      <c r="E69" s="123" t="s">
        <v>807</v>
      </c>
      <c r="F69" s="113" t="s">
        <v>783</v>
      </c>
      <c r="G69" s="113">
        <v>1</v>
      </c>
      <c r="H69" s="113">
        <v>6</v>
      </c>
      <c r="I69" s="114" t="s">
        <v>860</v>
      </c>
      <c r="J69" s="113" t="s">
        <v>246</v>
      </c>
    </row>
    <row r="70" spans="1:10" ht="20.100000000000001" customHeight="1" x14ac:dyDescent="0.4">
      <c r="A70" s="113">
        <v>67</v>
      </c>
      <c r="B70" s="122">
        <v>46173</v>
      </c>
      <c r="C70" s="113" t="s">
        <v>261</v>
      </c>
      <c r="D70" s="113" t="s">
        <v>785</v>
      </c>
      <c r="E70" s="123" t="s">
        <v>808</v>
      </c>
      <c r="F70" s="113" t="s">
        <v>245</v>
      </c>
      <c r="G70" s="113">
        <v>1</v>
      </c>
      <c r="H70" s="113">
        <v>6</v>
      </c>
      <c r="I70" s="114" t="s">
        <v>860</v>
      </c>
      <c r="J70" s="113" t="s">
        <v>246</v>
      </c>
    </row>
    <row r="71" spans="1:10" ht="19.5" customHeight="1" x14ac:dyDescent="0.4">
      <c r="A71" s="113">
        <v>68</v>
      </c>
      <c r="B71" s="122">
        <v>46173</v>
      </c>
      <c r="C71" s="113" t="s">
        <v>261</v>
      </c>
      <c r="D71" s="113" t="s">
        <v>786</v>
      </c>
      <c r="E71" s="123" t="s">
        <v>808</v>
      </c>
      <c r="F71" s="113" t="s">
        <v>245</v>
      </c>
      <c r="G71" s="113">
        <v>1</v>
      </c>
      <c r="H71" s="113">
        <v>6</v>
      </c>
      <c r="I71" s="114" t="s">
        <v>860</v>
      </c>
      <c r="J71" s="113" t="s">
        <v>246</v>
      </c>
    </row>
    <row r="72" spans="1:10" ht="19.5" customHeight="1" x14ac:dyDescent="0.4">
      <c r="A72" s="113">
        <v>69</v>
      </c>
      <c r="B72" s="122">
        <v>46173</v>
      </c>
      <c r="C72" s="113" t="s">
        <v>261</v>
      </c>
      <c r="D72" s="113" t="s">
        <v>787</v>
      </c>
      <c r="E72" s="123" t="s">
        <v>808</v>
      </c>
      <c r="F72" s="113" t="s">
        <v>245</v>
      </c>
      <c r="G72" s="113">
        <v>1</v>
      </c>
      <c r="H72" s="113">
        <v>6</v>
      </c>
      <c r="I72" s="114" t="s">
        <v>860</v>
      </c>
      <c r="J72" s="113" t="s">
        <v>246</v>
      </c>
    </row>
    <row r="73" spans="1:10" ht="20.100000000000001" customHeight="1" x14ac:dyDescent="0.4">
      <c r="A73" s="113">
        <v>70</v>
      </c>
      <c r="B73" s="122">
        <v>46173</v>
      </c>
      <c r="C73" s="113" t="s">
        <v>261</v>
      </c>
      <c r="D73" s="113" t="s">
        <v>785</v>
      </c>
      <c r="E73" s="123" t="s">
        <v>777</v>
      </c>
      <c r="F73" s="113" t="s">
        <v>783</v>
      </c>
      <c r="G73" s="113">
        <v>1</v>
      </c>
      <c r="H73" s="113">
        <v>6</v>
      </c>
      <c r="I73" s="114" t="s">
        <v>860</v>
      </c>
      <c r="J73" s="113" t="s">
        <v>246</v>
      </c>
    </row>
    <row r="74" spans="1:10" ht="19.5" customHeight="1" x14ac:dyDescent="0.4">
      <c r="A74" s="113">
        <v>71</v>
      </c>
      <c r="B74" s="122">
        <v>46173</v>
      </c>
      <c r="C74" s="113" t="s">
        <v>261</v>
      </c>
      <c r="D74" s="113" t="s">
        <v>786</v>
      </c>
      <c r="E74" s="123" t="s">
        <v>777</v>
      </c>
      <c r="F74" s="113" t="s">
        <v>783</v>
      </c>
      <c r="G74" s="113">
        <v>1</v>
      </c>
      <c r="H74" s="113">
        <v>6</v>
      </c>
      <c r="I74" s="114" t="s">
        <v>860</v>
      </c>
      <c r="J74" s="113" t="s">
        <v>246</v>
      </c>
    </row>
    <row r="75" spans="1:10" ht="19.5" customHeight="1" x14ac:dyDescent="0.4">
      <c r="A75" s="113">
        <v>72</v>
      </c>
      <c r="B75" s="122">
        <v>46173</v>
      </c>
      <c r="C75" s="113" t="s">
        <v>261</v>
      </c>
      <c r="D75" s="113" t="s">
        <v>787</v>
      </c>
      <c r="E75" s="123" t="s">
        <v>777</v>
      </c>
      <c r="F75" s="113" t="s">
        <v>783</v>
      </c>
      <c r="G75" s="113">
        <v>1</v>
      </c>
      <c r="H75" s="113">
        <v>6</v>
      </c>
      <c r="I75" s="114" t="s">
        <v>860</v>
      </c>
      <c r="J75" s="113" t="s">
        <v>246</v>
      </c>
    </row>
    <row r="76" spans="1:10" ht="20.100000000000001" customHeight="1" x14ac:dyDescent="0.4">
      <c r="A76" s="113">
        <v>73</v>
      </c>
      <c r="B76" s="122">
        <v>46173</v>
      </c>
      <c r="C76" s="113" t="s">
        <v>261</v>
      </c>
      <c r="D76" s="113" t="s">
        <v>785</v>
      </c>
      <c r="E76" s="196" t="s">
        <v>809</v>
      </c>
      <c r="F76" s="113" t="s">
        <v>298</v>
      </c>
      <c r="G76" s="113">
        <v>1</v>
      </c>
      <c r="H76" s="113">
        <v>6</v>
      </c>
      <c r="I76" s="114" t="s">
        <v>860</v>
      </c>
      <c r="J76" s="113" t="s">
        <v>246</v>
      </c>
    </row>
    <row r="77" spans="1:10" ht="19.5" customHeight="1" x14ac:dyDescent="0.4">
      <c r="A77" s="113">
        <v>74</v>
      </c>
      <c r="B77" s="122">
        <v>46173</v>
      </c>
      <c r="C77" s="113" t="s">
        <v>261</v>
      </c>
      <c r="D77" s="113" t="s">
        <v>786</v>
      </c>
      <c r="E77" s="196" t="s">
        <v>809</v>
      </c>
      <c r="F77" s="113" t="s">
        <v>298</v>
      </c>
      <c r="G77" s="113">
        <v>1</v>
      </c>
      <c r="H77" s="113">
        <v>6</v>
      </c>
      <c r="I77" s="114" t="s">
        <v>860</v>
      </c>
      <c r="J77" s="113" t="s">
        <v>246</v>
      </c>
    </row>
    <row r="78" spans="1:10" ht="19.5" customHeight="1" x14ac:dyDescent="0.4">
      <c r="A78" s="113">
        <v>75</v>
      </c>
      <c r="B78" s="122">
        <v>46173</v>
      </c>
      <c r="C78" s="113" t="s">
        <v>261</v>
      </c>
      <c r="D78" s="113" t="s">
        <v>787</v>
      </c>
      <c r="E78" s="196" t="s">
        <v>809</v>
      </c>
      <c r="F78" s="113" t="s">
        <v>298</v>
      </c>
      <c r="G78" s="113">
        <v>1</v>
      </c>
      <c r="H78" s="113">
        <v>6</v>
      </c>
      <c r="I78" s="114" t="s">
        <v>860</v>
      </c>
      <c r="J78" s="113" t="s">
        <v>246</v>
      </c>
    </row>
    <row r="79" spans="1:10" ht="20.100000000000001" customHeight="1" x14ac:dyDescent="0.4">
      <c r="A79" s="113">
        <v>76</v>
      </c>
      <c r="B79" s="122">
        <v>46173</v>
      </c>
      <c r="C79" s="113" t="s">
        <v>261</v>
      </c>
      <c r="D79" s="113" t="s">
        <v>785</v>
      </c>
      <c r="E79" s="123" t="s">
        <v>810</v>
      </c>
      <c r="F79" s="113" t="s">
        <v>245</v>
      </c>
      <c r="G79" s="113">
        <v>1</v>
      </c>
      <c r="H79" s="113">
        <v>6</v>
      </c>
      <c r="I79" s="114" t="s">
        <v>860</v>
      </c>
      <c r="J79" s="113" t="s">
        <v>246</v>
      </c>
    </row>
    <row r="80" spans="1:10" ht="19.5" customHeight="1" x14ac:dyDescent="0.4">
      <c r="A80" s="113">
        <v>77</v>
      </c>
      <c r="B80" s="122">
        <v>46173</v>
      </c>
      <c r="C80" s="113" t="s">
        <v>261</v>
      </c>
      <c r="D80" s="113" t="s">
        <v>786</v>
      </c>
      <c r="E80" s="123" t="s">
        <v>810</v>
      </c>
      <c r="F80" s="113" t="s">
        <v>245</v>
      </c>
      <c r="G80" s="113">
        <v>1</v>
      </c>
      <c r="H80" s="113">
        <v>6</v>
      </c>
      <c r="I80" s="114" t="s">
        <v>860</v>
      </c>
      <c r="J80" s="113" t="s">
        <v>246</v>
      </c>
    </row>
    <row r="81" spans="1:10" ht="19.5" customHeight="1" x14ac:dyDescent="0.4">
      <c r="A81" s="113">
        <v>78</v>
      </c>
      <c r="B81" s="122">
        <v>46173</v>
      </c>
      <c r="C81" s="113" t="s">
        <v>261</v>
      </c>
      <c r="D81" s="113" t="s">
        <v>787</v>
      </c>
      <c r="E81" s="123" t="s">
        <v>810</v>
      </c>
      <c r="F81" s="113" t="s">
        <v>245</v>
      </c>
      <c r="G81" s="113">
        <v>1</v>
      </c>
      <c r="H81" s="113">
        <v>6</v>
      </c>
      <c r="I81" s="114" t="s">
        <v>860</v>
      </c>
      <c r="J81" s="113" t="s">
        <v>246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rowBreaks count="1" manualBreakCount="1">
    <brk id="31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sqref="A1:J1"/>
    </sheetView>
  </sheetViews>
  <sheetFormatPr defaultRowHeight="17.399999999999999" x14ac:dyDescent="0.4"/>
  <cols>
    <col min="1" max="1" width="9" style="52"/>
    <col min="2" max="3" width="12.59765625" style="52" customWidth="1"/>
    <col min="4" max="4" width="22.8984375" style="52" bestFit="1" customWidth="1"/>
    <col min="5" max="5" width="31.3984375" style="52" bestFit="1" customWidth="1"/>
    <col min="6" max="6" width="10.59765625" style="52" customWidth="1"/>
    <col min="7" max="7" width="8.09765625" style="52" customWidth="1"/>
    <col min="8" max="8" width="10.5" style="52" bestFit="1" customWidth="1"/>
    <col min="9" max="9" width="13.59765625" style="52" customWidth="1"/>
    <col min="10" max="10" width="35.59765625" style="52" customWidth="1"/>
    <col min="11" max="12" width="9" style="52"/>
  </cols>
  <sheetData>
    <row r="1" spans="1:12" ht="35.1" customHeight="1" x14ac:dyDescent="0.4">
      <c r="A1" s="287" t="s">
        <v>263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2" ht="24.9" customHeight="1" x14ac:dyDescent="0.4">
      <c r="A2" s="290" t="s">
        <v>264</v>
      </c>
      <c r="B2" s="290" t="s">
        <v>265</v>
      </c>
      <c r="C2" s="290" t="s">
        <v>109</v>
      </c>
      <c r="D2" s="290" t="s">
        <v>266</v>
      </c>
      <c r="E2" s="290" t="s">
        <v>267</v>
      </c>
      <c r="F2" s="290" t="s">
        <v>268</v>
      </c>
      <c r="G2" s="290" t="s">
        <v>269</v>
      </c>
      <c r="H2" s="290" t="s">
        <v>270</v>
      </c>
      <c r="I2" s="110" t="s">
        <v>271</v>
      </c>
      <c r="J2" s="290" t="s">
        <v>242</v>
      </c>
    </row>
    <row r="3" spans="1:12" ht="24.9" customHeight="1" x14ac:dyDescent="0.4">
      <c r="A3" s="290"/>
      <c r="B3" s="290"/>
      <c r="C3" s="290"/>
      <c r="D3" s="290"/>
      <c r="E3" s="290"/>
      <c r="F3" s="290"/>
      <c r="G3" s="290"/>
      <c r="H3" s="290"/>
      <c r="I3" s="111">
        <f>SUM(I4:I5)</f>
        <v>30145773</v>
      </c>
      <c r="J3" s="290"/>
      <c r="L3" s="112" t="s">
        <v>272</v>
      </c>
    </row>
    <row r="4" spans="1:12" ht="24.9" customHeight="1" x14ac:dyDescent="0.4">
      <c r="A4" s="113">
        <v>1</v>
      </c>
      <c r="B4" s="124">
        <v>46173</v>
      </c>
      <c r="C4" s="113" t="s">
        <v>273</v>
      </c>
      <c r="D4" s="113" t="s">
        <v>274</v>
      </c>
      <c r="E4" s="113" t="s">
        <v>300</v>
      </c>
      <c r="F4" s="113">
        <v>2676</v>
      </c>
      <c r="G4" s="113">
        <v>90</v>
      </c>
      <c r="H4" s="114">
        <v>6181.82</v>
      </c>
      <c r="I4" s="114">
        <v>16516773</v>
      </c>
      <c r="J4" s="113" t="s">
        <v>246</v>
      </c>
      <c r="L4" s="115" t="s">
        <v>275</v>
      </c>
    </row>
    <row r="5" spans="1:12" ht="24.9" customHeight="1" x14ac:dyDescent="0.4">
      <c r="A5" s="113">
        <v>2</v>
      </c>
      <c r="B5" s="124">
        <v>46173</v>
      </c>
      <c r="C5" s="113" t="s">
        <v>273</v>
      </c>
      <c r="D5" s="113" t="s">
        <v>274</v>
      </c>
      <c r="E5" s="113" t="s">
        <v>303</v>
      </c>
      <c r="F5" s="113">
        <v>1947</v>
      </c>
      <c r="G5" s="113">
        <v>79</v>
      </c>
      <c r="H5" s="114">
        <v>7000</v>
      </c>
      <c r="I5" s="114">
        <f>F5*H5</f>
        <v>13629000</v>
      </c>
      <c r="J5" s="113" t="s">
        <v>246</v>
      </c>
      <c r="L5" s="115" t="s">
        <v>276</v>
      </c>
    </row>
    <row r="6" spans="1:12" ht="24.9" customHeight="1" x14ac:dyDescent="0.4">
      <c r="L6" s="115" t="s">
        <v>277</v>
      </c>
    </row>
    <row r="7" spans="1:12" ht="24.9" customHeight="1" x14ac:dyDescent="0.4">
      <c r="L7" s="115" t="s">
        <v>278</v>
      </c>
    </row>
    <row r="8" spans="1:12" ht="24.9" customHeight="1" x14ac:dyDescent="0.4">
      <c r="L8" s="116" t="s">
        <v>279</v>
      </c>
    </row>
    <row r="9" spans="1:12" ht="24.9" customHeight="1" x14ac:dyDescent="0.4">
      <c r="L9" s="116" t="s">
        <v>280</v>
      </c>
    </row>
    <row r="10" spans="1:12" x14ac:dyDescent="0.4">
      <c r="L10" s="116" t="s">
        <v>281</v>
      </c>
    </row>
    <row r="11" spans="1:12" x14ac:dyDescent="0.4">
      <c r="L11" s="116" t="s">
        <v>282</v>
      </c>
    </row>
    <row r="12" spans="1:12" x14ac:dyDescent="0.4">
      <c r="L12" s="112"/>
    </row>
    <row r="13" spans="1:12" x14ac:dyDescent="0.4">
      <c r="L13" s="52" t="s">
        <v>283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3"/>
  <sheetViews>
    <sheetView view="pageBreakPreview" zoomScale="115" zoomScaleNormal="100" zoomScaleSheetLayoutView="115" workbookViewId="0">
      <selection sqref="A1:I1"/>
    </sheetView>
  </sheetViews>
  <sheetFormatPr defaultRowHeight="17.399999999999999" x14ac:dyDescent="0.4"/>
  <cols>
    <col min="2" max="2" width="10.8984375" bestFit="1" customWidth="1"/>
    <col min="3" max="3" width="10.59765625" bestFit="1" customWidth="1"/>
    <col min="4" max="4" width="52.8984375" bestFit="1" customWidth="1"/>
    <col min="7" max="7" width="10.5" bestFit="1" customWidth="1"/>
    <col min="8" max="8" width="10.5" customWidth="1"/>
    <col min="9" max="9" width="18" customWidth="1"/>
    <col min="14" max="14" width="9.3984375" bestFit="1" customWidth="1"/>
    <col min="15" max="15" width="10.8984375" bestFit="1" customWidth="1"/>
  </cols>
  <sheetData>
    <row r="1" spans="1:15" ht="35.1" customHeight="1" x14ac:dyDescent="0.4">
      <c r="A1" s="291" t="s">
        <v>284</v>
      </c>
      <c r="B1" s="291"/>
      <c r="C1" s="291"/>
      <c r="D1" s="291"/>
      <c r="E1" s="291"/>
      <c r="F1" s="291"/>
      <c r="G1" s="291"/>
      <c r="H1" s="291"/>
      <c r="I1" s="291"/>
      <c r="J1" s="52"/>
      <c r="K1" s="52"/>
      <c r="L1" s="52"/>
    </row>
    <row r="2" spans="1:15" ht="24.9" customHeight="1" x14ac:dyDescent="0.4">
      <c r="A2" s="290" t="s">
        <v>285</v>
      </c>
      <c r="B2" s="292" t="s">
        <v>286</v>
      </c>
      <c r="C2" s="292" t="s">
        <v>287</v>
      </c>
      <c r="D2" s="293" t="s">
        <v>278</v>
      </c>
      <c r="E2" s="292" t="s">
        <v>279</v>
      </c>
      <c r="F2" s="292" t="s">
        <v>252</v>
      </c>
      <c r="G2" s="294" t="s">
        <v>288</v>
      </c>
      <c r="H2" s="117" t="s">
        <v>289</v>
      </c>
      <c r="I2" s="292" t="s">
        <v>290</v>
      </c>
      <c r="J2" s="52"/>
      <c r="K2" s="52"/>
      <c r="L2" s="52"/>
    </row>
    <row r="3" spans="1:15" ht="24.9" customHeight="1" x14ac:dyDescent="0.4">
      <c r="A3" s="290"/>
      <c r="B3" s="292"/>
      <c r="C3" s="292"/>
      <c r="D3" s="293"/>
      <c r="E3" s="292"/>
      <c r="F3" s="292"/>
      <c r="G3" s="294"/>
      <c r="H3" s="118">
        <f>SUM(H4:H83)</f>
        <v>5565200</v>
      </c>
      <c r="I3" s="292"/>
      <c r="J3" s="52"/>
      <c r="K3" s="112" t="s">
        <v>272</v>
      </c>
      <c r="L3" s="52"/>
      <c r="N3" s="19"/>
      <c r="O3" s="19"/>
    </row>
    <row r="4" spans="1:15" ht="24.9" customHeight="1" x14ac:dyDescent="0.4">
      <c r="A4" s="113">
        <v>1</v>
      </c>
      <c r="B4" s="122">
        <v>46148</v>
      </c>
      <c r="C4" s="113" t="s">
        <v>291</v>
      </c>
      <c r="D4" s="123" t="s">
        <v>315</v>
      </c>
      <c r="E4" s="113" t="s">
        <v>301</v>
      </c>
      <c r="F4" s="113">
        <v>10</v>
      </c>
      <c r="G4" s="114">
        <v>3600</v>
      </c>
      <c r="H4" s="114">
        <f>F4*G4</f>
        <v>36000</v>
      </c>
      <c r="I4" s="114" t="s">
        <v>302</v>
      </c>
      <c r="J4" s="52"/>
      <c r="K4" s="115" t="s">
        <v>275</v>
      </c>
      <c r="L4" s="52"/>
    </row>
    <row r="5" spans="1:15" ht="24.9" customHeight="1" x14ac:dyDescent="0.4">
      <c r="A5" s="113">
        <v>2</v>
      </c>
      <c r="B5" s="122">
        <v>46148</v>
      </c>
      <c r="C5" s="113" t="s">
        <v>291</v>
      </c>
      <c r="D5" s="123" t="s">
        <v>461</v>
      </c>
      <c r="E5" s="113" t="s">
        <v>301</v>
      </c>
      <c r="F5" s="113">
        <v>4</v>
      </c>
      <c r="G5" s="114">
        <v>20000</v>
      </c>
      <c r="H5" s="114">
        <f t="shared" ref="H5:H6" si="0">F5*G5</f>
        <v>80000</v>
      </c>
      <c r="I5" s="114" t="s">
        <v>302</v>
      </c>
      <c r="J5" s="52"/>
      <c r="K5" s="115" t="s">
        <v>276</v>
      </c>
      <c r="L5" s="52"/>
    </row>
    <row r="6" spans="1:15" ht="24.9" customHeight="1" x14ac:dyDescent="0.4">
      <c r="A6" s="113">
        <v>3</v>
      </c>
      <c r="B6" s="122">
        <v>46148</v>
      </c>
      <c r="C6" s="113" t="s">
        <v>291</v>
      </c>
      <c r="D6" s="123" t="s">
        <v>572</v>
      </c>
      <c r="E6" s="113" t="s">
        <v>301</v>
      </c>
      <c r="F6" s="113">
        <v>20</v>
      </c>
      <c r="G6" s="114">
        <v>1400</v>
      </c>
      <c r="H6" s="114">
        <f t="shared" si="0"/>
        <v>28000</v>
      </c>
      <c r="I6" s="114" t="s">
        <v>302</v>
      </c>
      <c r="J6" s="52"/>
      <c r="K6" s="115" t="s">
        <v>277</v>
      </c>
      <c r="L6" s="52"/>
    </row>
    <row r="7" spans="1:15" ht="24.9" customHeight="1" x14ac:dyDescent="0.4">
      <c r="A7" s="113">
        <v>4</v>
      </c>
      <c r="B7" s="122">
        <v>46148</v>
      </c>
      <c r="C7" s="113" t="s">
        <v>291</v>
      </c>
      <c r="D7" s="123" t="s">
        <v>812</v>
      </c>
      <c r="E7" s="113" t="s">
        <v>301</v>
      </c>
      <c r="F7" s="113">
        <v>10</v>
      </c>
      <c r="G7" s="114">
        <v>4500</v>
      </c>
      <c r="H7" s="114">
        <f>F7*G7</f>
        <v>45000</v>
      </c>
      <c r="I7" s="114" t="s">
        <v>302</v>
      </c>
      <c r="J7" s="52"/>
      <c r="K7" s="115" t="s">
        <v>278</v>
      </c>
      <c r="L7" s="52"/>
    </row>
    <row r="8" spans="1:15" ht="24.9" customHeight="1" x14ac:dyDescent="0.4">
      <c r="A8" s="113">
        <v>5</v>
      </c>
      <c r="B8" s="122">
        <v>46148</v>
      </c>
      <c r="C8" s="113" t="s">
        <v>291</v>
      </c>
      <c r="D8" s="123" t="s">
        <v>813</v>
      </c>
      <c r="E8" s="113" t="s">
        <v>301</v>
      </c>
      <c r="F8" s="113">
        <v>10</v>
      </c>
      <c r="G8" s="114">
        <v>8500</v>
      </c>
      <c r="H8" s="114">
        <f t="shared" ref="H8:H9" si="1">F8*G8</f>
        <v>85000</v>
      </c>
      <c r="I8" s="114" t="s">
        <v>302</v>
      </c>
      <c r="J8" s="52"/>
      <c r="K8" s="116" t="s">
        <v>279</v>
      </c>
      <c r="L8" s="52"/>
    </row>
    <row r="9" spans="1:15" ht="24.9" customHeight="1" x14ac:dyDescent="0.4">
      <c r="A9" s="113">
        <v>6</v>
      </c>
      <c r="B9" s="122">
        <v>46148</v>
      </c>
      <c r="C9" s="113" t="s">
        <v>291</v>
      </c>
      <c r="D9" s="123" t="s">
        <v>814</v>
      </c>
      <c r="E9" s="113" t="s">
        <v>301</v>
      </c>
      <c r="F9" s="113">
        <v>5</v>
      </c>
      <c r="G9" s="114">
        <v>7800</v>
      </c>
      <c r="H9" s="114">
        <f t="shared" si="1"/>
        <v>39000</v>
      </c>
      <c r="I9" s="114" t="s">
        <v>302</v>
      </c>
      <c r="J9" s="52"/>
      <c r="K9" s="116" t="s">
        <v>280</v>
      </c>
      <c r="L9" s="52"/>
    </row>
    <row r="10" spans="1:15" ht="24.9" customHeight="1" x14ac:dyDescent="0.4">
      <c r="A10" s="113">
        <v>7</v>
      </c>
      <c r="B10" s="122">
        <v>46148</v>
      </c>
      <c r="C10" s="113" t="s">
        <v>291</v>
      </c>
      <c r="D10" s="123" t="s">
        <v>815</v>
      </c>
      <c r="E10" s="113" t="s">
        <v>301</v>
      </c>
      <c r="F10" s="113">
        <v>5</v>
      </c>
      <c r="G10" s="114">
        <v>7800</v>
      </c>
      <c r="H10" s="114">
        <f>F10*G10</f>
        <v>39000</v>
      </c>
      <c r="I10" s="114" t="s">
        <v>302</v>
      </c>
      <c r="J10" s="52"/>
      <c r="K10" s="116" t="s">
        <v>281</v>
      </c>
      <c r="L10" s="52"/>
    </row>
    <row r="11" spans="1:15" ht="24.9" customHeight="1" x14ac:dyDescent="0.4">
      <c r="A11" s="113">
        <v>8</v>
      </c>
      <c r="B11" s="122">
        <v>46148</v>
      </c>
      <c r="C11" s="113" t="s">
        <v>291</v>
      </c>
      <c r="D11" s="123" t="s">
        <v>816</v>
      </c>
      <c r="E11" s="113" t="s">
        <v>301</v>
      </c>
      <c r="F11" s="113">
        <v>5</v>
      </c>
      <c r="G11" s="114">
        <v>18100</v>
      </c>
      <c r="H11" s="114">
        <f t="shared" ref="H11:H12" si="2">F11*G11</f>
        <v>90500</v>
      </c>
      <c r="I11" s="114" t="s">
        <v>302</v>
      </c>
      <c r="J11" s="52"/>
      <c r="K11" s="116" t="s">
        <v>282</v>
      </c>
      <c r="L11" s="52"/>
    </row>
    <row r="12" spans="1:15" ht="24.9" customHeight="1" x14ac:dyDescent="0.4">
      <c r="A12" s="113">
        <v>9</v>
      </c>
      <c r="B12" s="122">
        <v>46149</v>
      </c>
      <c r="C12" s="113" t="s">
        <v>291</v>
      </c>
      <c r="D12" s="123" t="s">
        <v>817</v>
      </c>
      <c r="E12" s="113" t="s">
        <v>301</v>
      </c>
      <c r="F12" s="113">
        <v>20</v>
      </c>
      <c r="G12" s="114">
        <v>3600</v>
      </c>
      <c r="H12" s="114">
        <f t="shared" si="2"/>
        <v>72000</v>
      </c>
      <c r="I12" s="114" t="s">
        <v>302</v>
      </c>
      <c r="J12" s="52"/>
      <c r="K12" s="112"/>
      <c r="L12" s="52"/>
    </row>
    <row r="13" spans="1:15" ht="24.9" customHeight="1" x14ac:dyDescent="0.4">
      <c r="A13" s="113">
        <v>10</v>
      </c>
      <c r="B13" s="122">
        <v>46149</v>
      </c>
      <c r="C13" s="113" t="s">
        <v>291</v>
      </c>
      <c r="D13" s="123" t="s">
        <v>818</v>
      </c>
      <c r="E13" s="113" t="s">
        <v>301</v>
      </c>
      <c r="F13" s="113">
        <v>4</v>
      </c>
      <c r="G13" s="114">
        <v>10000</v>
      </c>
      <c r="H13" s="114">
        <f>F13*G13</f>
        <v>40000</v>
      </c>
      <c r="I13" s="114" t="s">
        <v>302</v>
      </c>
      <c r="J13" s="52"/>
      <c r="K13" s="52" t="s">
        <v>283</v>
      </c>
      <c r="L13" s="52"/>
    </row>
    <row r="14" spans="1:15" ht="24.9" customHeight="1" x14ac:dyDescent="0.4">
      <c r="A14" s="113">
        <v>11</v>
      </c>
      <c r="B14" s="122">
        <v>46149</v>
      </c>
      <c r="C14" s="113" t="s">
        <v>291</v>
      </c>
      <c r="D14" s="123" t="s">
        <v>819</v>
      </c>
      <c r="E14" s="113" t="s">
        <v>301</v>
      </c>
      <c r="F14" s="113">
        <v>4</v>
      </c>
      <c r="G14" s="114">
        <v>1700</v>
      </c>
      <c r="H14" s="114">
        <f t="shared" ref="H14:H15" si="3">F14*G14</f>
        <v>6800</v>
      </c>
      <c r="I14" s="114" t="s">
        <v>302</v>
      </c>
    </row>
    <row r="15" spans="1:15" ht="24.9" customHeight="1" x14ac:dyDescent="0.4">
      <c r="A15" s="113">
        <v>12</v>
      </c>
      <c r="B15" s="122">
        <v>46149</v>
      </c>
      <c r="C15" s="113" t="s">
        <v>291</v>
      </c>
      <c r="D15" s="123" t="s">
        <v>820</v>
      </c>
      <c r="E15" s="113" t="s">
        <v>301</v>
      </c>
      <c r="F15" s="113">
        <v>4</v>
      </c>
      <c r="G15" s="114">
        <v>2000</v>
      </c>
      <c r="H15" s="114">
        <f t="shared" si="3"/>
        <v>8000</v>
      </c>
      <c r="I15" s="114" t="s">
        <v>302</v>
      </c>
    </row>
    <row r="16" spans="1:15" ht="24.9" customHeight="1" x14ac:dyDescent="0.4">
      <c r="A16" s="113">
        <v>13</v>
      </c>
      <c r="B16" s="122">
        <v>46149</v>
      </c>
      <c r="C16" s="113" t="s">
        <v>291</v>
      </c>
      <c r="D16" s="123" t="s">
        <v>821</v>
      </c>
      <c r="E16" s="113" t="s">
        <v>301</v>
      </c>
      <c r="F16" s="113">
        <v>5</v>
      </c>
      <c r="G16" s="114">
        <v>1900</v>
      </c>
      <c r="H16" s="114">
        <f>F16*G16</f>
        <v>9500</v>
      </c>
      <c r="I16" s="114" t="s">
        <v>302</v>
      </c>
    </row>
    <row r="17" spans="1:12" ht="24.9" customHeight="1" x14ac:dyDescent="0.4">
      <c r="A17" s="113">
        <v>14</v>
      </c>
      <c r="B17" s="122">
        <v>46149</v>
      </c>
      <c r="C17" s="113" t="s">
        <v>291</v>
      </c>
      <c r="D17" s="123" t="s">
        <v>460</v>
      </c>
      <c r="E17" s="113" t="s">
        <v>301</v>
      </c>
      <c r="F17" s="113">
        <v>5</v>
      </c>
      <c r="G17" s="114">
        <v>3500</v>
      </c>
      <c r="H17" s="114">
        <f t="shared" ref="H17:H18" si="4">F17*G17</f>
        <v>17500</v>
      </c>
      <c r="I17" s="114" t="s">
        <v>302</v>
      </c>
    </row>
    <row r="18" spans="1:12" ht="24.9" customHeight="1" x14ac:dyDescent="0.4">
      <c r="A18" s="113">
        <v>15</v>
      </c>
      <c r="B18" s="122">
        <v>46149</v>
      </c>
      <c r="C18" s="113" t="s">
        <v>291</v>
      </c>
      <c r="D18" s="123" t="s">
        <v>568</v>
      </c>
      <c r="E18" s="113" t="s">
        <v>301</v>
      </c>
      <c r="F18" s="113">
        <v>1</v>
      </c>
      <c r="G18" s="114">
        <v>40000</v>
      </c>
      <c r="H18" s="114">
        <f t="shared" si="4"/>
        <v>40000</v>
      </c>
      <c r="I18" s="114" t="s">
        <v>302</v>
      </c>
    </row>
    <row r="19" spans="1:12" ht="24.9" customHeight="1" x14ac:dyDescent="0.4">
      <c r="A19" s="113">
        <v>16</v>
      </c>
      <c r="B19" s="122">
        <v>46149</v>
      </c>
      <c r="C19" s="113" t="s">
        <v>291</v>
      </c>
      <c r="D19" s="123" t="s">
        <v>574</v>
      </c>
      <c r="E19" s="113" t="s">
        <v>301</v>
      </c>
      <c r="F19" s="113">
        <v>2</v>
      </c>
      <c r="G19" s="114">
        <v>11700</v>
      </c>
      <c r="H19" s="114">
        <f>F19*G19</f>
        <v>23400</v>
      </c>
      <c r="I19" s="114" t="s">
        <v>302</v>
      </c>
    </row>
    <row r="20" spans="1:12" ht="24.9" customHeight="1" x14ac:dyDescent="0.4">
      <c r="A20" s="113">
        <v>17</v>
      </c>
      <c r="B20" s="122">
        <v>46149</v>
      </c>
      <c r="C20" s="113" t="s">
        <v>291</v>
      </c>
      <c r="D20" s="123" t="s">
        <v>573</v>
      </c>
      <c r="E20" s="113" t="s">
        <v>301</v>
      </c>
      <c r="F20" s="113">
        <v>36</v>
      </c>
      <c r="G20" s="114">
        <v>900</v>
      </c>
      <c r="H20" s="114">
        <f t="shared" ref="H20:H23" si="5">F20*G20</f>
        <v>32400</v>
      </c>
      <c r="I20" s="114" t="s">
        <v>302</v>
      </c>
    </row>
    <row r="21" spans="1:12" ht="24.9" customHeight="1" x14ac:dyDescent="0.4">
      <c r="A21" s="113">
        <v>18</v>
      </c>
      <c r="B21" s="122">
        <v>46149</v>
      </c>
      <c r="C21" s="113" t="s">
        <v>291</v>
      </c>
      <c r="D21" s="123" t="s">
        <v>580</v>
      </c>
      <c r="E21" s="113" t="s">
        <v>301</v>
      </c>
      <c r="F21" s="113">
        <v>1</v>
      </c>
      <c r="G21" s="114">
        <v>9600</v>
      </c>
      <c r="H21" s="114">
        <f t="shared" si="5"/>
        <v>9600</v>
      </c>
      <c r="I21" s="114" t="s">
        <v>302</v>
      </c>
    </row>
    <row r="22" spans="1:12" ht="24.9" customHeight="1" x14ac:dyDescent="0.4">
      <c r="A22" s="113">
        <v>19</v>
      </c>
      <c r="B22" s="122">
        <v>46149</v>
      </c>
      <c r="C22" s="113" t="s">
        <v>291</v>
      </c>
      <c r="D22" s="123" t="s">
        <v>315</v>
      </c>
      <c r="E22" s="113" t="s">
        <v>301</v>
      </c>
      <c r="F22" s="113">
        <v>10</v>
      </c>
      <c r="G22" s="114">
        <v>3600</v>
      </c>
      <c r="H22" s="114">
        <f t="shared" si="5"/>
        <v>36000</v>
      </c>
      <c r="I22" s="114" t="s">
        <v>302</v>
      </c>
      <c r="J22" s="52"/>
      <c r="K22" s="116"/>
      <c r="L22" s="52"/>
    </row>
    <row r="23" spans="1:12" ht="24.9" customHeight="1" x14ac:dyDescent="0.4">
      <c r="A23" s="113">
        <v>20</v>
      </c>
      <c r="B23" s="122">
        <v>46153</v>
      </c>
      <c r="C23" s="113" t="s">
        <v>291</v>
      </c>
      <c r="D23" s="123" t="s">
        <v>822</v>
      </c>
      <c r="E23" s="113" t="s">
        <v>301</v>
      </c>
      <c r="F23" s="113">
        <v>6</v>
      </c>
      <c r="G23" s="114">
        <v>280000</v>
      </c>
      <c r="H23" s="114">
        <f t="shared" si="5"/>
        <v>1680000</v>
      </c>
      <c r="I23" s="114" t="s">
        <v>302</v>
      </c>
      <c r="J23" s="52"/>
      <c r="K23" s="116"/>
      <c r="L23" s="52"/>
    </row>
    <row r="24" spans="1:12" ht="24.9" customHeight="1" x14ac:dyDescent="0.4">
      <c r="A24" s="113">
        <v>21</v>
      </c>
      <c r="B24" s="122">
        <v>46153</v>
      </c>
      <c r="C24" s="113" t="s">
        <v>291</v>
      </c>
      <c r="D24" s="123" t="s">
        <v>823</v>
      </c>
      <c r="E24" s="113" t="s">
        <v>301</v>
      </c>
      <c r="F24" s="113">
        <v>1</v>
      </c>
      <c r="G24" s="114">
        <v>36000</v>
      </c>
      <c r="H24" s="114">
        <f>F24*G24</f>
        <v>36000</v>
      </c>
      <c r="I24" s="114" t="s">
        <v>302</v>
      </c>
      <c r="J24" s="52"/>
      <c r="K24" s="116"/>
      <c r="L24" s="52"/>
    </row>
    <row r="25" spans="1:12" ht="24.9" customHeight="1" x14ac:dyDescent="0.4">
      <c r="A25" s="113">
        <v>22</v>
      </c>
      <c r="B25" s="122">
        <v>46153</v>
      </c>
      <c r="C25" s="113" t="s">
        <v>291</v>
      </c>
      <c r="D25" s="123" t="s">
        <v>578</v>
      </c>
      <c r="E25" s="113" t="s">
        <v>301</v>
      </c>
      <c r="F25" s="113">
        <v>2</v>
      </c>
      <c r="G25" s="114">
        <v>12400</v>
      </c>
      <c r="H25" s="114">
        <f t="shared" ref="H25:H26" si="6">F25*G25</f>
        <v>24800</v>
      </c>
      <c r="I25" s="114" t="s">
        <v>302</v>
      </c>
      <c r="J25" s="52"/>
      <c r="K25" s="116"/>
      <c r="L25" s="52"/>
    </row>
    <row r="26" spans="1:12" ht="24.9" customHeight="1" x14ac:dyDescent="0.4">
      <c r="A26" s="113">
        <v>23</v>
      </c>
      <c r="B26" s="122">
        <v>46153</v>
      </c>
      <c r="C26" s="113" t="s">
        <v>291</v>
      </c>
      <c r="D26" s="123" t="s">
        <v>824</v>
      </c>
      <c r="E26" s="113" t="s">
        <v>301</v>
      </c>
      <c r="F26" s="113">
        <v>10</v>
      </c>
      <c r="G26" s="114">
        <v>1100</v>
      </c>
      <c r="H26" s="114">
        <f t="shared" si="6"/>
        <v>11000</v>
      </c>
      <c r="I26" s="114" t="s">
        <v>302</v>
      </c>
      <c r="J26" s="52"/>
      <c r="K26" s="112"/>
      <c r="L26" s="52"/>
    </row>
    <row r="27" spans="1:12" ht="24.9" customHeight="1" x14ac:dyDescent="0.4">
      <c r="A27" s="113">
        <v>24</v>
      </c>
      <c r="B27" s="122">
        <v>46153</v>
      </c>
      <c r="C27" s="113" t="s">
        <v>291</v>
      </c>
      <c r="D27" s="123" t="s">
        <v>459</v>
      </c>
      <c r="E27" s="113" t="s">
        <v>301</v>
      </c>
      <c r="F27" s="113">
        <v>10</v>
      </c>
      <c r="G27" s="114">
        <v>4500</v>
      </c>
      <c r="H27" s="114">
        <f>F27*G27</f>
        <v>45000</v>
      </c>
      <c r="I27" s="114" t="s">
        <v>302</v>
      </c>
      <c r="J27" s="52"/>
      <c r="K27" s="52"/>
      <c r="L27" s="52"/>
    </row>
    <row r="28" spans="1:12" ht="24.9" customHeight="1" x14ac:dyDescent="0.4">
      <c r="A28" s="113">
        <v>25</v>
      </c>
      <c r="B28" s="122">
        <v>46153</v>
      </c>
      <c r="C28" s="113" t="s">
        <v>291</v>
      </c>
      <c r="D28" s="123" t="s">
        <v>570</v>
      </c>
      <c r="E28" s="113" t="s">
        <v>301</v>
      </c>
      <c r="F28" s="113">
        <v>10</v>
      </c>
      <c r="G28" s="114">
        <v>2100</v>
      </c>
      <c r="H28" s="114">
        <f t="shared" ref="H28:H29" si="7">F28*G28</f>
        <v>21000</v>
      </c>
      <c r="I28" s="114" t="s">
        <v>302</v>
      </c>
    </row>
    <row r="29" spans="1:12" ht="24.9" customHeight="1" x14ac:dyDescent="0.4">
      <c r="A29" s="113">
        <v>26</v>
      </c>
      <c r="B29" s="122">
        <v>46153</v>
      </c>
      <c r="C29" s="113" t="s">
        <v>291</v>
      </c>
      <c r="D29" s="123" t="s">
        <v>569</v>
      </c>
      <c r="E29" s="113" t="s">
        <v>301</v>
      </c>
      <c r="F29" s="113">
        <v>60</v>
      </c>
      <c r="G29" s="114">
        <v>600</v>
      </c>
      <c r="H29" s="114">
        <f t="shared" si="7"/>
        <v>36000</v>
      </c>
      <c r="I29" s="114" t="s">
        <v>302</v>
      </c>
    </row>
    <row r="30" spans="1:12" ht="24.9" customHeight="1" x14ac:dyDescent="0.4">
      <c r="A30" s="113">
        <v>27</v>
      </c>
      <c r="B30" s="122">
        <v>46153</v>
      </c>
      <c r="C30" s="113" t="s">
        <v>291</v>
      </c>
      <c r="D30" s="123" t="s">
        <v>825</v>
      </c>
      <c r="E30" s="113" t="s">
        <v>301</v>
      </c>
      <c r="F30" s="113">
        <v>8</v>
      </c>
      <c r="G30" s="114">
        <v>53700</v>
      </c>
      <c r="H30" s="114">
        <f>F30*G30</f>
        <v>429600</v>
      </c>
      <c r="I30" s="114" t="s">
        <v>302</v>
      </c>
    </row>
    <row r="31" spans="1:12" ht="24.9" customHeight="1" x14ac:dyDescent="0.4">
      <c r="A31" s="113">
        <v>28</v>
      </c>
      <c r="B31" s="122">
        <v>46153</v>
      </c>
      <c r="C31" s="113" t="s">
        <v>291</v>
      </c>
      <c r="D31" s="123" t="s">
        <v>579</v>
      </c>
      <c r="E31" s="113" t="s">
        <v>301</v>
      </c>
      <c r="F31" s="113">
        <v>3</v>
      </c>
      <c r="G31" s="114">
        <v>95900</v>
      </c>
      <c r="H31" s="114">
        <f t="shared" ref="H31" si="8">F31*G31</f>
        <v>287700</v>
      </c>
      <c r="I31" s="114" t="s">
        <v>302</v>
      </c>
    </row>
    <row r="32" spans="1:12" ht="24.9" customHeight="1" x14ac:dyDescent="0.4">
      <c r="A32" s="113">
        <v>29</v>
      </c>
      <c r="B32" s="122">
        <v>46155</v>
      </c>
      <c r="C32" s="113" t="s">
        <v>291</v>
      </c>
      <c r="D32" s="123" t="s">
        <v>826</v>
      </c>
      <c r="E32" s="113" t="s">
        <v>301</v>
      </c>
      <c r="F32" s="113">
        <v>5</v>
      </c>
      <c r="G32" s="114">
        <v>2500</v>
      </c>
      <c r="H32" s="114">
        <f>F32*G32</f>
        <v>12500</v>
      </c>
      <c r="I32" s="114" t="s">
        <v>302</v>
      </c>
    </row>
    <row r="33" spans="1:12" ht="24.9" customHeight="1" x14ac:dyDescent="0.4">
      <c r="A33" s="113">
        <v>30</v>
      </c>
      <c r="B33" s="122">
        <v>46155</v>
      </c>
      <c r="C33" s="113" t="s">
        <v>291</v>
      </c>
      <c r="D33" s="123" t="s">
        <v>576</v>
      </c>
      <c r="E33" s="113" t="s">
        <v>301</v>
      </c>
      <c r="F33" s="113">
        <v>10</v>
      </c>
      <c r="G33" s="114">
        <v>800</v>
      </c>
      <c r="H33" s="114">
        <f t="shared" ref="H33:H34" si="9">F33*G33</f>
        <v>8000</v>
      </c>
      <c r="I33" s="114" t="s">
        <v>302</v>
      </c>
    </row>
    <row r="34" spans="1:12" ht="24.9" customHeight="1" x14ac:dyDescent="0.4">
      <c r="A34" s="113">
        <v>31</v>
      </c>
      <c r="B34" s="122">
        <v>46156</v>
      </c>
      <c r="C34" s="113" t="s">
        <v>291</v>
      </c>
      <c r="D34" s="123" t="s">
        <v>580</v>
      </c>
      <c r="E34" s="113" t="s">
        <v>301</v>
      </c>
      <c r="F34" s="113">
        <v>1</v>
      </c>
      <c r="G34" s="114">
        <v>10300</v>
      </c>
      <c r="H34" s="114">
        <f t="shared" si="9"/>
        <v>10300</v>
      </c>
      <c r="I34" s="114" t="s">
        <v>302</v>
      </c>
    </row>
    <row r="35" spans="1:12" ht="24.9" customHeight="1" x14ac:dyDescent="0.4">
      <c r="A35" s="113">
        <v>32</v>
      </c>
      <c r="B35" s="122">
        <v>46157</v>
      </c>
      <c r="C35" s="113" t="s">
        <v>291</v>
      </c>
      <c r="D35" s="123" t="s">
        <v>827</v>
      </c>
      <c r="E35" s="113" t="s">
        <v>301</v>
      </c>
      <c r="F35" s="113">
        <v>3</v>
      </c>
      <c r="G35" s="114">
        <v>41700</v>
      </c>
      <c r="H35" s="114">
        <f>F35*G35</f>
        <v>125100</v>
      </c>
      <c r="I35" s="114" t="s">
        <v>302</v>
      </c>
    </row>
    <row r="36" spans="1:12" ht="24.9" customHeight="1" x14ac:dyDescent="0.4">
      <c r="A36" s="113">
        <v>33</v>
      </c>
      <c r="B36" s="122">
        <v>46157</v>
      </c>
      <c r="C36" s="113" t="s">
        <v>291</v>
      </c>
      <c r="D36" s="123" t="s">
        <v>828</v>
      </c>
      <c r="E36" s="113" t="s">
        <v>301</v>
      </c>
      <c r="F36" s="113">
        <v>5</v>
      </c>
      <c r="G36" s="114">
        <v>3300</v>
      </c>
      <c r="H36" s="114">
        <f t="shared" ref="H36:H37" si="10">F36*G36</f>
        <v>16500</v>
      </c>
      <c r="I36" s="114" t="s">
        <v>302</v>
      </c>
    </row>
    <row r="37" spans="1:12" ht="24.9" customHeight="1" x14ac:dyDescent="0.4">
      <c r="A37" s="113">
        <v>34</v>
      </c>
      <c r="B37" s="122">
        <v>46157</v>
      </c>
      <c r="C37" s="113" t="s">
        <v>291</v>
      </c>
      <c r="D37" s="123" t="s">
        <v>829</v>
      </c>
      <c r="E37" s="113" t="s">
        <v>301</v>
      </c>
      <c r="F37" s="113">
        <v>1</v>
      </c>
      <c r="G37" s="114">
        <v>102100</v>
      </c>
      <c r="H37" s="114">
        <f t="shared" si="10"/>
        <v>102100</v>
      </c>
      <c r="I37" s="114" t="s">
        <v>302</v>
      </c>
    </row>
    <row r="38" spans="1:12" ht="24.9" customHeight="1" x14ac:dyDescent="0.4">
      <c r="A38" s="113">
        <v>35</v>
      </c>
      <c r="B38" s="122">
        <v>46157</v>
      </c>
      <c r="C38" s="113" t="s">
        <v>291</v>
      </c>
      <c r="D38" s="123" t="s">
        <v>578</v>
      </c>
      <c r="E38" s="113" t="s">
        <v>301</v>
      </c>
      <c r="F38" s="113">
        <v>3</v>
      </c>
      <c r="G38" s="114">
        <v>11200</v>
      </c>
      <c r="H38" s="114">
        <f>F38*G38</f>
        <v>33600</v>
      </c>
      <c r="I38" s="114" t="s">
        <v>302</v>
      </c>
      <c r="J38" s="52"/>
      <c r="K38" s="52"/>
      <c r="L38" s="52"/>
    </row>
    <row r="39" spans="1:12" ht="24.9" customHeight="1" x14ac:dyDescent="0.4">
      <c r="A39" s="113">
        <v>36</v>
      </c>
      <c r="B39" s="122">
        <v>46157</v>
      </c>
      <c r="C39" s="113" t="s">
        <v>291</v>
      </c>
      <c r="D39" s="123" t="s">
        <v>830</v>
      </c>
      <c r="E39" s="113" t="s">
        <v>301</v>
      </c>
      <c r="F39" s="113">
        <v>8</v>
      </c>
      <c r="G39" s="114">
        <v>53000</v>
      </c>
      <c r="H39" s="114">
        <f t="shared" ref="H39:H40" si="11">F39*G39</f>
        <v>424000</v>
      </c>
      <c r="I39" s="114" t="s">
        <v>302</v>
      </c>
    </row>
    <row r="40" spans="1:12" ht="24.9" customHeight="1" x14ac:dyDescent="0.4">
      <c r="A40" s="113">
        <v>37</v>
      </c>
      <c r="B40" s="122">
        <v>46157</v>
      </c>
      <c r="C40" s="113" t="s">
        <v>291</v>
      </c>
      <c r="D40" s="123" t="s">
        <v>831</v>
      </c>
      <c r="E40" s="113" t="s">
        <v>301</v>
      </c>
      <c r="F40" s="113">
        <v>2</v>
      </c>
      <c r="G40" s="114">
        <v>12400</v>
      </c>
      <c r="H40" s="114">
        <f t="shared" si="11"/>
        <v>24800</v>
      </c>
      <c r="I40" s="114" t="s">
        <v>302</v>
      </c>
    </row>
    <row r="41" spans="1:12" ht="24.9" customHeight="1" x14ac:dyDescent="0.4">
      <c r="A41" s="113">
        <v>38</v>
      </c>
      <c r="B41" s="122">
        <v>46160</v>
      </c>
      <c r="C41" s="113" t="s">
        <v>291</v>
      </c>
      <c r="D41" s="123" t="s">
        <v>573</v>
      </c>
      <c r="E41" s="113" t="s">
        <v>301</v>
      </c>
      <c r="F41" s="113">
        <v>36</v>
      </c>
      <c r="G41" s="114">
        <v>900</v>
      </c>
      <c r="H41" s="114">
        <f>F41*G41</f>
        <v>32400</v>
      </c>
      <c r="I41" s="114" t="s">
        <v>302</v>
      </c>
    </row>
    <row r="42" spans="1:12" ht="24.9" customHeight="1" x14ac:dyDescent="0.4">
      <c r="A42" s="113">
        <v>39</v>
      </c>
      <c r="B42" s="122">
        <v>46160</v>
      </c>
      <c r="C42" s="113" t="s">
        <v>291</v>
      </c>
      <c r="D42" s="123" t="s">
        <v>314</v>
      </c>
      <c r="E42" s="113" t="s">
        <v>301</v>
      </c>
      <c r="F42" s="113">
        <v>72</v>
      </c>
      <c r="G42" s="114">
        <v>900</v>
      </c>
      <c r="H42" s="114">
        <f t="shared" ref="H42:H43" si="12">F42*G42</f>
        <v>64800</v>
      </c>
      <c r="I42" s="114" t="s">
        <v>302</v>
      </c>
    </row>
    <row r="43" spans="1:12" ht="24.9" customHeight="1" x14ac:dyDescent="0.4">
      <c r="A43" s="113">
        <v>40</v>
      </c>
      <c r="B43" s="122">
        <v>46160</v>
      </c>
      <c r="C43" s="113" t="s">
        <v>291</v>
      </c>
      <c r="D43" s="123" t="s">
        <v>832</v>
      </c>
      <c r="E43" s="113" t="s">
        <v>301</v>
      </c>
      <c r="F43" s="113">
        <v>1</v>
      </c>
      <c r="G43" s="114">
        <v>14500</v>
      </c>
      <c r="H43" s="114">
        <f t="shared" si="12"/>
        <v>14500</v>
      </c>
      <c r="I43" s="114" t="s">
        <v>302</v>
      </c>
    </row>
    <row r="44" spans="1:12" ht="24.9" customHeight="1" x14ac:dyDescent="0.4">
      <c r="A44" s="113">
        <v>41</v>
      </c>
      <c r="B44" s="122">
        <v>46160</v>
      </c>
      <c r="C44" s="113" t="s">
        <v>291</v>
      </c>
      <c r="D44" s="123" t="s">
        <v>571</v>
      </c>
      <c r="E44" s="113" t="s">
        <v>301</v>
      </c>
      <c r="F44" s="113">
        <v>1</v>
      </c>
      <c r="G44" s="114">
        <v>19000</v>
      </c>
      <c r="H44" s="114">
        <f>F44*G44</f>
        <v>19000</v>
      </c>
      <c r="I44" s="114" t="s">
        <v>302</v>
      </c>
    </row>
    <row r="45" spans="1:12" ht="24.9" customHeight="1" x14ac:dyDescent="0.4">
      <c r="A45" s="113">
        <v>42</v>
      </c>
      <c r="B45" s="122">
        <v>46160</v>
      </c>
      <c r="C45" s="113" t="s">
        <v>291</v>
      </c>
      <c r="D45" s="123" t="s">
        <v>833</v>
      </c>
      <c r="E45" s="113" t="s">
        <v>301</v>
      </c>
      <c r="F45" s="113">
        <v>1</v>
      </c>
      <c r="G45" s="114">
        <v>6100</v>
      </c>
      <c r="H45" s="114">
        <f t="shared" ref="H45:H48" si="13">F45*G45</f>
        <v>6100</v>
      </c>
      <c r="I45" s="114" t="s">
        <v>302</v>
      </c>
    </row>
    <row r="46" spans="1:12" ht="24.9" customHeight="1" x14ac:dyDescent="0.4">
      <c r="A46" s="113">
        <v>43</v>
      </c>
      <c r="B46" s="122">
        <v>46160</v>
      </c>
      <c r="C46" s="113" t="s">
        <v>291</v>
      </c>
      <c r="D46" s="123" t="s">
        <v>834</v>
      </c>
      <c r="E46" s="113" t="s">
        <v>301</v>
      </c>
      <c r="F46" s="113">
        <v>2</v>
      </c>
      <c r="G46" s="114">
        <v>23800</v>
      </c>
      <c r="H46" s="114">
        <f t="shared" si="13"/>
        <v>47600</v>
      </c>
      <c r="I46" s="114" t="s">
        <v>302</v>
      </c>
    </row>
    <row r="47" spans="1:12" ht="24.9" customHeight="1" x14ac:dyDescent="0.4">
      <c r="A47" s="113">
        <v>44</v>
      </c>
      <c r="B47" s="122">
        <v>46161</v>
      </c>
      <c r="C47" s="113" t="s">
        <v>291</v>
      </c>
      <c r="D47" s="123" t="s">
        <v>835</v>
      </c>
      <c r="E47" s="113" t="s">
        <v>301</v>
      </c>
      <c r="F47" s="113">
        <v>2</v>
      </c>
      <c r="G47" s="114">
        <v>26400</v>
      </c>
      <c r="H47" s="114">
        <f t="shared" si="13"/>
        <v>52800</v>
      </c>
      <c r="I47" s="114" t="s">
        <v>302</v>
      </c>
      <c r="J47" s="52"/>
      <c r="K47" s="116"/>
      <c r="L47" s="52"/>
    </row>
    <row r="48" spans="1:12" ht="24.9" customHeight="1" x14ac:dyDescent="0.4">
      <c r="A48" s="113">
        <v>45</v>
      </c>
      <c r="B48" s="122">
        <v>46161</v>
      </c>
      <c r="C48" s="113" t="s">
        <v>291</v>
      </c>
      <c r="D48" s="123" t="s">
        <v>836</v>
      </c>
      <c r="E48" s="113" t="s">
        <v>301</v>
      </c>
      <c r="F48" s="113">
        <v>10</v>
      </c>
      <c r="G48" s="114">
        <v>3700</v>
      </c>
      <c r="H48" s="114">
        <f t="shared" si="13"/>
        <v>37000</v>
      </c>
      <c r="I48" s="114" t="s">
        <v>302</v>
      </c>
      <c r="J48" s="52"/>
      <c r="K48" s="116"/>
      <c r="L48" s="52"/>
    </row>
    <row r="49" spans="1:12" ht="24.9" customHeight="1" x14ac:dyDescent="0.4">
      <c r="A49" s="113">
        <v>46</v>
      </c>
      <c r="B49" s="122">
        <v>46161</v>
      </c>
      <c r="C49" s="113" t="s">
        <v>291</v>
      </c>
      <c r="D49" s="123" t="s">
        <v>837</v>
      </c>
      <c r="E49" s="113" t="s">
        <v>301</v>
      </c>
      <c r="F49" s="113">
        <v>2</v>
      </c>
      <c r="G49" s="114">
        <v>900</v>
      </c>
      <c r="H49" s="114">
        <f>F49*G49</f>
        <v>1800</v>
      </c>
      <c r="I49" s="114" t="s">
        <v>302</v>
      </c>
      <c r="J49" s="52"/>
      <c r="K49" s="116"/>
      <c r="L49" s="52"/>
    </row>
    <row r="50" spans="1:12" ht="24.9" customHeight="1" x14ac:dyDescent="0.4">
      <c r="A50" s="113">
        <v>47</v>
      </c>
      <c r="B50" s="122">
        <v>46162</v>
      </c>
      <c r="C50" s="113" t="s">
        <v>291</v>
      </c>
      <c r="D50" s="123" t="s">
        <v>838</v>
      </c>
      <c r="E50" s="113" t="s">
        <v>301</v>
      </c>
      <c r="F50" s="113">
        <v>4</v>
      </c>
      <c r="G50" s="114">
        <v>4100</v>
      </c>
      <c r="H50" s="114">
        <f t="shared" ref="H50:H51" si="14">F50*G50</f>
        <v>16400</v>
      </c>
      <c r="I50" s="114" t="s">
        <v>302</v>
      </c>
      <c r="J50" s="52"/>
      <c r="K50" s="116"/>
      <c r="L50" s="52"/>
    </row>
    <row r="51" spans="1:12" ht="24.9" customHeight="1" x14ac:dyDescent="0.4">
      <c r="A51" s="113">
        <v>48</v>
      </c>
      <c r="B51" s="122">
        <v>46162</v>
      </c>
      <c r="C51" s="113" t="s">
        <v>291</v>
      </c>
      <c r="D51" s="123" t="s">
        <v>839</v>
      </c>
      <c r="E51" s="113" t="s">
        <v>301</v>
      </c>
      <c r="F51" s="113">
        <v>3</v>
      </c>
      <c r="G51" s="114">
        <v>4600</v>
      </c>
      <c r="H51" s="114">
        <f t="shared" si="14"/>
        <v>13800</v>
      </c>
      <c r="I51" s="114" t="s">
        <v>302</v>
      </c>
      <c r="J51" s="52"/>
      <c r="K51" s="112"/>
      <c r="L51" s="52"/>
    </row>
    <row r="52" spans="1:12" ht="24.9" customHeight="1" x14ac:dyDescent="0.4">
      <c r="A52" s="113">
        <v>49</v>
      </c>
      <c r="B52" s="122">
        <v>46163</v>
      </c>
      <c r="C52" s="113" t="s">
        <v>291</v>
      </c>
      <c r="D52" s="123" t="s">
        <v>840</v>
      </c>
      <c r="E52" s="113" t="s">
        <v>301</v>
      </c>
      <c r="F52" s="113">
        <v>1</v>
      </c>
      <c r="G52" s="114">
        <v>2500</v>
      </c>
      <c r="H52" s="114">
        <f>F52*G52</f>
        <v>2500</v>
      </c>
      <c r="I52" s="114" t="s">
        <v>302</v>
      </c>
      <c r="J52" s="52"/>
      <c r="K52" s="52"/>
      <c r="L52" s="52"/>
    </row>
    <row r="53" spans="1:12" ht="24.9" customHeight="1" x14ac:dyDescent="0.4">
      <c r="A53" s="113">
        <v>50</v>
      </c>
      <c r="B53" s="122">
        <v>46163</v>
      </c>
      <c r="C53" s="113" t="s">
        <v>291</v>
      </c>
      <c r="D53" s="123" t="s">
        <v>841</v>
      </c>
      <c r="E53" s="113" t="s">
        <v>301</v>
      </c>
      <c r="F53" s="113">
        <v>2</v>
      </c>
      <c r="G53" s="114">
        <v>10000</v>
      </c>
      <c r="H53" s="114">
        <f t="shared" ref="H53:H54" si="15">F53*G53</f>
        <v>20000</v>
      </c>
      <c r="I53" s="114" t="s">
        <v>302</v>
      </c>
    </row>
    <row r="54" spans="1:12" ht="24.9" customHeight="1" x14ac:dyDescent="0.4">
      <c r="A54" s="113">
        <v>51</v>
      </c>
      <c r="B54" s="122">
        <v>46163</v>
      </c>
      <c r="C54" s="113" t="s">
        <v>291</v>
      </c>
      <c r="D54" s="123" t="s">
        <v>315</v>
      </c>
      <c r="E54" s="113" t="s">
        <v>301</v>
      </c>
      <c r="F54" s="113">
        <v>1</v>
      </c>
      <c r="G54" s="114">
        <v>3600</v>
      </c>
      <c r="H54" s="114">
        <f t="shared" si="15"/>
        <v>3600</v>
      </c>
      <c r="I54" s="114" t="s">
        <v>302</v>
      </c>
    </row>
    <row r="55" spans="1:12" ht="24.9" customHeight="1" x14ac:dyDescent="0.4">
      <c r="A55" s="113">
        <v>52</v>
      </c>
      <c r="B55" s="122">
        <v>46163</v>
      </c>
      <c r="C55" s="113" t="s">
        <v>291</v>
      </c>
      <c r="D55" s="123" t="s">
        <v>842</v>
      </c>
      <c r="E55" s="113" t="s">
        <v>301</v>
      </c>
      <c r="F55" s="113">
        <v>1</v>
      </c>
      <c r="G55" s="114">
        <v>3600</v>
      </c>
      <c r="H55" s="114">
        <f>F55*G55</f>
        <v>3600</v>
      </c>
      <c r="I55" s="114" t="s">
        <v>302</v>
      </c>
    </row>
    <row r="56" spans="1:12" ht="24.9" customHeight="1" x14ac:dyDescent="0.4">
      <c r="A56" s="113">
        <v>53</v>
      </c>
      <c r="B56" s="122">
        <v>46163</v>
      </c>
      <c r="C56" s="113" t="s">
        <v>291</v>
      </c>
      <c r="D56" s="123" t="s">
        <v>843</v>
      </c>
      <c r="E56" s="113" t="s">
        <v>301</v>
      </c>
      <c r="F56" s="113">
        <v>2</v>
      </c>
      <c r="G56" s="114">
        <v>10800</v>
      </c>
      <c r="H56" s="114">
        <f t="shared" ref="H56" si="16">F56*G56</f>
        <v>21600</v>
      </c>
      <c r="I56" s="114" t="s">
        <v>302</v>
      </c>
    </row>
    <row r="57" spans="1:12" ht="24.9" customHeight="1" x14ac:dyDescent="0.4">
      <c r="A57" s="113">
        <v>54</v>
      </c>
      <c r="B57" s="122">
        <v>46163</v>
      </c>
      <c r="C57" s="113" t="s">
        <v>291</v>
      </c>
      <c r="D57" s="123" t="s">
        <v>844</v>
      </c>
      <c r="E57" s="113" t="s">
        <v>301</v>
      </c>
      <c r="F57" s="113">
        <v>1</v>
      </c>
      <c r="G57" s="114">
        <v>2700</v>
      </c>
      <c r="H57" s="114">
        <f>F57*G57</f>
        <v>2700</v>
      </c>
      <c r="I57" s="114" t="s">
        <v>302</v>
      </c>
    </row>
    <row r="58" spans="1:12" ht="24.9" customHeight="1" x14ac:dyDescent="0.4">
      <c r="A58" s="113">
        <v>55</v>
      </c>
      <c r="B58" s="122">
        <v>46163</v>
      </c>
      <c r="C58" s="113" t="s">
        <v>291</v>
      </c>
      <c r="D58" s="123" t="s">
        <v>567</v>
      </c>
      <c r="E58" s="113" t="s">
        <v>301</v>
      </c>
      <c r="F58" s="113">
        <v>3</v>
      </c>
      <c r="G58" s="114">
        <v>7100</v>
      </c>
      <c r="H58" s="114">
        <f t="shared" ref="H58:H59" si="17">F58*G58</f>
        <v>21300</v>
      </c>
      <c r="I58" s="114" t="s">
        <v>302</v>
      </c>
    </row>
    <row r="59" spans="1:12" ht="24.9" customHeight="1" x14ac:dyDescent="0.4">
      <c r="A59" s="113">
        <v>56</v>
      </c>
      <c r="B59" s="122">
        <v>46164</v>
      </c>
      <c r="C59" s="113" t="s">
        <v>291</v>
      </c>
      <c r="D59" s="123" t="s">
        <v>831</v>
      </c>
      <c r="E59" s="113" t="s">
        <v>301</v>
      </c>
      <c r="F59" s="113">
        <v>2</v>
      </c>
      <c r="G59" s="114">
        <v>12400</v>
      </c>
      <c r="H59" s="114">
        <f t="shared" si="17"/>
        <v>24800</v>
      </c>
      <c r="I59" s="114" t="s">
        <v>302</v>
      </c>
    </row>
    <row r="60" spans="1:12" ht="24.9" customHeight="1" x14ac:dyDescent="0.4">
      <c r="A60" s="113">
        <v>57</v>
      </c>
      <c r="B60" s="122">
        <v>46164</v>
      </c>
      <c r="C60" s="113" t="s">
        <v>291</v>
      </c>
      <c r="D60" s="123" t="s">
        <v>313</v>
      </c>
      <c r="E60" s="113" t="s">
        <v>301</v>
      </c>
      <c r="F60" s="113">
        <v>2</v>
      </c>
      <c r="G60" s="114">
        <v>12000</v>
      </c>
      <c r="H60" s="114">
        <f>F60*G60</f>
        <v>24000</v>
      </c>
      <c r="I60" s="114" t="s">
        <v>302</v>
      </c>
    </row>
    <row r="61" spans="1:12" ht="24.9" customHeight="1" x14ac:dyDescent="0.4">
      <c r="A61" s="113">
        <v>58</v>
      </c>
      <c r="B61" s="122">
        <v>46164</v>
      </c>
      <c r="C61" s="113" t="s">
        <v>291</v>
      </c>
      <c r="D61" s="123" t="s">
        <v>577</v>
      </c>
      <c r="E61" s="113" t="s">
        <v>301</v>
      </c>
      <c r="F61" s="113">
        <v>4</v>
      </c>
      <c r="G61" s="114">
        <v>23000</v>
      </c>
      <c r="H61" s="114">
        <f t="shared" ref="H61:H62" si="18">F61*G61</f>
        <v>92000</v>
      </c>
      <c r="I61" s="114" t="s">
        <v>302</v>
      </c>
    </row>
    <row r="62" spans="1:12" ht="24.9" customHeight="1" x14ac:dyDescent="0.4">
      <c r="A62" s="113">
        <v>59</v>
      </c>
      <c r="B62" s="122">
        <v>46164</v>
      </c>
      <c r="C62" s="113" t="s">
        <v>291</v>
      </c>
      <c r="D62" s="123" t="s">
        <v>845</v>
      </c>
      <c r="E62" s="113" t="s">
        <v>301</v>
      </c>
      <c r="F62" s="113">
        <v>5</v>
      </c>
      <c r="G62" s="114">
        <v>32000</v>
      </c>
      <c r="H62" s="114">
        <f t="shared" si="18"/>
        <v>160000</v>
      </c>
      <c r="I62" s="114" t="s">
        <v>302</v>
      </c>
    </row>
    <row r="63" spans="1:12" ht="24.9" customHeight="1" x14ac:dyDescent="0.4">
      <c r="A63" s="113">
        <v>60</v>
      </c>
      <c r="B63" s="122">
        <v>46164</v>
      </c>
      <c r="C63" s="113" t="s">
        <v>291</v>
      </c>
      <c r="D63" s="123" t="s">
        <v>846</v>
      </c>
      <c r="E63" s="113" t="s">
        <v>301</v>
      </c>
      <c r="F63" s="113">
        <v>2</v>
      </c>
      <c r="G63" s="114">
        <v>3800</v>
      </c>
      <c r="H63" s="114">
        <f t="shared" ref="H63:H83" si="19">F63*G63</f>
        <v>7600</v>
      </c>
      <c r="I63" s="114" t="s">
        <v>302</v>
      </c>
    </row>
    <row r="64" spans="1:12" ht="24.9" customHeight="1" x14ac:dyDescent="0.4">
      <c r="A64" s="113">
        <v>61</v>
      </c>
      <c r="B64" s="122">
        <v>46164</v>
      </c>
      <c r="C64" s="113" t="s">
        <v>291</v>
      </c>
      <c r="D64" s="123" t="s">
        <v>847</v>
      </c>
      <c r="E64" s="113" t="s">
        <v>301</v>
      </c>
      <c r="F64" s="113">
        <v>1</v>
      </c>
      <c r="G64" s="114">
        <v>17200</v>
      </c>
      <c r="H64" s="114">
        <f t="shared" si="19"/>
        <v>17200</v>
      </c>
      <c r="I64" s="114" t="s">
        <v>302</v>
      </c>
    </row>
    <row r="65" spans="1:9" ht="24.9" customHeight="1" x14ac:dyDescent="0.4">
      <c r="A65" s="113">
        <v>62</v>
      </c>
      <c r="B65" s="122">
        <v>46168</v>
      </c>
      <c r="C65" s="113" t="s">
        <v>291</v>
      </c>
      <c r="D65" s="123" t="s">
        <v>572</v>
      </c>
      <c r="E65" s="113" t="s">
        <v>301</v>
      </c>
      <c r="F65" s="113">
        <v>40</v>
      </c>
      <c r="G65" s="114">
        <v>1400</v>
      </c>
      <c r="H65" s="114">
        <f t="shared" si="19"/>
        <v>56000</v>
      </c>
      <c r="I65" s="114" t="s">
        <v>302</v>
      </c>
    </row>
    <row r="66" spans="1:9" ht="24.9" customHeight="1" x14ac:dyDescent="0.4">
      <c r="A66" s="113">
        <v>63</v>
      </c>
      <c r="B66" s="122">
        <v>46168</v>
      </c>
      <c r="C66" s="113" t="s">
        <v>291</v>
      </c>
      <c r="D66" s="123" t="s">
        <v>576</v>
      </c>
      <c r="E66" s="113" t="s">
        <v>301</v>
      </c>
      <c r="F66" s="113">
        <v>5</v>
      </c>
      <c r="G66" s="114">
        <v>800</v>
      </c>
      <c r="H66" s="114">
        <f t="shared" si="19"/>
        <v>4000</v>
      </c>
      <c r="I66" s="114" t="s">
        <v>302</v>
      </c>
    </row>
    <row r="67" spans="1:9" ht="24.9" customHeight="1" x14ac:dyDescent="0.4">
      <c r="A67" s="113">
        <v>64</v>
      </c>
      <c r="B67" s="122">
        <v>46169</v>
      </c>
      <c r="C67" s="113" t="s">
        <v>291</v>
      </c>
      <c r="D67" s="123" t="s">
        <v>848</v>
      </c>
      <c r="E67" s="113" t="s">
        <v>301</v>
      </c>
      <c r="F67" s="113">
        <v>1</v>
      </c>
      <c r="G67" s="114">
        <v>26000</v>
      </c>
      <c r="H67" s="114">
        <f t="shared" si="19"/>
        <v>26000</v>
      </c>
      <c r="I67" s="114" t="s">
        <v>302</v>
      </c>
    </row>
    <row r="68" spans="1:9" ht="24.9" customHeight="1" x14ac:dyDescent="0.4">
      <c r="A68" s="113">
        <v>65</v>
      </c>
      <c r="B68" s="122">
        <v>46169</v>
      </c>
      <c r="C68" s="113" t="s">
        <v>291</v>
      </c>
      <c r="D68" s="123" t="s">
        <v>313</v>
      </c>
      <c r="E68" s="113" t="s">
        <v>301</v>
      </c>
      <c r="F68" s="113">
        <v>2</v>
      </c>
      <c r="G68" s="114">
        <v>12000</v>
      </c>
      <c r="H68" s="114">
        <f t="shared" si="19"/>
        <v>24000</v>
      </c>
      <c r="I68" s="114" t="s">
        <v>302</v>
      </c>
    </row>
    <row r="69" spans="1:9" ht="24.9" customHeight="1" x14ac:dyDescent="0.4">
      <c r="A69" s="113">
        <v>66</v>
      </c>
      <c r="B69" s="122">
        <v>46169</v>
      </c>
      <c r="C69" s="113" t="s">
        <v>291</v>
      </c>
      <c r="D69" s="123" t="s">
        <v>849</v>
      </c>
      <c r="E69" s="113" t="s">
        <v>301</v>
      </c>
      <c r="F69" s="113">
        <v>12</v>
      </c>
      <c r="G69" s="114">
        <v>10300</v>
      </c>
      <c r="H69" s="114">
        <f t="shared" si="19"/>
        <v>123600</v>
      </c>
      <c r="I69" s="114" t="s">
        <v>302</v>
      </c>
    </row>
    <row r="70" spans="1:9" ht="24.9" customHeight="1" x14ac:dyDescent="0.4">
      <c r="A70" s="113">
        <v>67</v>
      </c>
      <c r="B70" s="122">
        <v>46169</v>
      </c>
      <c r="C70" s="113" t="s">
        <v>291</v>
      </c>
      <c r="D70" s="123" t="s">
        <v>850</v>
      </c>
      <c r="E70" s="113" t="s">
        <v>301</v>
      </c>
      <c r="F70" s="113">
        <v>20</v>
      </c>
      <c r="G70" s="114">
        <v>7000</v>
      </c>
      <c r="H70" s="114">
        <f t="shared" si="19"/>
        <v>140000</v>
      </c>
      <c r="I70" s="114" t="s">
        <v>302</v>
      </c>
    </row>
    <row r="71" spans="1:9" ht="24.9" customHeight="1" x14ac:dyDescent="0.4">
      <c r="A71" s="113">
        <v>68</v>
      </c>
      <c r="B71" s="122">
        <v>46169</v>
      </c>
      <c r="C71" s="113" t="s">
        <v>291</v>
      </c>
      <c r="D71" s="123" t="s">
        <v>851</v>
      </c>
      <c r="E71" s="113" t="s">
        <v>301</v>
      </c>
      <c r="F71" s="113">
        <v>5</v>
      </c>
      <c r="G71" s="114">
        <v>30000</v>
      </c>
      <c r="H71" s="114">
        <f t="shared" si="19"/>
        <v>150000</v>
      </c>
      <c r="I71" s="114" t="s">
        <v>302</v>
      </c>
    </row>
    <row r="72" spans="1:9" ht="24.9" customHeight="1" x14ac:dyDescent="0.4">
      <c r="A72" s="113">
        <v>69</v>
      </c>
      <c r="B72" s="122">
        <v>46169</v>
      </c>
      <c r="C72" s="113" t="s">
        <v>291</v>
      </c>
      <c r="D72" s="123" t="s">
        <v>852</v>
      </c>
      <c r="E72" s="113" t="s">
        <v>301</v>
      </c>
      <c r="F72" s="113">
        <v>3</v>
      </c>
      <c r="G72" s="114">
        <v>3400</v>
      </c>
      <c r="H72" s="114">
        <f t="shared" si="19"/>
        <v>10200</v>
      </c>
      <c r="I72" s="114" t="s">
        <v>302</v>
      </c>
    </row>
    <row r="73" spans="1:9" ht="24.9" customHeight="1" x14ac:dyDescent="0.4">
      <c r="A73" s="113">
        <v>70</v>
      </c>
      <c r="B73" s="122">
        <v>46169</v>
      </c>
      <c r="C73" s="113" t="s">
        <v>291</v>
      </c>
      <c r="D73" s="123" t="s">
        <v>315</v>
      </c>
      <c r="E73" s="113" t="s">
        <v>301</v>
      </c>
      <c r="F73" s="113">
        <v>10</v>
      </c>
      <c r="G73" s="114">
        <v>3600</v>
      </c>
      <c r="H73" s="114">
        <f t="shared" si="19"/>
        <v>36000</v>
      </c>
      <c r="I73" s="114" t="s">
        <v>302</v>
      </c>
    </row>
    <row r="74" spans="1:9" ht="24.9" customHeight="1" x14ac:dyDescent="0.4">
      <c r="A74" s="113">
        <v>71</v>
      </c>
      <c r="B74" s="122">
        <v>46169</v>
      </c>
      <c r="C74" s="113" t="s">
        <v>291</v>
      </c>
      <c r="D74" s="123" t="s">
        <v>831</v>
      </c>
      <c r="E74" s="113" t="s">
        <v>301</v>
      </c>
      <c r="F74" s="113">
        <v>2</v>
      </c>
      <c r="G74" s="114">
        <v>12400</v>
      </c>
      <c r="H74" s="114">
        <f t="shared" si="19"/>
        <v>24800</v>
      </c>
      <c r="I74" s="114" t="s">
        <v>302</v>
      </c>
    </row>
    <row r="75" spans="1:9" ht="24.9" customHeight="1" x14ac:dyDescent="0.4">
      <c r="A75" s="113">
        <v>72</v>
      </c>
      <c r="B75" s="122">
        <v>46169</v>
      </c>
      <c r="C75" s="113" t="s">
        <v>291</v>
      </c>
      <c r="D75" s="123" t="s">
        <v>853</v>
      </c>
      <c r="E75" s="113" t="s">
        <v>301</v>
      </c>
      <c r="F75" s="113">
        <v>10</v>
      </c>
      <c r="G75" s="114">
        <v>700</v>
      </c>
      <c r="H75" s="114">
        <f t="shared" si="19"/>
        <v>7000</v>
      </c>
      <c r="I75" s="114" t="s">
        <v>302</v>
      </c>
    </row>
    <row r="76" spans="1:9" ht="24.9" customHeight="1" x14ac:dyDescent="0.4">
      <c r="A76" s="113">
        <v>73</v>
      </c>
      <c r="B76" s="122">
        <v>46170</v>
      </c>
      <c r="C76" s="113" t="s">
        <v>291</v>
      </c>
      <c r="D76" s="123" t="s">
        <v>575</v>
      </c>
      <c r="E76" s="113" t="s">
        <v>301</v>
      </c>
      <c r="F76" s="113">
        <v>5</v>
      </c>
      <c r="G76" s="114">
        <v>500</v>
      </c>
      <c r="H76" s="114">
        <f t="shared" si="19"/>
        <v>2500</v>
      </c>
      <c r="I76" s="114" t="s">
        <v>302</v>
      </c>
    </row>
    <row r="77" spans="1:9" ht="24.9" customHeight="1" x14ac:dyDescent="0.4">
      <c r="A77" s="113">
        <v>74</v>
      </c>
      <c r="B77" s="122">
        <v>46170</v>
      </c>
      <c r="C77" s="113" t="s">
        <v>291</v>
      </c>
      <c r="D77" s="123" t="s">
        <v>854</v>
      </c>
      <c r="E77" s="113" t="s">
        <v>301</v>
      </c>
      <c r="F77" s="113">
        <v>4</v>
      </c>
      <c r="G77" s="114">
        <v>8000</v>
      </c>
      <c r="H77" s="114">
        <f t="shared" si="19"/>
        <v>32000</v>
      </c>
      <c r="I77" s="114" t="s">
        <v>302</v>
      </c>
    </row>
    <row r="78" spans="1:9" ht="24.9" customHeight="1" x14ac:dyDescent="0.4">
      <c r="A78" s="113">
        <v>75</v>
      </c>
      <c r="B78" s="122">
        <v>46170</v>
      </c>
      <c r="C78" s="113" t="s">
        <v>291</v>
      </c>
      <c r="D78" s="123" t="s">
        <v>855</v>
      </c>
      <c r="E78" s="113" t="s">
        <v>301</v>
      </c>
      <c r="F78" s="113">
        <v>2</v>
      </c>
      <c r="G78" s="114">
        <v>14100</v>
      </c>
      <c r="H78" s="114">
        <f t="shared" si="19"/>
        <v>28200</v>
      </c>
      <c r="I78" s="114" t="s">
        <v>302</v>
      </c>
    </row>
    <row r="79" spans="1:9" ht="24.9" customHeight="1" x14ac:dyDescent="0.4">
      <c r="A79" s="113">
        <v>76</v>
      </c>
      <c r="B79" s="122">
        <v>46171</v>
      </c>
      <c r="C79" s="113" t="s">
        <v>291</v>
      </c>
      <c r="D79" s="123" t="s">
        <v>856</v>
      </c>
      <c r="E79" s="113" t="s">
        <v>301</v>
      </c>
      <c r="F79" s="113">
        <v>1</v>
      </c>
      <c r="G79" s="114">
        <v>5700</v>
      </c>
      <c r="H79" s="114">
        <f t="shared" si="19"/>
        <v>5700</v>
      </c>
      <c r="I79" s="114" t="s">
        <v>302</v>
      </c>
    </row>
    <row r="80" spans="1:9" ht="24.9" customHeight="1" x14ac:dyDescent="0.4">
      <c r="A80" s="113">
        <v>77</v>
      </c>
      <c r="B80" s="122">
        <v>46171</v>
      </c>
      <c r="C80" s="113" t="s">
        <v>291</v>
      </c>
      <c r="D80" s="123" t="s">
        <v>567</v>
      </c>
      <c r="E80" s="113" t="s">
        <v>301</v>
      </c>
      <c r="F80" s="113">
        <v>5</v>
      </c>
      <c r="G80" s="114">
        <v>7100</v>
      </c>
      <c r="H80" s="114">
        <f t="shared" si="19"/>
        <v>35500</v>
      </c>
      <c r="I80" s="114" t="s">
        <v>302</v>
      </c>
    </row>
    <row r="81" spans="1:9" ht="24.9" customHeight="1" x14ac:dyDescent="0.4">
      <c r="A81" s="113">
        <v>78</v>
      </c>
      <c r="B81" s="122">
        <v>46171</v>
      </c>
      <c r="C81" s="113" t="s">
        <v>291</v>
      </c>
      <c r="D81" s="123" t="s">
        <v>459</v>
      </c>
      <c r="E81" s="113" t="s">
        <v>301</v>
      </c>
      <c r="F81" s="113">
        <v>10</v>
      </c>
      <c r="G81" s="114">
        <v>4500</v>
      </c>
      <c r="H81" s="114">
        <f t="shared" si="19"/>
        <v>45000</v>
      </c>
      <c r="I81" s="114" t="s">
        <v>302</v>
      </c>
    </row>
    <row r="82" spans="1:9" ht="24.9" customHeight="1" x14ac:dyDescent="0.4">
      <c r="A82" s="113">
        <v>79</v>
      </c>
      <c r="B82" s="122">
        <v>46171</v>
      </c>
      <c r="C82" s="113" t="s">
        <v>291</v>
      </c>
      <c r="D82" s="123" t="s">
        <v>857</v>
      </c>
      <c r="E82" s="113" t="s">
        <v>301</v>
      </c>
      <c r="F82" s="113">
        <v>1</v>
      </c>
      <c r="G82" s="114">
        <v>24500</v>
      </c>
      <c r="H82" s="114">
        <f t="shared" si="19"/>
        <v>24500</v>
      </c>
      <c r="I82" s="114" t="s">
        <v>302</v>
      </c>
    </row>
    <row r="83" spans="1:9" ht="24.9" customHeight="1" x14ac:dyDescent="0.4">
      <c r="A83" s="113">
        <v>80</v>
      </c>
      <c r="B83" s="122">
        <v>46171</v>
      </c>
      <c r="C83" s="113" t="s">
        <v>291</v>
      </c>
      <c r="D83" s="123" t="s">
        <v>858</v>
      </c>
      <c r="E83" s="113" t="s">
        <v>301</v>
      </c>
      <c r="F83" s="113">
        <v>6</v>
      </c>
      <c r="G83" s="114">
        <v>2900</v>
      </c>
      <c r="H83" s="114">
        <f t="shared" si="19"/>
        <v>17400</v>
      </c>
      <c r="I83" s="114" t="s">
        <v>302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295" t="s">
        <v>40</v>
      </c>
      <c r="C2" s="36" t="s">
        <v>36</v>
      </c>
      <c r="D2" s="36"/>
      <c r="E2" s="36" t="s">
        <v>39</v>
      </c>
    </row>
    <row r="3" spans="2:18" ht="30" customHeight="1" x14ac:dyDescent="0.4">
      <c r="B3" s="296"/>
      <c r="C3" s="36" t="s">
        <v>37</v>
      </c>
      <c r="D3" s="36"/>
      <c r="E3" s="36" t="s">
        <v>39</v>
      </c>
    </row>
    <row r="4" spans="2:18" ht="30" customHeight="1" x14ac:dyDescent="0.4">
      <c r="B4" s="296"/>
      <c r="C4" s="36" t="s">
        <v>38</v>
      </c>
      <c r="D4" s="36"/>
      <c r="E4" s="36" t="s">
        <v>39</v>
      </c>
    </row>
    <row r="6" spans="2:18" ht="48.9" customHeight="1" x14ac:dyDescent="0.4">
      <c r="G6" s="295" t="s">
        <v>48</v>
      </c>
      <c r="H6" s="37" t="s">
        <v>41</v>
      </c>
      <c r="I6" s="37" t="s">
        <v>42</v>
      </c>
      <c r="J6" s="37" t="s">
        <v>46</v>
      </c>
      <c r="K6" s="35"/>
      <c r="L6" s="35"/>
      <c r="M6" s="35"/>
      <c r="N6" s="35"/>
      <c r="O6" s="35"/>
    </row>
    <row r="7" spans="2:18" ht="54.9" customHeight="1" x14ac:dyDescent="0.4">
      <c r="G7" s="295"/>
      <c r="H7" s="36"/>
      <c r="I7" s="36"/>
      <c r="J7" s="36"/>
      <c r="K7" s="35"/>
      <c r="L7" s="35"/>
      <c r="M7" s="35"/>
      <c r="N7" s="35"/>
      <c r="O7" s="35"/>
    </row>
    <row r="8" spans="2:18" ht="24.9" customHeight="1" x14ac:dyDescent="0.4">
      <c r="G8" s="35"/>
      <c r="H8" s="35"/>
      <c r="I8" s="35"/>
      <c r="J8" s="35"/>
      <c r="K8" s="35"/>
      <c r="L8" s="297" t="s">
        <v>47</v>
      </c>
      <c r="M8" s="36" t="s">
        <v>43</v>
      </c>
      <c r="N8" s="36" t="s">
        <v>44</v>
      </c>
      <c r="O8" s="36" t="s">
        <v>45</v>
      </c>
    </row>
    <row r="9" spans="2:18" ht="39.9" customHeight="1" x14ac:dyDescent="0.4">
      <c r="G9" s="35"/>
      <c r="H9" s="35"/>
      <c r="I9" s="35"/>
      <c r="J9" s="35"/>
      <c r="K9" s="35"/>
      <c r="L9" s="298"/>
      <c r="M9" s="36"/>
      <c r="N9" s="36"/>
      <c r="O9" s="36"/>
    </row>
    <row r="11" spans="2:18" ht="24.9" customHeight="1" x14ac:dyDescent="0.4">
      <c r="Q11" s="36" t="s">
        <v>49</v>
      </c>
      <c r="R11" s="36" t="s">
        <v>52</v>
      </c>
    </row>
    <row r="12" spans="2:18" ht="24.9" customHeight="1" x14ac:dyDescent="0.4">
      <c r="Q12" s="36" t="s">
        <v>50</v>
      </c>
      <c r="R12" s="36" t="s">
        <v>53</v>
      </c>
    </row>
    <row r="13" spans="2:18" ht="24.9" customHeight="1" x14ac:dyDescent="0.4">
      <c r="Q13" s="36" t="s">
        <v>51</v>
      </c>
      <c r="R13" s="36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/>
  </sheetViews>
  <sheetFormatPr defaultRowHeight="17.399999999999999" x14ac:dyDescent="0.4"/>
  <sheetData>
    <row r="3" spans="2:3" x14ac:dyDescent="0.4">
      <c r="B3" s="299" t="s">
        <v>54</v>
      </c>
      <c r="C3" s="300"/>
    </row>
    <row r="4" spans="2:3" x14ac:dyDescent="0.4">
      <c r="B4" s="38" t="s">
        <v>55</v>
      </c>
      <c r="C4" s="38" t="s">
        <v>56</v>
      </c>
    </row>
    <row r="5" spans="2:3" x14ac:dyDescent="0.4">
      <c r="B5" s="36" t="s">
        <v>57</v>
      </c>
      <c r="C5" s="36">
        <v>0.25</v>
      </c>
    </row>
    <row r="6" spans="2:3" x14ac:dyDescent="0.4">
      <c r="B6" s="36" t="s">
        <v>58</v>
      </c>
      <c r="C6" s="36">
        <v>0.5</v>
      </c>
    </row>
    <row r="7" spans="2:3" x14ac:dyDescent="0.4">
      <c r="B7" s="36" t="s">
        <v>59</v>
      </c>
      <c r="C7" s="36">
        <v>0.75</v>
      </c>
    </row>
    <row r="8" spans="2:3" x14ac:dyDescent="0.4">
      <c r="B8" s="36" t="s">
        <v>60</v>
      </c>
      <c r="C8" s="36">
        <v>1</v>
      </c>
    </row>
    <row r="9" spans="2:3" x14ac:dyDescent="0.4">
      <c r="B9" s="36" t="s">
        <v>61</v>
      </c>
      <c r="C9" s="36">
        <v>1.25</v>
      </c>
    </row>
    <row r="10" spans="2:3" x14ac:dyDescent="0.4">
      <c r="B10" s="36" t="s">
        <v>62</v>
      </c>
      <c r="C10" s="36">
        <v>1.5</v>
      </c>
    </row>
    <row r="11" spans="2:3" x14ac:dyDescent="0.4">
      <c r="B11" s="36" t="s">
        <v>63</v>
      </c>
      <c r="C11" s="36">
        <v>2</v>
      </c>
    </row>
    <row r="12" spans="2:3" x14ac:dyDescent="0.4">
      <c r="B12" s="36" t="s">
        <v>64</v>
      </c>
      <c r="C12" s="36">
        <v>2.5</v>
      </c>
    </row>
    <row r="13" spans="2:3" x14ac:dyDescent="0.4">
      <c r="B13" s="36" t="s">
        <v>65</v>
      </c>
      <c r="C13" s="36">
        <v>3</v>
      </c>
    </row>
    <row r="14" spans="2:3" x14ac:dyDescent="0.4">
      <c r="B14" s="36" t="s">
        <v>66</v>
      </c>
      <c r="C14" s="36">
        <v>4</v>
      </c>
    </row>
    <row r="15" spans="2:3" x14ac:dyDescent="0.4">
      <c r="B15" s="36" t="s">
        <v>67</v>
      </c>
      <c r="C15" s="36">
        <v>4</v>
      </c>
    </row>
    <row r="16" spans="2:3" x14ac:dyDescent="0.4">
      <c r="B16" s="36" t="s">
        <v>68</v>
      </c>
      <c r="C16" s="36">
        <v>5</v>
      </c>
    </row>
    <row r="17" spans="2:3" x14ac:dyDescent="0.4">
      <c r="B17" s="36" t="s">
        <v>69</v>
      </c>
      <c r="C17" s="36">
        <v>6</v>
      </c>
    </row>
    <row r="18" spans="2:3" x14ac:dyDescent="0.4">
      <c r="B18" s="36" t="s">
        <v>70</v>
      </c>
      <c r="C18" s="36">
        <v>7</v>
      </c>
    </row>
    <row r="19" spans="2:3" x14ac:dyDescent="0.4">
      <c r="B19" s="36" t="s">
        <v>71</v>
      </c>
      <c r="C19" s="36">
        <v>8</v>
      </c>
    </row>
    <row r="20" spans="2:3" x14ac:dyDescent="0.4">
      <c r="B20" s="36" t="s">
        <v>72</v>
      </c>
      <c r="C20" s="36">
        <v>9</v>
      </c>
    </row>
    <row r="21" spans="2:3" x14ac:dyDescent="0.4">
      <c r="B21" s="36" t="s">
        <v>73</v>
      </c>
      <c r="C21" s="36">
        <v>10</v>
      </c>
    </row>
    <row r="22" spans="2:3" x14ac:dyDescent="0.4">
      <c r="B22" s="36" t="s">
        <v>74</v>
      </c>
      <c r="C22" s="36">
        <v>12</v>
      </c>
    </row>
    <row r="23" spans="2:3" x14ac:dyDescent="0.4">
      <c r="B23" s="36" t="s">
        <v>75</v>
      </c>
      <c r="C23" s="36">
        <v>14</v>
      </c>
    </row>
    <row r="24" spans="2:3" x14ac:dyDescent="0.4">
      <c r="B24" s="36" t="s">
        <v>76</v>
      </c>
      <c r="C24" s="36">
        <v>16</v>
      </c>
    </row>
    <row r="25" spans="2:3" x14ac:dyDescent="0.4">
      <c r="B25" s="36" t="s">
        <v>77</v>
      </c>
      <c r="C25" s="36">
        <v>18</v>
      </c>
    </row>
    <row r="26" spans="2:3" x14ac:dyDescent="0.4">
      <c r="B26" s="36" t="s">
        <v>78</v>
      </c>
      <c r="C26" s="36">
        <v>20</v>
      </c>
    </row>
    <row r="27" spans="2:3" x14ac:dyDescent="0.4">
      <c r="B27" s="36" t="s">
        <v>79</v>
      </c>
      <c r="C27" s="36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4</vt:i4>
      </vt:variant>
    </vt:vector>
  </HeadingPairs>
  <TitlesOfParts>
    <vt:vector size="17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(05월)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집계장!Print_Area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2026-06-04T09:37:22Z</cp:lastPrinted>
  <dcterms:created xsi:type="dcterms:W3CDTF">2025-09-12T00:04:15Z</dcterms:created>
  <dcterms:modified xsi:type="dcterms:W3CDTF">2026-06-08T01:27:08Z</dcterms:modified>
</cp:coreProperties>
</file>