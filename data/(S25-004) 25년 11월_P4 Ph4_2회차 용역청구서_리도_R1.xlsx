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2.2025년 11월 외주기성\02. 리도시스템\"/>
    </mc:Choice>
  </mc:AlternateContent>
  <xr:revisionPtr revIDLastSave="0" documentId="13_ncr:1_{7F9F1691-7B10-4F92-9D95-CE15796182B3}" xr6:coauthVersionLast="36" xr6:coauthVersionMax="36" xr10:uidLastSave="{00000000-0000-0000-0000-000000000000}"/>
  <bookViews>
    <workbookView xWindow="0" yWindow="0" windowWidth="28800" windowHeight="12165" activeTab="9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집계장" sheetId="6" r:id="rId4"/>
    <sheet name="물량 내역서" sheetId="7" r:id="rId5"/>
    <sheet name="근로내역 (11월)" sheetId="8" r:id="rId6"/>
    <sheet name="숙소임차료" sheetId="9" r:id="rId7"/>
    <sheet name="숙소관리비" sheetId="10" r:id="rId8"/>
    <sheet name="식대비용" sheetId="11" r:id="rId9"/>
    <sheet name="기타비용" sheetId="12" r:id="rId10"/>
    <sheet name="서명란" sheetId="3" state="hidden" r:id="rId11"/>
    <sheet name="DIA-INCH" sheetId="4" state="hidden" r:id="rId12"/>
  </sheets>
  <definedNames>
    <definedName name="_xlnm.Print_Area" localSheetId="5">'근로내역 (11월)'!$A$1:$AP$58</definedName>
    <definedName name="_xlnm.Print_Area" localSheetId="9">기타비용!$A$1:$I$9</definedName>
    <definedName name="_xlnm.Print_Area" localSheetId="4">'물량 내역서'!$A$1:$N$63</definedName>
    <definedName name="_xlnm.Print_Area" localSheetId="6">숙소임차료!$A$1:$J$10</definedName>
    <definedName name="_xlnm.Print_Area" localSheetId="8">식대비용!$A$1:$J$9</definedName>
    <definedName name="_xlnm.Print_Area" localSheetId="1">'용역 청구서(갑지)'!$A$1:$L$26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1" l="1"/>
  <c r="I3" i="11"/>
  <c r="D10" i="6" l="1"/>
  <c r="I3" i="9"/>
  <c r="AM1" i="8" l="1"/>
  <c r="AM3" i="8"/>
  <c r="AM46" i="8"/>
  <c r="AM57" i="8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M58" i="8" l="1"/>
  <c r="H16" i="6" l="1"/>
  <c r="G13" i="6" l="1"/>
  <c r="G8" i="6"/>
  <c r="G14" i="6" s="1"/>
  <c r="G18" i="6" s="1"/>
  <c r="F20" i="6" l="1"/>
  <c r="H7" i="12" l="1"/>
  <c r="H6" i="12"/>
  <c r="H5" i="12"/>
  <c r="H4" i="12"/>
  <c r="H3" i="12" s="1"/>
  <c r="D11" i="6" l="1"/>
  <c r="AN41" i="8" l="1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49" i="8" l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1" i="6" l="1"/>
  <c r="E11" i="6" s="1"/>
  <c r="F10" i="6"/>
  <c r="AL57" i="8" l="1"/>
  <c r="AK57" i="8"/>
  <c r="AJ57" i="8"/>
  <c r="AI57" i="8"/>
  <c r="AH57" i="8"/>
  <c r="AG57" i="8"/>
  <c r="AF57" i="8"/>
  <c r="AE57" i="8"/>
  <c r="AD57" i="8"/>
  <c r="AD58" i="8" s="1"/>
  <c r="AC57" i="8"/>
  <c r="AB57" i="8"/>
  <c r="AA57" i="8"/>
  <c r="Z57" i="8"/>
  <c r="Y57" i="8"/>
  <c r="X57" i="8"/>
  <c r="W57" i="8"/>
  <c r="V57" i="8"/>
  <c r="U57" i="8"/>
  <c r="T57" i="8"/>
  <c r="S57" i="8"/>
  <c r="R57" i="8"/>
  <c r="R58" i="8" s="1"/>
  <c r="Q57" i="8"/>
  <c r="P57" i="8"/>
  <c r="O57" i="8"/>
  <c r="N57" i="8"/>
  <c r="M57" i="8"/>
  <c r="L57" i="8"/>
  <c r="K57" i="8"/>
  <c r="J57" i="8"/>
  <c r="I57" i="8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P49" i="8"/>
  <c r="AN48" i="8"/>
  <c r="AP48" i="8" s="1"/>
  <c r="AN47" i="8"/>
  <c r="AP47" i="8" s="1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Z58" i="8" s="1"/>
  <c r="Y46" i="8"/>
  <c r="Y58" i="8" s="1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K58" i="8" s="1"/>
  <c r="J46" i="8"/>
  <c r="I46" i="8"/>
  <c r="AN45" i="8"/>
  <c r="AP45" i="8" s="1"/>
  <c r="AN44" i="8"/>
  <c r="AP44" i="8" s="1"/>
  <c r="AN43" i="8"/>
  <c r="AP43" i="8" s="1"/>
  <c r="AN42" i="8"/>
  <c r="AP42" i="8" s="1"/>
  <c r="AN23" i="8"/>
  <c r="AP23" i="8" s="1"/>
  <c r="AN6" i="8"/>
  <c r="AN46" i="8" l="1"/>
  <c r="L58" i="8"/>
  <c r="X58" i="8"/>
  <c r="AE58" i="8"/>
  <c r="AA58" i="8"/>
  <c r="J58" i="8"/>
  <c r="AG58" i="8"/>
  <c r="AF58" i="8"/>
  <c r="AH58" i="8"/>
  <c r="N58" i="8"/>
  <c r="O58" i="8"/>
  <c r="P58" i="8"/>
  <c r="Q58" i="8"/>
  <c r="I58" i="8"/>
  <c r="AB58" i="8"/>
  <c r="AP57" i="8"/>
  <c r="AI58" i="8"/>
  <c r="T58" i="8"/>
  <c r="AJ58" i="8"/>
  <c r="S58" i="8"/>
  <c r="U58" i="8"/>
  <c r="AK58" i="8"/>
  <c r="V58" i="8"/>
  <c r="AL58" i="8"/>
  <c r="W58" i="8"/>
  <c r="M58" i="8"/>
  <c r="AC58" i="8"/>
  <c r="AP6" i="8"/>
  <c r="AP46" i="8" s="1"/>
  <c r="AO46" i="8" s="1"/>
  <c r="AN57" i="8"/>
  <c r="AN58" i="8" s="1"/>
  <c r="E50" i="7"/>
  <c r="K50" i="7" s="1"/>
  <c r="M50" i="7" s="1"/>
  <c r="G50" i="7" s="1"/>
  <c r="E49" i="7"/>
  <c r="K49" i="7" s="1"/>
  <c r="E48" i="7"/>
  <c r="K48" i="7" s="1"/>
  <c r="M48" i="7" s="1"/>
  <c r="G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J17" i="7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49" i="7"/>
  <c r="G49" i="7" s="1"/>
  <c r="L49" i="7"/>
  <c r="F49" i="7" s="1"/>
  <c r="L48" i="7"/>
  <c r="F48" i="7" s="1"/>
  <c r="M47" i="7"/>
  <c r="G47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M31" i="7"/>
  <c r="G31" i="7" s="1"/>
  <c r="F31" i="7"/>
  <c r="L23" i="7"/>
  <c r="F23" i="7" s="1"/>
  <c r="K23" i="7"/>
  <c r="M23" i="7" s="1"/>
  <c r="G23" i="7" s="1"/>
  <c r="L18" i="7"/>
  <c r="F18" i="7" s="1"/>
  <c r="K18" i="7"/>
  <c r="M18" i="7" s="1"/>
  <c r="G18" i="7" s="1"/>
  <c r="L17" i="7"/>
  <c r="F17" i="7" s="1"/>
  <c r="L16" i="7"/>
  <c r="F16" i="7" s="1"/>
  <c r="A1" i="6"/>
  <c r="L2" i="6"/>
  <c r="K26" i="7" l="1"/>
  <c r="M26" i="7" s="1"/>
  <c r="G26" i="7" s="1"/>
  <c r="F6" i="6"/>
  <c r="AP58" i="8"/>
  <c r="AO58" i="8" s="1"/>
  <c r="D9" i="6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57" i="8"/>
  <c r="D6" i="6"/>
  <c r="K7" i="7"/>
  <c r="M7" i="7" s="1"/>
  <c r="G7" i="7" s="1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9" i="6"/>
  <c r="I19" i="6" s="1"/>
  <c r="H17" i="6"/>
  <c r="I17" i="6" s="1"/>
  <c r="I16" i="6"/>
  <c r="E14" i="2" s="1"/>
  <c r="H15" i="6"/>
  <c r="I15" i="6" s="1"/>
  <c r="F12" i="6"/>
  <c r="F7" i="6"/>
  <c r="H7" i="6" s="1"/>
  <c r="I7" i="6" s="1"/>
  <c r="H6" i="6"/>
  <c r="I6" i="6" s="1"/>
  <c r="F9" i="6" l="1"/>
  <c r="H20" i="6"/>
  <c r="I20" i="6" s="1"/>
  <c r="L20" i="6" s="1"/>
  <c r="E12" i="2" s="1"/>
  <c r="E11" i="2"/>
  <c r="F5" i="6"/>
  <c r="M38" i="7"/>
  <c r="G38" i="7" s="1"/>
  <c r="M27" i="7"/>
  <c r="G27" i="7" s="1"/>
  <c r="F4" i="6"/>
  <c r="E4" i="6" s="1"/>
  <c r="L51" i="7"/>
  <c r="F5" i="7"/>
  <c r="F51" i="7" s="1"/>
  <c r="K51" i="7"/>
  <c r="M5" i="7"/>
  <c r="J51" i="7"/>
  <c r="H11" i="6"/>
  <c r="I11" i="6" s="1"/>
  <c r="E10" i="6"/>
  <c r="E6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E5" i="6"/>
  <c r="H5" i="6"/>
  <c r="I5" i="6" s="1"/>
  <c r="H9" i="6"/>
  <c r="I9" i="6" s="1"/>
  <c r="E9" i="6"/>
  <c r="F13" i="6"/>
  <c r="H13" i="6" s="1"/>
  <c r="I13" i="6" s="1"/>
  <c r="H4" i="6"/>
  <c r="I4" i="6" s="1"/>
  <c r="M51" i="7"/>
  <c r="G5" i="7"/>
  <c r="G51" i="7" s="1"/>
  <c r="F13" i="5"/>
  <c r="F15" i="5"/>
  <c r="D14" i="2"/>
  <c r="D12" i="2"/>
  <c r="D11" i="2"/>
  <c r="D10" i="2"/>
  <c r="D9" i="2"/>
  <c r="D7" i="2"/>
  <c r="H8" i="6" l="1"/>
  <c r="I8" i="6" s="1"/>
  <c r="F14" i="6"/>
  <c r="H14" i="6" s="1"/>
  <c r="I14" i="6" s="1"/>
  <c r="F18" i="6" l="1"/>
  <c r="H18" i="6" l="1"/>
  <c r="I18" i="6" s="1"/>
  <c r="F21" i="6"/>
  <c r="H21" i="6"/>
  <c r="I21" i="6" s="1"/>
  <c r="E8" i="2"/>
  <c r="D8" i="2" s="1"/>
  <c r="F22" i="6" l="1"/>
  <c r="H22" i="6" s="1"/>
  <c r="E13" i="2" l="1"/>
  <c r="D13" i="2" s="1"/>
  <c r="I22" i="6"/>
  <c r="E5" i="2" s="1"/>
  <c r="D5" i="2" s="1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<sst xmlns="http://schemas.openxmlformats.org/spreadsheetml/2006/main" count="858" uniqueCount="535">
  <si>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</si>
  <si>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</si>
  <si>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</si>
  <si>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</si>
  <si>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</si>
  <si>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</si>
  <si>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</si>
  <si>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</si>
  <si>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</si>
  <si>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</si>
  <si>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</si>
  <si>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</si>
  <si>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</si>
  <si>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</si>
  <si>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</si>
  <si>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</si>
  <si>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</si>
  <si>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</si>
  <si>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</si>
  <si>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</si>
  <si>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</si>
  <si>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</si>
  <si>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</si>
  <si>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</si>
  <si>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</si>
  <si>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</si>
  <si>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</si>
  <si>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</si>
  <si>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</si>
  <si>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</si>
  <si>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</si>
  <si>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</si>
  <si>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</si>
  <si>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</si>
  <si>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</si>
  <si>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</si>
  <si>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</si>
  <si>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</si>
  <si>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</si>
  <si>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</si>
  <si>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</si>
  <si>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</si>
  <si>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</si>
  <si>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</si>
  <si>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</si>
  <si>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</si>
  <si>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</si>
  <si>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</si>
  <si>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</si>
  <si>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</si>
  <si>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</si>
  <si>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</si>
  <si>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</si>
  <si>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</si>
  <si>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</si>
  <si>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</si>
  <si>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</si>
  <si>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</si>
  <si>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</si>
  <si>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</si>
  <si>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</si>
  <si>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</si>
  <si>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</si>
  <si>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</si>
  <si>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</si>
  <si>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</si>
  <si>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</si>
  <si>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</si>
  <si>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</si>
  <si>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</si>
  <si>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</si>
  <si>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</si>
  <si>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</si>
  <si>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</si>
  <si>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</si>
  <si>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</si>
  <si>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</si>
  <si>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</si>
  <si>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</si>
  <si>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</si>
  <si>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</si>
  <si>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</si>
  <si>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</si>
  <si>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</si>
  <si>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</si>
  <si>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</si>
  <si>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</si>
  <si>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</si>
  <si>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</si>
  <si>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</si>
  <si>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</si>
  <si>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</si>
  <si>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</si>
  <si>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</si>
  <si>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</si>
  <si>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</si>
  <si>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</si>
  <si>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</si>
  <si>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</si>
  <si>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</si>
  <si>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</si>
  <si>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</si>
  <si>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</si>
  <si>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</si>
  <si>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</si>
  <si>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</si>
  <si>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</si>
  <si>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</si>
  <si>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</si>
  <si>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</si>
  <si>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</si>
  <si>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</si>
  <si>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</si>
  <si>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</si>
  <si>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</si>
  <si>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</si>
  <si>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</si>
  <si>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</si>
  <si>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</si>
  <si>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</si>
  <si>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</si>
  <si>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</si>
  <si>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</si>
  <si>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</si>
  <si>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</si>
  <si>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</si>
  <si>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</si>
  <si>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</si>
  <si>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</si>
  <si>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</si>
  <si>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</si>
  <si>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</si>
  <si>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</si>
  <si>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</si>
  <si>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</si>
  <si>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</si>
  <si>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</si>
  <si>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</si>
  <si>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</si>
  <si>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</si>
  <si>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</si>
  <si>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</si>
  <si>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</si>
  <si>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</si>
  <si>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</si>
  <si>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</si>
  <si>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</si>
  <si>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</si>
  <si>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</si>
  <si>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</si>
  <si>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</si>
  <si>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</si>
  <si>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</si>
  <si>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</si>
  <si>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</si>
  <si>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</si>
  <si>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</si>
  <si>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</si>
  <si>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</si>
  <si>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</si>
  <si>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</si>
  <si>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</si>
  <si>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</si>
  <si>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</si>
  <si>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</si>
  <si>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</si>
  <si>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</si>
  <si>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</si>
  <si>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</si>
  <si>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</si>
  <si>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</si>
  <si>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</si>
  <si>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</si>
  <si>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</si>
  <si>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</si>
  <si>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</si>
  <si>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</si>
  <si>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</si>
  <si>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</si>
  <si>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</si>
  <si>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</si>
  <si>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</si>
  <si>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</si>
  <si>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</si>
  <si>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</si>
  <si>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</si>
  <si>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</si>
  <si>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</si>
  <si>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</si>
  <si>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</si>
  <si>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</si>
  <si>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</si>
  <si>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</si>
  <si>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</si>
  <si>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</si>
  <si>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</si>
  <si>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</si>
  <si>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</si>
  <si>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</si>
  <si>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</si>
  <si>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</si>
  <si>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</si>
  <si>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</si>
  <si>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</si>
  <si>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</si>
  <si>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</si>
  <si>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</si>
  <si>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</si>
  <si>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</si>
  <si>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</si>
  <si>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</si>
  <si>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</si>
  <si>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</si>
  <si>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</si>
  <si>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</si>
  <si>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</si>
  <si>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</si>
  <si>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</si>
  <si>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</si>
  <si>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</si>
  <si>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</si>
  <si>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</si>
  <si>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</si>
  <si>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</si>
  <si>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</si>
  <si>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</si>
  <si>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</si>
  <si>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</si>
  <si>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</si>
  <si>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</si>
  <si>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</si>
  <si>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</si>
  <si>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</si>
  <si>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</si>
  <si>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</si>
  <si>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</si>
  <si>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</si>
  <si>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</si>
  <si>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</si>
  <si>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</si>
  <si>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</si>
  <si>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</si>
  <si>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</si>
  <si>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</si>
  <si>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</si>
  <si>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</si>
  <si>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</si>
  <si>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</si>
  <si>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</si>
  <si>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</si>
  <si>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</si>
  <si>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</si>
  <si>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</si>
  <si>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</si>
  <si>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</si>
  <si>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</si>
  <si>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</si>
  <si>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</si>
  <si>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</si>
  <si>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</si>
  <si>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</si>
  <si>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</si>
  <si>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</si>
  <si>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</si>
  <si>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</si>
  <si>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</si>
  <si>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</si>
  <si>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</si>
  <si>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</si>
  <si>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</si>
  <si>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</si>
  <si>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</si>
  <si>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</si>
  <si>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</si>
  <si>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</si>
  <si>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</si>
  <si>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</si>
  <si>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</si>
  <si>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</si>
  <si>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</si>
  <si>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</si>
  <si>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</si>
  <si>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</si>
  <si>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</si>
  <si>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</si>
  <si>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</si>
  <si>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</si>
  <si>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</si>
  <si>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</si>
  <si>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</si>
  <si>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</si>
  <si>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</si>
  <si>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</si>
  <si>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</si>
  <si>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</si>
  <si>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</si>
  <si>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</si>
  <si>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</si>
  <si>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</si>
  <si>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</si>
  <si>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</si>
  <si>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</si>
  <si>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</si>
  <si>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</si>
  <si>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</si>
  <si>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</si>
  <si>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</si>
  <si>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</si>
  <si>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</si>
  <si>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</si>
  <si>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</si>
  <si>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</si>
  <si>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</si>
  <si>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</si>
  <si>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</si>
  <si>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</si>
  <si>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</si>
  <si>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</si>
  <si>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</si>
  <si>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</si>
  <si>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</si>
  <si>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</si>
  <si>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</si>
  <si>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</si>
  <si>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</si>
  <si>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2025. 10. 01 ~ 2025. 10. 31</t>
    <phoneticPr fontId="3" type="noConversion"/>
  </si>
  <si>
    <t>장규철</t>
    <phoneticPr fontId="3" type="noConversion"/>
  </si>
  <si>
    <t>김기수</t>
  </si>
  <si>
    <t>670925-1788311</t>
  </si>
  <si>
    <t>010-8748-6402</t>
  </si>
  <si>
    <t>110-395-269363</t>
  </si>
  <si>
    <t>김민준</t>
  </si>
  <si>
    <t>750121-1923111</t>
  </si>
  <si>
    <t>010-3144-7011</t>
  </si>
  <si>
    <t>우리</t>
  </si>
  <si>
    <t>1002-346-022419</t>
  </si>
  <si>
    <t>김민환</t>
  </si>
  <si>
    <t>750913-1633014</t>
  </si>
  <si>
    <t>010-4603-8523</t>
  </si>
  <si>
    <t>1002-152-759347</t>
  </si>
  <si>
    <t>김선우</t>
  </si>
  <si>
    <t>851017-1063211</t>
  </si>
  <si>
    <t>010-2290-6800</t>
  </si>
  <si>
    <t>110-478-054318</t>
  </si>
  <si>
    <t>김성겸</t>
  </si>
  <si>
    <t>880625-1477921</t>
  </si>
  <si>
    <t>010-6767-8681</t>
  </si>
  <si>
    <t>302-0666-0938-21</t>
  </si>
  <si>
    <t>김용호</t>
  </si>
  <si>
    <t>800821-1823911</t>
  </si>
  <si>
    <t>010-8661-3999</t>
  </si>
  <si>
    <t>기업</t>
  </si>
  <si>
    <t>175-057885-01-012</t>
  </si>
  <si>
    <t>김은규</t>
  </si>
  <si>
    <t>681105-1788311</t>
  </si>
  <si>
    <t>도비공</t>
  </si>
  <si>
    <t>010-3505-9062</t>
  </si>
  <si>
    <t>351-0941-0263-23</t>
  </si>
  <si>
    <t>김정자</t>
  </si>
  <si>
    <t>691109-2581611</t>
  </si>
  <si>
    <t>010-8347-1457</t>
  </si>
  <si>
    <t>352-0865-6722-63</t>
  </si>
  <si>
    <t>김창배</t>
  </si>
  <si>
    <t>810804-1622417</t>
  </si>
  <si>
    <t>010-6414-6535</t>
  </si>
  <si>
    <t>529-054406-01-011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</si>
  <si>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</si>
  <si>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</si>
  <si>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</si>
  <si>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</si>
  <si>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</si>
  <si>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</si>
  <si>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</si>
  <si>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</si>
  <si>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신상오</t>
  </si>
  <si>
    <t>670328-1010118</t>
  </si>
  <si>
    <t>010-4946-2704</t>
  </si>
  <si>
    <t>110-177-897619</t>
  </si>
  <si>
    <t>심지웅</t>
  </si>
  <si>
    <t>890309-1057416</t>
  </si>
  <si>
    <t>010-5432-3705</t>
  </si>
  <si>
    <t>682-040341-01-012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</si>
  <si>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</si>
  <si>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</si>
  <si>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</si>
  <si>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</si>
  <si>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</si>
  <si>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</si>
  <si>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</si>
  <si>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</si>
  <si>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</si>
  <si>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</si>
  <si>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</si>
  <si>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</si>
  <si>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</si>
  <si>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</si>
  <si>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</si>
  <si>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</si>
  <si>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</si>
  <si>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</si>
  <si>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</si>
  <si>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</si>
  <si>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</si>
  <si>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</si>
  <si>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</si>
  <si>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</si>
  <si>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</si>
  <si>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</si>
  <si>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</si>
  <si>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</si>
  <si>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</si>
  <si>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</si>
  <si>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</si>
  <si>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</si>
  <si>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</si>
  <si>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</si>
  <si>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</si>
  <si>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</si>
  <si>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</si>
  <si>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이태관</t>
  </si>
  <si>
    <t>700817-1789718</t>
  </si>
  <si>
    <t>010-9545-5252</t>
  </si>
  <si>
    <t>610901-01-666900</t>
  </si>
  <si>
    <t>임세화</t>
  </si>
  <si>
    <t>850525-2639318</t>
  </si>
  <si>
    <t>010-7184-8536</t>
  </si>
  <si>
    <t>302-0298-4771-11</t>
  </si>
  <si>
    <t>장금숙</t>
  </si>
  <si>
    <t>701103-2630134</t>
  </si>
  <si>
    <t>010-5811-4645</t>
  </si>
  <si>
    <t>110-555-576697</t>
  </si>
  <si>
    <t>장숙진</t>
  </si>
  <si>
    <t>750422-2064027</t>
  </si>
  <si>
    <t>010-3503-6705</t>
  </si>
  <si>
    <t>489701-01-602814</t>
  </si>
  <si>
    <t>장지윤</t>
  </si>
  <si>
    <t>810902-1798514</t>
  </si>
  <si>
    <t>010-6655-9570</t>
  </si>
  <si>
    <t>3333-04-4587331</t>
  </si>
  <si>
    <t>전태호</t>
  </si>
  <si>
    <t>960626-1054010</t>
  </si>
  <si>
    <t>010-5736-3728</t>
  </si>
  <si>
    <t>851202-04-110521</t>
  </si>
  <si>
    <t>정인철</t>
  </si>
  <si>
    <t>911125-1652613</t>
  </si>
  <si>
    <t>010-6344-9135</t>
  </si>
  <si>
    <t xml:space="preserve"> 1002-650-749757</t>
  </si>
  <si>
    <t>천의현</t>
  </si>
  <si>
    <t>930116-1155821</t>
  </si>
  <si>
    <t>010-2295-7767</t>
  </si>
  <si>
    <t>1002-361-507614</t>
  </si>
  <si>
    <t>추연국</t>
  </si>
  <si>
    <t>850105-1118311</t>
  </si>
  <si>
    <t>010-2659-1532</t>
  </si>
  <si>
    <t>110-259-188530</t>
  </si>
  <si>
    <t>허동훈</t>
  </si>
  <si>
    <t>960130-1692821</t>
  </si>
  <si>
    <t>010-4579-2206</t>
  </si>
  <si>
    <t>641702-04-034792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</si>
  <si>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</si>
  <si>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</si>
  <si>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</si>
  <si>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</si>
  <si>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</si>
  <si>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</si>
  <si>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</si>
  <si>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</si>
  <si>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</si>
  <si>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</si>
  <si>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</si>
  <si>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</si>
  <si>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</si>
  <si>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</si>
  <si>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</si>
  <si>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2025년 11월</t>
    <phoneticPr fontId="5" type="noConversion"/>
  </si>
  <si>
    <t>작 성 일 :   2025  년  11 월   30일</t>
    <phoneticPr fontId="9" type="noConversion"/>
  </si>
  <si>
    <t>2025년 (    11   )월 일용 노무비명세서</t>
    <phoneticPr fontId="3" type="noConversion"/>
  </si>
  <si>
    <t>국관호</t>
  </si>
  <si>
    <t>860809-1085219</t>
  </si>
  <si>
    <t>010-4121-9703</t>
  </si>
  <si>
    <t>하나</t>
  </si>
  <si>
    <t>265-891181-88607</t>
  </si>
  <si>
    <t>김기열</t>
  </si>
  <si>
    <t>980624-1020013</t>
  </si>
  <si>
    <t>010-5801-1602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</si>
  <si>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</si>
  <si>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</si>
  <si>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</si>
  <si>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</si>
  <si>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</si>
  <si>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</si>
  <si>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</si>
  <si>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</si>
  <si>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</si>
  <si>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작업반장</t>
  </si>
  <si>
    <t>안전관리자</t>
    <phoneticPr fontId="3" type="noConversion"/>
  </si>
  <si>
    <t>공사관리자</t>
  </si>
  <si>
    <t>김영복</t>
  </si>
  <si>
    <t>690418-1041211</t>
  </si>
  <si>
    <t>010-8482-8440</t>
  </si>
  <si>
    <t>110-476-957730</t>
  </si>
  <si>
    <t>박재형</t>
  </si>
  <si>
    <t>780518-1114329</t>
  </si>
  <si>
    <t>010-3849-5386</t>
  </si>
  <si>
    <t>669502-04-161746</t>
  </si>
  <si>
    <t>공무담당</t>
  </si>
  <si>
    <t>임형택</t>
  </si>
  <si>
    <t>820507-1850225</t>
  </si>
  <si>
    <t>010-5686-9930</t>
  </si>
  <si>
    <t>172-109521-01-011</t>
  </si>
  <si>
    <t>조운도</t>
  </si>
  <si>
    <t>711117-1792112</t>
  </si>
  <si>
    <t>010-9533-5211</t>
  </si>
  <si>
    <t>3333-20-5901574</t>
  </si>
  <si>
    <t xml:space="preserve">숙소임대료(11월분) </t>
    <phoneticPr fontId="3" type="noConversion"/>
  </si>
  <si>
    <t>경기도 평택시 고덕여염16길 71 302호</t>
    <phoneticPr fontId="3" type="noConversion"/>
  </si>
  <si>
    <t xml:space="preserve">창고임대료(11월분) </t>
    <phoneticPr fontId="3" type="noConversion"/>
  </si>
  <si>
    <t xml:space="preserve">사무실임대료(11월분) 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</si>
  <si>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</si>
  <si>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</si>
  <si>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</si>
  <si>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</si>
  <si>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</si>
  <si>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공장전기료(11월분)</t>
    <phoneticPr fontId="5" type="noConversion"/>
  </si>
  <si>
    <t>사무실관리비(11월분)</t>
    <phoneticPr fontId="5" type="noConversion"/>
  </si>
  <si>
    <t>사무실관리비(11월분)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</si>
  <si>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</si>
  <si>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</si>
  <si>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</si>
  <si>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</si>
  <si>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2025년 (11)월 물량 내역서</t>
    <phoneticPr fontId="3" type="noConversion"/>
  </si>
  <si>
    <t>검
토</t>
    <phoneticPr fontId="3" type="noConversion"/>
  </si>
  <si>
    <t>백 석 민    (인)</t>
    <phoneticPr fontId="3" type="noConversion"/>
  </si>
  <si>
    <t>서 현 수    (인)</t>
    <phoneticPr fontId="3" type="noConversion"/>
  </si>
  <si>
    <t>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</si>
</sst>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</numFmts>
  <fonts count="4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29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 applyAlignment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NumberFormat="1" applyFont="1" applyFill="1" applyBorder="1" applyAlignment="1">
      <alignment horizontal="center" vertical="center" shrinkToFit="1"/>
    </xf>
    <xf numFmtId="41" fontId="16" fillId="6" borderId="44" xfId="6" applyNumberFormat="1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NumberFormat="1" applyFont="1" applyFill="1" applyBorder="1" applyAlignment="1">
      <alignment horizontal="center" vertical="center" shrinkToFit="1"/>
    </xf>
    <xf numFmtId="41" fontId="37" fillId="2" borderId="44" xfId="6" applyNumberFormat="1" applyFont="1" applyFill="1" applyBorder="1" applyAlignment="1">
      <alignment horizontal="center" vertical="center" shrinkToFit="1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14" fillId="0" borderId="17" xfId="6" applyNumberFormat="1" applyFont="1" applyFill="1" applyBorder="1" applyAlignment="1">
      <alignment horizontal="center" vertical="center"/>
    </xf>
    <xf numFmtId="182" fontId="14" fillId="0" borderId="9" xfId="6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182" fontId="34" fillId="0" borderId="9" xfId="6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14" fillId="0" borderId="14" xfId="6" applyNumberFormat="1" applyFont="1" applyFill="1" applyBorder="1" applyAlignment="1">
      <alignment horizontal="center" vertical="center"/>
    </xf>
    <xf numFmtId="0" fontId="14" fillId="0" borderId="19" xfId="6" applyNumberFormat="1" applyFont="1" applyFill="1" applyBorder="1" applyAlignment="1">
      <alignment horizontal="center" vertical="center"/>
    </xf>
    <xf numFmtId="181" fontId="14" fillId="0" borderId="14" xfId="6" applyNumberFormat="1" applyFont="1" applyFill="1" applyBorder="1" applyAlignment="1">
      <alignment horizontal="center" vertical="center"/>
    </xf>
    <xf numFmtId="184" fontId="14" fillId="0" borderId="16" xfId="0" applyNumberFormat="1" applyFont="1" applyFill="1" applyBorder="1">
      <alignment vertical="center"/>
    </xf>
    <xf numFmtId="181" fontId="14" fillId="0" borderId="53" xfId="6" applyNumberFormat="1" applyFont="1" applyFill="1" applyBorder="1" applyAlignment="1">
      <alignment horizontal="center" vertical="center"/>
    </xf>
    <xf numFmtId="184" fontId="14" fillId="0" borderId="54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41" fontId="42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0" fontId="46" fillId="12" borderId="55" xfId="0" applyFont="1" applyFill="1" applyBorder="1" applyAlignment="1">
      <alignment horizontal="center" vertical="center"/>
    </xf>
    <xf numFmtId="182" fontId="24" fillId="12" borderId="55" xfId="10" applyNumberFormat="1" applyFont="1" applyFill="1" applyBorder="1" applyAlignment="1">
      <alignment horizontal="center" vertical="center"/>
    </xf>
    <xf numFmtId="182" fontId="35" fillId="5" borderId="45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center"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21" xfId="0" applyNumberFormat="1" applyFont="1" applyFill="1" applyBorder="1" applyAlignment="1">
      <alignment horizontal="center" vertical="center"/>
    </xf>
    <xf numFmtId="182" fontId="14" fillId="0" borderId="12" xfId="6" applyNumberFormat="1" applyFont="1" applyFill="1" applyBorder="1" applyAlignment="1">
      <alignment horizontal="center" vertical="center"/>
    </xf>
    <xf numFmtId="182" fontId="34" fillId="0" borderId="12" xfId="6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4" fontId="46" fillId="0" borderId="9" xfId="0" applyNumberFormat="1" applyFont="1" applyFill="1" applyBorder="1" applyAlignment="1">
      <alignment horizontal="center" vertical="center"/>
    </xf>
    <xf numFmtId="49" fontId="46" fillId="0" borderId="9" xfId="0" applyNumberFormat="1" applyFont="1" applyFill="1" applyBorder="1" applyAlignment="1">
      <alignment horizontal="center" vertical="center" shrinkToFit="1"/>
    </xf>
    <xf numFmtId="182" fontId="46" fillId="0" borderId="9" xfId="10" applyNumberFormat="1" applyFont="1" applyFill="1" applyBorder="1" applyAlignment="1">
      <alignment horizontal="center" vertical="center"/>
    </xf>
    <xf numFmtId="41" fontId="46" fillId="0" borderId="9" xfId="10" applyFont="1" applyFill="1" applyBorder="1" applyAlignment="1">
      <alignment horizontal="center" vertical="center"/>
    </xf>
    <xf numFmtId="177" fontId="23" fillId="0" borderId="9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1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238126</xdr:colOff>
      <xdr:row>6</xdr:row>
      <xdr:rowOff>104776</xdr:rowOff>
    </xdr:from>
    <xdr:to>
      <xdr:col>6</xdr:col>
      <xdr:colOff>750792</xdr:colOff>
      <xdr:row>9</xdr:row>
      <xdr:rowOff>29136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03FEC52-4F4E-46CF-A636-42587785D397}"/>
            </a:ext>
          </a:extLst>
        </xdr:cNvPr>
        <xdr:cNvSpPr/>
      </xdr:nvSpPr>
      <xdr:spPr>
        <a:xfrm>
          <a:off x="6267451" y="2209801"/>
          <a:ext cx="1398491" cy="9816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1500" b="1">
              <a:solidFill>
                <a:schemeClr val="tx1"/>
              </a:solidFill>
            </a:rPr>
            <a:t>붉은 </a:t>
          </a:r>
          <a:r>
            <a:rPr lang="en-US" altLang="ko-KR" sz="1500" b="1">
              <a:solidFill>
                <a:schemeClr val="tx1"/>
              </a:solidFill>
            </a:rPr>
            <a:t>BOX</a:t>
          </a:r>
          <a:r>
            <a:rPr lang="ko-KR" altLang="en-US" sz="1500" b="1">
              <a:solidFill>
                <a:schemeClr val="tx1"/>
              </a:solidFill>
            </a:rPr>
            <a:t>에 수량만 기입</a:t>
          </a:r>
        </a:p>
      </xdr:txBody>
    </xdr:sp>
    <xdr:clientData/>
  </xdr:twoCellAnchor>
  <xdr:twoCellAnchor>
    <xdr:from>
      <xdr:col>4</xdr:col>
      <xdr:colOff>647701</xdr:colOff>
      <xdr:row>14</xdr:row>
      <xdr:rowOff>190501</xdr:rowOff>
    </xdr:from>
    <xdr:to>
      <xdr:col>9</xdr:col>
      <xdr:colOff>121024</xdr:colOff>
      <xdr:row>19</xdr:row>
      <xdr:rowOff>258857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CAF7BCE-03D9-46E9-B742-C253986B5C6E}"/>
            </a:ext>
          </a:extLst>
        </xdr:cNvPr>
        <xdr:cNvSpPr/>
      </xdr:nvSpPr>
      <xdr:spPr>
        <a:xfrm>
          <a:off x="5486401" y="5114926"/>
          <a:ext cx="5121648" cy="183048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필요 없는 품명 및 규격은 숨김 처리 할 것</a:t>
          </a:r>
          <a:r>
            <a:rPr lang="en-US" altLang="ko-KR" sz="2000" b="1">
              <a:solidFill>
                <a:schemeClr val="tx1"/>
              </a:solidFill>
            </a:rPr>
            <a:t>.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89647</xdr:colOff>
      <xdr:row>52</xdr:row>
      <xdr:rowOff>191348</xdr:rowOff>
    </xdr:from>
    <xdr:to>
      <xdr:col>12</xdr:col>
      <xdr:colOff>1276915</xdr:colOff>
      <xdr:row>58</xdr:row>
      <xdr:rowOff>102784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5773F4-E34E-465B-B186-DC927FB4C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3618" y="2847142"/>
          <a:ext cx="3417238" cy="1188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46</xdr:row>
      <xdr:rowOff>79375</xdr:rowOff>
    </xdr:from>
    <xdr:to>
      <xdr:col>7</xdr:col>
      <xdr:colOff>1206500</xdr:colOff>
      <xdr:row>54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E15" sqref="E15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11" t="s">
        <v>0</v>
      </c>
      <c r="C4" s="211"/>
      <c r="D4" s="211"/>
      <c r="E4" s="211"/>
      <c r="F4" s="7"/>
    </row>
    <row r="5" spans="1:6" ht="21.95" customHeight="1">
      <c r="A5" s="8"/>
      <c r="B5" s="211"/>
      <c r="C5" s="211"/>
      <c r="D5" s="211"/>
      <c r="E5" s="211"/>
      <c r="F5" s="9"/>
    </row>
    <row r="6" spans="1:6" ht="21.95" customHeight="1">
      <c r="A6" s="10"/>
      <c r="B6" s="211"/>
      <c r="C6" s="211"/>
      <c r="D6" s="211"/>
      <c r="E6" s="211"/>
      <c r="F6" s="11"/>
    </row>
    <row r="7" spans="1:6" ht="36.950000000000003" customHeight="1">
      <c r="A7" s="12"/>
      <c r="B7" s="212" t="s">
        <v>1</v>
      </c>
      <c r="C7" s="212"/>
      <c r="D7" s="212"/>
      <c r="E7" s="212"/>
      <c r="F7" s="11"/>
    </row>
    <row r="8" spans="1:6" ht="29.1" customHeight="1">
      <c r="A8" s="8"/>
      <c r="B8" s="13"/>
      <c r="C8" s="213" t="s">
        <v>318</v>
      </c>
      <c r="D8" s="214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15" t="s">
        <v>474</v>
      </c>
      <c r="D14" s="215"/>
      <c r="E14" s="13"/>
      <c r="F14" s="9"/>
    </row>
    <row r="15" spans="1:6" ht="21.95" customHeight="1">
      <c r="A15" s="8"/>
      <c r="B15" s="13"/>
      <c r="C15" s="216" t="s">
        <v>319</v>
      </c>
      <c r="D15" s="216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0"/>
      <c r="D19" s="210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P15" sqref="P15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17" t="s">
        <v>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2" ht="21.95" customHeight="1">
      <c r="A2" s="164"/>
      <c r="B2" s="164"/>
      <c r="C2" s="164"/>
      <c r="D2" s="164"/>
      <c r="E2" s="18"/>
      <c r="F2" s="164"/>
      <c r="G2" s="164"/>
      <c r="H2" s="164"/>
      <c r="I2" s="164"/>
      <c r="J2" s="164"/>
      <c r="K2" s="164"/>
    </row>
    <row r="3" spans="1:12" ht="21.95" customHeight="1">
      <c r="A3" s="19">
        <v>1</v>
      </c>
      <c r="B3" s="163" t="s">
        <v>3</v>
      </c>
      <c r="C3" s="163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64"/>
      <c r="H3" s="164"/>
      <c r="I3" s="164"/>
      <c r="J3" s="164"/>
      <c r="K3" s="164"/>
    </row>
    <row r="4" spans="1:12" ht="21.95" customHeight="1">
      <c r="A4" s="19">
        <v>2</v>
      </c>
      <c r="B4" s="163" t="s">
        <v>5</v>
      </c>
      <c r="C4" s="163" t="s">
        <v>4</v>
      </c>
      <c r="D4" s="165" t="s">
        <v>6</v>
      </c>
      <c r="E4" s="20"/>
      <c r="F4" s="163"/>
      <c r="G4" s="164"/>
      <c r="H4" s="164"/>
      <c r="I4" s="164"/>
      <c r="J4" s="164"/>
      <c r="K4" s="164"/>
    </row>
    <row r="5" spans="1:12" ht="21.95" customHeight="1">
      <c r="A5" s="19">
        <v>3</v>
      </c>
      <c r="B5" s="163" t="s">
        <v>7</v>
      </c>
      <c r="C5" s="163" t="s">
        <v>4</v>
      </c>
      <c r="D5" s="22">
        <f>ROUNDUP(E5,0)</f>
        <v>-108400000</v>
      </c>
      <c r="E5" s="20">
        <f>집계장!I22</f>
        <v>-108400000</v>
      </c>
      <c r="F5" s="23" t="s">
        <v>8</v>
      </c>
      <c r="G5" s="164"/>
      <c r="H5" s="164"/>
      <c r="I5" s="164"/>
      <c r="J5" s="164"/>
      <c r="K5" s="164"/>
    </row>
    <row r="6" spans="1:12" ht="21.95" customHeight="1">
      <c r="A6" s="19">
        <v>4</v>
      </c>
      <c r="B6" s="24" t="s">
        <v>9</v>
      </c>
      <c r="C6" s="163" t="s">
        <v>4</v>
      </c>
      <c r="D6" s="22">
        <f t="shared" ref="D6:D14" si="0">ROUNDUP(E6,0)</f>
        <v>-108400000</v>
      </c>
      <c r="E6" s="20">
        <f>E7+E13</f>
        <v>-108400000</v>
      </c>
      <c r="F6" s="23" t="s">
        <v>10</v>
      </c>
      <c r="G6" s="164"/>
      <c r="H6" s="164"/>
      <c r="I6" s="164"/>
      <c r="J6" s="164"/>
      <c r="K6" s="164"/>
      <c r="L6" s="164"/>
    </row>
    <row r="7" spans="1:12" ht="21.95" customHeight="1">
      <c r="A7" s="19">
        <v>5</v>
      </c>
      <c r="B7" s="163" t="s">
        <v>11</v>
      </c>
      <c r="C7" s="163" t="s">
        <v>12</v>
      </c>
      <c r="D7" s="22">
        <f t="shared" si="0"/>
        <v>-45700000</v>
      </c>
      <c r="E7" s="20">
        <f>집계장!G22</f>
        <v>-45700000</v>
      </c>
      <c r="F7" s="23" t="s">
        <v>13</v>
      </c>
      <c r="G7" s="164"/>
      <c r="H7" s="164"/>
      <c r="I7" s="164"/>
      <c r="J7" s="164"/>
      <c r="K7" s="164"/>
      <c r="L7" s="164"/>
    </row>
    <row r="8" spans="1:12" ht="21.95" customHeight="1">
      <c r="A8" s="19">
        <v>6</v>
      </c>
      <c r="B8" s="163" t="s">
        <v>14</v>
      </c>
      <c r="C8" s="163" t="s">
        <v>4</v>
      </c>
      <c r="D8" s="22">
        <f t="shared" si="0"/>
        <v>-62700750</v>
      </c>
      <c r="E8" s="20">
        <f>집계장!F18</f>
        <v>-62700750</v>
      </c>
      <c r="F8" s="23" t="s">
        <v>15</v>
      </c>
      <c r="G8" s="164"/>
      <c r="H8" s="164"/>
      <c r="I8" s="164"/>
      <c r="J8" s="164"/>
      <c r="K8" s="164"/>
      <c r="L8" s="25"/>
    </row>
    <row r="9" spans="1:12" ht="21.95" customHeight="1">
      <c r="A9" s="19">
        <v>7</v>
      </c>
      <c r="B9" s="163" t="s">
        <v>16</v>
      </c>
      <c r="C9" s="163" t="s">
        <v>17</v>
      </c>
      <c r="D9" s="22">
        <f t="shared" si="0"/>
        <v>0</v>
      </c>
      <c r="E9" s="20">
        <f>집계장!K20</f>
        <v>0</v>
      </c>
      <c r="F9" s="23" t="s">
        <v>10</v>
      </c>
      <c r="G9" s="164"/>
      <c r="H9" s="164"/>
      <c r="I9" s="164"/>
      <c r="J9" s="164"/>
      <c r="K9" s="164"/>
      <c r="L9" s="25"/>
    </row>
    <row r="10" spans="1:12" ht="21.95" customHeight="1">
      <c r="A10" s="19">
        <v>8</v>
      </c>
      <c r="B10" s="163" t="s">
        <v>18</v>
      </c>
      <c r="C10" s="163" t="s">
        <v>19</v>
      </c>
      <c r="D10" s="22">
        <f t="shared" si="0"/>
        <v>0</v>
      </c>
      <c r="E10" s="20">
        <f>집계장!G20</f>
        <v>0</v>
      </c>
      <c r="F10" s="23" t="s">
        <v>8</v>
      </c>
      <c r="G10" s="164"/>
      <c r="H10" s="164"/>
      <c r="I10" s="164"/>
      <c r="J10" s="164"/>
      <c r="K10" s="164"/>
      <c r="L10" s="164"/>
    </row>
    <row r="11" spans="1:12" ht="21.95" customHeight="1">
      <c r="A11" s="19">
        <v>9</v>
      </c>
      <c r="B11" s="163" t="s">
        <v>20</v>
      </c>
      <c r="C11" s="163" t="s">
        <v>17</v>
      </c>
      <c r="D11" s="22">
        <f t="shared" si="0"/>
        <v>0</v>
      </c>
      <c r="E11" s="20">
        <f>집계장!F20</f>
        <v>0</v>
      </c>
      <c r="F11" s="23" t="s">
        <v>15</v>
      </c>
      <c r="G11" s="164"/>
      <c r="H11" s="164"/>
      <c r="I11" s="164"/>
      <c r="J11" s="164"/>
      <c r="K11" s="164"/>
      <c r="L11" s="26"/>
    </row>
    <row r="12" spans="1:12" ht="21.95" customHeight="1">
      <c r="A12" s="19">
        <v>10</v>
      </c>
      <c r="B12" s="163" t="s">
        <v>21</v>
      </c>
      <c r="C12" s="163" t="s">
        <v>4</v>
      </c>
      <c r="D12" s="22">
        <f t="shared" si="0"/>
        <v>0</v>
      </c>
      <c r="E12" s="20">
        <f>집계장!L20</f>
        <v>0</v>
      </c>
      <c r="F12" s="23" t="s">
        <v>8</v>
      </c>
      <c r="G12" s="164"/>
      <c r="H12" s="164"/>
      <c r="I12" s="164"/>
      <c r="J12" s="164"/>
      <c r="K12" s="164"/>
      <c r="L12" s="27"/>
    </row>
    <row r="13" spans="1:12" ht="21.95" customHeight="1">
      <c r="A13" s="19">
        <v>11</v>
      </c>
      <c r="B13" s="165" t="s">
        <v>22</v>
      </c>
      <c r="C13" s="163" t="s">
        <v>23</v>
      </c>
      <c r="D13" s="28">
        <f>ROUNDUP(E13,0)</f>
        <v>-62700000</v>
      </c>
      <c r="E13" s="29">
        <f>집계장!F22</f>
        <v>-62700000</v>
      </c>
      <c r="F13" s="23" t="s">
        <v>13</v>
      </c>
      <c r="G13" s="164"/>
      <c r="H13" s="164"/>
      <c r="I13" s="164"/>
      <c r="J13" s="164"/>
      <c r="K13" s="164"/>
      <c r="L13" s="164"/>
    </row>
    <row r="14" spans="1:12" ht="21.95" customHeight="1">
      <c r="A14" s="19">
        <v>12</v>
      </c>
      <c r="B14" s="163" t="s">
        <v>24</v>
      </c>
      <c r="C14" s="163" t="s">
        <v>23</v>
      </c>
      <c r="D14" s="22">
        <f t="shared" si="0"/>
        <v>0</v>
      </c>
      <c r="E14" s="20">
        <f>집계장!I16</f>
        <v>0</v>
      </c>
      <c r="F14" s="23" t="s">
        <v>8</v>
      </c>
      <c r="G14" s="164"/>
      <c r="H14" s="164"/>
      <c r="I14" s="164"/>
      <c r="J14" s="164"/>
      <c r="K14" s="164"/>
      <c r="L14" s="164"/>
    </row>
    <row r="15" spans="1:12" ht="21.95" customHeight="1">
      <c r="A15" s="19">
        <v>13</v>
      </c>
      <c r="B15" s="163" t="s">
        <v>25</v>
      </c>
      <c r="C15" s="163" t="s">
        <v>26</v>
      </c>
      <c r="D15" s="30">
        <v>1</v>
      </c>
      <c r="E15" s="31"/>
      <c r="F15" s="163"/>
      <c r="G15" s="163"/>
      <c r="H15" s="163"/>
      <c r="I15" s="163"/>
      <c r="J15" s="163"/>
      <c r="K15" s="163"/>
      <c r="L15" s="164"/>
    </row>
    <row r="16" spans="1:12" ht="21.95" customHeight="1">
      <c r="A16" s="19">
        <v>14</v>
      </c>
      <c r="B16" s="163" t="s">
        <v>27</v>
      </c>
      <c r="C16" s="163" t="s">
        <v>28</v>
      </c>
      <c r="D16" s="30" t="s">
        <v>325</v>
      </c>
      <c r="E16" s="31"/>
      <c r="F16" s="163"/>
      <c r="G16" s="163"/>
      <c r="H16" s="163"/>
      <c r="I16" s="163"/>
      <c r="J16" s="163"/>
      <c r="K16" s="163"/>
    </row>
    <row r="17" spans="1:11" ht="21.95" customHeight="1">
      <c r="A17" s="19"/>
      <c r="B17" s="163"/>
      <c r="C17" s="163"/>
      <c r="D17" s="30"/>
      <c r="E17" s="31"/>
      <c r="F17" s="163"/>
      <c r="G17" s="163"/>
      <c r="H17" s="163"/>
      <c r="I17" s="163"/>
      <c r="J17" s="163"/>
      <c r="K17" s="163"/>
    </row>
    <row r="18" spans="1:11" ht="21.95" customHeight="1">
      <c r="A18" s="19"/>
      <c r="B18" s="218" t="s">
        <v>29</v>
      </c>
      <c r="C18" s="218"/>
      <c r="D18" s="218"/>
      <c r="E18" s="218"/>
      <c r="F18" s="218"/>
      <c r="G18" s="218"/>
      <c r="H18" s="218"/>
      <c r="I18" s="218"/>
      <c r="J18" s="219"/>
      <c r="K18" s="163"/>
    </row>
    <row r="19" spans="1:11" ht="21.95" customHeight="1">
      <c r="A19" s="19"/>
      <c r="B19" s="163" t="s">
        <v>30</v>
      </c>
      <c r="C19" s="163"/>
      <c r="D19" s="163"/>
      <c r="E19" s="31"/>
      <c r="F19" s="163"/>
      <c r="G19" s="163"/>
      <c r="H19" s="163"/>
      <c r="I19" s="163"/>
      <c r="J19" s="163"/>
      <c r="K19" s="163"/>
    </row>
    <row r="20" spans="1:11" ht="21.95" customHeight="1">
      <c r="A20" s="19"/>
      <c r="B20" s="163" t="s">
        <v>31</v>
      </c>
      <c r="C20" s="163"/>
      <c r="D20" s="163"/>
      <c r="E20" s="31"/>
      <c r="F20" s="163"/>
      <c r="G20" s="163"/>
      <c r="H20" s="163"/>
      <c r="I20" s="163"/>
      <c r="J20" s="163"/>
      <c r="K20" s="163"/>
    </row>
    <row r="21" spans="1:11" ht="21.95" customHeight="1">
      <c r="A21" s="32"/>
      <c r="B21" s="163"/>
      <c r="C21" s="163"/>
      <c r="D21" s="163"/>
      <c r="E21" s="31"/>
      <c r="F21" s="165" t="s">
        <v>475</v>
      </c>
      <c r="G21" s="165"/>
      <c r="H21" s="165"/>
      <c r="I21" s="165"/>
      <c r="J21" s="163"/>
      <c r="K21" s="163"/>
    </row>
    <row r="22" spans="1:11" ht="21.95" customHeight="1">
      <c r="A22" s="32"/>
      <c r="B22" s="163"/>
      <c r="C22" s="163"/>
      <c r="D22" s="163"/>
      <c r="E22" s="31"/>
      <c r="F22" s="163"/>
      <c r="G22" s="163"/>
      <c r="H22" s="163"/>
      <c r="I22" s="163"/>
      <c r="J22" s="163"/>
      <c r="K22" s="163"/>
    </row>
    <row r="23" spans="1:11" ht="21.95" customHeight="1">
      <c r="A23" s="32"/>
      <c r="B23" s="163"/>
      <c r="C23" s="163"/>
      <c r="D23" s="163"/>
      <c r="E23" s="31"/>
      <c r="F23" s="166" t="s">
        <v>32</v>
      </c>
      <c r="G23" s="220" t="s">
        <v>322</v>
      </c>
      <c r="H23" s="220"/>
      <c r="I23" s="220"/>
      <c r="J23" s="220"/>
      <c r="K23" s="220"/>
    </row>
    <row r="24" spans="1:11" ht="21.95" customHeight="1">
      <c r="A24" s="32"/>
      <c r="B24" s="163" t="s">
        <v>33</v>
      </c>
      <c r="C24" s="163"/>
      <c r="D24" s="163"/>
      <c r="E24" s="31"/>
      <c r="F24" s="166" t="s">
        <v>323</v>
      </c>
      <c r="G24" s="220" t="s">
        <v>320</v>
      </c>
      <c r="H24" s="220"/>
      <c r="I24" s="220"/>
      <c r="J24" s="220"/>
      <c r="K24" s="220"/>
    </row>
    <row r="25" spans="1:11" ht="21.95" customHeight="1">
      <c r="A25" s="164"/>
      <c r="B25" s="163"/>
      <c r="C25" s="163"/>
      <c r="D25" s="163"/>
      <c r="E25" s="31"/>
      <c r="F25" s="166" t="s">
        <v>324</v>
      </c>
      <c r="G25" s="220" t="s">
        <v>321</v>
      </c>
      <c r="H25" s="220"/>
      <c r="I25" s="167" t="s">
        <v>34</v>
      </c>
      <c r="J25" s="168"/>
      <c r="K25" s="168"/>
    </row>
    <row r="26" spans="1:11" ht="21.95" customHeight="1">
      <c r="A26" s="164"/>
      <c r="B26" s="164"/>
      <c r="C26" s="164"/>
      <c r="D26" s="33" t="s">
        <v>35</v>
      </c>
      <c r="E26" s="27"/>
      <c r="F26" s="169"/>
      <c r="G26" s="169"/>
      <c r="H26" s="169"/>
      <c r="I26" s="169"/>
      <c r="J26" s="169"/>
      <c r="K26" s="169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6.5"/>
  <cols>
    <col min="1" max="1" width="29.25" style="34" bestFit="1" customWidth="1"/>
    <col min="2" max="2" width="18.625" style="34" customWidth="1"/>
    <col min="3" max="3" width="9" style="34"/>
    <col min="4" max="4" width="12.375" style="34" bestFit="1" customWidth="1"/>
    <col min="5" max="5" width="8.625" style="34" customWidth="1"/>
    <col min="6" max="6" width="15.625" style="34" customWidth="1"/>
    <col min="7" max="7" width="13.625" style="34" customWidth="1"/>
  </cols>
  <sheetData>
    <row r="1" spans="1:7" ht="69.95" customHeight="1">
      <c r="A1" s="221" t="s">
        <v>79</v>
      </c>
      <c r="B1" s="222"/>
      <c r="C1" s="222"/>
      <c r="D1" s="222"/>
      <c r="E1" s="222"/>
      <c r="F1" s="222"/>
      <c r="G1" s="222"/>
    </row>
    <row r="2" spans="1:7" ht="39.950000000000003" customHeight="1" thickBot="1">
      <c r="A2" s="38" t="s">
        <v>80</v>
      </c>
      <c r="G2" s="39" t="s">
        <v>81</v>
      </c>
    </row>
    <row r="3" spans="1:7" ht="27.95" customHeight="1">
      <c r="A3" s="223" t="s">
        <v>82</v>
      </c>
      <c r="B3" s="225" t="s">
        <v>83</v>
      </c>
      <c r="C3" s="225" t="s">
        <v>84</v>
      </c>
      <c r="D3" s="225" t="s">
        <v>85</v>
      </c>
      <c r="E3" s="225" t="s">
        <v>86</v>
      </c>
      <c r="F3" s="225"/>
      <c r="G3" s="227"/>
    </row>
    <row r="4" spans="1:7" ht="27.95" customHeight="1">
      <c r="A4" s="224"/>
      <c r="B4" s="226"/>
      <c r="C4" s="226"/>
      <c r="D4" s="226"/>
      <c r="E4" s="40" t="s">
        <v>87</v>
      </c>
      <c r="F4" s="40" t="s">
        <v>88</v>
      </c>
      <c r="G4" s="41" t="s">
        <v>89</v>
      </c>
    </row>
    <row r="5" spans="1:7" ht="27.95" customHeight="1">
      <c r="A5" s="42" t="s">
        <v>90</v>
      </c>
      <c r="B5" s="43" t="s">
        <v>91</v>
      </c>
      <c r="C5" s="43" t="s">
        <v>92</v>
      </c>
      <c r="D5" s="44">
        <v>1400000</v>
      </c>
      <c r="E5" s="45">
        <v>1</v>
      </c>
      <c r="F5" s="44">
        <f>D5*E5</f>
        <v>1400000</v>
      </c>
      <c r="G5" s="46"/>
    </row>
    <row r="6" spans="1:7" ht="27.95" customHeight="1">
      <c r="A6" s="42" t="s">
        <v>90</v>
      </c>
      <c r="B6" s="43" t="s">
        <v>93</v>
      </c>
      <c r="C6" s="43" t="s">
        <v>94</v>
      </c>
      <c r="D6" s="44">
        <v>1200000</v>
      </c>
      <c r="E6" s="45"/>
      <c r="F6" s="44">
        <f t="shared" ref="F6:F11" si="0">D6*E6</f>
        <v>0</v>
      </c>
      <c r="G6" s="46"/>
    </row>
    <row r="7" spans="1:7" ht="27.95" customHeight="1">
      <c r="A7" s="42" t="s">
        <v>95</v>
      </c>
      <c r="B7" s="43" t="s">
        <v>96</v>
      </c>
      <c r="C7" s="43" t="s">
        <v>94</v>
      </c>
      <c r="D7" s="44">
        <v>1000000</v>
      </c>
      <c r="E7" s="45"/>
      <c r="F7" s="44">
        <f t="shared" si="0"/>
        <v>0</v>
      </c>
      <c r="G7" s="46"/>
    </row>
    <row r="8" spans="1:7" ht="27.95" customHeight="1">
      <c r="A8" s="42" t="s">
        <v>97</v>
      </c>
      <c r="B8" s="43" t="s">
        <v>98</v>
      </c>
      <c r="C8" s="43" t="s">
        <v>99</v>
      </c>
      <c r="D8" s="44">
        <v>900000</v>
      </c>
      <c r="E8" s="45"/>
      <c r="F8" s="44">
        <f t="shared" si="0"/>
        <v>0</v>
      </c>
      <c r="G8" s="46"/>
    </row>
    <row r="9" spans="1:7" ht="27.95" customHeight="1">
      <c r="A9" s="42" t="s">
        <v>95</v>
      </c>
      <c r="B9" s="43" t="s">
        <v>100</v>
      </c>
      <c r="C9" s="43" t="s">
        <v>92</v>
      </c>
      <c r="D9" s="44">
        <v>800000</v>
      </c>
      <c r="E9" s="45"/>
      <c r="F9" s="44">
        <f t="shared" si="0"/>
        <v>0</v>
      </c>
      <c r="G9" s="46"/>
    </row>
    <row r="10" spans="1:7" ht="27.95" customHeight="1">
      <c r="A10" s="42" t="s">
        <v>101</v>
      </c>
      <c r="B10" s="43" t="s">
        <v>102</v>
      </c>
      <c r="C10" s="43" t="s">
        <v>92</v>
      </c>
      <c r="D10" s="44">
        <v>700000</v>
      </c>
      <c r="E10" s="45"/>
      <c r="F10" s="44">
        <f t="shared" si="0"/>
        <v>0</v>
      </c>
      <c r="G10" s="46"/>
    </row>
    <row r="11" spans="1:7" ht="27.95" customHeight="1">
      <c r="A11" s="42" t="s">
        <v>103</v>
      </c>
      <c r="B11" s="43" t="s">
        <v>104</v>
      </c>
      <c r="C11" s="43" t="s">
        <v>105</v>
      </c>
      <c r="D11" s="44">
        <v>600000</v>
      </c>
      <c r="E11" s="45"/>
      <c r="F11" s="44">
        <f t="shared" si="0"/>
        <v>0</v>
      </c>
      <c r="G11" s="46"/>
    </row>
    <row r="12" spans="1:7" ht="27.95" customHeight="1">
      <c r="A12" s="42"/>
      <c r="B12" s="43"/>
      <c r="C12" s="43"/>
      <c r="D12" s="45"/>
      <c r="E12" s="45"/>
      <c r="F12" s="45"/>
      <c r="G12" s="46"/>
    </row>
    <row r="13" spans="1:7" ht="27.95" customHeight="1">
      <c r="A13" s="42" t="s">
        <v>106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5" customHeight="1">
      <c r="A14" s="42"/>
      <c r="B14" s="43"/>
      <c r="C14" s="43"/>
      <c r="D14" s="43"/>
      <c r="E14" s="43"/>
      <c r="F14" s="43"/>
      <c r="G14" s="46"/>
    </row>
    <row r="15" spans="1:7" ht="27.95" customHeight="1" thickBot="1">
      <c r="A15" s="48" t="s">
        <v>107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zoomScale="70" zoomScaleNormal="100" zoomScaleSheetLayoutView="70" workbookViewId="0">
      <selection activeCell="Q21" sqref="Q21"/>
    </sheetView>
  </sheetViews>
  <sheetFormatPr defaultRowHeight="16.5"/>
  <cols>
    <col min="1" max="1" width="21.625" style="93" customWidth="1"/>
    <col min="2" max="2" width="20.625" style="93" customWidth="1"/>
    <col min="3" max="3" width="6.625" style="93" customWidth="1"/>
    <col min="4" max="4" width="12.125" style="93" customWidth="1"/>
    <col min="5" max="5" width="16.625" style="93" customWidth="1"/>
    <col min="6" max="9" width="19.625" style="93" customWidth="1"/>
    <col min="10" max="10" width="15.625" style="93" customWidth="1"/>
    <col min="11" max="12" width="11.625" style="93" customWidth="1"/>
  </cols>
  <sheetData>
    <row r="1" spans="1:12" ht="39.950000000000003" customHeight="1" thickTop="1">
      <c r="A1" s="250" t="str">
        <f>'용역청구서 표지'!$B$7</f>
        <v>P4 Ph4 GAS 1공구 마감공사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2"/>
    </row>
    <row r="2" spans="1:12" ht="20.100000000000001" customHeight="1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2" ht="30" customHeight="1">
      <c r="A3" s="57" t="s">
        <v>108</v>
      </c>
      <c r="B3" s="58" t="s">
        <v>109</v>
      </c>
      <c r="C3" s="58" t="s">
        <v>110</v>
      </c>
      <c r="D3" s="58" t="s">
        <v>111</v>
      </c>
      <c r="E3" s="58" t="s">
        <v>112</v>
      </c>
      <c r="F3" s="59" t="s">
        <v>113</v>
      </c>
      <c r="G3" s="60" t="s">
        <v>114</v>
      </c>
      <c r="H3" s="58" t="s">
        <v>115</v>
      </c>
      <c r="I3" s="61" t="s">
        <v>116</v>
      </c>
      <c r="J3" s="253" t="s">
        <v>117</v>
      </c>
      <c r="K3" s="253"/>
      <c r="L3" s="254"/>
    </row>
    <row r="4" spans="1:12" ht="30" customHeight="1">
      <c r="A4" s="62" t="s">
        <v>118</v>
      </c>
      <c r="B4" s="63" t="s">
        <v>119</v>
      </c>
      <c r="C4" s="43" t="s">
        <v>120</v>
      </c>
      <c r="D4" s="161">
        <f>SUM('물량 내역서'!$J$5:$J$27)</f>
        <v>252</v>
      </c>
      <c r="E4" s="44">
        <f>F4/D4</f>
        <v>435000</v>
      </c>
      <c r="F4" s="64">
        <f>SUM('물량 내역서'!$K$5:$K$27)</f>
        <v>109620000</v>
      </c>
      <c r="G4" s="65"/>
      <c r="H4" s="44">
        <f t="shared" ref="H4:H22" si="0">F4</f>
        <v>109620000</v>
      </c>
      <c r="I4" s="66">
        <f>G4+H4</f>
        <v>109620000</v>
      </c>
      <c r="J4" s="232"/>
      <c r="K4" s="233"/>
      <c r="L4" s="234"/>
    </row>
    <row r="5" spans="1:12" ht="30" customHeight="1">
      <c r="A5" s="67"/>
      <c r="B5" s="63" t="s">
        <v>121</v>
      </c>
      <c r="C5" s="43" t="s">
        <v>122</v>
      </c>
      <c r="D5" s="160">
        <f>SUM('물량 내역서'!$J$28:$J$50)</f>
        <v>0</v>
      </c>
      <c r="E5" s="44" t="e">
        <f>F5/D5</f>
        <v>#DIV/0!</v>
      </c>
      <c r="F5" s="64">
        <f>SUM('물량 내역서'!$K$28:$K$50)</f>
        <v>0</v>
      </c>
      <c r="G5" s="65"/>
      <c r="H5" s="44">
        <f t="shared" si="0"/>
        <v>0</v>
      </c>
      <c r="I5" s="66">
        <f t="shared" ref="I5:I7" si="1">G5+H5</f>
        <v>0</v>
      </c>
      <c r="J5" s="232"/>
      <c r="K5" s="233"/>
      <c r="L5" s="234"/>
    </row>
    <row r="6" spans="1:12" ht="30" customHeight="1">
      <c r="A6" s="67"/>
      <c r="B6" s="63" t="s">
        <v>123</v>
      </c>
      <c r="C6" s="43" t="s">
        <v>124</v>
      </c>
      <c r="D6" s="68">
        <f>'근로내역 (11월)'!AN57</f>
        <v>0</v>
      </c>
      <c r="E6" s="44" t="e">
        <f>F6/D6</f>
        <v>#DIV/0!</v>
      </c>
      <c r="F6" s="64">
        <f>'근로내역 (11월)'!AP57</f>
        <v>0</v>
      </c>
      <c r="G6" s="65"/>
      <c r="H6" s="44">
        <f t="shared" si="0"/>
        <v>0</v>
      </c>
      <c r="I6" s="66">
        <f t="shared" si="1"/>
        <v>0</v>
      </c>
      <c r="J6" s="232"/>
      <c r="K6" s="233"/>
      <c r="L6" s="234"/>
    </row>
    <row r="7" spans="1:12" ht="30" customHeight="1">
      <c r="A7" s="62" t="s">
        <v>125</v>
      </c>
      <c r="B7" s="69"/>
      <c r="C7" s="43" t="s">
        <v>126</v>
      </c>
      <c r="D7" s="43"/>
      <c r="E7" s="44">
        <v>0</v>
      </c>
      <c r="F7" s="64">
        <f t="shared" ref="F7:F12" si="2">D7*E7</f>
        <v>0</v>
      </c>
      <c r="G7" s="65"/>
      <c r="H7" s="44">
        <f t="shared" si="0"/>
        <v>0</v>
      </c>
      <c r="I7" s="66">
        <f t="shared" si="1"/>
        <v>0</v>
      </c>
      <c r="J7" s="232"/>
      <c r="K7" s="233"/>
      <c r="L7" s="234"/>
    </row>
    <row r="8" spans="1:12" ht="30" customHeight="1">
      <c r="A8" s="70" t="s">
        <v>127</v>
      </c>
      <c r="B8" s="235" t="s">
        <v>128</v>
      </c>
      <c r="C8" s="236"/>
      <c r="D8" s="71"/>
      <c r="E8" s="72"/>
      <c r="F8" s="73">
        <f>SUM(F4:F7)</f>
        <v>109620000</v>
      </c>
      <c r="G8" s="74">
        <f>SUM(G4:G7)</f>
        <v>0</v>
      </c>
      <c r="H8" s="75">
        <f>F8</f>
        <v>109620000</v>
      </c>
      <c r="I8" s="76">
        <f>G8+H8</f>
        <v>109620000</v>
      </c>
      <c r="J8" s="237"/>
      <c r="K8" s="238"/>
      <c r="L8" s="239"/>
    </row>
    <row r="9" spans="1:12" ht="30" customHeight="1">
      <c r="A9" s="62" t="s">
        <v>129</v>
      </c>
      <c r="B9" s="63" t="s">
        <v>130</v>
      </c>
      <c r="C9" s="43" t="s">
        <v>131</v>
      </c>
      <c r="D9" s="68">
        <f>'근로내역 (11월)'!AN58</f>
        <v>775.75</v>
      </c>
      <c r="E9" s="77">
        <f>F9/D9</f>
        <v>194262.00451176282</v>
      </c>
      <c r="F9" s="64">
        <f>'근로내역 (11월)'!AP58</f>
        <v>150698750</v>
      </c>
      <c r="G9" s="65">
        <v>44756250</v>
      </c>
      <c r="H9" s="44">
        <f t="shared" si="0"/>
        <v>150698750</v>
      </c>
      <c r="I9" s="66">
        <f>G9+H9</f>
        <v>195455000</v>
      </c>
      <c r="J9" s="232"/>
      <c r="K9" s="233"/>
      <c r="L9" s="234"/>
    </row>
    <row r="10" spans="1:12" ht="30" customHeight="1">
      <c r="A10" s="62" t="s">
        <v>132</v>
      </c>
      <c r="B10" s="63" t="s">
        <v>133</v>
      </c>
      <c r="C10" s="43" t="s">
        <v>126</v>
      </c>
      <c r="D10" s="43">
        <f>SUM(숙소임차료!H4:H9)+SUM(숙소관리비!H4:H8)</f>
        <v>16</v>
      </c>
      <c r="E10" s="44">
        <f>F10/D10</f>
        <v>199375</v>
      </c>
      <c r="F10" s="64">
        <f>숙소임차료!I3+숙소관리비!I3</f>
        <v>3190000</v>
      </c>
      <c r="G10" s="65">
        <v>954839</v>
      </c>
      <c r="H10" s="44">
        <f t="shared" si="0"/>
        <v>3190000</v>
      </c>
      <c r="I10" s="66">
        <f t="shared" ref="I10:I12" si="3">G10+H10</f>
        <v>4144839</v>
      </c>
      <c r="J10" s="232"/>
      <c r="K10" s="233"/>
      <c r="L10" s="234"/>
    </row>
    <row r="11" spans="1:12" ht="30" customHeight="1">
      <c r="A11" s="62"/>
      <c r="B11" s="63" t="s">
        <v>134</v>
      </c>
      <c r="C11" s="43" t="s">
        <v>135</v>
      </c>
      <c r="D11" s="43">
        <f>SUM(식대비용!G4:G7)</f>
        <v>37</v>
      </c>
      <c r="E11" s="44">
        <f>F11/D11</f>
        <v>498162.16216216219</v>
      </c>
      <c r="F11" s="64">
        <f>식대비용!I3</f>
        <v>18432000</v>
      </c>
      <c r="G11" s="65"/>
      <c r="H11" s="44">
        <f t="shared" si="0"/>
        <v>18432000</v>
      </c>
      <c r="I11" s="66">
        <f t="shared" si="3"/>
        <v>18432000</v>
      </c>
      <c r="J11" s="232"/>
      <c r="K11" s="233"/>
      <c r="L11" s="234"/>
    </row>
    <row r="12" spans="1:12" ht="30" customHeight="1">
      <c r="A12" s="62" t="s">
        <v>136</v>
      </c>
      <c r="B12" s="63"/>
      <c r="C12" s="43" t="s">
        <v>126</v>
      </c>
      <c r="D12" s="43"/>
      <c r="E12" s="44">
        <v>0</v>
      </c>
      <c r="F12" s="64">
        <f t="shared" si="2"/>
        <v>0</v>
      </c>
      <c r="G12" s="65"/>
      <c r="H12" s="44">
        <f t="shared" si="0"/>
        <v>0</v>
      </c>
      <c r="I12" s="66">
        <f t="shared" si="3"/>
        <v>0</v>
      </c>
      <c r="J12" s="232"/>
      <c r="K12" s="233"/>
      <c r="L12" s="234"/>
    </row>
    <row r="13" spans="1:12" ht="30" customHeight="1">
      <c r="A13" s="70" t="s">
        <v>137</v>
      </c>
      <c r="B13" s="235" t="s">
        <v>138</v>
      </c>
      <c r="C13" s="236"/>
      <c r="D13" s="71"/>
      <c r="E13" s="72"/>
      <c r="F13" s="73">
        <f t="shared" ref="F13" si="4">SUM(F9:F12)</f>
        <v>172320750</v>
      </c>
      <c r="G13" s="74">
        <f>SUM(G9:G12)</f>
        <v>45711089</v>
      </c>
      <c r="H13" s="75">
        <f>F13</f>
        <v>172320750</v>
      </c>
      <c r="I13" s="76">
        <f>G13+H13</f>
        <v>218031839</v>
      </c>
      <c r="J13" s="237"/>
      <c r="K13" s="238"/>
      <c r="L13" s="239"/>
    </row>
    <row r="14" spans="1:12" ht="30" customHeight="1">
      <c r="A14" s="70" t="s">
        <v>139</v>
      </c>
      <c r="B14" s="235" t="s">
        <v>140</v>
      </c>
      <c r="C14" s="236"/>
      <c r="D14" s="71"/>
      <c r="E14" s="72"/>
      <c r="F14" s="73">
        <f>F8-F13</f>
        <v>-62700750</v>
      </c>
      <c r="G14" s="74">
        <f>G8-G13</f>
        <v>-45711089</v>
      </c>
      <c r="H14" s="75">
        <f t="shared" si="0"/>
        <v>-62700750</v>
      </c>
      <c r="I14" s="76">
        <f>G14+H14</f>
        <v>-108411839</v>
      </c>
      <c r="J14" s="237"/>
      <c r="K14" s="238"/>
      <c r="L14" s="239"/>
    </row>
    <row r="15" spans="1:12" ht="30" customHeight="1">
      <c r="A15" s="62" t="s">
        <v>141</v>
      </c>
      <c r="B15" s="63" t="s">
        <v>142</v>
      </c>
      <c r="C15" s="43" t="s">
        <v>126</v>
      </c>
      <c r="D15" s="43"/>
      <c r="E15" s="45"/>
      <c r="F15" s="64"/>
      <c r="G15" s="65"/>
      <c r="H15" s="44">
        <f t="shared" si="0"/>
        <v>0</v>
      </c>
      <c r="I15" s="66">
        <f>G15+H15</f>
        <v>0</v>
      </c>
      <c r="J15" s="232"/>
      <c r="K15" s="233"/>
      <c r="L15" s="234"/>
    </row>
    <row r="16" spans="1:12" ht="30" customHeight="1">
      <c r="A16" s="62" t="s">
        <v>143</v>
      </c>
      <c r="B16" s="78" t="s">
        <v>144</v>
      </c>
      <c r="C16" s="43" t="s">
        <v>145</v>
      </c>
      <c r="D16" s="43"/>
      <c r="E16" s="45"/>
      <c r="F16" s="64"/>
      <c r="G16" s="65"/>
      <c r="H16" s="44">
        <f>F16</f>
        <v>0</v>
      </c>
      <c r="I16" s="66">
        <f t="shared" ref="I16:I17" si="5">G16+H16</f>
        <v>0</v>
      </c>
      <c r="J16" s="232"/>
      <c r="K16" s="233"/>
      <c r="L16" s="234"/>
    </row>
    <row r="17" spans="1:12" ht="30" customHeight="1">
      <c r="A17" s="62" t="s">
        <v>146</v>
      </c>
      <c r="B17" s="63" t="s">
        <v>147</v>
      </c>
      <c r="C17" s="43" t="s">
        <v>148</v>
      </c>
      <c r="D17" s="43"/>
      <c r="E17" s="45"/>
      <c r="F17" s="64"/>
      <c r="G17" s="65"/>
      <c r="H17" s="44">
        <f t="shared" si="0"/>
        <v>0</v>
      </c>
      <c r="I17" s="66">
        <f t="shared" si="5"/>
        <v>0</v>
      </c>
      <c r="J17" s="232"/>
      <c r="K17" s="233"/>
      <c r="L17" s="234"/>
    </row>
    <row r="18" spans="1:12" ht="30" customHeight="1">
      <c r="A18" s="70" t="s">
        <v>149</v>
      </c>
      <c r="B18" s="235" t="s">
        <v>150</v>
      </c>
      <c r="C18" s="236"/>
      <c r="D18" s="71"/>
      <c r="E18" s="72"/>
      <c r="F18" s="73">
        <f>F14-F15-F16-F17</f>
        <v>-62700750</v>
      </c>
      <c r="G18" s="74">
        <f>G14-G15</f>
        <v>-45711089</v>
      </c>
      <c r="H18" s="75">
        <f>F18</f>
        <v>-62700750</v>
      </c>
      <c r="I18" s="76">
        <f>G18+H18</f>
        <v>-108411839</v>
      </c>
      <c r="J18" s="237"/>
      <c r="K18" s="238"/>
      <c r="L18" s="239"/>
    </row>
    <row r="19" spans="1:12" ht="30" customHeight="1">
      <c r="A19" s="240" t="s">
        <v>151</v>
      </c>
      <c r="B19" s="63" t="s">
        <v>152</v>
      </c>
      <c r="C19" s="43" t="s">
        <v>145</v>
      </c>
      <c r="D19" s="43"/>
      <c r="E19" s="45"/>
      <c r="F19" s="64"/>
      <c r="G19" s="65"/>
      <c r="H19" s="44">
        <f t="shared" si="0"/>
        <v>0</v>
      </c>
      <c r="I19" s="66">
        <f>G19+H19</f>
        <v>0</v>
      </c>
      <c r="J19" s="43"/>
      <c r="K19" s="79" t="s">
        <v>153</v>
      </c>
      <c r="L19" s="80" t="s">
        <v>154</v>
      </c>
    </row>
    <row r="20" spans="1:12" ht="30" customHeight="1">
      <c r="A20" s="240"/>
      <c r="B20" s="63" t="s">
        <v>155</v>
      </c>
      <c r="C20" s="43" t="s">
        <v>145</v>
      </c>
      <c r="D20" s="43"/>
      <c r="E20" s="45"/>
      <c r="F20" s="64">
        <f>ROUNDDOWN(F19,-5)</f>
        <v>0</v>
      </c>
      <c r="G20" s="65"/>
      <c r="H20" s="44">
        <f t="shared" si="0"/>
        <v>0</v>
      </c>
      <c r="I20" s="66">
        <f>G20+H20</f>
        <v>0</v>
      </c>
      <c r="J20" s="63" t="s">
        <v>156</v>
      </c>
      <c r="K20" s="241">
        <v>0</v>
      </c>
      <c r="L20" s="244">
        <f>K20-I20</f>
        <v>0</v>
      </c>
    </row>
    <row r="21" spans="1:12" ht="30" customHeight="1">
      <c r="A21" s="247" t="s">
        <v>157</v>
      </c>
      <c r="B21" s="248"/>
      <c r="C21" s="249"/>
      <c r="D21" s="81"/>
      <c r="E21" s="82"/>
      <c r="F21" s="83">
        <f>F18-F20</f>
        <v>-62700750</v>
      </c>
      <c r="G21" s="84">
        <v>-45711089</v>
      </c>
      <c r="H21" s="85">
        <f t="shared" si="0"/>
        <v>-62700750</v>
      </c>
      <c r="I21" s="86">
        <f>G21+H21</f>
        <v>-108411839</v>
      </c>
      <c r="J21" s="81"/>
      <c r="K21" s="242"/>
      <c r="L21" s="245"/>
    </row>
    <row r="22" spans="1:12" ht="30" customHeight="1">
      <c r="A22" s="247" t="s">
        <v>158</v>
      </c>
      <c r="B22" s="248"/>
      <c r="C22" s="249"/>
      <c r="D22" s="81"/>
      <c r="E22" s="82"/>
      <c r="F22" s="83">
        <f>ROUNDDOWN(F21,-5)</f>
        <v>-62700000</v>
      </c>
      <c r="G22" s="84">
        <v>-45700000</v>
      </c>
      <c r="H22" s="85">
        <f t="shared" si="0"/>
        <v>-62700000</v>
      </c>
      <c r="I22" s="86">
        <f>G22+H22</f>
        <v>-108400000</v>
      </c>
      <c r="J22" s="87" t="s">
        <v>159</v>
      </c>
      <c r="K22" s="243"/>
      <c r="L22" s="246"/>
    </row>
    <row r="23" spans="1:12" ht="30" customHeight="1">
      <c r="A23" s="228" t="s">
        <v>160</v>
      </c>
      <c r="B23" s="229"/>
      <c r="C23" s="230"/>
      <c r="D23" s="229" t="s">
        <v>161</v>
      </c>
      <c r="E23" s="229"/>
      <c r="F23" s="229"/>
      <c r="G23" s="229"/>
      <c r="H23" s="229"/>
      <c r="I23" s="229"/>
      <c r="J23" s="229"/>
      <c r="K23" s="229"/>
      <c r="L23" s="231"/>
    </row>
    <row r="24" spans="1:12" ht="21" customHeight="1">
      <c r="A24" s="88" t="s">
        <v>162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89"/>
    </row>
    <row r="25" spans="1:12" ht="21" customHeight="1">
      <c r="A25" s="88" t="s">
        <v>163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9"/>
    </row>
    <row r="26" spans="1:12" ht="21" customHeight="1" thickBot="1">
      <c r="A26" s="90" t="s">
        <v>164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ht="17.25" thickTop="1">
      <c r="A27" s="54"/>
      <c r="B27" s="54"/>
      <c r="C27" s="54"/>
      <c r="D27" s="54"/>
      <c r="E27" s="54"/>
      <c r="F27" s="54"/>
      <c r="G27" s="54"/>
      <c r="H27" s="54"/>
      <c r="I27" s="54"/>
      <c r="J27" s="54"/>
    </row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61" fitToHeight="0" orientation="landscape" r:id="rId1"/>
  <ignoredErrors>
    <ignoredError sqref="F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69"/>
  <sheetViews>
    <sheetView view="pageBreakPreview" zoomScale="85" zoomScaleNormal="70" zoomScaleSheetLayoutView="85" workbookViewId="0">
      <pane ySplit="4" topLeftCell="A5" activePane="bottomLeft" state="frozen"/>
      <selection pane="bottomLeft" activeCell="G69" sqref="G69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>
      <c r="A1" s="258" t="s">
        <v>530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3" ht="17.25">
      <c r="A2" s="94" t="str">
        <f>'용역청구서 표지'!$B$7</f>
        <v>P4 Ph4 GAS 1공구 마감공사</v>
      </c>
      <c r="M2" s="39" t="s">
        <v>165</v>
      </c>
    </row>
    <row r="3" spans="1:13" ht="27.95" customHeight="1">
      <c r="A3" s="259" t="s">
        <v>166</v>
      </c>
      <c r="B3" s="259" t="s">
        <v>167</v>
      </c>
      <c r="C3" s="259" t="s">
        <v>168</v>
      </c>
      <c r="D3" s="260" t="s">
        <v>169</v>
      </c>
      <c r="E3" s="259" t="s">
        <v>170</v>
      </c>
      <c r="F3" s="259" t="s">
        <v>171</v>
      </c>
      <c r="G3" s="259"/>
      <c r="H3" s="259" t="s">
        <v>172</v>
      </c>
      <c r="I3" s="259"/>
      <c r="J3" s="259" t="s">
        <v>173</v>
      </c>
      <c r="K3" s="259"/>
      <c r="L3" s="259" t="s">
        <v>174</v>
      </c>
      <c r="M3" s="259"/>
    </row>
    <row r="4" spans="1:13" ht="27.95" customHeight="1">
      <c r="A4" s="259"/>
      <c r="B4" s="259"/>
      <c r="C4" s="259"/>
      <c r="D4" s="260"/>
      <c r="E4" s="259"/>
      <c r="F4" s="95" t="s">
        <v>175</v>
      </c>
      <c r="G4" s="95" t="s">
        <v>176</v>
      </c>
      <c r="H4" s="95" t="s">
        <v>175</v>
      </c>
      <c r="I4" s="95" t="s">
        <v>176</v>
      </c>
      <c r="J4" s="95" t="s">
        <v>175</v>
      </c>
      <c r="K4" s="95" t="s">
        <v>177</v>
      </c>
      <c r="L4" s="95" t="s">
        <v>175</v>
      </c>
      <c r="M4" s="95" t="s">
        <v>177</v>
      </c>
    </row>
    <row r="5" spans="1:13" ht="27.95" hidden="1" customHeight="1">
      <c r="A5" s="96" t="s">
        <v>178</v>
      </c>
      <c r="B5" s="52" t="s">
        <v>179</v>
      </c>
      <c r="C5" s="52" t="s">
        <v>180</v>
      </c>
      <c r="D5" s="97">
        <v>0</v>
      </c>
      <c r="E5" s="98">
        <v>435000</v>
      </c>
      <c r="F5" s="101">
        <f>L5</f>
        <v>0</v>
      </c>
      <c r="G5" s="99">
        <f>M5</f>
        <v>0</v>
      </c>
      <c r="H5" s="101"/>
      <c r="I5" s="96"/>
      <c r="J5" s="101">
        <f>$D5*'DIA-INCH'!$C5</f>
        <v>0</v>
      </c>
      <c r="K5" s="99">
        <f>$E5*$J5</f>
        <v>0</v>
      </c>
      <c r="L5" s="101">
        <f>H5+J5</f>
        <v>0</v>
      </c>
      <c r="M5" s="99">
        <f>I5+K5</f>
        <v>0</v>
      </c>
    </row>
    <row r="6" spans="1:13" ht="27.95" hidden="1" customHeight="1">
      <c r="A6" s="96" t="s">
        <v>181</v>
      </c>
      <c r="B6" s="52" t="s">
        <v>182</v>
      </c>
      <c r="C6" s="52" t="s">
        <v>183</v>
      </c>
      <c r="D6" s="97">
        <v>0</v>
      </c>
      <c r="E6" s="98">
        <v>435000</v>
      </c>
      <c r="F6" s="101">
        <f t="shared" ref="F6:G50" si="0">L6</f>
        <v>0</v>
      </c>
      <c r="G6" s="99">
        <f t="shared" si="0"/>
        <v>0</v>
      </c>
      <c r="H6" s="101"/>
      <c r="I6" s="96"/>
      <c r="J6" s="101">
        <f>$D6*'DIA-INCH'!$C6</f>
        <v>0</v>
      </c>
      <c r="K6" s="99">
        <f t="shared" ref="K6:K27" si="1">$E6*$J6</f>
        <v>0</v>
      </c>
      <c r="L6" s="101">
        <f t="shared" ref="L6:M50" si="2">H6+J6</f>
        <v>0</v>
      </c>
      <c r="M6" s="99">
        <f t="shared" si="2"/>
        <v>0</v>
      </c>
    </row>
    <row r="7" spans="1:13" ht="27.95" hidden="1" customHeight="1">
      <c r="A7" s="96" t="s">
        <v>178</v>
      </c>
      <c r="B7" s="52" t="s">
        <v>184</v>
      </c>
      <c r="C7" s="52" t="s">
        <v>180</v>
      </c>
      <c r="D7" s="97">
        <v>0</v>
      </c>
      <c r="E7" s="98">
        <v>435000</v>
      </c>
      <c r="F7" s="101">
        <f t="shared" si="0"/>
        <v>0</v>
      </c>
      <c r="G7" s="99">
        <f t="shared" si="0"/>
        <v>0</v>
      </c>
      <c r="H7" s="101"/>
      <c r="I7" s="96"/>
      <c r="J7" s="101">
        <f>$D7*'DIA-INCH'!$C7</f>
        <v>0</v>
      </c>
      <c r="K7" s="99">
        <f t="shared" si="1"/>
        <v>0</v>
      </c>
      <c r="L7" s="101">
        <f t="shared" si="2"/>
        <v>0</v>
      </c>
      <c r="M7" s="99">
        <f t="shared" si="2"/>
        <v>0</v>
      </c>
    </row>
    <row r="8" spans="1:13" ht="27.95" hidden="1" customHeight="1">
      <c r="A8" s="96" t="s">
        <v>178</v>
      </c>
      <c r="B8" s="52" t="s">
        <v>185</v>
      </c>
      <c r="C8" s="52" t="s">
        <v>180</v>
      </c>
      <c r="D8" s="97">
        <v>0</v>
      </c>
      <c r="E8" s="98">
        <v>435000</v>
      </c>
      <c r="F8" s="101">
        <f t="shared" si="0"/>
        <v>0</v>
      </c>
      <c r="G8" s="99">
        <f t="shared" si="0"/>
        <v>0</v>
      </c>
      <c r="H8" s="101"/>
      <c r="I8" s="96"/>
      <c r="J8" s="101">
        <f>$D8*'DIA-INCH'!$C8</f>
        <v>0</v>
      </c>
      <c r="K8" s="99">
        <f t="shared" si="1"/>
        <v>0</v>
      </c>
      <c r="L8" s="101">
        <f t="shared" si="2"/>
        <v>0</v>
      </c>
      <c r="M8" s="99">
        <f t="shared" si="2"/>
        <v>0</v>
      </c>
    </row>
    <row r="9" spans="1:13" ht="27.95" hidden="1" customHeight="1">
      <c r="A9" s="96" t="s">
        <v>178</v>
      </c>
      <c r="B9" s="52" t="s">
        <v>186</v>
      </c>
      <c r="C9" s="52" t="s">
        <v>180</v>
      </c>
      <c r="D9" s="97">
        <v>0</v>
      </c>
      <c r="E9" s="98">
        <v>435000</v>
      </c>
      <c r="F9" s="101">
        <f t="shared" si="0"/>
        <v>0</v>
      </c>
      <c r="G9" s="99">
        <f t="shared" si="0"/>
        <v>0</v>
      </c>
      <c r="H9" s="101"/>
      <c r="I9" s="96"/>
      <c r="J9" s="101">
        <f>$D9*'DIA-INCH'!$C9</f>
        <v>0</v>
      </c>
      <c r="K9" s="99">
        <f t="shared" si="1"/>
        <v>0</v>
      </c>
      <c r="L9" s="101">
        <f t="shared" si="2"/>
        <v>0</v>
      </c>
      <c r="M9" s="99">
        <f t="shared" si="2"/>
        <v>0</v>
      </c>
    </row>
    <row r="10" spans="1:13" ht="27.95" hidden="1" customHeight="1">
      <c r="A10" s="96" t="s">
        <v>178</v>
      </c>
      <c r="B10" s="52" t="s">
        <v>187</v>
      </c>
      <c r="C10" s="52" t="s">
        <v>183</v>
      </c>
      <c r="D10" s="97">
        <v>0</v>
      </c>
      <c r="E10" s="98">
        <v>435000</v>
      </c>
      <c r="F10" s="101">
        <f t="shared" si="0"/>
        <v>0</v>
      </c>
      <c r="G10" s="99">
        <f t="shared" si="0"/>
        <v>0</v>
      </c>
      <c r="H10" s="101"/>
      <c r="I10" s="96"/>
      <c r="J10" s="101">
        <f>$D10*'DIA-INCH'!$C10</f>
        <v>0</v>
      </c>
      <c r="K10" s="99">
        <f t="shared" si="1"/>
        <v>0</v>
      </c>
      <c r="L10" s="101">
        <f t="shared" si="2"/>
        <v>0</v>
      </c>
      <c r="M10" s="99">
        <f t="shared" si="2"/>
        <v>0</v>
      </c>
    </row>
    <row r="11" spans="1:13" ht="27.95" customHeight="1">
      <c r="A11" s="96" t="s">
        <v>178</v>
      </c>
      <c r="B11" s="52" t="s">
        <v>188</v>
      </c>
      <c r="C11" s="52" t="s">
        <v>183</v>
      </c>
      <c r="D11" s="97">
        <v>26</v>
      </c>
      <c r="E11" s="98">
        <v>435000</v>
      </c>
      <c r="F11" s="101">
        <f t="shared" si="0"/>
        <v>52</v>
      </c>
      <c r="G11" s="99">
        <f t="shared" si="0"/>
        <v>22620000</v>
      </c>
      <c r="H11" s="101"/>
      <c r="I11" s="96"/>
      <c r="J11" s="101">
        <f>$D11*'DIA-INCH'!$C11</f>
        <v>52</v>
      </c>
      <c r="K11" s="99">
        <f t="shared" si="1"/>
        <v>22620000</v>
      </c>
      <c r="L11" s="101">
        <f t="shared" si="2"/>
        <v>52</v>
      </c>
      <c r="M11" s="99">
        <f t="shared" si="2"/>
        <v>22620000</v>
      </c>
    </row>
    <row r="12" spans="1:13" ht="27.95" hidden="1" customHeight="1">
      <c r="A12" s="96" t="s">
        <v>181</v>
      </c>
      <c r="B12" s="52" t="s">
        <v>189</v>
      </c>
      <c r="C12" s="52" t="s">
        <v>180</v>
      </c>
      <c r="D12" s="97">
        <v>0</v>
      </c>
      <c r="E12" s="98">
        <v>435000</v>
      </c>
      <c r="F12" s="101">
        <f t="shared" si="0"/>
        <v>0</v>
      </c>
      <c r="G12" s="99">
        <f t="shared" si="0"/>
        <v>0</v>
      </c>
      <c r="H12" s="101"/>
      <c r="I12" s="96"/>
      <c r="J12" s="101">
        <f>$D12*'DIA-INCH'!$C12</f>
        <v>0</v>
      </c>
      <c r="K12" s="99">
        <f t="shared" si="1"/>
        <v>0</v>
      </c>
      <c r="L12" s="101">
        <f t="shared" si="2"/>
        <v>0</v>
      </c>
      <c r="M12" s="99">
        <f t="shared" si="2"/>
        <v>0</v>
      </c>
    </row>
    <row r="13" spans="1:13" ht="27.95" hidden="1" customHeight="1">
      <c r="A13" s="96" t="s">
        <v>178</v>
      </c>
      <c r="B13" s="52" t="s">
        <v>190</v>
      </c>
      <c r="C13" s="52" t="s">
        <v>180</v>
      </c>
      <c r="D13" s="97">
        <v>0</v>
      </c>
      <c r="E13" s="98">
        <v>435000</v>
      </c>
      <c r="F13" s="101">
        <f t="shared" si="0"/>
        <v>0</v>
      </c>
      <c r="G13" s="99">
        <f t="shared" si="0"/>
        <v>0</v>
      </c>
      <c r="H13" s="101"/>
      <c r="I13" s="96"/>
      <c r="J13" s="101">
        <f>$D13*'DIA-INCH'!$C13</f>
        <v>0</v>
      </c>
      <c r="K13" s="99">
        <f t="shared" si="1"/>
        <v>0</v>
      </c>
      <c r="L13" s="101">
        <f t="shared" si="2"/>
        <v>0</v>
      </c>
      <c r="M13" s="99">
        <f t="shared" si="2"/>
        <v>0</v>
      </c>
    </row>
    <row r="14" spans="1:13" ht="27.95" customHeight="1">
      <c r="A14" s="96" t="s">
        <v>191</v>
      </c>
      <c r="B14" s="52" t="s">
        <v>192</v>
      </c>
      <c r="C14" s="52" t="s">
        <v>180</v>
      </c>
      <c r="D14" s="97">
        <v>50</v>
      </c>
      <c r="E14" s="98">
        <v>435000</v>
      </c>
      <c r="F14" s="101">
        <f t="shared" si="0"/>
        <v>200</v>
      </c>
      <c r="G14" s="99">
        <f t="shared" si="0"/>
        <v>87000000</v>
      </c>
      <c r="H14" s="101"/>
      <c r="I14" s="96"/>
      <c r="J14" s="101">
        <f>$D14*'DIA-INCH'!$C14</f>
        <v>200</v>
      </c>
      <c r="K14" s="99">
        <f t="shared" si="1"/>
        <v>87000000</v>
      </c>
      <c r="L14" s="101">
        <f t="shared" si="2"/>
        <v>200</v>
      </c>
      <c r="M14" s="99">
        <f t="shared" si="2"/>
        <v>87000000</v>
      </c>
    </row>
    <row r="15" spans="1:13" ht="27.95" hidden="1" customHeight="1">
      <c r="A15" s="96" t="s">
        <v>178</v>
      </c>
      <c r="B15" s="52" t="s">
        <v>193</v>
      </c>
      <c r="C15" s="52" t="s">
        <v>183</v>
      </c>
      <c r="D15" s="97">
        <v>0</v>
      </c>
      <c r="E15" s="98">
        <v>435000</v>
      </c>
      <c r="F15" s="101">
        <f t="shared" si="0"/>
        <v>0</v>
      </c>
      <c r="G15" s="99">
        <f t="shared" si="0"/>
        <v>0</v>
      </c>
      <c r="H15" s="101"/>
      <c r="I15" s="96"/>
      <c r="J15" s="101">
        <f>$D15*'DIA-INCH'!$C15</f>
        <v>0</v>
      </c>
      <c r="K15" s="99">
        <f t="shared" si="1"/>
        <v>0</v>
      </c>
      <c r="L15" s="101">
        <f t="shared" si="2"/>
        <v>0</v>
      </c>
      <c r="M15" s="99">
        <f t="shared" si="2"/>
        <v>0</v>
      </c>
    </row>
    <row r="16" spans="1:13" ht="27.95" hidden="1" customHeight="1">
      <c r="A16" s="96" t="s">
        <v>181</v>
      </c>
      <c r="B16" s="52" t="s">
        <v>194</v>
      </c>
      <c r="C16" s="52" t="s">
        <v>180</v>
      </c>
      <c r="D16" s="97">
        <v>0</v>
      </c>
      <c r="E16" s="98">
        <v>435000</v>
      </c>
      <c r="F16" s="101">
        <f t="shared" si="0"/>
        <v>0</v>
      </c>
      <c r="G16" s="99">
        <f t="shared" si="0"/>
        <v>0</v>
      </c>
      <c r="H16" s="101"/>
      <c r="I16" s="96"/>
      <c r="J16" s="101">
        <f>$D16*'DIA-INCH'!$C16</f>
        <v>0</v>
      </c>
      <c r="K16" s="99">
        <f t="shared" si="1"/>
        <v>0</v>
      </c>
      <c r="L16" s="101">
        <f t="shared" si="2"/>
        <v>0</v>
      </c>
      <c r="M16" s="99">
        <f t="shared" si="2"/>
        <v>0</v>
      </c>
    </row>
    <row r="17" spans="1:13" ht="27.95" hidden="1" customHeight="1">
      <c r="A17" s="96" t="s">
        <v>181</v>
      </c>
      <c r="B17" s="52" t="s">
        <v>195</v>
      </c>
      <c r="C17" s="52" t="s">
        <v>180</v>
      </c>
      <c r="D17" s="97">
        <v>0</v>
      </c>
      <c r="E17" s="98">
        <v>435000</v>
      </c>
      <c r="F17" s="101">
        <f t="shared" si="0"/>
        <v>0</v>
      </c>
      <c r="G17" s="99">
        <f t="shared" si="0"/>
        <v>0</v>
      </c>
      <c r="H17" s="101"/>
      <c r="I17" s="96"/>
      <c r="J17" s="101">
        <f>$D17*'DIA-INCH'!$C17</f>
        <v>0</v>
      </c>
      <c r="K17" s="99">
        <f t="shared" si="1"/>
        <v>0</v>
      </c>
      <c r="L17" s="101">
        <f t="shared" si="2"/>
        <v>0</v>
      </c>
      <c r="M17" s="99">
        <f t="shared" si="2"/>
        <v>0</v>
      </c>
    </row>
    <row r="18" spans="1:13" ht="27.95" hidden="1" customHeight="1">
      <c r="A18" s="96" t="s">
        <v>181</v>
      </c>
      <c r="B18" s="52" t="s">
        <v>196</v>
      </c>
      <c r="C18" s="52" t="s">
        <v>180</v>
      </c>
      <c r="D18" s="97">
        <v>0</v>
      </c>
      <c r="E18" s="98">
        <v>435000</v>
      </c>
      <c r="F18" s="101">
        <f t="shared" si="0"/>
        <v>0</v>
      </c>
      <c r="G18" s="99">
        <f t="shared" si="0"/>
        <v>0</v>
      </c>
      <c r="H18" s="101"/>
      <c r="I18" s="96"/>
      <c r="J18" s="101">
        <f>$D18*'DIA-INCH'!$C18</f>
        <v>0</v>
      </c>
      <c r="K18" s="99">
        <f t="shared" si="1"/>
        <v>0</v>
      </c>
      <c r="L18" s="101">
        <f t="shared" si="2"/>
        <v>0</v>
      </c>
      <c r="M18" s="99">
        <f t="shared" si="2"/>
        <v>0</v>
      </c>
    </row>
    <row r="19" spans="1:13" ht="27.95" hidden="1" customHeight="1">
      <c r="A19" s="96" t="s">
        <v>181</v>
      </c>
      <c r="B19" s="52" t="s">
        <v>197</v>
      </c>
      <c r="C19" s="52" t="s">
        <v>180</v>
      </c>
      <c r="D19" s="97">
        <v>0</v>
      </c>
      <c r="E19" s="98">
        <v>435000</v>
      </c>
      <c r="F19" s="101">
        <f t="shared" si="0"/>
        <v>0</v>
      </c>
      <c r="G19" s="99">
        <f t="shared" si="0"/>
        <v>0</v>
      </c>
      <c r="H19" s="101"/>
      <c r="I19" s="96"/>
      <c r="J19" s="101">
        <f>$D19*'DIA-INCH'!$C19</f>
        <v>0</v>
      </c>
      <c r="K19" s="99">
        <f t="shared" si="1"/>
        <v>0</v>
      </c>
      <c r="L19" s="101">
        <f t="shared" si="2"/>
        <v>0</v>
      </c>
      <c r="M19" s="99">
        <f t="shared" si="2"/>
        <v>0</v>
      </c>
    </row>
    <row r="20" spans="1:13" ht="27.95" hidden="1" customHeight="1">
      <c r="A20" s="96" t="s">
        <v>178</v>
      </c>
      <c r="B20" s="52" t="s">
        <v>198</v>
      </c>
      <c r="C20" s="52" t="s">
        <v>183</v>
      </c>
      <c r="D20" s="97">
        <v>0</v>
      </c>
      <c r="E20" s="98">
        <v>435000</v>
      </c>
      <c r="F20" s="101">
        <f t="shared" si="0"/>
        <v>0</v>
      </c>
      <c r="G20" s="99">
        <f t="shared" si="0"/>
        <v>0</v>
      </c>
      <c r="H20" s="101"/>
      <c r="I20" s="96"/>
      <c r="J20" s="101">
        <f>$D20*'DIA-INCH'!$C20</f>
        <v>0</v>
      </c>
      <c r="K20" s="99">
        <f t="shared" si="1"/>
        <v>0</v>
      </c>
      <c r="L20" s="101">
        <f t="shared" si="2"/>
        <v>0</v>
      </c>
      <c r="M20" s="99">
        <f t="shared" si="2"/>
        <v>0</v>
      </c>
    </row>
    <row r="21" spans="1:13" ht="27.95" hidden="1" customHeight="1">
      <c r="A21" s="96" t="s">
        <v>178</v>
      </c>
      <c r="B21" s="52" t="s">
        <v>199</v>
      </c>
      <c r="C21" s="52" t="s">
        <v>200</v>
      </c>
      <c r="D21" s="97">
        <v>0</v>
      </c>
      <c r="E21" s="98">
        <v>435000</v>
      </c>
      <c r="F21" s="101">
        <f t="shared" si="0"/>
        <v>0</v>
      </c>
      <c r="G21" s="99">
        <f t="shared" si="0"/>
        <v>0</v>
      </c>
      <c r="H21" s="101"/>
      <c r="I21" s="96"/>
      <c r="J21" s="101">
        <f>$D21*'DIA-INCH'!$C21</f>
        <v>0</v>
      </c>
      <c r="K21" s="99">
        <f t="shared" si="1"/>
        <v>0</v>
      </c>
      <c r="L21" s="101">
        <f t="shared" si="2"/>
        <v>0</v>
      </c>
      <c r="M21" s="99">
        <f t="shared" si="2"/>
        <v>0</v>
      </c>
    </row>
    <row r="22" spans="1:13" ht="27.95" hidden="1" customHeight="1">
      <c r="A22" s="96" t="s">
        <v>181</v>
      </c>
      <c r="B22" s="52" t="s">
        <v>201</v>
      </c>
      <c r="C22" s="52" t="s">
        <v>202</v>
      </c>
      <c r="D22" s="97">
        <v>0</v>
      </c>
      <c r="E22" s="98">
        <v>435000</v>
      </c>
      <c r="F22" s="101">
        <f t="shared" si="0"/>
        <v>0</v>
      </c>
      <c r="G22" s="99">
        <f t="shared" si="0"/>
        <v>0</v>
      </c>
      <c r="H22" s="101"/>
      <c r="I22" s="96"/>
      <c r="J22" s="101">
        <f>$D22*'DIA-INCH'!$C22</f>
        <v>0</v>
      </c>
      <c r="K22" s="99">
        <f t="shared" si="1"/>
        <v>0</v>
      </c>
      <c r="L22" s="101">
        <f t="shared" si="2"/>
        <v>0</v>
      </c>
      <c r="M22" s="99">
        <f t="shared" si="2"/>
        <v>0</v>
      </c>
    </row>
    <row r="23" spans="1:13" ht="27.95" hidden="1" customHeight="1">
      <c r="A23" s="96" t="s">
        <v>203</v>
      </c>
      <c r="B23" s="52" t="s">
        <v>204</v>
      </c>
      <c r="C23" s="52" t="s">
        <v>180</v>
      </c>
      <c r="D23" s="97">
        <v>0</v>
      </c>
      <c r="E23" s="98">
        <v>435000</v>
      </c>
      <c r="F23" s="101">
        <f t="shared" si="0"/>
        <v>0</v>
      </c>
      <c r="G23" s="99">
        <f t="shared" si="0"/>
        <v>0</v>
      </c>
      <c r="H23" s="101"/>
      <c r="I23" s="96"/>
      <c r="J23" s="101">
        <f>$D23*'DIA-INCH'!$C23</f>
        <v>0</v>
      </c>
      <c r="K23" s="99">
        <f t="shared" si="1"/>
        <v>0</v>
      </c>
      <c r="L23" s="101">
        <f t="shared" si="2"/>
        <v>0</v>
      </c>
      <c r="M23" s="99">
        <f t="shared" si="2"/>
        <v>0</v>
      </c>
    </row>
    <row r="24" spans="1:13" ht="27.95" hidden="1" customHeight="1">
      <c r="A24" s="96" t="s">
        <v>178</v>
      </c>
      <c r="B24" s="52" t="s">
        <v>205</v>
      </c>
      <c r="C24" s="52" t="s">
        <v>183</v>
      </c>
      <c r="D24" s="97">
        <v>0</v>
      </c>
      <c r="E24" s="98">
        <v>435000</v>
      </c>
      <c r="F24" s="101">
        <f t="shared" si="0"/>
        <v>0</v>
      </c>
      <c r="G24" s="99">
        <f t="shared" si="0"/>
        <v>0</v>
      </c>
      <c r="H24" s="101"/>
      <c r="I24" s="96"/>
      <c r="J24" s="101">
        <f>$D24*'DIA-INCH'!$C24</f>
        <v>0</v>
      </c>
      <c r="K24" s="99">
        <f t="shared" si="1"/>
        <v>0</v>
      </c>
      <c r="L24" s="101">
        <f t="shared" si="2"/>
        <v>0</v>
      </c>
      <c r="M24" s="99">
        <f t="shared" si="2"/>
        <v>0</v>
      </c>
    </row>
    <row r="25" spans="1:13" ht="27.95" hidden="1" customHeight="1">
      <c r="A25" s="96" t="s">
        <v>191</v>
      </c>
      <c r="B25" s="52" t="s">
        <v>206</v>
      </c>
      <c r="C25" s="52" t="s">
        <v>207</v>
      </c>
      <c r="D25" s="97">
        <v>0</v>
      </c>
      <c r="E25" s="98">
        <v>435000</v>
      </c>
      <c r="F25" s="101">
        <f t="shared" si="0"/>
        <v>0</v>
      </c>
      <c r="G25" s="99">
        <f t="shared" si="0"/>
        <v>0</v>
      </c>
      <c r="H25" s="101"/>
      <c r="I25" s="96"/>
      <c r="J25" s="101">
        <f>$D25*'DIA-INCH'!$C25</f>
        <v>0</v>
      </c>
      <c r="K25" s="99">
        <f t="shared" si="1"/>
        <v>0</v>
      </c>
      <c r="L25" s="101">
        <f t="shared" si="2"/>
        <v>0</v>
      </c>
      <c r="M25" s="99">
        <f t="shared" si="2"/>
        <v>0</v>
      </c>
    </row>
    <row r="26" spans="1:13" ht="27.95" hidden="1" customHeight="1">
      <c r="A26" s="96" t="s">
        <v>181</v>
      </c>
      <c r="B26" s="52" t="s">
        <v>208</v>
      </c>
      <c r="C26" s="52" t="s">
        <v>180</v>
      </c>
      <c r="D26" s="97">
        <v>0</v>
      </c>
      <c r="E26" s="98">
        <v>435000</v>
      </c>
      <c r="F26" s="101">
        <f t="shared" si="0"/>
        <v>0</v>
      </c>
      <c r="G26" s="99">
        <f t="shared" si="0"/>
        <v>0</v>
      </c>
      <c r="H26" s="101"/>
      <c r="I26" s="96"/>
      <c r="J26" s="101">
        <f>$D26*'DIA-INCH'!$C26</f>
        <v>0</v>
      </c>
      <c r="K26" s="99">
        <f t="shared" si="1"/>
        <v>0</v>
      </c>
      <c r="L26" s="101">
        <f t="shared" si="2"/>
        <v>0</v>
      </c>
      <c r="M26" s="99">
        <f t="shared" si="2"/>
        <v>0</v>
      </c>
    </row>
    <row r="27" spans="1:13" ht="27.95" hidden="1" customHeight="1">
      <c r="A27" s="96" t="s">
        <v>191</v>
      </c>
      <c r="B27" s="52" t="s">
        <v>209</v>
      </c>
      <c r="C27" s="52" t="s">
        <v>180</v>
      </c>
      <c r="D27" s="97">
        <v>0</v>
      </c>
      <c r="E27" s="98">
        <v>435000</v>
      </c>
      <c r="F27" s="101">
        <f t="shared" si="0"/>
        <v>0</v>
      </c>
      <c r="G27" s="99">
        <f t="shared" si="0"/>
        <v>0</v>
      </c>
      <c r="H27" s="101"/>
      <c r="I27" s="96"/>
      <c r="J27" s="101">
        <f>$D27*'DIA-INCH'!$C27</f>
        <v>0</v>
      </c>
      <c r="K27" s="99">
        <f t="shared" si="1"/>
        <v>0</v>
      </c>
      <c r="L27" s="101">
        <f t="shared" si="2"/>
        <v>0</v>
      </c>
      <c r="M27" s="99">
        <f t="shared" si="2"/>
        <v>0</v>
      </c>
    </row>
    <row r="28" spans="1:13" ht="27.95" hidden="1" customHeight="1">
      <c r="A28" s="96" t="s">
        <v>210</v>
      </c>
      <c r="B28" s="52" t="s">
        <v>179</v>
      </c>
      <c r="C28" s="52" t="s">
        <v>211</v>
      </c>
      <c r="D28" s="97">
        <v>0</v>
      </c>
      <c r="E28" s="98">
        <f>$E$31*'DIA-INCH'!$C5</f>
        <v>17125</v>
      </c>
      <c r="F28" s="99">
        <f t="shared" si="0"/>
        <v>0</v>
      </c>
      <c r="G28" s="99">
        <f t="shared" si="0"/>
        <v>0</v>
      </c>
      <c r="H28" s="96"/>
      <c r="I28" s="96"/>
      <c r="J28" s="99">
        <f>D28</f>
        <v>0</v>
      </c>
      <c r="K28" s="99">
        <f>$J28*$E28</f>
        <v>0</v>
      </c>
      <c r="L28" s="99">
        <f t="shared" si="2"/>
        <v>0</v>
      </c>
      <c r="M28" s="99">
        <f t="shared" si="2"/>
        <v>0</v>
      </c>
    </row>
    <row r="29" spans="1:13" ht="27.95" hidden="1" customHeight="1">
      <c r="A29" s="96" t="s">
        <v>212</v>
      </c>
      <c r="B29" s="52" t="s">
        <v>182</v>
      </c>
      <c r="C29" s="52" t="s">
        <v>211</v>
      </c>
      <c r="D29" s="97">
        <v>0</v>
      </c>
      <c r="E29" s="98">
        <f>$E$31*'DIA-INCH'!$C6</f>
        <v>34250</v>
      </c>
      <c r="F29" s="99">
        <f t="shared" si="0"/>
        <v>0</v>
      </c>
      <c r="G29" s="99">
        <f t="shared" si="0"/>
        <v>0</v>
      </c>
      <c r="H29" s="96"/>
      <c r="I29" s="96"/>
      <c r="J29" s="99">
        <f t="shared" ref="J29:J50" si="3">D29</f>
        <v>0</v>
      </c>
      <c r="K29" s="99">
        <f t="shared" ref="K29:K50" si="4">$J29*$E29</f>
        <v>0</v>
      </c>
      <c r="L29" s="99">
        <f t="shared" si="2"/>
        <v>0</v>
      </c>
      <c r="M29" s="99">
        <f t="shared" si="2"/>
        <v>0</v>
      </c>
    </row>
    <row r="30" spans="1:13" ht="27.95" hidden="1" customHeight="1">
      <c r="A30" s="96" t="s">
        <v>213</v>
      </c>
      <c r="B30" s="52" t="s">
        <v>184</v>
      </c>
      <c r="C30" s="52" t="s">
        <v>211</v>
      </c>
      <c r="D30" s="97">
        <v>0</v>
      </c>
      <c r="E30" s="98">
        <f>$E$31*'DIA-INCH'!$C7</f>
        <v>51375</v>
      </c>
      <c r="F30" s="99">
        <f t="shared" si="0"/>
        <v>0</v>
      </c>
      <c r="G30" s="99">
        <f t="shared" si="0"/>
        <v>0</v>
      </c>
      <c r="H30" s="96"/>
      <c r="I30" s="96"/>
      <c r="J30" s="99">
        <f t="shared" si="3"/>
        <v>0</v>
      </c>
      <c r="K30" s="99">
        <f t="shared" si="4"/>
        <v>0</v>
      </c>
      <c r="L30" s="99">
        <f t="shared" si="2"/>
        <v>0</v>
      </c>
      <c r="M30" s="99">
        <f t="shared" si="2"/>
        <v>0</v>
      </c>
    </row>
    <row r="31" spans="1:13" ht="27.95" hidden="1" customHeight="1">
      <c r="A31" s="96" t="s">
        <v>214</v>
      </c>
      <c r="B31" s="52" t="s">
        <v>185</v>
      </c>
      <c r="C31" s="52" t="s">
        <v>215</v>
      </c>
      <c r="D31" s="97">
        <v>0</v>
      </c>
      <c r="E31" s="98">
        <v>68500</v>
      </c>
      <c r="F31" s="99">
        <f t="shared" si="0"/>
        <v>0</v>
      </c>
      <c r="G31" s="99">
        <f t="shared" si="0"/>
        <v>0</v>
      </c>
      <c r="H31" s="96"/>
      <c r="I31" s="96"/>
      <c r="J31" s="99">
        <f t="shared" si="3"/>
        <v>0</v>
      </c>
      <c r="K31" s="99">
        <f t="shared" si="4"/>
        <v>0</v>
      </c>
      <c r="L31" s="99">
        <f t="shared" si="2"/>
        <v>0</v>
      </c>
      <c r="M31" s="99">
        <f t="shared" si="2"/>
        <v>0</v>
      </c>
    </row>
    <row r="32" spans="1:13" ht="27.95" hidden="1" customHeight="1">
      <c r="A32" s="96" t="s">
        <v>214</v>
      </c>
      <c r="B32" s="52" t="s">
        <v>186</v>
      </c>
      <c r="C32" s="52" t="s">
        <v>211</v>
      </c>
      <c r="D32" s="97">
        <v>0</v>
      </c>
      <c r="E32" s="98">
        <f>$E$31*'DIA-INCH'!$C9</f>
        <v>85625</v>
      </c>
      <c r="F32" s="99">
        <f t="shared" si="0"/>
        <v>0</v>
      </c>
      <c r="G32" s="99">
        <f t="shared" si="0"/>
        <v>0</v>
      </c>
      <c r="H32" s="96"/>
      <c r="I32" s="96"/>
      <c r="J32" s="99">
        <f t="shared" si="3"/>
        <v>0</v>
      </c>
      <c r="K32" s="99">
        <f t="shared" si="4"/>
        <v>0</v>
      </c>
      <c r="L32" s="99">
        <f t="shared" si="2"/>
        <v>0</v>
      </c>
      <c r="M32" s="99">
        <f t="shared" si="2"/>
        <v>0</v>
      </c>
    </row>
    <row r="33" spans="1:13" ht="27.95" hidden="1" customHeight="1">
      <c r="A33" s="96" t="s">
        <v>214</v>
      </c>
      <c r="B33" s="52" t="s">
        <v>187</v>
      </c>
      <c r="C33" s="52" t="s">
        <v>122</v>
      </c>
      <c r="D33" s="97">
        <v>0</v>
      </c>
      <c r="E33" s="98">
        <f>$E$31*'DIA-INCH'!$C10</f>
        <v>102750</v>
      </c>
      <c r="F33" s="99">
        <f t="shared" si="0"/>
        <v>0</v>
      </c>
      <c r="G33" s="99">
        <f t="shared" si="0"/>
        <v>0</v>
      </c>
      <c r="H33" s="96"/>
      <c r="I33" s="96"/>
      <c r="J33" s="99">
        <f t="shared" si="3"/>
        <v>0</v>
      </c>
      <c r="K33" s="99">
        <f t="shared" si="4"/>
        <v>0</v>
      </c>
      <c r="L33" s="99">
        <f t="shared" si="2"/>
        <v>0</v>
      </c>
      <c r="M33" s="99">
        <f t="shared" si="2"/>
        <v>0</v>
      </c>
    </row>
    <row r="34" spans="1:13" ht="27.95" hidden="1" customHeight="1">
      <c r="A34" s="96" t="s">
        <v>214</v>
      </c>
      <c r="B34" s="52" t="s">
        <v>188</v>
      </c>
      <c r="C34" s="52" t="s">
        <v>211</v>
      </c>
      <c r="D34" s="97">
        <v>0</v>
      </c>
      <c r="E34" s="98">
        <f>$E$31*'DIA-INCH'!$C11</f>
        <v>137000</v>
      </c>
      <c r="F34" s="99">
        <f t="shared" si="0"/>
        <v>0</v>
      </c>
      <c r="G34" s="99">
        <f t="shared" si="0"/>
        <v>0</v>
      </c>
      <c r="H34" s="96"/>
      <c r="I34" s="96"/>
      <c r="J34" s="99">
        <f t="shared" si="3"/>
        <v>0</v>
      </c>
      <c r="K34" s="99">
        <f t="shared" si="4"/>
        <v>0</v>
      </c>
      <c r="L34" s="99">
        <f t="shared" si="2"/>
        <v>0</v>
      </c>
      <c r="M34" s="99">
        <f t="shared" si="2"/>
        <v>0</v>
      </c>
    </row>
    <row r="35" spans="1:13" ht="27.95" hidden="1" customHeight="1">
      <c r="A35" s="96" t="s">
        <v>210</v>
      </c>
      <c r="B35" s="52" t="s">
        <v>189</v>
      </c>
      <c r="C35" s="52" t="s">
        <v>122</v>
      </c>
      <c r="D35" s="97">
        <v>0</v>
      </c>
      <c r="E35" s="98">
        <f>$E$31*'DIA-INCH'!$C12</f>
        <v>171250</v>
      </c>
      <c r="F35" s="99">
        <f t="shared" si="0"/>
        <v>0</v>
      </c>
      <c r="G35" s="99">
        <f t="shared" si="0"/>
        <v>0</v>
      </c>
      <c r="H35" s="96"/>
      <c r="I35" s="96"/>
      <c r="J35" s="99">
        <f t="shared" si="3"/>
        <v>0</v>
      </c>
      <c r="K35" s="99">
        <f t="shared" si="4"/>
        <v>0</v>
      </c>
      <c r="L35" s="99">
        <f t="shared" si="2"/>
        <v>0</v>
      </c>
      <c r="M35" s="99">
        <f t="shared" si="2"/>
        <v>0</v>
      </c>
    </row>
    <row r="36" spans="1:13" ht="27.95" hidden="1" customHeight="1">
      <c r="A36" s="96" t="s">
        <v>210</v>
      </c>
      <c r="B36" s="52" t="s">
        <v>190</v>
      </c>
      <c r="C36" s="52" t="s">
        <v>211</v>
      </c>
      <c r="D36" s="97">
        <v>0</v>
      </c>
      <c r="E36" s="98">
        <f>$E$31*'DIA-INCH'!$C13</f>
        <v>205500</v>
      </c>
      <c r="F36" s="99">
        <f t="shared" si="0"/>
        <v>0</v>
      </c>
      <c r="G36" s="99">
        <f t="shared" si="0"/>
        <v>0</v>
      </c>
      <c r="H36" s="96"/>
      <c r="I36" s="96"/>
      <c r="J36" s="99">
        <f t="shared" si="3"/>
        <v>0</v>
      </c>
      <c r="K36" s="99">
        <f t="shared" si="4"/>
        <v>0</v>
      </c>
      <c r="L36" s="99">
        <f t="shared" si="2"/>
        <v>0</v>
      </c>
      <c r="M36" s="99">
        <f t="shared" si="2"/>
        <v>0</v>
      </c>
    </row>
    <row r="37" spans="1:13" ht="27.95" hidden="1" customHeight="1">
      <c r="A37" s="96" t="s">
        <v>212</v>
      </c>
      <c r="B37" s="52" t="s">
        <v>192</v>
      </c>
      <c r="C37" s="52" t="s">
        <v>211</v>
      </c>
      <c r="D37" s="97">
        <v>0</v>
      </c>
      <c r="E37" s="98">
        <f>$E$31*'DIA-INCH'!$C14</f>
        <v>274000</v>
      </c>
      <c r="F37" s="99">
        <f t="shared" si="0"/>
        <v>0</v>
      </c>
      <c r="G37" s="99">
        <f t="shared" si="0"/>
        <v>0</v>
      </c>
      <c r="H37" s="96"/>
      <c r="I37" s="96"/>
      <c r="J37" s="99">
        <f t="shared" si="3"/>
        <v>0</v>
      </c>
      <c r="K37" s="99">
        <f t="shared" si="4"/>
        <v>0</v>
      </c>
      <c r="L37" s="99">
        <f t="shared" si="2"/>
        <v>0</v>
      </c>
      <c r="M37" s="99">
        <f t="shared" si="2"/>
        <v>0</v>
      </c>
    </row>
    <row r="38" spans="1:13" ht="27.95" hidden="1" customHeight="1">
      <c r="A38" s="96" t="s">
        <v>210</v>
      </c>
      <c r="B38" s="52" t="s">
        <v>193</v>
      </c>
      <c r="C38" s="52" t="s">
        <v>216</v>
      </c>
      <c r="D38" s="97">
        <v>0</v>
      </c>
      <c r="E38" s="98">
        <f>$E$31*'DIA-INCH'!$C15</f>
        <v>274000</v>
      </c>
      <c r="F38" s="99">
        <f t="shared" si="0"/>
        <v>0</v>
      </c>
      <c r="G38" s="99">
        <f t="shared" si="0"/>
        <v>0</v>
      </c>
      <c r="H38" s="96"/>
      <c r="I38" s="96"/>
      <c r="J38" s="99">
        <f t="shared" si="3"/>
        <v>0</v>
      </c>
      <c r="K38" s="99">
        <f t="shared" si="4"/>
        <v>0</v>
      </c>
      <c r="L38" s="99">
        <f t="shared" si="2"/>
        <v>0</v>
      </c>
      <c r="M38" s="99">
        <f t="shared" si="2"/>
        <v>0</v>
      </c>
    </row>
    <row r="39" spans="1:13" ht="27.95" hidden="1" customHeight="1">
      <c r="A39" s="96" t="s">
        <v>210</v>
      </c>
      <c r="B39" s="52" t="s">
        <v>194</v>
      </c>
      <c r="C39" s="52" t="s">
        <v>217</v>
      </c>
      <c r="D39" s="97">
        <v>0</v>
      </c>
      <c r="E39" s="98">
        <f>$E$31*'DIA-INCH'!$C16</f>
        <v>342500</v>
      </c>
      <c r="F39" s="99">
        <f t="shared" si="0"/>
        <v>0</v>
      </c>
      <c r="G39" s="99">
        <f t="shared" si="0"/>
        <v>0</v>
      </c>
      <c r="H39" s="96"/>
      <c r="I39" s="96"/>
      <c r="J39" s="99">
        <f t="shared" si="3"/>
        <v>0</v>
      </c>
      <c r="K39" s="99">
        <f t="shared" si="4"/>
        <v>0</v>
      </c>
      <c r="L39" s="99">
        <f t="shared" si="2"/>
        <v>0</v>
      </c>
      <c r="M39" s="99">
        <f t="shared" si="2"/>
        <v>0</v>
      </c>
    </row>
    <row r="40" spans="1:13" ht="27.95" hidden="1" customHeight="1">
      <c r="A40" s="96" t="s">
        <v>210</v>
      </c>
      <c r="B40" s="52" t="s">
        <v>195</v>
      </c>
      <c r="C40" s="52" t="s">
        <v>211</v>
      </c>
      <c r="D40" s="97">
        <v>0</v>
      </c>
      <c r="E40" s="98">
        <f>$E$31*'DIA-INCH'!$C17</f>
        <v>411000</v>
      </c>
      <c r="F40" s="99">
        <f t="shared" si="0"/>
        <v>0</v>
      </c>
      <c r="G40" s="99">
        <f t="shared" si="0"/>
        <v>0</v>
      </c>
      <c r="H40" s="96"/>
      <c r="I40" s="96"/>
      <c r="J40" s="99">
        <f t="shared" si="3"/>
        <v>0</v>
      </c>
      <c r="K40" s="99">
        <f t="shared" si="4"/>
        <v>0</v>
      </c>
      <c r="L40" s="99">
        <f t="shared" si="2"/>
        <v>0</v>
      </c>
      <c r="M40" s="99">
        <f t="shared" si="2"/>
        <v>0</v>
      </c>
    </row>
    <row r="41" spans="1:13" ht="27.95" hidden="1" customHeight="1">
      <c r="A41" s="96" t="s">
        <v>210</v>
      </c>
      <c r="B41" s="52" t="s">
        <v>196</v>
      </c>
      <c r="C41" s="52" t="s">
        <v>122</v>
      </c>
      <c r="D41" s="97">
        <v>0</v>
      </c>
      <c r="E41" s="98">
        <f>$E$31*'DIA-INCH'!$C18</f>
        <v>479500</v>
      </c>
      <c r="F41" s="99">
        <f t="shared" si="0"/>
        <v>0</v>
      </c>
      <c r="G41" s="99">
        <f t="shared" si="0"/>
        <v>0</v>
      </c>
      <c r="H41" s="96"/>
      <c r="I41" s="96"/>
      <c r="J41" s="99">
        <f t="shared" si="3"/>
        <v>0</v>
      </c>
      <c r="K41" s="99">
        <f t="shared" si="4"/>
        <v>0</v>
      </c>
      <c r="L41" s="99">
        <f t="shared" si="2"/>
        <v>0</v>
      </c>
      <c r="M41" s="99">
        <f t="shared" si="2"/>
        <v>0</v>
      </c>
    </row>
    <row r="42" spans="1:13" ht="27.95" hidden="1" customHeight="1">
      <c r="A42" s="96" t="s">
        <v>210</v>
      </c>
      <c r="B42" s="52" t="s">
        <v>197</v>
      </c>
      <c r="C42" s="52" t="s">
        <v>211</v>
      </c>
      <c r="D42" s="97">
        <v>0</v>
      </c>
      <c r="E42" s="98">
        <f>$E$31*'DIA-INCH'!$C19</f>
        <v>548000</v>
      </c>
      <c r="F42" s="99">
        <f t="shared" si="0"/>
        <v>0</v>
      </c>
      <c r="G42" s="99">
        <f t="shared" si="0"/>
        <v>0</v>
      </c>
      <c r="H42" s="96"/>
      <c r="I42" s="96"/>
      <c r="J42" s="99">
        <f t="shared" si="3"/>
        <v>0</v>
      </c>
      <c r="K42" s="99">
        <f t="shared" si="4"/>
        <v>0</v>
      </c>
      <c r="L42" s="99">
        <f t="shared" si="2"/>
        <v>0</v>
      </c>
      <c r="M42" s="99">
        <f t="shared" si="2"/>
        <v>0</v>
      </c>
    </row>
    <row r="43" spans="1:13" ht="27.95" hidden="1" customHeight="1">
      <c r="A43" s="96" t="s">
        <v>210</v>
      </c>
      <c r="B43" s="52" t="s">
        <v>198</v>
      </c>
      <c r="C43" s="52" t="s">
        <v>211</v>
      </c>
      <c r="D43" s="97">
        <v>0</v>
      </c>
      <c r="E43" s="98">
        <f>$E$31*'DIA-INCH'!$C20</f>
        <v>616500</v>
      </c>
      <c r="F43" s="99">
        <f t="shared" si="0"/>
        <v>0</v>
      </c>
      <c r="G43" s="99">
        <f t="shared" si="0"/>
        <v>0</v>
      </c>
      <c r="H43" s="96"/>
      <c r="I43" s="96"/>
      <c r="J43" s="99">
        <f t="shared" si="3"/>
        <v>0</v>
      </c>
      <c r="K43" s="99">
        <f t="shared" si="4"/>
        <v>0</v>
      </c>
      <c r="L43" s="99">
        <f t="shared" si="2"/>
        <v>0</v>
      </c>
      <c r="M43" s="99">
        <f t="shared" si="2"/>
        <v>0</v>
      </c>
    </row>
    <row r="44" spans="1:13" ht="27.95" hidden="1" customHeight="1">
      <c r="A44" s="96" t="s">
        <v>210</v>
      </c>
      <c r="B44" s="52" t="s">
        <v>199</v>
      </c>
      <c r="C44" s="52" t="s">
        <v>122</v>
      </c>
      <c r="D44" s="97">
        <v>0</v>
      </c>
      <c r="E44" s="98">
        <f>$E$31*'DIA-INCH'!$C21</f>
        <v>685000</v>
      </c>
      <c r="F44" s="99">
        <f t="shared" si="0"/>
        <v>0</v>
      </c>
      <c r="G44" s="99">
        <f t="shared" si="0"/>
        <v>0</v>
      </c>
      <c r="H44" s="96"/>
      <c r="I44" s="96"/>
      <c r="J44" s="99">
        <f t="shared" si="3"/>
        <v>0</v>
      </c>
      <c r="K44" s="99">
        <f t="shared" si="4"/>
        <v>0</v>
      </c>
      <c r="L44" s="99">
        <f t="shared" si="2"/>
        <v>0</v>
      </c>
      <c r="M44" s="99">
        <f t="shared" si="2"/>
        <v>0</v>
      </c>
    </row>
    <row r="45" spans="1:13" ht="27.95" hidden="1" customHeight="1">
      <c r="A45" s="96" t="s">
        <v>212</v>
      </c>
      <c r="B45" s="52" t="s">
        <v>201</v>
      </c>
      <c r="C45" s="52" t="s">
        <v>122</v>
      </c>
      <c r="D45" s="97">
        <v>0</v>
      </c>
      <c r="E45" s="98">
        <f>$E$31*'DIA-INCH'!$C22</f>
        <v>822000</v>
      </c>
      <c r="F45" s="99">
        <f t="shared" si="0"/>
        <v>0</v>
      </c>
      <c r="G45" s="99">
        <f t="shared" si="0"/>
        <v>0</v>
      </c>
      <c r="H45" s="96"/>
      <c r="I45" s="96"/>
      <c r="J45" s="99">
        <f t="shared" si="3"/>
        <v>0</v>
      </c>
      <c r="K45" s="99">
        <f t="shared" si="4"/>
        <v>0</v>
      </c>
      <c r="L45" s="99">
        <f t="shared" si="2"/>
        <v>0</v>
      </c>
      <c r="M45" s="99">
        <f t="shared" si="2"/>
        <v>0</v>
      </c>
    </row>
    <row r="46" spans="1:13" ht="27.95" hidden="1" customHeight="1">
      <c r="A46" s="96" t="s">
        <v>210</v>
      </c>
      <c r="B46" s="52" t="s">
        <v>204</v>
      </c>
      <c r="C46" s="52" t="s">
        <v>211</v>
      </c>
      <c r="D46" s="97">
        <v>0</v>
      </c>
      <c r="E46" s="98">
        <f>$E$31*'DIA-INCH'!$C23</f>
        <v>959000</v>
      </c>
      <c r="F46" s="99">
        <f t="shared" si="0"/>
        <v>0</v>
      </c>
      <c r="G46" s="99">
        <f t="shared" si="0"/>
        <v>0</v>
      </c>
      <c r="H46" s="96"/>
      <c r="I46" s="96"/>
      <c r="J46" s="99">
        <f t="shared" si="3"/>
        <v>0</v>
      </c>
      <c r="K46" s="99">
        <f t="shared" si="4"/>
        <v>0</v>
      </c>
      <c r="L46" s="99">
        <f t="shared" si="2"/>
        <v>0</v>
      </c>
      <c r="M46" s="99">
        <f t="shared" si="2"/>
        <v>0</v>
      </c>
    </row>
    <row r="47" spans="1:13" ht="27.95" hidden="1" customHeight="1">
      <c r="A47" s="96" t="s">
        <v>210</v>
      </c>
      <c r="B47" s="52" t="s">
        <v>205</v>
      </c>
      <c r="C47" s="52" t="s">
        <v>216</v>
      </c>
      <c r="D47" s="97">
        <v>0</v>
      </c>
      <c r="E47" s="98">
        <f>$E$31*'DIA-INCH'!$C24</f>
        <v>1096000</v>
      </c>
      <c r="F47" s="99">
        <f t="shared" si="0"/>
        <v>0</v>
      </c>
      <c r="G47" s="99">
        <f t="shared" si="0"/>
        <v>0</v>
      </c>
      <c r="H47" s="96"/>
      <c r="I47" s="96"/>
      <c r="J47" s="99">
        <f t="shared" si="3"/>
        <v>0</v>
      </c>
      <c r="K47" s="99">
        <f t="shared" si="4"/>
        <v>0</v>
      </c>
      <c r="L47" s="99">
        <f t="shared" si="2"/>
        <v>0</v>
      </c>
      <c r="M47" s="99">
        <f t="shared" si="2"/>
        <v>0</v>
      </c>
    </row>
    <row r="48" spans="1:13" ht="27.95" hidden="1" customHeight="1">
      <c r="A48" s="96" t="s">
        <v>213</v>
      </c>
      <c r="B48" s="52" t="s">
        <v>206</v>
      </c>
      <c r="C48" s="52" t="s">
        <v>211</v>
      </c>
      <c r="D48" s="97">
        <v>0</v>
      </c>
      <c r="E48" s="98">
        <f>$E$31*'DIA-INCH'!$C25</f>
        <v>1233000</v>
      </c>
      <c r="F48" s="99">
        <f t="shared" si="0"/>
        <v>0</v>
      </c>
      <c r="G48" s="99">
        <f t="shared" si="0"/>
        <v>0</v>
      </c>
      <c r="H48" s="96"/>
      <c r="I48" s="96"/>
      <c r="J48" s="99">
        <f t="shared" si="3"/>
        <v>0</v>
      </c>
      <c r="K48" s="99">
        <f t="shared" si="4"/>
        <v>0</v>
      </c>
      <c r="L48" s="99">
        <f t="shared" si="2"/>
        <v>0</v>
      </c>
      <c r="M48" s="99">
        <f t="shared" si="2"/>
        <v>0</v>
      </c>
    </row>
    <row r="49" spans="1:13" ht="27.95" hidden="1" customHeight="1">
      <c r="A49" s="96" t="s">
        <v>210</v>
      </c>
      <c r="B49" s="52" t="s">
        <v>208</v>
      </c>
      <c r="C49" s="52" t="s">
        <v>211</v>
      </c>
      <c r="D49" s="97">
        <v>0</v>
      </c>
      <c r="E49" s="98">
        <f>$E$31*'DIA-INCH'!$C26</f>
        <v>1370000</v>
      </c>
      <c r="F49" s="99">
        <f t="shared" si="0"/>
        <v>0</v>
      </c>
      <c r="G49" s="99">
        <f t="shared" si="0"/>
        <v>0</v>
      </c>
      <c r="H49" s="96"/>
      <c r="I49" s="96"/>
      <c r="J49" s="99">
        <f t="shared" si="3"/>
        <v>0</v>
      </c>
      <c r="K49" s="99">
        <f t="shared" si="4"/>
        <v>0</v>
      </c>
      <c r="L49" s="99">
        <f t="shared" si="2"/>
        <v>0</v>
      </c>
      <c r="M49" s="99">
        <f t="shared" si="2"/>
        <v>0</v>
      </c>
    </row>
    <row r="50" spans="1:13" ht="27.95" hidden="1" customHeight="1">
      <c r="A50" s="96" t="s">
        <v>213</v>
      </c>
      <c r="B50" s="52" t="s">
        <v>209</v>
      </c>
      <c r="C50" s="52" t="s">
        <v>216</v>
      </c>
      <c r="D50" s="97">
        <v>0</v>
      </c>
      <c r="E50" s="98">
        <f>$E$31*'DIA-INCH'!$C27</f>
        <v>1507000</v>
      </c>
      <c r="F50" s="99">
        <f t="shared" si="0"/>
        <v>0</v>
      </c>
      <c r="G50" s="99">
        <f t="shared" si="0"/>
        <v>0</v>
      </c>
      <c r="H50" s="96"/>
      <c r="I50" s="96"/>
      <c r="J50" s="99">
        <f t="shared" si="3"/>
        <v>0</v>
      </c>
      <c r="K50" s="99">
        <f t="shared" si="4"/>
        <v>0</v>
      </c>
      <c r="L50" s="99">
        <f t="shared" si="2"/>
        <v>0</v>
      </c>
      <c r="M50" s="99">
        <f t="shared" si="2"/>
        <v>0</v>
      </c>
    </row>
    <row r="51" spans="1:13" ht="27.95" customHeight="1">
      <c r="A51" s="255" t="s">
        <v>218</v>
      </c>
      <c r="B51" s="256"/>
      <c r="C51" s="256"/>
      <c r="D51" s="256"/>
      <c r="E51" s="257"/>
      <c r="F51" s="162">
        <f>SUM(F5:F50)</f>
        <v>252</v>
      </c>
      <c r="G51" s="100">
        <f t="shared" ref="G51:M51" si="5">SUM(G5:G50)</f>
        <v>109620000</v>
      </c>
      <c r="H51" s="162">
        <f t="shared" si="5"/>
        <v>0</v>
      </c>
      <c r="I51" s="100">
        <f t="shared" si="5"/>
        <v>0</v>
      </c>
      <c r="J51" s="162">
        <f t="shared" si="5"/>
        <v>252</v>
      </c>
      <c r="K51" s="100">
        <f t="shared" si="5"/>
        <v>109620000</v>
      </c>
      <c r="L51" s="162">
        <f t="shared" si="5"/>
        <v>252</v>
      </c>
      <c r="M51" s="100">
        <f t="shared" si="5"/>
        <v>109620000</v>
      </c>
    </row>
    <row r="69" spans="7:7">
      <c r="G69" t="s">
        <v>534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39"/>
  <sheetViews>
    <sheetView view="pageBreakPreview" topLeftCell="F19" zoomScale="70" zoomScaleNormal="70" zoomScaleSheetLayoutView="70" workbookViewId="0">
      <selection activeCell="AC63" sqref="AC63"/>
    </sheetView>
  </sheetViews>
  <sheetFormatPr defaultRowHeight="16.5"/>
  <cols>
    <col min="1" max="1" width="6.375" style="144" bestFit="1" customWidth="1"/>
    <col min="2" max="2" width="9.25" style="144" customWidth="1"/>
    <col min="3" max="3" width="18.125" style="144" customWidth="1"/>
    <col min="4" max="4" width="11.25" style="144" customWidth="1"/>
    <col min="5" max="5" width="18.125" style="144" customWidth="1"/>
    <col min="6" max="6" width="11.125" style="144" customWidth="1"/>
    <col min="7" max="7" width="9.375" style="148" customWidth="1"/>
    <col min="8" max="8" width="21.625" style="148" customWidth="1"/>
    <col min="9" max="39" width="7.625" style="144" customWidth="1"/>
    <col min="40" max="40" width="11.875" style="144" customWidth="1"/>
    <col min="41" max="41" width="15.875" style="145" bestFit="1" customWidth="1"/>
    <col min="42" max="42" width="18.25" style="147" bestFit="1" customWidth="1"/>
  </cols>
  <sheetData>
    <row r="1" spans="1:42" ht="32.1" customHeight="1">
      <c r="A1" s="267" t="s">
        <v>476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9"/>
      <c r="AH1" s="276" t="s">
        <v>219</v>
      </c>
      <c r="AI1" s="277"/>
      <c r="AJ1" s="277"/>
      <c r="AK1" s="277"/>
      <c r="AL1" s="278"/>
      <c r="AM1" s="279" t="str">
        <f>'용역청구서 표지'!$B$7</f>
        <v>P4 Ph4 GAS 1공구 마감공사</v>
      </c>
      <c r="AN1" s="280"/>
      <c r="AO1" s="280"/>
      <c r="AP1" s="281"/>
    </row>
    <row r="2" spans="1:42" ht="32.1" customHeight="1">
      <c r="A2" s="270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2"/>
      <c r="AH2" s="276" t="s">
        <v>220</v>
      </c>
      <c r="AI2" s="277"/>
      <c r="AJ2" s="277"/>
      <c r="AK2" s="277"/>
      <c r="AL2" s="278"/>
      <c r="AM2" s="279" t="s">
        <v>326</v>
      </c>
      <c r="AN2" s="280"/>
      <c r="AO2" s="280"/>
      <c r="AP2" s="281"/>
    </row>
    <row r="3" spans="1:42" ht="32.1" customHeight="1">
      <c r="A3" s="273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5"/>
      <c r="AH3" s="276" t="s">
        <v>221</v>
      </c>
      <c r="AI3" s="277"/>
      <c r="AJ3" s="277"/>
      <c r="AK3" s="277"/>
      <c r="AL3" s="278"/>
      <c r="AM3" s="279" t="str">
        <f>'용역청구서 표지'!$C$8</f>
        <v>S25-004</v>
      </c>
      <c r="AN3" s="280"/>
      <c r="AO3" s="280"/>
      <c r="AP3" s="281"/>
    </row>
    <row r="4" spans="1:42" ht="24.95" customHeight="1" thickBot="1">
      <c r="A4" s="102"/>
      <c r="B4" s="102"/>
      <c r="C4" s="102"/>
      <c r="D4" s="102"/>
      <c r="E4" s="102"/>
      <c r="F4" s="102"/>
      <c r="G4" s="103"/>
      <c r="H4" s="103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4"/>
      <c r="AI4" s="104"/>
      <c r="AJ4" s="104"/>
      <c r="AK4" s="104"/>
      <c r="AL4" s="104"/>
      <c r="AM4" s="104"/>
      <c r="AN4" s="104"/>
      <c r="AO4" s="105"/>
      <c r="AP4" s="106"/>
    </row>
    <row r="5" spans="1:42" ht="24.95" customHeight="1" thickBot="1">
      <c r="A5" s="107" t="s">
        <v>222</v>
      </c>
      <c r="B5" s="108" t="s">
        <v>223</v>
      </c>
      <c r="C5" s="108" t="s">
        <v>224</v>
      </c>
      <c r="D5" s="108" t="s">
        <v>225</v>
      </c>
      <c r="E5" s="108" t="s">
        <v>226</v>
      </c>
      <c r="F5" s="108" t="s">
        <v>227</v>
      </c>
      <c r="G5" s="109" t="s">
        <v>228</v>
      </c>
      <c r="H5" s="110" t="s">
        <v>229</v>
      </c>
      <c r="I5" s="189">
        <v>1</v>
      </c>
      <c r="J5" s="113">
        <v>2</v>
      </c>
      <c r="K5" s="111">
        <v>3</v>
      </c>
      <c r="L5" s="111">
        <v>4</v>
      </c>
      <c r="M5" s="111">
        <v>5</v>
      </c>
      <c r="N5" s="111">
        <v>6</v>
      </c>
      <c r="O5" s="111">
        <v>7</v>
      </c>
      <c r="P5" s="112">
        <v>8</v>
      </c>
      <c r="Q5" s="113">
        <v>9</v>
      </c>
      <c r="R5" s="111">
        <v>10</v>
      </c>
      <c r="S5" s="111">
        <v>11</v>
      </c>
      <c r="T5" s="111">
        <v>12</v>
      </c>
      <c r="U5" s="111">
        <v>13</v>
      </c>
      <c r="V5" s="111">
        <v>14</v>
      </c>
      <c r="W5" s="112">
        <v>15</v>
      </c>
      <c r="X5" s="113">
        <v>16</v>
      </c>
      <c r="Y5" s="111">
        <v>17</v>
      </c>
      <c r="Z5" s="111">
        <v>18</v>
      </c>
      <c r="AA5" s="111">
        <v>19</v>
      </c>
      <c r="AB5" s="111">
        <v>20</v>
      </c>
      <c r="AC5" s="111">
        <v>21</v>
      </c>
      <c r="AD5" s="112">
        <v>22</v>
      </c>
      <c r="AE5" s="113">
        <v>23</v>
      </c>
      <c r="AF5" s="111">
        <v>24</v>
      </c>
      <c r="AG5" s="111">
        <v>25</v>
      </c>
      <c r="AH5" s="111">
        <v>26</v>
      </c>
      <c r="AI5" s="111">
        <v>27</v>
      </c>
      <c r="AJ5" s="111">
        <v>28</v>
      </c>
      <c r="AK5" s="112">
        <v>29</v>
      </c>
      <c r="AL5" s="113">
        <v>30</v>
      </c>
      <c r="AM5" s="114"/>
      <c r="AN5" s="115" t="s">
        <v>230</v>
      </c>
      <c r="AO5" s="108" t="s">
        <v>231</v>
      </c>
      <c r="AP5" s="116" t="s">
        <v>232</v>
      </c>
    </row>
    <row r="6" spans="1:42" ht="24.95" customHeight="1">
      <c r="A6" s="178">
        <v>1</v>
      </c>
      <c r="B6" s="176" t="s">
        <v>477</v>
      </c>
      <c r="C6" s="127" t="s">
        <v>478</v>
      </c>
      <c r="D6" s="127" t="s">
        <v>243</v>
      </c>
      <c r="E6" s="127" t="s">
        <v>479</v>
      </c>
      <c r="F6" s="128" t="s">
        <v>480</v>
      </c>
      <c r="G6" s="171" t="s">
        <v>477</v>
      </c>
      <c r="H6" s="197" t="s">
        <v>481</v>
      </c>
      <c r="I6" s="199"/>
      <c r="J6" s="200"/>
      <c r="K6" s="200">
        <v>0.875</v>
      </c>
      <c r="L6" s="200"/>
      <c r="M6" s="200">
        <v>1</v>
      </c>
      <c r="N6" s="200">
        <v>1</v>
      </c>
      <c r="O6" s="200">
        <v>1</v>
      </c>
      <c r="P6" s="200"/>
      <c r="Q6" s="200"/>
      <c r="R6" s="200">
        <v>1</v>
      </c>
      <c r="S6" s="200">
        <v>1</v>
      </c>
      <c r="T6" s="200">
        <v>1</v>
      </c>
      <c r="U6" s="200">
        <v>1</v>
      </c>
      <c r="V6" s="200">
        <v>1</v>
      </c>
      <c r="W6" s="200"/>
      <c r="X6" s="200"/>
      <c r="Y6" s="200">
        <v>1</v>
      </c>
      <c r="Z6" s="200">
        <v>1</v>
      </c>
      <c r="AA6" s="200">
        <v>1</v>
      </c>
      <c r="AB6" s="192">
        <v>1</v>
      </c>
      <c r="AC6" s="192">
        <v>1</v>
      </c>
      <c r="AD6" s="192"/>
      <c r="AE6" s="192"/>
      <c r="AF6" s="192">
        <v>1</v>
      </c>
      <c r="AG6" s="192">
        <v>1</v>
      </c>
      <c r="AH6" s="192">
        <v>1</v>
      </c>
      <c r="AI6" s="192">
        <v>1</v>
      </c>
      <c r="AJ6" s="192">
        <v>1</v>
      </c>
      <c r="AK6" s="192"/>
      <c r="AL6" s="192"/>
      <c r="AM6" s="193"/>
      <c r="AN6" s="180">
        <f t="shared" ref="AN6:AN45" si="0">SUM(I6:AM6)</f>
        <v>18.875</v>
      </c>
      <c r="AO6" s="128">
        <v>230000</v>
      </c>
      <c r="AP6" s="181">
        <f>AN6*AO6</f>
        <v>4341250</v>
      </c>
    </row>
    <row r="7" spans="1:42" ht="24.95" customHeight="1">
      <c r="A7" s="170">
        <v>2</v>
      </c>
      <c r="B7" s="176" t="s">
        <v>327</v>
      </c>
      <c r="C7" s="127" t="s">
        <v>328</v>
      </c>
      <c r="D7" s="127" t="s">
        <v>235</v>
      </c>
      <c r="E7" s="127" t="s">
        <v>329</v>
      </c>
      <c r="F7" s="128" t="s">
        <v>247</v>
      </c>
      <c r="G7" s="171" t="s">
        <v>327</v>
      </c>
      <c r="H7" s="197" t="s">
        <v>330</v>
      </c>
      <c r="I7" s="201"/>
      <c r="J7" s="190"/>
      <c r="K7" s="190">
        <v>1</v>
      </c>
      <c r="L7" s="190">
        <v>1</v>
      </c>
      <c r="M7" s="190">
        <v>1</v>
      </c>
      <c r="N7" s="190">
        <v>1</v>
      </c>
      <c r="O7" s="190">
        <v>1</v>
      </c>
      <c r="P7" s="190"/>
      <c r="Q7" s="190"/>
      <c r="R7" s="190">
        <v>1</v>
      </c>
      <c r="S7" s="190">
        <v>1</v>
      </c>
      <c r="T7" s="190">
        <v>1</v>
      </c>
      <c r="U7" s="190">
        <v>1</v>
      </c>
      <c r="V7" s="190">
        <v>1</v>
      </c>
      <c r="W7" s="190"/>
      <c r="X7" s="190"/>
      <c r="Y7" s="190">
        <v>1</v>
      </c>
      <c r="Z7" s="190">
        <v>1</v>
      </c>
      <c r="AA7" s="190">
        <v>1</v>
      </c>
      <c r="AB7" s="191">
        <v>1</v>
      </c>
      <c r="AC7" s="191">
        <v>1</v>
      </c>
      <c r="AD7" s="191"/>
      <c r="AE7" s="191"/>
      <c r="AF7" s="191">
        <v>1</v>
      </c>
      <c r="AG7" s="191">
        <v>1</v>
      </c>
      <c r="AH7" s="191">
        <v>1</v>
      </c>
      <c r="AI7" s="191">
        <v>1</v>
      </c>
      <c r="AJ7" s="191">
        <v>1</v>
      </c>
      <c r="AK7" s="191"/>
      <c r="AL7" s="191"/>
      <c r="AM7" s="194"/>
      <c r="AN7" s="124">
        <f t="shared" si="0"/>
        <v>20</v>
      </c>
      <c r="AO7" s="128">
        <v>150000</v>
      </c>
      <c r="AP7" s="125">
        <f t="shared" ref="AP7:AP14" si="1">AN7*AO7</f>
        <v>3000000</v>
      </c>
    </row>
    <row r="8" spans="1:42" ht="24.95" customHeight="1">
      <c r="A8" s="170">
        <v>3</v>
      </c>
      <c r="B8" s="176" t="s">
        <v>482</v>
      </c>
      <c r="C8" s="127" t="s">
        <v>483</v>
      </c>
      <c r="D8" s="127" t="s">
        <v>235</v>
      </c>
      <c r="E8" s="127" t="s">
        <v>484</v>
      </c>
      <c r="F8" s="128" t="s">
        <v>334</v>
      </c>
      <c r="G8" s="171" t="s">
        <v>482</v>
      </c>
      <c r="H8" s="197" t="s">
        <v>485</v>
      </c>
      <c r="I8" s="201"/>
      <c r="J8" s="190"/>
      <c r="K8" s="190">
        <v>0.625</v>
      </c>
      <c r="L8" s="190"/>
      <c r="M8" s="190">
        <v>1</v>
      </c>
      <c r="N8" s="190">
        <v>1</v>
      </c>
      <c r="O8" s="190">
        <v>1</v>
      </c>
      <c r="P8" s="190"/>
      <c r="Q8" s="190"/>
      <c r="R8" s="190">
        <v>1</v>
      </c>
      <c r="S8" s="190">
        <v>1</v>
      </c>
      <c r="T8" s="190">
        <v>1</v>
      </c>
      <c r="U8" s="190">
        <v>1</v>
      </c>
      <c r="V8" s="190">
        <v>1</v>
      </c>
      <c r="W8" s="190"/>
      <c r="X8" s="190"/>
      <c r="Y8" s="190">
        <v>1</v>
      </c>
      <c r="Z8" s="190">
        <v>1</v>
      </c>
      <c r="AA8" s="190">
        <v>1</v>
      </c>
      <c r="AB8" s="191">
        <v>1</v>
      </c>
      <c r="AC8" s="191">
        <v>1</v>
      </c>
      <c r="AD8" s="191"/>
      <c r="AE8" s="191"/>
      <c r="AF8" s="191">
        <v>1</v>
      </c>
      <c r="AG8" s="191">
        <v>1</v>
      </c>
      <c r="AH8" s="191">
        <v>1</v>
      </c>
      <c r="AI8" s="191">
        <v>1</v>
      </c>
      <c r="AJ8" s="191">
        <v>1</v>
      </c>
      <c r="AK8" s="191"/>
      <c r="AL8" s="191"/>
      <c r="AM8" s="194"/>
      <c r="AN8" s="124">
        <f t="shared" si="0"/>
        <v>18.625</v>
      </c>
      <c r="AO8" s="128">
        <v>140000</v>
      </c>
      <c r="AP8" s="125">
        <f t="shared" si="1"/>
        <v>2607500</v>
      </c>
    </row>
    <row r="9" spans="1:42" ht="24.95" customHeight="1">
      <c r="A9" s="170">
        <v>4</v>
      </c>
      <c r="B9" s="176" t="s">
        <v>486</v>
      </c>
      <c r="C9" s="127" t="s">
        <v>487</v>
      </c>
      <c r="D9" s="127" t="s">
        <v>235</v>
      </c>
      <c r="E9" s="127" t="s">
        <v>488</v>
      </c>
      <c r="F9" s="128" t="s">
        <v>334</v>
      </c>
      <c r="G9" s="171" t="s">
        <v>486</v>
      </c>
      <c r="H9" s="197" t="s">
        <v>489</v>
      </c>
      <c r="I9" s="201"/>
      <c r="J9" s="190"/>
      <c r="K9" s="190">
        <v>0.625</v>
      </c>
      <c r="L9" s="190"/>
      <c r="M9" s="190">
        <v>1</v>
      </c>
      <c r="N9" s="190">
        <v>1</v>
      </c>
      <c r="O9" s="190">
        <v>1</v>
      </c>
      <c r="P9" s="190"/>
      <c r="Q9" s="190"/>
      <c r="R9" s="190">
        <v>1</v>
      </c>
      <c r="S9" s="190">
        <v>0.5</v>
      </c>
      <c r="T9" s="190">
        <v>1</v>
      </c>
      <c r="U9" s="190">
        <v>1</v>
      </c>
      <c r="V9" s="190">
        <v>1</v>
      </c>
      <c r="W9" s="190"/>
      <c r="X9" s="190"/>
      <c r="Y9" s="190">
        <v>1</v>
      </c>
      <c r="Z9" s="190">
        <v>1</v>
      </c>
      <c r="AA9" s="190">
        <v>1</v>
      </c>
      <c r="AB9" s="191">
        <v>1</v>
      </c>
      <c r="AC9" s="191">
        <v>1</v>
      </c>
      <c r="AD9" s="191"/>
      <c r="AE9" s="191"/>
      <c r="AF9" s="191">
        <v>1</v>
      </c>
      <c r="AG9" s="191">
        <v>1</v>
      </c>
      <c r="AH9" s="191">
        <v>1</v>
      </c>
      <c r="AI9" s="191">
        <v>1</v>
      </c>
      <c r="AJ9" s="191">
        <v>1</v>
      </c>
      <c r="AK9" s="191"/>
      <c r="AL9" s="191"/>
      <c r="AM9" s="194"/>
      <c r="AN9" s="124">
        <f t="shared" si="0"/>
        <v>18.125</v>
      </c>
      <c r="AO9" s="128">
        <v>140000</v>
      </c>
      <c r="AP9" s="125">
        <f t="shared" si="1"/>
        <v>2537500</v>
      </c>
    </row>
    <row r="10" spans="1:42" ht="24.95" customHeight="1">
      <c r="A10" s="170">
        <v>5</v>
      </c>
      <c r="B10" s="176" t="s">
        <v>490</v>
      </c>
      <c r="C10" s="127" t="s">
        <v>491</v>
      </c>
      <c r="D10" s="127" t="s">
        <v>241</v>
      </c>
      <c r="E10" s="127" t="s">
        <v>492</v>
      </c>
      <c r="F10" s="128" t="s">
        <v>334</v>
      </c>
      <c r="G10" s="171" t="s">
        <v>490</v>
      </c>
      <c r="H10" s="197" t="s">
        <v>493</v>
      </c>
      <c r="I10" s="201"/>
      <c r="J10" s="190"/>
      <c r="K10" s="190">
        <v>0.875</v>
      </c>
      <c r="L10" s="190"/>
      <c r="M10" s="190">
        <v>1</v>
      </c>
      <c r="N10" s="190">
        <v>1</v>
      </c>
      <c r="O10" s="190">
        <v>1</v>
      </c>
      <c r="P10" s="190"/>
      <c r="Q10" s="190"/>
      <c r="R10" s="190">
        <v>1</v>
      </c>
      <c r="S10" s="190">
        <v>1</v>
      </c>
      <c r="T10" s="190">
        <v>1</v>
      </c>
      <c r="U10" s="190">
        <v>1</v>
      </c>
      <c r="V10" s="190">
        <v>1</v>
      </c>
      <c r="W10" s="190"/>
      <c r="X10" s="190"/>
      <c r="Y10" s="190">
        <v>1</v>
      </c>
      <c r="Z10" s="190">
        <v>1</v>
      </c>
      <c r="AA10" s="190">
        <v>1</v>
      </c>
      <c r="AB10" s="191">
        <v>1</v>
      </c>
      <c r="AC10" s="191">
        <v>1</v>
      </c>
      <c r="AD10" s="191"/>
      <c r="AE10" s="191"/>
      <c r="AF10" s="191">
        <v>1</v>
      </c>
      <c r="AG10" s="191">
        <v>1</v>
      </c>
      <c r="AH10" s="191">
        <v>1</v>
      </c>
      <c r="AI10" s="191">
        <v>1</v>
      </c>
      <c r="AJ10" s="191">
        <v>1</v>
      </c>
      <c r="AK10" s="191"/>
      <c r="AL10" s="191"/>
      <c r="AM10" s="194"/>
      <c r="AN10" s="124">
        <f t="shared" si="0"/>
        <v>18.875</v>
      </c>
      <c r="AO10" s="128">
        <v>240000</v>
      </c>
      <c r="AP10" s="125">
        <f t="shared" si="1"/>
        <v>4530000</v>
      </c>
    </row>
    <row r="11" spans="1:42" ht="24.95" customHeight="1">
      <c r="A11" s="170">
        <v>6</v>
      </c>
      <c r="B11" s="176" t="s">
        <v>331</v>
      </c>
      <c r="C11" s="127" t="s">
        <v>332</v>
      </c>
      <c r="D11" s="127" t="s">
        <v>494</v>
      </c>
      <c r="E11" s="127" t="s">
        <v>333</v>
      </c>
      <c r="F11" s="128" t="s">
        <v>334</v>
      </c>
      <c r="G11" s="171" t="s">
        <v>331</v>
      </c>
      <c r="H11" s="197" t="s">
        <v>335</v>
      </c>
      <c r="I11" s="201"/>
      <c r="J11" s="190"/>
      <c r="K11" s="190">
        <v>1</v>
      </c>
      <c r="L11" s="190">
        <v>1</v>
      </c>
      <c r="M11" s="190">
        <v>1</v>
      </c>
      <c r="N11" s="190">
        <v>1</v>
      </c>
      <c r="O11" s="190">
        <v>1</v>
      </c>
      <c r="P11" s="190"/>
      <c r="Q11" s="190"/>
      <c r="R11" s="190">
        <v>1</v>
      </c>
      <c r="S11" s="190">
        <v>1</v>
      </c>
      <c r="T11" s="190">
        <v>1</v>
      </c>
      <c r="U11" s="190">
        <v>1</v>
      </c>
      <c r="V11" s="190">
        <v>1</v>
      </c>
      <c r="W11" s="190"/>
      <c r="X11" s="190"/>
      <c r="Y11" s="190">
        <v>1</v>
      </c>
      <c r="Z11" s="190">
        <v>1</v>
      </c>
      <c r="AA11" s="190">
        <v>1</v>
      </c>
      <c r="AB11" s="191">
        <v>1</v>
      </c>
      <c r="AC11" s="191">
        <v>1</v>
      </c>
      <c r="AD11" s="191"/>
      <c r="AE11" s="191"/>
      <c r="AF11" s="191">
        <v>1</v>
      </c>
      <c r="AG11" s="191">
        <v>1</v>
      </c>
      <c r="AH11" s="191">
        <v>1</v>
      </c>
      <c r="AI11" s="191">
        <v>1</v>
      </c>
      <c r="AJ11" s="191">
        <v>1</v>
      </c>
      <c r="AK11" s="191"/>
      <c r="AL11" s="191"/>
      <c r="AM11" s="194"/>
      <c r="AN11" s="124">
        <f t="shared" si="0"/>
        <v>20</v>
      </c>
      <c r="AO11" s="128">
        <v>220000</v>
      </c>
      <c r="AP11" s="125">
        <f t="shared" si="1"/>
        <v>4400000</v>
      </c>
    </row>
    <row r="12" spans="1:42" ht="24.95" customHeight="1">
      <c r="A12" s="170">
        <v>7</v>
      </c>
      <c r="B12" s="176" t="s">
        <v>336</v>
      </c>
      <c r="C12" s="127" t="s">
        <v>337</v>
      </c>
      <c r="D12" s="127" t="s">
        <v>495</v>
      </c>
      <c r="E12" s="127" t="s">
        <v>338</v>
      </c>
      <c r="F12" s="128" t="s">
        <v>334</v>
      </c>
      <c r="G12" s="171" t="s">
        <v>336</v>
      </c>
      <c r="H12" s="197" t="s">
        <v>339</v>
      </c>
      <c r="I12" s="201"/>
      <c r="J12" s="190"/>
      <c r="K12" s="190">
        <v>1</v>
      </c>
      <c r="L12" s="190">
        <v>1</v>
      </c>
      <c r="M12" s="190">
        <v>1</v>
      </c>
      <c r="N12" s="190">
        <v>1</v>
      </c>
      <c r="O12" s="190">
        <v>1</v>
      </c>
      <c r="P12" s="190"/>
      <c r="Q12" s="190"/>
      <c r="R12" s="190">
        <v>1</v>
      </c>
      <c r="S12" s="190">
        <v>1</v>
      </c>
      <c r="T12" s="190">
        <v>1</v>
      </c>
      <c r="U12" s="190">
        <v>1</v>
      </c>
      <c r="V12" s="190">
        <v>1</v>
      </c>
      <c r="W12" s="190"/>
      <c r="X12" s="190"/>
      <c r="Y12" s="190">
        <v>1</v>
      </c>
      <c r="Z12" s="190">
        <v>1</v>
      </c>
      <c r="AA12" s="190">
        <v>1</v>
      </c>
      <c r="AB12" s="191">
        <v>1</v>
      </c>
      <c r="AC12" s="191">
        <v>1</v>
      </c>
      <c r="AD12" s="191"/>
      <c r="AE12" s="191"/>
      <c r="AF12" s="191">
        <v>1</v>
      </c>
      <c r="AG12" s="191">
        <v>1</v>
      </c>
      <c r="AH12" s="191">
        <v>1</v>
      </c>
      <c r="AI12" s="191">
        <v>1</v>
      </c>
      <c r="AJ12" s="191">
        <v>1</v>
      </c>
      <c r="AK12" s="191"/>
      <c r="AL12" s="191"/>
      <c r="AM12" s="194"/>
      <c r="AN12" s="124">
        <f t="shared" si="0"/>
        <v>20</v>
      </c>
      <c r="AO12" s="128">
        <v>220000</v>
      </c>
      <c r="AP12" s="125">
        <f t="shared" si="1"/>
        <v>4400000</v>
      </c>
    </row>
    <row r="13" spans="1:42" ht="24.95" customHeight="1">
      <c r="A13" s="170">
        <v>8</v>
      </c>
      <c r="B13" s="176" t="s">
        <v>340</v>
      </c>
      <c r="C13" s="127" t="s">
        <v>341</v>
      </c>
      <c r="D13" s="127" t="s">
        <v>496</v>
      </c>
      <c r="E13" s="127" t="s">
        <v>342</v>
      </c>
      <c r="F13" s="128" t="s">
        <v>247</v>
      </c>
      <c r="G13" s="171" t="s">
        <v>340</v>
      </c>
      <c r="H13" s="197" t="s">
        <v>343</v>
      </c>
      <c r="I13" s="201"/>
      <c r="J13" s="190"/>
      <c r="K13" s="190">
        <v>1</v>
      </c>
      <c r="L13" s="190">
        <v>1</v>
      </c>
      <c r="M13" s="190">
        <v>1</v>
      </c>
      <c r="N13" s="190">
        <v>1</v>
      </c>
      <c r="O13" s="190">
        <v>1</v>
      </c>
      <c r="P13" s="190"/>
      <c r="Q13" s="190"/>
      <c r="R13" s="190">
        <v>1</v>
      </c>
      <c r="S13" s="190">
        <v>1</v>
      </c>
      <c r="T13" s="190">
        <v>1</v>
      </c>
      <c r="U13" s="190">
        <v>1</v>
      </c>
      <c r="V13" s="190"/>
      <c r="W13" s="190"/>
      <c r="X13" s="190"/>
      <c r="Y13" s="190">
        <v>1</v>
      </c>
      <c r="Z13" s="190">
        <v>1</v>
      </c>
      <c r="AA13" s="190">
        <v>1</v>
      </c>
      <c r="AB13" s="191">
        <v>1</v>
      </c>
      <c r="AC13" s="191">
        <v>1</v>
      </c>
      <c r="AD13" s="191"/>
      <c r="AE13" s="191"/>
      <c r="AF13" s="191">
        <v>1</v>
      </c>
      <c r="AG13" s="191">
        <v>1</v>
      </c>
      <c r="AH13" s="191">
        <v>1</v>
      </c>
      <c r="AI13" s="191">
        <v>0.125</v>
      </c>
      <c r="AJ13" s="191">
        <v>1</v>
      </c>
      <c r="AK13" s="191"/>
      <c r="AL13" s="191"/>
      <c r="AM13" s="194"/>
      <c r="AN13" s="124">
        <f t="shared" si="0"/>
        <v>18.125</v>
      </c>
      <c r="AO13" s="128">
        <v>250000</v>
      </c>
      <c r="AP13" s="125">
        <f t="shared" si="1"/>
        <v>4531250</v>
      </c>
    </row>
    <row r="14" spans="1:42" ht="24.95" customHeight="1">
      <c r="A14" s="170">
        <v>9</v>
      </c>
      <c r="B14" s="176" t="s">
        <v>344</v>
      </c>
      <c r="C14" s="127" t="s">
        <v>345</v>
      </c>
      <c r="D14" s="127" t="s">
        <v>235</v>
      </c>
      <c r="E14" s="127" t="s">
        <v>346</v>
      </c>
      <c r="F14" s="128" t="s">
        <v>244</v>
      </c>
      <c r="G14" s="171" t="s">
        <v>344</v>
      </c>
      <c r="H14" s="197" t="s">
        <v>347</v>
      </c>
      <c r="I14" s="201"/>
      <c r="J14" s="190"/>
      <c r="K14" s="190">
        <v>1</v>
      </c>
      <c r="L14" s="190">
        <v>1</v>
      </c>
      <c r="M14" s="190">
        <v>1</v>
      </c>
      <c r="N14" s="190">
        <v>1</v>
      </c>
      <c r="O14" s="190">
        <v>1</v>
      </c>
      <c r="P14" s="190"/>
      <c r="Q14" s="190"/>
      <c r="R14" s="190">
        <v>1</v>
      </c>
      <c r="S14" s="190">
        <v>1</v>
      </c>
      <c r="T14" s="190">
        <v>1</v>
      </c>
      <c r="U14" s="190">
        <v>1</v>
      </c>
      <c r="V14" s="190">
        <v>1</v>
      </c>
      <c r="W14" s="190"/>
      <c r="X14" s="190"/>
      <c r="Y14" s="190">
        <v>1</v>
      </c>
      <c r="Z14" s="190">
        <v>1</v>
      </c>
      <c r="AA14" s="190">
        <v>1</v>
      </c>
      <c r="AB14" s="191">
        <v>1</v>
      </c>
      <c r="AC14" s="191">
        <v>1</v>
      </c>
      <c r="AD14" s="191"/>
      <c r="AE14" s="191"/>
      <c r="AF14" s="191">
        <v>1</v>
      </c>
      <c r="AG14" s="191">
        <v>1</v>
      </c>
      <c r="AH14" s="191">
        <v>1</v>
      </c>
      <c r="AI14" s="191">
        <v>1</v>
      </c>
      <c r="AJ14" s="191">
        <v>1</v>
      </c>
      <c r="AK14" s="191"/>
      <c r="AL14" s="191"/>
      <c r="AM14" s="194"/>
      <c r="AN14" s="124">
        <f t="shared" si="0"/>
        <v>20</v>
      </c>
      <c r="AO14" s="128">
        <v>150000</v>
      </c>
      <c r="AP14" s="125">
        <f t="shared" si="1"/>
        <v>3000000</v>
      </c>
    </row>
    <row r="15" spans="1:42" ht="24.95" customHeight="1">
      <c r="A15" s="170">
        <v>2</v>
      </c>
      <c r="B15" s="176" t="s">
        <v>497</v>
      </c>
      <c r="C15" s="127" t="s">
        <v>498</v>
      </c>
      <c r="D15" s="127" t="s">
        <v>235</v>
      </c>
      <c r="E15" s="127" t="s">
        <v>499</v>
      </c>
      <c r="F15" s="128" t="s">
        <v>247</v>
      </c>
      <c r="G15" s="171" t="s">
        <v>497</v>
      </c>
      <c r="H15" s="197" t="s">
        <v>500</v>
      </c>
      <c r="I15" s="201"/>
      <c r="J15" s="190"/>
      <c r="K15" s="190">
        <v>0.625</v>
      </c>
      <c r="L15" s="190"/>
      <c r="M15" s="190">
        <v>1</v>
      </c>
      <c r="N15" s="190">
        <v>1</v>
      </c>
      <c r="O15" s="190">
        <v>1</v>
      </c>
      <c r="P15" s="190"/>
      <c r="Q15" s="190"/>
      <c r="R15" s="190">
        <v>1</v>
      </c>
      <c r="S15" s="190">
        <v>0.5</v>
      </c>
      <c r="T15" s="190">
        <v>1</v>
      </c>
      <c r="U15" s="190">
        <v>1</v>
      </c>
      <c r="V15" s="190">
        <v>1</v>
      </c>
      <c r="W15" s="190"/>
      <c r="X15" s="190"/>
      <c r="Y15" s="190">
        <v>1</v>
      </c>
      <c r="Z15" s="190">
        <v>1</v>
      </c>
      <c r="AA15" s="190">
        <v>1</v>
      </c>
      <c r="AB15" s="191">
        <v>1</v>
      </c>
      <c r="AC15" s="191">
        <v>1</v>
      </c>
      <c r="AD15" s="191"/>
      <c r="AE15" s="191"/>
      <c r="AF15" s="191">
        <v>1</v>
      </c>
      <c r="AG15" s="191">
        <v>1</v>
      </c>
      <c r="AH15" s="191">
        <v>0.625</v>
      </c>
      <c r="AI15" s="191">
        <v>0.75</v>
      </c>
      <c r="AJ15" s="191">
        <v>1</v>
      </c>
      <c r="AK15" s="191"/>
      <c r="AL15" s="191"/>
      <c r="AM15" s="194"/>
      <c r="AN15" s="124">
        <f t="shared" si="0"/>
        <v>17.5</v>
      </c>
      <c r="AO15" s="128">
        <v>150000</v>
      </c>
      <c r="AP15" s="125">
        <f t="shared" ref="AP15:AP22" si="2">AN15*AO15</f>
        <v>2625000</v>
      </c>
    </row>
    <row r="16" spans="1:42" ht="24.95" customHeight="1">
      <c r="A16" s="170">
        <v>3</v>
      </c>
      <c r="B16" s="176" t="s">
        <v>348</v>
      </c>
      <c r="C16" s="127" t="s">
        <v>349</v>
      </c>
      <c r="D16" s="127" t="s">
        <v>241</v>
      </c>
      <c r="E16" s="127" t="s">
        <v>350</v>
      </c>
      <c r="F16" s="128" t="s">
        <v>351</v>
      </c>
      <c r="G16" s="171" t="s">
        <v>348</v>
      </c>
      <c r="H16" s="197" t="s">
        <v>352</v>
      </c>
      <c r="I16" s="201"/>
      <c r="J16" s="190"/>
      <c r="K16" s="190">
        <v>1</v>
      </c>
      <c r="L16" s="190">
        <v>1</v>
      </c>
      <c r="M16" s="190">
        <v>1</v>
      </c>
      <c r="N16" s="190">
        <v>1</v>
      </c>
      <c r="O16" s="190">
        <v>1</v>
      </c>
      <c r="P16" s="190"/>
      <c r="Q16" s="190"/>
      <c r="R16" s="190">
        <v>1</v>
      </c>
      <c r="S16" s="190">
        <v>1</v>
      </c>
      <c r="T16" s="190">
        <v>1</v>
      </c>
      <c r="U16" s="190">
        <v>1</v>
      </c>
      <c r="V16" s="190">
        <v>1</v>
      </c>
      <c r="W16" s="190"/>
      <c r="X16" s="190"/>
      <c r="Y16" s="190">
        <v>1</v>
      </c>
      <c r="Z16" s="190">
        <v>1</v>
      </c>
      <c r="AA16" s="190">
        <v>1</v>
      </c>
      <c r="AB16" s="191">
        <v>1</v>
      </c>
      <c r="AC16" s="191">
        <v>1</v>
      </c>
      <c r="AD16" s="191"/>
      <c r="AE16" s="191"/>
      <c r="AF16" s="191">
        <v>1</v>
      </c>
      <c r="AG16" s="191">
        <v>1</v>
      </c>
      <c r="AH16" s="191">
        <v>1</v>
      </c>
      <c r="AI16" s="191">
        <v>1</v>
      </c>
      <c r="AJ16" s="191">
        <v>1</v>
      </c>
      <c r="AK16" s="191"/>
      <c r="AL16" s="191"/>
      <c r="AM16" s="194"/>
      <c r="AN16" s="124">
        <f t="shared" si="0"/>
        <v>20</v>
      </c>
      <c r="AO16" s="128">
        <v>240000</v>
      </c>
      <c r="AP16" s="125">
        <f t="shared" si="2"/>
        <v>4800000</v>
      </c>
    </row>
    <row r="17" spans="1:42" ht="24.95" customHeight="1">
      <c r="A17" s="170">
        <v>4</v>
      </c>
      <c r="B17" s="176" t="s">
        <v>353</v>
      </c>
      <c r="C17" s="127" t="s">
        <v>354</v>
      </c>
      <c r="D17" s="127" t="s">
        <v>355</v>
      </c>
      <c r="E17" s="127" t="s">
        <v>356</v>
      </c>
      <c r="F17" s="128" t="s">
        <v>244</v>
      </c>
      <c r="G17" s="171" t="s">
        <v>353</v>
      </c>
      <c r="H17" s="197" t="s">
        <v>357</v>
      </c>
      <c r="I17" s="201"/>
      <c r="J17" s="190"/>
      <c r="K17" s="190">
        <v>0.5</v>
      </c>
      <c r="L17" s="190">
        <v>1</v>
      </c>
      <c r="M17" s="190">
        <v>1</v>
      </c>
      <c r="N17" s="190">
        <v>1</v>
      </c>
      <c r="O17" s="190">
        <v>1</v>
      </c>
      <c r="P17" s="190"/>
      <c r="Q17" s="190"/>
      <c r="R17" s="190">
        <v>1</v>
      </c>
      <c r="S17" s="190">
        <v>1</v>
      </c>
      <c r="T17" s="190">
        <v>1</v>
      </c>
      <c r="U17" s="190">
        <v>1</v>
      </c>
      <c r="V17" s="190">
        <v>1</v>
      </c>
      <c r="W17" s="190"/>
      <c r="X17" s="190"/>
      <c r="Y17" s="190">
        <v>1</v>
      </c>
      <c r="Z17" s="190">
        <v>1</v>
      </c>
      <c r="AA17" s="190">
        <v>1</v>
      </c>
      <c r="AB17" s="191">
        <v>1</v>
      </c>
      <c r="AC17" s="191">
        <v>1</v>
      </c>
      <c r="AD17" s="191"/>
      <c r="AE17" s="191"/>
      <c r="AF17" s="191">
        <v>1</v>
      </c>
      <c r="AG17" s="191">
        <v>1</v>
      </c>
      <c r="AH17" s="191">
        <v>1</v>
      </c>
      <c r="AI17" s="191">
        <v>1</v>
      </c>
      <c r="AJ17" s="191">
        <v>1</v>
      </c>
      <c r="AK17" s="191"/>
      <c r="AL17" s="191"/>
      <c r="AM17" s="194"/>
      <c r="AN17" s="124">
        <f t="shared" si="0"/>
        <v>19.5</v>
      </c>
      <c r="AO17" s="128">
        <v>210000</v>
      </c>
      <c r="AP17" s="125">
        <f t="shared" si="2"/>
        <v>4095000</v>
      </c>
    </row>
    <row r="18" spans="1:42" ht="24.95" customHeight="1">
      <c r="A18" s="170">
        <v>5</v>
      </c>
      <c r="B18" s="176" t="s">
        <v>358</v>
      </c>
      <c r="C18" s="127" t="s">
        <v>359</v>
      </c>
      <c r="D18" s="127" t="s">
        <v>235</v>
      </c>
      <c r="E18" s="127" t="s">
        <v>360</v>
      </c>
      <c r="F18" s="128" t="s">
        <v>244</v>
      </c>
      <c r="G18" s="171" t="s">
        <v>358</v>
      </c>
      <c r="H18" s="197" t="s">
        <v>361</v>
      </c>
      <c r="I18" s="201"/>
      <c r="J18" s="190"/>
      <c r="K18" s="190">
        <v>1</v>
      </c>
      <c r="L18" s="190">
        <v>1</v>
      </c>
      <c r="M18" s="190">
        <v>1</v>
      </c>
      <c r="N18" s="190">
        <v>1</v>
      </c>
      <c r="O18" s="190">
        <v>1</v>
      </c>
      <c r="P18" s="190"/>
      <c r="Q18" s="190"/>
      <c r="R18" s="190">
        <v>0.5</v>
      </c>
      <c r="S18" s="190"/>
      <c r="T18" s="190">
        <v>1</v>
      </c>
      <c r="U18" s="190">
        <v>1</v>
      </c>
      <c r="V18" s="190">
        <v>1</v>
      </c>
      <c r="W18" s="190"/>
      <c r="X18" s="190"/>
      <c r="Y18" s="190">
        <v>1</v>
      </c>
      <c r="Z18" s="190">
        <v>1</v>
      </c>
      <c r="AA18" s="190">
        <v>1</v>
      </c>
      <c r="AB18" s="191">
        <v>1</v>
      </c>
      <c r="AC18" s="191">
        <v>1</v>
      </c>
      <c r="AD18" s="191"/>
      <c r="AE18" s="191"/>
      <c r="AF18" s="191">
        <v>1</v>
      </c>
      <c r="AG18" s="191">
        <v>1</v>
      </c>
      <c r="AH18" s="191">
        <v>1</v>
      </c>
      <c r="AI18" s="191">
        <v>1</v>
      </c>
      <c r="AJ18" s="191">
        <v>1</v>
      </c>
      <c r="AK18" s="191"/>
      <c r="AL18" s="191"/>
      <c r="AM18" s="194"/>
      <c r="AN18" s="124">
        <f t="shared" si="0"/>
        <v>18.5</v>
      </c>
      <c r="AO18" s="128">
        <v>180000</v>
      </c>
      <c r="AP18" s="125">
        <f t="shared" si="2"/>
        <v>3330000</v>
      </c>
    </row>
    <row r="19" spans="1:42" ht="24.95" customHeight="1">
      <c r="A19" s="170">
        <v>6</v>
      </c>
      <c r="B19" s="176" t="s">
        <v>362</v>
      </c>
      <c r="C19" s="127" t="s">
        <v>363</v>
      </c>
      <c r="D19" s="127" t="s">
        <v>496</v>
      </c>
      <c r="E19" s="127" t="s">
        <v>364</v>
      </c>
      <c r="F19" s="128" t="s">
        <v>351</v>
      </c>
      <c r="G19" s="171" t="s">
        <v>362</v>
      </c>
      <c r="H19" s="197" t="s">
        <v>365</v>
      </c>
      <c r="I19" s="201"/>
      <c r="J19" s="190"/>
      <c r="K19" s="190">
        <v>1</v>
      </c>
      <c r="L19" s="190">
        <v>1</v>
      </c>
      <c r="M19" s="190">
        <v>1</v>
      </c>
      <c r="N19" s="190">
        <v>1</v>
      </c>
      <c r="O19" s="190">
        <v>1</v>
      </c>
      <c r="P19" s="190"/>
      <c r="Q19" s="190"/>
      <c r="R19" s="190">
        <v>1</v>
      </c>
      <c r="S19" s="190">
        <v>1</v>
      </c>
      <c r="T19" s="190">
        <v>1</v>
      </c>
      <c r="U19" s="190">
        <v>1</v>
      </c>
      <c r="V19" s="190">
        <v>1</v>
      </c>
      <c r="W19" s="190"/>
      <c r="X19" s="190"/>
      <c r="Y19" s="190">
        <v>1</v>
      </c>
      <c r="Z19" s="190">
        <v>1</v>
      </c>
      <c r="AA19" s="190">
        <v>1</v>
      </c>
      <c r="AB19" s="191">
        <v>1</v>
      </c>
      <c r="AC19" s="191">
        <v>1</v>
      </c>
      <c r="AD19" s="191"/>
      <c r="AE19" s="191"/>
      <c r="AF19" s="191">
        <v>1</v>
      </c>
      <c r="AG19" s="191">
        <v>1</v>
      </c>
      <c r="AH19" s="191">
        <v>1</v>
      </c>
      <c r="AI19" s="191">
        <v>1</v>
      </c>
      <c r="AJ19" s="191">
        <v>1</v>
      </c>
      <c r="AK19" s="191"/>
      <c r="AL19" s="191"/>
      <c r="AM19" s="194"/>
      <c r="AN19" s="124">
        <f t="shared" si="0"/>
        <v>20</v>
      </c>
      <c r="AO19" s="128">
        <v>240000</v>
      </c>
      <c r="AP19" s="125">
        <f t="shared" si="2"/>
        <v>4800000</v>
      </c>
    </row>
    <row r="20" spans="1:42" ht="24.95" customHeight="1">
      <c r="A20" s="170">
        <v>7</v>
      </c>
      <c r="B20" s="176" t="s">
        <v>501</v>
      </c>
      <c r="C20" s="127" t="s">
        <v>502</v>
      </c>
      <c r="D20" s="127" t="s">
        <v>496</v>
      </c>
      <c r="E20" s="127" t="s">
        <v>503</v>
      </c>
      <c r="F20" s="128" t="s">
        <v>237</v>
      </c>
      <c r="G20" s="171" t="s">
        <v>501</v>
      </c>
      <c r="H20" s="197" t="s">
        <v>504</v>
      </c>
      <c r="I20" s="201"/>
      <c r="J20" s="190"/>
      <c r="K20" s="190">
        <v>0.625</v>
      </c>
      <c r="L20" s="190"/>
      <c r="M20" s="190">
        <v>0.5</v>
      </c>
      <c r="N20" s="190">
        <v>1</v>
      </c>
      <c r="O20" s="190">
        <v>1</v>
      </c>
      <c r="P20" s="190"/>
      <c r="Q20" s="190"/>
      <c r="R20" s="190">
        <v>1</v>
      </c>
      <c r="S20" s="190">
        <v>1</v>
      </c>
      <c r="T20" s="190">
        <v>1</v>
      </c>
      <c r="U20" s="190">
        <v>1</v>
      </c>
      <c r="V20" s="190">
        <v>1</v>
      </c>
      <c r="W20" s="190"/>
      <c r="X20" s="190"/>
      <c r="Y20" s="190">
        <v>1</v>
      </c>
      <c r="Z20" s="190">
        <v>1</v>
      </c>
      <c r="AA20" s="190">
        <v>1</v>
      </c>
      <c r="AB20" s="191">
        <v>1</v>
      </c>
      <c r="AC20" s="191">
        <v>1</v>
      </c>
      <c r="AD20" s="191"/>
      <c r="AE20" s="191"/>
      <c r="AF20" s="191">
        <v>1</v>
      </c>
      <c r="AG20" s="191">
        <v>1</v>
      </c>
      <c r="AH20" s="191">
        <v>1</v>
      </c>
      <c r="AI20" s="191">
        <v>1</v>
      </c>
      <c r="AJ20" s="191">
        <v>1</v>
      </c>
      <c r="AK20" s="191"/>
      <c r="AL20" s="191"/>
      <c r="AM20" s="194"/>
      <c r="AN20" s="124">
        <f t="shared" si="0"/>
        <v>18.125</v>
      </c>
      <c r="AO20" s="128">
        <v>230000</v>
      </c>
      <c r="AP20" s="125">
        <f t="shared" si="2"/>
        <v>4168750</v>
      </c>
    </row>
    <row r="21" spans="1:42" ht="24.95" customHeight="1">
      <c r="A21" s="170">
        <v>8</v>
      </c>
      <c r="B21" s="176" t="s">
        <v>366</v>
      </c>
      <c r="C21" s="127" t="s">
        <v>367</v>
      </c>
      <c r="D21" s="127" t="s">
        <v>235</v>
      </c>
      <c r="E21" s="127" t="s">
        <v>368</v>
      </c>
      <c r="F21" s="128" t="s">
        <v>351</v>
      </c>
      <c r="G21" s="171" t="s">
        <v>366</v>
      </c>
      <c r="H21" s="197" t="s">
        <v>369</v>
      </c>
      <c r="I21" s="201"/>
      <c r="J21" s="190"/>
      <c r="K21" s="190">
        <v>0.875</v>
      </c>
      <c r="L21" s="190">
        <v>1</v>
      </c>
      <c r="M21" s="190">
        <v>1</v>
      </c>
      <c r="N21" s="190">
        <v>1</v>
      </c>
      <c r="O21" s="190">
        <v>1</v>
      </c>
      <c r="P21" s="190"/>
      <c r="Q21" s="190"/>
      <c r="R21" s="190">
        <v>1</v>
      </c>
      <c r="S21" s="190">
        <v>1</v>
      </c>
      <c r="T21" s="190">
        <v>1</v>
      </c>
      <c r="U21" s="190">
        <v>1</v>
      </c>
      <c r="V21" s="190">
        <v>1</v>
      </c>
      <c r="W21" s="190"/>
      <c r="X21" s="190"/>
      <c r="Y21" s="190">
        <v>1</v>
      </c>
      <c r="Z21" s="190">
        <v>1</v>
      </c>
      <c r="AA21" s="190">
        <v>1</v>
      </c>
      <c r="AB21" s="191">
        <v>1</v>
      </c>
      <c r="AC21" s="191">
        <v>1</v>
      </c>
      <c r="AD21" s="191"/>
      <c r="AE21" s="191"/>
      <c r="AF21" s="191">
        <v>1</v>
      </c>
      <c r="AG21" s="191">
        <v>1</v>
      </c>
      <c r="AH21" s="191">
        <v>1</v>
      </c>
      <c r="AI21" s="191">
        <v>1</v>
      </c>
      <c r="AJ21" s="191">
        <v>1</v>
      </c>
      <c r="AK21" s="191"/>
      <c r="AL21" s="191"/>
      <c r="AM21" s="194"/>
      <c r="AN21" s="124">
        <f t="shared" si="0"/>
        <v>19.875</v>
      </c>
      <c r="AO21" s="128">
        <v>210000</v>
      </c>
      <c r="AP21" s="125">
        <f t="shared" si="2"/>
        <v>4173750</v>
      </c>
    </row>
    <row r="22" spans="1:42" ht="24.95" customHeight="1">
      <c r="A22" s="170">
        <v>9</v>
      </c>
      <c r="B22" s="176" t="s">
        <v>370</v>
      </c>
      <c r="C22" s="127" t="s">
        <v>371</v>
      </c>
      <c r="D22" s="127" t="s">
        <v>235</v>
      </c>
      <c r="E22" s="127" t="s">
        <v>372</v>
      </c>
      <c r="F22" s="128" t="s">
        <v>237</v>
      </c>
      <c r="G22" s="171" t="s">
        <v>370</v>
      </c>
      <c r="H22" s="197" t="s">
        <v>373</v>
      </c>
      <c r="I22" s="201"/>
      <c r="J22" s="190"/>
      <c r="K22" s="190">
        <v>1</v>
      </c>
      <c r="L22" s="190">
        <v>1</v>
      </c>
      <c r="M22" s="190">
        <v>1</v>
      </c>
      <c r="N22" s="190">
        <v>1</v>
      </c>
      <c r="O22" s="190">
        <v>1</v>
      </c>
      <c r="P22" s="190"/>
      <c r="Q22" s="190"/>
      <c r="R22" s="190">
        <v>1</v>
      </c>
      <c r="S22" s="190">
        <v>1</v>
      </c>
      <c r="T22" s="190">
        <v>1</v>
      </c>
      <c r="U22" s="190">
        <v>1</v>
      </c>
      <c r="V22" s="190">
        <v>1</v>
      </c>
      <c r="W22" s="190"/>
      <c r="X22" s="190"/>
      <c r="Y22" s="190">
        <v>1</v>
      </c>
      <c r="Z22" s="190">
        <v>1</v>
      </c>
      <c r="AA22" s="190">
        <v>1</v>
      </c>
      <c r="AB22" s="191">
        <v>1</v>
      </c>
      <c r="AC22" s="191">
        <v>1</v>
      </c>
      <c r="AD22" s="191"/>
      <c r="AE22" s="191"/>
      <c r="AF22" s="191">
        <v>1</v>
      </c>
      <c r="AG22" s="191">
        <v>1</v>
      </c>
      <c r="AH22" s="191">
        <v>1</v>
      </c>
      <c r="AI22" s="191">
        <v>1</v>
      </c>
      <c r="AJ22" s="191">
        <v>1</v>
      </c>
      <c r="AK22" s="191"/>
      <c r="AL22" s="191"/>
      <c r="AM22" s="194"/>
      <c r="AN22" s="124">
        <f t="shared" si="0"/>
        <v>20</v>
      </c>
      <c r="AO22" s="128">
        <v>150000</v>
      </c>
      <c r="AP22" s="125">
        <f t="shared" si="2"/>
        <v>3000000</v>
      </c>
    </row>
    <row r="23" spans="1:42" ht="24.95" customHeight="1">
      <c r="A23" s="170">
        <v>10</v>
      </c>
      <c r="B23" s="176" t="s">
        <v>374</v>
      </c>
      <c r="C23" s="127" t="s">
        <v>375</v>
      </c>
      <c r="D23" s="127" t="s">
        <v>243</v>
      </c>
      <c r="E23" s="127" t="s">
        <v>376</v>
      </c>
      <c r="F23" s="128" t="s">
        <v>247</v>
      </c>
      <c r="G23" s="171" t="s">
        <v>374</v>
      </c>
      <c r="H23" s="197" t="s">
        <v>377</v>
      </c>
      <c r="I23" s="201"/>
      <c r="J23" s="190"/>
      <c r="K23" s="190">
        <v>1</v>
      </c>
      <c r="L23" s="190">
        <v>1</v>
      </c>
      <c r="M23" s="190">
        <v>1</v>
      </c>
      <c r="N23" s="190">
        <v>1</v>
      </c>
      <c r="O23" s="190">
        <v>1</v>
      </c>
      <c r="P23" s="190"/>
      <c r="Q23" s="190"/>
      <c r="R23" s="190">
        <v>1</v>
      </c>
      <c r="S23" s="190">
        <v>1</v>
      </c>
      <c r="T23" s="190"/>
      <c r="U23" s="190">
        <v>1</v>
      </c>
      <c r="V23" s="190">
        <v>1</v>
      </c>
      <c r="W23" s="190"/>
      <c r="X23" s="190"/>
      <c r="Y23" s="190">
        <v>1</v>
      </c>
      <c r="Z23" s="190">
        <v>1</v>
      </c>
      <c r="AA23" s="190">
        <v>1</v>
      </c>
      <c r="AB23" s="191">
        <v>1</v>
      </c>
      <c r="AC23" s="191">
        <v>1</v>
      </c>
      <c r="AD23" s="191"/>
      <c r="AE23" s="191"/>
      <c r="AF23" s="191">
        <v>1</v>
      </c>
      <c r="AG23" s="191">
        <v>1</v>
      </c>
      <c r="AH23" s="191">
        <v>1</v>
      </c>
      <c r="AI23" s="191">
        <v>1</v>
      </c>
      <c r="AJ23" s="191">
        <v>1</v>
      </c>
      <c r="AK23" s="191"/>
      <c r="AL23" s="191"/>
      <c r="AM23" s="194"/>
      <c r="AN23" s="124">
        <f t="shared" si="0"/>
        <v>19</v>
      </c>
      <c r="AO23" s="128">
        <v>230000</v>
      </c>
      <c r="AP23" s="125">
        <f t="shared" ref="AP23:AP45" si="3">AN23*AO23</f>
        <v>4370000</v>
      </c>
    </row>
    <row r="24" spans="1:42" ht="24.95" customHeight="1">
      <c r="A24" s="170">
        <v>11</v>
      </c>
      <c r="B24" s="176" t="s">
        <v>378</v>
      </c>
      <c r="C24" s="127" t="s">
        <v>379</v>
      </c>
      <c r="D24" s="127" t="s">
        <v>495</v>
      </c>
      <c r="E24" s="127" t="s">
        <v>380</v>
      </c>
      <c r="F24" s="128" t="s">
        <v>351</v>
      </c>
      <c r="G24" s="171" t="s">
        <v>378</v>
      </c>
      <c r="H24" s="197" t="s">
        <v>381</v>
      </c>
      <c r="I24" s="201"/>
      <c r="J24" s="190"/>
      <c r="K24" s="190">
        <v>1</v>
      </c>
      <c r="L24" s="190">
        <v>1</v>
      </c>
      <c r="M24" s="190">
        <v>1</v>
      </c>
      <c r="N24" s="190">
        <v>1</v>
      </c>
      <c r="O24" s="190">
        <v>1</v>
      </c>
      <c r="P24" s="190"/>
      <c r="Q24" s="190"/>
      <c r="R24" s="190">
        <v>1</v>
      </c>
      <c r="S24" s="190">
        <v>1</v>
      </c>
      <c r="T24" s="190">
        <v>1</v>
      </c>
      <c r="U24" s="190">
        <v>1</v>
      </c>
      <c r="V24" s="190">
        <v>1</v>
      </c>
      <c r="W24" s="190"/>
      <c r="X24" s="190"/>
      <c r="Y24" s="190">
        <v>1</v>
      </c>
      <c r="Z24" s="190">
        <v>1</v>
      </c>
      <c r="AA24" s="190">
        <v>1</v>
      </c>
      <c r="AB24" s="191">
        <v>1</v>
      </c>
      <c r="AC24" s="191">
        <v>1</v>
      </c>
      <c r="AD24" s="191"/>
      <c r="AE24" s="191"/>
      <c r="AF24" s="191">
        <v>1</v>
      </c>
      <c r="AG24" s="191">
        <v>1</v>
      </c>
      <c r="AH24" s="191">
        <v>1</v>
      </c>
      <c r="AI24" s="191">
        <v>1</v>
      </c>
      <c r="AJ24" s="191"/>
      <c r="AK24" s="191"/>
      <c r="AL24" s="191"/>
      <c r="AM24" s="194"/>
      <c r="AN24" s="124">
        <f t="shared" si="0"/>
        <v>19</v>
      </c>
      <c r="AO24" s="128">
        <v>170000</v>
      </c>
      <c r="AP24" s="125">
        <f t="shared" si="3"/>
        <v>3230000</v>
      </c>
    </row>
    <row r="25" spans="1:42" ht="24.95" customHeight="1">
      <c r="A25" s="170">
        <v>12</v>
      </c>
      <c r="B25" s="177" t="s">
        <v>382</v>
      </c>
      <c r="C25" s="127" t="s">
        <v>383</v>
      </c>
      <c r="D25" s="127" t="s">
        <v>494</v>
      </c>
      <c r="E25" s="173" t="s">
        <v>384</v>
      </c>
      <c r="F25" s="174" t="s">
        <v>244</v>
      </c>
      <c r="G25" s="175" t="s">
        <v>382</v>
      </c>
      <c r="H25" s="198" t="s">
        <v>385</v>
      </c>
      <c r="I25" s="201"/>
      <c r="J25" s="190"/>
      <c r="K25" s="190">
        <v>1</v>
      </c>
      <c r="L25" s="190">
        <v>1</v>
      </c>
      <c r="M25" s="190">
        <v>1</v>
      </c>
      <c r="N25" s="190">
        <v>1</v>
      </c>
      <c r="O25" s="190">
        <v>1</v>
      </c>
      <c r="P25" s="190"/>
      <c r="Q25" s="190"/>
      <c r="R25" s="190">
        <v>1</v>
      </c>
      <c r="S25" s="190">
        <v>1</v>
      </c>
      <c r="T25" s="190">
        <v>1</v>
      </c>
      <c r="U25" s="190">
        <v>1</v>
      </c>
      <c r="V25" s="190">
        <v>1</v>
      </c>
      <c r="W25" s="190"/>
      <c r="X25" s="190"/>
      <c r="Y25" s="190">
        <v>1</v>
      </c>
      <c r="Z25" s="190">
        <v>1</v>
      </c>
      <c r="AA25" s="190">
        <v>1</v>
      </c>
      <c r="AB25" s="191">
        <v>0.875</v>
      </c>
      <c r="AC25" s="191">
        <v>1</v>
      </c>
      <c r="AD25" s="191"/>
      <c r="AE25" s="191"/>
      <c r="AF25" s="191">
        <v>1</v>
      </c>
      <c r="AG25" s="191">
        <v>1</v>
      </c>
      <c r="AH25" s="191">
        <v>1</v>
      </c>
      <c r="AI25" s="191">
        <v>1</v>
      </c>
      <c r="AJ25" s="191">
        <v>1</v>
      </c>
      <c r="AK25" s="191"/>
      <c r="AL25" s="191"/>
      <c r="AM25" s="194"/>
      <c r="AN25" s="124">
        <f t="shared" si="0"/>
        <v>19.875</v>
      </c>
      <c r="AO25" s="128">
        <v>210000</v>
      </c>
      <c r="AP25" s="125">
        <f t="shared" si="3"/>
        <v>4173750</v>
      </c>
    </row>
    <row r="26" spans="1:42" ht="24.95" customHeight="1">
      <c r="A26" s="170">
        <v>13</v>
      </c>
      <c r="B26" s="177" t="s">
        <v>386</v>
      </c>
      <c r="C26" s="127" t="s">
        <v>387</v>
      </c>
      <c r="D26" s="127" t="s">
        <v>235</v>
      </c>
      <c r="E26" s="173" t="s">
        <v>388</v>
      </c>
      <c r="F26" s="174" t="s">
        <v>351</v>
      </c>
      <c r="G26" s="175" t="s">
        <v>386</v>
      </c>
      <c r="H26" s="198" t="s">
        <v>389</v>
      </c>
      <c r="I26" s="201"/>
      <c r="J26" s="190"/>
      <c r="K26" s="190">
        <v>1</v>
      </c>
      <c r="L26" s="190">
        <v>1</v>
      </c>
      <c r="M26" s="190">
        <v>1</v>
      </c>
      <c r="N26" s="190">
        <v>1</v>
      </c>
      <c r="O26" s="190">
        <v>1</v>
      </c>
      <c r="P26" s="190"/>
      <c r="Q26" s="190"/>
      <c r="R26" s="190">
        <v>1</v>
      </c>
      <c r="S26" s="190">
        <v>1</v>
      </c>
      <c r="T26" s="190">
        <v>1</v>
      </c>
      <c r="U26" s="190">
        <v>1</v>
      </c>
      <c r="V26" s="190">
        <v>1</v>
      </c>
      <c r="W26" s="190"/>
      <c r="X26" s="190"/>
      <c r="Y26" s="190">
        <v>1</v>
      </c>
      <c r="Z26" s="190">
        <v>1</v>
      </c>
      <c r="AA26" s="190">
        <v>1</v>
      </c>
      <c r="AB26" s="191">
        <v>1</v>
      </c>
      <c r="AC26" s="191">
        <v>1</v>
      </c>
      <c r="AD26" s="191"/>
      <c r="AE26" s="191"/>
      <c r="AF26" s="191">
        <v>1</v>
      </c>
      <c r="AG26" s="191">
        <v>1</v>
      </c>
      <c r="AH26" s="191">
        <v>1</v>
      </c>
      <c r="AI26" s="191">
        <v>1</v>
      </c>
      <c r="AJ26" s="191">
        <v>1</v>
      </c>
      <c r="AK26" s="191"/>
      <c r="AL26" s="191"/>
      <c r="AM26" s="194"/>
      <c r="AN26" s="124">
        <f t="shared" si="0"/>
        <v>20</v>
      </c>
      <c r="AO26" s="128">
        <v>150000</v>
      </c>
      <c r="AP26" s="125">
        <f t="shared" si="3"/>
        <v>3000000</v>
      </c>
    </row>
    <row r="27" spans="1:42" ht="24.95" customHeight="1">
      <c r="A27" s="170">
        <v>14</v>
      </c>
      <c r="B27" s="177" t="s">
        <v>390</v>
      </c>
      <c r="C27" s="127" t="s">
        <v>391</v>
      </c>
      <c r="D27" s="127" t="s">
        <v>235</v>
      </c>
      <c r="E27" s="173" t="s">
        <v>392</v>
      </c>
      <c r="F27" s="174" t="s">
        <v>244</v>
      </c>
      <c r="G27" s="175" t="s">
        <v>390</v>
      </c>
      <c r="H27" s="198" t="s">
        <v>393</v>
      </c>
      <c r="I27" s="201"/>
      <c r="J27" s="190"/>
      <c r="K27" s="190">
        <v>1</v>
      </c>
      <c r="L27" s="190">
        <v>1</v>
      </c>
      <c r="M27" s="190">
        <v>1</v>
      </c>
      <c r="N27" s="190">
        <v>1</v>
      </c>
      <c r="O27" s="190">
        <v>1</v>
      </c>
      <c r="P27" s="190"/>
      <c r="Q27" s="190"/>
      <c r="R27" s="190">
        <v>1</v>
      </c>
      <c r="S27" s="190">
        <v>1</v>
      </c>
      <c r="T27" s="190">
        <v>1</v>
      </c>
      <c r="U27" s="190">
        <v>1</v>
      </c>
      <c r="V27" s="190">
        <v>1</v>
      </c>
      <c r="W27" s="190"/>
      <c r="X27" s="190"/>
      <c r="Y27" s="190">
        <v>1</v>
      </c>
      <c r="Z27" s="190">
        <v>1</v>
      </c>
      <c r="AA27" s="190">
        <v>1</v>
      </c>
      <c r="AB27" s="191">
        <v>1</v>
      </c>
      <c r="AC27" s="191">
        <v>1</v>
      </c>
      <c r="AD27" s="191"/>
      <c r="AE27" s="191"/>
      <c r="AF27" s="191">
        <v>1</v>
      </c>
      <c r="AG27" s="191">
        <v>1</v>
      </c>
      <c r="AH27" s="191">
        <v>1</v>
      </c>
      <c r="AI27" s="191">
        <v>1</v>
      </c>
      <c r="AJ27" s="191">
        <v>1</v>
      </c>
      <c r="AK27" s="191"/>
      <c r="AL27" s="191"/>
      <c r="AM27" s="194"/>
      <c r="AN27" s="124">
        <f t="shared" si="0"/>
        <v>20</v>
      </c>
      <c r="AO27" s="128">
        <v>170000</v>
      </c>
      <c r="AP27" s="125">
        <f t="shared" si="3"/>
        <v>3400000</v>
      </c>
    </row>
    <row r="28" spans="1:42" ht="24.95" customHeight="1">
      <c r="A28" s="170">
        <v>15</v>
      </c>
      <c r="B28" s="177" t="s">
        <v>394</v>
      </c>
      <c r="C28" s="127" t="s">
        <v>395</v>
      </c>
      <c r="D28" s="127" t="s">
        <v>241</v>
      </c>
      <c r="E28" s="173" t="s">
        <v>396</v>
      </c>
      <c r="F28" s="174" t="s">
        <v>237</v>
      </c>
      <c r="G28" s="175" t="s">
        <v>394</v>
      </c>
      <c r="H28" s="198" t="s">
        <v>397</v>
      </c>
      <c r="I28" s="201"/>
      <c r="J28" s="190"/>
      <c r="K28" s="190">
        <v>1</v>
      </c>
      <c r="L28" s="190">
        <v>1</v>
      </c>
      <c r="M28" s="190">
        <v>1</v>
      </c>
      <c r="N28" s="190">
        <v>1</v>
      </c>
      <c r="O28" s="190">
        <v>1</v>
      </c>
      <c r="P28" s="190"/>
      <c r="Q28" s="190"/>
      <c r="R28" s="190">
        <v>1</v>
      </c>
      <c r="S28" s="190">
        <v>1</v>
      </c>
      <c r="T28" s="190">
        <v>1</v>
      </c>
      <c r="U28" s="190">
        <v>1</v>
      </c>
      <c r="V28" s="190">
        <v>1</v>
      </c>
      <c r="W28" s="190"/>
      <c r="X28" s="190"/>
      <c r="Y28" s="190">
        <v>1</v>
      </c>
      <c r="Z28" s="190">
        <v>1</v>
      </c>
      <c r="AA28" s="190">
        <v>1</v>
      </c>
      <c r="AB28" s="191">
        <v>1</v>
      </c>
      <c r="AC28" s="191">
        <v>1</v>
      </c>
      <c r="AD28" s="191"/>
      <c r="AE28" s="191"/>
      <c r="AF28" s="191">
        <v>1</v>
      </c>
      <c r="AG28" s="191">
        <v>1</v>
      </c>
      <c r="AH28" s="191">
        <v>1</v>
      </c>
      <c r="AI28" s="191">
        <v>1</v>
      </c>
      <c r="AJ28" s="191">
        <v>1</v>
      </c>
      <c r="AK28" s="191"/>
      <c r="AL28" s="191"/>
      <c r="AM28" s="194"/>
      <c r="AN28" s="124">
        <f t="shared" si="0"/>
        <v>20</v>
      </c>
      <c r="AO28" s="128">
        <v>240000</v>
      </c>
      <c r="AP28" s="125">
        <f t="shared" si="3"/>
        <v>4800000</v>
      </c>
    </row>
    <row r="29" spans="1:42" ht="24.95" customHeight="1">
      <c r="A29" s="170">
        <v>16</v>
      </c>
      <c r="B29" s="177" t="s">
        <v>398</v>
      </c>
      <c r="C29" s="127" t="s">
        <v>399</v>
      </c>
      <c r="D29" s="127" t="s">
        <v>241</v>
      </c>
      <c r="E29" s="173" t="s">
        <v>400</v>
      </c>
      <c r="F29" s="174" t="s">
        <v>351</v>
      </c>
      <c r="G29" s="175" t="s">
        <v>398</v>
      </c>
      <c r="H29" s="198" t="s">
        <v>401</v>
      </c>
      <c r="I29" s="201"/>
      <c r="J29" s="190"/>
      <c r="K29" s="190">
        <v>1</v>
      </c>
      <c r="L29" s="190">
        <v>1</v>
      </c>
      <c r="M29" s="190">
        <v>1</v>
      </c>
      <c r="N29" s="190">
        <v>1</v>
      </c>
      <c r="O29" s="190">
        <v>1</v>
      </c>
      <c r="P29" s="190"/>
      <c r="Q29" s="190"/>
      <c r="R29" s="190">
        <v>1</v>
      </c>
      <c r="S29" s="190">
        <v>1</v>
      </c>
      <c r="T29" s="190">
        <v>1</v>
      </c>
      <c r="U29" s="190">
        <v>1</v>
      </c>
      <c r="V29" s="190">
        <v>1</v>
      </c>
      <c r="W29" s="190"/>
      <c r="X29" s="190"/>
      <c r="Y29" s="190">
        <v>1</v>
      </c>
      <c r="Z29" s="190">
        <v>1</v>
      </c>
      <c r="AA29" s="190">
        <v>1</v>
      </c>
      <c r="AB29" s="191">
        <v>1</v>
      </c>
      <c r="AC29" s="191">
        <v>1</v>
      </c>
      <c r="AD29" s="191"/>
      <c r="AE29" s="191"/>
      <c r="AF29" s="191">
        <v>1</v>
      </c>
      <c r="AG29" s="191">
        <v>1</v>
      </c>
      <c r="AH29" s="191">
        <v>1</v>
      </c>
      <c r="AI29" s="191">
        <v>1</v>
      </c>
      <c r="AJ29" s="191">
        <v>1</v>
      </c>
      <c r="AK29" s="191"/>
      <c r="AL29" s="191"/>
      <c r="AM29" s="194"/>
      <c r="AN29" s="124">
        <f t="shared" si="0"/>
        <v>20</v>
      </c>
      <c r="AO29" s="128">
        <v>240000</v>
      </c>
      <c r="AP29" s="125">
        <f t="shared" si="3"/>
        <v>4800000</v>
      </c>
    </row>
    <row r="30" spans="1:42" ht="24.95" customHeight="1">
      <c r="A30" s="170">
        <v>17</v>
      </c>
      <c r="B30" s="177" t="s">
        <v>402</v>
      </c>
      <c r="C30" s="127" t="s">
        <v>403</v>
      </c>
      <c r="D30" s="127" t="s">
        <v>235</v>
      </c>
      <c r="E30" s="173" t="s">
        <v>404</v>
      </c>
      <c r="F30" s="174" t="s">
        <v>405</v>
      </c>
      <c r="G30" s="175" t="s">
        <v>402</v>
      </c>
      <c r="H30" s="198" t="s">
        <v>406</v>
      </c>
      <c r="I30" s="201"/>
      <c r="J30" s="190"/>
      <c r="K30" s="190">
        <v>1</v>
      </c>
      <c r="L30" s="190">
        <v>1</v>
      </c>
      <c r="M30" s="190">
        <v>1</v>
      </c>
      <c r="N30" s="190">
        <v>1</v>
      </c>
      <c r="O30" s="190">
        <v>1</v>
      </c>
      <c r="P30" s="190"/>
      <c r="Q30" s="190"/>
      <c r="R30" s="190">
        <v>1</v>
      </c>
      <c r="S30" s="190">
        <v>1</v>
      </c>
      <c r="T30" s="190">
        <v>1</v>
      </c>
      <c r="U30" s="190">
        <v>1</v>
      </c>
      <c r="V30" s="190">
        <v>1</v>
      </c>
      <c r="W30" s="190"/>
      <c r="X30" s="190"/>
      <c r="Y30" s="190"/>
      <c r="Z30" s="190"/>
      <c r="AA30" s="190">
        <v>1</v>
      </c>
      <c r="AB30" s="191">
        <v>1</v>
      </c>
      <c r="AC30" s="191">
        <v>1</v>
      </c>
      <c r="AD30" s="191"/>
      <c r="AE30" s="191"/>
      <c r="AF30" s="191">
        <v>1</v>
      </c>
      <c r="AG30" s="191">
        <v>1</v>
      </c>
      <c r="AH30" s="191">
        <v>1</v>
      </c>
      <c r="AI30" s="191">
        <v>1</v>
      </c>
      <c r="AJ30" s="191">
        <v>1</v>
      </c>
      <c r="AK30" s="191"/>
      <c r="AL30" s="191"/>
      <c r="AM30" s="194"/>
      <c r="AN30" s="124">
        <f t="shared" si="0"/>
        <v>18</v>
      </c>
      <c r="AO30" s="128">
        <v>160000</v>
      </c>
      <c r="AP30" s="125">
        <f t="shared" si="3"/>
        <v>2880000</v>
      </c>
    </row>
    <row r="31" spans="1:42" ht="24.95" customHeight="1">
      <c r="A31" s="170">
        <v>18</v>
      </c>
      <c r="B31" s="177" t="s">
        <v>407</v>
      </c>
      <c r="C31" s="127" t="s">
        <v>408</v>
      </c>
      <c r="D31" s="127" t="s">
        <v>241</v>
      </c>
      <c r="E31" s="173" t="s">
        <v>409</v>
      </c>
      <c r="F31" s="174" t="s">
        <v>334</v>
      </c>
      <c r="G31" s="175" t="s">
        <v>407</v>
      </c>
      <c r="H31" s="198" t="s">
        <v>410</v>
      </c>
      <c r="I31" s="201"/>
      <c r="J31" s="190"/>
      <c r="K31" s="190">
        <v>1</v>
      </c>
      <c r="L31" s="190">
        <v>1</v>
      </c>
      <c r="M31" s="190">
        <v>1</v>
      </c>
      <c r="N31" s="190">
        <v>1</v>
      </c>
      <c r="O31" s="190">
        <v>1</v>
      </c>
      <c r="P31" s="190"/>
      <c r="Q31" s="190"/>
      <c r="R31" s="190">
        <v>1</v>
      </c>
      <c r="S31" s="190">
        <v>1</v>
      </c>
      <c r="T31" s="190">
        <v>1</v>
      </c>
      <c r="U31" s="190">
        <v>1</v>
      </c>
      <c r="V31" s="190">
        <v>1</v>
      </c>
      <c r="W31" s="190"/>
      <c r="X31" s="190"/>
      <c r="Y31" s="190">
        <v>1</v>
      </c>
      <c r="Z31" s="190">
        <v>1</v>
      </c>
      <c r="AA31" s="190">
        <v>1</v>
      </c>
      <c r="AB31" s="191">
        <v>1</v>
      </c>
      <c r="AC31" s="191">
        <v>1</v>
      </c>
      <c r="AD31" s="191"/>
      <c r="AE31" s="191"/>
      <c r="AF31" s="191">
        <v>1</v>
      </c>
      <c r="AG31" s="191">
        <v>1</v>
      </c>
      <c r="AH31" s="191">
        <v>1</v>
      </c>
      <c r="AI31" s="191">
        <v>1</v>
      </c>
      <c r="AJ31" s="191">
        <v>1</v>
      </c>
      <c r="AK31" s="191"/>
      <c r="AL31" s="191"/>
      <c r="AM31" s="194"/>
      <c r="AN31" s="124">
        <f t="shared" si="0"/>
        <v>20</v>
      </c>
      <c r="AO31" s="128">
        <v>240000</v>
      </c>
      <c r="AP31" s="125">
        <f t="shared" si="3"/>
        <v>4800000</v>
      </c>
    </row>
    <row r="32" spans="1:42" ht="24.95" customHeight="1">
      <c r="A32" s="170">
        <v>19</v>
      </c>
      <c r="B32" s="177" t="s">
        <v>411</v>
      </c>
      <c r="C32" s="127" t="s">
        <v>412</v>
      </c>
      <c r="D32" s="127" t="s">
        <v>235</v>
      </c>
      <c r="E32" s="173" t="s">
        <v>413</v>
      </c>
      <c r="F32" s="174" t="s">
        <v>247</v>
      </c>
      <c r="G32" s="175" t="s">
        <v>411</v>
      </c>
      <c r="H32" s="198" t="s">
        <v>414</v>
      </c>
      <c r="I32" s="201"/>
      <c r="J32" s="190"/>
      <c r="K32" s="190">
        <v>1</v>
      </c>
      <c r="L32" s="190">
        <v>1</v>
      </c>
      <c r="M32" s="190">
        <v>1</v>
      </c>
      <c r="N32" s="190">
        <v>1</v>
      </c>
      <c r="O32" s="190">
        <v>1</v>
      </c>
      <c r="P32" s="190"/>
      <c r="Q32" s="190"/>
      <c r="R32" s="190">
        <v>1</v>
      </c>
      <c r="S32" s="190">
        <v>1</v>
      </c>
      <c r="T32" s="190">
        <v>1</v>
      </c>
      <c r="U32" s="190">
        <v>0.75</v>
      </c>
      <c r="V32" s="190">
        <v>1</v>
      </c>
      <c r="W32" s="190"/>
      <c r="X32" s="190"/>
      <c r="Y32" s="190">
        <v>1</v>
      </c>
      <c r="Z32" s="190">
        <v>1</v>
      </c>
      <c r="AA32" s="190">
        <v>1</v>
      </c>
      <c r="AB32" s="191">
        <v>0.875</v>
      </c>
      <c r="AC32" s="191">
        <v>1</v>
      </c>
      <c r="AD32" s="191"/>
      <c r="AE32" s="191"/>
      <c r="AF32" s="191">
        <v>1</v>
      </c>
      <c r="AG32" s="191">
        <v>1</v>
      </c>
      <c r="AH32" s="191">
        <v>1</v>
      </c>
      <c r="AI32" s="191">
        <v>1</v>
      </c>
      <c r="AJ32" s="191">
        <v>1</v>
      </c>
      <c r="AK32" s="191"/>
      <c r="AL32" s="191"/>
      <c r="AM32" s="194"/>
      <c r="AN32" s="124">
        <f t="shared" si="0"/>
        <v>19.625</v>
      </c>
      <c r="AO32" s="128">
        <v>150000</v>
      </c>
      <c r="AP32" s="125">
        <f t="shared" ref="AP32:AP40" si="4">AN32*AO32</f>
        <v>2943750</v>
      </c>
    </row>
    <row r="33" spans="1:42" ht="24.95" customHeight="1">
      <c r="A33" s="170">
        <v>20</v>
      </c>
      <c r="B33" s="177" t="s">
        <v>415</v>
      </c>
      <c r="C33" s="127" t="s">
        <v>416</v>
      </c>
      <c r="D33" s="127" t="s">
        <v>235</v>
      </c>
      <c r="E33" s="173" t="s">
        <v>417</v>
      </c>
      <c r="F33" s="174" t="s">
        <v>248</v>
      </c>
      <c r="G33" s="175" t="s">
        <v>415</v>
      </c>
      <c r="H33" s="198" t="s">
        <v>418</v>
      </c>
      <c r="I33" s="201"/>
      <c r="J33" s="190"/>
      <c r="K33" s="190">
        <v>1</v>
      </c>
      <c r="L33" s="190">
        <v>1</v>
      </c>
      <c r="M33" s="190">
        <v>1</v>
      </c>
      <c r="N33" s="190">
        <v>1</v>
      </c>
      <c r="O33" s="190">
        <v>1</v>
      </c>
      <c r="P33" s="190"/>
      <c r="Q33" s="190"/>
      <c r="R33" s="190">
        <v>1</v>
      </c>
      <c r="S33" s="190">
        <v>1</v>
      </c>
      <c r="T33" s="190">
        <v>1</v>
      </c>
      <c r="U33" s="190">
        <v>1</v>
      </c>
      <c r="V33" s="190">
        <v>1</v>
      </c>
      <c r="W33" s="190"/>
      <c r="X33" s="190"/>
      <c r="Y33" s="190">
        <v>1</v>
      </c>
      <c r="Z33" s="190">
        <v>1</v>
      </c>
      <c r="AA33" s="190">
        <v>1</v>
      </c>
      <c r="AB33" s="191">
        <v>1</v>
      </c>
      <c r="AC33" s="191">
        <v>1</v>
      </c>
      <c r="AD33" s="191"/>
      <c r="AE33" s="191"/>
      <c r="AF33" s="191">
        <v>1</v>
      </c>
      <c r="AG33" s="191">
        <v>1</v>
      </c>
      <c r="AH33" s="191">
        <v>1</v>
      </c>
      <c r="AI33" s="191">
        <v>1</v>
      </c>
      <c r="AJ33" s="191">
        <v>1</v>
      </c>
      <c r="AK33" s="191"/>
      <c r="AL33" s="191"/>
      <c r="AM33" s="194"/>
      <c r="AN33" s="124">
        <f t="shared" si="0"/>
        <v>20</v>
      </c>
      <c r="AO33" s="128">
        <v>150000</v>
      </c>
      <c r="AP33" s="125">
        <f t="shared" si="4"/>
        <v>3000000</v>
      </c>
    </row>
    <row r="34" spans="1:42" ht="24.95" customHeight="1">
      <c r="A34" s="170">
        <v>21</v>
      </c>
      <c r="B34" s="177" t="s">
        <v>419</v>
      </c>
      <c r="C34" s="127" t="s">
        <v>420</v>
      </c>
      <c r="D34" s="127" t="s">
        <v>355</v>
      </c>
      <c r="E34" s="173" t="s">
        <v>421</v>
      </c>
      <c r="F34" s="174" t="s">
        <v>237</v>
      </c>
      <c r="G34" s="175" t="s">
        <v>419</v>
      </c>
      <c r="H34" s="198" t="s">
        <v>422</v>
      </c>
      <c r="I34" s="201"/>
      <c r="J34" s="190"/>
      <c r="K34" s="190">
        <v>1</v>
      </c>
      <c r="L34" s="190">
        <v>1</v>
      </c>
      <c r="M34" s="190">
        <v>1</v>
      </c>
      <c r="N34" s="190">
        <v>1</v>
      </c>
      <c r="O34" s="190">
        <v>1</v>
      </c>
      <c r="P34" s="190"/>
      <c r="Q34" s="190"/>
      <c r="R34" s="190">
        <v>1</v>
      </c>
      <c r="S34" s="190">
        <v>1</v>
      </c>
      <c r="T34" s="190">
        <v>1</v>
      </c>
      <c r="U34" s="190">
        <v>0.875</v>
      </c>
      <c r="V34" s="190">
        <v>1</v>
      </c>
      <c r="W34" s="190"/>
      <c r="X34" s="190"/>
      <c r="Y34" s="190">
        <v>1</v>
      </c>
      <c r="Z34" s="190">
        <v>1</v>
      </c>
      <c r="AA34" s="190">
        <v>1</v>
      </c>
      <c r="AB34" s="191">
        <v>1</v>
      </c>
      <c r="AC34" s="191">
        <v>1</v>
      </c>
      <c r="AD34" s="191"/>
      <c r="AE34" s="191"/>
      <c r="AF34" s="191">
        <v>1</v>
      </c>
      <c r="AG34" s="191">
        <v>0.875</v>
      </c>
      <c r="AH34" s="191">
        <v>1</v>
      </c>
      <c r="AI34" s="191">
        <v>1</v>
      </c>
      <c r="AJ34" s="191">
        <v>1</v>
      </c>
      <c r="AK34" s="191"/>
      <c r="AL34" s="191"/>
      <c r="AM34" s="194"/>
      <c r="AN34" s="124">
        <f t="shared" si="0"/>
        <v>19.75</v>
      </c>
      <c r="AO34" s="128">
        <v>230000</v>
      </c>
      <c r="AP34" s="125">
        <f t="shared" si="4"/>
        <v>4542500</v>
      </c>
    </row>
    <row r="35" spans="1:42" ht="24.95" customHeight="1">
      <c r="A35" s="170">
        <v>22</v>
      </c>
      <c r="B35" s="177" t="s">
        <v>423</v>
      </c>
      <c r="C35" s="127" t="s">
        <v>424</v>
      </c>
      <c r="D35" s="127" t="s">
        <v>505</v>
      </c>
      <c r="E35" s="173" t="s">
        <v>425</v>
      </c>
      <c r="F35" s="174" t="s">
        <v>244</v>
      </c>
      <c r="G35" s="175" t="s">
        <v>423</v>
      </c>
      <c r="H35" s="198" t="s">
        <v>426</v>
      </c>
      <c r="I35" s="201"/>
      <c r="J35" s="190"/>
      <c r="K35" s="190">
        <v>1</v>
      </c>
      <c r="L35" s="190">
        <v>1</v>
      </c>
      <c r="M35" s="190">
        <v>1</v>
      </c>
      <c r="N35" s="190">
        <v>1</v>
      </c>
      <c r="O35" s="190">
        <v>1</v>
      </c>
      <c r="P35" s="190"/>
      <c r="Q35" s="190"/>
      <c r="R35" s="190">
        <v>1</v>
      </c>
      <c r="S35" s="190">
        <v>1</v>
      </c>
      <c r="T35" s="190">
        <v>1</v>
      </c>
      <c r="U35" s="190">
        <v>1</v>
      </c>
      <c r="V35" s="190">
        <v>0.875</v>
      </c>
      <c r="W35" s="190"/>
      <c r="X35" s="190"/>
      <c r="Y35" s="190">
        <v>1</v>
      </c>
      <c r="Z35" s="190">
        <v>1</v>
      </c>
      <c r="AA35" s="190">
        <v>1</v>
      </c>
      <c r="AB35" s="191">
        <v>1</v>
      </c>
      <c r="AC35" s="191">
        <v>1</v>
      </c>
      <c r="AD35" s="191"/>
      <c r="AE35" s="191"/>
      <c r="AF35" s="191">
        <v>1</v>
      </c>
      <c r="AG35" s="191">
        <v>1</v>
      </c>
      <c r="AH35" s="191">
        <v>1</v>
      </c>
      <c r="AI35" s="191">
        <v>1</v>
      </c>
      <c r="AJ35" s="191">
        <v>1</v>
      </c>
      <c r="AK35" s="191"/>
      <c r="AL35" s="191"/>
      <c r="AM35" s="194"/>
      <c r="AN35" s="124">
        <f t="shared" si="0"/>
        <v>19.875</v>
      </c>
      <c r="AO35" s="128">
        <v>180000</v>
      </c>
      <c r="AP35" s="125">
        <f t="shared" si="4"/>
        <v>3577500</v>
      </c>
    </row>
    <row r="36" spans="1:42" ht="24.95" customHeight="1">
      <c r="A36" s="170">
        <v>23</v>
      </c>
      <c r="B36" s="177" t="s">
        <v>506</v>
      </c>
      <c r="C36" s="127" t="s">
        <v>507</v>
      </c>
      <c r="D36" s="127" t="s">
        <v>241</v>
      </c>
      <c r="E36" s="173" t="s">
        <v>508</v>
      </c>
      <c r="F36" s="174" t="s">
        <v>351</v>
      </c>
      <c r="G36" s="175" t="s">
        <v>506</v>
      </c>
      <c r="H36" s="198" t="s">
        <v>509</v>
      </c>
      <c r="I36" s="201"/>
      <c r="J36" s="190"/>
      <c r="K36" s="190">
        <v>0.875</v>
      </c>
      <c r="L36" s="190"/>
      <c r="M36" s="190">
        <v>1</v>
      </c>
      <c r="N36" s="190">
        <v>1</v>
      </c>
      <c r="O36" s="190">
        <v>1</v>
      </c>
      <c r="P36" s="190"/>
      <c r="Q36" s="190"/>
      <c r="R36" s="190">
        <v>1</v>
      </c>
      <c r="S36" s="190">
        <v>1</v>
      </c>
      <c r="T36" s="190">
        <v>1</v>
      </c>
      <c r="U36" s="190">
        <v>1</v>
      </c>
      <c r="V36" s="190">
        <v>1</v>
      </c>
      <c r="W36" s="190"/>
      <c r="X36" s="190"/>
      <c r="Y36" s="190">
        <v>1</v>
      </c>
      <c r="Z36" s="190">
        <v>1</v>
      </c>
      <c r="AA36" s="190">
        <v>1</v>
      </c>
      <c r="AB36" s="191">
        <v>1</v>
      </c>
      <c r="AC36" s="191">
        <v>1</v>
      </c>
      <c r="AD36" s="191"/>
      <c r="AE36" s="191"/>
      <c r="AF36" s="191">
        <v>1</v>
      </c>
      <c r="AG36" s="191">
        <v>1</v>
      </c>
      <c r="AH36" s="191">
        <v>1</v>
      </c>
      <c r="AI36" s="191">
        <v>1</v>
      </c>
      <c r="AJ36" s="191">
        <v>1</v>
      </c>
      <c r="AK36" s="191"/>
      <c r="AL36" s="191"/>
      <c r="AM36" s="194"/>
      <c r="AN36" s="124">
        <f t="shared" si="0"/>
        <v>18.875</v>
      </c>
      <c r="AO36" s="128">
        <v>240000</v>
      </c>
      <c r="AP36" s="125">
        <f t="shared" si="4"/>
        <v>4530000</v>
      </c>
    </row>
    <row r="37" spans="1:42" ht="24.95" customHeight="1">
      <c r="A37" s="170">
        <v>24</v>
      </c>
      <c r="B37" s="177" t="s">
        <v>427</v>
      </c>
      <c r="C37" s="127" t="s">
        <v>428</v>
      </c>
      <c r="D37" s="127" t="s">
        <v>235</v>
      </c>
      <c r="E37" s="173" t="s">
        <v>429</v>
      </c>
      <c r="F37" s="174" t="s">
        <v>247</v>
      </c>
      <c r="G37" s="175" t="s">
        <v>427</v>
      </c>
      <c r="H37" s="198" t="s">
        <v>430</v>
      </c>
      <c r="I37" s="201"/>
      <c r="J37" s="190"/>
      <c r="K37" s="190">
        <v>1</v>
      </c>
      <c r="L37" s="190">
        <v>1</v>
      </c>
      <c r="M37" s="190">
        <v>1</v>
      </c>
      <c r="N37" s="190">
        <v>1</v>
      </c>
      <c r="O37" s="190">
        <v>1</v>
      </c>
      <c r="P37" s="190"/>
      <c r="Q37" s="190"/>
      <c r="R37" s="190">
        <v>1</v>
      </c>
      <c r="S37" s="190">
        <v>1</v>
      </c>
      <c r="T37" s="190">
        <v>1</v>
      </c>
      <c r="U37" s="190">
        <v>1</v>
      </c>
      <c r="V37" s="190">
        <v>1</v>
      </c>
      <c r="W37" s="190"/>
      <c r="X37" s="190"/>
      <c r="Y37" s="190">
        <v>1</v>
      </c>
      <c r="Z37" s="190">
        <v>1</v>
      </c>
      <c r="AA37" s="190">
        <v>1</v>
      </c>
      <c r="AB37" s="191">
        <v>1</v>
      </c>
      <c r="AC37" s="191">
        <v>1</v>
      </c>
      <c r="AD37" s="191"/>
      <c r="AE37" s="191"/>
      <c r="AF37" s="191">
        <v>1</v>
      </c>
      <c r="AG37" s="191">
        <v>1</v>
      </c>
      <c r="AH37" s="191">
        <v>1</v>
      </c>
      <c r="AI37" s="191">
        <v>1</v>
      </c>
      <c r="AJ37" s="191">
        <v>1</v>
      </c>
      <c r="AK37" s="191"/>
      <c r="AL37" s="191"/>
      <c r="AM37" s="194"/>
      <c r="AN37" s="124">
        <f t="shared" si="0"/>
        <v>20</v>
      </c>
      <c r="AO37" s="128">
        <v>150000</v>
      </c>
      <c r="AP37" s="125">
        <f t="shared" si="4"/>
        <v>3000000</v>
      </c>
    </row>
    <row r="38" spans="1:42" ht="24.95" customHeight="1">
      <c r="A38" s="170">
        <v>25</v>
      </c>
      <c r="B38" s="177" t="s">
        <v>431</v>
      </c>
      <c r="C38" s="127" t="s">
        <v>432</v>
      </c>
      <c r="D38" s="127" t="s">
        <v>505</v>
      </c>
      <c r="E38" s="173" t="s">
        <v>433</v>
      </c>
      <c r="F38" s="174" t="s">
        <v>237</v>
      </c>
      <c r="G38" s="175" t="s">
        <v>431</v>
      </c>
      <c r="H38" s="198" t="s">
        <v>434</v>
      </c>
      <c r="I38" s="201"/>
      <c r="J38" s="190"/>
      <c r="K38" s="190">
        <v>1</v>
      </c>
      <c r="L38" s="190">
        <v>1</v>
      </c>
      <c r="M38" s="190">
        <v>1</v>
      </c>
      <c r="N38" s="190">
        <v>1</v>
      </c>
      <c r="O38" s="190">
        <v>1</v>
      </c>
      <c r="P38" s="190"/>
      <c r="Q38" s="190"/>
      <c r="R38" s="190">
        <v>1</v>
      </c>
      <c r="S38" s="190">
        <v>1</v>
      </c>
      <c r="T38" s="190">
        <v>1</v>
      </c>
      <c r="U38" s="190">
        <v>1</v>
      </c>
      <c r="V38" s="190">
        <v>1</v>
      </c>
      <c r="W38" s="190"/>
      <c r="X38" s="190"/>
      <c r="Y38" s="190">
        <v>1</v>
      </c>
      <c r="Z38" s="190">
        <v>1</v>
      </c>
      <c r="AA38" s="190">
        <v>1</v>
      </c>
      <c r="AB38" s="191"/>
      <c r="AC38" s="191">
        <v>1</v>
      </c>
      <c r="AD38" s="191"/>
      <c r="AE38" s="191"/>
      <c r="AF38" s="191">
        <v>1</v>
      </c>
      <c r="AG38" s="191">
        <v>1</v>
      </c>
      <c r="AH38" s="191">
        <v>1</v>
      </c>
      <c r="AI38" s="191">
        <v>1</v>
      </c>
      <c r="AJ38" s="191">
        <v>1</v>
      </c>
      <c r="AK38" s="191"/>
      <c r="AL38" s="191"/>
      <c r="AM38" s="194"/>
      <c r="AN38" s="124">
        <f t="shared" si="0"/>
        <v>19</v>
      </c>
      <c r="AO38" s="128">
        <v>180000</v>
      </c>
      <c r="AP38" s="125">
        <f t="shared" si="4"/>
        <v>3420000</v>
      </c>
    </row>
    <row r="39" spans="1:42" ht="24.95" customHeight="1">
      <c r="A39" s="170">
        <v>26</v>
      </c>
      <c r="B39" s="177" t="s">
        <v>435</v>
      </c>
      <c r="C39" s="127" t="s">
        <v>436</v>
      </c>
      <c r="D39" s="127" t="s">
        <v>495</v>
      </c>
      <c r="E39" s="173" t="s">
        <v>437</v>
      </c>
      <c r="F39" s="174" t="s">
        <v>248</v>
      </c>
      <c r="G39" s="175" t="s">
        <v>435</v>
      </c>
      <c r="H39" s="198" t="s">
        <v>438</v>
      </c>
      <c r="I39" s="201"/>
      <c r="J39" s="190"/>
      <c r="K39" s="190">
        <v>1</v>
      </c>
      <c r="L39" s="190">
        <v>0.75</v>
      </c>
      <c r="M39" s="190">
        <v>1</v>
      </c>
      <c r="N39" s="190">
        <v>1</v>
      </c>
      <c r="O39" s="190">
        <v>1</v>
      </c>
      <c r="P39" s="190"/>
      <c r="Q39" s="190"/>
      <c r="R39" s="190">
        <v>1</v>
      </c>
      <c r="S39" s="190">
        <v>1</v>
      </c>
      <c r="T39" s="190">
        <v>1</v>
      </c>
      <c r="U39" s="190">
        <v>1</v>
      </c>
      <c r="V39" s="190">
        <v>1</v>
      </c>
      <c r="W39" s="190"/>
      <c r="X39" s="190"/>
      <c r="Y39" s="190">
        <v>1</v>
      </c>
      <c r="Z39" s="190">
        <v>1</v>
      </c>
      <c r="AA39" s="190">
        <v>1</v>
      </c>
      <c r="AB39" s="191">
        <v>1</v>
      </c>
      <c r="AC39" s="191">
        <v>1</v>
      </c>
      <c r="AD39" s="191"/>
      <c r="AE39" s="191"/>
      <c r="AF39" s="191">
        <v>1</v>
      </c>
      <c r="AG39" s="191">
        <v>1</v>
      </c>
      <c r="AH39" s="191">
        <v>1</v>
      </c>
      <c r="AI39" s="191">
        <v>1</v>
      </c>
      <c r="AJ39" s="191">
        <v>1</v>
      </c>
      <c r="AK39" s="191"/>
      <c r="AL39" s="191"/>
      <c r="AM39" s="194"/>
      <c r="AN39" s="124">
        <f t="shared" si="0"/>
        <v>19.75</v>
      </c>
      <c r="AO39" s="128">
        <v>170000</v>
      </c>
      <c r="AP39" s="125">
        <f t="shared" si="4"/>
        <v>3357500</v>
      </c>
    </row>
    <row r="40" spans="1:42" ht="24.95" customHeight="1">
      <c r="A40" s="170">
        <v>27</v>
      </c>
      <c r="B40" s="177" t="s">
        <v>439</v>
      </c>
      <c r="C40" s="127" t="s">
        <v>440</v>
      </c>
      <c r="D40" s="127" t="s">
        <v>235</v>
      </c>
      <c r="E40" s="173" t="s">
        <v>441</v>
      </c>
      <c r="F40" s="174" t="s">
        <v>237</v>
      </c>
      <c r="G40" s="175" t="s">
        <v>439</v>
      </c>
      <c r="H40" s="198" t="s">
        <v>442</v>
      </c>
      <c r="I40" s="201"/>
      <c r="J40" s="190"/>
      <c r="K40" s="190">
        <v>1</v>
      </c>
      <c r="L40" s="190">
        <v>1</v>
      </c>
      <c r="M40" s="190">
        <v>1</v>
      </c>
      <c r="N40" s="190">
        <v>1</v>
      </c>
      <c r="O40" s="190">
        <v>1</v>
      </c>
      <c r="P40" s="190"/>
      <c r="Q40" s="190"/>
      <c r="R40" s="190">
        <v>1</v>
      </c>
      <c r="S40" s="190">
        <v>1</v>
      </c>
      <c r="T40" s="190">
        <v>1</v>
      </c>
      <c r="U40" s="190">
        <v>1</v>
      </c>
      <c r="V40" s="190">
        <v>1</v>
      </c>
      <c r="W40" s="190"/>
      <c r="X40" s="190"/>
      <c r="Y40" s="190">
        <v>1</v>
      </c>
      <c r="Z40" s="190">
        <v>1</v>
      </c>
      <c r="AA40" s="190">
        <v>1</v>
      </c>
      <c r="AB40" s="191">
        <v>1</v>
      </c>
      <c r="AC40" s="191">
        <v>1</v>
      </c>
      <c r="AD40" s="191"/>
      <c r="AE40" s="191"/>
      <c r="AF40" s="191">
        <v>1</v>
      </c>
      <c r="AG40" s="191">
        <v>1</v>
      </c>
      <c r="AH40" s="191">
        <v>1</v>
      </c>
      <c r="AI40" s="191">
        <v>1</v>
      </c>
      <c r="AJ40" s="191">
        <v>1</v>
      </c>
      <c r="AK40" s="191"/>
      <c r="AL40" s="191"/>
      <c r="AM40" s="194"/>
      <c r="AN40" s="124">
        <f t="shared" si="0"/>
        <v>20</v>
      </c>
      <c r="AO40" s="128">
        <v>160000</v>
      </c>
      <c r="AP40" s="125">
        <f t="shared" si="4"/>
        <v>3200000</v>
      </c>
    </row>
    <row r="41" spans="1:42" ht="24.95" customHeight="1">
      <c r="A41" s="170">
        <v>28</v>
      </c>
      <c r="B41" s="177" t="s">
        <v>443</v>
      </c>
      <c r="C41" s="127" t="s">
        <v>444</v>
      </c>
      <c r="D41" s="127" t="s">
        <v>505</v>
      </c>
      <c r="E41" s="173" t="s">
        <v>445</v>
      </c>
      <c r="F41" s="174" t="s">
        <v>334</v>
      </c>
      <c r="G41" s="175" t="s">
        <v>443</v>
      </c>
      <c r="H41" s="198" t="s">
        <v>446</v>
      </c>
      <c r="I41" s="201"/>
      <c r="J41" s="190"/>
      <c r="K41" s="190">
        <v>1</v>
      </c>
      <c r="L41" s="190">
        <v>1</v>
      </c>
      <c r="M41" s="190">
        <v>1</v>
      </c>
      <c r="N41" s="190">
        <v>1</v>
      </c>
      <c r="O41" s="190">
        <v>1</v>
      </c>
      <c r="P41" s="190"/>
      <c r="Q41" s="190"/>
      <c r="R41" s="190">
        <v>1</v>
      </c>
      <c r="S41" s="190"/>
      <c r="T41" s="190">
        <v>1</v>
      </c>
      <c r="U41" s="190">
        <v>1</v>
      </c>
      <c r="V41" s="190">
        <v>1</v>
      </c>
      <c r="W41" s="190"/>
      <c r="X41" s="190"/>
      <c r="Y41" s="190">
        <v>1</v>
      </c>
      <c r="Z41" s="190">
        <v>1</v>
      </c>
      <c r="AA41" s="190">
        <v>1</v>
      </c>
      <c r="AB41" s="191">
        <v>1</v>
      </c>
      <c r="AC41" s="191">
        <v>1</v>
      </c>
      <c r="AD41" s="191"/>
      <c r="AE41" s="191"/>
      <c r="AF41" s="191">
        <v>1</v>
      </c>
      <c r="AG41" s="191">
        <v>1</v>
      </c>
      <c r="AH41" s="191">
        <v>1</v>
      </c>
      <c r="AI41" s="191">
        <v>1</v>
      </c>
      <c r="AJ41" s="191">
        <v>1</v>
      </c>
      <c r="AK41" s="191"/>
      <c r="AL41" s="191"/>
      <c r="AM41" s="194"/>
      <c r="AN41" s="124">
        <f t="shared" si="0"/>
        <v>19</v>
      </c>
      <c r="AO41" s="128">
        <v>190000</v>
      </c>
      <c r="AP41" s="125">
        <f t="shared" ref="AP41" si="5">AN41*AO41</f>
        <v>3610000</v>
      </c>
    </row>
    <row r="42" spans="1:42" ht="24.95" customHeight="1">
      <c r="A42" s="170">
        <v>29</v>
      </c>
      <c r="B42" s="177" t="s">
        <v>510</v>
      </c>
      <c r="C42" s="127" t="s">
        <v>511</v>
      </c>
      <c r="D42" s="127" t="s">
        <v>243</v>
      </c>
      <c r="E42" s="173" t="s">
        <v>512</v>
      </c>
      <c r="F42" s="174" t="s">
        <v>248</v>
      </c>
      <c r="G42" s="175" t="s">
        <v>510</v>
      </c>
      <c r="H42" s="198" t="s">
        <v>513</v>
      </c>
      <c r="I42" s="201"/>
      <c r="J42" s="190"/>
      <c r="K42" s="190">
        <v>0.875</v>
      </c>
      <c r="L42" s="190"/>
      <c r="M42" s="190">
        <v>1</v>
      </c>
      <c r="N42" s="190">
        <v>1</v>
      </c>
      <c r="O42" s="190">
        <v>1</v>
      </c>
      <c r="P42" s="190"/>
      <c r="Q42" s="190"/>
      <c r="R42" s="190">
        <v>1</v>
      </c>
      <c r="S42" s="190">
        <v>1</v>
      </c>
      <c r="T42" s="190">
        <v>1</v>
      </c>
      <c r="U42" s="190">
        <v>1</v>
      </c>
      <c r="V42" s="190">
        <v>1</v>
      </c>
      <c r="W42" s="190"/>
      <c r="X42" s="190"/>
      <c r="Y42" s="190">
        <v>1</v>
      </c>
      <c r="Z42" s="190">
        <v>1</v>
      </c>
      <c r="AA42" s="190">
        <v>1</v>
      </c>
      <c r="AB42" s="191">
        <v>1</v>
      </c>
      <c r="AC42" s="191">
        <v>1</v>
      </c>
      <c r="AD42" s="191"/>
      <c r="AE42" s="191"/>
      <c r="AF42" s="191">
        <v>1</v>
      </c>
      <c r="AG42" s="191">
        <v>1</v>
      </c>
      <c r="AH42" s="191">
        <v>1</v>
      </c>
      <c r="AI42" s="191">
        <v>1</v>
      </c>
      <c r="AJ42" s="191">
        <v>1</v>
      </c>
      <c r="AK42" s="191"/>
      <c r="AL42" s="191"/>
      <c r="AM42" s="194"/>
      <c r="AN42" s="124">
        <f t="shared" si="0"/>
        <v>18.875</v>
      </c>
      <c r="AO42" s="128">
        <v>210000</v>
      </c>
      <c r="AP42" s="125">
        <f t="shared" si="3"/>
        <v>3963750</v>
      </c>
    </row>
    <row r="43" spans="1:42" ht="24.95" customHeight="1">
      <c r="A43" s="170">
        <v>30</v>
      </c>
      <c r="B43" s="177" t="s">
        <v>447</v>
      </c>
      <c r="C43" s="127" t="s">
        <v>448</v>
      </c>
      <c r="D43" s="127" t="s">
        <v>243</v>
      </c>
      <c r="E43" s="173" t="s">
        <v>449</v>
      </c>
      <c r="F43" s="174" t="s">
        <v>334</v>
      </c>
      <c r="G43" s="175" t="s">
        <v>447</v>
      </c>
      <c r="H43" s="198" t="s">
        <v>450</v>
      </c>
      <c r="I43" s="201"/>
      <c r="J43" s="190"/>
      <c r="K43" s="190">
        <v>1</v>
      </c>
      <c r="L43" s="190">
        <v>1</v>
      </c>
      <c r="M43" s="190">
        <v>1</v>
      </c>
      <c r="N43" s="190">
        <v>1</v>
      </c>
      <c r="O43" s="190">
        <v>1</v>
      </c>
      <c r="P43" s="190"/>
      <c r="Q43" s="190"/>
      <c r="R43" s="190">
        <v>1</v>
      </c>
      <c r="S43" s="190">
        <v>1</v>
      </c>
      <c r="T43" s="190">
        <v>1</v>
      </c>
      <c r="U43" s="190">
        <v>1</v>
      </c>
      <c r="V43" s="190">
        <v>1</v>
      </c>
      <c r="W43" s="190"/>
      <c r="X43" s="190"/>
      <c r="Y43" s="190">
        <v>1</v>
      </c>
      <c r="Z43" s="190">
        <v>1</v>
      </c>
      <c r="AA43" s="190">
        <v>1</v>
      </c>
      <c r="AB43" s="191">
        <v>1</v>
      </c>
      <c r="AC43" s="191">
        <v>1</v>
      </c>
      <c r="AD43" s="191"/>
      <c r="AE43" s="191"/>
      <c r="AF43" s="191">
        <v>1</v>
      </c>
      <c r="AG43" s="191">
        <v>1</v>
      </c>
      <c r="AH43" s="191">
        <v>1</v>
      </c>
      <c r="AI43" s="191">
        <v>1</v>
      </c>
      <c r="AJ43" s="191">
        <v>1</v>
      </c>
      <c r="AK43" s="191"/>
      <c r="AL43" s="191"/>
      <c r="AM43" s="194"/>
      <c r="AN43" s="124">
        <f t="shared" si="0"/>
        <v>20</v>
      </c>
      <c r="AO43" s="128">
        <v>220000</v>
      </c>
      <c r="AP43" s="125">
        <f t="shared" si="3"/>
        <v>4400000</v>
      </c>
    </row>
    <row r="44" spans="1:42" ht="24.95" customHeight="1">
      <c r="A44" s="170">
        <v>31</v>
      </c>
      <c r="B44" s="177" t="s">
        <v>451</v>
      </c>
      <c r="C44" s="127" t="s">
        <v>452</v>
      </c>
      <c r="D44" s="127" t="s">
        <v>496</v>
      </c>
      <c r="E44" s="173" t="s">
        <v>453</v>
      </c>
      <c r="F44" s="174" t="s">
        <v>247</v>
      </c>
      <c r="G44" s="175" t="s">
        <v>451</v>
      </c>
      <c r="H44" s="198" t="s">
        <v>454</v>
      </c>
      <c r="I44" s="201"/>
      <c r="J44" s="190"/>
      <c r="K44" s="190">
        <v>1</v>
      </c>
      <c r="L44" s="190">
        <v>1</v>
      </c>
      <c r="M44" s="190">
        <v>1</v>
      </c>
      <c r="N44" s="190">
        <v>1</v>
      </c>
      <c r="O44" s="190">
        <v>1</v>
      </c>
      <c r="P44" s="190"/>
      <c r="Q44" s="190"/>
      <c r="R44" s="190">
        <v>1</v>
      </c>
      <c r="S44" s="190">
        <v>1</v>
      </c>
      <c r="T44" s="190">
        <v>1</v>
      </c>
      <c r="U44" s="190">
        <v>1</v>
      </c>
      <c r="V44" s="190">
        <v>1</v>
      </c>
      <c r="W44" s="190"/>
      <c r="X44" s="190"/>
      <c r="Y44" s="190">
        <v>1</v>
      </c>
      <c r="Z44" s="190"/>
      <c r="AA44" s="190">
        <v>1</v>
      </c>
      <c r="AB44" s="191">
        <v>1</v>
      </c>
      <c r="AC44" s="191">
        <v>1</v>
      </c>
      <c r="AD44" s="191"/>
      <c r="AE44" s="191"/>
      <c r="AF44" s="191">
        <v>1</v>
      </c>
      <c r="AG44" s="191">
        <v>1</v>
      </c>
      <c r="AH44" s="191">
        <v>1</v>
      </c>
      <c r="AI44" s="191">
        <v>1</v>
      </c>
      <c r="AJ44" s="191">
        <v>1</v>
      </c>
      <c r="AK44" s="191"/>
      <c r="AL44" s="191"/>
      <c r="AM44" s="194"/>
      <c r="AN44" s="124">
        <f t="shared" si="0"/>
        <v>19</v>
      </c>
      <c r="AO44" s="128">
        <v>240000</v>
      </c>
      <c r="AP44" s="125">
        <f t="shared" si="3"/>
        <v>4560000</v>
      </c>
    </row>
    <row r="45" spans="1:42" ht="24.95" customHeight="1" thickBot="1">
      <c r="A45" s="179">
        <v>32</v>
      </c>
      <c r="B45" s="177" t="s">
        <v>455</v>
      </c>
      <c r="C45" s="127" t="s">
        <v>456</v>
      </c>
      <c r="D45" s="127" t="s">
        <v>235</v>
      </c>
      <c r="E45" s="173" t="s">
        <v>457</v>
      </c>
      <c r="F45" s="174" t="s">
        <v>237</v>
      </c>
      <c r="G45" s="175" t="s">
        <v>455</v>
      </c>
      <c r="H45" s="198" t="s">
        <v>458</v>
      </c>
      <c r="I45" s="202"/>
      <c r="J45" s="203"/>
      <c r="K45" s="203">
        <v>1</v>
      </c>
      <c r="L45" s="203">
        <v>1</v>
      </c>
      <c r="M45" s="203">
        <v>1</v>
      </c>
      <c r="N45" s="203">
        <v>1</v>
      </c>
      <c r="O45" s="203">
        <v>1</v>
      </c>
      <c r="P45" s="203"/>
      <c r="Q45" s="203"/>
      <c r="R45" s="203">
        <v>1</v>
      </c>
      <c r="S45" s="203">
        <v>1</v>
      </c>
      <c r="T45" s="203">
        <v>1</v>
      </c>
      <c r="U45" s="203">
        <v>1</v>
      </c>
      <c r="V45" s="203">
        <v>1</v>
      </c>
      <c r="W45" s="203"/>
      <c r="X45" s="203"/>
      <c r="Y45" s="203">
        <v>1</v>
      </c>
      <c r="Z45" s="203">
        <v>1</v>
      </c>
      <c r="AA45" s="203">
        <v>1</v>
      </c>
      <c r="AB45" s="195">
        <v>1</v>
      </c>
      <c r="AC45" s="195">
        <v>1</v>
      </c>
      <c r="AD45" s="195"/>
      <c r="AE45" s="195"/>
      <c r="AF45" s="195">
        <v>1</v>
      </c>
      <c r="AG45" s="195">
        <v>1</v>
      </c>
      <c r="AH45" s="195">
        <v>1</v>
      </c>
      <c r="AI45" s="195">
        <v>1</v>
      </c>
      <c r="AJ45" s="195">
        <v>1</v>
      </c>
      <c r="AK45" s="195"/>
      <c r="AL45" s="195"/>
      <c r="AM45" s="196"/>
      <c r="AN45" s="182">
        <f t="shared" si="0"/>
        <v>20</v>
      </c>
      <c r="AO45" s="128">
        <v>140000</v>
      </c>
      <c r="AP45" s="183">
        <f t="shared" si="3"/>
        <v>2800000</v>
      </c>
    </row>
    <row r="46" spans="1:42" ht="30" customHeight="1" thickBot="1">
      <c r="A46" s="261" t="s">
        <v>218</v>
      </c>
      <c r="B46" s="262"/>
      <c r="C46" s="262"/>
      <c r="D46" s="262"/>
      <c r="E46" s="262"/>
      <c r="F46" s="262"/>
      <c r="G46" s="262"/>
      <c r="H46" s="263"/>
      <c r="I46" s="133">
        <f t="shared" ref="I46:AM46" si="6">SUM(I6:I45)</f>
        <v>0</v>
      </c>
      <c r="J46" s="134">
        <f t="shared" si="6"/>
        <v>0</v>
      </c>
      <c r="K46" s="134">
        <f t="shared" si="6"/>
        <v>37.375</v>
      </c>
      <c r="L46" s="134">
        <f t="shared" si="6"/>
        <v>31.75</v>
      </c>
      <c r="M46" s="134">
        <f t="shared" si="6"/>
        <v>39.5</v>
      </c>
      <c r="N46" s="134">
        <f t="shared" si="6"/>
        <v>40</v>
      </c>
      <c r="O46" s="134">
        <f t="shared" si="6"/>
        <v>40</v>
      </c>
      <c r="P46" s="134">
        <f t="shared" si="6"/>
        <v>0</v>
      </c>
      <c r="Q46" s="134">
        <f t="shared" si="6"/>
        <v>0</v>
      </c>
      <c r="R46" s="134">
        <f t="shared" si="6"/>
        <v>39.5</v>
      </c>
      <c r="S46" s="134">
        <f t="shared" si="6"/>
        <v>37</v>
      </c>
      <c r="T46" s="134">
        <f t="shared" si="6"/>
        <v>39</v>
      </c>
      <c r="U46" s="134">
        <f t="shared" si="6"/>
        <v>39.625</v>
      </c>
      <c r="V46" s="134">
        <f t="shared" si="6"/>
        <v>38.875</v>
      </c>
      <c r="W46" s="134">
        <f t="shared" si="6"/>
        <v>0</v>
      </c>
      <c r="X46" s="134">
        <f t="shared" si="6"/>
        <v>0</v>
      </c>
      <c r="Y46" s="134">
        <f t="shared" si="6"/>
        <v>39</v>
      </c>
      <c r="Z46" s="134">
        <f t="shared" si="6"/>
        <v>38</v>
      </c>
      <c r="AA46" s="134">
        <f t="shared" si="6"/>
        <v>40</v>
      </c>
      <c r="AB46" s="134">
        <f t="shared" si="6"/>
        <v>38.75</v>
      </c>
      <c r="AC46" s="134">
        <f t="shared" si="6"/>
        <v>40</v>
      </c>
      <c r="AD46" s="134">
        <f t="shared" si="6"/>
        <v>0</v>
      </c>
      <c r="AE46" s="134">
        <f t="shared" si="6"/>
        <v>0</v>
      </c>
      <c r="AF46" s="134">
        <f t="shared" si="6"/>
        <v>40</v>
      </c>
      <c r="AG46" s="134">
        <f t="shared" si="6"/>
        <v>39.875</v>
      </c>
      <c r="AH46" s="134">
        <f t="shared" si="6"/>
        <v>39.625</v>
      </c>
      <c r="AI46" s="134">
        <f t="shared" si="6"/>
        <v>38.875</v>
      </c>
      <c r="AJ46" s="134">
        <f t="shared" si="6"/>
        <v>39</v>
      </c>
      <c r="AK46" s="134">
        <f t="shared" si="6"/>
        <v>0</v>
      </c>
      <c r="AL46" s="134">
        <f t="shared" si="6"/>
        <v>0</v>
      </c>
      <c r="AM46" s="135">
        <f t="shared" si="6"/>
        <v>0</v>
      </c>
      <c r="AN46" s="136">
        <f>SUM(AN6:AN45)</f>
        <v>775.75</v>
      </c>
      <c r="AO46" s="137">
        <f>AP46/AN46</f>
        <v>194262.00451176282</v>
      </c>
      <c r="AP46" s="138">
        <f>SUM(AP6:AP45)</f>
        <v>150698750</v>
      </c>
    </row>
    <row r="47" spans="1:42" ht="24.95" hidden="1" customHeight="1">
      <c r="A47" s="117">
        <v>1</v>
      </c>
      <c r="B47" s="118" t="s">
        <v>233</v>
      </c>
      <c r="C47" s="119" t="s">
        <v>240</v>
      </c>
      <c r="D47" s="119" t="s">
        <v>235</v>
      </c>
      <c r="E47" s="119" t="s">
        <v>236</v>
      </c>
      <c r="F47" s="120" t="s">
        <v>237</v>
      </c>
      <c r="G47" s="121" t="s">
        <v>238</v>
      </c>
      <c r="H47" s="122" t="s">
        <v>239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4">
        <f t="shared" ref="AN47:AN56" si="7">SUM(I47:AM47)</f>
        <v>0</v>
      </c>
      <c r="AO47" s="120"/>
      <c r="AP47" s="125">
        <f>AN47*AO47</f>
        <v>0</v>
      </c>
    </row>
    <row r="48" spans="1:42" ht="24.95" hidden="1" customHeight="1">
      <c r="A48" s="126">
        <v>2</v>
      </c>
      <c r="B48" s="118" t="s">
        <v>233</v>
      </c>
      <c r="C48" s="119" t="s">
        <v>234</v>
      </c>
      <c r="D48" s="127" t="s">
        <v>241</v>
      </c>
      <c r="E48" s="119" t="s">
        <v>236</v>
      </c>
      <c r="F48" s="128" t="s">
        <v>242</v>
      </c>
      <c r="G48" s="121" t="s">
        <v>233</v>
      </c>
      <c r="H48" s="122" t="s">
        <v>245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4">
        <f t="shared" si="7"/>
        <v>0</v>
      </c>
      <c r="AO48" s="120"/>
      <c r="AP48" s="125">
        <f t="shared" ref="AP48:AP56" si="8">AN48*AO48</f>
        <v>0</v>
      </c>
    </row>
    <row r="49" spans="1:42" ht="24.95" hidden="1" customHeight="1">
      <c r="A49" s="126">
        <v>3</v>
      </c>
      <c r="B49" s="118" t="s">
        <v>233</v>
      </c>
      <c r="C49" s="119" t="s">
        <v>240</v>
      </c>
      <c r="D49" s="129" t="s">
        <v>243</v>
      </c>
      <c r="E49" s="119" t="s">
        <v>236</v>
      </c>
      <c r="F49" s="128" t="s">
        <v>244</v>
      </c>
      <c r="G49" s="121" t="s">
        <v>233</v>
      </c>
      <c r="H49" s="122" t="s">
        <v>245</v>
      </c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4">
        <f t="shared" si="7"/>
        <v>0</v>
      </c>
      <c r="AO49" s="120"/>
      <c r="AP49" s="125">
        <f t="shared" si="8"/>
        <v>0</v>
      </c>
    </row>
    <row r="50" spans="1:42" ht="24.95" hidden="1" customHeight="1">
      <c r="A50" s="126">
        <v>4</v>
      </c>
      <c r="B50" s="118" t="s">
        <v>233</v>
      </c>
      <c r="C50" s="119" t="s">
        <v>240</v>
      </c>
      <c r="D50" s="127" t="s">
        <v>235</v>
      </c>
      <c r="E50" s="119" t="s">
        <v>236</v>
      </c>
      <c r="F50" s="128" t="s">
        <v>237</v>
      </c>
      <c r="G50" s="121" t="s">
        <v>238</v>
      </c>
      <c r="H50" s="122" t="s">
        <v>245</v>
      </c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4">
        <f t="shared" si="7"/>
        <v>0</v>
      </c>
      <c r="AO50" s="120"/>
      <c r="AP50" s="125">
        <f t="shared" si="8"/>
        <v>0</v>
      </c>
    </row>
    <row r="51" spans="1:42" ht="24.95" hidden="1" customHeight="1">
      <c r="A51" s="126">
        <v>5</v>
      </c>
      <c r="B51" s="118" t="s">
        <v>238</v>
      </c>
      <c r="C51" s="119" t="s">
        <v>234</v>
      </c>
      <c r="D51" s="127" t="s">
        <v>243</v>
      </c>
      <c r="E51" s="119" t="s">
        <v>246</v>
      </c>
      <c r="F51" s="128" t="s">
        <v>247</v>
      </c>
      <c r="G51" s="121" t="s">
        <v>233</v>
      </c>
      <c r="H51" s="122" t="s">
        <v>239</v>
      </c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4">
        <f t="shared" si="7"/>
        <v>0</v>
      </c>
      <c r="AO51" s="120"/>
      <c r="AP51" s="125">
        <f t="shared" si="8"/>
        <v>0</v>
      </c>
    </row>
    <row r="52" spans="1:42" ht="24.95" hidden="1" customHeight="1">
      <c r="A52" s="126">
        <v>6</v>
      </c>
      <c r="B52" s="118" t="s">
        <v>233</v>
      </c>
      <c r="C52" s="119" t="s">
        <v>249</v>
      </c>
      <c r="D52" s="129" t="s">
        <v>235</v>
      </c>
      <c r="E52" s="119" t="s">
        <v>250</v>
      </c>
      <c r="F52" s="128" t="s">
        <v>244</v>
      </c>
      <c r="G52" s="121" t="s">
        <v>233</v>
      </c>
      <c r="H52" s="122" t="s">
        <v>245</v>
      </c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4">
        <f t="shared" si="7"/>
        <v>0</v>
      </c>
      <c r="AO52" s="120"/>
      <c r="AP52" s="125">
        <f t="shared" si="8"/>
        <v>0</v>
      </c>
    </row>
    <row r="53" spans="1:42" ht="24.95" hidden="1" customHeight="1">
      <c r="A53" s="126">
        <v>7</v>
      </c>
      <c r="B53" s="118" t="s">
        <v>233</v>
      </c>
      <c r="C53" s="119" t="s">
        <v>240</v>
      </c>
      <c r="D53" s="127" t="s">
        <v>235</v>
      </c>
      <c r="E53" s="119" t="s">
        <v>246</v>
      </c>
      <c r="F53" s="128" t="s">
        <v>244</v>
      </c>
      <c r="G53" s="121" t="s">
        <v>233</v>
      </c>
      <c r="H53" s="122" t="s">
        <v>239</v>
      </c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4">
        <f t="shared" si="7"/>
        <v>0</v>
      </c>
      <c r="AO53" s="120"/>
      <c r="AP53" s="125">
        <f t="shared" si="8"/>
        <v>0</v>
      </c>
    </row>
    <row r="54" spans="1:42" ht="24.95" hidden="1" customHeight="1">
      <c r="A54" s="126">
        <v>8</v>
      </c>
      <c r="B54" s="118" t="s">
        <v>233</v>
      </c>
      <c r="C54" s="119" t="s">
        <v>234</v>
      </c>
      <c r="D54" s="129" t="s">
        <v>241</v>
      </c>
      <c r="E54" s="119" t="s">
        <v>236</v>
      </c>
      <c r="F54" s="128" t="s">
        <v>248</v>
      </c>
      <c r="G54" s="121" t="s">
        <v>238</v>
      </c>
      <c r="H54" s="122" t="s">
        <v>245</v>
      </c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4">
        <f t="shared" si="7"/>
        <v>0</v>
      </c>
      <c r="AO54" s="120"/>
      <c r="AP54" s="125">
        <f t="shared" si="8"/>
        <v>0</v>
      </c>
    </row>
    <row r="55" spans="1:42" ht="24.95" hidden="1" customHeight="1">
      <c r="A55" s="126">
        <v>9</v>
      </c>
      <c r="B55" s="118" t="s">
        <v>251</v>
      </c>
      <c r="C55" s="119" t="s">
        <v>234</v>
      </c>
      <c r="D55" s="129" t="s">
        <v>243</v>
      </c>
      <c r="E55" s="119" t="s">
        <v>246</v>
      </c>
      <c r="F55" s="128" t="s">
        <v>237</v>
      </c>
      <c r="G55" s="121" t="s">
        <v>233</v>
      </c>
      <c r="H55" s="122" t="s">
        <v>239</v>
      </c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4">
        <f t="shared" si="7"/>
        <v>0</v>
      </c>
      <c r="AO55" s="120"/>
      <c r="AP55" s="125">
        <f t="shared" si="8"/>
        <v>0</v>
      </c>
    </row>
    <row r="56" spans="1:42" ht="24.95" hidden="1" customHeight="1" thickBot="1">
      <c r="A56" s="130">
        <v>10</v>
      </c>
      <c r="B56" s="118" t="s">
        <v>233</v>
      </c>
      <c r="C56" s="119" t="s">
        <v>240</v>
      </c>
      <c r="D56" s="131" t="s">
        <v>235</v>
      </c>
      <c r="E56" s="119" t="s">
        <v>252</v>
      </c>
      <c r="F56" s="132" t="s">
        <v>244</v>
      </c>
      <c r="G56" s="121" t="s">
        <v>233</v>
      </c>
      <c r="H56" s="122" t="s">
        <v>245</v>
      </c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4">
        <f t="shared" si="7"/>
        <v>0</v>
      </c>
      <c r="AO56" s="120"/>
      <c r="AP56" s="125">
        <f t="shared" si="8"/>
        <v>0</v>
      </c>
    </row>
    <row r="57" spans="1:42" ht="30" hidden="1" customHeight="1" thickBot="1">
      <c r="A57" s="261" t="s">
        <v>253</v>
      </c>
      <c r="B57" s="262"/>
      <c r="C57" s="262"/>
      <c r="D57" s="262"/>
      <c r="E57" s="262"/>
      <c r="F57" s="262"/>
      <c r="G57" s="262"/>
      <c r="H57" s="263"/>
      <c r="I57" s="133">
        <f t="shared" ref="I57:AN57" si="9">SUM(I47:I56)</f>
        <v>0</v>
      </c>
      <c r="J57" s="134">
        <f t="shared" si="9"/>
        <v>0</v>
      </c>
      <c r="K57" s="134">
        <f t="shared" si="9"/>
        <v>0</v>
      </c>
      <c r="L57" s="134">
        <f t="shared" si="9"/>
        <v>0</v>
      </c>
      <c r="M57" s="134">
        <f t="shared" si="9"/>
        <v>0</v>
      </c>
      <c r="N57" s="134">
        <f t="shared" si="9"/>
        <v>0</v>
      </c>
      <c r="O57" s="134">
        <f t="shared" si="9"/>
        <v>0</v>
      </c>
      <c r="P57" s="134">
        <f t="shared" si="9"/>
        <v>0</v>
      </c>
      <c r="Q57" s="134">
        <f t="shared" si="9"/>
        <v>0</v>
      </c>
      <c r="R57" s="134">
        <f t="shared" si="9"/>
        <v>0</v>
      </c>
      <c r="S57" s="134">
        <f t="shared" si="9"/>
        <v>0</v>
      </c>
      <c r="T57" s="134">
        <f t="shared" si="9"/>
        <v>0</v>
      </c>
      <c r="U57" s="134">
        <f t="shared" si="9"/>
        <v>0</v>
      </c>
      <c r="V57" s="134">
        <f t="shared" si="9"/>
        <v>0</v>
      </c>
      <c r="W57" s="134">
        <f t="shared" si="9"/>
        <v>0</v>
      </c>
      <c r="X57" s="134">
        <f t="shared" si="9"/>
        <v>0</v>
      </c>
      <c r="Y57" s="134">
        <f t="shared" si="9"/>
        <v>0</v>
      </c>
      <c r="Z57" s="134">
        <f t="shared" si="9"/>
        <v>0</v>
      </c>
      <c r="AA57" s="134">
        <f t="shared" si="9"/>
        <v>0</v>
      </c>
      <c r="AB57" s="134">
        <f t="shared" si="9"/>
        <v>0</v>
      </c>
      <c r="AC57" s="134">
        <f t="shared" si="9"/>
        <v>0</v>
      </c>
      <c r="AD57" s="134">
        <f t="shared" si="9"/>
        <v>0</v>
      </c>
      <c r="AE57" s="134">
        <f t="shared" si="9"/>
        <v>0</v>
      </c>
      <c r="AF57" s="134">
        <f t="shared" si="9"/>
        <v>0</v>
      </c>
      <c r="AG57" s="134">
        <f t="shared" si="9"/>
        <v>0</v>
      </c>
      <c r="AH57" s="134">
        <f t="shared" si="9"/>
        <v>0</v>
      </c>
      <c r="AI57" s="134">
        <f t="shared" si="9"/>
        <v>0</v>
      </c>
      <c r="AJ57" s="134">
        <f t="shared" si="9"/>
        <v>0</v>
      </c>
      <c r="AK57" s="134">
        <f t="shared" si="9"/>
        <v>0</v>
      </c>
      <c r="AL57" s="134">
        <f t="shared" si="9"/>
        <v>0</v>
      </c>
      <c r="AM57" s="135">
        <f t="shared" si="9"/>
        <v>0</v>
      </c>
      <c r="AN57" s="136">
        <f t="shared" si="9"/>
        <v>0</v>
      </c>
      <c r="AO57" s="137" t="e">
        <f>AP57/AN57</f>
        <v>#DIV/0!</v>
      </c>
      <c r="AP57" s="138">
        <f>SUM(AP47:AP56)</f>
        <v>0</v>
      </c>
    </row>
    <row r="58" spans="1:42" ht="35.1" customHeight="1" thickBot="1">
      <c r="A58" s="264" t="s">
        <v>254</v>
      </c>
      <c r="B58" s="265"/>
      <c r="C58" s="265"/>
      <c r="D58" s="265"/>
      <c r="E58" s="265"/>
      <c r="F58" s="265"/>
      <c r="G58" s="265"/>
      <c r="H58" s="266"/>
      <c r="I58" s="139">
        <f>I46+I57</f>
        <v>0</v>
      </c>
      <c r="J58" s="140">
        <f>J46+J57</f>
        <v>0</v>
      </c>
      <c r="K58" s="140">
        <f>K46+K57</f>
        <v>37.375</v>
      </c>
      <c r="L58" s="140">
        <f t="shared" ref="L58:AM58" si="10">L46+L57</f>
        <v>31.75</v>
      </c>
      <c r="M58" s="140">
        <f t="shared" si="10"/>
        <v>39.5</v>
      </c>
      <c r="N58" s="140">
        <f t="shared" si="10"/>
        <v>40</v>
      </c>
      <c r="O58" s="140">
        <f t="shared" si="10"/>
        <v>40</v>
      </c>
      <c r="P58" s="140">
        <f t="shared" si="10"/>
        <v>0</v>
      </c>
      <c r="Q58" s="140">
        <f t="shared" si="10"/>
        <v>0</v>
      </c>
      <c r="R58" s="140">
        <f t="shared" si="10"/>
        <v>39.5</v>
      </c>
      <c r="S58" s="140">
        <f t="shared" si="10"/>
        <v>37</v>
      </c>
      <c r="T58" s="140">
        <f t="shared" si="10"/>
        <v>39</v>
      </c>
      <c r="U58" s="140">
        <f t="shared" si="10"/>
        <v>39.625</v>
      </c>
      <c r="V58" s="140">
        <f t="shared" si="10"/>
        <v>38.875</v>
      </c>
      <c r="W58" s="140">
        <f t="shared" si="10"/>
        <v>0</v>
      </c>
      <c r="X58" s="140">
        <f t="shared" si="10"/>
        <v>0</v>
      </c>
      <c r="Y58" s="140">
        <f t="shared" si="10"/>
        <v>39</v>
      </c>
      <c r="Z58" s="140">
        <f t="shared" si="10"/>
        <v>38</v>
      </c>
      <c r="AA58" s="140">
        <f t="shared" si="10"/>
        <v>40</v>
      </c>
      <c r="AB58" s="140">
        <f t="shared" si="10"/>
        <v>38.75</v>
      </c>
      <c r="AC58" s="140">
        <f t="shared" si="10"/>
        <v>40</v>
      </c>
      <c r="AD58" s="140">
        <f t="shared" si="10"/>
        <v>0</v>
      </c>
      <c r="AE58" s="140">
        <f t="shared" si="10"/>
        <v>0</v>
      </c>
      <c r="AF58" s="140">
        <f t="shared" si="10"/>
        <v>40</v>
      </c>
      <c r="AG58" s="140">
        <f t="shared" si="10"/>
        <v>39.875</v>
      </c>
      <c r="AH58" s="140">
        <f t="shared" si="10"/>
        <v>39.625</v>
      </c>
      <c r="AI58" s="140">
        <f t="shared" si="10"/>
        <v>38.875</v>
      </c>
      <c r="AJ58" s="140">
        <f t="shared" si="10"/>
        <v>39</v>
      </c>
      <c r="AK58" s="140">
        <f t="shared" si="10"/>
        <v>0</v>
      </c>
      <c r="AL58" s="140">
        <f t="shared" si="10"/>
        <v>0</v>
      </c>
      <c r="AM58" s="140">
        <f t="shared" si="10"/>
        <v>0</v>
      </c>
      <c r="AN58" s="141">
        <f>AN46+AN57</f>
        <v>775.75</v>
      </c>
      <c r="AO58" s="142">
        <f>AP58/AN58</f>
        <v>194262.00451176282</v>
      </c>
      <c r="AP58" s="143">
        <f>AP46+AP57</f>
        <v>150698750</v>
      </c>
    </row>
    <row r="59" spans="1:42">
      <c r="G59" s="144"/>
      <c r="H59" s="144"/>
      <c r="AG59" s="145"/>
      <c r="AI59" s="146"/>
      <c r="AO59" s="144"/>
    </row>
    <row r="60" spans="1:42">
      <c r="G60" s="144"/>
      <c r="H60" s="144"/>
      <c r="AG60" s="145"/>
      <c r="AI60" s="146"/>
      <c r="AO60" s="144"/>
    </row>
    <row r="61" spans="1:42">
      <c r="G61" s="144"/>
      <c r="H61" s="144"/>
      <c r="AG61" s="145"/>
      <c r="AI61" s="146"/>
      <c r="AO61" s="144">
        <v>194250</v>
      </c>
    </row>
    <row r="62" spans="1:42">
      <c r="G62" s="144"/>
      <c r="H62" s="144"/>
      <c r="AG62" s="145"/>
      <c r="AI62" s="146"/>
      <c r="AO62" s="144"/>
    </row>
    <row r="63" spans="1:42">
      <c r="G63" s="144"/>
      <c r="H63" s="144"/>
      <c r="AI63" s="145"/>
      <c r="AM63" s="146"/>
      <c r="AO63" s="144"/>
    </row>
    <row r="64" spans="1:42">
      <c r="G64" s="144"/>
      <c r="H64" s="144"/>
      <c r="AI64" s="145"/>
      <c r="AJ64" s="145"/>
      <c r="AM64" s="146"/>
      <c r="AO64" s="144"/>
    </row>
    <row r="65" spans="3:41">
      <c r="G65" s="144"/>
      <c r="H65" s="144"/>
      <c r="AJ65" s="145"/>
      <c r="AK65" s="145"/>
      <c r="AL65" s="145"/>
      <c r="AO65" s="144"/>
    </row>
    <row r="66" spans="3:41">
      <c r="G66" s="144"/>
      <c r="H66" s="144"/>
      <c r="AJ66" s="145"/>
      <c r="AK66" s="145"/>
      <c r="AL66" s="145"/>
      <c r="AO66" s="144"/>
    </row>
    <row r="67" spans="3:41">
      <c r="G67" s="144"/>
      <c r="H67" s="144"/>
      <c r="AJ67" s="145"/>
      <c r="AK67" s="145"/>
      <c r="AL67" s="145"/>
      <c r="AO67" s="144"/>
    </row>
    <row r="68" spans="3:41">
      <c r="G68" s="144"/>
      <c r="H68" s="144"/>
      <c r="AK68" s="145"/>
      <c r="AL68" s="145"/>
      <c r="AO68" s="144"/>
    </row>
    <row r="69" spans="3:41">
      <c r="C69" s="148"/>
      <c r="D69" s="148"/>
      <c r="E69" s="148"/>
      <c r="G69" s="144"/>
      <c r="H69" s="144"/>
      <c r="AN69" s="146"/>
      <c r="AO69" s="144"/>
    </row>
    <row r="70" spans="3:41">
      <c r="C70" s="148"/>
      <c r="D70" s="148"/>
      <c r="E70" s="148"/>
      <c r="G70" s="144"/>
      <c r="H70" s="144"/>
      <c r="AN70" s="146"/>
      <c r="AO70" s="144"/>
    </row>
    <row r="71" spans="3:41">
      <c r="C71" s="148"/>
      <c r="D71" s="148"/>
      <c r="E71" s="148"/>
      <c r="G71" s="144"/>
      <c r="H71" s="144"/>
      <c r="AN71" s="146"/>
      <c r="AO71" s="144"/>
    </row>
    <row r="72" spans="3:41">
      <c r="C72" s="148"/>
      <c r="D72" s="148"/>
      <c r="E72" s="148"/>
      <c r="G72" s="144"/>
      <c r="H72" s="144"/>
      <c r="AN72" s="146"/>
      <c r="AO72" s="144"/>
    </row>
    <row r="73" spans="3:41">
      <c r="C73" s="148"/>
      <c r="D73" s="148"/>
      <c r="E73" s="148"/>
      <c r="G73" s="144"/>
      <c r="H73" s="144"/>
      <c r="AN73" s="146"/>
      <c r="AO73" s="144"/>
    </row>
    <row r="74" spans="3:41">
      <c r="E74" s="148"/>
      <c r="F74" s="148"/>
      <c r="G74" s="144"/>
      <c r="H74" s="144"/>
      <c r="AO74" s="146"/>
    </row>
    <row r="75" spans="3:41">
      <c r="E75" s="148"/>
      <c r="F75" s="148"/>
      <c r="G75" s="144"/>
      <c r="H75" s="144"/>
      <c r="AO75" s="146"/>
    </row>
    <row r="76" spans="3:41">
      <c r="E76" s="148"/>
      <c r="F76" s="148"/>
      <c r="G76" s="144"/>
      <c r="H76" s="144"/>
      <c r="AO76" s="146"/>
    </row>
    <row r="77" spans="3:41">
      <c r="E77" s="148"/>
      <c r="F77" s="148"/>
      <c r="G77" s="144"/>
      <c r="H77" s="144"/>
      <c r="AO77" s="146"/>
    </row>
    <row r="78" spans="3:41">
      <c r="E78" s="148"/>
      <c r="F78" s="148"/>
      <c r="G78" s="144"/>
      <c r="H78" s="144"/>
      <c r="AO78" s="146"/>
    </row>
    <row r="79" spans="3:41">
      <c r="E79" s="148"/>
      <c r="F79" s="148"/>
      <c r="G79" s="144"/>
      <c r="H79" s="144"/>
      <c r="AO79" s="146"/>
    </row>
    <row r="80" spans="3:41">
      <c r="E80" s="148"/>
      <c r="F80" s="148"/>
      <c r="G80" s="144"/>
      <c r="H80" s="144"/>
      <c r="AO80" s="146"/>
    </row>
    <row r="81" spans="5:41">
      <c r="E81" s="148"/>
      <c r="F81" s="148"/>
      <c r="G81" s="144"/>
      <c r="H81" s="144"/>
      <c r="AO81" s="146"/>
    </row>
    <row r="82" spans="5:41">
      <c r="E82" s="148"/>
      <c r="F82" s="148"/>
      <c r="G82" s="144"/>
      <c r="H82" s="144"/>
      <c r="AO82" s="146"/>
    </row>
    <row r="83" spans="5:41">
      <c r="E83" s="148"/>
      <c r="F83" s="148"/>
      <c r="G83" s="144"/>
      <c r="H83" s="144"/>
      <c r="AO83" s="146"/>
    </row>
    <row r="84" spans="5:41">
      <c r="E84" s="148"/>
      <c r="F84" s="148"/>
      <c r="G84" s="144"/>
      <c r="H84" s="144"/>
      <c r="AO84" s="146"/>
    </row>
    <row r="85" spans="5:41">
      <c r="E85" s="148"/>
      <c r="F85" s="148"/>
      <c r="G85" s="144"/>
      <c r="H85" s="144"/>
      <c r="AO85" s="146"/>
    </row>
    <row r="86" spans="5:41">
      <c r="E86" s="148"/>
      <c r="F86" s="148"/>
      <c r="G86" s="144"/>
      <c r="H86" s="144"/>
      <c r="AO86" s="146"/>
    </row>
    <row r="87" spans="5:41">
      <c r="E87" s="148"/>
      <c r="F87" s="148"/>
      <c r="G87" s="144"/>
      <c r="H87" s="144"/>
      <c r="AO87" s="146"/>
    </row>
    <row r="88" spans="5:41">
      <c r="E88" s="148"/>
      <c r="F88" s="148"/>
      <c r="G88" s="144"/>
      <c r="H88" s="144"/>
      <c r="AO88" s="146"/>
    </row>
    <row r="89" spans="5:41">
      <c r="E89" s="148"/>
      <c r="F89" s="148"/>
      <c r="G89" s="144"/>
      <c r="H89" s="144"/>
      <c r="AO89" s="146"/>
    </row>
    <row r="90" spans="5:41">
      <c r="E90" s="148"/>
      <c r="F90" s="148"/>
      <c r="G90" s="144"/>
      <c r="H90" s="144"/>
      <c r="AO90" s="146"/>
    </row>
    <row r="91" spans="5:41">
      <c r="E91" s="148"/>
      <c r="F91" s="148"/>
      <c r="G91" s="144"/>
      <c r="H91" s="144"/>
      <c r="AO91" s="146"/>
    </row>
    <row r="92" spans="5:41">
      <c r="E92" s="148"/>
      <c r="F92" s="148"/>
      <c r="G92" s="144"/>
      <c r="H92" s="144"/>
      <c r="AO92" s="146"/>
    </row>
    <row r="93" spans="5:41">
      <c r="E93" s="148"/>
      <c r="F93" s="148"/>
      <c r="G93" s="144"/>
      <c r="H93" s="144"/>
      <c r="AO93" s="146"/>
    </row>
    <row r="94" spans="5:41">
      <c r="E94" s="148"/>
      <c r="F94" s="148"/>
      <c r="G94" s="144"/>
      <c r="H94" s="144"/>
      <c r="AO94" s="146"/>
    </row>
    <row r="95" spans="5:41">
      <c r="E95" s="148"/>
      <c r="F95" s="148"/>
      <c r="G95" s="144"/>
      <c r="H95" s="144"/>
      <c r="AO95" s="146"/>
    </row>
    <row r="96" spans="5:41">
      <c r="E96" s="148"/>
      <c r="F96" s="148"/>
      <c r="G96" s="144"/>
      <c r="H96" s="144"/>
      <c r="AO96" s="146"/>
    </row>
    <row r="97" spans="5:42">
      <c r="E97" s="148"/>
      <c r="F97" s="148"/>
      <c r="G97" s="144"/>
      <c r="H97" s="144"/>
      <c r="AO97" s="146"/>
    </row>
    <row r="98" spans="5:42">
      <c r="F98" s="148"/>
      <c r="H98" s="144"/>
      <c r="AN98" s="145"/>
      <c r="AO98" s="144"/>
      <c r="AP98" s="149"/>
    </row>
    <row r="99" spans="5:42">
      <c r="F99" s="148"/>
      <c r="H99" s="144"/>
      <c r="AN99" s="145"/>
      <c r="AO99" s="144"/>
      <c r="AP99" s="149"/>
    </row>
    <row r="100" spans="5:42">
      <c r="F100" s="148"/>
      <c r="H100" s="144"/>
      <c r="AN100" s="145"/>
      <c r="AO100" s="144"/>
      <c r="AP100" s="149"/>
    </row>
    <row r="101" spans="5:42">
      <c r="F101" s="148"/>
      <c r="H101" s="144"/>
      <c r="AN101" s="145"/>
      <c r="AO101" s="144"/>
      <c r="AP101" s="149"/>
    </row>
    <row r="102" spans="5:42">
      <c r="F102" s="148"/>
      <c r="H102" s="144"/>
      <c r="AN102" s="145"/>
      <c r="AO102" s="144"/>
      <c r="AP102" s="149"/>
    </row>
    <row r="103" spans="5:42">
      <c r="F103" s="148"/>
      <c r="H103" s="144"/>
      <c r="AN103" s="145"/>
      <c r="AO103" s="144"/>
      <c r="AP103" s="149"/>
    </row>
    <row r="104" spans="5:42">
      <c r="F104" s="148"/>
      <c r="H104" s="144"/>
      <c r="AN104" s="145"/>
      <c r="AO104" s="144"/>
      <c r="AP104" s="149"/>
    </row>
    <row r="105" spans="5:42">
      <c r="F105" s="148"/>
      <c r="H105" s="144"/>
      <c r="AN105" s="145"/>
      <c r="AO105" s="144"/>
      <c r="AP105" s="149"/>
    </row>
    <row r="106" spans="5:42">
      <c r="F106" s="148"/>
      <c r="H106" s="144"/>
      <c r="AN106" s="145"/>
      <c r="AO106" s="144"/>
      <c r="AP106" s="149"/>
    </row>
    <row r="107" spans="5:42">
      <c r="F107" s="148"/>
      <c r="H107" s="144"/>
      <c r="AN107" s="145"/>
      <c r="AO107" s="144"/>
      <c r="AP107" s="149"/>
    </row>
    <row r="108" spans="5:42">
      <c r="F108" s="148"/>
      <c r="H108" s="144"/>
      <c r="AN108" s="145"/>
      <c r="AO108" s="144"/>
      <c r="AP108" s="149"/>
    </row>
    <row r="109" spans="5:42">
      <c r="F109" s="148"/>
      <c r="H109" s="144"/>
      <c r="AN109" s="145"/>
      <c r="AO109" s="144"/>
      <c r="AP109" s="149"/>
    </row>
    <row r="110" spans="5:42">
      <c r="F110" s="148"/>
      <c r="H110" s="144"/>
      <c r="AN110" s="145"/>
      <c r="AO110" s="144"/>
      <c r="AP110" s="149"/>
    </row>
    <row r="111" spans="5:42">
      <c r="F111" s="148"/>
      <c r="H111" s="144"/>
      <c r="AN111" s="145"/>
      <c r="AO111" s="144"/>
      <c r="AP111" s="149"/>
    </row>
    <row r="112" spans="5:42">
      <c r="F112" s="148"/>
      <c r="H112" s="144"/>
      <c r="AN112" s="145"/>
      <c r="AO112" s="144"/>
      <c r="AP112" s="149"/>
    </row>
    <row r="113" spans="6:42">
      <c r="F113" s="148"/>
      <c r="H113" s="144"/>
      <c r="AN113" s="145"/>
      <c r="AO113" s="144"/>
      <c r="AP113" s="149"/>
    </row>
    <row r="114" spans="6:42">
      <c r="F114" s="148"/>
      <c r="H114" s="144"/>
      <c r="AN114" s="145"/>
      <c r="AO114" s="144"/>
      <c r="AP114" s="149"/>
    </row>
    <row r="115" spans="6:42">
      <c r="F115" s="148"/>
      <c r="H115" s="144"/>
      <c r="AN115" s="145"/>
      <c r="AO115" s="144"/>
      <c r="AP115" s="149"/>
    </row>
    <row r="116" spans="6:42">
      <c r="F116" s="148"/>
      <c r="H116" s="144"/>
      <c r="AN116" s="145"/>
      <c r="AO116" s="144"/>
      <c r="AP116" s="149"/>
    </row>
    <row r="117" spans="6:42">
      <c r="F117" s="148"/>
      <c r="H117" s="144"/>
      <c r="AN117" s="145"/>
      <c r="AO117" s="144"/>
      <c r="AP117" s="149"/>
    </row>
    <row r="118" spans="6:42">
      <c r="F118" s="148"/>
      <c r="H118" s="144"/>
      <c r="AN118" s="145"/>
      <c r="AO118" s="144"/>
      <c r="AP118" s="149"/>
    </row>
    <row r="119" spans="6:42">
      <c r="F119" s="148"/>
      <c r="H119" s="144"/>
      <c r="AN119" s="145"/>
      <c r="AO119" s="144"/>
      <c r="AP119" s="149"/>
    </row>
    <row r="120" spans="6:42">
      <c r="F120" s="148"/>
      <c r="H120" s="144"/>
      <c r="AN120" s="145"/>
      <c r="AO120" s="144"/>
      <c r="AP120" s="149"/>
    </row>
    <row r="121" spans="6:42">
      <c r="F121" s="148"/>
      <c r="H121" s="144"/>
      <c r="AN121" s="145"/>
      <c r="AO121" s="144"/>
      <c r="AP121" s="149"/>
    </row>
    <row r="122" spans="6:42">
      <c r="F122" s="148"/>
      <c r="H122" s="144"/>
      <c r="AN122" s="145"/>
      <c r="AO122" s="144"/>
      <c r="AP122" s="149"/>
    </row>
    <row r="123" spans="6:42">
      <c r="F123" s="148"/>
      <c r="H123" s="144"/>
      <c r="AN123" s="145"/>
      <c r="AO123" s="144"/>
      <c r="AP123" s="149"/>
    </row>
    <row r="124" spans="6:42">
      <c r="F124" s="148"/>
      <c r="H124" s="144"/>
      <c r="AN124" s="145"/>
      <c r="AO124" s="144"/>
      <c r="AP124" s="149"/>
    </row>
    <row r="125" spans="6:42">
      <c r="F125" s="148"/>
      <c r="H125" s="144"/>
      <c r="AN125" s="145"/>
      <c r="AO125" s="144"/>
      <c r="AP125" s="149"/>
    </row>
    <row r="126" spans="6:42">
      <c r="F126" s="148"/>
      <c r="H126" s="144"/>
      <c r="AN126" s="145"/>
      <c r="AO126" s="144"/>
      <c r="AP126" s="149"/>
    </row>
    <row r="127" spans="6:42">
      <c r="F127" s="148"/>
      <c r="H127" s="144"/>
      <c r="AN127" s="145"/>
      <c r="AO127" s="144"/>
      <c r="AP127" s="149"/>
    </row>
    <row r="128" spans="6:42">
      <c r="F128" s="148"/>
      <c r="H128" s="144"/>
      <c r="AN128" s="145"/>
      <c r="AO128" s="144"/>
      <c r="AP128" s="149"/>
    </row>
    <row r="129" spans="6:42">
      <c r="F129" s="148"/>
      <c r="H129" s="144"/>
      <c r="AN129" s="145"/>
      <c r="AO129" s="144"/>
      <c r="AP129" s="149"/>
    </row>
    <row r="130" spans="6:42">
      <c r="F130" s="148"/>
      <c r="H130" s="144"/>
      <c r="AN130" s="145"/>
      <c r="AO130" s="144"/>
      <c r="AP130" s="149"/>
    </row>
    <row r="131" spans="6:42">
      <c r="F131" s="148"/>
      <c r="H131" s="144"/>
      <c r="AN131" s="145"/>
      <c r="AO131" s="144"/>
      <c r="AP131" s="149"/>
    </row>
    <row r="132" spans="6:42">
      <c r="F132" s="148"/>
      <c r="H132" s="144"/>
      <c r="AN132" s="145"/>
      <c r="AO132" s="144"/>
      <c r="AP132" s="149"/>
    </row>
    <row r="133" spans="6:42">
      <c r="F133" s="148"/>
      <c r="H133" s="144"/>
      <c r="AN133" s="145"/>
      <c r="AO133" s="144"/>
      <c r="AP133" s="149"/>
    </row>
    <row r="134" spans="6:42">
      <c r="F134" s="148"/>
      <c r="H134" s="144"/>
      <c r="AN134" s="145"/>
      <c r="AO134" s="144"/>
      <c r="AP134" s="149"/>
    </row>
    <row r="135" spans="6:42">
      <c r="F135" s="148"/>
      <c r="H135" s="144"/>
      <c r="AN135" s="145"/>
      <c r="AO135" s="144"/>
      <c r="AP135" s="149"/>
    </row>
    <row r="136" spans="6:42">
      <c r="F136" s="148"/>
      <c r="H136" s="144"/>
      <c r="AN136" s="145"/>
      <c r="AO136" s="144"/>
      <c r="AP136" s="149"/>
    </row>
    <row r="137" spans="6:42">
      <c r="F137" s="148"/>
      <c r="H137" s="144"/>
      <c r="AN137" s="145"/>
      <c r="AO137" s="144"/>
      <c r="AP137" s="149"/>
    </row>
    <row r="138" spans="6:42">
      <c r="F138" s="148"/>
      <c r="H138" s="144"/>
      <c r="AN138" s="145"/>
      <c r="AO138" s="144"/>
      <c r="AP138" s="149"/>
    </row>
    <row r="139" spans="6:42">
      <c r="F139" s="148"/>
      <c r="H139" s="144"/>
      <c r="AN139" s="145"/>
      <c r="AO139" s="144"/>
      <c r="AP139" s="149"/>
    </row>
  </sheetData>
  <mergeCells count="10">
    <mergeCell ref="AM1:AP1"/>
    <mergeCell ref="AH2:AL2"/>
    <mergeCell ref="AM2:AP2"/>
    <mergeCell ref="AH3:AL3"/>
    <mergeCell ref="AM3:AP3"/>
    <mergeCell ref="A46:H46"/>
    <mergeCell ref="A57:H57"/>
    <mergeCell ref="A58:H58"/>
    <mergeCell ref="A1:AG3"/>
    <mergeCell ref="AH1:AL1"/>
  </mergeCells>
  <phoneticPr fontId="3" type="noConversion"/>
  <conditionalFormatting sqref="C59:C1048576 C4">
    <cfRule type="duplicateValues" dxfId="41" priority="42"/>
  </conditionalFormatting>
  <conditionalFormatting sqref="H59:H1048576 H4">
    <cfRule type="duplicateValues" dxfId="40" priority="41"/>
  </conditionalFormatting>
  <conditionalFormatting sqref="C59:C1048576 C4:C5">
    <cfRule type="duplicateValues" dxfId="39" priority="40"/>
  </conditionalFormatting>
  <conditionalFormatting sqref="E59:E1048576 E4:E5">
    <cfRule type="duplicateValues" dxfId="38" priority="39"/>
  </conditionalFormatting>
  <conditionalFormatting sqref="H59:H1048576 H4:H5">
    <cfRule type="duplicateValues" dxfId="37" priority="38"/>
  </conditionalFormatting>
  <conditionalFormatting sqref="C5">
    <cfRule type="duplicateValues" dxfId="36" priority="43"/>
  </conditionalFormatting>
  <conditionalFormatting sqref="C5">
    <cfRule type="duplicateValues" dxfId="35" priority="44"/>
    <cfRule type="duplicateValues" dxfId="34" priority="45"/>
  </conditionalFormatting>
  <conditionalFormatting sqref="E5">
    <cfRule type="duplicateValues" dxfId="33" priority="46"/>
    <cfRule type="duplicateValues" dxfId="32" priority="47"/>
  </conditionalFormatting>
  <conditionalFormatting sqref="H5">
    <cfRule type="duplicateValues" dxfId="31" priority="48"/>
    <cfRule type="duplicateValues" dxfId="30" priority="49"/>
  </conditionalFormatting>
  <conditionalFormatting sqref="E59:E1048576 C4:C5 E4:E5 C59:C1048576">
    <cfRule type="duplicateValues" dxfId="29" priority="37"/>
  </conditionalFormatting>
  <conditionalFormatting sqref="C59:C1048576">
    <cfRule type="duplicateValues" dxfId="28" priority="36"/>
  </conditionalFormatting>
  <conditionalFormatting sqref="C59:C1048576 C4:C5">
    <cfRule type="duplicateValues" dxfId="27" priority="32"/>
    <cfRule type="duplicateValues" dxfId="26" priority="35"/>
  </conditionalFormatting>
  <conditionalFormatting sqref="E59:E1048576 E4:E5">
    <cfRule type="duplicateValues" dxfId="25" priority="31"/>
    <cfRule type="duplicateValues" dxfId="24" priority="34"/>
  </conditionalFormatting>
  <conditionalFormatting sqref="H59:H1048576 H4:H5">
    <cfRule type="duplicateValues" dxfId="23" priority="30"/>
    <cfRule type="duplicateValues" dxfId="22" priority="33"/>
  </conditionalFormatting>
  <conditionalFormatting sqref="E59:E1048576 E1:E5">
    <cfRule type="duplicateValues" dxfId="21" priority="29"/>
  </conditionalFormatting>
  <conditionalFormatting sqref="G59:H1048576 G1:H5">
    <cfRule type="duplicateValues" dxfId="20" priority="28"/>
  </conditionalFormatting>
  <conditionalFormatting sqref="B59:C1048576 B1:C5">
    <cfRule type="duplicateValues" dxfId="19" priority="50"/>
  </conditionalFormatting>
  <conditionalFormatting sqref="C59:C1048576 C1:C5">
    <cfRule type="duplicateValues" dxfId="18" priority="27"/>
  </conditionalFormatting>
  <conditionalFormatting sqref="B59:B1048576 B1:B5">
    <cfRule type="duplicateValues" dxfId="17" priority="26"/>
  </conditionalFormatting>
  <conditionalFormatting sqref="C6:C45">
    <cfRule type="duplicateValues" dxfId="16" priority="1"/>
  </conditionalFormatting>
  <conditionalFormatting sqref="H6:H45">
    <cfRule type="duplicateValues" dxfId="15" priority="2"/>
  </conditionalFormatting>
  <conditionalFormatting sqref="B6:B45">
    <cfRule type="duplicateValues" dxfId="14" priority="3"/>
  </conditionalFormatting>
  <pageMargins left="0.7" right="0.7" top="0.75" bottom="0.75" header="0.3" footer="0.3"/>
  <pageSetup paperSize="9" scale="31" orientation="landscape" r:id="rId1"/>
  <ignoredErrors>
    <ignoredError sqref="AN46:AO46 AP46 AO58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="115" zoomScaleNormal="100" zoomScaleSheetLayoutView="115" workbookViewId="0">
      <selection activeCell="H16" sqref="H16"/>
    </sheetView>
  </sheetViews>
  <sheetFormatPr defaultRowHeight="16.5"/>
  <cols>
    <col min="1" max="1" width="9" style="93"/>
    <col min="2" max="3" width="12.625" style="93" customWidth="1"/>
    <col min="4" max="4" width="15.75" style="93" customWidth="1"/>
    <col min="5" max="5" width="31.375" style="93" bestFit="1" customWidth="1"/>
    <col min="6" max="6" width="10.625" style="93" customWidth="1"/>
    <col min="7" max="8" width="8.125" style="93" customWidth="1"/>
    <col min="9" max="9" width="13.625" style="93" customWidth="1"/>
    <col min="10" max="10" width="35.625" style="93" customWidth="1"/>
    <col min="11" max="12" width="9" style="93"/>
  </cols>
  <sheetData>
    <row r="1" spans="1:12" ht="35.1" customHeight="1">
      <c r="A1" s="282" t="s">
        <v>255</v>
      </c>
      <c r="B1" s="283"/>
      <c r="C1" s="283"/>
      <c r="D1" s="283"/>
      <c r="E1" s="283"/>
      <c r="F1" s="283"/>
      <c r="G1" s="283"/>
      <c r="H1" s="283"/>
      <c r="I1" s="283"/>
      <c r="J1" s="284"/>
    </row>
    <row r="2" spans="1:12" ht="20.100000000000001" customHeight="1">
      <c r="A2" s="285" t="s">
        <v>256</v>
      </c>
      <c r="B2" s="285" t="s">
        <v>257</v>
      </c>
      <c r="C2" s="285" t="s">
        <v>258</v>
      </c>
      <c r="D2" s="285" t="s">
        <v>259</v>
      </c>
      <c r="E2" s="285" t="s">
        <v>260</v>
      </c>
      <c r="F2" s="285" t="s">
        <v>261</v>
      </c>
      <c r="G2" s="285" t="s">
        <v>262</v>
      </c>
      <c r="H2" s="285" t="s">
        <v>263</v>
      </c>
      <c r="I2" s="150" t="s">
        <v>264</v>
      </c>
      <c r="J2" s="285" t="s">
        <v>265</v>
      </c>
    </row>
    <row r="3" spans="1:12" ht="20.100000000000001" customHeight="1">
      <c r="A3" s="286"/>
      <c r="B3" s="286"/>
      <c r="C3" s="286"/>
      <c r="D3" s="286"/>
      <c r="E3" s="286"/>
      <c r="F3" s="286"/>
      <c r="G3" s="286"/>
      <c r="H3" s="286"/>
      <c r="I3" s="185">
        <f>SUM(I4:I7)</f>
        <v>3190000</v>
      </c>
      <c r="J3" s="286"/>
      <c r="L3" s="152" t="s">
        <v>266</v>
      </c>
    </row>
    <row r="4" spans="1:12" ht="20.100000000000001" customHeight="1">
      <c r="A4" s="153">
        <v>1</v>
      </c>
      <c r="B4" s="184">
        <v>45991</v>
      </c>
      <c r="C4" s="153" t="s">
        <v>267</v>
      </c>
      <c r="D4" s="153" t="s">
        <v>514</v>
      </c>
      <c r="E4" s="172" t="s">
        <v>459</v>
      </c>
      <c r="F4" s="186" t="s">
        <v>461</v>
      </c>
      <c r="G4" s="153">
        <v>1</v>
      </c>
      <c r="H4" s="153">
        <v>3</v>
      </c>
      <c r="I4" s="44">
        <v>900000</v>
      </c>
      <c r="J4" s="153" t="s">
        <v>268</v>
      </c>
      <c r="L4" s="155" t="s">
        <v>269</v>
      </c>
    </row>
    <row r="5" spans="1:12" ht="20.100000000000001" customHeight="1">
      <c r="A5" s="153">
        <v>2</v>
      </c>
      <c r="B5" s="184">
        <v>45991</v>
      </c>
      <c r="C5" s="153" t="s">
        <v>267</v>
      </c>
      <c r="D5" s="153" t="s">
        <v>514</v>
      </c>
      <c r="E5" s="172" t="s">
        <v>460</v>
      </c>
      <c r="F5" s="186" t="s">
        <v>462</v>
      </c>
      <c r="G5" s="153">
        <v>1</v>
      </c>
      <c r="H5" s="153">
        <v>6</v>
      </c>
      <c r="I5" s="44">
        <v>900000</v>
      </c>
      <c r="J5" s="153" t="s">
        <v>268</v>
      </c>
      <c r="L5" s="155" t="s">
        <v>270</v>
      </c>
    </row>
    <row r="6" spans="1:12" ht="20.100000000000001" customHeight="1">
      <c r="A6" s="153">
        <v>3</v>
      </c>
      <c r="B6" s="184">
        <v>45991</v>
      </c>
      <c r="C6" s="153" t="s">
        <v>267</v>
      </c>
      <c r="D6" s="153" t="s">
        <v>514</v>
      </c>
      <c r="E6" s="172" t="s">
        <v>464</v>
      </c>
      <c r="F6" s="186" t="s">
        <v>463</v>
      </c>
      <c r="G6" s="153">
        <v>1</v>
      </c>
      <c r="H6" s="153">
        <v>2</v>
      </c>
      <c r="I6" s="44">
        <v>550000</v>
      </c>
      <c r="J6" s="153" t="s">
        <v>268</v>
      </c>
      <c r="L6" s="155" t="s">
        <v>271</v>
      </c>
    </row>
    <row r="7" spans="1:12" ht="20.100000000000001" customHeight="1">
      <c r="A7" s="153">
        <v>4</v>
      </c>
      <c r="B7" s="184">
        <v>45991</v>
      </c>
      <c r="C7" s="153" t="s">
        <v>267</v>
      </c>
      <c r="D7" s="153" t="s">
        <v>514</v>
      </c>
      <c r="E7" s="172" t="s">
        <v>515</v>
      </c>
      <c r="F7" s="186" t="s">
        <v>518</v>
      </c>
      <c r="G7" s="153">
        <v>1</v>
      </c>
      <c r="H7" s="153">
        <v>5</v>
      </c>
      <c r="I7" s="44">
        <v>840000</v>
      </c>
      <c r="J7" s="153" t="s">
        <v>268</v>
      </c>
      <c r="L7" s="155" t="s">
        <v>272</v>
      </c>
    </row>
    <row r="8" spans="1:12" ht="20.100000000000001" customHeight="1">
      <c r="A8" s="153">
        <v>5</v>
      </c>
      <c r="B8" s="184">
        <v>45991</v>
      </c>
      <c r="C8" s="153" t="s">
        <v>470</v>
      </c>
      <c r="D8" s="153" t="s">
        <v>516</v>
      </c>
      <c r="E8" s="187" t="s">
        <v>471</v>
      </c>
      <c r="F8" s="188" t="s">
        <v>469</v>
      </c>
      <c r="G8" s="153">
        <v>1</v>
      </c>
      <c r="H8" s="153"/>
      <c r="I8" s="154">
        <v>1800000</v>
      </c>
      <c r="J8" s="153"/>
      <c r="L8" s="156" t="s">
        <v>273</v>
      </c>
    </row>
    <row r="9" spans="1:12" ht="20.100000000000001" customHeight="1">
      <c r="A9" s="153">
        <v>6</v>
      </c>
      <c r="B9" s="184">
        <v>45991</v>
      </c>
      <c r="C9" s="153" t="s">
        <v>470</v>
      </c>
      <c r="D9" s="153" t="s">
        <v>517</v>
      </c>
      <c r="E9" s="187" t="s">
        <v>472</v>
      </c>
      <c r="F9" s="188" t="s">
        <v>473</v>
      </c>
      <c r="G9" s="153">
        <v>1</v>
      </c>
      <c r="H9" s="153"/>
      <c r="I9" s="154">
        <v>600000</v>
      </c>
      <c r="J9" s="153"/>
      <c r="L9" s="156" t="s">
        <v>274</v>
      </c>
    </row>
    <row r="10" spans="1:12">
      <c r="A10" s="153"/>
      <c r="B10" s="153"/>
      <c r="C10" s="153"/>
      <c r="D10" s="153"/>
      <c r="E10" s="153"/>
      <c r="F10" s="153"/>
      <c r="G10" s="153"/>
      <c r="H10" s="153"/>
      <c r="I10" s="154"/>
      <c r="J10" s="153"/>
      <c r="L10" s="156" t="s">
        <v>275</v>
      </c>
    </row>
    <row r="11" spans="1:12">
      <c r="L11" s="156"/>
    </row>
    <row r="12" spans="1:12">
      <c r="L12" s="152" t="s">
        <v>276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8">
    <cfRule type="duplicateValues" priority="8"/>
  </conditionalFormatting>
  <conditionalFormatting sqref="E9">
    <cfRule type="duplicateValues" dxfId="13" priority="7"/>
  </conditionalFormatting>
  <conditionalFormatting sqref="E9">
    <cfRule type="duplicateValues" dxfId="12" priority="6"/>
  </conditionalFormatting>
  <conditionalFormatting sqref="E8">
    <cfRule type="duplicateValues" dxfId="11" priority="5"/>
  </conditionalFormatting>
  <conditionalFormatting sqref="E9">
    <cfRule type="duplicateValues" dxfId="10" priority="4"/>
  </conditionalFormatting>
  <conditionalFormatting sqref="E8">
    <cfRule type="duplicateValues" dxfId="9" priority="3"/>
  </conditionalFormatting>
  <conditionalFormatting sqref="E8">
    <cfRule type="duplicateValues" dxfId="8" priority="2"/>
  </conditionalFormatting>
  <conditionalFormatting sqref="E8">
    <cfRule type="duplicateValues" dxfId="7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9"/>
  <sheetViews>
    <sheetView view="pageBreakPreview" zoomScaleNormal="100" zoomScaleSheetLayoutView="100" workbookViewId="0">
      <selection activeCell="I20" sqref="I20"/>
    </sheetView>
  </sheetViews>
  <sheetFormatPr defaultRowHeight="16.5"/>
  <cols>
    <col min="1" max="1" width="9" style="93"/>
    <col min="2" max="3" width="12.625" style="93" customWidth="1"/>
    <col min="4" max="4" width="16" style="93" bestFit="1" customWidth="1"/>
    <col min="5" max="5" width="35.125" style="93" customWidth="1"/>
    <col min="6" max="6" width="10.625" style="93" customWidth="1"/>
    <col min="7" max="8" width="8.125" style="93" customWidth="1"/>
    <col min="9" max="9" width="13.625" style="93" customWidth="1"/>
    <col min="10" max="10" width="35.625" style="93" customWidth="1"/>
  </cols>
  <sheetData>
    <row r="1" spans="1:10" ht="35.1" customHeight="1">
      <c r="A1" s="282" t="s">
        <v>277</v>
      </c>
      <c r="B1" s="283"/>
      <c r="C1" s="283"/>
      <c r="D1" s="283"/>
      <c r="E1" s="283"/>
      <c r="F1" s="283"/>
      <c r="G1" s="283"/>
      <c r="H1" s="283"/>
      <c r="I1" s="283"/>
      <c r="J1" s="284"/>
    </row>
    <row r="2" spans="1:10" ht="20.100000000000001" customHeight="1">
      <c r="A2" s="285" t="s">
        <v>278</v>
      </c>
      <c r="B2" s="285" t="s">
        <v>257</v>
      </c>
      <c r="C2" s="285" t="s">
        <v>279</v>
      </c>
      <c r="D2" s="285" t="s">
        <v>259</v>
      </c>
      <c r="E2" s="285" t="s">
        <v>280</v>
      </c>
      <c r="F2" s="285" t="s">
        <v>261</v>
      </c>
      <c r="G2" s="285" t="s">
        <v>281</v>
      </c>
      <c r="H2" s="285" t="s">
        <v>282</v>
      </c>
      <c r="I2" s="150" t="s">
        <v>283</v>
      </c>
      <c r="J2" s="285" t="s">
        <v>284</v>
      </c>
    </row>
    <row r="3" spans="1:10" ht="20.100000000000001" customHeight="1">
      <c r="A3" s="285"/>
      <c r="B3" s="285"/>
      <c r="C3" s="285"/>
      <c r="D3" s="285"/>
      <c r="E3" s="285"/>
      <c r="F3" s="285"/>
      <c r="G3" s="285"/>
      <c r="H3" s="285"/>
      <c r="I3" s="151"/>
      <c r="J3" s="285"/>
    </row>
    <row r="4" spans="1:10" ht="20.100000000000001" customHeight="1">
      <c r="A4" s="153">
        <v>1</v>
      </c>
      <c r="B4" s="204">
        <v>45991</v>
      </c>
      <c r="C4" s="204" t="s">
        <v>519</v>
      </c>
      <c r="D4" s="205" t="s">
        <v>523</v>
      </c>
      <c r="E4" s="172" t="s">
        <v>471</v>
      </c>
      <c r="F4" s="206" t="s">
        <v>469</v>
      </c>
      <c r="G4" s="206">
        <v>1</v>
      </c>
      <c r="H4" s="172"/>
      <c r="I4" s="207">
        <v>231940</v>
      </c>
      <c r="J4" s="153"/>
    </row>
    <row r="5" spans="1:10" ht="20.100000000000001" customHeight="1">
      <c r="A5" s="153">
        <v>2</v>
      </c>
      <c r="B5" s="204">
        <v>45991</v>
      </c>
      <c r="C5" s="204" t="s">
        <v>519</v>
      </c>
      <c r="D5" s="205" t="s">
        <v>524</v>
      </c>
      <c r="E5" s="172" t="s">
        <v>520</v>
      </c>
      <c r="F5" s="206" t="s">
        <v>521</v>
      </c>
      <c r="G5" s="206">
        <v>1</v>
      </c>
      <c r="H5" s="172"/>
      <c r="I5" s="207">
        <v>154920</v>
      </c>
      <c r="J5" s="153"/>
    </row>
    <row r="6" spans="1:10" ht="20.100000000000001" customHeight="1">
      <c r="A6" s="153">
        <v>3</v>
      </c>
      <c r="B6" s="204">
        <v>45991</v>
      </c>
      <c r="C6" s="204" t="s">
        <v>519</v>
      </c>
      <c r="D6" s="205" t="s">
        <v>525</v>
      </c>
      <c r="E6" s="172" t="s">
        <v>472</v>
      </c>
      <c r="F6" s="206" t="s">
        <v>522</v>
      </c>
      <c r="G6" s="206">
        <v>1</v>
      </c>
      <c r="H6" s="172"/>
      <c r="I6" s="207">
        <v>157240</v>
      </c>
      <c r="J6" s="153"/>
    </row>
    <row r="7" spans="1:10" ht="20.100000000000001" customHeight="1">
      <c r="A7" s="153"/>
      <c r="B7" s="153"/>
      <c r="C7" s="153"/>
      <c r="D7" s="153"/>
      <c r="E7" s="153"/>
      <c r="F7" s="153"/>
      <c r="G7" s="153"/>
      <c r="H7" s="153"/>
      <c r="I7" s="154"/>
      <c r="J7" s="153"/>
    </row>
    <row r="8" spans="1:10" ht="20.100000000000001" customHeight="1">
      <c r="A8" s="153"/>
      <c r="B8" s="153"/>
      <c r="C8" s="153"/>
      <c r="D8" s="153"/>
      <c r="E8" s="153"/>
      <c r="F8" s="153"/>
      <c r="G8" s="153"/>
      <c r="H8" s="153"/>
      <c r="I8" s="154"/>
      <c r="J8" s="153"/>
    </row>
    <row r="9" spans="1:10" ht="20.100000000000001" customHeight="1">
      <c r="A9" s="153"/>
      <c r="B9" s="153"/>
      <c r="C9" s="153"/>
      <c r="D9" s="153"/>
      <c r="E9" s="153"/>
      <c r="F9" s="153"/>
      <c r="G9" s="153"/>
      <c r="H9" s="153"/>
      <c r="I9" s="154"/>
      <c r="J9" s="15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">
    <cfRule type="duplicateValues" dxfId="6" priority="7"/>
  </conditionalFormatting>
  <conditionalFormatting sqref="E5">
    <cfRule type="duplicateValues" dxfId="5" priority="6"/>
  </conditionalFormatting>
  <conditionalFormatting sqref="E6">
    <cfRule type="duplicateValues" dxfId="4" priority="5"/>
  </conditionalFormatting>
  <conditionalFormatting sqref="E6">
    <cfRule type="duplicateValues" dxfId="3" priority="4"/>
  </conditionalFormatting>
  <conditionalFormatting sqref="E6">
    <cfRule type="duplicateValues" dxfId="2" priority="3"/>
  </conditionalFormatting>
  <conditionalFormatting sqref="E5">
    <cfRule type="duplicateValues" dxfId="1" priority="2"/>
  </conditionalFormatting>
  <conditionalFormatting sqref="E6">
    <cfRule type="duplicateValues" dxfId="0" priority="1"/>
  </conditionalFormatting>
  <pageMargins left="0.7" right="0.7" top="0.75" bottom="0.75" header="0.3" footer="0.3"/>
  <pageSetup paperSize="9" scale="7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Normal="100" zoomScaleSheetLayoutView="100" workbookViewId="0">
      <selection activeCell="E30" sqref="E30"/>
    </sheetView>
  </sheetViews>
  <sheetFormatPr defaultRowHeight="16.5"/>
  <cols>
    <col min="1" max="1" width="9" style="93"/>
    <col min="2" max="3" width="12.625" style="93" customWidth="1"/>
    <col min="4" max="4" width="22.875" style="93" bestFit="1" customWidth="1"/>
    <col min="5" max="5" width="31.375" style="93" bestFit="1" customWidth="1"/>
    <col min="6" max="6" width="10.625" style="93" customWidth="1"/>
    <col min="7" max="7" width="8.125" style="93" customWidth="1"/>
    <col min="8" max="8" width="10.5" style="93" bestFit="1" customWidth="1"/>
    <col min="9" max="9" width="13.625" style="93" customWidth="1"/>
    <col min="10" max="10" width="35.625" style="93" customWidth="1"/>
    <col min="11" max="12" width="9" style="93"/>
  </cols>
  <sheetData>
    <row r="1" spans="1:12" ht="35.1" customHeight="1">
      <c r="A1" s="282" t="s">
        <v>285</v>
      </c>
      <c r="B1" s="283"/>
      <c r="C1" s="283"/>
      <c r="D1" s="283"/>
      <c r="E1" s="283"/>
      <c r="F1" s="283"/>
      <c r="G1" s="283"/>
      <c r="H1" s="283"/>
      <c r="I1" s="283"/>
      <c r="J1" s="284"/>
    </row>
    <row r="2" spans="1:12" ht="24.95" customHeight="1">
      <c r="A2" s="285" t="s">
        <v>286</v>
      </c>
      <c r="B2" s="285" t="s">
        <v>287</v>
      </c>
      <c r="C2" s="285" t="s">
        <v>108</v>
      </c>
      <c r="D2" s="285" t="s">
        <v>288</v>
      </c>
      <c r="E2" s="285" t="s">
        <v>289</v>
      </c>
      <c r="F2" s="285" t="s">
        <v>290</v>
      </c>
      <c r="G2" s="285" t="s">
        <v>291</v>
      </c>
      <c r="H2" s="285" t="s">
        <v>292</v>
      </c>
      <c r="I2" s="157" t="s">
        <v>293</v>
      </c>
      <c r="J2" s="285" t="s">
        <v>265</v>
      </c>
    </row>
    <row r="3" spans="1:12" ht="24.95" customHeight="1">
      <c r="A3" s="285"/>
      <c r="B3" s="285"/>
      <c r="C3" s="285"/>
      <c r="D3" s="285"/>
      <c r="E3" s="285"/>
      <c r="F3" s="285"/>
      <c r="G3" s="285"/>
      <c r="H3" s="285"/>
      <c r="I3" s="151">
        <f>SUM(I4:I9)</f>
        <v>18432000</v>
      </c>
      <c r="J3" s="285"/>
      <c r="L3" s="152" t="s">
        <v>294</v>
      </c>
    </row>
    <row r="4" spans="1:12" ht="24.95" customHeight="1">
      <c r="A4" s="153">
        <v>1</v>
      </c>
      <c r="B4" s="208">
        <v>45991</v>
      </c>
      <c r="C4" s="153" t="s">
        <v>527</v>
      </c>
      <c r="D4" s="153" t="s">
        <v>528</v>
      </c>
      <c r="E4" s="153" t="s">
        <v>529</v>
      </c>
      <c r="F4" s="153">
        <v>1</v>
      </c>
      <c r="G4" s="153">
        <v>37</v>
      </c>
      <c r="H4" s="154">
        <v>18432000</v>
      </c>
      <c r="I4" s="154">
        <f>H4</f>
        <v>18432000</v>
      </c>
      <c r="J4" s="153"/>
      <c r="L4" s="155" t="s">
        <v>295</v>
      </c>
    </row>
    <row r="5" spans="1:12" ht="24.95" customHeight="1">
      <c r="A5" s="153"/>
      <c r="B5" s="153"/>
      <c r="C5" s="153"/>
      <c r="D5" s="153"/>
      <c r="E5" s="153"/>
      <c r="F5" s="153"/>
      <c r="G5" s="153"/>
      <c r="H5" s="154"/>
      <c r="I5" s="154"/>
      <c r="J5" s="153"/>
      <c r="L5" s="155" t="s">
        <v>296</v>
      </c>
    </row>
    <row r="6" spans="1:12" ht="24.95" customHeight="1">
      <c r="A6" s="153"/>
      <c r="B6" s="153"/>
      <c r="C6" s="153"/>
      <c r="D6" s="153"/>
      <c r="E6" s="153"/>
      <c r="F6" s="153"/>
      <c r="G6" s="153"/>
      <c r="H6" s="154"/>
      <c r="I6" s="154"/>
      <c r="J6" s="153"/>
      <c r="L6" s="155" t="s">
        <v>297</v>
      </c>
    </row>
    <row r="7" spans="1:12" ht="24.95" customHeight="1">
      <c r="A7" s="153"/>
      <c r="B7" s="153"/>
      <c r="C7" s="153"/>
      <c r="D7" s="153"/>
      <c r="E7" s="153"/>
      <c r="F7" s="153"/>
      <c r="G7" s="153"/>
      <c r="H7" s="154"/>
      <c r="I7" s="154"/>
      <c r="J7" s="153"/>
      <c r="L7" s="155" t="s">
        <v>298</v>
      </c>
    </row>
    <row r="8" spans="1:12" ht="24.95" customHeight="1">
      <c r="A8" s="153"/>
      <c r="B8" s="153"/>
      <c r="C8" s="153"/>
      <c r="D8" s="153"/>
      <c r="E8" s="153"/>
      <c r="F8" s="153"/>
      <c r="G8" s="153"/>
      <c r="H8" s="153"/>
      <c r="I8" s="154"/>
      <c r="J8" s="153"/>
      <c r="L8" s="156" t="s">
        <v>299</v>
      </c>
    </row>
    <row r="9" spans="1:12" ht="24.95" customHeight="1">
      <c r="A9" s="153"/>
      <c r="B9" s="153"/>
      <c r="C9" s="153"/>
      <c r="D9" s="153"/>
      <c r="E9" s="153"/>
      <c r="F9" s="153"/>
      <c r="G9" s="153"/>
      <c r="H9" s="153"/>
      <c r="I9" s="154"/>
      <c r="J9" s="153"/>
      <c r="L9" s="156" t="s">
        <v>300</v>
      </c>
    </row>
    <row r="10" spans="1:12">
      <c r="L10" s="156" t="s">
        <v>301</v>
      </c>
    </row>
    <row r="11" spans="1:12">
      <c r="L11" s="156" t="s">
        <v>302</v>
      </c>
    </row>
    <row r="12" spans="1:12">
      <c r="L12" s="152"/>
    </row>
    <row r="13" spans="1:12">
      <c r="L13" s="93" t="s">
        <v>526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tabSelected="1" view="pageBreakPreview" zoomScaleNormal="100" zoomScaleSheetLayoutView="100" workbookViewId="0">
      <selection activeCell="F20" sqref="F20"/>
    </sheetView>
  </sheetViews>
  <sheetFormatPr defaultRowHeight="16.5"/>
  <cols>
    <col min="2" max="2" width="12.5" customWidth="1"/>
    <col min="3" max="3" width="13.25" customWidth="1"/>
    <col min="4" max="4" width="28.75" customWidth="1"/>
    <col min="5" max="5" width="25.5" customWidth="1"/>
    <col min="7" max="7" width="10.5" bestFit="1" customWidth="1"/>
    <col min="8" max="8" width="10.5" customWidth="1"/>
    <col min="9" max="9" width="49.125" customWidth="1"/>
  </cols>
  <sheetData>
    <row r="1" spans="1:12" ht="35.1" customHeight="1">
      <c r="A1" s="287" t="s">
        <v>304</v>
      </c>
      <c r="B1" s="287"/>
      <c r="C1" s="287"/>
      <c r="D1" s="287"/>
      <c r="E1" s="287"/>
      <c r="F1" s="287"/>
      <c r="G1" s="287"/>
      <c r="H1" s="287"/>
      <c r="I1" s="287"/>
      <c r="J1" s="93"/>
      <c r="K1" s="93"/>
      <c r="L1" s="93"/>
    </row>
    <row r="2" spans="1:12" ht="24.95" customHeight="1">
      <c r="A2" s="285" t="s">
        <v>305</v>
      </c>
      <c r="B2" s="288" t="s">
        <v>306</v>
      </c>
      <c r="C2" s="288" t="s">
        <v>307</v>
      </c>
      <c r="D2" s="289" t="s">
        <v>298</v>
      </c>
      <c r="E2" s="288" t="s">
        <v>299</v>
      </c>
      <c r="F2" s="288" t="s">
        <v>274</v>
      </c>
      <c r="G2" s="290" t="s">
        <v>308</v>
      </c>
      <c r="H2" s="158" t="s">
        <v>309</v>
      </c>
      <c r="I2" s="288" t="s">
        <v>310</v>
      </c>
      <c r="J2" s="93"/>
      <c r="K2" s="93"/>
      <c r="L2" s="93"/>
    </row>
    <row r="3" spans="1:12" ht="24.95" customHeight="1">
      <c r="A3" s="285"/>
      <c r="B3" s="288"/>
      <c r="C3" s="288"/>
      <c r="D3" s="289"/>
      <c r="E3" s="288"/>
      <c r="F3" s="288"/>
      <c r="G3" s="290"/>
      <c r="H3" s="159">
        <f>SUM(H4:H5)</f>
        <v>5388070</v>
      </c>
      <c r="I3" s="288"/>
      <c r="J3" s="93"/>
      <c r="K3" s="152" t="s">
        <v>294</v>
      </c>
      <c r="L3" s="93"/>
    </row>
    <row r="4" spans="1:12" ht="24.95" customHeight="1">
      <c r="A4" s="153">
        <v>1</v>
      </c>
      <c r="B4" s="184">
        <v>45991</v>
      </c>
      <c r="C4" s="153" t="s">
        <v>311</v>
      </c>
      <c r="D4" s="153" t="s">
        <v>312</v>
      </c>
      <c r="E4" s="153" t="s">
        <v>465</v>
      </c>
      <c r="F4" s="153">
        <v>1</v>
      </c>
      <c r="G4" s="154">
        <v>308070</v>
      </c>
      <c r="H4" s="154">
        <f>G4</f>
        <v>308070</v>
      </c>
      <c r="I4" s="154"/>
      <c r="J4" s="93"/>
      <c r="K4" s="155" t="s">
        <v>295</v>
      </c>
      <c r="L4" s="93"/>
    </row>
    <row r="5" spans="1:12" ht="24.95" customHeight="1">
      <c r="A5" s="153">
        <v>2</v>
      </c>
      <c r="B5" s="184">
        <v>45991</v>
      </c>
      <c r="C5" s="153" t="s">
        <v>313</v>
      </c>
      <c r="D5" s="153" t="s">
        <v>314</v>
      </c>
      <c r="E5" s="153" t="s">
        <v>466</v>
      </c>
      <c r="F5" s="153">
        <v>1</v>
      </c>
      <c r="G5" s="154">
        <v>5080000</v>
      </c>
      <c r="H5" s="154">
        <f>G5</f>
        <v>5080000</v>
      </c>
      <c r="I5" s="154"/>
      <c r="J5" s="93"/>
      <c r="K5" s="155" t="s">
        <v>296</v>
      </c>
      <c r="L5" s="93"/>
    </row>
    <row r="6" spans="1:12" ht="24.95" customHeight="1">
      <c r="A6" s="153">
        <v>3</v>
      </c>
      <c r="B6" s="184">
        <v>45991</v>
      </c>
      <c r="C6" s="153" t="s">
        <v>313</v>
      </c>
      <c r="D6" s="153" t="s">
        <v>315</v>
      </c>
      <c r="E6" s="153" t="s">
        <v>467</v>
      </c>
      <c r="F6" s="153">
        <v>1</v>
      </c>
      <c r="G6" s="154"/>
      <c r="H6" s="154">
        <f>G6</f>
        <v>0</v>
      </c>
      <c r="I6" s="154"/>
      <c r="J6" s="93"/>
      <c r="K6" s="155" t="s">
        <v>297</v>
      </c>
      <c r="L6" s="93"/>
    </row>
    <row r="7" spans="1:12" ht="24.95" customHeight="1">
      <c r="A7" s="153">
        <v>4</v>
      </c>
      <c r="B7" s="184">
        <v>45991</v>
      </c>
      <c r="C7" s="153" t="s">
        <v>316</v>
      </c>
      <c r="D7" s="153" t="s">
        <v>317</v>
      </c>
      <c r="E7" s="153" t="s">
        <v>468</v>
      </c>
      <c r="F7" s="153">
        <v>1</v>
      </c>
      <c r="G7" s="154"/>
      <c r="H7" s="154">
        <f>G7</f>
        <v>0</v>
      </c>
      <c r="I7" s="154"/>
      <c r="J7" s="93"/>
      <c r="K7" s="155" t="s">
        <v>298</v>
      </c>
      <c r="L7" s="93"/>
    </row>
    <row r="8" spans="1:12" ht="24.95" customHeight="1">
      <c r="A8" s="153"/>
      <c r="B8" s="153"/>
      <c r="C8" s="153"/>
      <c r="D8" s="153"/>
      <c r="E8" s="153"/>
      <c r="F8" s="153"/>
      <c r="G8" s="153"/>
      <c r="H8" s="153"/>
      <c r="I8" s="154"/>
      <c r="J8" s="93"/>
      <c r="K8" s="156" t="s">
        <v>299</v>
      </c>
      <c r="L8" s="93"/>
    </row>
    <row r="9" spans="1:12" ht="24.95" customHeight="1">
      <c r="A9" s="153"/>
      <c r="B9" s="153"/>
      <c r="C9" s="153"/>
      <c r="D9" s="153"/>
      <c r="E9" s="153"/>
      <c r="F9" s="153"/>
      <c r="G9" s="153"/>
      <c r="H9" s="153"/>
      <c r="I9" s="154"/>
      <c r="J9" s="93"/>
      <c r="K9" s="156" t="s">
        <v>300</v>
      </c>
      <c r="L9" s="93"/>
    </row>
    <row r="10" spans="1:12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156" t="s">
        <v>301</v>
      </c>
      <c r="L10" s="93"/>
    </row>
    <row r="11" spans="1:12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156" t="s">
        <v>302</v>
      </c>
      <c r="L11" s="93"/>
    </row>
    <row r="12" spans="1: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152"/>
      <c r="L12" s="93"/>
    </row>
    <row r="13" spans="1:12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 t="s">
        <v>303</v>
      </c>
      <c r="L13" s="93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showGridLines="0" workbookViewId="0">
      <selection activeCell="P15" sqref="P15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1" t="s">
        <v>40</v>
      </c>
      <c r="C2" s="35" t="s">
        <v>36</v>
      </c>
      <c r="D2" s="35"/>
      <c r="E2" s="35" t="s">
        <v>39</v>
      </c>
    </row>
    <row r="3" spans="2:18" ht="30" customHeight="1">
      <c r="B3" s="292"/>
      <c r="C3" s="35" t="s">
        <v>37</v>
      </c>
      <c r="D3" s="35"/>
      <c r="E3" s="35" t="s">
        <v>39</v>
      </c>
    </row>
    <row r="4" spans="2:18" ht="30" customHeight="1">
      <c r="B4" s="292"/>
      <c r="C4" s="35" t="s">
        <v>38</v>
      </c>
      <c r="D4" s="35"/>
      <c r="E4" s="35" t="s">
        <v>39</v>
      </c>
    </row>
    <row r="6" spans="2:18" ht="48.95" customHeight="1">
      <c r="G6" s="291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5" customHeight="1">
      <c r="G7" s="291"/>
      <c r="H7" s="35"/>
      <c r="I7" s="35"/>
      <c r="J7" s="35"/>
      <c r="K7" s="34"/>
      <c r="L7" s="34"/>
      <c r="M7" s="34"/>
      <c r="N7" s="34"/>
      <c r="O7" s="34"/>
    </row>
    <row r="8" spans="2:18" ht="24.95" customHeight="1">
      <c r="G8" s="34"/>
      <c r="H8" s="34"/>
      <c r="I8" s="34"/>
      <c r="J8" s="34"/>
      <c r="K8" s="34"/>
      <c r="L8" s="293" t="s">
        <v>47</v>
      </c>
      <c r="M8" s="35" t="s">
        <v>43</v>
      </c>
      <c r="N8" s="35" t="s">
        <v>44</v>
      </c>
      <c r="O8" s="35" t="s">
        <v>45</v>
      </c>
    </row>
    <row r="9" spans="2:18" ht="39.950000000000003" customHeight="1">
      <c r="G9" s="34"/>
      <c r="H9" s="34"/>
      <c r="I9" s="34"/>
      <c r="J9" s="34"/>
      <c r="K9" s="34"/>
      <c r="L9" s="294"/>
      <c r="M9" s="35"/>
      <c r="N9" s="35"/>
      <c r="O9" s="35"/>
    </row>
    <row r="10" spans="2:18" ht="17.25" thickBot="1"/>
    <row r="11" spans="2:18" ht="24.95" customHeight="1" thickBot="1">
      <c r="P11" s="295" t="s">
        <v>531</v>
      </c>
      <c r="Q11" s="209" t="s">
        <v>49</v>
      </c>
      <c r="R11" s="209" t="s">
        <v>52</v>
      </c>
    </row>
    <row r="12" spans="2:18" ht="24.95" customHeight="1" thickBot="1">
      <c r="P12" s="296"/>
      <c r="Q12" s="209" t="s">
        <v>50</v>
      </c>
      <c r="R12" s="209" t="s">
        <v>532</v>
      </c>
    </row>
    <row r="13" spans="2:18" ht="24.95" customHeight="1" thickBot="1">
      <c r="P13" s="296"/>
      <c r="Q13" s="209" t="s">
        <v>51</v>
      </c>
      <c r="R13" s="209" t="s">
        <v>533</v>
      </c>
    </row>
  </sheetData>
  <mergeCells count="4">
    <mergeCell ref="B2:B4"/>
    <mergeCell ref="G6:G7"/>
    <mergeCell ref="L8:L9"/>
    <mergeCell ref="P11:P13"/>
  </mergeCells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297" t="s">
        <v>53</v>
      </c>
      <c r="C3" s="298"/>
    </row>
    <row r="4" spans="2:3">
      <c r="B4" s="37" t="s">
        <v>54</v>
      </c>
      <c r="C4" s="37" t="s">
        <v>55</v>
      </c>
    </row>
    <row r="5" spans="2:3">
      <c r="B5" s="35" t="s">
        <v>56</v>
      </c>
      <c r="C5" s="35">
        <v>0.25</v>
      </c>
    </row>
    <row r="6" spans="2:3">
      <c r="B6" s="35" t="s">
        <v>57</v>
      </c>
      <c r="C6" s="35">
        <v>0.5</v>
      </c>
    </row>
    <row r="7" spans="2:3">
      <c r="B7" s="35" t="s">
        <v>58</v>
      </c>
      <c r="C7" s="35">
        <v>0.75</v>
      </c>
    </row>
    <row r="8" spans="2:3">
      <c r="B8" s="35" t="s">
        <v>59</v>
      </c>
      <c r="C8" s="35">
        <v>1</v>
      </c>
    </row>
    <row r="9" spans="2:3">
      <c r="B9" s="35" t="s">
        <v>60</v>
      </c>
      <c r="C9" s="35">
        <v>1.25</v>
      </c>
    </row>
    <row r="10" spans="2:3">
      <c r="B10" s="35" t="s">
        <v>61</v>
      </c>
      <c r="C10" s="35">
        <v>1.5</v>
      </c>
    </row>
    <row r="11" spans="2:3">
      <c r="B11" s="35" t="s">
        <v>62</v>
      </c>
      <c r="C11" s="35">
        <v>2</v>
      </c>
    </row>
    <row r="12" spans="2:3">
      <c r="B12" s="35" t="s">
        <v>63</v>
      </c>
      <c r="C12" s="35">
        <v>2.5</v>
      </c>
    </row>
    <row r="13" spans="2:3">
      <c r="B13" s="35" t="s">
        <v>64</v>
      </c>
      <c r="C13" s="35">
        <v>3</v>
      </c>
    </row>
    <row r="14" spans="2:3">
      <c r="B14" s="35" t="s">
        <v>65</v>
      </c>
      <c r="C14" s="35">
        <v>4</v>
      </c>
    </row>
    <row r="15" spans="2:3">
      <c r="B15" s="35" t="s">
        <v>66</v>
      </c>
      <c r="C15" s="35">
        <v>4</v>
      </c>
    </row>
    <row r="16" spans="2:3">
      <c r="B16" s="35" t="s">
        <v>67</v>
      </c>
      <c r="C16" s="35">
        <v>5</v>
      </c>
    </row>
    <row r="17" spans="2:3">
      <c r="B17" s="35" t="s">
        <v>68</v>
      </c>
      <c r="C17" s="35">
        <v>6</v>
      </c>
    </row>
    <row r="18" spans="2:3">
      <c r="B18" s="35" t="s">
        <v>69</v>
      </c>
      <c r="C18" s="35">
        <v>7</v>
      </c>
    </row>
    <row r="19" spans="2:3">
      <c r="B19" s="35" t="s">
        <v>70</v>
      </c>
      <c r="C19" s="35">
        <v>8</v>
      </c>
    </row>
    <row r="20" spans="2:3">
      <c r="B20" s="35" t="s">
        <v>71</v>
      </c>
      <c r="C20" s="35">
        <v>9</v>
      </c>
    </row>
    <row r="21" spans="2:3">
      <c r="B21" s="35" t="s">
        <v>72</v>
      </c>
      <c r="C21" s="35">
        <v>10</v>
      </c>
    </row>
    <row r="22" spans="2:3">
      <c r="B22" s="35" t="s">
        <v>73</v>
      </c>
      <c r="C22" s="35">
        <v>12</v>
      </c>
    </row>
    <row r="23" spans="2:3">
      <c r="B23" s="35" t="s">
        <v>74</v>
      </c>
      <c r="C23" s="35">
        <v>14</v>
      </c>
    </row>
    <row r="24" spans="2:3">
      <c r="B24" s="35" t="s">
        <v>75</v>
      </c>
      <c r="C24" s="35">
        <v>16</v>
      </c>
    </row>
    <row r="25" spans="2:3">
      <c r="B25" s="35" t="s">
        <v>76</v>
      </c>
      <c r="C25" s="35">
        <v>18</v>
      </c>
    </row>
    <row r="26" spans="2:3">
      <c r="B26" s="35" t="s">
        <v>77</v>
      </c>
      <c r="C26" s="35">
        <v>20</v>
      </c>
    </row>
    <row r="27" spans="2:3">
      <c r="B27" s="35" t="s">
        <v>78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6</vt:i4>
      </vt:variant>
    </vt:vector>
  </HeadingPairs>
  <TitlesOfParts>
    <vt:vector size="18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(11월)</vt:lpstr>
      <vt:lpstr>숙소임차료</vt:lpstr>
      <vt:lpstr>숙소관리비</vt:lpstr>
      <vt:lpstr>식대비용</vt:lpstr>
      <vt:lpstr>기타비용</vt:lpstr>
      <vt:lpstr>서명란</vt:lpstr>
      <vt:lpstr>DIA-INCH</vt:lpstr>
      <vt:lpstr>'근로내역 (11월)'!Print_Area</vt:lpstr>
      <vt:lpstr>기타비용!Print_Area</vt:lpstr>
      <vt:lpstr>'물량 내역서'!Print_Area</vt:lpstr>
      <vt:lpstr>숙소임차료!Print_Area</vt:lpstr>
      <vt:lpstr>식대비용!Print_Area</vt:lpstr>
      <vt:lpstr>'용역 청구서(갑지)'!Print_Area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ENCP0973LT</cp:lastModifiedBy>
  <cp:lastPrinted>2025-12-08T07:04:30Z</cp:lastPrinted>
  <dcterms:created xsi:type="dcterms:W3CDTF">2025-09-12T00:04:15Z</dcterms:created>
  <dcterms:modified xsi:type="dcterms:W3CDTF">2025-12-08T07:04:31Z</dcterms:modified>
</cp:coreProperties>
</file>