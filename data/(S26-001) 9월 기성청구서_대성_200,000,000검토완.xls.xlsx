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9월\S26-001\"/>
    </mc:Choice>
  </mc:AlternateContent>
  <xr:revisionPtr revIDLastSave="0" documentId="13_ncr:1_{E08AA4E9-508F-4EF3-9959-ADC2BFC1E9E9}" xr6:coauthVersionLast="36" xr6:coauthVersionMax="47" xr10:uidLastSave="{00000000-0000-0000-0000-000000000000}"/>
  <bookViews>
    <workbookView xWindow="28680" yWindow="-120" windowWidth="29040" windowHeight="15720" tabRatio="839" activeTab="1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3" state="hidden" r:id="rId4"/>
    <sheet name="집계장" sheetId="6" r:id="rId5"/>
    <sheet name="물량 내역서" sheetId="7" r:id="rId6"/>
    <sheet name="근로내역 (09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definedNames>
    <definedName name="_xlnm._FilterDatabase" localSheetId="6" hidden="1">'근로내역 (09월)'!$A$5:$AP$163</definedName>
    <definedName name="_xlnm._FilterDatabase" localSheetId="5" hidden="1">'물량 내역서'!$A$5:$M$52</definedName>
    <definedName name="_xlnm._FilterDatabase" localSheetId="8" hidden="1">숙소관리비!$A$3:$L$102</definedName>
    <definedName name="_xlnm.Print_Area" localSheetId="10">기타비용!$A$1:$I$34</definedName>
    <definedName name="_xlnm.Print_Area" localSheetId="7">숙소임차료!$A$1:$J$35</definedName>
    <definedName name="_xlnm.Print_Area" localSheetId="9">식대비용!$A$1:$J$5</definedName>
    <definedName name="_xlnm.Print_Area" localSheetId="4">집계장!$B$1:$M$27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6" l="1"/>
  <c r="N14" i="6"/>
  <c r="E7" i="2" l="1"/>
  <c r="H22" i="6"/>
  <c r="H9" i="6"/>
  <c r="E10" i="6" l="1"/>
  <c r="H3" i="12"/>
  <c r="I3" i="10"/>
  <c r="I3" i="9"/>
  <c r="I5" i="11"/>
  <c r="AO150" i="8"/>
  <c r="AL150" i="8"/>
  <c r="AK150" i="8"/>
  <c r="AJ150" i="8"/>
  <c r="AI150" i="8"/>
  <c r="AH150" i="8"/>
  <c r="AG150" i="8"/>
  <c r="AF150" i="8"/>
  <c r="AE150" i="8"/>
  <c r="AD150" i="8"/>
  <c r="AC150" i="8"/>
  <c r="AB150" i="8"/>
  <c r="AA150" i="8"/>
  <c r="Z150" i="8"/>
  <c r="Y150" i="8"/>
  <c r="X150" i="8"/>
  <c r="W150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AM150" i="8"/>
  <c r="AN149" i="8"/>
  <c r="AP149" i="8" s="1"/>
  <c r="AN148" i="8"/>
  <c r="AP148" i="8" s="1"/>
  <c r="AN147" i="8"/>
  <c r="AP147" i="8" s="1"/>
  <c r="AN146" i="8"/>
  <c r="AP146" i="8" s="1"/>
  <c r="AN145" i="8"/>
  <c r="AP145" i="8" s="1"/>
  <c r="AN144" i="8"/>
  <c r="AP144" i="8" s="1"/>
  <c r="AN143" i="8"/>
  <c r="AP143" i="8" s="1"/>
  <c r="AN142" i="8"/>
  <c r="AP142" i="8" s="1"/>
  <c r="AN141" i="8"/>
  <c r="AP141" i="8" s="1"/>
  <c r="AN140" i="8"/>
  <c r="AP140" i="8" s="1"/>
  <c r="AN139" i="8"/>
  <c r="AP139" i="8" s="1"/>
  <c r="AN138" i="8"/>
  <c r="AP138" i="8" s="1"/>
  <c r="AN137" i="8"/>
  <c r="AP137" i="8" s="1"/>
  <c r="AN136" i="8"/>
  <c r="AP136" i="8" s="1"/>
  <c r="AN135" i="8"/>
  <c r="AP135" i="8" s="1"/>
  <c r="AN134" i="8"/>
  <c r="AP134" i="8" s="1"/>
  <c r="AN133" i="8"/>
  <c r="AP133" i="8" s="1"/>
  <c r="AN132" i="8"/>
  <c r="AP132" i="8" s="1"/>
  <c r="AN131" i="8"/>
  <c r="AP131" i="8" s="1"/>
  <c r="AN130" i="8"/>
  <c r="AP130" i="8" s="1"/>
  <c r="AN129" i="8"/>
  <c r="AP129" i="8" s="1"/>
  <c r="AN128" i="8"/>
  <c r="AP128" i="8" s="1"/>
  <c r="AN127" i="8"/>
  <c r="AP127" i="8" s="1"/>
  <c r="AN126" i="8"/>
  <c r="AP126" i="8" s="1"/>
  <c r="AN125" i="8"/>
  <c r="AP125" i="8" s="1"/>
  <c r="AN124" i="8"/>
  <c r="AP124" i="8" s="1"/>
  <c r="AN123" i="8"/>
  <c r="AP123" i="8" s="1"/>
  <c r="AN122" i="8"/>
  <c r="AP122" i="8" s="1"/>
  <c r="AN121" i="8"/>
  <c r="AP121" i="8" s="1"/>
  <c r="AN120" i="8"/>
  <c r="AP120" i="8" s="1"/>
  <c r="AN119" i="8"/>
  <c r="AP119" i="8" s="1"/>
  <c r="AN118" i="8"/>
  <c r="AP118" i="8" s="1"/>
  <c r="AN117" i="8"/>
  <c r="AP117" i="8" s="1"/>
  <c r="AN116" i="8"/>
  <c r="AP116" i="8" s="1"/>
  <c r="AN115" i="8"/>
  <c r="AP115" i="8" s="1"/>
  <c r="AN114" i="8"/>
  <c r="AP114" i="8" s="1"/>
  <c r="AN113" i="8"/>
  <c r="AP113" i="8" s="1"/>
  <c r="AN112" i="8"/>
  <c r="AP112" i="8" s="1"/>
  <c r="AN111" i="8"/>
  <c r="AP111" i="8" s="1"/>
  <c r="AN110" i="8"/>
  <c r="AP110" i="8" s="1"/>
  <c r="AN109" i="8"/>
  <c r="AP109" i="8" s="1"/>
  <c r="AN108" i="8"/>
  <c r="AP108" i="8" s="1"/>
  <c r="AN107" i="8"/>
  <c r="AP107" i="8" s="1"/>
  <c r="AN106" i="8"/>
  <c r="AP106" i="8" s="1"/>
  <c r="AN105" i="8"/>
  <c r="AP105" i="8" s="1"/>
  <c r="AN104" i="8"/>
  <c r="AP104" i="8" s="1"/>
  <c r="AN103" i="8"/>
  <c r="AP103" i="8" s="1"/>
  <c r="AN102" i="8"/>
  <c r="AP102" i="8" s="1"/>
  <c r="AN101" i="8"/>
  <c r="AP101" i="8" s="1"/>
  <c r="H14" i="6"/>
  <c r="AN100" i="8"/>
  <c r="AN99" i="8"/>
  <c r="AN98" i="8"/>
  <c r="AN97" i="8"/>
  <c r="AN96" i="8"/>
  <c r="AN95" i="8"/>
  <c r="AN94" i="8"/>
  <c r="AN93" i="8"/>
  <c r="AN92" i="8"/>
  <c r="AN91" i="8"/>
  <c r="AN90" i="8"/>
  <c r="AN89" i="8"/>
  <c r="AN88" i="8"/>
  <c r="AN87" i="8"/>
  <c r="AN86" i="8"/>
  <c r="AN85" i="8"/>
  <c r="AN84" i="8"/>
  <c r="AN83" i="8"/>
  <c r="AN82" i="8"/>
  <c r="AN81" i="8"/>
  <c r="AN80" i="8"/>
  <c r="AN79" i="8"/>
  <c r="AN78" i="8"/>
  <c r="AN77" i="8"/>
  <c r="AN76" i="8"/>
  <c r="AN75" i="8"/>
  <c r="AN74" i="8"/>
  <c r="AN73" i="8"/>
  <c r="AN72" i="8"/>
  <c r="AN71" i="8"/>
  <c r="G11" i="6" l="1"/>
  <c r="H23" i="6"/>
  <c r="H15" i="6"/>
  <c r="H19" i="6" s="1"/>
  <c r="AP99" i="8"/>
  <c r="AP100" i="8"/>
  <c r="AP98" i="8"/>
  <c r="AP97" i="8"/>
  <c r="AP96" i="8"/>
  <c r="AP95" i="8"/>
  <c r="AP94" i="8"/>
  <c r="AP93" i="8"/>
  <c r="AP91" i="8"/>
  <c r="AP90" i="8"/>
  <c r="AP88" i="8"/>
  <c r="AP87" i="8"/>
  <c r="AP86" i="8"/>
  <c r="AP85" i="8"/>
  <c r="AP84" i="8"/>
  <c r="AP83" i="8"/>
  <c r="AP82" i="8"/>
  <c r="AP81" i="8"/>
  <c r="AP80" i="8"/>
  <c r="AP77" i="8"/>
  <c r="AP76" i="8"/>
  <c r="AP73" i="8"/>
  <c r="AP71" i="8"/>
  <c r="AP92" i="8"/>
  <c r="AP89" i="8"/>
  <c r="AP79" i="8"/>
  <c r="AP78" i="8"/>
  <c r="AP75" i="8"/>
  <c r="AP74" i="8"/>
  <c r="AP72" i="8"/>
  <c r="J12" i="7"/>
  <c r="I17" i="6" l="1"/>
  <c r="J17" i="6" l="1"/>
  <c r="AM162" i="8" l="1"/>
  <c r="AL162" i="8"/>
  <c r="AK162" i="8"/>
  <c r="AJ162" i="8"/>
  <c r="AI162" i="8"/>
  <c r="AH162" i="8"/>
  <c r="AG162" i="8"/>
  <c r="AF162" i="8"/>
  <c r="AE162" i="8"/>
  <c r="AD162" i="8"/>
  <c r="AC162" i="8"/>
  <c r="AB162" i="8"/>
  <c r="AA162" i="8"/>
  <c r="Z162" i="8"/>
  <c r="Y162" i="8"/>
  <c r="X162" i="8"/>
  <c r="W162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AN70" i="8"/>
  <c r="AP70" i="8" s="1"/>
  <c r="AN69" i="8"/>
  <c r="AP69" i="8" s="1"/>
  <c r="AN68" i="8"/>
  <c r="AP68" i="8" s="1"/>
  <c r="AN67" i="8"/>
  <c r="AP67" i="8" s="1"/>
  <c r="AN66" i="8"/>
  <c r="AP66" i="8" s="1"/>
  <c r="AN65" i="8"/>
  <c r="AP65" i="8" s="1"/>
  <c r="AN64" i="8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161" i="8" l="1"/>
  <c r="AP161" i="8" s="1"/>
  <c r="AN160" i="8"/>
  <c r="AP160" i="8" s="1"/>
  <c r="AN159" i="8"/>
  <c r="AP159" i="8" s="1"/>
  <c r="AN158" i="8"/>
  <c r="AP158" i="8" s="1"/>
  <c r="AN157" i="8"/>
  <c r="AP157" i="8" s="1"/>
  <c r="AN156" i="8"/>
  <c r="AP156" i="8" s="1"/>
  <c r="AN155" i="8"/>
  <c r="AP155" i="8" s="1"/>
  <c r="F5" i="13"/>
  <c r="F6" i="13"/>
  <c r="F7" i="13"/>
  <c r="F8" i="13"/>
  <c r="F9" i="13"/>
  <c r="F10" i="13"/>
  <c r="F11" i="13"/>
  <c r="E27" i="13"/>
  <c r="F27" i="13" l="1"/>
  <c r="D14" i="2" l="1"/>
  <c r="H34" i="12"/>
  <c r="H33" i="12"/>
  <c r="H32" i="12"/>
  <c r="AO163" i="8" l="1"/>
  <c r="AN151" i="8" l="1"/>
  <c r="AN152" i="8"/>
  <c r="AP152" i="8" s="1"/>
  <c r="AN153" i="8"/>
  <c r="AP153" i="8" s="1"/>
  <c r="AN154" i="8"/>
  <c r="AP154" i="8" s="1"/>
  <c r="H13" i="12"/>
  <c r="AN41" i="8"/>
  <c r="AP41" i="8" s="1"/>
  <c r="AN40" i="8"/>
  <c r="AP40" i="8" s="1"/>
  <c r="AN39" i="8"/>
  <c r="AP39" i="8" s="1"/>
  <c r="AP151" i="8" l="1"/>
  <c r="AP162" i="8" s="1"/>
  <c r="AN162" i="8"/>
  <c r="H31" i="12" l="1"/>
  <c r="H30" i="12"/>
  <c r="H29" i="12"/>
  <c r="H28" i="12"/>
  <c r="H27" i="12"/>
  <c r="H26" i="12"/>
  <c r="H25" i="12"/>
  <c r="H24" i="12"/>
  <c r="H23" i="12"/>
  <c r="H22" i="12"/>
  <c r="AN38" i="8" l="1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H21" i="12" l="1"/>
  <c r="H20" i="12"/>
  <c r="H19" i="12"/>
  <c r="H18" i="12"/>
  <c r="H17" i="12"/>
  <c r="H16" i="12"/>
  <c r="H15" i="12"/>
  <c r="H14" i="12"/>
  <c r="H12" i="12"/>
  <c r="H11" i="12"/>
  <c r="H10" i="12"/>
  <c r="H9" i="12"/>
  <c r="H8" i="12"/>
  <c r="H7" i="12"/>
  <c r="I3" i="11" l="1"/>
  <c r="G12" i="6" s="1"/>
  <c r="AN24" i="8" l="1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AN17" i="8" l="1"/>
  <c r="AP17" i="8" s="1"/>
  <c r="AN16" i="8"/>
  <c r="AP16" i="8" s="1"/>
  <c r="E10" i="2" l="1"/>
  <c r="E9" i="2"/>
  <c r="J51" i="7" l="1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K32" i="7" s="1"/>
  <c r="J31" i="7"/>
  <c r="J30" i="7"/>
  <c r="J29" i="7"/>
  <c r="E6" i="6" l="1"/>
  <c r="H6" i="12"/>
  <c r="H5" i="12"/>
  <c r="H4" i="12"/>
  <c r="I12" i="6" l="1"/>
  <c r="I11" i="6"/>
  <c r="AM3" i="8" l="1"/>
  <c r="AM1" i="8"/>
  <c r="AB163" i="8"/>
  <c r="AA163" i="8"/>
  <c r="Z163" i="8"/>
  <c r="X163" i="8"/>
  <c r="Q163" i="8"/>
  <c r="L163" i="8"/>
  <c r="K163" i="8"/>
  <c r="J163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N150" i="8" l="1"/>
  <c r="AG163" i="8"/>
  <c r="AH163" i="8"/>
  <c r="N163" i="8"/>
  <c r="AD163" i="8"/>
  <c r="O163" i="8"/>
  <c r="AE163" i="8"/>
  <c r="R163" i="8"/>
  <c r="I163" i="8"/>
  <c r="Y163" i="8"/>
  <c r="P163" i="8"/>
  <c r="AF163" i="8"/>
  <c r="AI163" i="8"/>
  <c r="T163" i="8"/>
  <c r="AJ163" i="8"/>
  <c r="S163" i="8"/>
  <c r="U163" i="8"/>
  <c r="AK163" i="8"/>
  <c r="V163" i="8"/>
  <c r="AL163" i="8"/>
  <c r="W163" i="8"/>
  <c r="AM163" i="8"/>
  <c r="M163" i="8"/>
  <c r="AC163" i="8"/>
  <c r="AP6" i="8"/>
  <c r="AP150" i="8" s="1"/>
  <c r="G10" i="6" s="1"/>
  <c r="E51" i="7"/>
  <c r="K51" i="7" s="1"/>
  <c r="M51" i="7" s="1"/>
  <c r="G51" i="7" s="1"/>
  <c r="E50" i="7"/>
  <c r="K50" i="7" s="1"/>
  <c r="M50" i="7" s="1"/>
  <c r="G50" i="7" s="1"/>
  <c r="E49" i="7"/>
  <c r="K49" i="7" s="1"/>
  <c r="M49" i="7" s="1"/>
  <c r="G49" i="7" s="1"/>
  <c r="E48" i="7"/>
  <c r="K48" i="7" s="1"/>
  <c r="M48" i="7" s="1"/>
  <c r="G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E42" i="7"/>
  <c r="E41" i="7"/>
  <c r="E40" i="7"/>
  <c r="E39" i="7"/>
  <c r="E38" i="7"/>
  <c r="E37" i="7"/>
  <c r="E36" i="7"/>
  <c r="E35" i="7"/>
  <c r="K35" i="7" s="1"/>
  <c r="E34" i="7"/>
  <c r="K34" i="7" s="1"/>
  <c r="M34" i="7" s="1"/>
  <c r="G34" i="7" s="1"/>
  <c r="E33" i="7"/>
  <c r="K33" i="7" s="1"/>
  <c r="M33" i="7" s="1"/>
  <c r="G33" i="7" s="1"/>
  <c r="E31" i="7"/>
  <c r="E30" i="7"/>
  <c r="K30" i="7" s="1"/>
  <c r="M30" i="7" s="1"/>
  <c r="G30" i="7" s="1"/>
  <c r="E29" i="7"/>
  <c r="J28" i="7"/>
  <c r="J27" i="7"/>
  <c r="L27" i="7" s="1"/>
  <c r="F27" i="7" s="1"/>
  <c r="J26" i="7"/>
  <c r="K26" i="7" s="1"/>
  <c r="M26" i="7" s="1"/>
  <c r="G26" i="7" s="1"/>
  <c r="J25" i="7"/>
  <c r="K25" i="7" s="1"/>
  <c r="M25" i="7" s="1"/>
  <c r="G25" i="7" s="1"/>
  <c r="J24" i="7"/>
  <c r="L24" i="7" s="1"/>
  <c r="F24" i="7" s="1"/>
  <c r="J23" i="7"/>
  <c r="L23" i="7" s="1"/>
  <c r="F23" i="7" s="1"/>
  <c r="J22" i="7"/>
  <c r="K22" i="7" s="1"/>
  <c r="M22" i="7" s="1"/>
  <c r="G22" i="7" s="1"/>
  <c r="J21" i="7"/>
  <c r="L21" i="7" s="1"/>
  <c r="F21" i="7" s="1"/>
  <c r="J20" i="7"/>
  <c r="L20" i="7" s="1"/>
  <c r="F20" i="7" s="1"/>
  <c r="J19" i="7"/>
  <c r="K19" i="7" s="1"/>
  <c r="M19" i="7" s="1"/>
  <c r="G19" i="7" s="1"/>
  <c r="J18" i="7"/>
  <c r="L18" i="7" s="1"/>
  <c r="F18" i="7" s="1"/>
  <c r="J17" i="7"/>
  <c r="L17" i="7" s="1"/>
  <c r="F17" i="7" s="1"/>
  <c r="J16" i="7"/>
  <c r="L16" i="7" s="1"/>
  <c r="F16" i="7" s="1"/>
  <c r="J15" i="7"/>
  <c r="L15" i="7" s="1"/>
  <c r="F15" i="7" s="1"/>
  <c r="J14" i="7"/>
  <c r="K14" i="7" s="1"/>
  <c r="M14" i="7" s="1"/>
  <c r="G14" i="7" s="1"/>
  <c r="J13" i="7"/>
  <c r="L13" i="7" s="1"/>
  <c r="F13" i="7" s="1"/>
  <c r="L12" i="7"/>
  <c r="F12" i="7" s="1"/>
  <c r="J11" i="7"/>
  <c r="L11" i="7" s="1"/>
  <c r="F11" i="7" s="1"/>
  <c r="J10" i="7"/>
  <c r="L10" i="7" s="1"/>
  <c r="F10" i="7" s="1"/>
  <c r="J9" i="7"/>
  <c r="K9" i="7" s="1"/>
  <c r="M9" i="7" s="1"/>
  <c r="G9" i="7" s="1"/>
  <c r="J8" i="7"/>
  <c r="J7" i="7"/>
  <c r="L7" i="7" s="1"/>
  <c r="F7" i="7" s="1"/>
  <c r="J6" i="7"/>
  <c r="A2" i="7"/>
  <c r="I52" i="7"/>
  <c r="H52" i="7"/>
  <c r="L50" i="7"/>
  <c r="F50" i="7" s="1"/>
  <c r="L49" i="7"/>
  <c r="F49" i="7" s="1"/>
  <c r="L48" i="7"/>
  <c r="F48" i="7" s="1"/>
  <c r="L47" i="7"/>
  <c r="F47" i="7" s="1"/>
  <c r="L46" i="7"/>
  <c r="F46" i="7" s="1"/>
  <c r="L35" i="7"/>
  <c r="F35" i="7" s="1"/>
  <c r="L34" i="7"/>
  <c r="F34" i="7" s="1"/>
  <c r="L33" i="7"/>
  <c r="F33" i="7" s="1"/>
  <c r="L32" i="7"/>
  <c r="F32" i="7" s="1"/>
  <c r="M32" i="7"/>
  <c r="G32" i="7" s="1"/>
  <c r="B2" i="6"/>
  <c r="A2" i="13" s="1"/>
  <c r="M3" i="6"/>
  <c r="K27" i="7" l="1"/>
  <c r="M27" i="7" s="1"/>
  <c r="G27" i="7" s="1"/>
  <c r="L8" i="7"/>
  <c r="F8" i="7" s="1"/>
  <c r="J52" i="7"/>
  <c r="I10" i="6"/>
  <c r="L19" i="7"/>
  <c r="F19" i="7" s="1"/>
  <c r="K17" i="7"/>
  <c r="M17" i="7" s="1"/>
  <c r="G17" i="7" s="1"/>
  <c r="K24" i="7"/>
  <c r="M24" i="7" s="1"/>
  <c r="G24" i="7" s="1"/>
  <c r="K37" i="7"/>
  <c r="M37" i="7" s="1"/>
  <c r="G37" i="7" s="1"/>
  <c r="K38" i="7"/>
  <c r="M38" i="7" s="1"/>
  <c r="G38" i="7" s="1"/>
  <c r="K41" i="7"/>
  <c r="M41" i="7" s="1"/>
  <c r="G41" i="7" s="1"/>
  <c r="K42" i="7"/>
  <c r="M42" i="7" s="1"/>
  <c r="G42" i="7" s="1"/>
  <c r="L43" i="7"/>
  <c r="F43" i="7" s="1"/>
  <c r="K43" i="7"/>
  <c r="M43" i="7" s="1"/>
  <c r="G43" i="7" s="1"/>
  <c r="L9" i="7"/>
  <c r="F9" i="7" s="1"/>
  <c r="K39" i="7"/>
  <c r="K40" i="7"/>
  <c r="M40" i="7" s="1"/>
  <c r="G40" i="7" s="1"/>
  <c r="K11" i="7"/>
  <c r="M11" i="7" s="1"/>
  <c r="G11" i="7" s="1"/>
  <c r="K29" i="7"/>
  <c r="M29" i="7" s="1"/>
  <c r="G29" i="7" s="1"/>
  <c r="K31" i="7"/>
  <c r="M31" i="7" s="1"/>
  <c r="G31" i="7" s="1"/>
  <c r="K36" i="7"/>
  <c r="M36" i="7" s="1"/>
  <c r="G36" i="7" s="1"/>
  <c r="E7" i="6"/>
  <c r="G7" i="6" s="1"/>
  <c r="I7" i="6" s="1"/>
  <c r="J7" i="6" s="1"/>
  <c r="K8" i="7"/>
  <c r="E5" i="6"/>
  <c r="L28" i="7"/>
  <c r="F28" i="7" s="1"/>
  <c r="L25" i="7"/>
  <c r="F25" i="7" s="1"/>
  <c r="AP163" i="8"/>
  <c r="L41" i="7"/>
  <c r="F41" i="7" s="1"/>
  <c r="L39" i="7"/>
  <c r="F39" i="7" s="1"/>
  <c r="K7" i="7"/>
  <c r="M7" i="7" s="1"/>
  <c r="G7" i="7" s="1"/>
  <c r="K15" i="7"/>
  <c r="M15" i="7" s="1"/>
  <c r="G15" i="7" s="1"/>
  <c r="K23" i="7"/>
  <c r="M23" i="7" s="1"/>
  <c r="G23" i="7" s="1"/>
  <c r="K16" i="7"/>
  <c r="M16" i="7" s="1"/>
  <c r="G16" i="7" s="1"/>
  <c r="K6" i="7"/>
  <c r="L6" i="7"/>
  <c r="L14" i="7"/>
  <c r="F14" i="7" s="1"/>
  <c r="L22" i="7"/>
  <c r="F22" i="7" s="1"/>
  <c r="L30" i="7"/>
  <c r="F30" i="7" s="1"/>
  <c r="L37" i="7"/>
  <c r="F37" i="7" s="1"/>
  <c r="L44" i="7"/>
  <c r="F44" i="7" s="1"/>
  <c r="L51" i="7"/>
  <c r="F51" i="7" s="1"/>
  <c r="K12" i="7"/>
  <c r="M12" i="7" s="1"/>
  <c r="G12" i="7" s="1"/>
  <c r="K20" i="7"/>
  <c r="M20" i="7" s="1"/>
  <c r="G20" i="7" s="1"/>
  <c r="K28" i="7"/>
  <c r="M35" i="7"/>
  <c r="G35" i="7" s="1"/>
  <c r="L42" i="7"/>
  <c r="F42" i="7" s="1"/>
  <c r="L31" i="7"/>
  <c r="F31" i="7" s="1"/>
  <c r="L38" i="7"/>
  <c r="F38" i="7" s="1"/>
  <c r="L40" i="7"/>
  <c r="F40" i="7" s="1"/>
  <c r="K18" i="7"/>
  <c r="M18" i="7" s="1"/>
  <c r="G18" i="7" s="1"/>
  <c r="L26" i="7"/>
  <c r="F26" i="7" s="1"/>
  <c r="L45" i="7"/>
  <c r="F45" i="7" s="1"/>
  <c r="K10" i="7"/>
  <c r="M10" i="7" s="1"/>
  <c r="G10" i="7" s="1"/>
  <c r="K13" i="7"/>
  <c r="M13" i="7" s="1"/>
  <c r="G13" i="7" s="1"/>
  <c r="K21" i="7"/>
  <c r="M21" i="7" s="1"/>
  <c r="G21" i="7" s="1"/>
  <c r="L29" i="7"/>
  <c r="F29" i="7" s="1"/>
  <c r="L36" i="7"/>
  <c r="F36" i="7" s="1"/>
  <c r="G21" i="6"/>
  <c r="I20" i="6"/>
  <c r="J20" i="6" s="1"/>
  <c r="I18" i="6"/>
  <c r="I16" i="6"/>
  <c r="G13" i="6"/>
  <c r="J16" i="6" l="1"/>
  <c r="M8" i="7"/>
  <c r="G8" i="7" s="1"/>
  <c r="G5" i="6"/>
  <c r="I21" i="6"/>
  <c r="J21" i="6" s="1"/>
  <c r="E11" i="2"/>
  <c r="G6" i="6"/>
  <c r="M39" i="7"/>
  <c r="G39" i="7" s="1"/>
  <c r="M28" i="7"/>
  <c r="G28" i="7" s="1"/>
  <c r="L52" i="7"/>
  <c r="F6" i="7"/>
  <c r="F52" i="7" s="1"/>
  <c r="K52" i="7"/>
  <c r="M6" i="7"/>
  <c r="F12" i="6"/>
  <c r="J12" i="6"/>
  <c r="F11" i="6"/>
  <c r="I13" i="6"/>
  <c r="J13" i="6" s="1"/>
  <c r="J11" i="6"/>
  <c r="F6" i="5"/>
  <c r="F7" i="5"/>
  <c r="F8" i="5"/>
  <c r="F9" i="5"/>
  <c r="F10" i="5"/>
  <c r="F11" i="5"/>
  <c r="F5" i="5"/>
  <c r="E15" i="5"/>
  <c r="E3" i="2"/>
  <c r="D3" i="2"/>
  <c r="G8" i="6" l="1"/>
  <c r="G9" i="6" s="1"/>
  <c r="I5" i="6"/>
  <c r="E12" i="2"/>
  <c r="D12" i="2" s="1"/>
  <c r="J10" i="6"/>
  <c r="G14" i="6"/>
  <c r="F6" i="6"/>
  <c r="I6" i="6"/>
  <c r="J6" i="6" s="1"/>
  <c r="F5" i="6"/>
  <c r="M52" i="7"/>
  <c r="G6" i="7"/>
  <c r="G52" i="7" s="1"/>
  <c r="F13" i="5"/>
  <c r="D11" i="2"/>
  <c r="D10" i="2"/>
  <c r="D9" i="2"/>
  <c r="D7" i="2"/>
  <c r="I8" i="6" l="1"/>
  <c r="J8" i="6" s="1"/>
  <c r="F15" i="5"/>
  <c r="J5" i="6"/>
  <c r="G15" i="6"/>
  <c r="I14" i="6"/>
  <c r="J14" i="6" s="1"/>
  <c r="G19" i="6" l="1"/>
  <c r="G22" i="6" s="1"/>
  <c r="J9" i="6"/>
  <c r="I9" i="6"/>
  <c r="I15" i="6"/>
  <c r="G23" i="6" l="1"/>
  <c r="I23" i="6" s="1"/>
  <c r="I22" i="6"/>
  <c r="J22" i="6" s="1"/>
  <c r="J23" i="6" s="1"/>
  <c r="J15" i="6"/>
  <c r="J19" i="6" s="1"/>
  <c r="E5" i="2" l="1"/>
  <c r="D5" i="2" s="1"/>
  <c r="E8" i="2" l="1"/>
  <c r="E13" i="2"/>
  <c r="D8" i="2" l="1"/>
  <c r="D13" i="2"/>
  <c r="E6" i="2"/>
  <c r="D6" i="2" s="1"/>
  <c r="AN163" i="8"/>
  <c r="F1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<sst xmlns="http://schemas.openxmlformats.org/spreadsheetml/2006/main" count="2332" uniqueCount="1004">
  <si>
    <t>용 역 청 구 서</t>
    <phoneticPr fontId="5" type="noConversion"/>
  </si>
  <si>
    <t>용 역 청 구 서</t>
    <phoneticPr fontId="5" type="noConversion"/>
  </si>
  <si>
    <t>공      사      명</t>
    <phoneticPr fontId="8" type="noConversion"/>
  </si>
  <si>
    <t>:</t>
    <phoneticPr fontId="8" type="noConversion"/>
  </si>
  <si>
    <t>공               종</t>
    <phoneticPr fontId="8" type="noConversion"/>
  </si>
  <si>
    <t xml:space="preserve"> 외주용역(M/M부분)</t>
    <phoneticPr fontId="3" type="noConversion"/>
  </si>
  <si>
    <t>계   약    금   액</t>
    <phoneticPr fontId="8" type="noConversion"/>
  </si>
  <si>
    <t>(VAT 별도)</t>
    <phoneticPr fontId="8" type="noConversion"/>
  </si>
  <si>
    <t>누 계 기 성 금 액</t>
    <phoneticPr fontId="8" type="noConversion"/>
  </si>
  <si>
    <t>(VAT 별도)</t>
    <phoneticPr fontId="8" type="noConversion"/>
  </si>
  <si>
    <t>전 회 기 성 금 액</t>
    <phoneticPr fontId="8" type="noConversion"/>
  </si>
  <si>
    <t>:</t>
    <phoneticPr fontId="8" type="noConversion"/>
  </si>
  <si>
    <t>(VAT 별도)</t>
    <phoneticPr fontId="8" type="noConversion"/>
  </si>
  <si>
    <t>금 회 기 성 금 액</t>
    <phoneticPr fontId="8" type="noConversion"/>
  </si>
  <si>
    <t>(VAT 별도)</t>
    <phoneticPr fontId="8" type="noConversion"/>
  </si>
  <si>
    <t>선      금       액</t>
    <phoneticPr fontId="8" type="noConversion"/>
  </si>
  <si>
    <t>:</t>
    <phoneticPr fontId="8" type="noConversion"/>
  </si>
  <si>
    <t xml:space="preserve">선 금 전 회 공 제    </t>
    <phoneticPr fontId="8" type="noConversion"/>
  </si>
  <si>
    <t>:</t>
    <phoneticPr fontId="3" type="noConversion"/>
  </si>
  <si>
    <t>선 금 금 회 공 제</t>
    <phoneticPr fontId="8" type="noConversion"/>
  </si>
  <si>
    <t>선 금 잔 여 금 액</t>
    <phoneticPr fontId="8" type="noConversion"/>
  </si>
  <si>
    <t>금 회 청 구 금 액</t>
    <phoneticPr fontId="8" type="noConversion"/>
  </si>
  <si>
    <t>:</t>
    <phoneticPr fontId="8" type="noConversion"/>
  </si>
  <si>
    <t>잔 여 기 성 금 액</t>
    <phoneticPr fontId="8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</si>
  <si>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</si>
  <si>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</si>
  <si>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</si>
  <si>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</si>
  <si>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8" type="noConversion"/>
  </si>
  <si>
    <t>관하여 하자가 발견된 때에는 즉시 실액배상 또는 재 시공할것을 서약하고 이에 기성 청구서를 제출합니다.</t>
    <phoneticPr fontId="8" type="noConversion"/>
  </si>
  <si>
    <t>상기건과 관련하여 본 청구 이전까지의 모든 대금은 수령하였음을 확약합니다.</t>
    <phoneticPr fontId="3" type="noConversion"/>
  </si>
  <si>
    <t>상      호 :</t>
    <phoneticPr fontId="8" type="noConversion"/>
  </si>
  <si>
    <t xml:space="preserve">※첨  부 : 기성내역서            1부. </t>
    <phoneticPr fontId="8" type="noConversion"/>
  </si>
  <si>
    <t>주      소 :</t>
    <phoneticPr fontId="8" type="noConversion"/>
  </si>
  <si>
    <t>대표이사 :</t>
    <phoneticPr fontId="8" type="noConversion"/>
  </si>
  <si>
    <t>㈜케이씨이앤씨 귀하</t>
    <phoneticPr fontId="8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</si>
  <si>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</si>
  <si>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</si>
  <si>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</si>
  <si>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</si>
  <si>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</si>
  <si>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</si>
  <si>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</si>
  <si>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</si>
  <si>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</si>
  <si>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</si>
  <si>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</si>
  <si>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</si>
  <si>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</si>
  <si>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</si>
  <si>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</si>
  <si>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</si>
  <si>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</si>
  <si>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</si>
  <si>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</si>
  <si>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</si>
  <si>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</si>
  <si>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</si>
  <si>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</si>
  <si>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</si>
  <si>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</si>
  <si>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</si>
  <si>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</si>
  <si>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</si>
  <si>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</si>
  <si>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</si>
  <si>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</si>
  <si>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</si>
  <si>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</si>
  <si>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</si>
  <si>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</si>
  <si>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</si>
  <si>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</si>
  <si>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</si>
  <si>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</si>
  <si>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</si>
  <si>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</si>
  <si>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</si>
  <si>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</si>
  <si>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</si>
  <si>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</si>
  <si>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</si>
  <si>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</si>
  <si>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</si>
  <si>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</si>
  <si>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</si>
  <si>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</si>
  <si>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</si>
  <si>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</si>
  <si>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</si>
  <si>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</si>
  <si>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</si>
  <si>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</si>
  <si>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</si>
  <si>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</si>
  <si>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</si>
  <si>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</si>
  <si>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</si>
  <si>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</si>
  <si>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</si>
  <si>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</si>
  <si>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</si>
  <si>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</si>
  <si>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</si>
  <si>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</si>
  <si>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</si>
  <si>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</si>
  <si>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</si>
  <si>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</si>
  <si>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</si>
  <si>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</si>
  <si>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</si>
  <si>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</si>
  <si>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</si>
  <si>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</si>
  <si>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</si>
  <si>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</si>
  <si>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</si>
  <si>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</si>
  <si>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</si>
  <si>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</si>
  <si>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</si>
  <si>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</si>
  <si>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</si>
  <si>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</si>
  <si>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</si>
  <si>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</si>
  <si>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</si>
  <si>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</si>
  <si>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>직접노무비</t>
    <phoneticPr fontId="3" type="noConversion"/>
  </si>
  <si>
    <t>式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</si>
  <si>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</si>
  <si>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</si>
  <si>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</si>
  <si>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</si>
  <si>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</si>
  <si>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</si>
  <si>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</si>
  <si>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>기성금*XX%</t>
    <phoneticPr fontId="3" type="noConversion"/>
  </si>
  <si>
    <t>式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</si>
  <si>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</si>
  <si>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</si>
  <si>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</si>
  <si>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</si>
  <si>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</si>
  <si>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</si>
  <si>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</si>
  <si>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</si>
  <si>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</si>
  <si>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</si>
  <si>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</si>
  <si>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</si>
  <si>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</si>
  <si>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</si>
  <si>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</si>
  <si>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</si>
  <si>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</si>
  <si>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</si>
  <si>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</si>
  <si>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</si>
  <si>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</si>
  <si>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</si>
  <si>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</si>
  <si>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</si>
  <si>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</si>
  <si>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</si>
  <si>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</si>
  <si>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</si>
  <si>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</si>
  <si>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</si>
  <si>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</si>
  <si>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</si>
  <si>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</si>
  <si>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</si>
  <si>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</si>
  <si>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</si>
  <si>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</si>
  <si>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</si>
  <si>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</si>
  <si>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</si>
  <si>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</si>
  <si>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</si>
  <si>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</si>
  <si>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</si>
  <si>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</si>
  <si>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</si>
  <si>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</si>
  <si>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</si>
  <si>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</si>
  <si>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</si>
  <si>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</si>
  <si>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</si>
  <si>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</si>
  <si>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</si>
  <si>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</si>
  <si>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</si>
  <si>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</si>
  <si>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</si>
  <si>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</si>
  <si>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</si>
  <si>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</si>
  <si>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</si>
  <si>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</si>
  <si>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</si>
  <si>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</si>
  <si>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</si>
  <si>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</si>
  <si>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</si>
  <si>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</si>
  <si>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</si>
  <si>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</si>
  <si>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</si>
  <si>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</si>
  <si>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</si>
  <si>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</si>
  <si>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</si>
  <si>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</si>
  <si>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</si>
  <si>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</si>
  <si>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</si>
  <si>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</si>
  <si>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</si>
  <si>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</si>
  <si>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</si>
  <si>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</si>
  <si>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</si>
  <si>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</si>
  <si>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</si>
  <si>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</si>
  <si>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</si>
  <si>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</si>
  <si>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</si>
  <si>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</si>
  <si>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</si>
  <si>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</si>
  <si>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</si>
  <si>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</si>
  <si>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</si>
  <si>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</si>
  <si>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</si>
  <si>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</si>
  <si>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</si>
  <si>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</si>
  <si>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</si>
  <si>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</si>
  <si>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</si>
  <si>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</si>
  <si>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</si>
  <si>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</si>
  <si>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</si>
  <si>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</si>
  <si>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</si>
  <si>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</si>
  <si>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</si>
  <si>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</si>
  <si>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</si>
  <si>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</si>
  <si>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</si>
  <si>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</si>
  <si>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</si>
  <si>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</si>
  <si>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</si>
  <si>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</si>
  <si>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</si>
  <si>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</si>
  <si>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</si>
  <si>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</si>
  <si>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</si>
  <si>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</si>
  <si>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</si>
  <si>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</si>
  <si>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</si>
  <si>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</si>
  <si>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</si>
  <si>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</si>
  <si>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</si>
  <si>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</si>
  <si>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</si>
  <si>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</si>
  <si>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</si>
  <si>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</si>
  <si>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</si>
  <si>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</si>
  <si>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</si>
  <si>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</si>
  <si>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</si>
  <si>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</si>
  <si>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</si>
  <si>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</si>
  <si>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</si>
  <si>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</si>
  <si>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</si>
  <si>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</si>
  <si>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</si>
  <si>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8" type="noConversion"/>
  </si>
  <si>
    <t>우리</t>
  </si>
  <si>
    <t>기업</t>
  </si>
  <si>
    <t>202호</t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</si>
  <si>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</si>
  <si>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</si>
  <si>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</si>
  <si>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</si>
  <si>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밥심</t>
    <phoneticPr fontId="3" type="noConversion"/>
  </si>
  <si>
    <t>하나</t>
  </si>
  <si>
    <t>우체국</t>
  </si>
  <si>
    <t>401호</t>
  </si>
  <si>
    <t>석임수</t>
  </si>
  <si>
    <t>911020-1685317</t>
  </si>
  <si>
    <t>238-910260-47407</t>
  </si>
  <si>
    <t>010-4183-1119</t>
  </si>
  <si>
    <t>번호열쇠 [XD-40,4열 [자커]]</t>
  </si>
  <si>
    <t>총   계</t>
    <phoneticPr fontId="5" type="noConversion"/>
  </si>
  <si>
    <t>M/M</t>
  </si>
  <si>
    <t>C</t>
  </si>
  <si>
    <t>초급기술인</t>
  </si>
  <si>
    <t>B</t>
  </si>
  <si>
    <t>중급기술인</t>
  </si>
  <si>
    <t>B+</t>
  </si>
  <si>
    <t/>
  </si>
  <si>
    <t>A</t>
  </si>
  <si>
    <t>A+</t>
  </si>
  <si>
    <t>S</t>
  </si>
  <si>
    <t>고급기술인</t>
  </si>
  <si>
    <t>S+</t>
  </si>
  <si>
    <t>금  액</t>
    <phoneticPr fontId="5" type="noConversion"/>
  </si>
  <si>
    <t>수 량</t>
    <phoneticPr fontId="5" type="noConversion"/>
  </si>
  <si>
    <t>비 고</t>
    <phoneticPr fontId="51" type="noConversion"/>
  </si>
  <si>
    <t>금 회 청 구</t>
    <phoneticPr fontId="5" type="noConversion"/>
  </si>
  <si>
    <t>단 가</t>
    <phoneticPr fontId="5" type="noConversion"/>
  </si>
  <si>
    <t>단위</t>
  </si>
  <si>
    <t>규   격</t>
    <phoneticPr fontId="5" type="noConversion"/>
  </si>
  <si>
    <t>품          명</t>
  </si>
  <si>
    <t>단위 : 원</t>
    <phoneticPr fontId="5" type="noConversion"/>
  </si>
  <si>
    <t>용 역 내 역 서</t>
    <phoneticPr fontId="5" type="noConversion"/>
  </si>
  <si>
    <t>S26-001</t>
    <phoneticPr fontId="5" type="noConversion"/>
  </si>
  <si>
    <t>조 수 원</t>
    <phoneticPr fontId="3" type="noConversion"/>
  </si>
  <si>
    <t>강희수</t>
  </si>
  <si>
    <t>730210-1029411</t>
  </si>
  <si>
    <t>도비공</t>
  </si>
  <si>
    <t>010-9561-6101</t>
  </si>
  <si>
    <t>110-490-486591</t>
  </si>
  <si>
    <t>김마태</t>
  </si>
  <si>
    <t>830224-1912010</t>
  </si>
  <si>
    <t>010-2725-6089</t>
  </si>
  <si>
    <t>175-073189-01-013</t>
  </si>
  <si>
    <t>토스뱅크</t>
  </si>
  <si>
    <t>김정인</t>
  </si>
  <si>
    <t>911224-1235320</t>
  </si>
  <si>
    <t>010-3175-7994</t>
  </si>
  <si>
    <t>김진</t>
  </si>
  <si>
    <t>840728-1235014</t>
  </si>
  <si>
    <t>010-6246-4588</t>
  </si>
  <si>
    <t>458-013758-02-012</t>
  </si>
  <si>
    <t>김치헌</t>
  </si>
  <si>
    <t>790914-1567115</t>
  </si>
  <si>
    <t>010-4191-6886</t>
  </si>
  <si>
    <t>257602-04-003063</t>
  </si>
  <si>
    <t>김형태</t>
  </si>
  <si>
    <t>남현빈</t>
  </si>
  <si>
    <t>990907-1842410</t>
  </si>
  <si>
    <t>010-7131-4342</t>
  </si>
  <si>
    <t>카카오뱅크</t>
  </si>
  <si>
    <t>3333-13-8378173</t>
  </si>
  <si>
    <t>성지현</t>
  </si>
  <si>
    <t>861110-1351114</t>
  </si>
  <si>
    <t>010-9197-9732</t>
  </si>
  <si>
    <t>3333-01-9967097</t>
  </si>
  <si>
    <t>신민철</t>
  </si>
  <si>
    <t>830814-1183120</t>
  </si>
  <si>
    <t>010-7706-5000</t>
  </si>
  <si>
    <t>289-082628-01-018</t>
  </si>
  <si>
    <t>양정운</t>
  </si>
  <si>
    <t>821019-1449616</t>
  </si>
  <si>
    <t>010-3641-8181</t>
  </si>
  <si>
    <t>302-1350-3060-51</t>
  </si>
  <si>
    <t>양정인</t>
  </si>
  <si>
    <t>810207-1455012</t>
  </si>
  <si>
    <t>010-8824-6401</t>
  </si>
  <si>
    <t>472301-04-019277</t>
  </si>
  <si>
    <t>이백창</t>
  </si>
  <si>
    <t>761016-1110611</t>
  </si>
  <si>
    <t>010-9815-0818</t>
  </si>
  <si>
    <t>이상덕</t>
  </si>
  <si>
    <t>730801-1545424</t>
  </si>
  <si>
    <t>010-2495-1870</t>
  </si>
  <si>
    <t>183-015807-01020</t>
  </si>
  <si>
    <t>이수빈</t>
  </si>
  <si>
    <t>940912-1105528</t>
  </si>
  <si>
    <t>010-7774-4872</t>
  </si>
  <si>
    <t>110802-04-289399</t>
  </si>
  <si>
    <t>이진</t>
  </si>
  <si>
    <t>900815-1066311</t>
  </si>
  <si>
    <t>010-8738-7072</t>
  </si>
  <si>
    <t>757102-04-212989</t>
  </si>
  <si>
    <t>이희준</t>
  </si>
  <si>
    <t>840808-1002416</t>
  </si>
  <si>
    <t>010-7612-6003</t>
  </si>
  <si>
    <t>1000-3396-8736</t>
  </si>
  <si>
    <t>정춘식</t>
  </si>
  <si>
    <t>870321-1050411</t>
  </si>
  <si>
    <t xml:space="preserve">010-3413-8703 </t>
  </si>
  <si>
    <t>352-1195-1823-93</t>
  </si>
  <si>
    <t>최형권</t>
  </si>
  <si>
    <t>820625-1411930</t>
  </si>
  <si>
    <t>010-3121-3146</t>
  </si>
  <si>
    <t>1002-337-154871</t>
  </si>
  <si>
    <t>하성호</t>
  </si>
  <si>
    <t>770108-1468427</t>
  </si>
  <si>
    <t>010-8962-6247</t>
  </si>
  <si>
    <t>110-175-083529</t>
  </si>
  <si>
    <t>황동우</t>
  </si>
  <si>
    <t>770113-1558817</t>
  </si>
  <si>
    <t>010-2360-6689</t>
  </si>
  <si>
    <t>688801-00-122509</t>
  </si>
  <si>
    <t>황순일</t>
  </si>
  <si>
    <t>960117-1254015</t>
  </si>
  <si>
    <t>010-3900-7068</t>
  </si>
  <si>
    <t>김의찬</t>
  </si>
  <si>
    <t>김정규</t>
  </si>
  <si>
    <t>김지민</t>
  </si>
  <si>
    <t>김택수</t>
  </si>
  <si>
    <t>배찬영</t>
  </si>
  <si>
    <t>신경진</t>
  </si>
  <si>
    <t>안수현</t>
  </si>
  <si>
    <t>윤대성</t>
  </si>
  <si>
    <t>이동은</t>
  </si>
  <si>
    <t>이은희</t>
  </si>
  <si>
    <t>이철호</t>
  </si>
  <si>
    <t>이현우</t>
  </si>
  <si>
    <t>정익수</t>
  </si>
  <si>
    <t>최수종</t>
  </si>
  <si>
    <t>함지원</t>
  </si>
  <si>
    <t>810916-1090421</t>
  </si>
  <si>
    <t>821122-1047416</t>
  </si>
  <si>
    <t>930707-1150011</t>
  </si>
  <si>
    <t>751221-1663222</t>
  </si>
  <si>
    <t>771214 -1906312</t>
  </si>
  <si>
    <t>880103-1105818</t>
  </si>
  <si>
    <t>970206-2728016</t>
  </si>
  <si>
    <t xml:space="preserve">870228-1800810 </t>
  </si>
  <si>
    <t>900720-1156817</t>
  </si>
  <si>
    <t>950520-2522712</t>
  </si>
  <si>
    <t>740901-1345439</t>
  </si>
  <si>
    <t>910319-1078115</t>
  </si>
  <si>
    <t>940126-1081741</t>
  </si>
  <si>
    <t>990511-1024713</t>
  </si>
  <si>
    <t>951003-1042312</t>
  </si>
  <si>
    <t xml:space="preserve">010-7748-9382 </t>
  </si>
  <si>
    <t>010-3240-6194</t>
  </si>
  <si>
    <t>010-8000-2457</t>
  </si>
  <si>
    <t xml:space="preserve">010-7942-1751 </t>
  </si>
  <si>
    <t>010-8896-7746</t>
  </si>
  <si>
    <t>010-6540-2229</t>
  </si>
  <si>
    <t>010-5045-9210</t>
  </si>
  <si>
    <t xml:space="preserve">010-6690-3570 </t>
  </si>
  <si>
    <t>010-5581-1814</t>
  </si>
  <si>
    <t>010-2359-1912</t>
  </si>
  <si>
    <t>010-9742-4992</t>
  </si>
  <si>
    <t>010-9685-6744</t>
  </si>
  <si>
    <t>010-2323-7788</t>
  </si>
  <si>
    <t>010-9439-3189</t>
  </si>
  <si>
    <t xml:space="preserve">010-7281-8411 </t>
  </si>
  <si>
    <t>757101-04-044154</t>
  </si>
  <si>
    <t>3333-13-9046173</t>
  </si>
  <si>
    <t>1002-339-327014</t>
  </si>
  <si>
    <t>352-1366-3636-53</t>
  </si>
  <si>
    <t>292-910293-88807</t>
  </si>
  <si>
    <t>110-404-264147</t>
  </si>
  <si>
    <t>3333-17-1177994</t>
  </si>
  <si>
    <t>3333-13-0258058</t>
  </si>
  <si>
    <t>104893-02-161818</t>
  </si>
  <si>
    <t>923801-00-052642</t>
  </si>
  <si>
    <t>110-398-862753</t>
  </si>
  <si>
    <t>3333-08-8329737</t>
  </si>
  <si>
    <t>933502-00-554904</t>
  </si>
  <si>
    <t>에폭시접착제 [매직스틱,다목적용,114G,CTX [엑시아]]</t>
  </si>
  <si>
    <t>추가 공사건 투입인원 합   계</t>
    <phoneticPr fontId="3" type="noConversion"/>
  </si>
  <si>
    <t>만 단위 이하 절사</t>
    <phoneticPr fontId="8" type="noConversion"/>
  </si>
  <si>
    <t xml:space="preserve"> 2. 노무비</t>
    <phoneticPr fontId="3" type="noConversion"/>
  </si>
  <si>
    <t xml:space="preserve"> 3. 숙소 및 식대</t>
    <phoneticPr fontId="3" type="noConversion"/>
  </si>
  <si>
    <t xml:space="preserve"> 4. 기타 공제 내역</t>
    <phoneticPr fontId="3" type="noConversion"/>
  </si>
  <si>
    <t xml:space="preserve"> 5. 유보금</t>
    <phoneticPr fontId="3" type="noConversion"/>
  </si>
  <si>
    <t xml:space="preserve"> 6. 유보금 차액</t>
    <phoneticPr fontId="3" type="noConversion"/>
  </si>
  <si>
    <t xml:space="preserve"> 7. NEGO</t>
    <phoneticPr fontId="3" type="noConversion"/>
  </si>
  <si>
    <t>전회 누계유보금</t>
    <phoneticPr fontId="3" type="noConversion"/>
  </si>
  <si>
    <t>P4 Ph2 GAS&amp;PCW 1공구</t>
    <phoneticPr fontId="8" type="noConversion"/>
  </si>
  <si>
    <t>김재윤</t>
  </si>
  <si>
    <t>신주현</t>
  </si>
  <si>
    <t>이완석</t>
  </si>
  <si>
    <t>조동만</t>
  </si>
  <si>
    <t>주효수</t>
  </si>
  <si>
    <t>김민재</t>
  </si>
  <si>
    <t>김대욱</t>
  </si>
  <si>
    <t>김호선</t>
  </si>
  <si>
    <t>이광재</t>
  </si>
  <si>
    <t>서용환</t>
  </si>
  <si>
    <t>홍유진</t>
  </si>
  <si>
    <t>김현중</t>
  </si>
  <si>
    <t>강동우</t>
  </si>
  <si>
    <t>김진재</t>
  </si>
  <si>
    <t>이인용</t>
  </si>
  <si>
    <t>박기태</t>
  </si>
  <si>
    <t>이형동</t>
  </si>
  <si>
    <t>천성욱</t>
  </si>
  <si>
    <t>설희수</t>
  </si>
  <si>
    <t>진영효</t>
  </si>
  <si>
    <t>861216-1157613</t>
  </si>
  <si>
    <t>810227-1063429</t>
  </si>
  <si>
    <t>921116-1151522</t>
  </si>
  <si>
    <t>890823-1409016</t>
  </si>
  <si>
    <t>950219-1194529</t>
  </si>
  <si>
    <t>940217-1474315</t>
  </si>
  <si>
    <t>890712-1058810</t>
  </si>
  <si>
    <t>750703-1231129</t>
  </si>
  <si>
    <t>940824-1017712</t>
  </si>
  <si>
    <t>930224-1155728</t>
  </si>
  <si>
    <t>721121-1841922</t>
  </si>
  <si>
    <t>920608-1476210</t>
  </si>
  <si>
    <t xml:space="preserve">810127-1026118 </t>
  </si>
  <si>
    <t>921012-1122616</t>
  </si>
  <si>
    <t>700412-1332911</t>
  </si>
  <si>
    <t>800328-1113122</t>
  </si>
  <si>
    <t>710817-2528013</t>
  </si>
  <si>
    <t>710124-1892314</t>
  </si>
  <si>
    <t>010-3955-1110</t>
  </si>
  <si>
    <t>010-4763-4454</t>
  </si>
  <si>
    <t>010-2624-6545</t>
  </si>
  <si>
    <t>010-4125-1296</t>
  </si>
  <si>
    <t>010-5830-9182</t>
  </si>
  <si>
    <t>010-9961-0647</t>
  </si>
  <si>
    <t>010-3646-9962</t>
  </si>
  <si>
    <t>010-3897-9438</t>
  </si>
  <si>
    <t>010-8878-4284</t>
  </si>
  <si>
    <t>010-4100-9831</t>
  </si>
  <si>
    <t>010-9326-3250</t>
  </si>
  <si>
    <t>010-8304-4458</t>
  </si>
  <si>
    <t>010-5289-5546</t>
  </si>
  <si>
    <t>010-5578-4437</t>
  </si>
  <si>
    <t>010-5247-3585</t>
  </si>
  <si>
    <t>010-3827-8534</t>
  </si>
  <si>
    <t>010-6684-0888</t>
  </si>
  <si>
    <t>010-5673-5700</t>
  </si>
  <si>
    <t>010-2113-3344</t>
  </si>
  <si>
    <t>110-305-768530</t>
  </si>
  <si>
    <t>110-377-748020</t>
  </si>
  <si>
    <t>110-269-832310</t>
  </si>
  <si>
    <t>120-149293-01-011</t>
  </si>
  <si>
    <t>110-378-562733</t>
  </si>
  <si>
    <t>240801-04-477184</t>
  </si>
  <si>
    <t>110-248-997659</t>
  </si>
  <si>
    <t>356-0506-3136-13</t>
  </si>
  <si>
    <t>985-008251-01-011</t>
  </si>
  <si>
    <t>930-224-2004</t>
  </si>
  <si>
    <t>352-1323-8683-13</t>
  </si>
  <si>
    <t>742102-00-113592</t>
  </si>
  <si>
    <t>186-094740-01-017</t>
  </si>
  <si>
    <t>110-331-408388</t>
  </si>
  <si>
    <t>017-21-0946-366</t>
  </si>
  <si>
    <t>새마을금고</t>
  </si>
  <si>
    <t>9003-2816-2519-9</t>
  </si>
  <si>
    <t>430502-01-565642</t>
  </si>
  <si>
    <t>평택시 고덕갈평9길 57 302호</t>
  </si>
  <si>
    <t>평택시 고덕갈평10길 40 301호</t>
  </si>
  <si>
    <t>평택시 고덕여염11길 14 202호</t>
  </si>
  <si>
    <t>평택시 함박산1길 50 401호</t>
  </si>
  <si>
    <t>평택시 함박산4길 3 301호</t>
  </si>
  <si>
    <t>평택시 함박산3길 37 301호</t>
  </si>
  <si>
    <t>평택시 함박산11길 9-1 202호</t>
  </si>
  <si>
    <t>평택시 함박산3길 11 301호</t>
  </si>
  <si>
    <t>평택시 고덕여염16길 115 202호</t>
  </si>
  <si>
    <t>평택시 함박산9길 26 201호</t>
  </si>
  <si>
    <t>평택시 고덕국제4길 60-10 202호</t>
  </si>
  <si>
    <t>평택시 고덕여염6길 199 301호</t>
  </si>
  <si>
    <t>평택시 함박산2길 16 201호</t>
  </si>
  <si>
    <t>평택시 함박산3길 11 202호</t>
  </si>
  <si>
    <t>평택시 함박산4길 28 301호</t>
  </si>
  <si>
    <t>302호</t>
  </si>
  <si>
    <t>201호</t>
  </si>
  <si>
    <t>강은천</t>
  </si>
  <si>
    <t>강인기</t>
  </si>
  <si>
    <t>김대환</t>
  </si>
  <si>
    <t>김세한</t>
  </si>
  <si>
    <t>김주연</t>
  </si>
  <si>
    <t>김하향</t>
  </si>
  <si>
    <t>박민수</t>
  </si>
  <si>
    <t>배주봉</t>
  </si>
  <si>
    <t>부정식</t>
  </si>
  <si>
    <t>서경훈</t>
  </si>
  <si>
    <t>성지훈</t>
  </si>
  <si>
    <t>손진규</t>
  </si>
  <si>
    <t>이창우</t>
  </si>
  <si>
    <t>이철희</t>
  </si>
  <si>
    <t>이태욱</t>
  </si>
  <si>
    <t>이형석</t>
  </si>
  <si>
    <t>정지원</t>
  </si>
  <si>
    <t>조두현</t>
  </si>
  <si>
    <t>조성은</t>
  </si>
  <si>
    <t>천상우</t>
  </si>
  <si>
    <t>최선우</t>
  </si>
  <si>
    <t>최은서</t>
  </si>
  <si>
    <t>최지웅</t>
  </si>
  <si>
    <t>최태연</t>
  </si>
  <si>
    <t>추남진</t>
  </si>
  <si>
    <t>김용기</t>
  </si>
  <si>
    <t>안재용</t>
  </si>
  <si>
    <t>이재원</t>
  </si>
  <si>
    <t>정의승</t>
  </si>
  <si>
    <t>정철원</t>
  </si>
  <si>
    <t>김지성</t>
  </si>
  <si>
    <t>김태우</t>
  </si>
  <si>
    <t>박성준</t>
  </si>
  <si>
    <t>방승원</t>
  </si>
  <si>
    <t>심재만</t>
  </si>
  <si>
    <t>윤재혁</t>
  </si>
  <si>
    <t>이준홍</t>
  </si>
  <si>
    <t>정성인</t>
  </si>
  <si>
    <t>최동주</t>
  </si>
  <si>
    <t>임은경</t>
  </si>
  <si>
    <t>오재영</t>
  </si>
  <si>
    <t>배광열</t>
  </si>
  <si>
    <t>최준</t>
  </si>
  <si>
    <t>하창성</t>
  </si>
  <si>
    <t>740803-1155526</t>
  </si>
  <si>
    <t>020528-3912419</t>
  </si>
  <si>
    <t>861013-1652817</t>
  </si>
  <si>
    <t>721013-1067215</t>
  </si>
  <si>
    <t>930719-1113812</t>
  </si>
  <si>
    <t>881010-1006519</t>
  </si>
  <si>
    <t>010805-3479013</t>
  </si>
  <si>
    <t>860225-1351212</t>
  </si>
  <si>
    <t>911122-1020815</t>
  </si>
  <si>
    <t>830725-1912011</t>
  </si>
  <si>
    <t>841030-1896314</t>
  </si>
  <si>
    <t>810715-1690914</t>
  </si>
  <si>
    <t>700911-1080019</t>
  </si>
  <si>
    <t>961002-1006110</t>
  </si>
  <si>
    <t>810523-1249811</t>
  </si>
  <si>
    <t>680705-1783124</t>
  </si>
  <si>
    <t>780115-1702714</t>
  </si>
  <si>
    <t>910126-1057039</t>
  </si>
  <si>
    <t>840615-1076324</t>
  </si>
  <si>
    <t>960207-1173814</t>
  </si>
  <si>
    <t>871112-1063421</t>
  </si>
  <si>
    <t>710130-2346231</t>
  </si>
  <si>
    <t>990909-2930718</t>
  </si>
  <si>
    <t>031230-3540318</t>
  </si>
  <si>
    <t>690221-1229813</t>
  </si>
  <si>
    <t>801212-1835414</t>
  </si>
  <si>
    <t>860712-1036817</t>
  </si>
  <si>
    <t>790525-1173519</t>
  </si>
  <si>
    <t>860509-1079918</t>
  </si>
  <si>
    <t>881019-1199017</t>
  </si>
  <si>
    <t>820927-1841428</t>
  </si>
  <si>
    <t>040726-3071113</t>
  </si>
  <si>
    <t>730301-1675418</t>
  </si>
  <si>
    <t>011010-3037023</t>
  </si>
  <si>
    <t>000406-3217011</t>
  </si>
  <si>
    <t>900530-1203318</t>
  </si>
  <si>
    <t>021226-3227819</t>
  </si>
  <si>
    <t>940915-1031411</t>
  </si>
  <si>
    <t>970428-1006711</t>
  </si>
  <si>
    <t>721110-1466823</t>
  </si>
  <si>
    <t>710418-2535326</t>
  </si>
  <si>
    <t>970512-1169617</t>
  </si>
  <si>
    <t>980227-1912629</t>
  </si>
  <si>
    <t>881115-1663713</t>
  </si>
  <si>
    <t>780325-1095616</t>
  </si>
  <si>
    <t>010-5131-8640</t>
  </si>
  <si>
    <t>010-9325-6120</t>
  </si>
  <si>
    <t>010-7523-3699</t>
  </si>
  <si>
    <t>010-8848-5060</t>
  </si>
  <si>
    <t>010-4729-7217</t>
  </si>
  <si>
    <t>010-4435-5232</t>
  </si>
  <si>
    <t>010-3952-7988</t>
  </si>
  <si>
    <t>010-7797-6969</t>
  </si>
  <si>
    <t>010-6603-1486</t>
  </si>
  <si>
    <t>010-2023-6206</t>
  </si>
  <si>
    <t>010-6666-6877</t>
  </si>
  <si>
    <t>010-2020-0690</t>
  </si>
  <si>
    <t>010-6736-5900</t>
  </si>
  <si>
    <t>010-4889-3949</t>
  </si>
  <si>
    <t>010-3737-7413</t>
  </si>
  <si>
    <t>010-9056-7475</t>
  </si>
  <si>
    <t>010-3590-6858</t>
  </si>
  <si>
    <t>010-5821-2642</t>
  </si>
  <si>
    <t>010-3932-1474</t>
  </si>
  <si>
    <t>010-4342-8747</t>
  </si>
  <si>
    <t>010-8812-4349</t>
  </si>
  <si>
    <t>010-9119-9908</t>
  </si>
  <si>
    <t>010-5954-3210</t>
  </si>
  <si>
    <t>010-3735-5479</t>
  </si>
  <si>
    <t>010-3198-2888</t>
  </si>
  <si>
    <t>010-2222-3295</t>
  </si>
  <si>
    <t>010-3362-3928</t>
  </si>
  <si>
    <t>010-6704-1711</t>
  </si>
  <si>
    <t>010-2486-1411</t>
  </si>
  <si>
    <t>010-2194-7677</t>
  </si>
  <si>
    <t>010-3116-4011</t>
  </si>
  <si>
    <t>010-3821-9392</t>
  </si>
  <si>
    <t>010-3823-6272</t>
  </si>
  <si>
    <t>010-9928-8732</t>
  </si>
  <si>
    <t>010-5777-9379</t>
  </si>
  <si>
    <t>010-5848-2414</t>
  </si>
  <si>
    <t>010-4688-9150</t>
  </si>
  <si>
    <t>010-8869-3242</t>
  </si>
  <si>
    <t>010-4084-6828</t>
  </si>
  <si>
    <t>010-7174-1162</t>
  </si>
  <si>
    <t>010-2374-2670</t>
  </si>
  <si>
    <t>010-8060-1829</t>
  </si>
  <si>
    <t>010-9290-1488</t>
  </si>
  <si>
    <t>010-4569-4701</t>
  </si>
  <si>
    <t>226-910131-79107</t>
  </si>
  <si>
    <t>352-1618-5074-53</t>
  </si>
  <si>
    <t>669-02-331305</t>
  </si>
  <si>
    <t>298-910970-10507</t>
  </si>
  <si>
    <t>351-0768-6263-33</t>
  </si>
  <si>
    <t>021902-04-071553</t>
  </si>
  <si>
    <t>302-3952-7988-41</t>
  </si>
  <si>
    <t>564-910093-98507</t>
  </si>
  <si>
    <t>010-9329-6206</t>
  </si>
  <si>
    <t>110-414-304496</t>
  </si>
  <si>
    <t>131502-04-025549</t>
  </si>
  <si>
    <t>110-441-920530</t>
  </si>
  <si>
    <t>110-457-540885</t>
  </si>
  <si>
    <t>1002-839-108255</t>
  </si>
  <si>
    <t>3333-18-9257486</t>
  </si>
  <si>
    <t>1002-346-970464</t>
  </si>
  <si>
    <t>110-457-347555</t>
  </si>
  <si>
    <t>821-21-0324-086</t>
  </si>
  <si>
    <t>505201-04-273542</t>
  </si>
  <si>
    <t>351-0561-7281-03</t>
  </si>
  <si>
    <t>414-890096-24407</t>
  </si>
  <si>
    <t>442802-01-189872</t>
  </si>
  <si>
    <t>110-255-766726</t>
  </si>
  <si>
    <t>201392-02-203880</t>
  </si>
  <si>
    <t>산업</t>
  </si>
  <si>
    <t>020-9298-3428-310</t>
  </si>
  <si>
    <t>110-522-521550</t>
  </si>
  <si>
    <t>186-100034-02-016</t>
  </si>
  <si>
    <t>110-185-096954</t>
  </si>
  <si>
    <t>3333-08-8908687</t>
  </si>
  <si>
    <t>1002-356-056634</t>
  </si>
  <si>
    <t>942902-01-277572</t>
  </si>
  <si>
    <t>3333-10-8407727</t>
  </si>
  <si>
    <t>938002-00-066505</t>
  </si>
  <si>
    <t>110-407-753093</t>
  </si>
  <si>
    <t>전북</t>
  </si>
  <si>
    <t>671-21-0495340</t>
  </si>
  <si>
    <t>3333-19-9566911</t>
  </si>
  <si>
    <t>110-552-677424</t>
  </si>
  <si>
    <t>110-447-944425</t>
  </si>
  <si>
    <t>600080-02-150264</t>
  </si>
  <si>
    <t>양면테이프 [50mm*6m,핫멧트 [HNS]]</t>
  </si>
  <si>
    <t>수세미 [MIGHTY BLUE PAD,녹색 [3M]]</t>
  </si>
  <si>
    <t xml:space="preserve"> </t>
    <phoneticPr fontId="3" type="noConversion"/>
  </si>
  <si>
    <t>강경호</t>
  </si>
  <si>
    <t>권국진</t>
  </si>
  <si>
    <t>김명진</t>
  </si>
  <si>
    <t>김상수</t>
  </si>
  <si>
    <t>김세관</t>
  </si>
  <si>
    <t>김슬기</t>
  </si>
  <si>
    <t>김재일</t>
  </si>
  <si>
    <t>류대진</t>
  </si>
  <si>
    <t>류수창</t>
  </si>
  <si>
    <t>박경수</t>
  </si>
  <si>
    <t>박정용</t>
  </si>
  <si>
    <t>복찬수</t>
  </si>
  <si>
    <t>신경철</t>
  </si>
  <si>
    <t>오성민</t>
  </si>
  <si>
    <t>오창성</t>
  </si>
  <si>
    <t>유병권</t>
  </si>
  <si>
    <t>이강석</t>
  </si>
  <si>
    <t>이준헌</t>
  </si>
  <si>
    <t>이혁</t>
  </si>
  <si>
    <t>정상훈</t>
  </si>
  <si>
    <t>정애란</t>
  </si>
  <si>
    <t>주성진</t>
  </si>
  <si>
    <t>최복영</t>
  </si>
  <si>
    <t>한상웅</t>
  </si>
  <si>
    <t>한헌</t>
  </si>
  <si>
    <t>홍길표</t>
  </si>
  <si>
    <t>홍진영</t>
  </si>
  <si>
    <t>황규만</t>
  </si>
  <si>
    <t>931011-1072918</t>
  </si>
  <si>
    <t>690215-1017539</t>
  </si>
  <si>
    <t>960625-1106422</t>
  </si>
  <si>
    <t>760616-1535318</t>
  </si>
  <si>
    <t>860815-1912515</t>
  </si>
  <si>
    <t>940216-2476212</t>
  </si>
  <si>
    <t>700429-1846715</t>
  </si>
  <si>
    <t>810920-1048310</t>
  </si>
  <si>
    <t>690415-1696016</t>
  </si>
  <si>
    <t>710427-1696018</t>
  </si>
  <si>
    <t>760113-1226111</t>
  </si>
  <si>
    <t>820513-1187527</t>
  </si>
  <si>
    <t>870419-1237536</t>
  </si>
  <si>
    <t>921105-1243411</t>
  </si>
  <si>
    <t>870717-1051118</t>
  </si>
  <si>
    <t>870328-1482316</t>
  </si>
  <si>
    <t>940216-1567510</t>
  </si>
  <si>
    <t>750606-1249810</t>
  </si>
  <si>
    <t>820425-1540319</t>
  </si>
  <si>
    <t>741212-1226819</t>
  </si>
  <si>
    <t>010714-3038027</t>
  </si>
  <si>
    <t>930411-1927510</t>
  </si>
  <si>
    <t>700108-2462111</t>
  </si>
  <si>
    <t>680418-1657222</t>
  </si>
  <si>
    <t>700507-1257815</t>
  </si>
  <si>
    <t>710125-1030325</t>
  </si>
  <si>
    <t>710424-1030723</t>
  </si>
  <si>
    <t>770207-1231227</t>
  </si>
  <si>
    <t>840801-1932518</t>
  </si>
  <si>
    <t>680601-1452447</t>
  </si>
  <si>
    <t>010-5396-5444</t>
  </si>
  <si>
    <t>010-4346-0215</t>
  </si>
  <si>
    <t>010-2029-3976</t>
  </si>
  <si>
    <t>010-4812-3459</t>
  </si>
  <si>
    <t>010-4171-9729</t>
  </si>
  <si>
    <t>010-4565-0216</t>
  </si>
  <si>
    <t>010-2700-6160</t>
  </si>
  <si>
    <t>010-4377-9993</t>
  </si>
  <si>
    <t>010-2478-4445</t>
  </si>
  <si>
    <t>010-9288-7211</t>
  </si>
  <si>
    <t>010-8743-1066</t>
  </si>
  <si>
    <t>010-6585-1765</t>
  </si>
  <si>
    <t>010-8448-2493</t>
  </si>
  <si>
    <t>010-7175-8014</t>
  </si>
  <si>
    <t>010-8985-8707</t>
  </si>
  <si>
    <t>010-7940-5153</t>
  </si>
  <si>
    <t>010-4131-2699</t>
  </si>
  <si>
    <t>010-5699-9585</t>
  </si>
  <si>
    <t>010-9680-0458</t>
  </si>
  <si>
    <t>010-2586-0179</t>
  </si>
  <si>
    <t>010-7587-3835</t>
  </si>
  <si>
    <t>010-4922-8130</t>
  </si>
  <si>
    <t>010-2296-5474</t>
  </si>
  <si>
    <t>010-3444-3200</t>
  </si>
  <si>
    <t>010-3694-7026</t>
  </si>
  <si>
    <t>010-4605-7551</t>
  </si>
  <si>
    <t>010-7641-5587</t>
  </si>
  <si>
    <t>010-9347-9189</t>
  </si>
  <si>
    <t>010-4188-1444</t>
  </si>
  <si>
    <t>010-5564-9318</t>
  </si>
  <si>
    <t>110-371-147243</t>
  </si>
  <si>
    <t>357-21-0173-310</t>
  </si>
  <si>
    <t>101401-04-172575</t>
  </si>
  <si>
    <t>351-0468-2919-93</t>
  </si>
  <si>
    <t>3333-08-5239539</t>
  </si>
  <si>
    <t>3333-26-1255102</t>
  </si>
  <si>
    <t>121802-04-157456</t>
  </si>
  <si>
    <t>1002-5523-2883</t>
  </si>
  <si>
    <t>484602-04-048893</t>
  </si>
  <si>
    <t>새마을</t>
  </si>
  <si>
    <t>9002-1656-1013-1</t>
  </si>
  <si>
    <t>424-890005-04207</t>
  </si>
  <si>
    <t>1002-831-473236</t>
  </si>
  <si>
    <t>1002-343-957019</t>
  </si>
  <si>
    <t>117-335684-02-001</t>
  </si>
  <si>
    <t>219402-04-119223</t>
  </si>
  <si>
    <t>352-2037-6628-33</t>
  </si>
  <si>
    <t>191-116247-01-011</t>
  </si>
  <si>
    <t>3333-23-8195284</t>
  </si>
  <si>
    <t>616-006769-01-011</t>
  </si>
  <si>
    <t>110-241-436538</t>
  </si>
  <si>
    <t>938002-00-967222</t>
  </si>
  <si>
    <t>110-359-861153</t>
  </si>
  <si>
    <t>752-21-0354-081</t>
  </si>
  <si>
    <t>352-1513-6468-13</t>
  </si>
  <si>
    <t>9003-3039-9550-9</t>
  </si>
  <si>
    <t>110-102-897589</t>
  </si>
  <si>
    <t>302-0319-5464-01</t>
  </si>
  <si>
    <t>110-398-739932</t>
  </si>
  <si>
    <t>110-516-886123</t>
  </si>
  <si>
    <t>476-21-0077-869</t>
  </si>
  <si>
    <t>평택시 함박산2길 11 302호</t>
  </si>
  <si>
    <t>평택시 함박산8길 13 201호</t>
  </si>
  <si>
    <t>평택시 함박산1길 49 202호</t>
  </si>
  <si>
    <t>평택시 고덕국제3길 103 202호</t>
  </si>
  <si>
    <t>평택시 고덕여염12길 10 201호</t>
  </si>
  <si>
    <t>평택시 함박산2길 32-2 202호</t>
  </si>
  <si>
    <t>평택시 함박산2길 30 201호</t>
  </si>
  <si>
    <t>평택시 함박산2길 16-1 301호</t>
  </si>
  <si>
    <t>평택시 함박산1길 23 201호</t>
  </si>
  <si>
    <t>평택시 함박산8길 25-1 202호</t>
  </si>
  <si>
    <t>평택시 함박산3길 39 201호</t>
  </si>
  <si>
    <t>평택시 함박산2길 7 201호</t>
  </si>
  <si>
    <t>평택시 고덕여염12길 142 202호</t>
  </si>
  <si>
    <t>평택시 고덕갈평10길 53-10 202호</t>
  </si>
  <si>
    <t>평택시 고덕갈평10길 53-10 302호</t>
  </si>
  <si>
    <t>낙상경보기부품 [풀피리]</t>
  </si>
  <si>
    <t>PP로프 [6mm*100m [SWS]]</t>
  </si>
  <si>
    <t>낙상경보기부품 [풀피리,대]</t>
  </si>
  <si>
    <t>장갑 [슈퍼그립200,L [3M]]</t>
  </si>
  <si>
    <t>고무플러그 [220V [진흥]]</t>
  </si>
  <si>
    <t>마대 [수입,90kg,100L,75*110 [SWS]]</t>
  </si>
  <si>
    <t>김무열</t>
  </si>
  <si>
    <t>김세영</t>
  </si>
  <si>
    <t>김영도</t>
  </si>
  <si>
    <t>김종완</t>
  </si>
  <si>
    <t>박성준1</t>
  </si>
  <si>
    <t>서승희</t>
  </si>
  <si>
    <t>엄진용</t>
  </si>
  <si>
    <t>오정석</t>
  </si>
  <si>
    <t>이동건</t>
  </si>
  <si>
    <t>이영길</t>
  </si>
  <si>
    <t>장세형</t>
  </si>
  <si>
    <t>정은선</t>
  </si>
  <si>
    <t>조원혁</t>
  </si>
  <si>
    <t>최우주</t>
  </si>
  <si>
    <t>최현우</t>
  </si>
  <si>
    <t>690417-1041629</t>
  </si>
  <si>
    <t>710324-1026013</t>
  </si>
  <si>
    <t>701220-1623625</t>
  </si>
  <si>
    <t>740404-1471013</t>
  </si>
  <si>
    <t>841117-1836338</t>
  </si>
  <si>
    <t>941121-2216111</t>
  </si>
  <si>
    <t>950826-1026312</t>
  </si>
  <si>
    <t>840327-1836316</t>
  </si>
  <si>
    <t>740108-1328319</t>
  </si>
  <si>
    <t>680330-1233427</t>
  </si>
  <si>
    <t>780528-1233527</t>
  </si>
  <si>
    <t>670809-2233120</t>
  </si>
  <si>
    <t>710409-1042015</t>
  </si>
  <si>
    <t>940927-1496319</t>
  </si>
  <si>
    <t>780110-1901921</t>
  </si>
  <si>
    <t>010-4797-4619</t>
  </si>
  <si>
    <t>010-9087-3534</t>
  </si>
  <si>
    <t>010-9839-3839</t>
  </si>
  <si>
    <t>010-9983-3546</t>
  </si>
  <si>
    <t>010-9800-6028</t>
  </si>
  <si>
    <t>010-8540-8270</t>
  </si>
  <si>
    <t>010-9936-8504</t>
  </si>
  <si>
    <t>010-3646-6264</t>
  </si>
  <si>
    <t>010-8953-4315</t>
  </si>
  <si>
    <t>010-5285-6646</t>
  </si>
  <si>
    <t>010-3728-4671</t>
  </si>
  <si>
    <t>010-2297-5059</t>
  </si>
  <si>
    <t>010-3796-9785</t>
  </si>
  <si>
    <t>010-6599-1865</t>
  </si>
  <si>
    <t>010-2123-6107</t>
  </si>
  <si>
    <t>170189-56-105161</t>
  </si>
  <si>
    <t>110-461-373992</t>
  </si>
  <si>
    <t>916401-01-366618</t>
  </si>
  <si>
    <t>1006-001-448823</t>
  </si>
  <si>
    <t>883-12-137056</t>
  </si>
  <si>
    <t>865302-00-042896</t>
  </si>
  <si>
    <t>110-292-784465</t>
  </si>
  <si>
    <t>1002-339-959255</t>
  </si>
  <si>
    <t>302-1062-4901-11</t>
  </si>
  <si>
    <t>1121-036-470221</t>
  </si>
  <si>
    <t>3333-03-0438756</t>
  </si>
  <si>
    <t>467-910656-79407</t>
  </si>
  <si>
    <t>110-471-057532</t>
  </si>
  <si>
    <t>289-074002-02-015</t>
  </si>
  <si>
    <t xml:space="preserve"> 우리</t>
  </si>
  <si>
    <t>1002-643-154119</t>
  </si>
  <si>
    <t>1002-839-492703</t>
  </si>
  <si>
    <t>610303-02-042300</t>
  </si>
  <si>
    <t>018302-04-192870</t>
  </si>
  <si>
    <t>공사보조</t>
    <phoneticPr fontId="3" type="noConversion"/>
  </si>
  <si>
    <t>안전보조</t>
    <phoneticPr fontId="3" type="noConversion"/>
  </si>
  <si>
    <t>보통인부</t>
    <phoneticPr fontId="3" type="noConversion"/>
  </si>
  <si>
    <t>평택시 고덕여염16길 71 302호</t>
  </si>
  <si>
    <t>202호</t>
    <phoneticPr fontId="3" type="noConversion"/>
  </si>
  <si>
    <t>이사정산</t>
    <phoneticPr fontId="3" type="noConversion"/>
  </si>
  <si>
    <t>익월청구</t>
    <phoneticPr fontId="3" type="noConversion"/>
  </si>
  <si>
    <t>2026. 09. 01 ~ 2026. 09. 30</t>
    <phoneticPr fontId="3" type="noConversion"/>
  </si>
  <si>
    <t>작 성 일 :   2026  년  09 월   30 일</t>
    <phoneticPr fontId="8" type="noConversion"/>
  </si>
  <si>
    <t>2026년 (09)월 물량 내역서</t>
    <phoneticPr fontId="3" type="noConversion"/>
  </si>
  <si>
    <t>2026년 (    09   )월 일용 노무비명세서</t>
    <phoneticPr fontId="3" type="noConversion"/>
  </si>
  <si>
    <t>광주은행</t>
  </si>
  <si>
    <t>배관공</t>
    <phoneticPr fontId="3" type="noConversion"/>
  </si>
  <si>
    <t>평택시 고덕갈평10길 34 301호</t>
  </si>
  <si>
    <t>301호</t>
    <phoneticPr fontId="3" type="noConversion"/>
  </si>
  <si>
    <t xml:space="preserve">숙소임대료(09월분) </t>
    <phoneticPr fontId="3" type="noConversion"/>
  </si>
  <si>
    <t xml:space="preserve">숙소수도세(09월분) </t>
  </si>
  <si>
    <t xml:space="preserve">숙소가스료(09월분) </t>
  </si>
  <si>
    <t xml:space="preserve">숙소전기료(09월분) </t>
  </si>
  <si>
    <t>혹서기로 격월고지</t>
    <phoneticPr fontId="3" type="noConversion"/>
  </si>
  <si>
    <t>함박산12길35 301호</t>
    <phoneticPr fontId="3" type="noConversion"/>
  </si>
  <si>
    <t>고덕여염6길199 202호</t>
    <phoneticPr fontId="3" type="noConversion"/>
  </si>
  <si>
    <t>고덕여염16길113 202호</t>
    <phoneticPr fontId="3" type="noConversion"/>
  </si>
  <si>
    <t>함박산1길34 301호</t>
    <phoneticPr fontId="3" type="noConversion"/>
  </si>
  <si>
    <t>함박산1길34 201호</t>
    <phoneticPr fontId="3" type="noConversion"/>
  </si>
  <si>
    <t>201호</t>
    <phoneticPr fontId="3" type="noConversion"/>
  </si>
  <si>
    <t>다이아몬드줄 [160mm,반원 [삼익]]</t>
  </si>
  <si>
    <t>PVC망 [공간7MM,폭이4자*9M]</t>
  </si>
  <si>
    <t>밴드쏘날 [1640*13*0.65-14T [WESPA]]</t>
  </si>
  <si>
    <t>마대 [PP,신재 [국산/HNS]]</t>
  </si>
  <si>
    <t>페인트붓 [1" [동양]]</t>
  </si>
  <si>
    <t>제트브로치(PROCUT) [14*35L [우창]]</t>
  </si>
  <si>
    <t>파이롯트핀 [6.34*90L(12~17) [우창]]</t>
  </si>
  <si>
    <t>방청유 [WD-40,360ML [BEX]]</t>
  </si>
  <si>
    <t>네임펜 [양면,흑색,12개 [모나미]]</t>
  </si>
  <si>
    <t>용접검사거울 [SM-914 [스마토]]</t>
  </si>
  <si>
    <t>알곤토치헤드 [350A,플렉시블,CT-35F,CTX [크레토스]]</t>
  </si>
  <si>
    <t>수리비,레이져레벨기 [RX20,수직,수평,코어 [코텐]]</t>
  </si>
  <si>
    <t>엑셀컷터 [KK-032,CTX [편한손]]</t>
  </si>
  <si>
    <t>케이블타이 [300mm(1봉=500개),백색 [SWS]]</t>
  </si>
  <si>
    <t>스패너 [12mm [MIDAS]]</t>
  </si>
  <si>
    <t>볼트마대 [40*60,황색,수입(1단200장) [HNS]]</t>
  </si>
  <si>
    <t>공캔 [4L,뚜껑포함 [수입/SW]]</t>
  </si>
  <si>
    <t>2026년 09월</t>
    <phoneticPr fontId="5" type="noConversion"/>
  </si>
  <si>
    <t>2. 돌관비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</si>
</sst>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_-* #,##0.0_-;\-* #,##0.0_-;_-* &quot;-&quot;_-;_-@_-"/>
    <numFmt numFmtId="187" formatCode="_-* #,##0_-;&quot;₩&quot;\!\-* #,##0_-;_-* &quot;-&quot;_-;_-@_-"/>
    <numFmt numFmtId="188" formatCode="0.00000000000000000000000"/>
    <numFmt numFmtId="189" formatCode="_-* #,##0_-;\-* #,##0_-;_-* &quot;-&quot;??_-;_-@_-"/>
    <numFmt numFmtId="190" formatCode="_-* #,##0.0000_-;\-* #,##0.0000_-;_-* &quot;-&quot;_-;_-@_-"/>
  </numFmts>
  <fonts count="62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name val="새굴림"/>
      <family val="1"/>
      <charset val="129"/>
    </font>
    <font>
      <b/>
      <sz val="10"/>
      <name val="새굴림"/>
      <family val="1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name val="굴림체"/>
      <family val="3"/>
      <charset val="129"/>
    </font>
    <font>
      <b/>
      <sz val="12"/>
      <name val="돋움"/>
      <family val="3"/>
      <charset val="129"/>
    </font>
    <font>
      <sz val="12"/>
      <name val="굴림체"/>
      <family val="3"/>
      <charset val="129"/>
    </font>
    <font>
      <sz val="12"/>
      <name val="돋움"/>
      <family val="3"/>
      <charset val="129"/>
    </font>
    <font>
      <b/>
      <sz val="20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20"/>
      <color theme="1"/>
      <name val="새굴림"/>
      <family val="1"/>
      <charset val="129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57" fillId="0" borderId="0" applyFont="0" applyFill="0" applyBorder="0" applyAlignment="0" applyProtection="0">
      <alignment vertical="center"/>
    </xf>
  </cellStyleXfs>
  <cellXfs count="30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4" xfId="0" applyFont="1" applyBorder="1">
      <alignment vertical="center"/>
    </xf>
    <xf numFmtId="0" fontId="7" fillId="0" borderId="5" xfId="0" applyFont="1" applyBorder="1" applyAlignment="1">
      <alignment horizontal="centerContinuous" vertical="center"/>
    </xf>
    <xf numFmtId="0" fontId="7" fillId="0" borderId="4" xfId="0" applyFont="1" applyBorder="1" applyAlignment="1">
      <alignment horizontal="centerContinuous" vertical="center"/>
    </xf>
    <xf numFmtId="0" fontId="6" fillId="0" borderId="0" xfId="0" applyFo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41" fontId="0" fillId="0" borderId="0" xfId="0" applyNumberForma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41" fontId="12" fillId="0" borderId="0" xfId="0" applyNumberFormat="1" applyFo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178" fontId="12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vertical="center" shrinkToFit="1"/>
    </xf>
    <xf numFmtId="9" fontId="0" fillId="0" borderId="0" xfId="0" applyNumberFormat="1">
      <alignment vertical="center"/>
    </xf>
    <xf numFmtId="41" fontId="1" fillId="0" borderId="0" xfId="0" applyNumberFormat="1" applyFont="1">
      <alignment vertical="center"/>
    </xf>
    <xf numFmtId="178" fontId="13" fillId="0" borderId="0" xfId="0" applyNumberFormat="1" applyFont="1" applyAlignment="1">
      <alignment horizontal="left" vertical="center"/>
    </xf>
    <xf numFmtId="41" fontId="13" fillId="0" borderId="0" xfId="0" applyNumberFormat="1" applyFont="1">
      <alignment vertical="center"/>
    </xf>
    <xf numFmtId="9" fontId="1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41" fontId="12" fillId="0" borderId="9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9" fontId="12" fillId="0" borderId="9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41" fontId="15" fillId="0" borderId="20" xfId="0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41" fontId="22" fillId="0" borderId="9" xfId="0" applyNumberFormat="1" applyFont="1" applyBorder="1">
      <alignment vertical="center"/>
    </xf>
    <xf numFmtId="41" fontId="12" fillId="0" borderId="23" xfId="0" applyNumberFormat="1" applyFont="1" applyBorder="1" applyAlignment="1">
      <alignment horizontal="center" vertical="center"/>
    </xf>
    <xf numFmtId="41" fontId="12" fillId="0" borderId="13" xfId="0" applyNumberFormat="1" applyFont="1" applyBorder="1" applyAlignment="1">
      <alignment horizontal="center" vertical="center"/>
    </xf>
    <xf numFmtId="41" fontId="12" fillId="0" borderId="12" xfId="0" applyNumberFormat="1" applyFont="1" applyBorder="1" applyAlignment="1">
      <alignment horizontal="center" vertical="center"/>
    </xf>
    <xf numFmtId="179" fontId="12" fillId="0" borderId="9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41" fontId="13" fillId="6" borderId="23" xfId="0" applyNumberFormat="1" applyFont="1" applyFill="1" applyBorder="1" applyAlignment="1">
      <alignment horizontal="center" vertical="center"/>
    </xf>
    <xf numFmtId="41" fontId="13" fillId="6" borderId="13" xfId="0" applyNumberFormat="1" applyFont="1" applyFill="1" applyBorder="1" applyAlignment="1">
      <alignment horizontal="center" vertical="center"/>
    </xf>
    <xf numFmtId="41" fontId="13" fillId="6" borderId="9" xfId="0" applyNumberFormat="1" applyFont="1" applyFill="1" applyBorder="1" applyAlignment="1">
      <alignment horizontal="center" vertical="center"/>
    </xf>
    <xf numFmtId="41" fontId="13" fillId="6" borderId="12" xfId="0" applyNumberFormat="1" applyFont="1" applyFill="1" applyBorder="1" applyAlignment="1">
      <alignment horizontal="center" vertical="center"/>
    </xf>
    <xf numFmtId="41" fontId="22" fillId="0" borderId="9" xfId="0" applyNumberFormat="1" applyFont="1" applyBorder="1" applyAlignment="1">
      <alignment vertical="center" shrinkToFit="1"/>
    </xf>
    <xf numFmtId="0" fontId="13" fillId="4" borderId="9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0" applyNumberFormat="1" applyBorder="1">
      <alignment vertical="center"/>
    </xf>
    <xf numFmtId="41" fontId="25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29" fillId="0" borderId="0" xfId="0" applyFont="1">
      <alignment vertical="center"/>
    </xf>
    <xf numFmtId="182" fontId="29" fillId="0" borderId="0" xfId="0" applyNumberFormat="1" applyFont="1">
      <alignment vertical="center"/>
    </xf>
    <xf numFmtId="0" fontId="30" fillId="0" borderId="0" xfId="0" applyFont="1" applyAlignment="1" applyProtection="1">
      <alignment horizontal="left" vertical="center"/>
      <protection locked="0"/>
    </xf>
    <xf numFmtId="40" fontId="31" fillId="0" borderId="0" xfId="0" applyNumberFormat="1" applyFont="1" applyAlignment="1" applyProtection="1">
      <alignment horizontal="left" vertical="center"/>
      <protection locked="0"/>
    </xf>
    <xf numFmtId="181" fontId="31" fillId="0" borderId="0" xfId="0" applyNumberFormat="1" applyFont="1" applyAlignment="1" applyProtection="1">
      <alignment horizontal="right" vertical="center"/>
      <protection locked="0"/>
    </xf>
    <xf numFmtId="41" fontId="13" fillId="5" borderId="33" xfId="0" applyNumberFormat="1" applyFont="1" applyFill="1" applyBorder="1" applyAlignment="1">
      <alignment horizontal="center" vertical="center"/>
    </xf>
    <xf numFmtId="41" fontId="13" fillId="5" borderId="34" xfId="0" applyNumberFormat="1" applyFont="1" applyFill="1" applyBorder="1" applyAlignment="1">
      <alignment horizontal="center" vertical="center"/>
    </xf>
    <xf numFmtId="182" fontId="13" fillId="5" borderId="34" xfId="0" applyNumberFormat="1" applyFont="1" applyFill="1" applyBorder="1" applyAlignment="1">
      <alignment horizontal="center" vertical="center"/>
    </xf>
    <xf numFmtId="182" fontId="13" fillId="5" borderId="35" xfId="0" applyNumberFormat="1" applyFont="1" applyFill="1" applyBorder="1" applyAlignment="1">
      <alignment horizontal="center" vertical="center"/>
    </xf>
    <xf numFmtId="181" fontId="13" fillId="5" borderId="33" xfId="0" applyNumberFormat="1" applyFont="1" applyFill="1" applyBorder="1" applyAlignment="1">
      <alignment horizontal="center" vertical="center"/>
    </xf>
    <xf numFmtId="181" fontId="13" fillId="5" borderId="35" xfId="0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83" fontId="13" fillId="0" borderId="11" xfId="0" applyNumberFormat="1" applyFont="1" applyBorder="1" applyAlignment="1">
      <alignment horizontal="center" vertical="center"/>
    </xf>
    <xf numFmtId="41" fontId="13" fillId="0" borderId="11" xfId="0" applyNumberFormat="1" applyFont="1" applyBorder="1" applyAlignment="1">
      <alignment horizontal="center" vertical="center"/>
    </xf>
    <xf numFmtId="182" fontId="13" fillId="0" borderId="11" xfId="0" applyNumberFormat="1" applyFont="1" applyBorder="1" applyAlignment="1">
      <alignment horizontal="center" vertical="center"/>
    </xf>
    <xf numFmtId="182" fontId="13" fillId="0" borderId="38" xfId="0" applyNumberFormat="1" applyFont="1" applyBorder="1" applyAlignment="1">
      <alignment horizontal="center" vertical="center"/>
    </xf>
    <xf numFmtId="179" fontId="0" fillId="0" borderId="39" xfId="0" applyNumberFormat="1" applyBorder="1" applyAlignment="1">
      <alignment horizontal="center" vertical="center"/>
    </xf>
    <xf numFmtId="181" fontId="13" fillId="0" borderId="40" xfId="0" applyNumberFormat="1" applyFont="1" applyBorder="1" applyAlignment="1">
      <alignment horizontal="center" vertical="center"/>
    </xf>
    <xf numFmtId="184" fontId="13" fillId="0" borderId="38" xfId="0" applyNumberFormat="1" applyFont="1" applyBorder="1">
      <alignment vertical="center"/>
    </xf>
    <xf numFmtId="0" fontId="13" fillId="0" borderId="9" xfId="0" applyFont="1" applyBorder="1" applyAlignment="1">
      <alignment horizontal="center" vertical="center"/>
    </xf>
    <xf numFmtId="183" fontId="13" fillId="0" borderId="9" xfId="0" applyNumberFormat="1" applyFont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41" fontId="13" fillId="0" borderId="10" xfId="0" applyNumberFormat="1" applyFont="1" applyBorder="1" applyAlignment="1">
      <alignment horizontal="center" vertical="center"/>
    </xf>
    <xf numFmtId="185" fontId="15" fillId="6" borderId="36" xfId="0" applyNumberFormat="1" applyFont="1" applyFill="1" applyBorder="1" applyAlignment="1">
      <alignment horizontal="center" vertical="center" shrinkToFit="1"/>
    </xf>
    <xf numFmtId="185" fontId="15" fillId="6" borderId="37" xfId="0" applyNumberFormat="1" applyFont="1" applyFill="1" applyBorder="1" applyAlignment="1">
      <alignment horizontal="center" vertical="center" shrinkToFit="1"/>
    </xf>
    <xf numFmtId="185" fontId="15" fillId="6" borderId="33" xfId="0" applyNumberFormat="1" applyFont="1" applyFill="1" applyBorder="1" applyAlignment="1">
      <alignment horizontal="center" vertical="center" shrinkToFit="1"/>
    </xf>
    <xf numFmtId="41" fontId="15" fillId="6" borderId="34" xfId="0" applyNumberFormat="1" applyFont="1" applyFill="1" applyBorder="1" applyAlignment="1">
      <alignment horizontal="center" vertical="center" shrinkToFit="1"/>
    </xf>
    <xf numFmtId="41" fontId="15" fillId="6" borderId="35" xfId="0" applyNumberFormat="1" applyFont="1" applyFill="1" applyBorder="1" applyAlignment="1">
      <alignment horizontal="center" vertical="center" shrinkToFit="1"/>
    </xf>
    <xf numFmtId="185" fontId="33" fillId="2" borderId="36" xfId="0" applyNumberFormat="1" applyFont="1" applyFill="1" applyBorder="1" applyAlignment="1">
      <alignment horizontal="center" vertical="center" shrinkToFit="1"/>
    </xf>
    <xf numFmtId="185" fontId="33" fillId="2" borderId="34" xfId="0" applyNumberFormat="1" applyFont="1" applyFill="1" applyBorder="1" applyAlignment="1">
      <alignment horizontal="center" vertical="center" shrinkToFit="1"/>
    </xf>
    <xf numFmtId="185" fontId="33" fillId="2" borderId="33" xfId="0" applyNumberFormat="1" applyFont="1" applyFill="1" applyBorder="1" applyAlignment="1">
      <alignment horizontal="center" vertical="center" shrinkToFit="1"/>
    </xf>
    <xf numFmtId="41" fontId="33" fillId="2" borderId="34" xfId="0" applyNumberFormat="1" applyFont="1" applyFill="1" applyBorder="1" applyAlignment="1">
      <alignment horizontal="center" vertical="center" shrinkToFit="1"/>
    </xf>
    <xf numFmtId="41" fontId="33" fillId="2" borderId="35" xfId="0" applyNumberFormat="1" applyFont="1" applyFill="1" applyBorder="1" applyAlignment="1">
      <alignment horizontal="center" vertical="center" shrinkToFit="1"/>
    </xf>
    <xf numFmtId="40" fontId="29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181" fontId="29" fillId="0" borderId="0" xfId="0" applyNumberFormat="1" applyFont="1">
      <alignment vertical="center"/>
    </xf>
    <xf numFmtId="181" fontId="29" fillId="0" borderId="0" xfId="0" applyNumberFormat="1" applyFont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41" fontId="38" fillId="9" borderId="9" xfId="0" applyNumberFormat="1" applyFont="1" applyFill="1" applyBorder="1">
      <alignment vertical="center"/>
    </xf>
    <xf numFmtId="0" fontId="39" fillId="0" borderId="0" xfId="0" applyFont="1">
      <alignment vertical="center"/>
    </xf>
    <xf numFmtId="0" fontId="21" fillId="0" borderId="9" xfId="0" applyFont="1" applyBorder="1" applyAlignment="1">
      <alignment horizontal="center" vertical="center"/>
    </xf>
    <xf numFmtId="41" fontId="21" fillId="0" borderId="9" xfId="0" applyNumberFormat="1" applyFont="1" applyBorder="1" applyAlignment="1">
      <alignment horizontal="center"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43" fontId="42" fillId="10" borderId="9" xfId="0" applyNumberFormat="1" applyFont="1" applyFill="1" applyBorder="1" applyAlignment="1">
      <alignment horizontal="center" vertical="center"/>
    </xf>
    <xf numFmtId="41" fontId="43" fillId="11" borderId="9" xfId="0" applyNumberFormat="1" applyFont="1" applyFill="1" applyBorder="1" applyAlignment="1">
      <alignment horizontal="center" vertical="center"/>
    </xf>
    <xf numFmtId="180" fontId="12" fillId="0" borderId="9" xfId="0" applyNumberFormat="1" applyFont="1" applyBorder="1" applyAlignment="1">
      <alignment horizontal="center" vertical="center"/>
    </xf>
    <xf numFmtId="180" fontId="25" fillId="2" borderId="9" xfId="0" applyNumberFormat="1" applyFont="1" applyFill="1" applyBorder="1">
      <alignment vertical="center"/>
    </xf>
    <xf numFmtId="41" fontId="29" fillId="0" borderId="0" xfId="0" applyNumberFormat="1" applyFont="1">
      <alignment vertical="center"/>
    </xf>
    <xf numFmtId="14" fontId="21" fillId="0" borderId="9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177" fontId="21" fillId="0" borderId="9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182" fontId="32" fillId="5" borderId="15" xfId="0" applyNumberFormat="1" applyFont="1" applyFill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5" fillId="0" borderId="21" xfId="0" applyFont="1" applyBorder="1">
      <alignment vertical="center"/>
    </xf>
    <xf numFmtId="41" fontId="47" fillId="0" borderId="20" xfId="0" applyNumberFormat="1" applyFont="1" applyBorder="1" applyAlignment="1">
      <alignment vertical="center" shrinkToFit="1"/>
    </xf>
    <xf numFmtId="186" fontId="47" fillId="0" borderId="20" xfId="0" applyNumberFormat="1" applyFont="1" applyBorder="1" applyAlignment="1">
      <alignment horizontal="center" vertical="center"/>
    </xf>
    <xf numFmtId="41" fontId="47" fillId="0" borderId="20" xfId="0" applyNumberFormat="1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 shrinkToFit="1"/>
    </xf>
    <xf numFmtId="0" fontId="48" fillId="0" borderId="19" xfId="0" applyFont="1" applyBorder="1" applyAlignment="1">
      <alignment horizontal="center" vertical="center"/>
    </xf>
    <xf numFmtId="0" fontId="45" fillId="0" borderId="18" xfId="0" applyFont="1" applyBorder="1">
      <alignment vertical="center"/>
    </xf>
    <xf numFmtId="41" fontId="47" fillId="0" borderId="9" xfId="0" applyNumberFormat="1" applyFont="1" applyBorder="1" applyAlignment="1">
      <alignment vertical="center" shrinkToFit="1"/>
    </xf>
    <xf numFmtId="41" fontId="48" fillId="0" borderId="9" xfId="0" applyNumberFormat="1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 shrinkToFit="1"/>
    </xf>
    <xf numFmtId="0" fontId="48" fillId="0" borderId="17" xfId="0" applyFont="1" applyBorder="1" applyAlignment="1">
      <alignment horizontal="left" vertical="center"/>
    </xf>
    <xf numFmtId="41" fontId="47" fillId="0" borderId="9" xfId="0" applyNumberFormat="1" applyFont="1" applyBorder="1">
      <alignment vertical="center"/>
    </xf>
    <xf numFmtId="41" fontId="47" fillId="0" borderId="9" xfId="0" applyNumberFormat="1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 shrinkToFit="1"/>
    </xf>
    <xf numFmtId="0" fontId="47" fillId="0" borderId="17" xfId="0" applyFont="1" applyBorder="1" applyAlignment="1">
      <alignment horizontal="left" vertical="center" indent="1"/>
    </xf>
    <xf numFmtId="0" fontId="47" fillId="0" borderId="9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 wrapText="1"/>
    </xf>
    <xf numFmtId="0" fontId="47" fillId="0" borderId="17" xfId="0" applyFont="1" applyBorder="1" applyAlignment="1">
      <alignment horizontal="left" vertical="center" wrapText="1" indent="1"/>
    </xf>
    <xf numFmtId="0" fontId="47" fillId="0" borderId="17" xfId="0" applyFont="1" applyBorder="1" applyAlignment="1">
      <alignment vertical="center" shrinkToFit="1"/>
    </xf>
    <xf numFmtId="0" fontId="47" fillId="12" borderId="17" xfId="0" applyFont="1" applyFill="1" applyBorder="1" applyAlignment="1">
      <alignment horizontal="left" vertical="center" indent="1"/>
    </xf>
    <xf numFmtId="187" fontId="47" fillId="0" borderId="9" xfId="0" applyNumberFormat="1" applyFont="1" applyBorder="1" applyAlignment="1">
      <alignment horizontal="center" vertical="center"/>
    </xf>
    <xf numFmtId="0" fontId="47" fillId="0" borderId="17" xfId="0" applyFont="1" applyBorder="1" applyAlignment="1">
      <alignment horizontal="left" vertical="center" wrapText="1"/>
    </xf>
    <xf numFmtId="188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189" fontId="47" fillId="0" borderId="9" xfId="0" applyNumberFormat="1" applyFont="1" applyBorder="1" applyAlignment="1">
      <alignment vertical="center" shrinkToFit="1"/>
    </xf>
    <xf numFmtId="9" fontId="47" fillId="0" borderId="9" xfId="0" applyNumberFormat="1" applyFont="1" applyBorder="1" applyAlignment="1">
      <alignment vertical="center" shrinkToFit="1"/>
    </xf>
    <xf numFmtId="0" fontId="47" fillId="0" borderId="17" xfId="0" applyFont="1" applyBorder="1" applyAlignment="1">
      <alignment horizontal="center" vertical="center" wrapText="1"/>
    </xf>
    <xf numFmtId="41" fontId="47" fillId="0" borderId="17" xfId="0" applyNumberFormat="1" applyFont="1" applyBorder="1" applyAlignment="1">
      <alignment horizontal="center" vertical="center"/>
    </xf>
    <xf numFmtId="184" fontId="45" fillId="0" borderId="18" xfId="0" quotePrefix="1" applyNumberFormat="1" applyFont="1" applyBorder="1" applyAlignment="1">
      <alignment vertical="center" shrinkToFit="1"/>
    </xf>
    <xf numFmtId="43" fontId="1" fillId="0" borderId="0" xfId="0" applyNumberFormat="1" applyFont="1">
      <alignment vertical="center"/>
    </xf>
    <xf numFmtId="0" fontId="1" fillId="0" borderId="18" xfId="0" applyFont="1" applyBorder="1">
      <alignment vertical="center"/>
    </xf>
    <xf numFmtId="184" fontId="46" fillId="0" borderId="18" xfId="0" quotePrefix="1" applyNumberFormat="1" applyFont="1" applyBorder="1" applyAlignment="1">
      <alignment vertical="center" shrinkToFit="1"/>
    </xf>
    <xf numFmtId="184" fontId="46" fillId="0" borderId="18" xfId="0" applyNumberFormat="1" applyFont="1" applyBorder="1" applyAlignment="1">
      <alignment vertical="center" shrinkToFit="1"/>
    </xf>
    <xf numFmtId="41" fontId="50" fillId="13" borderId="9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right" vertical="center"/>
    </xf>
    <xf numFmtId="0" fontId="52" fillId="0" borderId="0" xfId="0" quotePrefix="1" applyFont="1">
      <alignment vertical="center"/>
    </xf>
    <xf numFmtId="0" fontId="50" fillId="0" borderId="0" xfId="0" quotePrefix="1" applyFont="1">
      <alignment vertical="center"/>
    </xf>
    <xf numFmtId="190" fontId="15" fillId="6" borderId="33" xfId="0" applyNumberFormat="1" applyFont="1" applyFill="1" applyBorder="1" applyAlignment="1">
      <alignment horizontal="center" vertical="center" shrinkToFit="1"/>
    </xf>
    <xf numFmtId="0" fontId="13" fillId="5" borderId="9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41" fontId="13" fillId="6" borderId="22" xfId="0" applyNumberFormat="1" applyFont="1" applyFill="1" applyBorder="1" applyAlignment="1">
      <alignment horizontal="center" vertical="center"/>
    </xf>
    <xf numFmtId="0" fontId="54" fillId="2" borderId="9" xfId="0" applyFont="1" applyFill="1" applyBorder="1" applyAlignment="1">
      <alignment horizontal="center" vertical="center"/>
    </xf>
    <xf numFmtId="41" fontId="54" fillId="2" borderId="23" xfId="0" applyNumberFormat="1" applyFont="1" applyFill="1" applyBorder="1" applyAlignment="1">
      <alignment horizontal="center" vertical="center"/>
    </xf>
    <xf numFmtId="41" fontId="54" fillId="2" borderId="13" xfId="0" applyNumberFormat="1" applyFont="1" applyFill="1" applyBorder="1" applyAlignment="1">
      <alignment horizontal="center" vertical="center"/>
    </xf>
    <xf numFmtId="41" fontId="54" fillId="2" borderId="9" xfId="0" applyNumberFormat="1" applyFont="1" applyFill="1" applyBorder="1" applyAlignment="1">
      <alignment horizontal="center" vertical="center"/>
    </xf>
    <xf numFmtId="41" fontId="54" fillId="2" borderId="12" xfId="0" applyNumberFormat="1" applyFont="1" applyFill="1" applyBorder="1" applyAlignment="1">
      <alignment horizontal="center" vertical="center"/>
    </xf>
    <xf numFmtId="41" fontId="55" fillId="2" borderId="9" xfId="0" applyNumberFormat="1" applyFont="1" applyFill="1" applyBorder="1">
      <alignment vertical="center"/>
    </xf>
    <xf numFmtId="41" fontId="50" fillId="0" borderId="0" xfId="0" applyNumberFormat="1" applyFont="1">
      <alignment vertical="center"/>
    </xf>
    <xf numFmtId="0" fontId="12" fillId="0" borderId="12" xfId="0" applyFont="1" applyBorder="1">
      <alignment vertical="center"/>
    </xf>
    <xf numFmtId="41" fontId="22" fillId="0" borderId="12" xfId="0" applyNumberFormat="1" applyFont="1" applyBorder="1">
      <alignment vertical="center"/>
    </xf>
    <xf numFmtId="0" fontId="21" fillId="0" borderId="44" xfId="0" applyFont="1" applyBorder="1">
      <alignment vertical="center"/>
    </xf>
    <xf numFmtId="0" fontId="13" fillId="0" borderId="0" xfId="0" applyFont="1" applyAlignment="1">
      <alignment horizontal="right"/>
    </xf>
    <xf numFmtId="0" fontId="13" fillId="0" borderId="45" xfId="0" applyFont="1" applyBorder="1" applyAlignment="1">
      <alignment horizontal="right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17" xfId="0" applyFont="1" applyBorder="1">
      <alignment vertical="center"/>
    </xf>
    <xf numFmtId="0" fontId="12" fillId="0" borderId="17" xfId="0" applyFont="1" applyBorder="1">
      <alignment vertical="center"/>
    </xf>
    <xf numFmtId="0" fontId="13" fillId="0" borderId="17" xfId="0" applyFont="1" applyBorder="1" applyAlignment="1">
      <alignment horizontal="left" vertical="center"/>
    </xf>
    <xf numFmtId="41" fontId="23" fillId="6" borderId="17" xfId="0" applyNumberFormat="1" applyFont="1" applyFill="1" applyBorder="1" applyAlignment="1">
      <alignment horizontal="left" vertical="center" indent="1"/>
    </xf>
    <xf numFmtId="0" fontId="13" fillId="4" borderId="18" xfId="0" applyFont="1" applyFill="1" applyBorder="1" applyAlignment="1">
      <alignment horizontal="center" vertical="center"/>
    </xf>
    <xf numFmtId="0" fontId="13" fillId="0" borderId="44" xfId="0" applyFont="1" applyBorder="1">
      <alignment vertical="center"/>
    </xf>
    <xf numFmtId="0" fontId="21" fillId="0" borderId="45" xfId="0" applyFont="1" applyBorder="1">
      <alignment vertical="center"/>
    </xf>
    <xf numFmtId="0" fontId="13" fillId="0" borderId="49" xfId="0" applyFont="1" applyBorder="1">
      <alignment vertical="center"/>
    </xf>
    <xf numFmtId="0" fontId="21" fillId="0" borderId="50" xfId="0" applyFont="1" applyBorder="1">
      <alignment vertical="center"/>
    </xf>
    <xf numFmtId="0" fontId="21" fillId="0" borderId="51" xfId="0" applyFont="1" applyBorder="1">
      <alignment vertical="center"/>
    </xf>
    <xf numFmtId="0" fontId="54" fillId="2" borderId="12" xfId="0" applyFont="1" applyFill="1" applyBorder="1">
      <alignment vertical="center"/>
    </xf>
    <xf numFmtId="41" fontId="12" fillId="0" borderId="11" xfId="0" applyNumberFormat="1" applyFont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 wrapText="1"/>
    </xf>
    <xf numFmtId="0" fontId="58" fillId="0" borderId="9" xfId="0" applyFont="1" applyBorder="1" applyAlignment="1">
      <alignment horizontal="left" vertical="center" wrapText="1"/>
    </xf>
    <xf numFmtId="0" fontId="59" fillId="0" borderId="9" xfId="0" applyFont="1" applyBorder="1" applyAlignment="1">
      <alignment horizontal="left" vertical="center" wrapText="1"/>
    </xf>
    <xf numFmtId="0" fontId="60" fillId="0" borderId="11" xfId="0" applyFont="1" applyBorder="1" applyAlignment="1">
      <alignment horizontal="left" vertical="center" wrapText="1"/>
    </xf>
    <xf numFmtId="41" fontId="61" fillId="0" borderId="9" xfId="0" applyNumberFormat="1" applyFont="1" applyBorder="1" applyAlignment="1">
      <alignment horizontal="center" vertical="center"/>
    </xf>
    <xf numFmtId="41" fontId="21" fillId="0" borderId="0" xfId="0" applyNumberFormat="1" applyFont="1">
      <alignment vertical="center"/>
    </xf>
    <xf numFmtId="9" fontId="22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" fillId="0" borderId="0" xfId="0" applyFont="1">
      <alignment vertical="center"/>
    </xf>
    <xf numFmtId="0" fontId="13" fillId="0" borderId="0" xfId="0" applyFont="1">
      <alignment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184" fontId="50" fillId="13" borderId="14" xfId="0" applyNumberFormat="1" applyFont="1" applyFill="1" applyBorder="1" applyAlignment="1">
      <alignment horizontal="center" vertical="center"/>
    </xf>
    <xf numFmtId="184" fontId="50" fillId="13" borderId="17" xfId="0" applyNumberFormat="1" applyFont="1" applyFill="1" applyBorder="1" applyAlignment="1">
      <alignment horizontal="center" vertical="center"/>
    </xf>
    <xf numFmtId="184" fontId="50" fillId="13" borderId="15" xfId="0" applyNumberFormat="1" applyFont="1" applyFill="1" applyBorder="1" applyAlignment="1">
      <alignment horizontal="center" vertical="center"/>
    </xf>
    <xf numFmtId="184" fontId="50" fillId="13" borderId="9" xfId="0" applyNumberFormat="1" applyFont="1" applyFill="1" applyBorder="1" applyAlignment="1">
      <alignment horizontal="center" vertical="center"/>
    </xf>
    <xf numFmtId="41" fontId="50" fillId="13" borderId="15" xfId="0" applyNumberFormat="1" applyFont="1" applyFill="1" applyBorder="1" applyAlignment="1">
      <alignment horizontal="center" vertical="center"/>
    </xf>
    <xf numFmtId="41" fontId="50" fillId="13" borderId="9" xfId="0" applyNumberFormat="1" applyFont="1" applyFill="1" applyBorder="1" applyAlignment="1">
      <alignment horizontal="center" vertical="center"/>
    </xf>
    <xf numFmtId="41" fontId="49" fillId="13" borderId="16" xfId="0" applyNumberFormat="1" applyFont="1" applyFill="1" applyBorder="1" applyAlignment="1">
      <alignment horizontal="center" vertical="center" shrinkToFit="1"/>
    </xf>
    <xf numFmtId="41" fontId="49" fillId="13" borderId="18" xfId="0" applyNumberFormat="1" applyFont="1" applyFill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41" fontId="23" fillId="6" borderId="12" xfId="0" applyNumberFormat="1" applyFont="1" applyFill="1" applyBorder="1" applyAlignment="1">
      <alignment horizontal="center" vertical="center"/>
    </xf>
    <xf numFmtId="41" fontId="23" fillId="6" borderId="13" xfId="0" applyNumberFormat="1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/>
    </xf>
    <xf numFmtId="0" fontId="13" fillId="6" borderId="46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54" fillId="2" borderId="47" xfId="0" applyFont="1" applyFill="1" applyBorder="1" applyAlignment="1">
      <alignment horizontal="center" vertical="center"/>
    </xf>
    <xf numFmtId="0" fontId="54" fillId="2" borderId="24" xfId="0" applyFont="1" applyFill="1" applyBorder="1" applyAlignment="1">
      <alignment horizontal="center" vertical="center"/>
    </xf>
    <xf numFmtId="0" fontId="54" fillId="2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41" fontId="13" fillId="4" borderId="9" xfId="1" applyFont="1" applyFill="1" applyBorder="1" applyAlignment="1">
      <alignment horizontal="center" vertical="center"/>
    </xf>
    <xf numFmtId="0" fontId="13" fillId="4" borderId="52" xfId="0" applyFont="1" applyFill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 wrapText="1"/>
    </xf>
    <xf numFmtId="0" fontId="15" fillId="6" borderId="41" xfId="0" applyFont="1" applyFill="1" applyBorder="1" applyAlignment="1">
      <alignment horizontal="center" vertical="center"/>
    </xf>
    <xf numFmtId="0" fontId="15" fillId="6" borderId="42" xfId="0" applyFont="1" applyFill="1" applyBorder="1" applyAlignment="1">
      <alignment horizontal="center" vertical="center"/>
    </xf>
    <xf numFmtId="0" fontId="15" fillId="6" borderId="43" xfId="0" applyFont="1" applyFill="1" applyBorder="1" applyAlignment="1">
      <alignment horizontal="center" vertical="center"/>
    </xf>
    <xf numFmtId="0" fontId="33" fillId="2" borderId="41" xfId="0" applyFont="1" applyFill="1" applyBorder="1" applyAlignment="1">
      <alignment horizontal="center" vertical="center"/>
    </xf>
    <xf numFmtId="0" fontId="33" fillId="2" borderId="42" xfId="0" applyFont="1" applyFill="1" applyBorder="1" applyAlignment="1">
      <alignment horizontal="center" vertical="center"/>
    </xf>
    <xf numFmtId="0" fontId="33" fillId="2" borderId="43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7" fillId="5" borderId="24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181" fontId="28" fillId="0" borderId="13" xfId="0" applyNumberFormat="1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42" fillId="10" borderId="9" xfId="0" applyFont="1" applyFill="1" applyBorder="1" applyAlignment="1">
      <alignment horizontal="center" vertical="center"/>
    </xf>
    <xf numFmtId="49" fontId="42" fillId="10" borderId="9" xfId="0" applyNumberFormat="1" applyFont="1" applyFill="1" applyBorder="1" applyAlignment="1">
      <alignment horizontal="center" vertical="center"/>
    </xf>
    <xf numFmtId="43" fontId="42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6</xdr:col>
      <xdr:colOff>374836</xdr:colOff>
      <xdr:row>1</xdr:row>
      <xdr:rowOff>180975</xdr:rowOff>
    </xdr:from>
    <xdr:to>
      <xdr:col>10</xdr:col>
      <xdr:colOff>946896</xdr:colOff>
      <xdr:row>6</xdr:row>
      <xdr:rowOff>25773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5646FF4-05E7-4707-98BD-A16824DFE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8186" y="685800"/>
          <a:ext cx="3667685" cy="1225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384361</xdr:colOff>
      <xdr:row>10</xdr:row>
      <xdr:rowOff>142872</xdr:rowOff>
    </xdr:from>
    <xdr:to>
      <xdr:col>10</xdr:col>
      <xdr:colOff>951939</xdr:colOff>
      <xdr:row>13</xdr:row>
      <xdr:rowOff>247650</xdr:rowOff>
    </xdr:to>
    <xdr:pic>
      <xdr:nvPicPr>
        <xdr:cNvPr id="7" name="그림 7">
          <a:extLst>
            <a:ext uri="{FF2B5EF4-FFF2-40B4-BE49-F238E27FC236}">
              <a16:creationId xmlns:a16="http://schemas.microsoft.com/office/drawing/2014/main" id="{3C6BD57E-169B-4915-B8EA-626106D87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7711" y="3133722"/>
          <a:ext cx="3663203" cy="933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361950</xdr:colOff>
      <xdr:row>6</xdr:row>
      <xdr:rowOff>16248</xdr:rowOff>
    </xdr:from>
    <xdr:to>
      <xdr:col>10</xdr:col>
      <xdr:colOff>951939</xdr:colOff>
      <xdr:row>10</xdr:row>
      <xdr:rowOff>133349</xdr:rowOff>
    </xdr:to>
    <xdr:pic>
      <xdr:nvPicPr>
        <xdr:cNvPr id="8" name="그림 5">
          <a:extLst>
            <a:ext uri="{FF2B5EF4-FFF2-40B4-BE49-F238E27FC236}">
              <a16:creationId xmlns:a16="http://schemas.microsoft.com/office/drawing/2014/main" id="{847EFDC3-6CCE-4814-8CE1-2342CBFD5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902198"/>
          <a:ext cx="3685614" cy="1222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777875</xdr:colOff>
      <xdr:row>52</xdr:row>
      <xdr:rowOff>79375</xdr:rowOff>
    </xdr:from>
    <xdr:to>
      <xdr:col>10</xdr:col>
      <xdr:colOff>682870</xdr:colOff>
      <xdr:row>59</xdr:row>
      <xdr:rowOff>31750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A696AD-36D6-6DA6-E48A-1B7E3CC8363A}"/>
            </a:ext>
          </a:extLst>
        </xdr:cNvPr>
        <xdr:cNvSpPr/>
      </xdr:nvSpPr>
      <xdr:spPr>
        <a:xfrm>
          <a:off x="11398250" y="17891125"/>
          <a:ext cx="920995" cy="13970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549275</xdr:colOff>
      <xdr:row>1</xdr:row>
      <xdr:rowOff>50800</xdr:rowOff>
    </xdr:from>
    <xdr:to>
      <xdr:col>4</xdr:col>
      <xdr:colOff>168275</xdr:colOff>
      <xdr:row>51</xdr:row>
      <xdr:rowOff>161925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73525" y="527050"/>
          <a:ext cx="933450" cy="1759902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677741</xdr:colOff>
      <xdr:row>52</xdr:row>
      <xdr:rowOff>82794</xdr:rowOff>
    </xdr:from>
    <xdr:to>
      <xdr:col>12</xdr:col>
      <xdr:colOff>1334966</xdr:colOff>
      <xdr:row>59</xdr:row>
      <xdr:rowOff>54219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1C091012-2E0E-7E53-D48B-C7CC0100074E}"/>
            </a:ext>
          </a:extLst>
        </xdr:cNvPr>
        <xdr:cNvGrpSpPr>
          <a:grpSpLocks noChangeAspect="1"/>
        </xdr:cNvGrpSpPr>
      </xdr:nvGrpSpPr>
      <xdr:grpSpPr bwMode="auto">
        <a:xfrm>
          <a:off x="12968689" y="18182199"/>
          <a:ext cx="3270101" cy="1542154"/>
          <a:chOff x="475" y="1880"/>
          <a:chExt cx="303" cy="151"/>
        </a:xfrm>
      </xdr:grpSpPr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8B88C853-E828-1B6A-FF21-E65F6C46E1E0}"/>
              </a:ext>
            </a:extLst>
          </xdr:cNvPr>
          <xdr:cNvSpPr>
            <a:spLocks noChangeArrowheads="1"/>
          </xdr:cNvSpPr>
        </xdr:nvSpPr>
        <xdr:spPr bwMode="auto">
          <a:xfrm>
            <a:off x="500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CD880D5C-7101-7DAC-9376-7367D2890F19}"/>
              </a:ext>
            </a:extLst>
          </xdr:cNvPr>
          <xdr:cNvSpPr>
            <a:spLocks noChangeArrowheads="1"/>
          </xdr:cNvSpPr>
        </xdr:nvSpPr>
        <xdr:spPr bwMode="auto">
          <a:xfrm>
            <a:off x="651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61E1C243-ABEA-1EFA-F847-7BEE6630373B}"/>
              </a:ext>
            </a:extLst>
          </xdr:cNvPr>
          <xdr:cNvSpPr>
            <a:spLocks noChangeArrowheads="1"/>
          </xdr:cNvSpPr>
        </xdr:nvSpPr>
        <xdr:spPr bwMode="auto">
          <a:xfrm>
            <a:off x="508" y="1938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15D3B28B-3354-78A6-B10C-1C9F4884F2E0}"/>
              </a:ext>
            </a:extLst>
          </xdr:cNvPr>
          <xdr:cNvSpPr>
            <a:spLocks noChangeArrowheads="1"/>
          </xdr:cNvSpPr>
        </xdr:nvSpPr>
        <xdr:spPr bwMode="auto">
          <a:xfrm>
            <a:off x="612" y="1938"/>
            <a:ext cx="120" cy="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김 재 윤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3D1BA967-ECE0-6F05-FFF5-DE000FFBE2DB}"/>
              </a:ext>
            </a:extLst>
          </xdr:cNvPr>
          <xdr:cNvSpPr>
            <a:spLocks noChangeArrowheads="1"/>
          </xdr:cNvSpPr>
        </xdr:nvSpPr>
        <xdr:spPr bwMode="auto">
          <a:xfrm>
            <a:off x="718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521A5B01-EB1C-6392-7504-536D1A11C869}"/>
              </a:ext>
            </a:extLst>
          </xdr:cNvPr>
          <xdr:cNvSpPr>
            <a:spLocks noChangeArrowheads="1"/>
          </xdr:cNvSpPr>
        </xdr:nvSpPr>
        <xdr:spPr bwMode="auto">
          <a:xfrm>
            <a:off x="725" y="1938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BF2B5AC6-75CD-0719-D2FD-B6E1A1BD2D55}"/>
              </a:ext>
            </a:extLst>
          </xdr:cNvPr>
          <xdr:cNvSpPr>
            <a:spLocks noChangeArrowheads="1"/>
          </xdr:cNvSpPr>
        </xdr:nvSpPr>
        <xdr:spPr bwMode="auto">
          <a:xfrm>
            <a:off x="747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53E8B429-87C7-4C09-D14B-EA16EDFA4427}"/>
              </a:ext>
            </a:extLst>
          </xdr:cNvPr>
          <xdr:cNvSpPr>
            <a:spLocks noChangeArrowheads="1"/>
          </xdr:cNvSpPr>
        </xdr:nvSpPr>
        <xdr:spPr bwMode="auto">
          <a:xfrm>
            <a:off x="508" y="1987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AC2BAA3D-CBE8-915D-16B4-4660E3D3DAC1}"/>
              </a:ext>
            </a:extLst>
          </xdr:cNvPr>
          <xdr:cNvSpPr>
            <a:spLocks noChangeArrowheads="1"/>
          </xdr:cNvSpPr>
        </xdr:nvSpPr>
        <xdr:spPr bwMode="auto">
          <a:xfrm>
            <a:off x="612" y="1987"/>
            <a:ext cx="120" cy="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김 정 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80A577B4-8EAD-EED6-42D7-D150B716D44D}"/>
              </a:ext>
            </a:extLst>
          </xdr:cNvPr>
          <xdr:cNvSpPr>
            <a:spLocks noChangeArrowheads="1"/>
          </xdr:cNvSpPr>
        </xdr:nvSpPr>
        <xdr:spPr bwMode="auto">
          <a:xfrm>
            <a:off x="718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C7AA1A71-90E1-4FD7-F72C-F1A7ADB8860C}"/>
              </a:ext>
            </a:extLst>
          </xdr:cNvPr>
          <xdr:cNvSpPr>
            <a:spLocks noChangeArrowheads="1"/>
          </xdr:cNvSpPr>
        </xdr:nvSpPr>
        <xdr:spPr bwMode="auto">
          <a:xfrm>
            <a:off x="725" y="1987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1FA31970-1CE4-DE3D-795E-6CA6EFBD739D}"/>
              </a:ext>
            </a:extLst>
          </xdr:cNvPr>
          <xdr:cNvSpPr>
            <a:spLocks noChangeArrowheads="1"/>
          </xdr:cNvSpPr>
        </xdr:nvSpPr>
        <xdr:spPr bwMode="auto">
          <a:xfrm>
            <a:off x="747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F4983D6B-2B7A-21D1-1D4B-A493FA2854F8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891C768F-9AF8-81C5-0FFF-FD24EC1DE45A}"/>
              </a:ext>
            </a:extLst>
          </xdr:cNvPr>
          <xdr:cNvSpPr>
            <a:spLocks noChangeArrowheads="1"/>
          </xdr:cNvSpPr>
        </xdr:nvSpPr>
        <xdr:spPr bwMode="auto">
          <a:xfrm>
            <a:off x="590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83AA3BFA-AAF5-F8D9-5AD7-772B1A5D68AF}"/>
              </a:ext>
            </a:extLst>
          </xdr:cNvPr>
          <xdr:cNvSpPr>
            <a:spLocks noChangeShapeType="1"/>
          </xdr:cNvSpPr>
        </xdr:nvSpPr>
        <xdr:spPr bwMode="auto">
          <a:xfrm>
            <a:off x="477" y="1880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6F2BC1FB-9E2D-7659-6C61-5EA31EE5176E}"/>
              </a:ext>
            </a:extLst>
          </xdr:cNvPr>
          <xdr:cNvSpPr>
            <a:spLocks noChangeArrowheads="1"/>
          </xdr:cNvSpPr>
        </xdr:nvSpPr>
        <xdr:spPr bwMode="auto">
          <a:xfrm>
            <a:off x="477" y="1880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6C60A9BF-CD0E-E68E-848B-D46DB6CFDC7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D6FDBF84-EE64-8086-D042-B0FB7554D456}"/>
              </a:ext>
            </a:extLst>
          </xdr:cNvPr>
          <xdr:cNvSpPr>
            <a:spLocks noChangeShapeType="1"/>
          </xdr:cNvSpPr>
        </xdr:nvSpPr>
        <xdr:spPr bwMode="auto">
          <a:xfrm>
            <a:off x="477" y="1929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0F002B9E-E815-0A23-0B06-BB622F336897}"/>
              </a:ext>
            </a:extLst>
          </xdr:cNvPr>
          <xdr:cNvSpPr>
            <a:spLocks noChangeArrowheads="1"/>
          </xdr:cNvSpPr>
        </xdr:nvSpPr>
        <xdr:spPr bwMode="auto">
          <a:xfrm>
            <a:off x="477" y="1929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C9BF5E87-B6DC-2287-71AD-B2965BC06CF6}"/>
              </a:ext>
            </a:extLst>
          </xdr:cNvPr>
          <xdr:cNvSpPr>
            <a:spLocks noChangeShapeType="1"/>
          </xdr:cNvSpPr>
        </xdr:nvSpPr>
        <xdr:spPr bwMode="auto">
          <a:xfrm>
            <a:off x="477" y="197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ABF8EF7E-E612-E118-7FE1-47F0B2FE9BD5}"/>
              </a:ext>
            </a:extLst>
          </xdr:cNvPr>
          <xdr:cNvSpPr>
            <a:spLocks noChangeArrowheads="1"/>
          </xdr:cNvSpPr>
        </xdr:nvSpPr>
        <xdr:spPr bwMode="auto">
          <a:xfrm>
            <a:off x="477" y="1978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A59BE880-23DB-D008-290D-DBED1393D0FC}"/>
              </a:ext>
            </a:extLst>
          </xdr:cNvPr>
          <xdr:cNvSpPr>
            <a:spLocks noChangeShapeType="1"/>
          </xdr:cNvSpPr>
        </xdr:nvSpPr>
        <xdr:spPr bwMode="auto">
          <a:xfrm>
            <a:off x="475" y="1880"/>
            <a:ext cx="0" cy="14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35395A9C-F173-6913-789A-05B03DA30C2A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4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A4FE1D6B-5807-3B73-8D10-B84BEEF6A6B5}"/>
              </a:ext>
            </a:extLst>
          </xdr:cNvPr>
          <xdr:cNvSpPr>
            <a:spLocks noChangeShapeType="1"/>
          </xdr:cNvSpPr>
        </xdr:nvSpPr>
        <xdr:spPr bwMode="auto">
          <a:xfrm>
            <a:off x="590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5979402F-1249-19FF-12F6-1610C4F6FF0B}"/>
              </a:ext>
            </a:extLst>
          </xdr:cNvPr>
          <xdr:cNvSpPr>
            <a:spLocks noChangeArrowheads="1"/>
          </xdr:cNvSpPr>
        </xdr:nvSpPr>
        <xdr:spPr bwMode="auto">
          <a:xfrm>
            <a:off x="590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E3F9D6CB-5DC3-C2FA-1742-C9A88C8B8C84}"/>
              </a:ext>
            </a:extLst>
          </xdr:cNvPr>
          <xdr:cNvSpPr>
            <a:spLocks noChangeShapeType="1"/>
          </xdr:cNvSpPr>
        </xdr:nvSpPr>
        <xdr:spPr bwMode="auto">
          <a:xfrm>
            <a:off x="477" y="202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7713BB59-670F-1430-579F-3BE12CEC0AC8}"/>
              </a:ext>
            </a:extLst>
          </xdr:cNvPr>
          <xdr:cNvSpPr>
            <a:spLocks noChangeArrowheads="1"/>
          </xdr:cNvSpPr>
        </xdr:nvSpPr>
        <xdr:spPr bwMode="auto">
          <a:xfrm>
            <a:off x="477" y="2028"/>
            <a:ext cx="30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09A41913-E0EF-60FC-BC0F-9203D03845AD}"/>
              </a:ext>
            </a:extLst>
          </xdr:cNvPr>
          <xdr:cNvSpPr>
            <a:spLocks noChangeShapeType="1"/>
          </xdr:cNvSpPr>
        </xdr:nvSpPr>
        <xdr:spPr bwMode="auto">
          <a:xfrm>
            <a:off x="776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79CB723C-7130-40D0-11F6-426B023F831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F06D04DA-5D7C-AAF3-9CB0-0EADECF35868}"/>
              </a:ext>
            </a:extLst>
          </xdr:cNvPr>
          <xdr:cNvSpPr>
            <a:spLocks noChangeShapeType="1"/>
          </xdr:cNvSpPr>
        </xdr:nvSpPr>
        <xdr:spPr bwMode="auto">
          <a:xfrm>
            <a:off x="475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36244F1C-B625-7721-65C6-D853B49D41D2}"/>
              </a:ext>
            </a:extLst>
          </xdr:cNvPr>
          <xdr:cNvSpPr>
            <a:spLocks noChangeArrowheads="1"/>
          </xdr:cNvSpPr>
        </xdr:nvSpPr>
        <xdr:spPr bwMode="auto">
          <a:xfrm>
            <a:off x="475" y="2029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5CF2E9E6-6C64-5B89-C680-6536AB6AF452}"/>
              </a:ext>
            </a:extLst>
          </xdr:cNvPr>
          <xdr:cNvSpPr>
            <a:spLocks noChangeShapeType="1"/>
          </xdr:cNvSpPr>
        </xdr:nvSpPr>
        <xdr:spPr bwMode="auto">
          <a:xfrm>
            <a:off x="590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D1788C9D-B2A1-3B9A-B9A4-1E2FD2F1B5AF}"/>
              </a:ext>
            </a:extLst>
          </xdr:cNvPr>
          <xdr:cNvSpPr>
            <a:spLocks noChangeArrowheads="1"/>
          </xdr:cNvSpPr>
        </xdr:nvSpPr>
        <xdr:spPr bwMode="auto">
          <a:xfrm>
            <a:off x="590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8AB53304-9501-1D85-D8F9-3D54B411D0B8}"/>
              </a:ext>
            </a:extLst>
          </xdr:cNvPr>
          <xdr:cNvSpPr>
            <a:spLocks noChangeShapeType="1"/>
          </xdr:cNvSpPr>
        </xdr:nvSpPr>
        <xdr:spPr bwMode="auto">
          <a:xfrm>
            <a:off x="776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931511A3-9088-6168-89AF-418F719F634B}"/>
              </a:ext>
            </a:extLst>
          </xdr:cNvPr>
          <xdr:cNvSpPr>
            <a:spLocks noChangeArrowheads="1"/>
          </xdr:cNvSpPr>
        </xdr:nvSpPr>
        <xdr:spPr bwMode="auto">
          <a:xfrm>
            <a:off x="776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39F8CB06-0A51-B068-FA64-3BBF9871B0BE}"/>
              </a:ext>
            </a:extLst>
          </xdr:cNvPr>
          <xdr:cNvSpPr>
            <a:spLocks noChangeShapeType="1"/>
          </xdr:cNvSpPr>
        </xdr:nvSpPr>
        <xdr:spPr bwMode="auto">
          <a:xfrm>
            <a:off x="777" y="188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6A429A0D-F910-68B9-4285-4DCC2476ABC6}"/>
              </a:ext>
            </a:extLst>
          </xdr:cNvPr>
          <xdr:cNvSpPr>
            <a:spLocks noChangeArrowheads="1"/>
          </xdr:cNvSpPr>
        </xdr:nvSpPr>
        <xdr:spPr bwMode="auto">
          <a:xfrm>
            <a:off x="777" y="1880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15A87687-A171-4CD5-031D-74AEB4452FA9}"/>
              </a:ext>
            </a:extLst>
          </xdr:cNvPr>
          <xdr:cNvSpPr>
            <a:spLocks noChangeShapeType="1"/>
          </xdr:cNvSpPr>
        </xdr:nvSpPr>
        <xdr:spPr bwMode="auto">
          <a:xfrm>
            <a:off x="777" y="19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D159731-8FBA-A424-7F6E-F2EBFA205B24}"/>
              </a:ext>
            </a:extLst>
          </xdr:cNvPr>
          <xdr:cNvSpPr>
            <a:spLocks noChangeArrowheads="1"/>
          </xdr:cNvSpPr>
        </xdr:nvSpPr>
        <xdr:spPr bwMode="auto">
          <a:xfrm>
            <a:off x="777" y="19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C42EBEFB-99BC-2662-5A28-357EB6725CF6}"/>
              </a:ext>
            </a:extLst>
          </xdr:cNvPr>
          <xdr:cNvSpPr>
            <a:spLocks noChangeShapeType="1"/>
          </xdr:cNvSpPr>
        </xdr:nvSpPr>
        <xdr:spPr bwMode="auto">
          <a:xfrm>
            <a:off x="777" y="197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C4CA0C80-34C3-18A1-51E0-F9DB5A665D21}"/>
              </a:ext>
            </a:extLst>
          </xdr:cNvPr>
          <xdr:cNvSpPr>
            <a:spLocks noChangeArrowheads="1"/>
          </xdr:cNvSpPr>
        </xdr:nvSpPr>
        <xdr:spPr bwMode="auto">
          <a:xfrm>
            <a:off x="777" y="1978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0BB13F34-4C12-EC41-085D-6CAC026EF376}"/>
              </a:ext>
            </a:extLst>
          </xdr:cNvPr>
          <xdr:cNvSpPr>
            <a:spLocks noChangeShapeType="1"/>
          </xdr:cNvSpPr>
        </xdr:nvSpPr>
        <xdr:spPr bwMode="auto">
          <a:xfrm>
            <a:off x="777" y="202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4F1AEAC3-09EA-BDD5-7210-D1ED03A2F287}"/>
              </a:ext>
            </a:extLst>
          </xdr:cNvPr>
          <xdr:cNvSpPr>
            <a:spLocks noChangeArrowheads="1"/>
          </xdr:cNvSpPr>
        </xdr:nvSpPr>
        <xdr:spPr bwMode="auto">
          <a:xfrm>
            <a:off x="777" y="2028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10</xdr:col>
      <xdr:colOff>52510</xdr:colOff>
      <xdr:row>53</xdr:row>
      <xdr:rowOff>108682</xdr:rowOff>
    </xdr:from>
    <xdr:ext cx="364202" cy="93243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0B1ED8-217B-6915-029B-EB20BC7D4BF0}"/>
            </a:ext>
          </a:extLst>
        </xdr:cNvPr>
        <xdr:cNvSpPr txBox="1"/>
      </xdr:nvSpPr>
      <xdr:spPr>
        <a:xfrm>
          <a:off x="11688885" y="18126807"/>
          <a:ext cx="364202" cy="932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/>
            <a:t>검</a:t>
          </a:r>
          <a:endParaRPr lang="en-US" altLang="ko-KR" sz="1400"/>
        </a:p>
        <a:p>
          <a:endParaRPr lang="en-US" altLang="ko-KR" sz="1400"/>
        </a:p>
        <a:p>
          <a:r>
            <a:rPr lang="ko-KR" altLang="en-US" sz="1400"/>
            <a:t>토</a:t>
          </a:r>
          <a:endParaRPr lang="en-US" altLang="ko-KR" sz="14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C10" sqref="C10"/>
    </sheetView>
  </sheetViews>
  <sheetFormatPr defaultRowHeight="17.399999999999999" x14ac:dyDescent="0.4"/>
  <cols>
    <col min="1" max="6" width="21.59765625" customWidth="1"/>
  </cols>
  <sheetData>
    <row r="1" spans="1:6" ht="21.9" customHeight="1" thickTop="1" x14ac:dyDescent="0.4">
      <c r="A1" s="1"/>
      <c r="B1" s="2"/>
      <c r="C1" s="2"/>
      <c r="D1" s="2"/>
      <c r="E1" s="2"/>
      <c r="F1" s="3"/>
    </row>
    <row r="2" spans="1:6" ht="21.9" customHeight="1" x14ac:dyDescent="0.4">
      <c r="A2" s="4"/>
      <c r="B2" s="5"/>
      <c r="C2" s="5"/>
      <c r="D2" s="6"/>
      <c r="E2" s="5"/>
      <c r="F2" s="7"/>
    </row>
    <row r="3" spans="1:6" ht="21.9" customHeight="1" x14ac:dyDescent="0.4">
      <c r="A3" s="4"/>
      <c r="B3" s="5"/>
      <c r="C3" s="5"/>
      <c r="D3" s="5"/>
      <c r="E3" s="5"/>
      <c r="F3" s="7"/>
    </row>
    <row r="4" spans="1:6" ht="21.9" customHeight="1" x14ac:dyDescent="0.4">
      <c r="A4" s="4"/>
      <c r="B4" s="209" t="s">
        <v>0</v>
      </c>
      <c r="C4" s="209"/>
      <c r="D4" s="209"/>
      <c r="E4" s="209"/>
      <c r="F4" s="7"/>
    </row>
    <row r="5" spans="1:6" ht="21.9" customHeight="1" x14ac:dyDescent="0.4">
      <c r="A5" s="8"/>
      <c r="B5" s="209"/>
      <c r="C5" s="209"/>
      <c r="D5" s="209"/>
      <c r="E5" s="209"/>
      <c r="F5" s="9"/>
    </row>
    <row r="6" spans="1:6" ht="21.9" customHeight="1" x14ac:dyDescent="0.4">
      <c r="A6" s="10"/>
      <c r="B6" s="209"/>
      <c r="C6" s="209"/>
      <c r="D6" s="209"/>
      <c r="E6" s="209"/>
      <c r="F6" s="11"/>
    </row>
    <row r="7" spans="1:6" ht="36.9" customHeight="1" x14ac:dyDescent="0.4">
      <c r="A7" s="12"/>
      <c r="B7" s="210" t="s">
        <v>485</v>
      </c>
      <c r="C7" s="210"/>
      <c r="D7" s="210"/>
      <c r="E7" s="210"/>
      <c r="F7" s="11"/>
    </row>
    <row r="8" spans="1:6" ht="29.1" customHeight="1" x14ac:dyDescent="0.4">
      <c r="A8" s="8"/>
      <c r="B8" s="13"/>
      <c r="C8" s="211" t="s">
        <v>334</v>
      </c>
      <c r="D8" s="212"/>
      <c r="E8" s="13"/>
      <c r="F8" s="9"/>
    </row>
    <row r="9" spans="1:6" ht="21.9" customHeight="1" x14ac:dyDescent="0.4">
      <c r="A9" s="8"/>
      <c r="B9" s="13"/>
      <c r="C9" s="13"/>
      <c r="D9" s="13"/>
      <c r="E9" s="13"/>
      <c r="F9" s="9"/>
    </row>
    <row r="10" spans="1:6" ht="21.9" customHeight="1" x14ac:dyDescent="0.4">
      <c r="A10" s="8"/>
      <c r="B10" s="13"/>
      <c r="C10" s="13"/>
      <c r="D10" s="13"/>
      <c r="E10" s="13"/>
      <c r="F10" s="9"/>
    </row>
    <row r="11" spans="1:6" ht="21.9" customHeight="1" x14ac:dyDescent="0.4">
      <c r="A11" s="8"/>
      <c r="B11" s="13"/>
      <c r="C11" s="13"/>
      <c r="D11" s="13"/>
      <c r="E11" s="13"/>
      <c r="F11" s="9"/>
    </row>
    <row r="12" spans="1:6" ht="21.9" customHeight="1" x14ac:dyDescent="0.4">
      <c r="A12" s="8"/>
      <c r="B12" s="13"/>
      <c r="C12" s="13"/>
      <c r="D12" s="13"/>
      <c r="E12" s="13"/>
      <c r="F12" s="9"/>
    </row>
    <row r="13" spans="1:6" ht="21.9" customHeight="1" x14ac:dyDescent="0.4">
      <c r="A13" s="8"/>
      <c r="B13" s="13"/>
      <c r="C13" s="13"/>
      <c r="D13" s="13"/>
      <c r="E13" s="13"/>
      <c r="F13" s="9"/>
    </row>
    <row r="14" spans="1:6" ht="21.9" customHeight="1" x14ac:dyDescent="0.4">
      <c r="A14" s="8"/>
      <c r="B14" s="13"/>
      <c r="C14" s="213" t="s">
        <v>1002</v>
      </c>
      <c r="D14" s="213"/>
      <c r="E14" s="13"/>
      <c r="F14" s="9"/>
    </row>
    <row r="15" spans="1:6" ht="21.9" customHeight="1" x14ac:dyDescent="0.4">
      <c r="A15" s="8"/>
      <c r="B15" s="13"/>
      <c r="C15" s="214" t="s">
        <v>291</v>
      </c>
      <c r="D15" s="214"/>
      <c r="E15" s="13"/>
      <c r="F15" s="9"/>
    </row>
    <row r="16" spans="1:6" ht="21.9" customHeight="1" x14ac:dyDescent="0.4">
      <c r="A16" s="8"/>
      <c r="B16" s="13"/>
      <c r="C16" s="13"/>
      <c r="D16" s="13"/>
      <c r="E16" s="13"/>
      <c r="F16" s="9"/>
    </row>
    <row r="17" spans="1:6" ht="21.9" customHeight="1" x14ac:dyDescent="0.4">
      <c r="A17" s="8"/>
      <c r="B17" s="13"/>
      <c r="C17" s="13"/>
      <c r="D17" s="13"/>
      <c r="E17" s="13"/>
      <c r="F17" s="9"/>
    </row>
    <row r="18" spans="1:6" ht="21.9" customHeight="1" x14ac:dyDescent="0.4">
      <c r="A18" s="8"/>
      <c r="B18" s="13"/>
      <c r="C18" s="13"/>
      <c r="D18" s="13"/>
      <c r="E18" s="13"/>
      <c r="F18" s="9"/>
    </row>
    <row r="19" spans="1:6" ht="48" customHeight="1" x14ac:dyDescent="0.4">
      <c r="A19" s="8"/>
      <c r="B19" s="13"/>
      <c r="C19" s="208"/>
      <c r="D19" s="208"/>
      <c r="E19" s="13"/>
      <c r="F19" s="9"/>
    </row>
    <row r="20" spans="1:6" ht="21.9" customHeight="1" x14ac:dyDescent="0.4">
      <c r="A20" s="8"/>
      <c r="B20" s="13"/>
      <c r="C20" s="13"/>
      <c r="D20" s="13"/>
      <c r="E20" s="13"/>
      <c r="F20" s="9"/>
    </row>
    <row r="21" spans="1:6" ht="21.9" customHeight="1" thickBot="1" x14ac:dyDescent="0.45">
      <c r="A21" s="14"/>
      <c r="B21" s="15"/>
      <c r="C21" s="15"/>
      <c r="D21" s="15"/>
      <c r="E21" s="15"/>
      <c r="F21" s="16"/>
    </row>
    <row r="22" spans="1:6" ht="18" thickTop="1" x14ac:dyDescent="0.4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tabSelected="1" view="pageBreakPreview" zoomScaleNormal="100" zoomScaleSheetLayoutView="100" workbookViewId="0">
      <selection activeCell="D9" sqref="D9"/>
    </sheetView>
  </sheetViews>
  <sheetFormatPr defaultRowHeight="17.399999999999999" x14ac:dyDescent="0.25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 x14ac:dyDescent="0.25">
      <c r="A1" s="215" t="s">
        <v>1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2" ht="21.9" customHeight="1" x14ac:dyDescent="0.25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 x14ac:dyDescent="0.25">
      <c r="A3" s="20">
        <v>1</v>
      </c>
      <c r="B3" s="21" t="s">
        <v>2</v>
      </c>
      <c r="C3" s="21" t="s">
        <v>3</v>
      </c>
      <c r="D3" s="22" t="str">
        <f>'용역청구서 표지'!$B$7</f>
        <v>P4 Ph2 GAS&amp;PCW 1공구</v>
      </c>
      <c r="E3" s="23" t="str">
        <f>'용역청구서 표지'!$C$8</f>
        <v>S26-001</v>
      </c>
      <c r="F3" s="23"/>
      <c r="G3" s="18"/>
      <c r="H3" s="18"/>
      <c r="I3" s="18"/>
      <c r="J3" s="18"/>
      <c r="K3" s="18"/>
    </row>
    <row r="4" spans="1:12" ht="21.9" customHeight="1" x14ac:dyDescent="0.25">
      <c r="A4" s="20">
        <v>2</v>
      </c>
      <c r="B4" s="21" t="s">
        <v>4</v>
      </c>
      <c r="C4" s="21" t="s">
        <v>3</v>
      </c>
      <c r="D4" s="24" t="s">
        <v>5</v>
      </c>
      <c r="E4" s="22"/>
      <c r="F4" s="21"/>
      <c r="G4" s="18"/>
      <c r="H4" s="18"/>
      <c r="I4" s="18"/>
      <c r="J4" s="18"/>
      <c r="K4" s="18"/>
    </row>
    <row r="5" spans="1:12" ht="21.9" customHeight="1" x14ac:dyDescent="0.25">
      <c r="A5" s="20">
        <v>3</v>
      </c>
      <c r="B5" s="21" t="s">
        <v>6</v>
      </c>
      <c r="C5" s="21" t="s">
        <v>3</v>
      </c>
      <c r="D5" s="25">
        <f>ROUNDUP(E5,0)</f>
        <v>330000000</v>
      </c>
      <c r="E5" s="22">
        <f>집계장!J23</f>
        <v>330000000</v>
      </c>
      <c r="F5" s="26" t="s">
        <v>7</v>
      </c>
      <c r="G5" s="18"/>
      <c r="H5" s="18"/>
      <c r="I5" s="18"/>
      <c r="J5" s="18"/>
      <c r="K5" s="18"/>
    </row>
    <row r="6" spans="1:12" ht="21.9" customHeight="1" x14ac:dyDescent="0.4">
      <c r="A6" s="20">
        <v>4</v>
      </c>
      <c r="B6" s="27" t="s">
        <v>8</v>
      </c>
      <c r="C6" s="21" t="s">
        <v>3</v>
      </c>
      <c r="D6" s="25">
        <f t="shared" ref="D6:D12" si="0">ROUNDUP(E6,0)</f>
        <v>330000000</v>
      </c>
      <c r="E6" s="22">
        <f>E7+E13</f>
        <v>330000000</v>
      </c>
      <c r="F6" s="26" t="s">
        <v>9</v>
      </c>
      <c r="G6" s="18"/>
      <c r="H6" s="18"/>
      <c r="I6" s="18"/>
      <c r="J6" s="18"/>
      <c r="K6" s="18"/>
      <c r="L6" s="18"/>
    </row>
    <row r="7" spans="1:12" ht="21.9" customHeight="1" x14ac:dyDescent="0.4">
      <c r="A7" s="20">
        <v>5</v>
      </c>
      <c r="B7" s="21" t="s">
        <v>10</v>
      </c>
      <c r="C7" s="21" t="s">
        <v>11</v>
      </c>
      <c r="D7" s="25">
        <f t="shared" si="0"/>
        <v>130000000</v>
      </c>
      <c r="E7" s="22">
        <f>집계장!H22</f>
        <v>130000000</v>
      </c>
      <c r="F7" s="26" t="s">
        <v>12</v>
      </c>
      <c r="G7" s="18"/>
      <c r="H7" s="18"/>
      <c r="I7" s="18"/>
      <c r="J7" s="18"/>
      <c r="K7" s="18"/>
      <c r="L7" s="18"/>
    </row>
    <row r="8" spans="1:12" ht="21.9" customHeight="1" x14ac:dyDescent="0.4">
      <c r="A8" s="20">
        <v>6</v>
      </c>
      <c r="B8" s="21" t="s">
        <v>13</v>
      </c>
      <c r="C8" s="21" t="s">
        <v>3</v>
      </c>
      <c r="D8" s="25">
        <f t="shared" si="0"/>
        <v>200000000</v>
      </c>
      <c r="E8" s="22">
        <f>집계장!I23</f>
        <v>200000000</v>
      </c>
      <c r="F8" s="26" t="s">
        <v>14</v>
      </c>
      <c r="G8" s="18"/>
      <c r="H8" s="18"/>
      <c r="I8" s="18"/>
      <c r="J8" s="18"/>
      <c r="K8" s="18"/>
      <c r="L8" s="28"/>
    </row>
    <row r="9" spans="1:12" ht="21.9" customHeight="1" x14ac:dyDescent="0.4">
      <c r="A9" s="20">
        <v>7</v>
      </c>
      <c r="B9" s="21" t="s">
        <v>15</v>
      </c>
      <c r="C9" s="21" t="s">
        <v>16</v>
      </c>
      <c r="D9" s="25">
        <f t="shared" si="0"/>
        <v>0</v>
      </c>
      <c r="E9" s="22">
        <f>집계장!L21</f>
        <v>0</v>
      </c>
      <c r="F9" s="26" t="s">
        <v>9</v>
      </c>
      <c r="G9" s="18"/>
      <c r="H9" s="18"/>
      <c r="I9" s="18"/>
      <c r="J9" s="18"/>
      <c r="K9" s="18"/>
      <c r="L9" s="28"/>
    </row>
    <row r="10" spans="1:12" ht="21.9" customHeight="1" x14ac:dyDescent="0.4">
      <c r="A10" s="20">
        <v>8</v>
      </c>
      <c r="B10" s="21" t="s">
        <v>17</v>
      </c>
      <c r="C10" s="21" t="s">
        <v>18</v>
      </c>
      <c r="D10" s="25">
        <f t="shared" si="0"/>
        <v>0</v>
      </c>
      <c r="E10" s="22">
        <f>집계장!H21</f>
        <v>0</v>
      </c>
      <c r="F10" s="26" t="s">
        <v>7</v>
      </c>
      <c r="G10" s="18"/>
      <c r="H10" s="18"/>
      <c r="I10" s="18"/>
      <c r="J10" s="18"/>
      <c r="K10" s="18"/>
      <c r="L10" s="18"/>
    </row>
    <row r="11" spans="1:12" ht="21.9" customHeight="1" x14ac:dyDescent="0.4">
      <c r="A11" s="20">
        <v>9</v>
      </c>
      <c r="B11" s="21" t="s">
        <v>19</v>
      </c>
      <c r="C11" s="21" t="s">
        <v>16</v>
      </c>
      <c r="D11" s="25">
        <f t="shared" si="0"/>
        <v>0</v>
      </c>
      <c r="E11" s="22">
        <f>집계장!G21</f>
        <v>0</v>
      </c>
      <c r="F11" s="26" t="s">
        <v>14</v>
      </c>
      <c r="G11" s="18"/>
      <c r="H11" s="18"/>
      <c r="I11" s="18"/>
      <c r="J11" s="18"/>
      <c r="K11" s="18"/>
      <c r="L11" s="19"/>
    </row>
    <row r="12" spans="1:12" ht="21.9" customHeight="1" x14ac:dyDescent="0.4">
      <c r="A12" s="20">
        <v>10</v>
      </c>
      <c r="B12" s="21" t="s">
        <v>20</v>
      </c>
      <c r="C12" s="21" t="s">
        <v>3</v>
      </c>
      <c r="D12" s="25">
        <f t="shared" si="0"/>
        <v>0</v>
      </c>
      <c r="E12" s="22">
        <f>집계장!M21</f>
        <v>0</v>
      </c>
      <c r="F12" s="26" t="s">
        <v>7</v>
      </c>
      <c r="G12" s="18"/>
      <c r="H12" s="18"/>
      <c r="I12" s="18"/>
      <c r="J12" s="18"/>
      <c r="K12" s="18"/>
      <c r="L12" s="29"/>
    </row>
    <row r="13" spans="1:12" ht="21.9" customHeight="1" x14ac:dyDescent="0.4">
      <c r="A13" s="20">
        <v>11</v>
      </c>
      <c r="B13" s="24" t="s">
        <v>21</v>
      </c>
      <c r="C13" s="21" t="s">
        <v>22</v>
      </c>
      <c r="D13" s="30">
        <f>ROUNDUP(E13,0)</f>
        <v>200000000</v>
      </c>
      <c r="E13" s="31">
        <f>집계장!G23</f>
        <v>200000000</v>
      </c>
      <c r="F13" s="26" t="s">
        <v>12</v>
      </c>
      <c r="G13" s="18"/>
      <c r="H13" s="18"/>
      <c r="I13" s="18"/>
      <c r="J13" s="18"/>
      <c r="K13" s="18"/>
      <c r="L13" s="18"/>
    </row>
    <row r="14" spans="1:12" ht="21.9" customHeight="1" x14ac:dyDescent="0.4">
      <c r="A14" s="20">
        <v>12</v>
      </c>
      <c r="B14" s="21" t="s">
        <v>23</v>
      </c>
      <c r="C14" s="21" t="s">
        <v>22</v>
      </c>
      <c r="D14" s="25">
        <f>ROUNDUP(E14,0)</f>
        <v>0</v>
      </c>
      <c r="E14" s="22"/>
      <c r="F14" s="26" t="s">
        <v>7</v>
      </c>
      <c r="G14" s="18"/>
      <c r="H14" s="18"/>
      <c r="I14" s="18"/>
      <c r="J14" s="18"/>
      <c r="K14" s="18"/>
      <c r="L14" s="18"/>
    </row>
    <row r="15" spans="1:12" ht="21.9" customHeight="1" x14ac:dyDescent="0.4">
      <c r="A15" s="20">
        <v>13</v>
      </c>
      <c r="B15" s="21" t="s">
        <v>24</v>
      </c>
      <c r="C15" s="21" t="s">
        <v>25</v>
      </c>
      <c r="D15" s="32">
        <v>1</v>
      </c>
      <c r="E15" s="22"/>
      <c r="F15" s="21"/>
      <c r="G15" s="21"/>
      <c r="H15" s="21"/>
      <c r="I15" s="21"/>
      <c r="J15" s="21"/>
      <c r="K15" s="21"/>
      <c r="L15" s="18"/>
    </row>
    <row r="16" spans="1:12" ht="21.9" customHeight="1" x14ac:dyDescent="0.25">
      <c r="A16" s="20">
        <v>14</v>
      </c>
      <c r="B16" s="21" t="s">
        <v>26</v>
      </c>
      <c r="C16" s="21" t="s">
        <v>27</v>
      </c>
      <c r="D16" s="32" t="s">
        <v>966</v>
      </c>
      <c r="E16" s="22"/>
      <c r="F16" s="21"/>
      <c r="G16" s="21"/>
      <c r="H16" s="21"/>
      <c r="I16" s="21"/>
      <c r="J16" s="21"/>
      <c r="K16" s="21"/>
    </row>
    <row r="17" spans="1:11" ht="21.9" customHeight="1" x14ac:dyDescent="0.25">
      <c r="A17" s="20"/>
      <c r="B17" s="21"/>
      <c r="C17" s="21"/>
      <c r="D17" s="32"/>
      <c r="E17" s="22"/>
      <c r="F17" s="21"/>
      <c r="G17" s="21"/>
      <c r="H17" s="21"/>
      <c r="I17" s="21"/>
      <c r="J17" s="21"/>
      <c r="K17" s="21"/>
    </row>
    <row r="18" spans="1:11" ht="21.9" customHeight="1" x14ac:dyDescent="0.25">
      <c r="A18" s="20"/>
      <c r="B18" s="216" t="s">
        <v>28</v>
      </c>
      <c r="C18" s="216"/>
      <c r="D18" s="216"/>
      <c r="E18" s="216"/>
      <c r="F18" s="216"/>
      <c r="G18" s="216"/>
      <c r="H18" s="216"/>
      <c r="I18" s="216"/>
      <c r="J18" s="217"/>
      <c r="K18" s="21"/>
    </row>
    <row r="19" spans="1:11" ht="21.9" customHeight="1" x14ac:dyDescent="0.25">
      <c r="A19" s="20"/>
      <c r="B19" s="21" t="s">
        <v>29</v>
      </c>
      <c r="C19" s="21"/>
      <c r="D19" s="21"/>
      <c r="E19" s="22"/>
      <c r="F19" s="21"/>
      <c r="G19" s="21"/>
      <c r="H19" s="21"/>
      <c r="I19" s="21"/>
      <c r="J19" s="21"/>
      <c r="K19" s="21"/>
    </row>
    <row r="20" spans="1:11" ht="21.9" customHeight="1" x14ac:dyDescent="0.25">
      <c r="A20" s="20"/>
      <c r="B20" s="21" t="s">
        <v>30</v>
      </c>
      <c r="C20" s="21"/>
      <c r="D20" s="21"/>
      <c r="E20" s="22"/>
      <c r="F20" s="21"/>
      <c r="G20" s="21"/>
      <c r="H20" s="21"/>
      <c r="I20" s="21"/>
      <c r="J20" s="21"/>
      <c r="K20" s="21"/>
    </row>
    <row r="21" spans="1:11" ht="21.9" customHeight="1" x14ac:dyDescent="0.25">
      <c r="A21" s="33"/>
      <c r="B21" s="21"/>
      <c r="C21" s="21"/>
      <c r="D21" s="21"/>
      <c r="E21" s="22"/>
      <c r="F21" s="24" t="s">
        <v>967</v>
      </c>
      <c r="G21" s="24"/>
      <c r="H21" s="24"/>
      <c r="I21" s="24"/>
      <c r="J21" s="21"/>
      <c r="K21" s="21"/>
    </row>
    <row r="22" spans="1:11" ht="21.9" customHeight="1" x14ac:dyDescent="0.25">
      <c r="A22" s="33"/>
      <c r="B22" s="21"/>
      <c r="C22" s="21"/>
      <c r="D22" s="21"/>
      <c r="E22" s="22"/>
      <c r="F22" s="21"/>
      <c r="G22" s="21"/>
      <c r="H22" s="21"/>
      <c r="I22" s="21"/>
      <c r="J22" s="21"/>
      <c r="K22" s="21"/>
    </row>
    <row r="23" spans="1:11" ht="21.9" customHeight="1" x14ac:dyDescent="0.25">
      <c r="A23" s="33"/>
      <c r="B23" s="21"/>
      <c r="C23" s="21"/>
      <c r="D23" s="21"/>
      <c r="E23" s="22"/>
      <c r="F23" s="24" t="s">
        <v>31</v>
      </c>
      <c r="G23" s="218" t="s">
        <v>291</v>
      </c>
      <c r="H23" s="218"/>
      <c r="I23" s="218"/>
      <c r="J23" s="218"/>
      <c r="K23" s="218"/>
    </row>
    <row r="24" spans="1:11" ht="21.9" customHeight="1" x14ac:dyDescent="0.25">
      <c r="A24" s="33"/>
      <c r="B24" s="21" t="s">
        <v>32</v>
      </c>
      <c r="C24" s="21"/>
      <c r="D24" s="21"/>
      <c r="E24" s="22"/>
      <c r="F24" s="24" t="s">
        <v>33</v>
      </c>
      <c r="G24" s="218" t="s">
        <v>292</v>
      </c>
      <c r="H24" s="218"/>
      <c r="I24" s="218"/>
      <c r="J24" s="218"/>
      <c r="K24" s="218"/>
    </row>
    <row r="25" spans="1:11" ht="21.9" customHeight="1" x14ac:dyDescent="0.25">
      <c r="A25" s="18"/>
      <c r="B25" s="21"/>
      <c r="C25" s="21"/>
      <c r="D25" s="21"/>
      <c r="E25" s="22"/>
      <c r="F25" s="24" t="s">
        <v>34</v>
      </c>
      <c r="G25" s="218" t="s">
        <v>293</v>
      </c>
      <c r="H25" s="218"/>
      <c r="I25" s="23" t="s">
        <v>294</v>
      </c>
      <c r="J25" s="24"/>
      <c r="K25" s="24"/>
    </row>
    <row r="26" spans="1:11" ht="21.9" customHeight="1" x14ac:dyDescent="0.25">
      <c r="A26" s="18"/>
      <c r="B26" s="18"/>
      <c r="C26" s="18"/>
      <c r="D26" s="34" t="s">
        <v>35</v>
      </c>
      <c r="E26" s="29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7.399999999999999" x14ac:dyDescent="0.4"/>
  <cols>
    <col min="1" max="1" width="29.19921875" style="35" bestFit="1" customWidth="1"/>
    <col min="2" max="2" width="18.59765625" style="35" customWidth="1"/>
    <col min="3" max="3" width="9" style="35"/>
    <col min="4" max="4" width="12.3984375" style="35" bestFit="1" customWidth="1"/>
    <col min="5" max="5" width="8.59765625" style="35" customWidth="1"/>
    <col min="6" max="6" width="15.59765625" style="35" customWidth="1"/>
    <col min="7" max="7" width="13.59765625" style="35" customWidth="1"/>
  </cols>
  <sheetData>
    <row r="1" spans="1:7" ht="69.900000000000006" customHeight="1" x14ac:dyDescent="0.4">
      <c r="A1" s="219" t="s">
        <v>80</v>
      </c>
      <c r="B1" s="220"/>
      <c r="C1" s="220"/>
      <c r="D1" s="220"/>
      <c r="E1" s="220"/>
      <c r="F1" s="220"/>
      <c r="G1" s="220"/>
    </row>
    <row r="2" spans="1:7" ht="39.9" customHeight="1" thickBot="1" x14ac:dyDescent="0.45">
      <c r="A2" s="39" t="s">
        <v>81</v>
      </c>
      <c r="G2" s="40" t="s">
        <v>82</v>
      </c>
    </row>
    <row r="3" spans="1:7" ht="27.9" customHeight="1" x14ac:dyDescent="0.4">
      <c r="A3" s="221" t="s">
        <v>83</v>
      </c>
      <c r="B3" s="223" t="s">
        <v>84</v>
      </c>
      <c r="C3" s="223" t="s">
        <v>85</v>
      </c>
      <c r="D3" s="223" t="s">
        <v>86</v>
      </c>
      <c r="E3" s="223" t="s">
        <v>87</v>
      </c>
      <c r="F3" s="223"/>
      <c r="G3" s="225"/>
    </row>
    <row r="4" spans="1:7" ht="27.9" customHeight="1" x14ac:dyDescent="0.4">
      <c r="A4" s="222"/>
      <c r="B4" s="224"/>
      <c r="C4" s="224"/>
      <c r="D4" s="224"/>
      <c r="E4" s="41" t="s">
        <v>88</v>
      </c>
      <c r="F4" s="41" t="s">
        <v>89</v>
      </c>
      <c r="G4" s="42" t="s">
        <v>90</v>
      </c>
    </row>
    <row r="5" spans="1:7" ht="27.9" customHeight="1" x14ac:dyDescent="0.4">
      <c r="A5" s="43" t="s">
        <v>91</v>
      </c>
      <c r="B5" s="44" t="s">
        <v>92</v>
      </c>
      <c r="C5" s="44" t="s">
        <v>93</v>
      </c>
      <c r="D5" s="45">
        <v>1400000</v>
      </c>
      <c r="E5" s="44">
        <v>1</v>
      </c>
      <c r="F5" s="45">
        <f>D5*E5</f>
        <v>1400000</v>
      </c>
      <c r="G5" s="46"/>
    </row>
    <row r="6" spans="1:7" ht="27.9" customHeight="1" x14ac:dyDescent="0.4">
      <c r="A6" s="43" t="s">
        <v>91</v>
      </c>
      <c r="B6" s="44" t="s">
        <v>94</v>
      </c>
      <c r="C6" s="44" t="s">
        <v>95</v>
      </c>
      <c r="D6" s="45">
        <v>1200000</v>
      </c>
      <c r="E6" s="44"/>
      <c r="F6" s="45">
        <f t="shared" ref="F6:F11" si="0">D6*E6</f>
        <v>0</v>
      </c>
      <c r="G6" s="46"/>
    </row>
    <row r="7" spans="1:7" ht="27.9" customHeight="1" x14ac:dyDescent="0.4">
      <c r="A7" s="43" t="s">
        <v>96</v>
      </c>
      <c r="B7" s="44" t="s">
        <v>97</v>
      </c>
      <c r="C7" s="44" t="s">
        <v>95</v>
      </c>
      <c r="D7" s="45">
        <v>1000000</v>
      </c>
      <c r="E7" s="44"/>
      <c r="F7" s="45">
        <f t="shared" si="0"/>
        <v>0</v>
      </c>
      <c r="G7" s="46"/>
    </row>
    <row r="8" spans="1:7" ht="27.9" customHeight="1" x14ac:dyDescent="0.4">
      <c r="A8" s="43" t="s">
        <v>98</v>
      </c>
      <c r="B8" s="44" t="s">
        <v>99</v>
      </c>
      <c r="C8" s="44" t="s">
        <v>100</v>
      </c>
      <c r="D8" s="45">
        <v>900000</v>
      </c>
      <c r="E8" s="44"/>
      <c r="F8" s="45">
        <f t="shared" si="0"/>
        <v>0</v>
      </c>
      <c r="G8" s="46"/>
    </row>
    <row r="9" spans="1:7" ht="27.9" customHeight="1" x14ac:dyDescent="0.4">
      <c r="A9" s="43" t="s">
        <v>96</v>
      </c>
      <c r="B9" s="44" t="s">
        <v>101</v>
      </c>
      <c r="C9" s="44" t="s">
        <v>93</v>
      </c>
      <c r="D9" s="45">
        <v>800000</v>
      </c>
      <c r="E9" s="44"/>
      <c r="F9" s="45">
        <f t="shared" si="0"/>
        <v>0</v>
      </c>
      <c r="G9" s="46"/>
    </row>
    <row r="10" spans="1:7" ht="27.9" customHeight="1" x14ac:dyDescent="0.4">
      <c r="A10" s="43" t="s">
        <v>102</v>
      </c>
      <c r="B10" s="44" t="s">
        <v>103</v>
      </c>
      <c r="C10" s="44" t="s">
        <v>93</v>
      </c>
      <c r="D10" s="45">
        <v>700000</v>
      </c>
      <c r="E10" s="44"/>
      <c r="F10" s="45">
        <f t="shared" si="0"/>
        <v>0</v>
      </c>
      <c r="G10" s="46"/>
    </row>
    <row r="11" spans="1:7" ht="27.9" customHeight="1" x14ac:dyDescent="0.4">
      <c r="A11" s="43" t="s">
        <v>104</v>
      </c>
      <c r="B11" s="44" t="s">
        <v>105</v>
      </c>
      <c r="C11" s="44" t="s">
        <v>106</v>
      </c>
      <c r="D11" s="45">
        <v>600000</v>
      </c>
      <c r="E11" s="44"/>
      <c r="F11" s="45">
        <f t="shared" si="0"/>
        <v>0</v>
      </c>
      <c r="G11" s="46"/>
    </row>
    <row r="12" spans="1:7" ht="27.9" customHeight="1" x14ac:dyDescent="0.4">
      <c r="A12" s="43"/>
      <c r="B12" s="44"/>
      <c r="C12" s="44"/>
      <c r="D12" s="44"/>
      <c r="E12" s="44"/>
      <c r="F12" s="44"/>
      <c r="G12" s="46"/>
    </row>
    <row r="13" spans="1:7" ht="27.9" customHeight="1" x14ac:dyDescent="0.4">
      <c r="A13" s="43" t="s">
        <v>107</v>
      </c>
      <c r="B13" s="44"/>
      <c r="C13" s="44"/>
      <c r="D13" s="44"/>
      <c r="E13" s="47">
        <v>0.01</v>
      </c>
      <c r="F13" s="45">
        <f>SUM(F5:F11)*E13</f>
        <v>14000</v>
      </c>
      <c r="G13" s="46"/>
    </row>
    <row r="14" spans="1:7" ht="27.9" customHeight="1" x14ac:dyDescent="0.4">
      <c r="A14" s="43"/>
      <c r="B14" s="44"/>
      <c r="C14" s="44"/>
      <c r="D14" s="44"/>
      <c r="E14" s="44"/>
      <c r="F14" s="44"/>
      <c r="G14" s="46"/>
    </row>
    <row r="15" spans="1:7" ht="27.9" customHeight="1" thickBot="1" x14ac:dyDescent="0.45">
      <c r="A15" s="48" t="s">
        <v>108</v>
      </c>
      <c r="B15" s="49"/>
      <c r="C15" s="49"/>
      <c r="D15" s="49"/>
      <c r="E15" s="49">
        <f>SUM(E5:E11)</f>
        <v>1</v>
      </c>
      <c r="F15" s="51">
        <f>SUM(F5:F13)</f>
        <v>1414000</v>
      </c>
      <c r="G15" s="50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3ADE-E2D6-4136-A5D5-7AE6A68A2D02}">
  <dimension ref="A1:L46"/>
  <sheetViews>
    <sheetView topLeftCell="A13" zoomScale="85" zoomScaleNormal="85" zoomScaleSheetLayoutView="80" workbookViewId="0">
      <selection activeCell="I15" sqref="I15"/>
    </sheetView>
  </sheetViews>
  <sheetFormatPr defaultColWidth="9" defaultRowHeight="17.399999999999999" x14ac:dyDescent="0.4"/>
  <cols>
    <col min="1" max="1" width="25.59765625" style="18" customWidth="1"/>
    <col min="2" max="2" width="20.19921875" style="18" customWidth="1"/>
    <col min="3" max="3" width="7.3984375" style="18" customWidth="1"/>
    <col min="4" max="4" width="10.59765625" style="129" customWidth="1"/>
    <col min="5" max="5" width="9.8984375" style="18" customWidth="1"/>
    <col min="6" max="6" width="17.69921875" style="18" customWidth="1"/>
    <col min="7" max="7" width="15.59765625" style="18" customWidth="1"/>
    <col min="8" max="8" width="9" style="18"/>
    <col min="9" max="9" width="15.59765625" style="29" customWidth="1"/>
    <col min="10" max="10" width="7" style="18" bestFit="1" customWidth="1"/>
    <col min="11" max="11" width="14.19921875" style="18" bestFit="1" customWidth="1"/>
    <col min="12" max="12" width="35.69921875" style="18" customWidth="1"/>
    <col min="13" max="16384" width="9" style="18"/>
  </cols>
  <sheetData>
    <row r="1" spans="1:12" ht="69" customHeight="1" x14ac:dyDescent="0.4">
      <c r="A1" s="226" t="s">
        <v>333</v>
      </c>
      <c r="B1" s="226"/>
      <c r="C1" s="226"/>
      <c r="D1" s="226"/>
      <c r="E1" s="226"/>
      <c r="F1" s="226"/>
      <c r="G1" s="226"/>
    </row>
    <row r="2" spans="1:12" ht="39.75" customHeight="1" thickBot="1" x14ac:dyDescent="0.45">
      <c r="A2" s="182" t="str">
        <f>집계장!B2</f>
        <v>P4 Ph2 GAS&amp;PCW 1공구</v>
      </c>
      <c r="B2" s="171"/>
      <c r="C2" s="171"/>
      <c r="D2" s="171"/>
      <c r="E2" s="170"/>
      <c r="F2" s="169"/>
      <c r="G2" s="169" t="s">
        <v>332</v>
      </c>
    </row>
    <row r="3" spans="1:12" ht="27.9" customHeight="1" x14ac:dyDescent="0.4">
      <c r="A3" s="227" t="s">
        <v>331</v>
      </c>
      <c r="B3" s="229" t="s">
        <v>330</v>
      </c>
      <c r="C3" s="229" t="s">
        <v>329</v>
      </c>
      <c r="D3" s="231" t="s">
        <v>328</v>
      </c>
      <c r="E3" s="231" t="s">
        <v>327</v>
      </c>
      <c r="F3" s="231"/>
      <c r="G3" s="233" t="s">
        <v>326</v>
      </c>
    </row>
    <row r="4" spans="1:12" ht="27.9" customHeight="1" x14ac:dyDescent="0.4">
      <c r="A4" s="228"/>
      <c r="B4" s="230"/>
      <c r="C4" s="230"/>
      <c r="D4" s="232"/>
      <c r="E4" s="168" t="s">
        <v>325</v>
      </c>
      <c r="F4" s="168" t="s">
        <v>324</v>
      </c>
      <c r="G4" s="234"/>
    </row>
    <row r="5" spans="1:12" ht="27.9" customHeight="1" x14ac:dyDescent="0.4">
      <c r="A5" s="162" t="s">
        <v>322</v>
      </c>
      <c r="B5" s="150" t="s">
        <v>323</v>
      </c>
      <c r="C5" s="150" t="s">
        <v>312</v>
      </c>
      <c r="D5" s="147">
        <v>1400000</v>
      </c>
      <c r="E5" s="142">
        <v>8</v>
      </c>
      <c r="F5" s="142">
        <f t="shared" ref="F5:F11" si="0">D5*E5</f>
        <v>11200000</v>
      </c>
      <c r="G5" s="167"/>
    </row>
    <row r="6" spans="1:12" ht="27.9" customHeight="1" x14ac:dyDescent="0.4">
      <c r="A6" s="162" t="s">
        <v>322</v>
      </c>
      <c r="B6" s="150" t="s">
        <v>321</v>
      </c>
      <c r="C6" s="150" t="s">
        <v>312</v>
      </c>
      <c r="D6" s="147">
        <v>1200000</v>
      </c>
      <c r="E6" s="142">
        <v>2</v>
      </c>
      <c r="F6" s="142">
        <f t="shared" si="0"/>
        <v>2400000</v>
      </c>
      <c r="G6" s="166" t="s">
        <v>318</v>
      </c>
    </row>
    <row r="7" spans="1:12" ht="27.9" customHeight="1" x14ac:dyDescent="0.4">
      <c r="A7" s="162" t="s">
        <v>316</v>
      </c>
      <c r="B7" s="150" t="s">
        <v>320</v>
      </c>
      <c r="C7" s="150" t="s">
        <v>312</v>
      </c>
      <c r="D7" s="147">
        <v>1000000</v>
      </c>
      <c r="E7" s="142">
        <v>6</v>
      </c>
      <c r="F7" s="142">
        <f t="shared" si="0"/>
        <v>6000000</v>
      </c>
      <c r="G7" s="163" t="s">
        <v>318</v>
      </c>
    </row>
    <row r="8" spans="1:12" ht="27.9" customHeight="1" x14ac:dyDescent="0.4">
      <c r="A8" s="162" t="s">
        <v>316</v>
      </c>
      <c r="B8" s="150" t="s">
        <v>319</v>
      </c>
      <c r="C8" s="150" t="s">
        <v>312</v>
      </c>
      <c r="D8" s="147">
        <v>900000</v>
      </c>
      <c r="E8" s="142">
        <v>1</v>
      </c>
      <c r="F8" s="142">
        <f t="shared" si="0"/>
        <v>900000</v>
      </c>
      <c r="G8" s="163" t="s">
        <v>318</v>
      </c>
    </row>
    <row r="9" spans="1:12" ht="27.9" customHeight="1" x14ac:dyDescent="0.4">
      <c r="A9" s="162" t="s">
        <v>316</v>
      </c>
      <c r="B9" s="150" t="s">
        <v>317</v>
      </c>
      <c r="C9" s="150" t="s">
        <v>312</v>
      </c>
      <c r="D9" s="147">
        <v>800000</v>
      </c>
      <c r="E9" s="142">
        <v>4</v>
      </c>
      <c r="F9" s="142">
        <f t="shared" si="0"/>
        <v>3200000</v>
      </c>
      <c r="G9" s="165"/>
      <c r="K9" s="29"/>
      <c r="L9" s="164"/>
    </row>
    <row r="10" spans="1:12" ht="27.9" customHeight="1" x14ac:dyDescent="0.4">
      <c r="A10" s="162" t="s">
        <v>316</v>
      </c>
      <c r="B10" s="150" t="s">
        <v>315</v>
      </c>
      <c r="C10" s="150" t="s">
        <v>312</v>
      </c>
      <c r="D10" s="147">
        <v>700000</v>
      </c>
      <c r="E10" s="142">
        <v>9</v>
      </c>
      <c r="F10" s="142">
        <f t="shared" si="0"/>
        <v>6300000</v>
      </c>
      <c r="G10" s="163"/>
    </row>
    <row r="11" spans="1:12" ht="27.9" customHeight="1" x14ac:dyDescent="0.4">
      <c r="A11" s="162" t="s">
        <v>314</v>
      </c>
      <c r="B11" s="150" t="s">
        <v>313</v>
      </c>
      <c r="C11" s="150" t="s">
        <v>312</v>
      </c>
      <c r="D11" s="147">
        <v>600000</v>
      </c>
      <c r="E11" s="142"/>
      <c r="F11" s="142">
        <f t="shared" si="0"/>
        <v>0</v>
      </c>
      <c r="G11" s="141"/>
    </row>
    <row r="12" spans="1:12" ht="27.9" customHeight="1" x14ac:dyDescent="0.4">
      <c r="A12" s="156"/>
      <c r="B12" s="150"/>
      <c r="C12" s="150"/>
      <c r="D12" s="147"/>
      <c r="E12" s="142"/>
      <c r="F12" s="142"/>
      <c r="G12" s="141"/>
    </row>
    <row r="13" spans="1:12" ht="27.9" customHeight="1" x14ac:dyDescent="0.4">
      <c r="A13" s="161"/>
      <c r="B13" s="150"/>
      <c r="C13" s="150"/>
      <c r="D13" s="155"/>
      <c r="E13" s="160"/>
      <c r="F13" s="159"/>
      <c r="G13" s="141"/>
      <c r="J13" s="158"/>
      <c r="K13" s="29"/>
      <c r="L13" s="157"/>
    </row>
    <row r="14" spans="1:12" ht="27.9" customHeight="1" x14ac:dyDescent="0.4">
      <c r="A14" s="156"/>
      <c r="B14" s="150"/>
      <c r="C14" s="150"/>
      <c r="D14" s="155"/>
      <c r="E14" s="142"/>
      <c r="F14" s="142"/>
      <c r="G14" s="141"/>
      <c r="K14" s="29"/>
    </row>
    <row r="15" spans="1:12" ht="27.9" customHeight="1" x14ac:dyDescent="0.4">
      <c r="A15" s="156"/>
      <c r="B15" s="151"/>
      <c r="C15" s="150"/>
      <c r="D15" s="155"/>
      <c r="E15" s="142"/>
      <c r="F15" s="142"/>
      <c r="G15" s="141"/>
      <c r="K15" s="29"/>
    </row>
    <row r="16" spans="1:12" ht="27.9" customHeight="1" x14ac:dyDescent="0.4">
      <c r="A16" s="156"/>
      <c r="B16" s="151"/>
      <c r="C16" s="150"/>
      <c r="D16" s="155"/>
      <c r="E16" s="142"/>
      <c r="F16" s="142"/>
      <c r="G16" s="141"/>
    </row>
    <row r="17" spans="1:7" ht="27.9" customHeight="1" x14ac:dyDescent="0.4">
      <c r="A17" s="156"/>
      <c r="B17" s="151"/>
      <c r="C17" s="150"/>
      <c r="D17" s="155"/>
      <c r="E17" s="142"/>
      <c r="F17" s="142"/>
      <c r="G17" s="141"/>
    </row>
    <row r="18" spans="1:7" ht="27.9" customHeight="1" x14ac:dyDescent="0.4">
      <c r="A18" s="154"/>
      <c r="B18" s="148"/>
      <c r="C18" s="147"/>
      <c r="D18" s="142"/>
      <c r="E18" s="142"/>
      <c r="F18" s="142"/>
      <c r="G18" s="141"/>
    </row>
    <row r="19" spans="1:7" ht="27.9" customHeight="1" x14ac:dyDescent="0.4">
      <c r="A19" s="153"/>
      <c r="B19" s="148"/>
      <c r="C19" s="150"/>
      <c r="D19" s="146"/>
      <c r="E19" s="142"/>
      <c r="F19" s="142"/>
      <c r="G19" s="141"/>
    </row>
    <row r="20" spans="1:7" ht="27.9" customHeight="1" x14ac:dyDescent="0.4">
      <c r="A20" s="153"/>
      <c r="B20" s="148"/>
      <c r="C20" s="150"/>
      <c r="D20" s="146"/>
      <c r="E20" s="142"/>
      <c r="F20" s="142"/>
      <c r="G20" s="141"/>
    </row>
    <row r="21" spans="1:7" ht="27.9" customHeight="1" x14ac:dyDescent="0.4">
      <c r="A21" s="152"/>
      <c r="B21" s="151"/>
      <c r="C21" s="150"/>
      <c r="D21" s="146"/>
      <c r="E21" s="142"/>
      <c r="F21" s="142"/>
      <c r="G21" s="141"/>
    </row>
    <row r="22" spans="1:7" ht="27.9" customHeight="1" x14ac:dyDescent="0.4">
      <c r="A22" s="152"/>
      <c r="B22" s="151"/>
      <c r="C22" s="150"/>
      <c r="D22" s="146"/>
      <c r="E22" s="142"/>
      <c r="F22" s="142"/>
      <c r="G22" s="141"/>
    </row>
    <row r="23" spans="1:7" ht="27.9" customHeight="1" x14ac:dyDescent="0.4">
      <c r="A23" s="149"/>
      <c r="B23" s="148"/>
      <c r="C23" s="147"/>
      <c r="D23" s="146"/>
      <c r="E23" s="142"/>
      <c r="F23" s="142"/>
      <c r="G23" s="141"/>
    </row>
    <row r="24" spans="1:7" ht="27.9" customHeight="1" x14ac:dyDescent="0.4">
      <c r="A24" s="152"/>
      <c r="B24" s="151"/>
      <c r="C24" s="150"/>
      <c r="D24" s="146"/>
      <c r="E24" s="142"/>
      <c r="F24" s="142"/>
      <c r="G24" s="141"/>
    </row>
    <row r="25" spans="1:7" ht="27.9" customHeight="1" x14ac:dyDescent="0.4">
      <c r="A25" s="149"/>
      <c r="B25" s="148"/>
      <c r="C25" s="147"/>
      <c r="D25" s="146"/>
      <c r="E25" s="142"/>
      <c r="F25" s="142"/>
      <c r="G25" s="141"/>
    </row>
    <row r="26" spans="1:7" ht="27.9" customHeight="1" x14ac:dyDescent="0.4">
      <c r="A26" s="145"/>
      <c r="B26" s="144"/>
      <c r="C26" s="143"/>
      <c r="D26" s="143"/>
      <c r="E26" s="142"/>
      <c r="F26" s="142"/>
      <c r="G26" s="141"/>
    </row>
    <row r="27" spans="1:7" ht="27.9" customHeight="1" thickBot="1" x14ac:dyDescent="0.45">
      <c r="A27" s="140" t="s">
        <v>311</v>
      </c>
      <c r="B27" s="139"/>
      <c r="C27" s="138"/>
      <c r="D27" s="137"/>
      <c r="E27" s="136">
        <f>SUM(E5:E11)</f>
        <v>30</v>
      </c>
      <c r="F27" s="135">
        <f>SUM(F5:F26)</f>
        <v>30000000</v>
      </c>
      <c r="G27" s="134"/>
    </row>
    <row r="28" spans="1:7" ht="14.4" x14ac:dyDescent="0.4">
      <c r="A28" s="133"/>
      <c r="B28" s="132"/>
      <c r="C28" s="131"/>
      <c r="D28" s="131"/>
    </row>
    <row r="29" spans="1:7" ht="14.4" x14ac:dyDescent="0.4">
      <c r="A29" s="131"/>
      <c r="B29" s="131"/>
      <c r="C29" s="131"/>
      <c r="D29" s="131"/>
    </row>
    <row r="30" spans="1:7" s="29" customFormat="1" ht="14.4" x14ac:dyDescent="0.4">
      <c r="A30" s="131"/>
      <c r="B30" s="131"/>
      <c r="C30" s="131"/>
      <c r="D30" s="131"/>
      <c r="E30" s="18"/>
      <c r="F30" s="18"/>
      <c r="G30" s="18"/>
    </row>
    <row r="31" spans="1:7" s="29" customFormat="1" ht="14.4" x14ac:dyDescent="0.4">
      <c r="A31" s="131"/>
      <c r="B31" s="131"/>
      <c r="C31" s="131"/>
      <c r="D31" s="131"/>
      <c r="E31" s="18"/>
      <c r="F31" s="18"/>
      <c r="G31" s="18"/>
    </row>
    <row r="32" spans="1:7" s="29" customFormat="1" ht="14.4" x14ac:dyDescent="0.4">
      <c r="A32" s="131"/>
      <c r="B32" s="131"/>
      <c r="C32" s="131"/>
      <c r="D32" s="131"/>
      <c r="E32" s="18"/>
      <c r="F32" s="18"/>
      <c r="G32" s="18"/>
    </row>
    <row r="33" spans="1:7" s="29" customFormat="1" ht="14.4" x14ac:dyDescent="0.4">
      <c r="A33" s="130"/>
      <c r="B33" s="130"/>
      <c r="C33" s="130"/>
      <c r="D33" s="130"/>
      <c r="E33" s="18"/>
      <c r="F33" s="18"/>
      <c r="G33" s="18"/>
    </row>
    <row r="34" spans="1:7" s="29" customFormat="1" ht="14.4" x14ac:dyDescent="0.4">
      <c r="A34" s="130"/>
      <c r="B34" s="130"/>
      <c r="C34" s="130"/>
      <c r="D34" s="130"/>
      <c r="E34" s="18"/>
      <c r="F34" s="18"/>
      <c r="G34" s="18"/>
    </row>
    <row r="35" spans="1:7" s="29" customFormat="1" ht="14.4" x14ac:dyDescent="0.4">
      <c r="A35" s="130"/>
      <c r="B35" s="130"/>
      <c r="C35" s="130"/>
      <c r="D35" s="130"/>
      <c r="E35" s="18"/>
      <c r="F35" s="18"/>
      <c r="G35" s="18"/>
    </row>
    <row r="36" spans="1:7" s="29" customFormat="1" ht="14.4" x14ac:dyDescent="0.4">
      <c r="A36" s="130"/>
      <c r="B36" s="130"/>
      <c r="C36" s="130"/>
      <c r="D36" s="130"/>
      <c r="E36" s="18"/>
      <c r="F36" s="18"/>
      <c r="G36" s="18"/>
    </row>
    <row r="37" spans="1:7" s="29" customFormat="1" ht="14.4" x14ac:dyDescent="0.4">
      <c r="A37" s="130"/>
      <c r="B37" s="130"/>
      <c r="C37" s="130"/>
      <c r="D37" s="130"/>
      <c r="E37" s="18"/>
      <c r="F37" s="18"/>
      <c r="G37" s="18"/>
    </row>
    <row r="38" spans="1:7" s="29" customFormat="1" ht="14.4" x14ac:dyDescent="0.4">
      <c r="A38" s="130"/>
      <c r="B38" s="130"/>
      <c r="C38" s="130"/>
      <c r="D38" s="130"/>
      <c r="E38" s="18"/>
      <c r="F38" s="18"/>
      <c r="G38" s="18"/>
    </row>
    <row r="39" spans="1:7" s="29" customFormat="1" ht="14.4" x14ac:dyDescent="0.4">
      <c r="A39" s="130"/>
      <c r="B39" s="18"/>
      <c r="C39" s="130"/>
      <c r="D39" s="130"/>
      <c r="E39" s="18"/>
      <c r="F39" s="18"/>
      <c r="G39" s="18"/>
    </row>
    <row r="40" spans="1:7" s="29" customFormat="1" ht="14.4" x14ac:dyDescent="0.4">
      <c r="A40" s="130"/>
      <c r="B40" s="18"/>
      <c r="C40" s="130"/>
      <c r="D40" s="130"/>
      <c r="E40" s="18"/>
      <c r="F40" s="18"/>
      <c r="G40" s="18"/>
    </row>
    <row r="41" spans="1:7" s="29" customFormat="1" ht="14.4" x14ac:dyDescent="0.4">
      <c r="A41" s="130"/>
      <c r="B41" s="18"/>
      <c r="C41" s="130"/>
      <c r="D41" s="130"/>
      <c r="E41" s="18"/>
      <c r="F41" s="18"/>
      <c r="G41" s="18"/>
    </row>
    <row r="42" spans="1:7" s="29" customFormat="1" ht="14.4" x14ac:dyDescent="0.4">
      <c r="A42" s="130"/>
      <c r="B42" s="18"/>
      <c r="C42" s="130"/>
      <c r="D42" s="130"/>
      <c r="E42" s="18"/>
      <c r="F42" s="18"/>
      <c r="G42" s="18"/>
    </row>
    <row r="43" spans="1:7" s="29" customFormat="1" ht="14.4" x14ac:dyDescent="0.4">
      <c r="A43" s="130"/>
      <c r="B43" s="18"/>
      <c r="C43" s="130"/>
      <c r="D43" s="130"/>
      <c r="E43" s="18"/>
      <c r="F43" s="18"/>
      <c r="G43" s="18"/>
    </row>
    <row r="44" spans="1:7" s="29" customFormat="1" ht="14.4" x14ac:dyDescent="0.4">
      <c r="A44" s="18"/>
      <c r="B44" s="18"/>
      <c r="C44" s="130"/>
      <c r="D44" s="130"/>
      <c r="E44" s="18"/>
      <c r="F44" s="18"/>
      <c r="G44" s="18"/>
    </row>
    <row r="45" spans="1:7" s="29" customFormat="1" x14ac:dyDescent="0.4">
      <c r="A45" s="18"/>
      <c r="B45" s="18"/>
      <c r="C45" s="130"/>
      <c r="D45" s="129"/>
      <c r="E45" s="18"/>
      <c r="F45" s="18"/>
      <c r="G45" s="18"/>
    </row>
    <row r="46" spans="1:7" s="29" customFormat="1" x14ac:dyDescent="0.4">
      <c r="A46" s="18"/>
      <c r="B46" s="18"/>
      <c r="C46" s="130"/>
      <c r="D46" s="129"/>
      <c r="E46" s="18"/>
      <c r="F46" s="18"/>
      <c r="G46" s="1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O27"/>
  <sheetViews>
    <sheetView view="pageBreakPreview" topLeftCell="A4" zoomScale="85" zoomScaleNormal="70" zoomScaleSheetLayoutView="85" zoomScalePageLayoutView="85" workbookViewId="0">
      <selection activeCell="H18" sqref="H18"/>
    </sheetView>
  </sheetViews>
  <sheetFormatPr defaultRowHeight="17.399999999999999" x14ac:dyDescent="0.4"/>
  <cols>
    <col min="2" max="2" width="21.59765625" style="52" customWidth="1"/>
    <col min="3" max="3" width="20.59765625" style="52" customWidth="1"/>
    <col min="4" max="4" width="6.59765625" style="52" customWidth="1"/>
    <col min="5" max="5" width="12.09765625" style="52" customWidth="1"/>
    <col min="6" max="6" width="16.59765625" style="52" customWidth="1"/>
    <col min="7" max="10" width="19.59765625" style="52" customWidth="1"/>
    <col min="11" max="11" width="15.59765625" style="52" customWidth="1"/>
    <col min="12" max="13" width="11.59765625" style="52" customWidth="1"/>
    <col min="14" max="15" width="13.59765625" bestFit="1" customWidth="1"/>
  </cols>
  <sheetData>
    <row r="1" spans="2:15" ht="18" thickBot="1" x14ac:dyDescent="0.45"/>
    <row r="2" spans="2:15" ht="39.9" customHeight="1" x14ac:dyDescent="0.4">
      <c r="B2" s="251" t="str">
        <f>'용역청구서 표지'!$B$7</f>
        <v>P4 Ph2 GAS&amp;PCW 1공구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3"/>
    </row>
    <row r="3" spans="2:15" ht="20.100000000000001" customHeight="1" x14ac:dyDescent="0.35">
      <c r="B3" s="185"/>
      <c r="K3" s="186"/>
      <c r="M3" s="187" t="str">
        <f>'용역청구서 표지'!$C$15</f>
        <v>대성이엔지</v>
      </c>
    </row>
    <row r="4" spans="2:15" ht="30" customHeight="1" x14ac:dyDescent="0.4">
      <c r="B4" s="188" t="s">
        <v>109</v>
      </c>
      <c r="C4" s="173" t="s">
        <v>110</v>
      </c>
      <c r="D4" s="173" t="s">
        <v>111</v>
      </c>
      <c r="E4" s="173" t="s">
        <v>112</v>
      </c>
      <c r="F4" s="173" t="s">
        <v>113</v>
      </c>
      <c r="G4" s="174" t="s">
        <v>114</v>
      </c>
      <c r="H4" s="53" t="s">
        <v>115</v>
      </c>
      <c r="I4" s="173" t="s">
        <v>116</v>
      </c>
      <c r="J4" s="54" t="s">
        <v>117</v>
      </c>
      <c r="K4" s="254" t="s">
        <v>118</v>
      </c>
      <c r="L4" s="254"/>
      <c r="M4" s="255"/>
    </row>
    <row r="5" spans="2:15" ht="30" customHeight="1" x14ac:dyDescent="0.4">
      <c r="B5" s="189" t="s">
        <v>119</v>
      </c>
      <c r="C5" s="55" t="s">
        <v>120</v>
      </c>
      <c r="D5" s="44" t="s">
        <v>121</v>
      </c>
      <c r="E5" s="120">
        <f>SUM('물량 내역서'!$J$6:$J$28)</f>
        <v>1094</v>
      </c>
      <c r="F5" s="45">
        <f>G5/E5</f>
        <v>475000</v>
      </c>
      <c r="G5" s="56">
        <f>SUM('물량 내역서'!$K$6:$K$28)</f>
        <v>519650000</v>
      </c>
      <c r="H5" s="57">
        <v>4371662500</v>
      </c>
      <c r="I5" s="45">
        <f>G5</f>
        <v>519650000</v>
      </c>
      <c r="J5" s="58">
        <f>H5+I5</f>
        <v>4891312500</v>
      </c>
      <c r="K5" s="235"/>
      <c r="L5" s="236"/>
      <c r="M5" s="237"/>
    </row>
    <row r="6" spans="2:15" ht="30" customHeight="1" x14ac:dyDescent="0.4">
      <c r="B6" s="190"/>
      <c r="C6" s="55" t="s">
        <v>122</v>
      </c>
      <c r="D6" s="44" t="s">
        <v>123</v>
      </c>
      <c r="E6" s="45">
        <f>SUM('물량 내역서'!$J$29:$J$51)</f>
        <v>0</v>
      </c>
      <c r="F6" s="45" t="e">
        <f>G6/E6</f>
        <v>#DIV/0!</v>
      </c>
      <c r="G6" s="56">
        <f>SUM('물량 내역서'!$K$29:$K$51)</f>
        <v>0</v>
      </c>
      <c r="H6" s="57">
        <v>0</v>
      </c>
      <c r="I6" s="45">
        <f t="shared" ref="I6:I21" si="0">G6</f>
        <v>0</v>
      </c>
      <c r="J6" s="58">
        <f t="shared" ref="J6:J8" si="1">H6+I6</f>
        <v>0</v>
      </c>
      <c r="K6" s="235"/>
      <c r="L6" s="236"/>
      <c r="M6" s="237"/>
    </row>
    <row r="7" spans="2:15" ht="30" customHeight="1" x14ac:dyDescent="0.4">
      <c r="B7" s="191"/>
      <c r="C7" s="55" t="s">
        <v>124</v>
      </c>
      <c r="D7" s="44" t="s">
        <v>125</v>
      </c>
      <c r="E7" s="59">
        <f>'근로내역 (09월)'!AN162</f>
        <v>0</v>
      </c>
      <c r="F7" s="45">
        <v>0</v>
      </c>
      <c r="G7" s="56">
        <f>E7*F7</f>
        <v>0</v>
      </c>
      <c r="H7" s="57">
        <v>0</v>
      </c>
      <c r="I7" s="45">
        <f t="shared" si="0"/>
        <v>0</v>
      </c>
      <c r="J7" s="58">
        <f t="shared" si="1"/>
        <v>0</v>
      </c>
      <c r="K7" s="235"/>
      <c r="L7" s="236"/>
      <c r="M7" s="237"/>
    </row>
    <row r="8" spans="2:15" ht="30" customHeight="1" x14ac:dyDescent="0.4">
      <c r="B8" s="191" t="s">
        <v>1003</v>
      </c>
      <c r="C8" s="207">
        <v>0.08</v>
      </c>
      <c r="D8" s="44" t="s">
        <v>126</v>
      </c>
      <c r="E8" s="59"/>
      <c r="F8" s="45"/>
      <c r="G8" s="56">
        <f>ROUND(G5*$C$8,)</f>
        <v>41572000</v>
      </c>
      <c r="H8" s="57">
        <v>349733000</v>
      </c>
      <c r="I8" s="45">
        <f t="shared" si="0"/>
        <v>41572000</v>
      </c>
      <c r="J8" s="58">
        <f t="shared" si="1"/>
        <v>391305000</v>
      </c>
      <c r="K8" s="235"/>
      <c r="L8" s="236"/>
      <c r="M8" s="237"/>
    </row>
    <row r="9" spans="2:15" ht="30" customHeight="1" x14ac:dyDescent="0.4">
      <c r="B9" s="192" t="s">
        <v>127</v>
      </c>
      <c r="C9" s="242" t="s">
        <v>128</v>
      </c>
      <c r="D9" s="243"/>
      <c r="E9" s="60"/>
      <c r="F9" s="60"/>
      <c r="G9" s="61">
        <f t="shared" ref="G9" si="2">SUM(G5:G8)</f>
        <v>561222000</v>
      </c>
      <c r="H9" s="62">
        <f>SUM(H5:H8)</f>
        <v>4721395500</v>
      </c>
      <c r="I9" s="63">
        <f t="shared" ref="I9:J9" si="3">SUM(I5:I8)</f>
        <v>561222000</v>
      </c>
      <c r="J9" s="64">
        <f t="shared" si="3"/>
        <v>5282617500</v>
      </c>
      <c r="K9" s="244"/>
      <c r="L9" s="245"/>
      <c r="M9" s="246"/>
      <c r="O9" s="19"/>
    </row>
    <row r="10" spans="2:15" ht="30" customHeight="1" x14ac:dyDescent="0.4">
      <c r="B10" s="189" t="s">
        <v>478</v>
      </c>
      <c r="C10" s="55" t="s">
        <v>129</v>
      </c>
      <c r="D10" s="44" t="s">
        <v>130</v>
      </c>
      <c r="E10" s="59">
        <f>'근로내역 (09월)'!AN150</f>
        <v>3892.875</v>
      </c>
      <c r="F10" s="45">
        <f>G10/E10</f>
        <v>197017.62835950294</v>
      </c>
      <c r="G10" s="56">
        <f>'근로내역 (09월)'!AP150</f>
        <v>766965000</v>
      </c>
      <c r="H10" s="57">
        <v>3748363125</v>
      </c>
      <c r="I10" s="45">
        <f>G10</f>
        <v>766965000</v>
      </c>
      <c r="J10" s="58">
        <f>H10+I10</f>
        <v>4515328125</v>
      </c>
      <c r="K10" s="235"/>
      <c r="L10" s="236"/>
      <c r="M10" s="237"/>
    </row>
    <row r="11" spans="2:15" ht="30" customHeight="1" x14ac:dyDescent="0.4">
      <c r="B11" s="189" t="s">
        <v>479</v>
      </c>
      <c r="C11" s="55" t="s">
        <v>131</v>
      </c>
      <c r="D11" s="44" t="s">
        <v>126</v>
      </c>
      <c r="E11" s="44">
        <v>1</v>
      </c>
      <c r="F11" s="45">
        <f>G11/E11</f>
        <v>53718770</v>
      </c>
      <c r="G11" s="56">
        <f>숙소임차료!I3+숙소관리비!I3</f>
        <v>53718770</v>
      </c>
      <c r="H11" s="57">
        <v>277467450</v>
      </c>
      <c r="I11" s="45">
        <f>G11</f>
        <v>53718770</v>
      </c>
      <c r="J11" s="58">
        <f t="shared" ref="J11:J13" si="4">H11+I11</f>
        <v>331186220</v>
      </c>
      <c r="K11" s="235"/>
      <c r="L11" s="236"/>
      <c r="M11" s="237"/>
    </row>
    <row r="12" spans="2:15" ht="30" customHeight="1" x14ac:dyDescent="0.4">
      <c r="B12" s="189"/>
      <c r="C12" s="55" t="s">
        <v>132</v>
      </c>
      <c r="D12" s="44" t="s">
        <v>133</v>
      </c>
      <c r="E12" s="44">
        <v>1</v>
      </c>
      <c r="F12" s="45">
        <f>G12/E12</f>
        <v>50466045</v>
      </c>
      <c r="G12" s="56">
        <f>식대비용!I3</f>
        <v>50466045</v>
      </c>
      <c r="H12" s="57">
        <v>241996500</v>
      </c>
      <c r="I12" s="45">
        <f>G12</f>
        <v>50466045</v>
      </c>
      <c r="J12" s="58">
        <f t="shared" si="4"/>
        <v>292462545</v>
      </c>
      <c r="K12" s="235"/>
      <c r="L12" s="236"/>
      <c r="M12" s="237"/>
    </row>
    <row r="13" spans="2:15" ht="30" customHeight="1" x14ac:dyDescent="0.4">
      <c r="B13" s="189" t="s">
        <v>480</v>
      </c>
      <c r="C13" s="55"/>
      <c r="D13" s="44" t="s">
        <v>126</v>
      </c>
      <c r="E13" s="44"/>
      <c r="F13" s="45">
        <v>0</v>
      </c>
      <c r="G13" s="56">
        <f t="shared" ref="G13" si="5">E13*F13</f>
        <v>0</v>
      </c>
      <c r="H13" s="57"/>
      <c r="I13" s="45">
        <f t="shared" si="0"/>
        <v>0</v>
      </c>
      <c r="J13" s="58">
        <f t="shared" si="4"/>
        <v>0</v>
      </c>
      <c r="K13" s="235"/>
      <c r="L13" s="236"/>
      <c r="M13" s="237"/>
    </row>
    <row r="14" spans="2:15" ht="30" customHeight="1" x14ac:dyDescent="0.4">
      <c r="B14" s="192" t="s">
        <v>134</v>
      </c>
      <c r="C14" s="242" t="s">
        <v>135</v>
      </c>
      <c r="D14" s="243"/>
      <c r="E14" s="60"/>
      <c r="F14" s="60"/>
      <c r="G14" s="61">
        <f>SUM(G10:G13)</f>
        <v>871149815</v>
      </c>
      <c r="H14" s="64">
        <f>SUM(H10:H13)</f>
        <v>4267827075</v>
      </c>
      <c r="I14" s="63">
        <f t="shared" si="0"/>
        <v>871149815</v>
      </c>
      <c r="J14" s="64">
        <f>H14+I14</f>
        <v>5138976890</v>
      </c>
      <c r="K14" s="244"/>
      <c r="L14" s="245"/>
      <c r="M14" s="246"/>
      <c r="N14" s="19">
        <f>+I12+I11</f>
        <v>104184815</v>
      </c>
    </row>
    <row r="15" spans="2:15" ht="30" customHeight="1" x14ac:dyDescent="0.4">
      <c r="B15" s="192" t="s">
        <v>136</v>
      </c>
      <c r="C15" s="242" t="s">
        <v>137</v>
      </c>
      <c r="D15" s="243"/>
      <c r="E15" s="60"/>
      <c r="F15" s="60"/>
      <c r="G15" s="61">
        <f>G9-G14</f>
        <v>-309927815</v>
      </c>
      <c r="H15" s="64">
        <f>H9-H14</f>
        <v>453568425</v>
      </c>
      <c r="I15" s="63">
        <f>G15</f>
        <v>-309927815</v>
      </c>
      <c r="J15" s="64">
        <f>H15+I15</f>
        <v>143640610</v>
      </c>
      <c r="K15" s="244"/>
      <c r="L15" s="245"/>
      <c r="M15" s="246"/>
    </row>
    <row r="16" spans="2:15" ht="30" customHeight="1" x14ac:dyDescent="0.4">
      <c r="B16" s="189" t="s">
        <v>481</v>
      </c>
      <c r="C16" s="55" t="s">
        <v>138</v>
      </c>
      <c r="D16" s="44" t="s">
        <v>126</v>
      </c>
      <c r="E16" s="44"/>
      <c r="F16" s="44"/>
      <c r="G16" s="56">
        <v>-509927815</v>
      </c>
      <c r="H16" s="57">
        <v>323568425</v>
      </c>
      <c r="I16" s="45">
        <f t="shared" si="0"/>
        <v>-509927815</v>
      </c>
      <c r="J16" s="58">
        <f>H16+I16</f>
        <v>-186359390</v>
      </c>
      <c r="K16" s="235"/>
      <c r="L16" s="236"/>
      <c r="M16" s="237"/>
      <c r="O16" s="19"/>
    </row>
    <row r="17" spans="2:13" ht="30" customHeight="1" x14ac:dyDescent="0.4">
      <c r="B17" s="189" t="s">
        <v>482</v>
      </c>
      <c r="C17" s="65" t="s">
        <v>484</v>
      </c>
      <c r="D17" s="44" t="s">
        <v>139</v>
      </c>
      <c r="E17" s="44"/>
      <c r="F17" s="45"/>
      <c r="G17" s="56"/>
      <c r="H17" s="57"/>
      <c r="I17" s="45">
        <f t="shared" ref="I17" si="6">G17</f>
        <v>0</v>
      </c>
      <c r="J17" s="58">
        <f>H17+I17</f>
        <v>0</v>
      </c>
      <c r="K17" s="235"/>
      <c r="L17" s="236"/>
      <c r="M17" s="237"/>
    </row>
    <row r="18" spans="2:13" ht="30" customHeight="1" x14ac:dyDescent="0.4">
      <c r="B18" s="189" t="s">
        <v>483</v>
      </c>
      <c r="C18" s="55" t="s">
        <v>140</v>
      </c>
      <c r="D18" s="44" t="s">
        <v>141</v>
      </c>
      <c r="E18" s="44"/>
      <c r="F18" s="45" t="s">
        <v>754</v>
      </c>
      <c r="G18" s="56"/>
      <c r="H18" s="57"/>
      <c r="I18" s="45">
        <f>G18</f>
        <v>0</v>
      </c>
      <c r="J18" s="58"/>
      <c r="K18" s="235"/>
      <c r="L18" s="236"/>
      <c r="M18" s="237"/>
    </row>
    <row r="19" spans="2:13" ht="30" customHeight="1" x14ac:dyDescent="0.4">
      <c r="B19" s="192" t="s">
        <v>142</v>
      </c>
      <c r="C19" s="242" t="s">
        <v>143</v>
      </c>
      <c r="D19" s="243"/>
      <c r="E19" s="60"/>
      <c r="F19" s="60"/>
      <c r="G19" s="61">
        <f>G15-G16-G17-G18</f>
        <v>200000000</v>
      </c>
      <c r="H19" s="175">
        <f>H15-H16-H17-H18</f>
        <v>130000000</v>
      </c>
      <c r="I19" s="62">
        <f>I15-I16-I17-I18</f>
        <v>200000000</v>
      </c>
      <c r="J19" s="64">
        <f>J15-J16-J17-J18</f>
        <v>330000000</v>
      </c>
      <c r="K19" s="244"/>
      <c r="L19" s="245"/>
      <c r="M19" s="246"/>
    </row>
    <row r="20" spans="2:13" ht="30" customHeight="1" x14ac:dyDescent="0.4">
      <c r="B20" s="247" t="s">
        <v>144</v>
      </c>
      <c r="C20" s="55" t="s">
        <v>145</v>
      </c>
      <c r="D20" s="44" t="s">
        <v>139</v>
      </c>
      <c r="E20" s="44"/>
      <c r="F20" s="44"/>
      <c r="G20" s="56">
        <v>0</v>
      </c>
      <c r="H20" s="57"/>
      <c r="I20" s="200">
        <f>G20</f>
        <v>0</v>
      </c>
      <c r="J20" s="58">
        <f t="shared" ref="J20:J21" si="7">H20+I20</f>
        <v>0</v>
      </c>
      <c r="K20" s="183"/>
      <c r="L20" s="66" t="s">
        <v>146</v>
      </c>
      <c r="M20" s="193" t="s">
        <v>147</v>
      </c>
    </row>
    <row r="21" spans="2:13" ht="30" customHeight="1" x14ac:dyDescent="0.4">
      <c r="B21" s="247"/>
      <c r="C21" s="55" t="s">
        <v>148</v>
      </c>
      <c r="D21" s="44" t="s">
        <v>139</v>
      </c>
      <c r="E21" s="44"/>
      <c r="F21" s="44"/>
      <c r="G21" s="56">
        <f>ROUNDDOWN(G20,-5)</f>
        <v>0</v>
      </c>
      <c r="H21" s="57"/>
      <c r="I21" s="45">
        <f t="shared" si="0"/>
        <v>0</v>
      </c>
      <c r="J21" s="58">
        <f t="shared" si="7"/>
        <v>0</v>
      </c>
      <c r="K21" s="184" t="s">
        <v>149</v>
      </c>
      <c r="L21" s="256"/>
      <c r="M21" s="257"/>
    </row>
    <row r="22" spans="2:13" ht="30" customHeight="1" x14ac:dyDescent="0.4">
      <c r="B22" s="248" t="s">
        <v>150</v>
      </c>
      <c r="C22" s="249"/>
      <c r="D22" s="250"/>
      <c r="E22" s="176"/>
      <c r="F22" s="176"/>
      <c r="G22" s="177">
        <f>G19-G21</f>
        <v>200000000</v>
      </c>
      <c r="H22" s="178">
        <f>H19-H21</f>
        <v>130000000</v>
      </c>
      <c r="I22" s="179">
        <f>G22</f>
        <v>200000000</v>
      </c>
      <c r="J22" s="180">
        <f>H22+I22</f>
        <v>330000000</v>
      </c>
      <c r="K22" s="199"/>
      <c r="L22" s="256"/>
      <c r="M22" s="258"/>
    </row>
    <row r="23" spans="2:13" ht="30" customHeight="1" x14ac:dyDescent="0.4">
      <c r="B23" s="248" t="s">
        <v>151</v>
      </c>
      <c r="C23" s="249"/>
      <c r="D23" s="250"/>
      <c r="E23" s="176"/>
      <c r="F23" s="176"/>
      <c r="G23" s="177">
        <f>ROUNDDOWN(G22,-5)</f>
        <v>200000000</v>
      </c>
      <c r="H23" s="178">
        <f>ROUNDDOWN(H22,-5)</f>
        <v>130000000</v>
      </c>
      <c r="I23" s="179">
        <f>G23</f>
        <v>200000000</v>
      </c>
      <c r="J23" s="178">
        <f>ROUNDDOWN(J22,-5)</f>
        <v>330000000</v>
      </c>
      <c r="K23" s="181" t="s">
        <v>477</v>
      </c>
      <c r="L23" s="256"/>
      <c r="M23" s="259"/>
    </row>
    <row r="24" spans="2:13" ht="30" customHeight="1" x14ac:dyDescent="0.4">
      <c r="B24" s="238" t="s">
        <v>152</v>
      </c>
      <c r="C24" s="239"/>
      <c r="D24" s="240"/>
      <c r="E24" s="239" t="s">
        <v>153</v>
      </c>
      <c r="F24" s="239"/>
      <c r="G24" s="239"/>
      <c r="H24" s="239"/>
      <c r="I24" s="239"/>
      <c r="J24" s="239"/>
      <c r="K24" s="239"/>
      <c r="L24" s="239"/>
      <c r="M24" s="241"/>
    </row>
    <row r="25" spans="2:13" ht="21" customHeight="1" x14ac:dyDescent="0.4">
      <c r="B25" s="194" t="s">
        <v>154</v>
      </c>
      <c r="M25" s="195"/>
    </row>
    <row r="26" spans="2:13" ht="21" customHeight="1" x14ac:dyDescent="0.4">
      <c r="B26" s="194" t="s">
        <v>155</v>
      </c>
      <c r="M26" s="195"/>
    </row>
    <row r="27" spans="2:13" ht="21" customHeight="1" thickBot="1" x14ac:dyDescent="0.45">
      <c r="B27" s="196" t="s">
        <v>156</v>
      </c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8"/>
    </row>
  </sheetData>
  <mergeCells count="28">
    <mergeCell ref="K14:M14"/>
    <mergeCell ref="C15:D15"/>
    <mergeCell ref="L21:L23"/>
    <mergeCell ref="M21:M23"/>
    <mergeCell ref="K15:M15"/>
    <mergeCell ref="K16:M16"/>
    <mergeCell ref="K17:M17"/>
    <mergeCell ref="B2:M2"/>
    <mergeCell ref="K4:M4"/>
    <mergeCell ref="K5:M5"/>
    <mergeCell ref="K6:M6"/>
    <mergeCell ref="K7:M7"/>
    <mergeCell ref="K8:M8"/>
    <mergeCell ref="B24:D24"/>
    <mergeCell ref="E24:M24"/>
    <mergeCell ref="K18:M18"/>
    <mergeCell ref="C19:D19"/>
    <mergeCell ref="K19:M19"/>
    <mergeCell ref="B20:B21"/>
    <mergeCell ref="B22:D22"/>
    <mergeCell ref="B23:D23"/>
    <mergeCell ref="C9:D9"/>
    <mergeCell ref="K9:M9"/>
    <mergeCell ref="K10:M10"/>
    <mergeCell ref="K11:M11"/>
    <mergeCell ref="K12:M12"/>
    <mergeCell ref="K13:M13"/>
    <mergeCell ref="C14:D14"/>
  </mergeCells>
  <phoneticPr fontId="3" type="noConversion"/>
  <pageMargins left="0.7" right="0.7" top="0.48" bottom="0.51" header="0.3" footer="0.3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2"/>
  <sheetViews>
    <sheetView view="pageBreakPreview" zoomScale="85" zoomScaleNormal="70" zoomScaleSheetLayoutView="85" workbookViewId="0">
      <pane ySplit="4" topLeftCell="A41" activePane="bottomLeft" state="frozen"/>
      <selection pane="bottomLeft" activeCell="A2" sqref="A2"/>
    </sheetView>
  </sheetViews>
  <sheetFormatPr defaultRowHeight="17.399999999999999" x14ac:dyDescent="0.4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3.59765625" customWidth="1"/>
    <col min="7" max="7" width="20.59765625" customWidth="1"/>
    <col min="8" max="8" width="13.59765625" customWidth="1"/>
    <col min="9" max="9" width="20.59765625" customWidth="1"/>
    <col min="10" max="10" width="13.59765625" customWidth="1"/>
    <col min="11" max="11" width="20.59765625" customWidth="1"/>
    <col min="12" max="12" width="13.59765625" customWidth="1"/>
    <col min="13" max="13" width="20.59765625" customWidth="1"/>
  </cols>
  <sheetData>
    <row r="1" spans="1:13" ht="37.799999999999997" x14ac:dyDescent="0.4">
      <c r="A1" s="263" t="s">
        <v>968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</row>
    <row r="2" spans="1:13" ht="19.2" x14ac:dyDescent="0.4">
      <c r="A2" s="34" t="str">
        <f>'용역청구서 표지'!$B$7</f>
        <v>P4 Ph2 GAS&amp;PCW 1공구</v>
      </c>
      <c r="M2" s="40" t="s">
        <v>157</v>
      </c>
    </row>
    <row r="3" spans="1:13" ht="27.9" customHeight="1" x14ac:dyDescent="0.4">
      <c r="A3" s="264" t="s">
        <v>158</v>
      </c>
      <c r="B3" s="264" t="s">
        <v>159</v>
      </c>
      <c r="C3" s="264" t="s">
        <v>160</v>
      </c>
      <c r="D3" s="265" t="s">
        <v>161</v>
      </c>
      <c r="E3" s="264" t="s">
        <v>162</v>
      </c>
      <c r="F3" s="264" t="s">
        <v>163</v>
      </c>
      <c r="G3" s="264"/>
      <c r="H3" s="264" t="s">
        <v>164</v>
      </c>
      <c r="I3" s="264"/>
      <c r="J3" s="264" t="s">
        <v>165</v>
      </c>
      <c r="K3" s="264"/>
      <c r="L3" s="264" t="s">
        <v>166</v>
      </c>
      <c r="M3" s="264"/>
    </row>
    <row r="4" spans="1:13" ht="27.9" customHeight="1" x14ac:dyDescent="0.4">
      <c r="A4" s="264"/>
      <c r="B4" s="264"/>
      <c r="C4" s="264"/>
      <c r="D4" s="265"/>
      <c r="E4" s="264"/>
      <c r="F4" s="67" t="s">
        <v>167</v>
      </c>
      <c r="G4" s="67" t="s">
        <v>168</v>
      </c>
      <c r="H4" s="67" t="s">
        <v>167</v>
      </c>
      <c r="I4" s="67" t="s">
        <v>168</v>
      </c>
      <c r="J4" s="67" t="s">
        <v>167</v>
      </c>
      <c r="K4" s="67" t="s">
        <v>169</v>
      </c>
      <c r="L4" s="67" t="s">
        <v>167</v>
      </c>
      <c r="M4" s="67" t="s">
        <v>169</v>
      </c>
    </row>
    <row r="5" spans="1:13" ht="27.9" customHeight="1" x14ac:dyDescent="0.4">
      <c r="A5" s="67"/>
      <c r="B5" s="67"/>
      <c r="C5" s="67"/>
      <c r="D5" s="201"/>
      <c r="E5" s="67"/>
      <c r="F5" s="67"/>
      <c r="G5" s="67"/>
      <c r="H5" s="67"/>
      <c r="I5" s="67"/>
      <c r="J5" s="67"/>
      <c r="K5" s="67"/>
      <c r="L5" s="67"/>
      <c r="M5" s="67"/>
    </row>
    <row r="6" spans="1:13" ht="27.9" customHeight="1" x14ac:dyDescent="0.4">
      <c r="A6" s="68" t="s">
        <v>170</v>
      </c>
      <c r="B6" s="36" t="s">
        <v>171</v>
      </c>
      <c r="C6" s="36" t="s">
        <v>172</v>
      </c>
      <c r="D6" s="69">
        <v>0</v>
      </c>
      <c r="E6" s="70">
        <v>475000</v>
      </c>
      <c r="F6" s="72">
        <f>L6</f>
        <v>0</v>
      </c>
      <c r="G6" s="70">
        <f>M6</f>
        <v>0</v>
      </c>
      <c r="H6" s="72"/>
      <c r="I6" s="70"/>
      <c r="J6" s="72">
        <f>$D6*'DIA-INCH'!$C5</f>
        <v>0</v>
      </c>
      <c r="K6" s="70">
        <f>$E6*$J6</f>
        <v>0</v>
      </c>
      <c r="L6" s="72">
        <f>H6+J6</f>
        <v>0</v>
      </c>
      <c r="M6" s="70">
        <f>I6+K6</f>
        <v>0</v>
      </c>
    </row>
    <row r="7" spans="1:13" ht="27.9" customHeight="1" x14ac:dyDescent="0.4">
      <c r="A7" s="68" t="s">
        <v>173</v>
      </c>
      <c r="B7" s="36" t="s">
        <v>174</v>
      </c>
      <c r="C7" s="36" t="s">
        <v>175</v>
      </c>
      <c r="D7" s="69">
        <v>0</v>
      </c>
      <c r="E7" s="70">
        <v>475000</v>
      </c>
      <c r="F7" s="72">
        <f t="shared" ref="F7:G51" si="0">L7</f>
        <v>0</v>
      </c>
      <c r="G7" s="70">
        <f t="shared" si="0"/>
        <v>0</v>
      </c>
      <c r="H7" s="72"/>
      <c r="I7" s="70"/>
      <c r="J7" s="72">
        <f>$D7*'DIA-INCH'!$C6</f>
        <v>0</v>
      </c>
      <c r="K7" s="70">
        <f t="shared" ref="K7:K28" si="1">$E7*$J7</f>
        <v>0</v>
      </c>
      <c r="L7" s="72">
        <f t="shared" ref="L7:M51" si="2">H7+J7</f>
        <v>0</v>
      </c>
      <c r="M7" s="70">
        <f t="shared" si="2"/>
        <v>0</v>
      </c>
    </row>
    <row r="8" spans="1:13" ht="27.9" customHeight="1" x14ac:dyDescent="0.4">
      <c r="A8" s="68" t="s">
        <v>170</v>
      </c>
      <c r="B8" s="36" t="s">
        <v>176</v>
      </c>
      <c r="C8" s="36" t="s">
        <v>172</v>
      </c>
      <c r="D8" s="69">
        <v>0</v>
      </c>
      <c r="E8" s="70">
        <v>475000</v>
      </c>
      <c r="F8" s="72">
        <f t="shared" si="0"/>
        <v>0</v>
      </c>
      <c r="G8" s="70">
        <f t="shared" si="0"/>
        <v>0</v>
      </c>
      <c r="H8" s="72"/>
      <c r="I8" s="70"/>
      <c r="J8" s="72">
        <f>$D8*'DIA-INCH'!$C7</f>
        <v>0</v>
      </c>
      <c r="K8" s="70">
        <f t="shared" si="1"/>
        <v>0</v>
      </c>
      <c r="L8" s="72">
        <f t="shared" si="2"/>
        <v>0</v>
      </c>
      <c r="M8" s="70">
        <f t="shared" si="2"/>
        <v>0</v>
      </c>
    </row>
    <row r="9" spans="1:13" ht="27.9" customHeight="1" x14ac:dyDescent="0.4">
      <c r="A9" s="68" t="s">
        <v>170</v>
      </c>
      <c r="B9" s="36" t="s">
        <v>177</v>
      </c>
      <c r="C9" s="36" t="s">
        <v>172</v>
      </c>
      <c r="D9" s="69">
        <v>238</v>
      </c>
      <c r="E9" s="70">
        <v>475000</v>
      </c>
      <c r="F9" s="72">
        <f t="shared" si="0"/>
        <v>1056</v>
      </c>
      <c r="G9" s="70">
        <f t="shared" si="0"/>
        <v>501600000</v>
      </c>
      <c r="H9" s="72">
        <v>818</v>
      </c>
      <c r="I9" s="70">
        <v>388550000</v>
      </c>
      <c r="J9" s="72">
        <f>$D9*'DIA-INCH'!$C8</f>
        <v>238</v>
      </c>
      <c r="K9" s="70">
        <f t="shared" si="1"/>
        <v>113050000</v>
      </c>
      <c r="L9" s="72">
        <f t="shared" si="2"/>
        <v>1056</v>
      </c>
      <c r="M9" s="70">
        <f t="shared" si="2"/>
        <v>501600000</v>
      </c>
    </row>
    <row r="10" spans="1:13" ht="27.9" customHeight="1" x14ac:dyDescent="0.4">
      <c r="A10" s="68" t="s">
        <v>170</v>
      </c>
      <c r="B10" s="36" t="s">
        <v>178</v>
      </c>
      <c r="C10" s="36" t="s">
        <v>172</v>
      </c>
      <c r="D10" s="69">
        <v>0</v>
      </c>
      <c r="E10" s="70">
        <v>475000</v>
      </c>
      <c r="F10" s="72">
        <f t="shared" si="0"/>
        <v>0</v>
      </c>
      <c r="G10" s="70">
        <f t="shared" si="0"/>
        <v>0</v>
      </c>
      <c r="H10" s="72">
        <v>0</v>
      </c>
      <c r="I10" s="70">
        <v>0</v>
      </c>
      <c r="J10" s="72">
        <f>$D10*'DIA-INCH'!$C9</f>
        <v>0</v>
      </c>
      <c r="K10" s="70">
        <f t="shared" si="1"/>
        <v>0</v>
      </c>
      <c r="L10" s="72">
        <f t="shared" si="2"/>
        <v>0</v>
      </c>
      <c r="M10" s="70">
        <f t="shared" si="2"/>
        <v>0</v>
      </c>
    </row>
    <row r="11" spans="1:13" ht="27.9" customHeight="1" x14ac:dyDescent="0.4">
      <c r="A11" s="68" t="s">
        <v>170</v>
      </c>
      <c r="B11" s="36" t="s">
        <v>179</v>
      </c>
      <c r="C11" s="36" t="s">
        <v>175</v>
      </c>
      <c r="D11" s="69">
        <v>50</v>
      </c>
      <c r="E11" s="70">
        <v>475000</v>
      </c>
      <c r="F11" s="72">
        <f t="shared" si="0"/>
        <v>904.5</v>
      </c>
      <c r="G11" s="70">
        <f t="shared" si="0"/>
        <v>429637500</v>
      </c>
      <c r="H11" s="72">
        <v>829.5</v>
      </c>
      <c r="I11" s="70">
        <v>394012500</v>
      </c>
      <c r="J11" s="72">
        <f>$D11*'DIA-INCH'!$C10</f>
        <v>75</v>
      </c>
      <c r="K11" s="70">
        <f t="shared" si="1"/>
        <v>35625000</v>
      </c>
      <c r="L11" s="72">
        <f t="shared" si="2"/>
        <v>904.5</v>
      </c>
      <c r="M11" s="70">
        <f t="shared" si="2"/>
        <v>429637500</v>
      </c>
    </row>
    <row r="12" spans="1:13" ht="27.9" customHeight="1" x14ac:dyDescent="0.4">
      <c r="A12" s="68" t="s">
        <v>170</v>
      </c>
      <c r="B12" s="36" t="s">
        <v>180</v>
      </c>
      <c r="C12" s="36" t="s">
        <v>175</v>
      </c>
      <c r="D12" s="69">
        <v>44</v>
      </c>
      <c r="E12" s="70">
        <v>475000</v>
      </c>
      <c r="F12" s="72">
        <f t="shared" si="0"/>
        <v>614</v>
      </c>
      <c r="G12" s="70">
        <f t="shared" si="0"/>
        <v>291650000</v>
      </c>
      <c r="H12" s="72">
        <v>526</v>
      </c>
      <c r="I12" s="70">
        <v>249850000</v>
      </c>
      <c r="J12" s="72">
        <f>$D12*'DIA-INCH'!$C11</f>
        <v>88</v>
      </c>
      <c r="K12" s="70">
        <f t="shared" si="1"/>
        <v>41800000</v>
      </c>
      <c r="L12" s="72">
        <f t="shared" si="2"/>
        <v>614</v>
      </c>
      <c r="M12" s="70">
        <f t="shared" si="2"/>
        <v>291650000</v>
      </c>
    </row>
    <row r="13" spans="1:13" ht="27.9" customHeight="1" x14ac:dyDescent="0.4">
      <c r="A13" s="68" t="s">
        <v>173</v>
      </c>
      <c r="B13" s="36" t="s">
        <v>181</v>
      </c>
      <c r="C13" s="36" t="s">
        <v>172</v>
      </c>
      <c r="D13" s="69">
        <v>80</v>
      </c>
      <c r="E13" s="70">
        <v>475000</v>
      </c>
      <c r="F13" s="72">
        <f t="shared" si="0"/>
        <v>1070</v>
      </c>
      <c r="G13" s="70">
        <f t="shared" si="0"/>
        <v>508250000</v>
      </c>
      <c r="H13" s="72">
        <v>870</v>
      </c>
      <c r="I13" s="70">
        <v>413250000</v>
      </c>
      <c r="J13" s="72">
        <f>$D13*'DIA-INCH'!$C12</f>
        <v>200</v>
      </c>
      <c r="K13" s="70">
        <f t="shared" si="1"/>
        <v>95000000</v>
      </c>
      <c r="L13" s="72">
        <f t="shared" si="2"/>
        <v>1070</v>
      </c>
      <c r="M13" s="70">
        <f t="shared" si="2"/>
        <v>508250000</v>
      </c>
    </row>
    <row r="14" spans="1:13" ht="27.9" customHeight="1" x14ac:dyDescent="0.4">
      <c r="A14" s="68" t="s">
        <v>170</v>
      </c>
      <c r="B14" s="36" t="s">
        <v>182</v>
      </c>
      <c r="C14" s="36" t="s">
        <v>172</v>
      </c>
      <c r="D14" s="69">
        <v>41</v>
      </c>
      <c r="E14" s="70">
        <v>475000</v>
      </c>
      <c r="F14" s="72">
        <f>L14</f>
        <v>534</v>
      </c>
      <c r="G14" s="70">
        <f t="shared" si="0"/>
        <v>253650000</v>
      </c>
      <c r="H14" s="72">
        <v>411</v>
      </c>
      <c r="I14" s="70">
        <v>195225000</v>
      </c>
      <c r="J14" s="72">
        <f>$D14*'DIA-INCH'!$C13</f>
        <v>123</v>
      </c>
      <c r="K14" s="70">
        <f t="shared" si="1"/>
        <v>58425000</v>
      </c>
      <c r="L14" s="72">
        <f t="shared" si="2"/>
        <v>534</v>
      </c>
      <c r="M14" s="70">
        <f t="shared" si="2"/>
        <v>253650000</v>
      </c>
    </row>
    <row r="15" spans="1:13" ht="27.9" customHeight="1" x14ac:dyDescent="0.4">
      <c r="A15" s="68" t="s">
        <v>183</v>
      </c>
      <c r="B15" s="36" t="s">
        <v>184</v>
      </c>
      <c r="C15" s="36" t="s">
        <v>172</v>
      </c>
      <c r="D15" s="69">
        <v>33</v>
      </c>
      <c r="E15" s="70">
        <v>475000</v>
      </c>
      <c r="F15" s="72">
        <f t="shared" si="0"/>
        <v>852</v>
      </c>
      <c r="G15" s="70">
        <f t="shared" si="0"/>
        <v>404700000</v>
      </c>
      <c r="H15" s="72">
        <v>720</v>
      </c>
      <c r="I15" s="70">
        <v>342000000</v>
      </c>
      <c r="J15" s="72">
        <f>$D15*'DIA-INCH'!$C14</f>
        <v>132</v>
      </c>
      <c r="K15" s="70">
        <f t="shared" si="1"/>
        <v>62700000</v>
      </c>
      <c r="L15" s="72">
        <f t="shared" si="2"/>
        <v>852</v>
      </c>
      <c r="M15" s="70">
        <f t="shared" si="2"/>
        <v>404700000</v>
      </c>
    </row>
    <row r="16" spans="1:13" ht="27.9" customHeight="1" x14ac:dyDescent="0.4">
      <c r="A16" s="68" t="s">
        <v>170</v>
      </c>
      <c r="B16" s="36" t="s">
        <v>185</v>
      </c>
      <c r="C16" s="36" t="s">
        <v>175</v>
      </c>
      <c r="D16" s="69">
        <v>0</v>
      </c>
      <c r="E16" s="70">
        <v>475000</v>
      </c>
      <c r="F16" s="72">
        <f t="shared" si="0"/>
        <v>0</v>
      </c>
      <c r="G16" s="70">
        <f t="shared" si="0"/>
        <v>0</v>
      </c>
      <c r="H16" s="72">
        <v>0</v>
      </c>
      <c r="I16" s="70">
        <v>0</v>
      </c>
      <c r="J16" s="72">
        <f>$D16*'DIA-INCH'!$C15</f>
        <v>0</v>
      </c>
      <c r="K16" s="70">
        <f t="shared" si="1"/>
        <v>0</v>
      </c>
      <c r="L16" s="72">
        <f t="shared" si="2"/>
        <v>0</v>
      </c>
      <c r="M16" s="70">
        <f t="shared" si="2"/>
        <v>0</v>
      </c>
    </row>
    <row r="17" spans="1:13" ht="27.9" customHeight="1" x14ac:dyDescent="0.4">
      <c r="A17" s="68" t="s">
        <v>173</v>
      </c>
      <c r="B17" s="36" t="s">
        <v>186</v>
      </c>
      <c r="C17" s="36" t="s">
        <v>172</v>
      </c>
      <c r="D17" s="69">
        <v>38</v>
      </c>
      <c r="E17" s="70">
        <v>475000</v>
      </c>
      <c r="F17" s="72">
        <f t="shared" si="0"/>
        <v>3355</v>
      </c>
      <c r="G17" s="70">
        <f t="shared" si="0"/>
        <v>1593625000</v>
      </c>
      <c r="H17" s="72">
        <v>3165</v>
      </c>
      <c r="I17" s="70">
        <v>1503375000</v>
      </c>
      <c r="J17" s="72">
        <f>$D17*'DIA-INCH'!$C16</f>
        <v>190</v>
      </c>
      <c r="K17" s="70">
        <f t="shared" si="1"/>
        <v>90250000</v>
      </c>
      <c r="L17" s="72">
        <f t="shared" si="2"/>
        <v>3355</v>
      </c>
      <c r="M17" s="70">
        <f t="shared" si="2"/>
        <v>1593625000</v>
      </c>
    </row>
    <row r="18" spans="1:13" ht="27.9" customHeight="1" x14ac:dyDescent="0.4">
      <c r="A18" s="68" t="s">
        <v>173</v>
      </c>
      <c r="B18" s="36" t="s">
        <v>187</v>
      </c>
      <c r="C18" s="36" t="s">
        <v>172</v>
      </c>
      <c r="D18" s="69">
        <v>0</v>
      </c>
      <c r="E18" s="70">
        <v>475000</v>
      </c>
      <c r="F18" s="72">
        <f t="shared" si="0"/>
        <v>48</v>
      </c>
      <c r="G18" s="70">
        <f t="shared" si="0"/>
        <v>22800000</v>
      </c>
      <c r="H18" s="72">
        <v>48</v>
      </c>
      <c r="I18" s="70">
        <v>22800000</v>
      </c>
      <c r="J18" s="72">
        <f>$D18*'DIA-INCH'!$C17</f>
        <v>0</v>
      </c>
      <c r="K18" s="70">
        <f t="shared" si="1"/>
        <v>0</v>
      </c>
      <c r="L18" s="72">
        <f t="shared" si="2"/>
        <v>48</v>
      </c>
      <c r="M18" s="70">
        <f t="shared" si="2"/>
        <v>22800000</v>
      </c>
    </row>
    <row r="19" spans="1:13" ht="27.9" customHeight="1" x14ac:dyDescent="0.4">
      <c r="A19" s="68" t="s">
        <v>173</v>
      </c>
      <c r="B19" s="36" t="s">
        <v>188</v>
      </c>
      <c r="C19" s="36" t="s">
        <v>172</v>
      </c>
      <c r="D19" s="69">
        <v>0</v>
      </c>
      <c r="E19" s="70">
        <v>475000</v>
      </c>
      <c r="F19" s="72">
        <f t="shared" si="0"/>
        <v>0</v>
      </c>
      <c r="G19" s="70">
        <f t="shared" si="0"/>
        <v>0</v>
      </c>
      <c r="H19" s="72">
        <v>0</v>
      </c>
      <c r="I19" s="70">
        <v>0</v>
      </c>
      <c r="J19" s="72">
        <f>$D19*'DIA-INCH'!$C18</f>
        <v>0</v>
      </c>
      <c r="K19" s="70">
        <f t="shared" si="1"/>
        <v>0</v>
      </c>
      <c r="L19" s="72">
        <f t="shared" si="2"/>
        <v>0</v>
      </c>
      <c r="M19" s="70">
        <f t="shared" si="2"/>
        <v>0</v>
      </c>
    </row>
    <row r="20" spans="1:13" ht="27.9" customHeight="1" x14ac:dyDescent="0.4">
      <c r="A20" s="68" t="s">
        <v>173</v>
      </c>
      <c r="B20" s="36" t="s">
        <v>189</v>
      </c>
      <c r="C20" s="36" t="s">
        <v>172</v>
      </c>
      <c r="D20" s="69">
        <v>6</v>
      </c>
      <c r="E20" s="70">
        <v>475000</v>
      </c>
      <c r="F20" s="72">
        <f t="shared" si="0"/>
        <v>1584</v>
      </c>
      <c r="G20" s="70">
        <f t="shared" si="0"/>
        <v>752400000</v>
      </c>
      <c r="H20" s="72">
        <v>1536</v>
      </c>
      <c r="I20" s="70">
        <v>729600000</v>
      </c>
      <c r="J20" s="72">
        <f>$D20*'DIA-INCH'!$C19</f>
        <v>48</v>
      </c>
      <c r="K20" s="70">
        <f t="shared" si="1"/>
        <v>22800000</v>
      </c>
      <c r="L20" s="72">
        <f t="shared" si="2"/>
        <v>1584</v>
      </c>
      <c r="M20" s="70">
        <f t="shared" si="2"/>
        <v>752400000</v>
      </c>
    </row>
    <row r="21" spans="1:13" ht="27.9" customHeight="1" x14ac:dyDescent="0.4">
      <c r="A21" s="68" t="s">
        <v>170</v>
      </c>
      <c r="B21" s="36" t="s">
        <v>190</v>
      </c>
      <c r="C21" s="36" t="s">
        <v>175</v>
      </c>
      <c r="D21" s="69">
        <v>0</v>
      </c>
      <c r="E21" s="70">
        <v>475000</v>
      </c>
      <c r="F21" s="72">
        <f t="shared" si="0"/>
        <v>0</v>
      </c>
      <c r="G21" s="70">
        <f t="shared" si="0"/>
        <v>0</v>
      </c>
      <c r="H21" s="72">
        <v>0</v>
      </c>
      <c r="I21" s="70">
        <v>0</v>
      </c>
      <c r="J21" s="72">
        <f>$D21*'DIA-INCH'!$C20</f>
        <v>0</v>
      </c>
      <c r="K21" s="70">
        <f t="shared" si="1"/>
        <v>0</v>
      </c>
      <c r="L21" s="72">
        <f t="shared" si="2"/>
        <v>0</v>
      </c>
      <c r="M21" s="70">
        <f t="shared" si="2"/>
        <v>0</v>
      </c>
    </row>
    <row r="22" spans="1:13" ht="27.9" customHeight="1" x14ac:dyDescent="0.4">
      <c r="A22" s="68" t="s">
        <v>170</v>
      </c>
      <c r="B22" s="36" t="s">
        <v>191</v>
      </c>
      <c r="C22" s="36" t="s">
        <v>192</v>
      </c>
      <c r="D22" s="69">
        <v>0</v>
      </c>
      <c r="E22" s="70">
        <v>475000</v>
      </c>
      <c r="F22" s="72">
        <f t="shared" si="0"/>
        <v>160</v>
      </c>
      <c r="G22" s="70">
        <f t="shared" si="0"/>
        <v>76000000</v>
      </c>
      <c r="H22" s="72">
        <v>160</v>
      </c>
      <c r="I22" s="70">
        <v>76000000</v>
      </c>
      <c r="J22" s="72">
        <f>$D22*'DIA-INCH'!$C21</f>
        <v>0</v>
      </c>
      <c r="K22" s="70">
        <f t="shared" si="1"/>
        <v>0</v>
      </c>
      <c r="L22" s="72">
        <f t="shared" si="2"/>
        <v>160</v>
      </c>
      <c r="M22" s="70">
        <f t="shared" si="2"/>
        <v>76000000</v>
      </c>
    </row>
    <row r="23" spans="1:13" ht="27.9" customHeight="1" x14ac:dyDescent="0.4">
      <c r="A23" s="68" t="s">
        <v>173</v>
      </c>
      <c r="B23" s="36" t="s">
        <v>193</v>
      </c>
      <c r="C23" s="36" t="s">
        <v>194</v>
      </c>
      <c r="D23" s="69">
        <v>0</v>
      </c>
      <c r="E23" s="70">
        <v>475000</v>
      </c>
      <c r="F23" s="72">
        <f t="shared" si="0"/>
        <v>120</v>
      </c>
      <c r="G23" s="70">
        <f t="shared" si="0"/>
        <v>57000000</v>
      </c>
      <c r="H23" s="72">
        <v>120</v>
      </c>
      <c r="I23" s="70">
        <v>57000000</v>
      </c>
      <c r="J23" s="72">
        <f>$D23*'DIA-INCH'!$C22</f>
        <v>0</v>
      </c>
      <c r="K23" s="70">
        <f t="shared" si="1"/>
        <v>0</v>
      </c>
      <c r="L23" s="72">
        <f t="shared" si="2"/>
        <v>120</v>
      </c>
      <c r="M23" s="70">
        <f t="shared" si="2"/>
        <v>57000000</v>
      </c>
    </row>
    <row r="24" spans="1:13" ht="27.9" customHeight="1" x14ac:dyDescent="0.4">
      <c r="A24" s="68" t="s">
        <v>195</v>
      </c>
      <c r="B24" s="36" t="s">
        <v>196</v>
      </c>
      <c r="C24" s="36" t="s">
        <v>172</v>
      </c>
      <c r="D24" s="69">
        <v>0</v>
      </c>
      <c r="E24" s="70">
        <v>475000</v>
      </c>
      <c r="F24" s="72">
        <f t="shared" si="0"/>
        <v>0</v>
      </c>
      <c r="G24" s="70">
        <f t="shared" si="0"/>
        <v>0</v>
      </c>
      <c r="H24" s="72"/>
      <c r="I24" s="70"/>
      <c r="J24" s="72">
        <f>$D24*'DIA-INCH'!$C23</f>
        <v>0</v>
      </c>
      <c r="K24" s="70">
        <f t="shared" si="1"/>
        <v>0</v>
      </c>
      <c r="L24" s="72">
        <f t="shared" si="2"/>
        <v>0</v>
      </c>
      <c r="M24" s="70">
        <f t="shared" si="2"/>
        <v>0</v>
      </c>
    </row>
    <row r="25" spans="1:13" ht="27.9" customHeight="1" x14ac:dyDescent="0.4">
      <c r="A25" s="68" t="s">
        <v>170</v>
      </c>
      <c r="B25" s="36" t="s">
        <v>197</v>
      </c>
      <c r="C25" s="36" t="s">
        <v>175</v>
      </c>
      <c r="D25" s="69">
        <v>0</v>
      </c>
      <c r="E25" s="70">
        <v>475000</v>
      </c>
      <c r="F25" s="72">
        <f t="shared" si="0"/>
        <v>0</v>
      </c>
      <c r="G25" s="70">
        <f t="shared" si="0"/>
        <v>0</v>
      </c>
      <c r="H25" s="72"/>
      <c r="I25" s="70"/>
      <c r="J25" s="72">
        <f>$D25*'DIA-INCH'!$C24</f>
        <v>0</v>
      </c>
      <c r="K25" s="70">
        <f t="shared" si="1"/>
        <v>0</v>
      </c>
      <c r="L25" s="72">
        <f t="shared" si="2"/>
        <v>0</v>
      </c>
      <c r="M25" s="70">
        <f t="shared" si="2"/>
        <v>0</v>
      </c>
    </row>
    <row r="26" spans="1:13" ht="27.9" customHeight="1" x14ac:dyDescent="0.4">
      <c r="A26" s="68" t="s">
        <v>183</v>
      </c>
      <c r="B26" s="36" t="s">
        <v>198</v>
      </c>
      <c r="C26" s="36" t="s">
        <v>199</v>
      </c>
      <c r="D26" s="69">
        <v>0</v>
      </c>
      <c r="E26" s="70">
        <v>475000</v>
      </c>
      <c r="F26" s="72">
        <f t="shared" si="0"/>
        <v>0</v>
      </c>
      <c r="G26" s="70">
        <f t="shared" si="0"/>
        <v>0</v>
      </c>
      <c r="H26" s="72"/>
      <c r="I26" s="70"/>
      <c r="J26" s="72">
        <f>$D26*'DIA-INCH'!$C25</f>
        <v>0</v>
      </c>
      <c r="K26" s="70">
        <f t="shared" si="1"/>
        <v>0</v>
      </c>
      <c r="L26" s="72">
        <f t="shared" si="2"/>
        <v>0</v>
      </c>
      <c r="M26" s="70">
        <f t="shared" si="2"/>
        <v>0</v>
      </c>
    </row>
    <row r="27" spans="1:13" ht="27.9" customHeight="1" x14ac:dyDescent="0.4">
      <c r="A27" s="68" t="s">
        <v>173</v>
      </c>
      <c r="B27" s="36" t="s">
        <v>200</v>
      </c>
      <c r="C27" s="36" t="s">
        <v>172</v>
      </c>
      <c r="D27" s="69">
        <v>0</v>
      </c>
      <c r="E27" s="70">
        <v>475000</v>
      </c>
      <c r="F27" s="72">
        <f t="shared" si="0"/>
        <v>0</v>
      </c>
      <c r="G27" s="70">
        <f t="shared" si="0"/>
        <v>0</v>
      </c>
      <c r="H27" s="72"/>
      <c r="I27" s="70"/>
      <c r="J27" s="72">
        <f>$D27*'DIA-INCH'!$C26</f>
        <v>0</v>
      </c>
      <c r="K27" s="70">
        <f t="shared" si="1"/>
        <v>0</v>
      </c>
      <c r="L27" s="72">
        <f t="shared" si="2"/>
        <v>0</v>
      </c>
      <c r="M27" s="70">
        <f t="shared" si="2"/>
        <v>0</v>
      </c>
    </row>
    <row r="28" spans="1:13" ht="27.9" customHeight="1" x14ac:dyDescent="0.4">
      <c r="A28" s="68" t="s">
        <v>183</v>
      </c>
      <c r="B28" s="36" t="s">
        <v>201</v>
      </c>
      <c r="C28" s="36" t="s">
        <v>172</v>
      </c>
      <c r="D28" s="69">
        <v>0</v>
      </c>
      <c r="E28" s="70">
        <v>475000</v>
      </c>
      <c r="F28" s="72">
        <f t="shared" si="0"/>
        <v>0</v>
      </c>
      <c r="G28" s="70">
        <f t="shared" si="0"/>
        <v>0</v>
      </c>
      <c r="H28" s="72"/>
      <c r="I28" s="70"/>
      <c r="J28" s="72">
        <f>$D28*'DIA-INCH'!$C27</f>
        <v>0</v>
      </c>
      <c r="K28" s="70">
        <f t="shared" si="1"/>
        <v>0</v>
      </c>
      <c r="L28" s="72">
        <f t="shared" si="2"/>
        <v>0</v>
      </c>
      <c r="M28" s="70">
        <f t="shared" si="2"/>
        <v>0</v>
      </c>
    </row>
    <row r="29" spans="1:13" ht="27.9" customHeight="1" x14ac:dyDescent="0.4">
      <c r="A29" s="68" t="s">
        <v>202</v>
      </c>
      <c r="B29" s="36" t="s">
        <v>171</v>
      </c>
      <c r="C29" s="36" t="s">
        <v>203</v>
      </c>
      <c r="D29" s="69">
        <v>0</v>
      </c>
      <c r="E29" s="70">
        <f>$E$32*'DIA-INCH'!$C5</f>
        <v>12500</v>
      </c>
      <c r="F29" s="70">
        <f t="shared" si="0"/>
        <v>0</v>
      </c>
      <c r="G29" s="70">
        <f t="shared" si="0"/>
        <v>0</v>
      </c>
      <c r="H29" s="68"/>
      <c r="I29" s="70"/>
      <c r="J29" s="70">
        <f>D29</f>
        <v>0</v>
      </c>
      <c r="K29" s="70">
        <f>$J29*$E29</f>
        <v>0</v>
      </c>
      <c r="L29" s="70">
        <f t="shared" si="2"/>
        <v>0</v>
      </c>
      <c r="M29" s="70">
        <f t="shared" si="2"/>
        <v>0</v>
      </c>
    </row>
    <row r="30" spans="1:13" ht="27.9" customHeight="1" x14ac:dyDescent="0.4">
      <c r="A30" s="68" t="s">
        <v>204</v>
      </c>
      <c r="B30" s="36" t="s">
        <v>174</v>
      </c>
      <c r="C30" s="36" t="s">
        <v>203</v>
      </c>
      <c r="D30" s="69"/>
      <c r="E30" s="70">
        <f>$E$32*'DIA-INCH'!$C6</f>
        <v>25000</v>
      </c>
      <c r="F30" s="70">
        <f t="shared" si="0"/>
        <v>0</v>
      </c>
      <c r="G30" s="70">
        <f t="shared" si="0"/>
        <v>0</v>
      </c>
      <c r="H30" s="68"/>
      <c r="I30" s="70"/>
      <c r="J30" s="70">
        <f t="shared" ref="J30:J51" si="3">D30</f>
        <v>0</v>
      </c>
      <c r="K30" s="70">
        <f t="shared" ref="K30:K51" si="4">$J30*$E30</f>
        <v>0</v>
      </c>
      <c r="L30" s="70">
        <f t="shared" si="2"/>
        <v>0</v>
      </c>
      <c r="M30" s="70">
        <f t="shared" si="2"/>
        <v>0</v>
      </c>
    </row>
    <row r="31" spans="1:13" ht="27.9" customHeight="1" x14ac:dyDescent="0.4">
      <c r="A31" s="68" t="s">
        <v>205</v>
      </c>
      <c r="B31" s="36" t="s">
        <v>176</v>
      </c>
      <c r="C31" s="36" t="s">
        <v>203</v>
      </c>
      <c r="D31" s="69"/>
      <c r="E31" s="70">
        <f>$E$32*'DIA-INCH'!$C7</f>
        <v>37500</v>
      </c>
      <c r="F31" s="70">
        <f t="shared" si="0"/>
        <v>0</v>
      </c>
      <c r="G31" s="70">
        <f t="shared" si="0"/>
        <v>0</v>
      </c>
      <c r="H31" s="68"/>
      <c r="I31" s="70"/>
      <c r="J31" s="70">
        <f t="shared" si="3"/>
        <v>0</v>
      </c>
      <c r="K31" s="70">
        <f t="shared" si="4"/>
        <v>0</v>
      </c>
      <c r="L31" s="70">
        <f t="shared" si="2"/>
        <v>0</v>
      </c>
      <c r="M31" s="70">
        <f t="shared" si="2"/>
        <v>0</v>
      </c>
    </row>
    <row r="32" spans="1:13" ht="27.9" customHeight="1" x14ac:dyDescent="0.4">
      <c r="A32" s="68" t="s">
        <v>206</v>
      </c>
      <c r="B32" s="36" t="s">
        <v>177</v>
      </c>
      <c r="C32" s="36" t="s">
        <v>207</v>
      </c>
      <c r="D32" s="69"/>
      <c r="E32" s="70">
        <v>50000</v>
      </c>
      <c r="F32" s="70">
        <f t="shared" si="0"/>
        <v>0</v>
      </c>
      <c r="G32" s="70">
        <f t="shared" si="0"/>
        <v>0</v>
      </c>
      <c r="H32" s="68"/>
      <c r="I32" s="70"/>
      <c r="J32" s="70">
        <f t="shared" si="3"/>
        <v>0</v>
      </c>
      <c r="K32" s="70">
        <f t="shared" si="4"/>
        <v>0</v>
      </c>
      <c r="L32" s="70">
        <f t="shared" si="2"/>
        <v>0</v>
      </c>
      <c r="M32" s="70">
        <f t="shared" si="2"/>
        <v>0</v>
      </c>
    </row>
    <row r="33" spans="1:13" ht="27.9" customHeight="1" x14ac:dyDescent="0.4">
      <c r="A33" s="68" t="s">
        <v>206</v>
      </c>
      <c r="B33" s="36" t="s">
        <v>178</v>
      </c>
      <c r="C33" s="36" t="s">
        <v>203</v>
      </c>
      <c r="D33" s="69"/>
      <c r="E33" s="70">
        <f>$E$32*'DIA-INCH'!$C9</f>
        <v>62500</v>
      </c>
      <c r="F33" s="70">
        <f t="shared" si="0"/>
        <v>0</v>
      </c>
      <c r="G33" s="70">
        <f t="shared" si="0"/>
        <v>0</v>
      </c>
      <c r="H33" s="68"/>
      <c r="I33" s="70"/>
      <c r="J33" s="70">
        <f t="shared" si="3"/>
        <v>0</v>
      </c>
      <c r="K33" s="70">
        <f t="shared" si="4"/>
        <v>0</v>
      </c>
      <c r="L33" s="70">
        <f t="shared" si="2"/>
        <v>0</v>
      </c>
      <c r="M33" s="70">
        <f t="shared" si="2"/>
        <v>0</v>
      </c>
    </row>
    <row r="34" spans="1:13" ht="27.9" customHeight="1" x14ac:dyDescent="0.4">
      <c r="A34" s="68" t="s">
        <v>206</v>
      </c>
      <c r="B34" s="36" t="s">
        <v>179</v>
      </c>
      <c r="C34" s="36" t="s">
        <v>123</v>
      </c>
      <c r="D34" s="69"/>
      <c r="E34" s="70">
        <f>$E$32*'DIA-INCH'!$C10</f>
        <v>75000</v>
      </c>
      <c r="F34" s="70">
        <f t="shared" si="0"/>
        <v>0</v>
      </c>
      <c r="G34" s="70">
        <f t="shared" si="0"/>
        <v>0</v>
      </c>
      <c r="H34" s="68"/>
      <c r="I34" s="70"/>
      <c r="J34" s="70">
        <f t="shared" si="3"/>
        <v>0</v>
      </c>
      <c r="K34" s="70">
        <f t="shared" si="4"/>
        <v>0</v>
      </c>
      <c r="L34" s="70">
        <f t="shared" si="2"/>
        <v>0</v>
      </c>
      <c r="M34" s="70">
        <f t="shared" si="2"/>
        <v>0</v>
      </c>
    </row>
    <row r="35" spans="1:13" ht="27.9" customHeight="1" x14ac:dyDescent="0.4">
      <c r="A35" s="68" t="s">
        <v>206</v>
      </c>
      <c r="B35" s="36" t="s">
        <v>180</v>
      </c>
      <c r="C35" s="36" t="s">
        <v>203</v>
      </c>
      <c r="D35" s="69"/>
      <c r="E35" s="70">
        <f>$E$32*'DIA-INCH'!$C11</f>
        <v>100000</v>
      </c>
      <c r="F35" s="70">
        <f t="shared" si="0"/>
        <v>0</v>
      </c>
      <c r="G35" s="70">
        <f t="shared" si="0"/>
        <v>0</v>
      </c>
      <c r="H35" s="68"/>
      <c r="I35" s="70"/>
      <c r="J35" s="70">
        <f t="shared" si="3"/>
        <v>0</v>
      </c>
      <c r="K35" s="70">
        <f t="shared" si="4"/>
        <v>0</v>
      </c>
      <c r="L35" s="70">
        <f t="shared" si="2"/>
        <v>0</v>
      </c>
      <c r="M35" s="70">
        <f t="shared" si="2"/>
        <v>0</v>
      </c>
    </row>
    <row r="36" spans="1:13" ht="27.9" customHeight="1" x14ac:dyDescent="0.4">
      <c r="A36" s="68" t="s">
        <v>202</v>
      </c>
      <c r="B36" s="36" t="s">
        <v>181</v>
      </c>
      <c r="C36" s="36" t="s">
        <v>123</v>
      </c>
      <c r="D36" s="69"/>
      <c r="E36" s="70">
        <f>$E$32*'DIA-INCH'!$C12</f>
        <v>125000</v>
      </c>
      <c r="F36" s="70">
        <f t="shared" si="0"/>
        <v>0</v>
      </c>
      <c r="G36" s="70">
        <f t="shared" si="0"/>
        <v>0</v>
      </c>
      <c r="H36" s="68"/>
      <c r="I36" s="70"/>
      <c r="J36" s="70">
        <f t="shared" si="3"/>
        <v>0</v>
      </c>
      <c r="K36" s="70">
        <f t="shared" si="4"/>
        <v>0</v>
      </c>
      <c r="L36" s="70">
        <f t="shared" si="2"/>
        <v>0</v>
      </c>
      <c r="M36" s="70">
        <f t="shared" si="2"/>
        <v>0</v>
      </c>
    </row>
    <row r="37" spans="1:13" ht="27.9" customHeight="1" x14ac:dyDescent="0.4">
      <c r="A37" s="68" t="s">
        <v>202</v>
      </c>
      <c r="B37" s="36" t="s">
        <v>182</v>
      </c>
      <c r="C37" s="36" t="s">
        <v>203</v>
      </c>
      <c r="D37" s="69"/>
      <c r="E37" s="70">
        <f>$E$32*'DIA-INCH'!$C13</f>
        <v>150000</v>
      </c>
      <c r="F37" s="70">
        <f t="shared" si="0"/>
        <v>0</v>
      </c>
      <c r="G37" s="70">
        <f t="shared" si="0"/>
        <v>0</v>
      </c>
      <c r="H37" s="68"/>
      <c r="I37" s="70"/>
      <c r="J37" s="70">
        <f t="shared" si="3"/>
        <v>0</v>
      </c>
      <c r="K37" s="70">
        <f t="shared" si="4"/>
        <v>0</v>
      </c>
      <c r="L37" s="70">
        <f t="shared" si="2"/>
        <v>0</v>
      </c>
      <c r="M37" s="70">
        <f t="shared" si="2"/>
        <v>0</v>
      </c>
    </row>
    <row r="38" spans="1:13" ht="27.9" customHeight="1" x14ac:dyDescent="0.4">
      <c r="A38" s="68" t="s">
        <v>204</v>
      </c>
      <c r="B38" s="36" t="s">
        <v>184</v>
      </c>
      <c r="C38" s="36" t="s">
        <v>203</v>
      </c>
      <c r="D38" s="69"/>
      <c r="E38" s="70">
        <f>$E$32*'DIA-INCH'!$C14</f>
        <v>200000</v>
      </c>
      <c r="F38" s="70">
        <f t="shared" si="0"/>
        <v>0</v>
      </c>
      <c r="G38" s="70">
        <f t="shared" si="0"/>
        <v>0</v>
      </c>
      <c r="H38" s="68"/>
      <c r="I38" s="70"/>
      <c r="J38" s="70">
        <f t="shared" si="3"/>
        <v>0</v>
      </c>
      <c r="K38" s="70">
        <f t="shared" si="4"/>
        <v>0</v>
      </c>
      <c r="L38" s="70">
        <f t="shared" si="2"/>
        <v>0</v>
      </c>
      <c r="M38" s="70">
        <f t="shared" si="2"/>
        <v>0</v>
      </c>
    </row>
    <row r="39" spans="1:13" ht="27.9" customHeight="1" x14ac:dyDescent="0.4">
      <c r="A39" s="68" t="s">
        <v>202</v>
      </c>
      <c r="B39" s="36" t="s">
        <v>185</v>
      </c>
      <c r="C39" s="36" t="s">
        <v>208</v>
      </c>
      <c r="D39" s="69"/>
      <c r="E39" s="70">
        <f>$E$32*'DIA-INCH'!$C15</f>
        <v>200000</v>
      </c>
      <c r="F39" s="70">
        <f t="shared" si="0"/>
        <v>0</v>
      </c>
      <c r="G39" s="70">
        <f t="shared" si="0"/>
        <v>0</v>
      </c>
      <c r="H39" s="68"/>
      <c r="I39" s="70"/>
      <c r="J39" s="70">
        <f t="shared" si="3"/>
        <v>0</v>
      </c>
      <c r="K39" s="70">
        <f t="shared" si="4"/>
        <v>0</v>
      </c>
      <c r="L39" s="70">
        <f t="shared" si="2"/>
        <v>0</v>
      </c>
      <c r="M39" s="70">
        <f t="shared" si="2"/>
        <v>0</v>
      </c>
    </row>
    <row r="40" spans="1:13" ht="27.9" customHeight="1" x14ac:dyDescent="0.4">
      <c r="A40" s="68" t="s">
        <v>202</v>
      </c>
      <c r="B40" s="36" t="s">
        <v>186</v>
      </c>
      <c r="C40" s="36" t="s">
        <v>209</v>
      </c>
      <c r="D40" s="69"/>
      <c r="E40" s="70">
        <f>$E$32*'DIA-INCH'!$C16</f>
        <v>250000</v>
      </c>
      <c r="F40" s="70">
        <f t="shared" si="0"/>
        <v>0</v>
      </c>
      <c r="G40" s="70">
        <f t="shared" si="0"/>
        <v>0</v>
      </c>
      <c r="H40" s="68"/>
      <c r="I40" s="70"/>
      <c r="J40" s="70">
        <f t="shared" si="3"/>
        <v>0</v>
      </c>
      <c r="K40" s="70">
        <f t="shared" si="4"/>
        <v>0</v>
      </c>
      <c r="L40" s="70">
        <f t="shared" si="2"/>
        <v>0</v>
      </c>
      <c r="M40" s="70">
        <f t="shared" si="2"/>
        <v>0</v>
      </c>
    </row>
    <row r="41" spans="1:13" ht="27.9" customHeight="1" x14ac:dyDescent="0.4">
      <c r="A41" s="68" t="s">
        <v>202</v>
      </c>
      <c r="B41" s="36" t="s">
        <v>187</v>
      </c>
      <c r="C41" s="36" t="s">
        <v>203</v>
      </c>
      <c r="D41" s="69"/>
      <c r="E41" s="70">
        <f>$E$32*'DIA-INCH'!$C17</f>
        <v>300000</v>
      </c>
      <c r="F41" s="70">
        <f t="shared" si="0"/>
        <v>0</v>
      </c>
      <c r="G41" s="70">
        <f t="shared" si="0"/>
        <v>0</v>
      </c>
      <c r="H41" s="68"/>
      <c r="I41" s="70"/>
      <c r="J41" s="70">
        <f t="shared" si="3"/>
        <v>0</v>
      </c>
      <c r="K41" s="70">
        <f t="shared" si="4"/>
        <v>0</v>
      </c>
      <c r="L41" s="70">
        <f t="shared" si="2"/>
        <v>0</v>
      </c>
      <c r="M41" s="70">
        <f t="shared" si="2"/>
        <v>0</v>
      </c>
    </row>
    <row r="42" spans="1:13" ht="27.9" customHeight="1" x14ac:dyDescent="0.4">
      <c r="A42" s="68" t="s">
        <v>202</v>
      </c>
      <c r="B42" s="36" t="s">
        <v>188</v>
      </c>
      <c r="C42" s="36" t="s">
        <v>123</v>
      </c>
      <c r="D42" s="69"/>
      <c r="E42" s="70">
        <f>$E$32*'DIA-INCH'!$C18</f>
        <v>350000</v>
      </c>
      <c r="F42" s="70">
        <f t="shared" si="0"/>
        <v>0</v>
      </c>
      <c r="G42" s="70">
        <f t="shared" si="0"/>
        <v>0</v>
      </c>
      <c r="H42" s="68"/>
      <c r="I42" s="70"/>
      <c r="J42" s="70">
        <f t="shared" si="3"/>
        <v>0</v>
      </c>
      <c r="K42" s="70">
        <f t="shared" si="4"/>
        <v>0</v>
      </c>
      <c r="L42" s="70">
        <f t="shared" si="2"/>
        <v>0</v>
      </c>
      <c r="M42" s="70">
        <f t="shared" si="2"/>
        <v>0</v>
      </c>
    </row>
    <row r="43" spans="1:13" ht="27.9" customHeight="1" x14ac:dyDescent="0.4">
      <c r="A43" s="68" t="s">
        <v>202</v>
      </c>
      <c r="B43" s="36" t="s">
        <v>189</v>
      </c>
      <c r="C43" s="36" t="s">
        <v>203</v>
      </c>
      <c r="D43" s="69"/>
      <c r="E43" s="70">
        <f>$E$32*'DIA-INCH'!$C19</f>
        <v>400000</v>
      </c>
      <c r="F43" s="70">
        <f t="shared" si="0"/>
        <v>0</v>
      </c>
      <c r="G43" s="70">
        <f t="shared" si="0"/>
        <v>0</v>
      </c>
      <c r="H43" s="68"/>
      <c r="I43" s="70"/>
      <c r="J43" s="70">
        <f t="shared" si="3"/>
        <v>0</v>
      </c>
      <c r="K43" s="70">
        <f t="shared" si="4"/>
        <v>0</v>
      </c>
      <c r="L43" s="70">
        <f t="shared" si="2"/>
        <v>0</v>
      </c>
      <c r="M43" s="70">
        <f t="shared" si="2"/>
        <v>0</v>
      </c>
    </row>
    <row r="44" spans="1:13" ht="27.9" customHeight="1" x14ac:dyDescent="0.4">
      <c r="A44" s="68" t="s">
        <v>202</v>
      </c>
      <c r="B44" s="36" t="s">
        <v>190</v>
      </c>
      <c r="C44" s="36" t="s">
        <v>203</v>
      </c>
      <c r="D44" s="69"/>
      <c r="E44" s="70">
        <f>$E$32*'DIA-INCH'!$C20</f>
        <v>450000</v>
      </c>
      <c r="F44" s="70">
        <f t="shared" si="0"/>
        <v>0</v>
      </c>
      <c r="G44" s="70">
        <f t="shared" si="0"/>
        <v>0</v>
      </c>
      <c r="H44" s="68"/>
      <c r="I44" s="70"/>
      <c r="J44" s="70">
        <f t="shared" si="3"/>
        <v>0</v>
      </c>
      <c r="K44" s="70">
        <f t="shared" si="4"/>
        <v>0</v>
      </c>
      <c r="L44" s="70">
        <f t="shared" si="2"/>
        <v>0</v>
      </c>
      <c r="M44" s="70">
        <f t="shared" si="2"/>
        <v>0</v>
      </c>
    </row>
    <row r="45" spans="1:13" ht="27.9" customHeight="1" x14ac:dyDescent="0.4">
      <c r="A45" s="68" t="s">
        <v>202</v>
      </c>
      <c r="B45" s="36" t="s">
        <v>191</v>
      </c>
      <c r="C45" s="36" t="s">
        <v>123</v>
      </c>
      <c r="D45" s="69"/>
      <c r="E45" s="70">
        <f>$E$32*'DIA-INCH'!$C21</f>
        <v>500000</v>
      </c>
      <c r="F45" s="70">
        <f t="shared" si="0"/>
        <v>0</v>
      </c>
      <c r="G45" s="70">
        <f t="shared" si="0"/>
        <v>0</v>
      </c>
      <c r="H45" s="68"/>
      <c r="I45" s="70"/>
      <c r="J45" s="70">
        <f t="shared" si="3"/>
        <v>0</v>
      </c>
      <c r="K45" s="70">
        <f t="shared" si="4"/>
        <v>0</v>
      </c>
      <c r="L45" s="70">
        <f t="shared" si="2"/>
        <v>0</v>
      </c>
      <c r="M45" s="70">
        <f t="shared" si="2"/>
        <v>0</v>
      </c>
    </row>
    <row r="46" spans="1:13" ht="27.9" customHeight="1" x14ac:dyDescent="0.4">
      <c r="A46" s="68" t="s">
        <v>204</v>
      </c>
      <c r="B46" s="36" t="s">
        <v>193</v>
      </c>
      <c r="C46" s="36" t="s">
        <v>123</v>
      </c>
      <c r="D46" s="69"/>
      <c r="E46" s="70">
        <f>$E$32*'DIA-INCH'!$C22</f>
        <v>600000</v>
      </c>
      <c r="F46" s="70">
        <f t="shared" si="0"/>
        <v>0</v>
      </c>
      <c r="G46" s="70">
        <f t="shared" si="0"/>
        <v>0</v>
      </c>
      <c r="H46" s="68"/>
      <c r="I46" s="70"/>
      <c r="J46" s="70">
        <f t="shared" si="3"/>
        <v>0</v>
      </c>
      <c r="K46" s="70">
        <f t="shared" si="4"/>
        <v>0</v>
      </c>
      <c r="L46" s="70">
        <f t="shared" si="2"/>
        <v>0</v>
      </c>
      <c r="M46" s="70">
        <f t="shared" si="2"/>
        <v>0</v>
      </c>
    </row>
    <row r="47" spans="1:13" ht="27.9" customHeight="1" x14ac:dyDescent="0.4">
      <c r="A47" s="68" t="s">
        <v>202</v>
      </c>
      <c r="B47" s="36" t="s">
        <v>196</v>
      </c>
      <c r="C47" s="36" t="s">
        <v>203</v>
      </c>
      <c r="D47" s="69"/>
      <c r="E47" s="70">
        <f>$E$32*'DIA-INCH'!$C23</f>
        <v>700000</v>
      </c>
      <c r="F47" s="70">
        <f t="shared" si="0"/>
        <v>0</v>
      </c>
      <c r="G47" s="70">
        <f t="shared" si="0"/>
        <v>0</v>
      </c>
      <c r="H47" s="68"/>
      <c r="I47" s="70"/>
      <c r="J47" s="70">
        <f t="shared" si="3"/>
        <v>0</v>
      </c>
      <c r="K47" s="70">
        <f t="shared" si="4"/>
        <v>0</v>
      </c>
      <c r="L47" s="70">
        <f t="shared" si="2"/>
        <v>0</v>
      </c>
      <c r="M47" s="70">
        <f t="shared" si="2"/>
        <v>0</v>
      </c>
    </row>
    <row r="48" spans="1:13" ht="27.9" customHeight="1" x14ac:dyDescent="0.4">
      <c r="A48" s="68" t="s">
        <v>202</v>
      </c>
      <c r="B48" s="36" t="s">
        <v>197</v>
      </c>
      <c r="C48" s="36" t="s">
        <v>208</v>
      </c>
      <c r="D48" s="69"/>
      <c r="E48" s="70">
        <f>$E$32*'DIA-INCH'!$C24</f>
        <v>800000</v>
      </c>
      <c r="F48" s="70">
        <f t="shared" si="0"/>
        <v>0</v>
      </c>
      <c r="G48" s="70">
        <f t="shared" si="0"/>
        <v>0</v>
      </c>
      <c r="H48" s="68"/>
      <c r="I48" s="70"/>
      <c r="J48" s="70">
        <f t="shared" si="3"/>
        <v>0</v>
      </c>
      <c r="K48" s="70">
        <f t="shared" si="4"/>
        <v>0</v>
      </c>
      <c r="L48" s="70">
        <f t="shared" si="2"/>
        <v>0</v>
      </c>
      <c r="M48" s="70">
        <f t="shared" si="2"/>
        <v>0</v>
      </c>
    </row>
    <row r="49" spans="1:13" ht="27.9" customHeight="1" x14ac:dyDescent="0.4">
      <c r="A49" s="68" t="s">
        <v>205</v>
      </c>
      <c r="B49" s="36" t="s">
        <v>198</v>
      </c>
      <c r="C49" s="36" t="s">
        <v>203</v>
      </c>
      <c r="D49" s="69"/>
      <c r="E49" s="70">
        <f>$E$32*'DIA-INCH'!$C25</f>
        <v>900000</v>
      </c>
      <c r="F49" s="70">
        <f t="shared" si="0"/>
        <v>0</v>
      </c>
      <c r="G49" s="70">
        <f t="shared" si="0"/>
        <v>0</v>
      </c>
      <c r="H49" s="68"/>
      <c r="I49" s="70"/>
      <c r="J49" s="70">
        <f t="shared" si="3"/>
        <v>0</v>
      </c>
      <c r="K49" s="70">
        <f t="shared" si="4"/>
        <v>0</v>
      </c>
      <c r="L49" s="70">
        <f t="shared" si="2"/>
        <v>0</v>
      </c>
      <c r="M49" s="70">
        <f t="shared" si="2"/>
        <v>0</v>
      </c>
    </row>
    <row r="50" spans="1:13" ht="27.9" customHeight="1" x14ac:dyDescent="0.4">
      <c r="A50" s="68" t="s">
        <v>202</v>
      </c>
      <c r="B50" s="36" t="s">
        <v>200</v>
      </c>
      <c r="C50" s="36" t="s">
        <v>203</v>
      </c>
      <c r="D50" s="69"/>
      <c r="E50" s="70">
        <f>$E$32*'DIA-INCH'!$C26</f>
        <v>1000000</v>
      </c>
      <c r="F50" s="70">
        <f t="shared" si="0"/>
        <v>0</v>
      </c>
      <c r="G50" s="70">
        <f t="shared" si="0"/>
        <v>0</v>
      </c>
      <c r="H50" s="68"/>
      <c r="I50" s="70"/>
      <c r="J50" s="70">
        <f t="shared" si="3"/>
        <v>0</v>
      </c>
      <c r="K50" s="70">
        <f t="shared" si="4"/>
        <v>0</v>
      </c>
      <c r="L50" s="70">
        <f t="shared" si="2"/>
        <v>0</v>
      </c>
      <c r="M50" s="70">
        <f t="shared" si="2"/>
        <v>0</v>
      </c>
    </row>
    <row r="51" spans="1:13" ht="27.9" customHeight="1" x14ac:dyDescent="0.4">
      <c r="A51" s="68" t="s">
        <v>205</v>
      </c>
      <c r="B51" s="36" t="s">
        <v>201</v>
      </c>
      <c r="C51" s="36" t="s">
        <v>208</v>
      </c>
      <c r="D51" s="69"/>
      <c r="E51" s="70">
        <f>$E$32*'DIA-INCH'!$C27</f>
        <v>1100000</v>
      </c>
      <c r="F51" s="70">
        <f t="shared" si="0"/>
        <v>0</v>
      </c>
      <c r="G51" s="70">
        <f t="shared" si="0"/>
        <v>0</v>
      </c>
      <c r="H51" s="68"/>
      <c r="I51" s="70"/>
      <c r="J51" s="70">
        <f t="shared" si="3"/>
        <v>0</v>
      </c>
      <c r="K51" s="70">
        <f t="shared" si="4"/>
        <v>0</v>
      </c>
      <c r="L51" s="70">
        <f t="shared" si="2"/>
        <v>0</v>
      </c>
      <c r="M51" s="70">
        <f t="shared" si="2"/>
        <v>0</v>
      </c>
    </row>
    <row r="52" spans="1:13" ht="27.9" customHeight="1" x14ac:dyDescent="0.4">
      <c r="A52" s="260" t="s">
        <v>210</v>
      </c>
      <c r="B52" s="261"/>
      <c r="C52" s="261"/>
      <c r="D52" s="261"/>
      <c r="E52" s="262"/>
      <c r="F52" s="121">
        <f>SUM(F6:F51)</f>
        <v>10297.5</v>
      </c>
      <c r="G52" s="71">
        <f t="shared" ref="G52:M52" si="5">SUM(G6:G51)</f>
        <v>4891312500</v>
      </c>
      <c r="H52" s="121">
        <f t="shared" si="5"/>
        <v>9203.5</v>
      </c>
      <c r="I52" s="71">
        <f t="shared" si="5"/>
        <v>4371662500</v>
      </c>
      <c r="J52" s="121">
        <f>SUM(J6:J51)</f>
        <v>1094</v>
      </c>
      <c r="K52" s="71">
        <f t="shared" si="5"/>
        <v>519650000</v>
      </c>
      <c r="L52" s="121">
        <f t="shared" si="5"/>
        <v>10297.5</v>
      </c>
      <c r="M52" s="71">
        <f t="shared" si="5"/>
        <v>4891312500</v>
      </c>
    </row>
  </sheetData>
  <autoFilter ref="A5:M52" xr:uid="{10522A8F-FD76-48C9-9226-3D4E4FB63175}"/>
  <mergeCells count="11">
    <mergeCell ref="A52:E52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32" orientation="landscape" r:id="rId1"/>
  <rowBreaks count="1" manualBreakCount="1">
    <brk id="28" max="1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244"/>
  <sheetViews>
    <sheetView view="pageBreakPreview" topLeftCell="G124" zoomScale="70" zoomScaleNormal="70" zoomScaleSheetLayoutView="70" workbookViewId="0">
      <selection activeCell="S148" sqref="S148"/>
    </sheetView>
  </sheetViews>
  <sheetFormatPr defaultRowHeight="17.399999999999999" x14ac:dyDescent="0.4"/>
  <cols>
    <col min="1" max="1" width="6.3984375" style="73" bestFit="1" customWidth="1"/>
    <col min="2" max="2" width="9.19921875" style="73" customWidth="1"/>
    <col min="3" max="3" width="18.09765625" style="73" customWidth="1"/>
    <col min="4" max="4" width="18.59765625" style="73" bestFit="1" customWidth="1"/>
    <col min="5" max="5" width="18.09765625" style="73" customWidth="1"/>
    <col min="6" max="6" width="11.09765625" style="73" customWidth="1"/>
    <col min="7" max="7" width="9.3984375" style="74" customWidth="1"/>
    <col min="8" max="8" width="21.59765625" style="74" customWidth="1"/>
    <col min="9" max="39" width="7.59765625" style="73" customWidth="1"/>
    <col min="40" max="40" width="11.8984375" style="73" customWidth="1"/>
    <col min="41" max="41" width="15.8984375" style="107" bestFit="1" customWidth="1"/>
    <col min="42" max="42" width="18.19921875" style="109" bestFit="1" customWidth="1"/>
  </cols>
  <sheetData>
    <row r="1" spans="1:42" ht="32.1" customHeight="1" x14ac:dyDescent="0.4">
      <c r="A1" s="272" t="s">
        <v>969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4"/>
      <c r="AH1" s="281" t="s">
        <v>211</v>
      </c>
      <c r="AI1" s="282"/>
      <c r="AJ1" s="282"/>
      <c r="AK1" s="282"/>
      <c r="AL1" s="283"/>
      <c r="AM1" s="284" t="str">
        <f>'용역청구서 표지'!$B$7</f>
        <v>P4 Ph2 GAS&amp;PCW 1공구</v>
      </c>
      <c r="AN1" s="285"/>
      <c r="AO1" s="285"/>
      <c r="AP1" s="286"/>
    </row>
    <row r="2" spans="1:42" ht="32.1" customHeight="1" x14ac:dyDescent="0.4">
      <c r="A2" s="275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6"/>
      <c r="AE2" s="276"/>
      <c r="AF2" s="276"/>
      <c r="AG2" s="277"/>
      <c r="AH2" s="281" t="s">
        <v>212</v>
      </c>
      <c r="AI2" s="282"/>
      <c r="AJ2" s="282"/>
      <c r="AK2" s="282"/>
      <c r="AL2" s="283"/>
      <c r="AM2" s="284" t="s">
        <v>335</v>
      </c>
      <c r="AN2" s="285"/>
      <c r="AO2" s="285"/>
      <c r="AP2" s="286"/>
    </row>
    <row r="3" spans="1:42" ht="32.1" customHeight="1" x14ac:dyDescent="0.4">
      <c r="A3" s="278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80"/>
      <c r="AH3" s="281" t="s">
        <v>213</v>
      </c>
      <c r="AI3" s="282"/>
      <c r="AJ3" s="282"/>
      <c r="AK3" s="282"/>
      <c r="AL3" s="283"/>
      <c r="AM3" s="284" t="str">
        <f>'용역청구서 표지'!$C$8</f>
        <v>S26-001</v>
      </c>
      <c r="AN3" s="285"/>
      <c r="AO3" s="285"/>
      <c r="AP3" s="286"/>
    </row>
    <row r="4" spans="1:42" ht="24.9" customHeight="1" thickBot="1" x14ac:dyDescent="0.45">
      <c r="AH4" s="75"/>
      <c r="AI4" s="75"/>
      <c r="AJ4" s="75"/>
      <c r="AK4" s="75"/>
      <c r="AL4" s="75"/>
      <c r="AM4" s="75"/>
      <c r="AN4" s="75"/>
      <c r="AO4" s="76"/>
      <c r="AP4" s="77"/>
    </row>
    <row r="5" spans="1:42" ht="24.9" customHeight="1" thickBot="1" x14ac:dyDescent="0.45">
      <c r="A5" s="78" t="s">
        <v>214</v>
      </c>
      <c r="B5" s="79" t="s">
        <v>215</v>
      </c>
      <c r="C5" s="79" t="s">
        <v>216</v>
      </c>
      <c r="D5" s="79" t="s">
        <v>217</v>
      </c>
      <c r="E5" s="79" t="s">
        <v>218</v>
      </c>
      <c r="F5" s="79" t="s">
        <v>219</v>
      </c>
      <c r="G5" s="80" t="s">
        <v>220</v>
      </c>
      <c r="H5" s="81" t="s">
        <v>221</v>
      </c>
      <c r="I5" s="127">
        <v>1</v>
      </c>
      <c r="J5" s="127">
        <v>2</v>
      </c>
      <c r="K5" s="127">
        <v>3</v>
      </c>
      <c r="L5" s="127">
        <v>4</v>
      </c>
      <c r="M5" s="127">
        <v>5</v>
      </c>
      <c r="N5" s="127">
        <v>6</v>
      </c>
      <c r="O5" s="127">
        <v>7</v>
      </c>
      <c r="P5" s="127">
        <v>8</v>
      </c>
      <c r="Q5" s="127">
        <v>9</v>
      </c>
      <c r="R5" s="127">
        <v>10</v>
      </c>
      <c r="S5" s="127">
        <v>11</v>
      </c>
      <c r="T5" s="127">
        <v>12</v>
      </c>
      <c r="U5" s="127">
        <v>13</v>
      </c>
      <c r="V5" s="127">
        <v>14</v>
      </c>
      <c r="W5" s="127">
        <v>15</v>
      </c>
      <c r="X5" s="127">
        <v>16</v>
      </c>
      <c r="Y5" s="127">
        <v>17</v>
      </c>
      <c r="Z5" s="127">
        <v>18</v>
      </c>
      <c r="AA5" s="127">
        <v>19</v>
      </c>
      <c r="AB5" s="127">
        <v>20</v>
      </c>
      <c r="AC5" s="127">
        <v>21</v>
      </c>
      <c r="AD5" s="127">
        <v>22</v>
      </c>
      <c r="AE5" s="127">
        <v>23</v>
      </c>
      <c r="AF5" s="127">
        <v>24</v>
      </c>
      <c r="AG5" s="127">
        <v>25</v>
      </c>
      <c r="AH5" s="127">
        <v>26</v>
      </c>
      <c r="AI5" s="127">
        <v>27</v>
      </c>
      <c r="AJ5" s="127">
        <v>28</v>
      </c>
      <c r="AK5" s="127">
        <v>29</v>
      </c>
      <c r="AL5" s="127">
        <v>30</v>
      </c>
      <c r="AM5" s="127">
        <v>31</v>
      </c>
      <c r="AN5" s="82" t="s">
        <v>222</v>
      </c>
      <c r="AO5" s="79" t="s">
        <v>223</v>
      </c>
      <c r="AP5" s="83" t="s">
        <v>224</v>
      </c>
    </row>
    <row r="6" spans="1:42" ht="24.9" customHeight="1" x14ac:dyDescent="0.4">
      <c r="A6" s="84">
        <v>1</v>
      </c>
      <c r="B6" s="84" t="s">
        <v>755</v>
      </c>
      <c r="C6" s="85" t="s">
        <v>783</v>
      </c>
      <c r="D6" s="36" t="s">
        <v>959</v>
      </c>
      <c r="E6" s="36" t="s">
        <v>813</v>
      </c>
      <c r="F6" s="86" t="s">
        <v>230</v>
      </c>
      <c r="G6" s="87" t="s">
        <v>755</v>
      </c>
      <c r="H6" s="88" t="s">
        <v>843</v>
      </c>
      <c r="I6" s="89">
        <v>2</v>
      </c>
      <c r="J6" s="89">
        <v>2</v>
      </c>
      <c r="K6" s="89">
        <v>1.75</v>
      </c>
      <c r="L6" s="89">
        <v>2</v>
      </c>
      <c r="M6" s="89"/>
      <c r="N6" s="89"/>
      <c r="O6" s="89">
        <v>2</v>
      </c>
      <c r="P6" s="89">
        <v>2</v>
      </c>
      <c r="Q6" s="89">
        <v>2</v>
      </c>
      <c r="R6" s="89">
        <v>2</v>
      </c>
      <c r="S6" s="89">
        <v>2</v>
      </c>
      <c r="T6" s="89"/>
      <c r="U6" s="89"/>
      <c r="V6" s="89">
        <v>1</v>
      </c>
      <c r="W6" s="89">
        <v>2</v>
      </c>
      <c r="X6" s="89">
        <v>2</v>
      </c>
      <c r="Y6" s="89">
        <v>2</v>
      </c>
      <c r="Z6" s="89">
        <v>2</v>
      </c>
      <c r="AA6" s="89"/>
      <c r="AB6" s="89"/>
      <c r="AC6" s="89">
        <v>2</v>
      </c>
      <c r="AD6" s="89">
        <v>1</v>
      </c>
      <c r="AE6" s="89"/>
      <c r="AF6" s="89"/>
      <c r="AG6" s="89"/>
      <c r="AH6" s="89"/>
      <c r="AI6" s="89"/>
      <c r="AJ6" s="89">
        <v>2</v>
      </c>
      <c r="AK6" s="89">
        <v>2</v>
      </c>
      <c r="AL6" s="89">
        <v>2</v>
      </c>
      <c r="AM6" s="89"/>
      <c r="AN6" s="90">
        <f>SUM(I6:AM6)</f>
        <v>35.75</v>
      </c>
      <c r="AO6" s="86">
        <v>180000</v>
      </c>
      <c r="AP6" s="91">
        <f>AN6*AO6</f>
        <v>6435000</v>
      </c>
    </row>
    <row r="7" spans="1:42" ht="24.9" customHeight="1" x14ac:dyDescent="0.4">
      <c r="A7" s="84">
        <v>2</v>
      </c>
      <c r="B7" s="84" t="s">
        <v>498</v>
      </c>
      <c r="C7" s="85" t="s">
        <v>518</v>
      </c>
      <c r="D7" s="36" t="s">
        <v>959</v>
      </c>
      <c r="E7" s="126" t="s">
        <v>536</v>
      </c>
      <c r="F7" s="94" t="s">
        <v>296</v>
      </c>
      <c r="G7" s="87" t="s">
        <v>498</v>
      </c>
      <c r="H7" s="88" t="s">
        <v>555</v>
      </c>
      <c r="I7" s="89">
        <v>2</v>
      </c>
      <c r="J7" s="89">
        <v>2</v>
      </c>
      <c r="K7" s="89">
        <v>2</v>
      </c>
      <c r="L7" s="89">
        <v>2</v>
      </c>
      <c r="M7" s="89"/>
      <c r="N7" s="89"/>
      <c r="O7" s="89">
        <v>2</v>
      </c>
      <c r="P7" s="89">
        <v>2</v>
      </c>
      <c r="Q7" s="89">
        <v>2</v>
      </c>
      <c r="R7" s="89">
        <v>2</v>
      </c>
      <c r="S7" s="89">
        <v>2</v>
      </c>
      <c r="T7" s="89"/>
      <c r="U7" s="89"/>
      <c r="V7" s="89">
        <v>0.5</v>
      </c>
      <c r="W7" s="89">
        <v>1.5</v>
      </c>
      <c r="X7" s="89">
        <v>1</v>
      </c>
      <c r="Y7" s="89">
        <v>1.5</v>
      </c>
      <c r="Z7" s="89">
        <v>1</v>
      </c>
      <c r="AA7" s="89"/>
      <c r="AB7" s="89"/>
      <c r="AC7" s="89">
        <v>1.5</v>
      </c>
      <c r="AD7" s="89">
        <v>1</v>
      </c>
      <c r="AE7" s="89">
        <v>0.5</v>
      </c>
      <c r="AF7" s="89"/>
      <c r="AG7" s="89"/>
      <c r="AH7" s="89"/>
      <c r="AI7" s="89"/>
      <c r="AJ7" s="89">
        <v>1</v>
      </c>
      <c r="AK7" s="89">
        <v>0.5</v>
      </c>
      <c r="AL7" s="89">
        <v>1</v>
      </c>
      <c r="AM7" s="89"/>
      <c r="AN7" s="90">
        <f t="shared" ref="AN7:AN15" si="0">SUM(I7:AM7)</f>
        <v>29</v>
      </c>
      <c r="AO7" s="86">
        <v>240000</v>
      </c>
      <c r="AP7" s="91">
        <f t="shared" ref="AP7:AP15" si="1">AN7*AO7</f>
        <v>6960000</v>
      </c>
    </row>
    <row r="8" spans="1:42" ht="24.9" customHeight="1" x14ac:dyDescent="0.4">
      <c r="A8" s="84">
        <v>3</v>
      </c>
      <c r="B8" s="84" t="s">
        <v>778</v>
      </c>
      <c r="C8" s="85" t="s">
        <v>808</v>
      </c>
      <c r="D8" s="36" t="s">
        <v>225</v>
      </c>
      <c r="E8" s="36" t="s">
        <v>838</v>
      </c>
      <c r="F8" s="94" t="s">
        <v>230</v>
      </c>
      <c r="G8" s="87" t="s">
        <v>778</v>
      </c>
      <c r="H8" s="88" t="s">
        <v>869</v>
      </c>
      <c r="I8" s="89">
        <v>1.5</v>
      </c>
      <c r="J8" s="89">
        <v>1.5</v>
      </c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90">
        <f t="shared" si="0"/>
        <v>3</v>
      </c>
      <c r="AO8" s="86">
        <v>170000</v>
      </c>
      <c r="AP8" s="91">
        <f t="shared" si="1"/>
        <v>510000</v>
      </c>
    </row>
    <row r="9" spans="1:42" ht="24.9" customHeight="1" x14ac:dyDescent="0.4">
      <c r="A9" s="84">
        <v>4</v>
      </c>
      <c r="B9" s="84" t="s">
        <v>579</v>
      </c>
      <c r="C9" s="85" t="s">
        <v>623</v>
      </c>
      <c r="D9" s="36" t="s">
        <v>225</v>
      </c>
      <c r="E9" s="126" t="s">
        <v>668</v>
      </c>
      <c r="F9" s="94" t="s">
        <v>229</v>
      </c>
      <c r="G9" s="87" t="s">
        <v>579</v>
      </c>
      <c r="H9" s="88" t="s">
        <v>712</v>
      </c>
      <c r="I9" s="89">
        <v>2</v>
      </c>
      <c r="J9" s="89">
        <v>2</v>
      </c>
      <c r="K9" s="89">
        <v>2</v>
      </c>
      <c r="L9" s="89">
        <v>2</v>
      </c>
      <c r="M9" s="89"/>
      <c r="N9" s="89"/>
      <c r="O9" s="89">
        <v>2</v>
      </c>
      <c r="P9" s="89">
        <v>2</v>
      </c>
      <c r="Q9" s="89">
        <v>2</v>
      </c>
      <c r="R9" s="89">
        <v>2</v>
      </c>
      <c r="S9" s="89">
        <v>2</v>
      </c>
      <c r="T9" s="89"/>
      <c r="U9" s="89"/>
      <c r="V9" s="89">
        <v>1</v>
      </c>
      <c r="W9" s="89">
        <v>2</v>
      </c>
      <c r="X9" s="89">
        <v>2</v>
      </c>
      <c r="Y9" s="89">
        <v>2</v>
      </c>
      <c r="Z9" s="89">
        <v>2</v>
      </c>
      <c r="AA9" s="89"/>
      <c r="AB9" s="89"/>
      <c r="AC9" s="89">
        <v>2</v>
      </c>
      <c r="AD9" s="89">
        <v>2</v>
      </c>
      <c r="AE9" s="89"/>
      <c r="AF9" s="89"/>
      <c r="AG9" s="89"/>
      <c r="AH9" s="89"/>
      <c r="AI9" s="89"/>
      <c r="AJ9" s="89">
        <v>2</v>
      </c>
      <c r="AK9" s="89">
        <v>2</v>
      </c>
      <c r="AL9" s="89">
        <v>2</v>
      </c>
      <c r="AM9" s="89"/>
      <c r="AN9" s="90">
        <f t="shared" si="0"/>
        <v>37</v>
      </c>
      <c r="AO9" s="86">
        <v>160000</v>
      </c>
      <c r="AP9" s="91">
        <f t="shared" si="1"/>
        <v>5920000</v>
      </c>
    </row>
    <row r="10" spans="1:42" ht="24.9" customHeight="1" x14ac:dyDescent="0.4">
      <c r="A10" s="84">
        <v>5</v>
      </c>
      <c r="B10" s="84" t="s">
        <v>336</v>
      </c>
      <c r="C10" s="85" t="s">
        <v>337</v>
      </c>
      <c r="D10" s="36" t="s">
        <v>338</v>
      </c>
      <c r="E10" s="126" t="s">
        <v>339</v>
      </c>
      <c r="F10" s="94" t="s">
        <v>230</v>
      </c>
      <c r="G10" s="87" t="s">
        <v>336</v>
      </c>
      <c r="H10" s="88" t="s">
        <v>340</v>
      </c>
      <c r="I10" s="89">
        <v>1.5</v>
      </c>
      <c r="J10" s="89">
        <v>1.5</v>
      </c>
      <c r="K10" s="89">
        <v>1</v>
      </c>
      <c r="L10" s="89">
        <v>1</v>
      </c>
      <c r="M10" s="89"/>
      <c r="N10" s="89"/>
      <c r="O10" s="89">
        <v>1</v>
      </c>
      <c r="P10" s="89">
        <v>1.5</v>
      </c>
      <c r="Q10" s="89">
        <v>1</v>
      </c>
      <c r="R10" s="89">
        <v>1.5</v>
      </c>
      <c r="S10" s="89">
        <v>1</v>
      </c>
      <c r="T10" s="89"/>
      <c r="U10" s="89"/>
      <c r="V10" s="89">
        <v>1</v>
      </c>
      <c r="W10" s="89">
        <v>1.5</v>
      </c>
      <c r="X10" s="89">
        <v>1</v>
      </c>
      <c r="Y10" s="89">
        <v>1.5</v>
      </c>
      <c r="Z10" s="89">
        <v>0.5</v>
      </c>
      <c r="AA10" s="89"/>
      <c r="AB10" s="89"/>
      <c r="AC10" s="89">
        <v>1.5</v>
      </c>
      <c r="AD10" s="89">
        <v>1</v>
      </c>
      <c r="AE10" s="89">
        <v>0.5</v>
      </c>
      <c r="AF10" s="89"/>
      <c r="AG10" s="89"/>
      <c r="AH10" s="89"/>
      <c r="AI10" s="89"/>
      <c r="AJ10" s="89">
        <v>1</v>
      </c>
      <c r="AK10" s="89">
        <v>1.5</v>
      </c>
      <c r="AL10" s="89">
        <v>1</v>
      </c>
      <c r="AM10" s="89"/>
      <c r="AN10" s="90">
        <f t="shared" si="0"/>
        <v>23</v>
      </c>
      <c r="AO10" s="86">
        <v>210000</v>
      </c>
      <c r="AP10" s="91">
        <f t="shared" si="1"/>
        <v>4830000</v>
      </c>
    </row>
    <row r="11" spans="1:42" ht="24.9" customHeight="1" x14ac:dyDescent="0.4">
      <c r="A11" s="84">
        <v>6</v>
      </c>
      <c r="B11" s="84" t="s">
        <v>756</v>
      </c>
      <c r="C11" s="85" t="s">
        <v>784</v>
      </c>
      <c r="D11" s="36" t="s">
        <v>225</v>
      </c>
      <c r="E11" s="126" t="s">
        <v>814</v>
      </c>
      <c r="F11" s="94" t="s">
        <v>226</v>
      </c>
      <c r="G11" s="87" t="s">
        <v>756</v>
      </c>
      <c r="H11" s="88" t="s">
        <v>844</v>
      </c>
      <c r="I11" s="89">
        <v>2</v>
      </c>
      <c r="J11" s="89">
        <v>2</v>
      </c>
      <c r="K11" s="89">
        <v>2</v>
      </c>
      <c r="L11" s="89">
        <v>2</v>
      </c>
      <c r="M11" s="89"/>
      <c r="N11" s="89"/>
      <c r="O11" s="89">
        <v>2</v>
      </c>
      <c r="P11" s="89">
        <v>2</v>
      </c>
      <c r="Q11" s="89">
        <v>2</v>
      </c>
      <c r="R11" s="89">
        <v>2</v>
      </c>
      <c r="S11" s="89">
        <v>2</v>
      </c>
      <c r="T11" s="89"/>
      <c r="U11" s="89"/>
      <c r="V11" s="89">
        <v>1</v>
      </c>
      <c r="W11" s="89">
        <v>2</v>
      </c>
      <c r="X11" s="89">
        <v>2</v>
      </c>
      <c r="Y11" s="89">
        <v>2</v>
      </c>
      <c r="Z11" s="89">
        <v>2</v>
      </c>
      <c r="AA11" s="89"/>
      <c r="AB11" s="89"/>
      <c r="AC11" s="89">
        <v>2</v>
      </c>
      <c r="AD11" s="89">
        <v>2</v>
      </c>
      <c r="AE11" s="89"/>
      <c r="AF11" s="89"/>
      <c r="AG11" s="89"/>
      <c r="AH11" s="89"/>
      <c r="AI11" s="89"/>
      <c r="AJ11" s="89">
        <v>2</v>
      </c>
      <c r="AK11" s="89">
        <v>2</v>
      </c>
      <c r="AL11" s="89">
        <v>2</v>
      </c>
      <c r="AM11" s="89"/>
      <c r="AN11" s="90">
        <f t="shared" si="0"/>
        <v>37</v>
      </c>
      <c r="AO11" s="86">
        <v>170000</v>
      </c>
      <c r="AP11" s="91">
        <f t="shared" si="1"/>
        <v>6290000</v>
      </c>
    </row>
    <row r="12" spans="1:42" ht="24.9" customHeight="1" x14ac:dyDescent="0.4">
      <c r="A12" s="84">
        <v>7</v>
      </c>
      <c r="B12" s="84" t="s">
        <v>492</v>
      </c>
      <c r="C12" s="85" t="s">
        <v>512</v>
      </c>
      <c r="D12" s="36" t="s">
        <v>227</v>
      </c>
      <c r="E12" s="126" t="s">
        <v>530</v>
      </c>
      <c r="F12" s="94" t="s">
        <v>230</v>
      </c>
      <c r="G12" s="87" t="s">
        <v>492</v>
      </c>
      <c r="H12" s="88" t="s">
        <v>549</v>
      </c>
      <c r="I12" s="89">
        <v>2</v>
      </c>
      <c r="J12" s="89">
        <v>2</v>
      </c>
      <c r="K12" s="89">
        <v>2</v>
      </c>
      <c r="L12" s="89">
        <v>2</v>
      </c>
      <c r="M12" s="89"/>
      <c r="N12" s="89"/>
      <c r="O12" s="89">
        <v>2</v>
      </c>
      <c r="P12" s="89">
        <v>2</v>
      </c>
      <c r="Q12" s="89">
        <v>2</v>
      </c>
      <c r="R12" s="89">
        <v>2</v>
      </c>
      <c r="S12" s="89">
        <v>2</v>
      </c>
      <c r="T12" s="89"/>
      <c r="U12" s="89"/>
      <c r="V12" s="89">
        <v>1</v>
      </c>
      <c r="W12" s="89">
        <v>2</v>
      </c>
      <c r="X12" s="89">
        <v>2</v>
      </c>
      <c r="Y12" s="89">
        <v>2</v>
      </c>
      <c r="Z12" s="89">
        <v>2</v>
      </c>
      <c r="AA12" s="89"/>
      <c r="AB12" s="89"/>
      <c r="AC12" s="89">
        <v>2</v>
      </c>
      <c r="AD12" s="89">
        <v>2</v>
      </c>
      <c r="AE12" s="89"/>
      <c r="AF12" s="89"/>
      <c r="AG12" s="89"/>
      <c r="AH12" s="89"/>
      <c r="AI12" s="89"/>
      <c r="AJ12" s="89">
        <v>2</v>
      </c>
      <c r="AK12" s="89">
        <v>2</v>
      </c>
      <c r="AL12" s="89">
        <v>2</v>
      </c>
      <c r="AM12" s="89"/>
      <c r="AN12" s="90">
        <f t="shared" si="0"/>
        <v>37</v>
      </c>
      <c r="AO12" s="86">
        <v>240000</v>
      </c>
      <c r="AP12" s="91">
        <f t="shared" si="1"/>
        <v>8880000</v>
      </c>
    </row>
    <row r="13" spans="1:42" ht="24.9" customHeight="1" x14ac:dyDescent="0.4">
      <c r="A13" s="84">
        <v>8</v>
      </c>
      <c r="B13" s="84" t="s">
        <v>580</v>
      </c>
      <c r="C13" s="85" t="s">
        <v>624</v>
      </c>
      <c r="D13" s="36" t="s">
        <v>228</v>
      </c>
      <c r="E13" s="126" t="s">
        <v>669</v>
      </c>
      <c r="F13" s="94" t="s">
        <v>229</v>
      </c>
      <c r="G13" s="87" t="s">
        <v>580</v>
      </c>
      <c r="H13" s="88" t="s">
        <v>713</v>
      </c>
      <c r="I13" s="89">
        <v>2</v>
      </c>
      <c r="J13" s="89">
        <v>2</v>
      </c>
      <c r="K13" s="89">
        <v>2</v>
      </c>
      <c r="L13" s="89">
        <v>2</v>
      </c>
      <c r="M13" s="89"/>
      <c r="N13" s="89"/>
      <c r="O13" s="89">
        <v>2</v>
      </c>
      <c r="P13" s="89">
        <v>2</v>
      </c>
      <c r="Q13" s="89">
        <v>2</v>
      </c>
      <c r="R13" s="89">
        <v>2</v>
      </c>
      <c r="S13" s="89">
        <v>2</v>
      </c>
      <c r="T13" s="89"/>
      <c r="U13" s="89"/>
      <c r="V13" s="89">
        <v>1</v>
      </c>
      <c r="W13" s="89">
        <v>2</v>
      </c>
      <c r="X13" s="89">
        <v>2</v>
      </c>
      <c r="Y13" s="89">
        <v>2</v>
      </c>
      <c r="Z13" s="89">
        <v>2</v>
      </c>
      <c r="AA13" s="89"/>
      <c r="AB13" s="89"/>
      <c r="AC13" s="89">
        <v>2</v>
      </c>
      <c r="AD13" s="89">
        <v>2</v>
      </c>
      <c r="AE13" s="89"/>
      <c r="AF13" s="89"/>
      <c r="AG13" s="89"/>
      <c r="AH13" s="89"/>
      <c r="AI13" s="89"/>
      <c r="AJ13" s="89">
        <v>2</v>
      </c>
      <c r="AK13" s="89">
        <v>2</v>
      </c>
      <c r="AL13" s="89">
        <v>2</v>
      </c>
      <c r="AM13" s="89"/>
      <c r="AN13" s="90">
        <f t="shared" si="0"/>
        <v>37</v>
      </c>
      <c r="AO13" s="86">
        <v>240000</v>
      </c>
      <c r="AP13" s="91">
        <f t="shared" si="1"/>
        <v>8880000</v>
      </c>
    </row>
    <row r="14" spans="1:42" ht="24.9" customHeight="1" x14ac:dyDescent="0.4">
      <c r="A14" s="84">
        <v>9</v>
      </c>
      <c r="B14" s="84" t="s">
        <v>761</v>
      </c>
      <c r="C14" s="85" t="s">
        <v>789</v>
      </c>
      <c r="D14" s="36" t="s">
        <v>225</v>
      </c>
      <c r="E14" s="126" t="s">
        <v>819</v>
      </c>
      <c r="F14" s="94" t="s">
        <v>345</v>
      </c>
      <c r="G14" s="87" t="s">
        <v>761</v>
      </c>
      <c r="H14" s="88" t="s">
        <v>850</v>
      </c>
      <c r="I14" s="89">
        <v>1.5</v>
      </c>
      <c r="J14" s="89">
        <v>1.5</v>
      </c>
      <c r="K14" s="89">
        <v>1</v>
      </c>
      <c r="L14" s="89">
        <v>1</v>
      </c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90">
        <f t="shared" si="0"/>
        <v>5</v>
      </c>
      <c r="AO14" s="86">
        <v>170000</v>
      </c>
      <c r="AP14" s="91">
        <f t="shared" si="1"/>
        <v>850000</v>
      </c>
    </row>
    <row r="15" spans="1:42" ht="23.25" customHeight="1" x14ac:dyDescent="0.4">
      <c r="A15" s="84">
        <v>10</v>
      </c>
      <c r="B15" s="84" t="s">
        <v>420</v>
      </c>
      <c r="C15" s="85" t="s">
        <v>435</v>
      </c>
      <c r="D15" s="36" t="s">
        <v>225</v>
      </c>
      <c r="E15" s="36" t="s">
        <v>450</v>
      </c>
      <c r="F15" s="96" t="s">
        <v>295</v>
      </c>
      <c r="G15" s="87" t="s">
        <v>420</v>
      </c>
      <c r="H15" s="88" t="s">
        <v>464</v>
      </c>
      <c r="I15" s="89">
        <v>2</v>
      </c>
      <c r="J15" s="89">
        <v>2</v>
      </c>
      <c r="K15" s="89">
        <v>2</v>
      </c>
      <c r="L15" s="89">
        <v>2</v>
      </c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90">
        <f t="shared" si="0"/>
        <v>8</v>
      </c>
      <c r="AO15" s="86">
        <v>160000</v>
      </c>
      <c r="AP15" s="91">
        <f t="shared" si="1"/>
        <v>1280000</v>
      </c>
    </row>
    <row r="16" spans="1:42" ht="24.9" customHeight="1" x14ac:dyDescent="0.4">
      <c r="A16" s="84">
        <v>11</v>
      </c>
      <c r="B16" s="84" t="s">
        <v>895</v>
      </c>
      <c r="C16" s="85" t="s">
        <v>910</v>
      </c>
      <c r="D16" s="36" t="s">
        <v>228</v>
      </c>
      <c r="E16" s="36" t="s">
        <v>925</v>
      </c>
      <c r="F16" s="94" t="s">
        <v>229</v>
      </c>
      <c r="G16" s="87" t="s">
        <v>895</v>
      </c>
      <c r="H16" s="88" t="s">
        <v>940</v>
      </c>
      <c r="I16" s="89">
        <v>1.5</v>
      </c>
      <c r="J16" s="89">
        <v>1.5</v>
      </c>
      <c r="K16" s="89">
        <v>1</v>
      </c>
      <c r="L16" s="89">
        <v>1</v>
      </c>
      <c r="M16" s="89">
        <v>1</v>
      </c>
      <c r="N16" s="89"/>
      <c r="O16" s="89">
        <v>1</v>
      </c>
      <c r="P16" s="89">
        <v>1.5</v>
      </c>
      <c r="Q16" s="89">
        <v>1</v>
      </c>
      <c r="R16" s="89">
        <v>1.5</v>
      </c>
      <c r="S16" s="89">
        <v>1</v>
      </c>
      <c r="T16" s="89">
        <v>0.5</v>
      </c>
      <c r="U16" s="89"/>
      <c r="V16" s="89">
        <v>1</v>
      </c>
      <c r="W16" s="89">
        <v>1.5</v>
      </c>
      <c r="X16" s="89">
        <v>1</v>
      </c>
      <c r="Y16" s="89">
        <v>1.5</v>
      </c>
      <c r="Z16" s="89">
        <v>1</v>
      </c>
      <c r="AA16" s="89">
        <v>1</v>
      </c>
      <c r="AB16" s="89"/>
      <c r="AC16" s="89">
        <v>1.5</v>
      </c>
      <c r="AD16" s="89">
        <v>1</v>
      </c>
      <c r="AE16" s="89">
        <v>1</v>
      </c>
      <c r="AF16" s="89"/>
      <c r="AG16" s="89"/>
      <c r="AH16" s="89"/>
      <c r="AI16" s="89"/>
      <c r="AJ16" s="89">
        <v>1</v>
      </c>
      <c r="AK16" s="89">
        <v>1</v>
      </c>
      <c r="AL16" s="89">
        <v>2</v>
      </c>
      <c r="AM16" s="89"/>
      <c r="AN16" s="90">
        <f t="shared" ref="AN16:AN23" si="2">SUM(I16:AM16)</f>
        <v>27</v>
      </c>
      <c r="AO16" s="86">
        <v>240000</v>
      </c>
      <c r="AP16" s="91">
        <f t="shared" ref="AP16:AP23" si="3">AN16*AO16</f>
        <v>6480000</v>
      </c>
    </row>
    <row r="17" spans="1:42" ht="24.9" customHeight="1" x14ac:dyDescent="0.4">
      <c r="A17" s="84">
        <v>12</v>
      </c>
      <c r="B17" s="84" t="s">
        <v>491</v>
      </c>
      <c r="C17" s="85" t="s">
        <v>511</v>
      </c>
      <c r="D17" s="36" t="s">
        <v>228</v>
      </c>
      <c r="E17" s="126" t="s">
        <v>529</v>
      </c>
      <c r="F17" s="96" t="s">
        <v>226</v>
      </c>
      <c r="G17" s="87" t="s">
        <v>491</v>
      </c>
      <c r="H17" s="88" t="s">
        <v>548</v>
      </c>
      <c r="I17" s="89">
        <v>1.5</v>
      </c>
      <c r="J17" s="89">
        <v>1.5</v>
      </c>
      <c r="K17" s="89">
        <v>1</v>
      </c>
      <c r="L17" s="89">
        <v>1</v>
      </c>
      <c r="M17" s="89">
        <v>1</v>
      </c>
      <c r="N17" s="89"/>
      <c r="O17" s="89">
        <v>1</v>
      </c>
      <c r="P17" s="89">
        <v>1.5</v>
      </c>
      <c r="Q17" s="89">
        <v>1</v>
      </c>
      <c r="R17" s="89">
        <v>1.5</v>
      </c>
      <c r="S17" s="89">
        <v>1</v>
      </c>
      <c r="T17" s="89">
        <v>1</v>
      </c>
      <c r="U17" s="89"/>
      <c r="V17" s="89">
        <v>1</v>
      </c>
      <c r="W17" s="89">
        <v>1.5</v>
      </c>
      <c r="X17" s="89">
        <v>1</v>
      </c>
      <c r="Y17" s="89">
        <v>1.5</v>
      </c>
      <c r="Z17" s="89">
        <v>1</v>
      </c>
      <c r="AA17" s="89">
        <v>1</v>
      </c>
      <c r="AB17" s="89"/>
      <c r="AC17" s="89">
        <v>1.5</v>
      </c>
      <c r="AD17" s="89">
        <v>1</v>
      </c>
      <c r="AE17" s="89">
        <v>1</v>
      </c>
      <c r="AF17" s="89"/>
      <c r="AG17" s="89"/>
      <c r="AH17" s="89"/>
      <c r="AI17" s="89"/>
      <c r="AJ17" s="89">
        <v>1</v>
      </c>
      <c r="AK17" s="89">
        <v>1.5</v>
      </c>
      <c r="AL17" s="89">
        <v>1</v>
      </c>
      <c r="AM17" s="89"/>
      <c r="AN17" s="90">
        <f t="shared" si="2"/>
        <v>27</v>
      </c>
      <c r="AO17" s="86">
        <v>230000</v>
      </c>
      <c r="AP17" s="91">
        <f t="shared" si="3"/>
        <v>6210000</v>
      </c>
    </row>
    <row r="18" spans="1:42" ht="24.9" customHeight="1" x14ac:dyDescent="0.4">
      <c r="A18" s="84">
        <v>13</v>
      </c>
      <c r="B18" s="84" t="s">
        <v>758</v>
      </c>
      <c r="C18" s="85" t="s">
        <v>786</v>
      </c>
      <c r="D18" s="36" t="s">
        <v>225</v>
      </c>
      <c r="E18" s="126" t="s">
        <v>816</v>
      </c>
      <c r="F18" s="94" t="s">
        <v>229</v>
      </c>
      <c r="G18" s="87" t="s">
        <v>758</v>
      </c>
      <c r="H18" s="88" t="s">
        <v>846</v>
      </c>
      <c r="I18" s="89">
        <v>1.5</v>
      </c>
      <c r="J18" s="89">
        <v>1.5</v>
      </c>
      <c r="K18" s="89">
        <v>1</v>
      </c>
      <c r="L18" s="89">
        <v>1</v>
      </c>
      <c r="M18" s="89">
        <v>1</v>
      </c>
      <c r="N18" s="89"/>
      <c r="O18" s="89">
        <v>1</v>
      </c>
      <c r="P18" s="89">
        <v>1.5</v>
      </c>
      <c r="Q18" s="89">
        <v>1</v>
      </c>
      <c r="R18" s="89">
        <v>1.5</v>
      </c>
      <c r="S18" s="89">
        <v>1</v>
      </c>
      <c r="T18" s="89"/>
      <c r="U18" s="89"/>
      <c r="V18" s="89">
        <v>1</v>
      </c>
      <c r="W18" s="89">
        <v>1.5</v>
      </c>
      <c r="X18" s="89">
        <v>1</v>
      </c>
      <c r="Y18" s="89">
        <v>1.5</v>
      </c>
      <c r="Z18" s="89">
        <v>1</v>
      </c>
      <c r="AA18" s="89">
        <v>1</v>
      </c>
      <c r="AB18" s="89"/>
      <c r="AC18" s="89">
        <v>1.5</v>
      </c>
      <c r="AD18" s="89">
        <v>1</v>
      </c>
      <c r="AE18" s="89">
        <v>1</v>
      </c>
      <c r="AF18" s="89"/>
      <c r="AG18" s="89"/>
      <c r="AH18" s="89"/>
      <c r="AI18" s="89"/>
      <c r="AJ18" s="89">
        <v>1</v>
      </c>
      <c r="AK18" s="89">
        <v>1.5</v>
      </c>
      <c r="AL18" s="89">
        <v>1</v>
      </c>
      <c r="AM18" s="89"/>
      <c r="AN18" s="90">
        <f t="shared" si="2"/>
        <v>26</v>
      </c>
      <c r="AO18" s="86">
        <v>160000</v>
      </c>
      <c r="AP18" s="91">
        <f t="shared" si="3"/>
        <v>4160000</v>
      </c>
    </row>
    <row r="19" spans="1:42" ht="24.9" customHeight="1" x14ac:dyDescent="0.4">
      <c r="A19" s="84">
        <v>14</v>
      </c>
      <c r="B19" s="84" t="s">
        <v>759</v>
      </c>
      <c r="C19" s="85" t="s">
        <v>787</v>
      </c>
      <c r="D19" s="36" t="s">
        <v>338</v>
      </c>
      <c r="E19" s="36" t="s">
        <v>817</v>
      </c>
      <c r="F19" s="94" t="s">
        <v>361</v>
      </c>
      <c r="G19" s="87" t="s">
        <v>759</v>
      </c>
      <c r="H19" s="88" t="s">
        <v>847</v>
      </c>
      <c r="I19" s="89">
        <v>2</v>
      </c>
      <c r="J19" s="89">
        <v>2</v>
      </c>
      <c r="K19" s="89">
        <v>2</v>
      </c>
      <c r="L19" s="89">
        <v>2</v>
      </c>
      <c r="M19" s="89"/>
      <c r="N19" s="89"/>
      <c r="O19" s="89">
        <v>2</v>
      </c>
      <c r="P19" s="89">
        <v>2</v>
      </c>
      <c r="Q19" s="89">
        <v>2</v>
      </c>
      <c r="R19" s="89">
        <v>2</v>
      </c>
      <c r="S19" s="89">
        <v>2</v>
      </c>
      <c r="T19" s="89"/>
      <c r="U19" s="89"/>
      <c r="V19" s="89"/>
      <c r="W19" s="89">
        <v>1.5</v>
      </c>
      <c r="X19" s="89">
        <v>1</v>
      </c>
      <c r="Y19" s="89">
        <v>1.5</v>
      </c>
      <c r="Z19" s="89">
        <v>1</v>
      </c>
      <c r="AA19" s="89">
        <v>1</v>
      </c>
      <c r="AB19" s="89"/>
      <c r="AC19" s="89">
        <v>1.5</v>
      </c>
      <c r="AD19" s="89">
        <v>1</v>
      </c>
      <c r="AE19" s="89">
        <v>0.5</v>
      </c>
      <c r="AF19" s="89"/>
      <c r="AG19" s="89"/>
      <c r="AH19" s="89"/>
      <c r="AI19" s="89"/>
      <c r="AJ19" s="89">
        <v>1</v>
      </c>
      <c r="AK19" s="89">
        <v>1.5</v>
      </c>
      <c r="AL19" s="89">
        <v>1</v>
      </c>
      <c r="AM19" s="89"/>
      <c r="AN19" s="90">
        <f t="shared" si="2"/>
        <v>30.5</v>
      </c>
      <c r="AO19" s="86">
        <v>200000</v>
      </c>
      <c r="AP19" s="91">
        <f t="shared" si="3"/>
        <v>6100000</v>
      </c>
    </row>
    <row r="20" spans="1:42" ht="24.9" customHeight="1" x14ac:dyDescent="0.4">
      <c r="A20" s="84">
        <v>15</v>
      </c>
      <c r="B20" s="84" t="s">
        <v>896</v>
      </c>
      <c r="C20" s="85" t="s">
        <v>911</v>
      </c>
      <c r="D20" s="36" t="s">
        <v>225</v>
      </c>
      <c r="E20" s="36" t="s">
        <v>926</v>
      </c>
      <c r="F20" s="94" t="s">
        <v>230</v>
      </c>
      <c r="G20" s="87" t="s">
        <v>896</v>
      </c>
      <c r="H20" s="88" t="s">
        <v>941</v>
      </c>
      <c r="I20" s="89">
        <v>1.5</v>
      </c>
      <c r="J20" s="89">
        <v>1.5</v>
      </c>
      <c r="K20" s="89">
        <v>1</v>
      </c>
      <c r="L20" s="89">
        <v>1</v>
      </c>
      <c r="M20" s="89">
        <v>1</v>
      </c>
      <c r="N20" s="89"/>
      <c r="O20" s="89">
        <v>1</v>
      </c>
      <c r="P20" s="89">
        <v>1.5</v>
      </c>
      <c r="Q20" s="89">
        <v>1</v>
      </c>
      <c r="R20" s="89">
        <v>1.5</v>
      </c>
      <c r="S20" s="89">
        <v>1</v>
      </c>
      <c r="T20" s="89">
        <v>1</v>
      </c>
      <c r="U20" s="89"/>
      <c r="V20" s="89">
        <v>1</v>
      </c>
      <c r="W20" s="89">
        <v>1.5</v>
      </c>
      <c r="X20" s="89">
        <v>1</v>
      </c>
      <c r="Y20" s="89"/>
      <c r="Z20" s="89">
        <v>1</v>
      </c>
      <c r="AA20" s="89">
        <v>1</v>
      </c>
      <c r="AB20" s="89"/>
      <c r="AC20" s="89">
        <v>1.5</v>
      </c>
      <c r="AD20" s="89">
        <v>1</v>
      </c>
      <c r="AE20" s="89">
        <v>1</v>
      </c>
      <c r="AF20" s="89"/>
      <c r="AG20" s="89"/>
      <c r="AH20" s="89"/>
      <c r="AI20" s="89"/>
      <c r="AJ20" s="89">
        <v>1</v>
      </c>
      <c r="AK20" s="89">
        <v>1</v>
      </c>
      <c r="AL20" s="89">
        <v>1</v>
      </c>
      <c r="AM20" s="89"/>
      <c r="AN20" s="90">
        <f t="shared" si="2"/>
        <v>25</v>
      </c>
      <c r="AO20" s="86">
        <v>160000</v>
      </c>
      <c r="AP20" s="91">
        <f t="shared" si="3"/>
        <v>4000000</v>
      </c>
    </row>
    <row r="21" spans="1:42" ht="24.9" customHeight="1" x14ac:dyDescent="0.4">
      <c r="A21" s="84">
        <v>16</v>
      </c>
      <c r="B21" s="84" t="s">
        <v>581</v>
      </c>
      <c r="C21" s="85" t="s">
        <v>625</v>
      </c>
      <c r="D21" s="36" t="s">
        <v>225</v>
      </c>
      <c r="E21" s="36" t="s">
        <v>670</v>
      </c>
      <c r="F21" s="94" t="s">
        <v>303</v>
      </c>
      <c r="G21" s="87" t="s">
        <v>581</v>
      </c>
      <c r="H21" s="88" t="s">
        <v>714</v>
      </c>
      <c r="I21" s="89">
        <v>2</v>
      </c>
      <c r="J21" s="89">
        <v>2</v>
      </c>
      <c r="K21" s="89">
        <v>2</v>
      </c>
      <c r="L21" s="89">
        <v>2</v>
      </c>
      <c r="M21" s="89"/>
      <c r="N21" s="89"/>
      <c r="O21" s="89">
        <v>2</v>
      </c>
      <c r="P21" s="89">
        <v>2</v>
      </c>
      <c r="Q21" s="89">
        <v>2</v>
      </c>
      <c r="R21" s="89">
        <v>2</v>
      </c>
      <c r="S21" s="89">
        <v>2</v>
      </c>
      <c r="T21" s="89"/>
      <c r="U21" s="89"/>
      <c r="V21" s="89">
        <v>1</v>
      </c>
      <c r="W21" s="89">
        <v>2</v>
      </c>
      <c r="X21" s="89">
        <v>2</v>
      </c>
      <c r="Y21" s="89">
        <v>2</v>
      </c>
      <c r="Z21" s="89">
        <v>2</v>
      </c>
      <c r="AA21" s="89"/>
      <c r="AB21" s="89"/>
      <c r="AC21" s="89">
        <v>2</v>
      </c>
      <c r="AD21" s="89">
        <v>2</v>
      </c>
      <c r="AE21" s="89"/>
      <c r="AF21" s="89"/>
      <c r="AG21" s="89"/>
      <c r="AH21" s="89"/>
      <c r="AI21" s="89"/>
      <c r="AJ21" s="89">
        <v>2</v>
      </c>
      <c r="AK21" s="89">
        <v>2</v>
      </c>
      <c r="AL21" s="89">
        <v>2</v>
      </c>
      <c r="AM21" s="89"/>
      <c r="AN21" s="90">
        <f t="shared" si="2"/>
        <v>37</v>
      </c>
      <c r="AO21" s="86">
        <v>160000</v>
      </c>
      <c r="AP21" s="91">
        <f t="shared" si="3"/>
        <v>5920000</v>
      </c>
    </row>
    <row r="22" spans="1:42" ht="24.9" customHeight="1" x14ac:dyDescent="0.4">
      <c r="A22" s="84">
        <v>17</v>
      </c>
      <c r="B22" s="84" t="s">
        <v>760</v>
      </c>
      <c r="C22" s="85" t="s">
        <v>788</v>
      </c>
      <c r="D22" s="36" t="s">
        <v>225</v>
      </c>
      <c r="E22" s="36" t="s">
        <v>818</v>
      </c>
      <c r="F22" s="94" t="s">
        <v>361</v>
      </c>
      <c r="G22" s="87" t="s">
        <v>760</v>
      </c>
      <c r="H22" s="88" t="s">
        <v>848</v>
      </c>
      <c r="I22" s="89">
        <v>1.5</v>
      </c>
      <c r="J22" s="89">
        <v>1.5</v>
      </c>
      <c r="K22" s="89">
        <v>1</v>
      </c>
      <c r="L22" s="89">
        <v>1</v>
      </c>
      <c r="M22" s="89">
        <v>1</v>
      </c>
      <c r="N22" s="89"/>
      <c r="O22" s="89">
        <v>1</v>
      </c>
      <c r="P22" s="89">
        <v>1.5</v>
      </c>
      <c r="Q22" s="89">
        <v>1</v>
      </c>
      <c r="R22" s="89">
        <v>1.5</v>
      </c>
      <c r="S22" s="89"/>
      <c r="T22" s="89"/>
      <c r="U22" s="89"/>
      <c r="V22" s="89">
        <v>1</v>
      </c>
      <c r="W22" s="89">
        <v>1.5</v>
      </c>
      <c r="X22" s="89"/>
      <c r="Y22" s="89">
        <v>1.5</v>
      </c>
      <c r="Z22" s="89">
        <v>1</v>
      </c>
      <c r="AA22" s="89">
        <v>1</v>
      </c>
      <c r="AB22" s="89"/>
      <c r="AC22" s="89">
        <v>1.5</v>
      </c>
      <c r="AD22" s="89">
        <v>1</v>
      </c>
      <c r="AE22" s="89"/>
      <c r="AF22" s="89"/>
      <c r="AG22" s="89"/>
      <c r="AH22" s="89"/>
      <c r="AI22" s="89"/>
      <c r="AJ22" s="89">
        <v>1</v>
      </c>
      <c r="AK22" s="89">
        <v>1.5</v>
      </c>
      <c r="AL22" s="89">
        <v>1</v>
      </c>
      <c r="AM22" s="89"/>
      <c r="AN22" s="90">
        <f t="shared" si="2"/>
        <v>23</v>
      </c>
      <c r="AO22" s="86">
        <v>150000</v>
      </c>
      <c r="AP22" s="91">
        <f t="shared" si="3"/>
        <v>3450000</v>
      </c>
    </row>
    <row r="23" spans="1:42" ht="24.9" customHeight="1" x14ac:dyDescent="0.4">
      <c r="A23" s="84">
        <v>18</v>
      </c>
      <c r="B23" s="84" t="s">
        <v>897</v>
      </c>
      <c r="C23" s="85" t="s">
        <v>912</v>
      </c>
      <c r="D23" s="36" t="s">
        <v>225</v>
      </c>
      <c r="E23" s="36" t="s">
        <v>927</v>
      </c>
      <c r="F23" s="96" t="s">
        <v>226</v>
      </c>
      <c r="G23" s="87" t="s">
        <v>897</v>
      </c>
      <c r="H23" s="88" t="s">
        <v>942</v>
      </c>
      <c r="I23" s="89">
        <v>1.5</v>
      </c>
      <c r="J23" s="89">
        <v>1.5</v>
      </c>
      <c r="K23" s="89">
        <v>1</v>
      </c>
      <c r="L23" s="89">
        <v>1</v>
      </c>
      <c r="M23" s="89"/>
      <c r="N23" s="89"/>
      <c r="O23" s="89">
        <v>1</v>
      </c>
      <c r="P23" s="89">
        <v>1.5</v>
      </c>
      <c r="Q23" s="89">
        <v>1</v>
      </c>
      <c r="R23" s="89">
        <v>1.5</v>
      </c>
      <c r="S23" s="89">
        <v>1</v>
      </c>
      <c r="T23" s="89">
        <v>1</v>
      </c>
      <c r="U23" s="89"/>
      <c r="V23" s="89">
        <v>1</v>
      </c>
      <c r="W23" s="89">
        <v>1.5</v>
      </c>
      <c r="X23" s="89">
        <v>1</v>
      </c>
      <c r="Y23" s="89"/>
      <c r="Z23" s="89">
        <v>1</v>
      </c>
      <c r="AA23" s="89">
        <v>1</v>
      </c>
      <c r="AB23" s="89"/>
      <c r="AC23" s="89">
        <v>1.5</v>
      </c>
      <c r="AD23" s="89">
        <v>1</v>
      </c>
      <c r="AE23" s="89">
        <v>1</v>
      </c>
      <c r="AF23" s="89"/>
      <c r="AG23" s="89"/>
      <c r="AH23" s="89"/>
      <c r="AI23" s="89"/>
      <c r="AJ23" s="89">
        <v>1</v>
      </c>
      <c r="AK23" s="89">
        <v>1.5</v>
      </c>
      <c r="AL23" s="89">
        <v>1</v>
      </c>
      <c r="AM23" s="89"/>
      <c r="AN23" s="90">
        <f t="shared" si="2"/>
        <v>24.5</v>
      </c>
      <c r="AO23" s="86">
        <v>160000</v>
      </c>
      <c r="AP23" s="91">
        <f t="shared" si="3"/>
        <v>3920000</v>
      </c>
    </row>
    <row r="24" spans="1:42" ht="24.9" customHeight="1" x14ac:dyDescent="0.4">
      <c r="A24" s="84">
        <v>19</v>
      </c>
      <c r="B24" s="84" t="s">
        <v>603</v>
      </c>
      <c r="C24" s="85" t="s">
        <v>648</v>
      </c>
      <c r="D24" s="36" t="s">
        <v>228</v>
      </c>
      <c r="E24" s="36" t="s">
        <v>692</v>
      </c>
      <c r="F24" s="94" t="s">
        <v>226</v>
      </c>
      <c r="G24" s="87" t="s">
        <v>603</v>
      </c>
      <c r="H24" s="88" t="s">
        <v>732</v>
      </c>
      <c r="I24" s="89">
        <v>2</v>
      </c>
      <c r="J24" s="89">
        <v>2</v>
      </c>
      <c r="K24" s="89">
        <v>2</v>
      </c>
      <c r="L24" s="89">
        <v>2</v>
      </c>
      <c r="M24" s="89"/>
      <c r="N24" s="89"/>
      <c r="O24" s="89">
        <v>2</v>
      </c>
      <c r="P24" s="89">
        <v>2</v>
      </c>
      <c r="Q24" s="89">
        <v>2</v>
      </c>
      <c r="R24" s="89">
        <v>2</v>
      </c>
      <c r="S24" s="89">
        <v>2</v>
      </c>
      <c r="T24" s="89"/>
      <c r="U24" s="89"/>
      <c r="V24" s="89">
        <v>1</v>
      </c>
      <c r="W24" s="89">
        <v>0.5</v>
      </c>
      <c r="X24" s="89"/>
      <c r="Y24" s="89">
        <v>2</v>
      </c>
      <c r="Z24" s="89">
        <v>2</v>
      </c>
      <c r="AA24" s="89"/>
      <c r="AB24" s="89"/>
      <c r="AC24" s="89">
        <v>2</v>
      </c>
      <c r="AD24" s="89">
        <v>2</v>
      </c>
      <c r="AE24" s="89"/>
      <c r="AF24" s="89"/>
      <c r="AG24" s="89"/>
      <c r="AH24" s="89"/>
      <c r="AI24" s="89"/>
      <c r="AJ24" s="89">
        <v>2</v>
      </c>
      <c r="AK24" s="89">
        <v>2</v>
      </c>
      <c r="AL24" s="89">
        <v>2</v>
      </c>
      <c r="AM24" s="89"/>
      <c r="AN24" s="90">
        <f t="shared" ref="AN24:AN37" si="4">SUM(I24:AM24)</f>
        <v>33.5</v>
      </c>
      <c r="AO24" s="86">
        <v>220000</v>
      </c>
      <c r="AP24" s="91">
        <f t="shared" ref="AP24:AP37" si="5">AN24*AO24</f>
        <v>7370000</v>
      </c>
    </row>
    <row r="25" spans="1:42" ht="24.9" customHeight="1" x14ac:dyDescent="0.4">
      <c r="A25" s="84">
        <v>20</v>
      </c>
      <c r="B25" s="84" t="s">
        <v>417</v>
      </c>
      <c r="C25" s="85" t="s">
        <v>432</v>
      </c>
      <c r="D25" s="128" t="s">
        <v>225</v>
      </c>
      <c r="E25" s="126" t="s">
        <v>447</v>
      </c>
      <c r="F25" s="94" t="s">
        <v>226</v>
      </c>
      <c r="G25" s="87" t="s">
        <v>417</v>
      </c>
      <c r="H25" s="88" t="s">
        <v>849</v>
      </c>
      <c r="I25" s="89">
        <v>2</v>
      </c>
      <c r="J25" s="89">
        <v>2</v>
      </c>
      <c r="K25" s="89">
        <v>2</v>
      </c>
      <c r="L25" s="89">
        <v>2</v>
      </c>
      <c r="M25" s="89"/>
      <c r="N25" s="89"/>
      <c r="O25" s="89">
        <v>2</v>
      </c>
      <c r="P25" s="89">
        <v>2</v>
      </c>
      <c r="Q25" s="89">
        <v>2</v>
      </c>
      <c r="R25" s="89">
        <v>2</v>
      </c>
      <c r="S25" s="89">
        <v>2</v>
      </c>
      <c r="T25" s="89"/>
      <c r="U25" s="89"/>
      <c r="V25" s="89">
        <v>1</v>
      </c>
      <c r="W25" s="89">
        <v>2</v>
      </c>
      <c r="X25" s="89">
        <v>2</v>
      </c>
      <c r="Y25" s="89">
        <v>2</v>
      </c>
      <c r="Z25" s="89">
        <v>2</v>
      </c>
      <c r="AA25" s="89"/>
      <c r="AB25" s="89"/>
      <c r="AC25" s="89">
        <v>2</v>
      </c>
      <c r="AD25" s="89">
        <v>2</v>
      </c>
      <c r="AE25" s="89"/>
      <c r="AF25" s="89"/>
      <c r="AG25" s="89"/>
      <c r="AH25" s="89"/>
      <c r="AI25" s="89"/>
      <c r="AJ25" s="89">
        <v>2</v>
      </c>
      <c r="AK25" s="89">
        <v>2</v>
      </c>
      <c r="AL25" s="89">
        <v>2</v>
      </c>
      <c r="AM25" s="89"/>
      <c r="AN25" s="90">
        <f t="shared" si="4"/>
        <v>37</v>
      </c>
      <c r="AO25" s="86">
        <v>170000</v>
      </c>
      <c r="AP25" s="91">
        <f t="shared" si="5"/>
        <v>6290000</v>
      </c>
    </row>
    <row r="26" spans="1:42" ht="24.9" customHeight="1" x14ac:dyDescent="0.4">
      <c r="A26" s="84">
        <v>21</v>
      </c>
      <c r="B26" s="84" t="s">
        <v>486</v>
      </c>
      <c r="C26" s="85" t="s">
        <v>506</v>
      </c>
      <c r="D26" s="36" t="s">
        <v>227</v>
      </c>
      <c r="E26" s="126" t="s">
        <v>524</v>
      </c>
      <c r="F26" s="94" t="s">
        <v>230</v>
      </c>
      <c r="G26" s="87" t="s">
        <v>486</v>
      </c>
      <c r="H26" s="88" t="s">
        <v>543</v>
      </c>
      <c r="I26" s="89">
        <v>2</v>
      </c>
      <c r="J26" s="89">
        <v>2</v>
      </c>
      <c r="K26" s="89">
        <v>2</v>
      </c>
      <c r="L26" s="89">
        <v>2</v>
      </c>
      <c r="M26" s="89"/>
      <c r="N26" s="89"/>
      <c r="O26" s="89">
        <v>2</v>
      </c>
      <c r="P26" s="89">
        <v>2</v>
      </c>
      <c r="Q26" s="89">
        <v>2</v>
      </c>
      <c r="R26" s="89">
        <v>2</v>
      </c>
      <c r="S26" s="89">
        <v>2</v>
      </c>
      <c r="T26" s="89"/>
      <c r="U26" s="89"/>
      <c r="V26" s="89">
        <v>1</v>
      </c>
      <c r="W26" s="89">
        <v>2</v>
      </c>
      <c r="X26" s="89">
        <v>2</v>
      </c>
      <c r="Y26" s="89">
        <v>2</v>
      </c>
      <c r="Z26" s="89">
        <v>2</v>
      </c>
      <c r="AA26" s="89"/>
      <c r="AB26" s="89"/>
      <c r="AC26" s="89">
        <v>2</v>
      </c>
      <c r="AD26" s="89">
        <v>2</v>
      </c>
      <c r="AE26" s="89"/>
      <c r="AF26" s="89"/>
      <c r="AG26" s="89"/>
      <c r="AH26" s="89"/>
      <c r="AI26" s="89"/>
      <c r="AJ26" s="89">
        <v>2</v>
      </c>
      <c r="AK26" s="89">
        <v>2</v>
      </c>
      <c r="AL26" s="89">
        <v>2</v>
      </c>
      <c r="AM26" s="89"/>
      <c r="AN26" s="90">
        <f t="shared" si="4"/>
        <v>37</v>
      </c>
      <c r="AO26" s="86">
        <v>250000</v>
      </c>
      <c r="AP26" s="91">
        <f t="shared" si="5"/>
        <v>9250000</v>
      </c>
    </row>
    <row r="27" spans="1:42" ht="24.9" customHeight="1" x14ac:dyDescent="0.4">
      <c r="A27" s="84">
        <v>22</v>
      </c>
      <c r="B27" s="84" t="s">
        <v>606</v>
      </c>
      <c r="C27" s="85" t="s">
        <v>651</v>
      </c>
      <c r="D27" s="128" t="s">
        <v>228</v>
      </c>
      <c r="E27" s="126" t="s">
        <v>695</v>
      </c>
      <c r="F27" s="94" t="s">
        <v>226</v>
      </c>
      <c r="G27" s="87" t="s">
        <v>606</v>
      </c>
      <c r="H27" s="88">
        <v>91024861411</v>
      </c>
      <c r="I27" s="89">
        <v>2</v>
      </c>
      <c r="J27" s="89"/>
      <c r="K27" s="89">
        <v>2</v>
      </c>
      <c r="L27" s="89">
        <v>2</v>
      </c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90">
        <f t="shared" si="4"/>
        <v>6</v>
      </c>
      <c r="AO27" s="86">
        <v>230000</v>
      </c>
      <c r="AP27" s="91">
        <f t="shared" si="5"/>
        <v>1380000</v>
      </c>
    </row>
    <row r="28" spans="1:42" ht="24.9" customHeight="1" x14ac:dyDescent="0.4">
      <c r="A28" s="84">
        <v>23</v>
      </c>
      <c r="B28" s="84" t="s">
        <v>418</v>
      </c>
      <c r="C28" s="85" t="s">
        <v>433</v>
      </c>
      <c r="D28" s="36" t="s">
        <v>225</v>
      </c>
      <c r="E28" s="126" t="s">
        <v>448</v>
      </c>
      <c r="F28" s="94" t="s">
        <v>226</v>
      </c>
      <c r="G28" s="87" t="s">
        <v>418</v>
      </c>
      <c r="H28" s="88" t="s">
        <v>462</v>
      </c>
      <c r="I28" s="89">
        <v>2</v>
      </c>
      <c r="J28" s="89">
        <v>2</v>
      </c>
      <c r="K28" s="89">
        <v>2</v>
      </c>
      <c r="L28" s="89">
        <v>2</v>
      </c>
      <c r="M28" s="89"/>
      <c r="N28" s="89"/>
      <c r="O28" s="89">
        <v>2</v>
      </c>
      <c r="P28" s="89">
        <v>2</v>
      </c>
      <c r="Q28" s="89">
        <v>2</v>
      </c>
      <c r="R28" s="89">
        <v>2</v>
      </c>
      <c r="S28" s="89">
        <v>2</v>
      </c>
      <c r="T28" s="89"/>
      <c r="U28" s="89"/>
      <c r="V28" s="89">
        <v>1</v>
      </c>
      <c r="W28" s="89">
        <v>2</v>
      </c>
      <c r="X28" s="89">
        <v>2</v>
      </c>
      <c r="Y28" s="89">
        <v>2</v>
      </c>
      <c r="Z28" s="89">
        <v>2</v>
      </c>
      <c r="AA28" s="89"/>
      <c r="AB28" s="89"/>
      <c r="AC28" s="89"/>
      <c r="AD28" s="89"/>
      <c r="AE28" s="89"/>
      <c r="AF28" s="89"/>
      <c r="AG28" s="89"/>
      <c r="AH28" s="89"/>
      <c r="AI28" s="89"/>
      <c r="AJ28" s="89">
        <v>0.25</v>
      </c>
      <c r="AK28" s="89"/>
      <c r="AL28" s="89"/>
      <c r="AM28" s="89"/>
      <c r="AN28" s="90">
        <f t="shared" si="4"/>
        <v>27.25</v>
      </c>
      <c r="AO28" s="86">
        <v>160000</v>
      </c>
      <c r="AP28" s="91">
        <f t="shared" si="5"/>
        <v>4360000</v>
      </c>
    </row>
    <row r="29" spans="1:42" ht="24.9" customHeight="1" x14ac:dyDescent="0.4">
      <c r="A29" s="84">
        <v>24</v>
      </c>
      <c r="B29" s="84" t="s">
        <v>346</v>
      </c>
      <c r="C29" s="85" t="s">
        <v>347</v>
      </c>
      <c r="D29" s="36" t="s">
        <v>227</v>
      </c>
      <c r="E29" s="36" t="s">
        <v>348</v>
      </c>
      <c r="F29" s="96" t="s">
        <v>296</v>
      </c>
      <c r="G29" s="87" t="s">
        <v>346</v>
      </c>
      <c r="H29" s="88" t="s">
        <v>348</v>
      </c>
      <c r="I29" s="89">
        <v>1</v>
      </c>
      <c r="J29" s="89">
        <v>2</v>
      </c>
      <c r="K29" s="89">
        <v>2</v>
      </c>
      <c r="L29" s="89">
        <v>2</v>
      </c>
      <c r="M29" s="89"/>
      <c r="N29" s="89"/>
      <c r="O29" s="89">
        <v>2</v>
      </c>
      <c r="P29" s="89">
        <v>2</v>
      </c>
      <c r="Q29" s="89">
        <v>2</v>
      </c>
      <c r="R29" s="89">
        <v>2</v>
      </c>
      <c r="S29" s="89">
        <v>2</v>
      </c>
      <c r="T29" s="89"/>
      <c r="U29" s="89"/>
      <c r="V29" s="89">
        <v>1</v>
      </c>
      <c r="W29" s="89">
        <v>2</v>
      </c>
      <c r="X29" s="89">
        <v>2</v>
      </c>
      <c r="Y29" s="89">
        <v>2</v>
      </c>
      <c r="Z29" s="89">
        <v>2</v>
      </c>
      <c r="AA29" s="89"/>
      <c r="AB29" s="89"/>
      <c r="AC29" s="89">
        <v>2</v>
      </c>
      <c r="AD29" s="89">
        <v>2</v>
      </c>
      <c r="AE29" s="89"/>
      <c r="AF29" s="89"/>
      <c r="AG29" s="89"/>
      <c r="AH29" s="89"/>
      <c r="AI29" s="89"/>
      <c r="AJ29" s="89">
        <v>2</v>
      </c>
      <c r="AK29" s="89">
        <v>2</v>
      </c>
      <c r="AL29" s="89">
        <v>2</v>
      </c>
      <c r="AM29" s="89"/>
      <c r="AN29" s="90">
        <f t="shared" si="4"/>
        <v>36</v>
      </c>
      <c r="AO29" s="86">
        <v>250000</v>
      </c>
      <c r="AP29" s="91">
        <f t="shared" si="5"/>
        <v>9000000</v>
      </c>
    </row>
    <row r="30" spans="1:42" ht="24.9" customHeight="1" x14ac:dyDescent="0.4">
      <c r="A30" s="84">
        <v>25</v>
      </c>
      <c r="B30" s="84" t="s">
        <v>898</v>
      </c>
      <c r="C30" s="85" t="s">
        <v>913</v>
      </c>
      <c r="D30" s="36" t="s">
        <v>228</v>
      </c>
      <c r="E30" s="36" t="s">
        <v>928</v>
      </c>
      <c r="F30" s="94" t="s">
        <v>295</v>
      </c>
      <c r="G30" s="87" t="s">
        <v>898</v>
      </c>
      <c r="H30" s="88" t="s">
        <v>943</v>
      </c>
      <c r="I30" s="89">
        <v>1.5</v>
      </c>
      <c r="J30" s="89">
        <v>1.5</v>
      </c>
      <c r="K30" s="89">
        <v>1</v>
      </c>
      <c r="L30" s="89">
        <v>1</v>
      </c>
      <c r="M30" s="89">
        <v>1</v>
      </c>
      <c r="N30" s="89"/>
      <c r="O30" s="89">
        <v>1</v>
      </c>
      <c r="P30" s="89">
        <v>1.5</v>
      </c>
      <c r="Q30" s="89">
        <v>1</v>
      </c>
      <c r="R30" s="89">
        <v>1.5</v>
      </c>
      <c r="S30" s="89">
        <v>1</v>
      </c>
      <c r="T30" s="89">
        <v>1</v>
      </c>
      <c r="U30" s="89"/>
      <c r="V30" s="89">
        <v>1</v>
      </c>
      <c r="W30" s="89">
        <v>1.5</v>
      </c>
      <c r="X30" s="89">
        <v>1</v>
      </c>
      <c r="Y30" s="89">
        <v>1.5</v>
      </c>
      <c r="Z30" s="89">
        <v>1</v>
      </c>
      <c r="AA30" s="89">
        <v>1</v>
      </c>
      <c r="AB30" s="89"/>
      <c r="AC30" s="89">
        <v>1.5</v>
      </c>
      <c r="AD30" s="89">
        <v>1</v>
      </c>
      <c r="AE30" s="89">
        <v>1</v>
      </c>
      <c r="AF30" s="89"/>
      <c r="AG30" s="89"/>
      <c r="AH30" s="89"/>
      <c r="AI30" s="89"/>
      <c r="AJ30" s="89">
        <v>1</v>
      </c>
      <c r="AK30" s="89">
        <v>1</v>
      </c>
      <c r="AL30" s="89">
        <v>2</v>
      </c>
      <c r="AM30" s="89"/>
      <c r="AN30" s="90">
        <f t="shared" si="4"/>
        <v>27.5</v>
      </c>
      <c r="AO30" s="86">
        <v>210000</v>
      </c>
      <c r="AP30" s="91">
        <f t="shared" si="5"/>
        <v>5775000</v>
      </c>
    </row>
    <row r="31" spans="1:42" ht="24.9" customHeight="1" x14ac:dyDescent="0.4">
      <c r="A31" s="84">
        <v>26</v>
      </c>
      <c r="B31" s="84" t="s">
        <v>582</v>
      </c>
      <c r="C31" s="85" t="s">
        <v>626</v>
      </c>
      <c r="D31" s="36" t="s">
        <v>225</v>
      </c>
      <c r="E31" s="126" t="s">
        <v>671</v>
      </c>
      <c r="F31" s="96" t="s">
        <v>229</v>
      </c>
      <c r="G31" s="87" t="s">
        <v>582</v>
      </c>
      <c r="H31" s="88" t="s">
        <v>715</v>
      </c>
      <c r="I31" s="89">
        <v>2</v>
      </c>
      <c r="J31" s="89">
        <v>2</v>
      </c>
      <c r="K31" s="89">
        <v>2</v>
      </c>
      <c r="L31" s="89">
        <v>2</v>
      </c>
      <c r="M31" s="89"/>
      <c r="N31" s="89"/>
      <c r="O31" s="89">
        <v>2</v>
      </c>
      <c r="P31" s="89">
        <v>2</v>
      </c>
      <c r="Q31" s="89">
        <v>2</v>
      </c>
      <c r="R31" s="89">
        <v>2</v>
      </c>
      <c r="S31" s="89">
        <v>2</v>
      </c>
      <c r="T31" s="89"/>
      <c r="U31" s="89"/>
      <c r="V31" s="89">
        <v>1</v>
      </c>
      <c r="W31" s="89">
        <v>2</v>
      </c>
      <c r="X31" s="89">
        <v>2</v>
      </c>
      <c r="Y31" s="89">
        <v>2</v>
      </c>
      <c r="Z31" s="89">
        <v>2</v>
      </c>
      <c r="AA31" s="89"/>
      <c r="AB31" s="89"/>
      <c r="AC31" s="89">
        <v>2</v>
      </c>
      <c r="AD31" s="89">
        <v>2</v>
      </c>
      <c r="AE31" s="89"/>
      <c r="AF31" s="89"/>
      <c r="AG31" s="89"/>
      <c r="AH31" s="89"/>
      <c r="AI31" s="89"/>
      <c r="AJ31" s="89">
        <v>2</v>
      </c>
      <c r="AK31" s="89">
        <v>2</v>
      </c>
      <c r="AL31" s="89">
        <v>2</v>
      </c>
      <c r="AM31" s="89"/>
      <c r="AN31" s="90">
        <f t="shared" si="4"/>
        <v>37</v>
      </c>
      <c r="AO31" s="86">
        <v>160000</v>
      </c>
      <c r="AP31" s="91">
        <f t="shared" si="5"/>
        <v>5920000</v>
      </c>
    </row>
    <row r="32" spans="1:42" ht="24.9" customHeight="1" x14ac:dyDescent="0.4">
      <c r="A32" s="84">
        <v>27</v>
      </c>
      <c r="B32" s="84" t="s">
        <v>419</v>
      </c>
      <c r="C32" s="85" t="s">
        <v>434</v>
      </c>
      <c r="D32" s="36" t="s">
        <v>228</v>
      </c>
      <c r="E32" s="126" t="s">
        <v>449</v>
      </c>
      <c r="F32" s="94" t="s">
        <v>361</v>
      </c>
      <c r="G32" s="87" t="s">
        <v>419</v>
      </c>
      <c r="H32" s="88" t="s">
        <v>463</v>
      </c>
      <c r="I32" s="89">
        <v>2</v>
      </c>
      <c r="J32" s="89">
        <v>2</v>
      </c>
      <c r="K32" s="89">
        <v>2</v>
      </c>
      <c r="L32" s="89">
        <v>2</v>
      </c>
      <c r="M32" s="89"/>
      <c r="N32" s="89"/>
      <c r="O32" s="89">
        <v>2</v>
      </c>
      <c r="P32" s="89">
        <v>2</v>
      </c>
      <c r="Q32" s="89">
        <v>2</v>
      </c>
      <c r="R32" s="89">
        <v>2</v>
      </c>
      <c r="S32" s="89"/>
      <c r="T32" s="89"/>
      <c r="U32" s="89"/>
      <c r="V32" s="89">
        <v>1</v>
      </c>
      <c r="W32" s="89">
        <v>1.5</v>
      </c>
      <c r="X32" s="89">
        <v>1</v>
      </c>
      <c r="Y32" s="89">
        <v>1.5</v>
      </c>
      <c r="Z32" s="89">
        <v>1</v>
      </c>
      <c r="AA32" s="89">
        <v>1</v>
      </c>
      <c r="AB32" s="89"/>
      <c r="AC32" s="89">
        <v>1.5</v>
      </c>
      <c r="AD32" s="89">
        <v>1</v>
      </c>
      <c r="AE32" s="89">
        <v>1</v>
      </c>
      <c r="AF32" s="89"/>
      <c r="AG32" s="89"/>
      <c r="AH32" s="89"/>
      <c r="AI32" s="89"/>
      <c r="AJ32" s="89">
        <v>1</v>
      </c>
      <c r="AK32" s="89">
        <v>1.5</v>
      </c>
      <c r="AL32" s="89">
        <v>1</v>
      </c>
      <c r="AM32" s="89"/>
      <c r="AN32" s="90">
        <f t="shared" si="4"/>
        <v>30</v>
      </c>
      <c r="AO32" s="86">
        <v>220000</v>
      </c>
      <c r="AP32" s="91">
        <f t="shared" si="5"/>
        <v>6600000</v>
      </c>
    </row>
    <row r="33" spans="1:42" ht="24.9" customHeight="1" x14ac:dyDescent="0.4">
      <c r="A33" s="84">
        <v>28</v>
      </c>
      <c r="B33" s="84" t="s">
        <v>608</v>
      </c>
      <c r="C33" s="85" t="s">
        <v>653</v>
      </c>
      <c r="D33" s="36" t="s">
        <v>225</v>
      </c>
      <c r="E33" s="36" t="s">
        <v>697</v>
      </c>
      <c r="F33" s="94" t="s">
        <v>230</v>
      </c>
      <c r="G33" s="87" t="s">
        <v>608</v>
      </c>
      <c r="H33" s="88" t="s">
        <v>737</v>
      </c>
      <c r="I33" s="89">
        <v>2</v>
      </c>
      <c r="J33" s="89">
        <v>2</v>
      </c>
      <c r="K33" s="89">
        <v>2</v>
      </c>
      <c r="L33" s="89">
        <v>2</v>
      </c>
      <c r="M33" s="89"/>
      <c r="N33" s="89"/>
      <c r="O33" s="89">
        <v>2</v>
      </c>
      <c r="P33" s="89">
        <v>2</v>
      </c>
      <c r="Q33" s="89">
        <v>2</v>
      </c>
      <c r="R33" s="89">
        <v>2</v>
      </c>
      <c r="S33" s="89">
        <v>2</v>
      </c>
      <c r="T33" s="89"/>
      <c r="U33" s="89"/>
      <c r="V33" s="89">
        <v>1</v>
      </c>
      <c r="W33" s="89">
        <v>1.5</v>
      </c>
      <c r="X33" s="89">
        <v>1</v>
      </c>
      <c r="Y33" s="89">
        <v>2</v>
      </c>
      <c r="Z33" s="89">
        <v>2</v>
      </c>
      <c r="AA33" s="89"/>
      <c r="AB33" s="89"/>
      <c r="AC33" s="89">
        <v>2</v>
      </c>
      <c r="AD33" s="89">
        <v>2</v>
      </c>
      <c r="AE33" s="89"/>
      <c r="AF33" s="89"/>
      <c r="AG33" s="89"/>
      <c r="AH33" s="89"/>
      <c r="AI33" s="89"/>
      <c r="AJ33" s="89">
        <v>2</v>
      </c>
      <c r="AK33" s="89">
        <v>2</v>
      </c>
      <c r="AL33" s="89">
        <v>2</v>
      </c>
      <c r="AM33" s="89"/>
      <c r="AN33" s="90">
        <f t="shared" si="4"/>
        <v>35.5</v>
      </c>
      <c r="AO33" s="86">
        <v>150000</v>
      </c>
      <c r="AP33" s="91">
        <f t="shared" si="5"/>
        <v>5325000</v>
      </c>
    </row>
    <row r="34" spans="1:42" ht="24.9" customHeight="1" x14ac:dyDescent="0.4">
      <c r="A34" s="84">
        <v>29</v>
      </c>
      <c r="B34" s="84" t="s">
        <v>349</v>
      </c>
      <c r="C34" s="85" t="s">
        <v>350</v>
      </c>
      <c r="D34" s="36" t="s">
        <v>959</v>
      </c>
      <c r="E34" s="36" t="s">
        <v>351</v>
      </c>
      <c r="F34" s="94" t="s">
        <v>296</v>
      </c>
      <c r="G34" s="87" t="s">
        <v>349</v>
      </c>
      <c r="H34" s="88" t="s">
        <v>352</v>
      </c>
      <c r="I34" s="89">
        <v>2</v>
      </c>
      <c r="J34" s="89">
        <v>2</v>
      </c>
      <c r="K34" s="89">
        <v>2</v>
      </c>
      <c r="L34" s="89">
        <v>2</v>
      </c>
      <c r="M34" s="89"/>
      <c r="N34" s="89"/>
      <c r="O34" s="89">
        <v>2</v>
      </c>
      <c r="P34" s="89">
        <v>2</v>
      </c>
      <c r="Q34" s="89">
        <v>2</v>
      </c>
      <c r="R34" s="89">
        <v>2</v>
      </c>
      <c r="S34" s="89">
        <v>2</v>
      </c>
      <c r="T34" s="89"/>
      <c r="U34" s="89"/>
      <c r="V34" s="89">
        <v>1</v>
      </c>
      <c r="W34" s="89">
        <v>1.5</v>
      </c>
      <c r="X34" s="89">
        <v>1</v>
      </c>
      <c r="Y34" s="89">
        <v>1.5</v>
      </c>
      <c r="Z34" s="89">
        <v>1</v>
      </c>
      <c r="AA34" s="89">
        <v>1</v>
      </c>
      <c r="AB34" s="89"/>
      <c r="AC34" s="89">
        <v>1.5</v>
      </c>
      <c r="AD34" s="89">
        <v>1</v>
      </c>
      <c r="AE34" s="89">
        <v>1</v>
      </c>
      <c r="AF34" s="89"/>
      <c r="AG34" s="89"/>
      <c r="AH34" s="89"/>
      <c r="AI34" s="89"/>
      <c r="AJ34" s="89">
        <v>1</v>
      </c>
      <c r="AK34" s="89">
        <v>1.5</v>
      </c>
      <c r="AL34" s="89">
        <v>1</v>
      </c>
      <c r="AM34" s="89"/>
      <c r="AN34" s="90">
        <f t="shared" si="4"/>
        <v>32</v>
      </c>
      <c r="AO34" s="86">
        <v>240000</v>
      </c>
      <c r="AP34" s="91">
        <f t="shared" si="5"/>
        <v>7680000</v>
      </c>
    </row>
    <row r="35" spans="1:42" ht="24.9" customHeight="1" x14ac:dyDescent="0.4">
      <c r="A35" s="84">
        <v>30</v>
      </c>
      <c r="B35" s="84" t="s">
        <v>499</v>
      </c>
      <c r="C35" s="85" t="s">
        <v>519</v>
      </c>
      <c r="D35" s="36" t="s">
        <v>971</v>
      </c>
      <c r="E35" s="36" t="s">
        <v>537</v>
      </c>
      <c r="F35" s="94" t="s">
        <v>230</v>
      </c>
      <c r="G35" s="87" t="s">
        <v>499</v>
      </c>
      <c r="H35" s="88" t="s">
        <v>556</v>
      </c>
      <c r="I35" s="89">
        <v>1.5</v>
      </c>
      <c r="J35" s="89">
        <v>1.5</v>
      </c>
      <c r="K35" s="89">
        <v>1</v>
      </c>
      <c r="L35" s="89">
        <v>1</v>
      </c>
      <c r="M35" s="89">
        <v>0.375</v>
      </c>
      <c r="N35" s="89"/>
      <c r="O35" s="89">
        <v>1</v>
      </c>
      <c r="P35" s="89">
        <v>1.5</v>
      </c>
      <c r="Q35" s="89">
        <v>1</v>
      </c>
      <c r="R35" s="89">
        <v>1.5</v>
      </c>
      <c r="S35" s="89">
        <v>1</v>
      </c>
      <c r="T35" s="89">
        <v>0.875</v>
      </c>
      <c r="U35" s="89"/>
      <c r="V35" s="89">
        <v>1</v>
      </c>
      <c r="W35" s="89">
        <v>1.5</v>
      </c>
      <c r="X35" s="89">
        <v>1</v>
      </c>
      <c r="Y35" s="89">
        <v>1.5</v>
      </c>
      <c r="Z35" s="89">
        <v>1</v>
      </c>
      <c r="AA35" s="89">
        <v>1</v>
      </c>
      <c r="AB35" s="89"/>
      <c r="AC35" s="89">
        <v>1.375</v>
      </c>
      <c r="AD35" s="89">
        <v>1</v>
      </c>
      <c r="AE35" s="89">
        <v>1</v>
      </c>
      <c r="AF35" s="89"/>
      <c r="AG35" s="89"/>
      <c r="AH35" s="89"/>
      <c r="AI35" s="89"/>
      <c r="AJ35" s="89">
        <v>1</v>
      </c>
      <c r="AK35" s="89">
        <v>1.5</v>
      </c>
      <c r="AL35" s="89"/>
      <c r="AM35" s="89"/>
      <c r="AN35" s="90">
        <f t="shared" si="4"/>
        <v>25.125</v>
      </c>
      <c r="AO35" s="86">
        <v>200000</v>
      </c>
      <c r="AP35" s="91">
        <f t="shared" si="5"/>
        <v>5025000</v>
      </c>
    </row>
    <row r="36" spans="1:42" ht="24.9" customHeight="1" x14ac:dyDescent="0.4">
      <c r="A36" s="84">
        <v>31</v>
      </c>
      <c r="B36" s="84" t="s">
        <v>353</v>
      </c>
      <c r="C36" s="85" t="s">
        <v>354</v>
      </c>
      <c r="D36" s="36" t="s">
        <v>228</v>
      </c>
      <c r="E36" s="36" t="s">
        <v>355</v>
      </c>
      <c r="F36" s="94" t="s">
        <v>226</v>
      </c>
      <c r="G36" s="87" t="s">
        <v>353</v>
      </c>
      <c r="H36" s="88" t="s">
        <v>356</v>
      </c>
      <c r="I36" s="89">
        <v>2</v>
      </c>
      <c r="J36" s="89">
        <v>2</v>
      </c>
      <c r="K36" s="89">
        <v>2</v>
      </c>
      <c r="L36" s="89">
        <v>2</v>
      </c>
      <c r="M36" s="89"/>
      <c r="N36" s="89"/>
      <c r="O36" s="89">
        <v>2</v>
      </c>
      <c r="P36" s="89">
        <v>2</v>
      </c>
      <c r="Q36" s="89">
        <v>2</v>
      </c>
      <c r="R36" s="89">
        <v>2</v>
      </c>
      <c r="S36" s="89">
        <v>2</v>
      </c>
      <c r="T36" s="89"/>
      <c r="U36" s="89"/>
      <c r="V36" s="89">
        <v>1</v>
      </c>
      <c r="W36" s="89">
        <v>2</v>
      </c>
      <c r="X36" s="89">
        <v>2</v>
      </c>
      <c r="Y36" s="89">
        <v>2</v>
      </c>
      <c r="Z36" s="89">
        <v>2</v>
      </c>
      <c r="AA36" s="89"/>
      <c r="AB36" s="89"/>
      <c r="AC36" s="89">
        <v>2</v>
      </c>
      <c r="AD36" s="89">
        <v>2</v>
      </c>
      <c r="AE36" s="89"/>
      <c r="AF36" s="89"/>
      <c r="AG36" s="89"/>
      <c r="AH36" s="89"/>
      <c r="AI36" s="89"/>
      <c r="AJ36" s="89">
        <v>2</v>
      </c>
      <c r="AK36" s="89">
        <v>2</v>
      </c>
      <c r="AL36" s="89">
        <v>2</v>
      </c>
      <c r="AM36" s="89"/>
      <c r="AN36" s="90">
        <f t="shared" si="4"/>
        <v>37</v>
      </c>
      <c r="AO36" s="86">
        <v>250000</v>
      </c>
      <c r="AP36" s="91">
        <f t="shared" si="5"/>
        <v>9250000</v>
      </c>
    </row>
    <row r="37" spans="1:42" ht="24.9" customHeight="1" x14ac:dyDescent="0.4">
      <c r="A37" s="84">
        <v>32</v>
      </c>
      <c r="B37" s="84" t="s">
        <v>609</v>
      </c>
      <c r="C37" s="85" t="s">
        <v>654</v>
      </c>
      <c r="D37" s="36" t="s">
        <v>225</v>
      </c>
      <c r="E37" s="36" t="s">
        <v>698</v>
      </c>
      <c r="F37" s="96" t="s">
        <v>296</v>
      </c>
      <c r="G37" s="87" t="s">
        <v>609</v>
      </c>
      <c r="H37" s="88" t="s">
        <v>738</v>
      </c>
      <c r="I37" s="89">
        <v>2</v>
      </c>
      <c r="J37" s="89">
        <v>2</v>
      </c>
      <c r="K37" s="89">
        <v>2</v>
      </c>
      <c r="L37" s="89">
        <v>2</v>
      </c>
      <c r="M37" s="89"/>
      <c r="N37" s="89"/>
      <c r="O37" s="89">
        <v>2</v>
      </c>
      <c r="P37" s="89">
        <v>2</v>
      </c>
      <c r="Q37" s="89">
        <v>2</v>
      </c>
      <c r="R37" s="89">
        <v>2</v>
      </c>
      <c r="S37" s="89">
        <v>2</v>
      </c>
      <c r="T37" s="89"/>
      <c r="U37" s="89"/>
      <c r="V37" s="89">
        <v>1</v>
      </c>
      <c r="W37" s="89">
        <v>1.5</v>
      </c>
      <c r="X37" s="89">
        <v>1</v>
      </c>
      <c r="Y37" s="89">
        <v>2</v>
      </c>
      <c r="Z37" s="89">
        <v>2</v>
      </c>
      <c r="AA37" s="89"/>
      <c r="AB37" s="89"/>
      <c r="AC37" s="89">
        <v>2</v>
      </c>
      <c r="AD37" s="89">
        <v>2</v>
      </c>
      <c r="AE37" s="89"/>
      <c r="AF37" s="89"/>
      <c r="AG37" s="89"/>
      <c r="AH37" s="89"/>
      <c r="AI37" s="89"/>
      <c r="AJ37" s="89">
        <v>2</v>
      </c>
      <c r="AK37" s="89">
        <v>2</v>
      </c>
      <c r="AL37" s="89">
        <v>2</v>
      </c>
      <c r="AM37" s="89"/>
      <c r="AN37" s="90">
        <f t="shared" si="4"/>
        <v>35.5</v>
      </c>
      <c r="AO37" s="86">
        <v>160000</v>
      </c>
      <c r="AP37" s="91">
        <f t="shared" si="5"/>
        <v>5680000</v>
      </c>
    </row>
    <row r="38" spans="1:42" ht="24.9" customHeight="1" x14ac:dyDescent="0.4">
      <c r="A38" s="84">
        <v>33</v>
      </c>
      <c r="B38" s="84" t="s">
        <v>503</v>
      </c>
      <c r="C38" s="85" t="s">
        <v>521</v>
      </c>
      <c r="D38" s="36" t="s">
        <v>225</v>
      </c>
      <c r="E38" s="36" t="s">
        <v>540</v>
      </c>
      <c r="F38" s="94" t="s">
        <v>558</v>
      </c>
      <c r="G38" s="87" t="s">
        <v>503</v>
      </c>
      <c r="H38" s="88" t="s">
        <v>559</v>
      </c>
      <c r="I38" s="89">
        <v>2</v>
      </c>
      <c r="J38" s="89">
        <v>2</v>
      </c>
      <c r="K38" s="89">
        <v>2</v>
      </c>
      <c r="L38" s="89">
        <v>2</v>
      </c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90">
        <f t="shared" ref="AN38:AN66" si="6">SUM(I38:AM38)</f>
        <v>8</v>
      </c>
      <c r="AO38" s="86">
        <v>170000</v>
      </c>
      <c r="AP38" s="91">
        <f t="shared" ref="AP38:AP66" si="7">AN38*AO38</f>
        <v>1360000</v>
      </c>
    </row>
    <row r="39" spans="1:42" ht="24.9" customHeight="1" x14ac:dyDescent="0.4">
      <c r="A39" s="84">
        <v>34</v>
      </c>
      <c r="B39" s="84" t="s">
        <v>620</v>
      </c>
      <c r="C39" s="85" t="s">
        <v>665</v>
      </c>
      <c r="D39" s="36" t="s">
        <v>227</v>
      </c>
      <c r="E39" s="126" t="s">
        <v>709</v>
      </c>
      <c r="F39" s="94" t="s">
        <v>230</v>
      </c>
      <c r="G39" s="87" t="s">
        <v>620</v>
      </c>
      <c r="H39" s="88" t="s">
        <v>750</v>
      </c>
      <c r="I39" s="89">
        <v>2</v>
      </c>
      <c r="J39" s="89">
        <v>2</v>
      </c>
      <c r="K39" s="89">
        <v>2</v>
      </c>
      <c r="L39" s="89">
        <v>2</v>
      </c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90">
        <f t="shared" si="6"/>
        <v>8</v>
      </c>
      <c r="AO39" s="86">
        <v>240000</v>
      </c>
      <c r="AP39" s="91">
        <f t="shared" si="7"/>
        <v>1920000</v>
      </c>
    </row>
    <row r="40" spans="1:42" ht="24.9" customHeight="1" x14ac:dyDescent="0.4">
      <c r="A40" s="84">
        <v>35</v>
      </c>
      <c r="B40" s="84" t="s">
        <v>497</v>
      </c>
      <c r="C40" s="85" t="s">
        <v>517</v>
      </c>
      <c r="D40" s="36" t="s">
        <v>225</v>
      </c>
      <c r="E40" s="126" t="s">
        <v>535</v>
      </c>
      <c r="F40" s="94" t="s">
        <v>226</v>
      </c>
      <c r="G40" s="87" t="s">
        <v>497</v>
      </c>
      <c r="H40" s="88" t="s">
        <v>554</v>
      </c>
      <c r="I40" s="89">
        <v>1.5</v>
      </c>
      <c r="J40" s="89">
        <v>1.5</v>
      </c>
      <c r="K40" s="89">
        <v>1</v>
      </c>
      <c r="L40" s="89">
        <v>1</v>
      </c>
      <c r="M40" s="89">
        <v>1</v>
      </c>
      <c r="N40" s="89"/>
      <c r="O40" s="89">
        <v>1</v>
      </c>
      <c r="P40" s="89">
        <v>1.5</v>
      </c>
      <c r="Q40" s="89">
        <v>1</v>
      </c>
      <c r="R40" s="89">
        <v>1.5</v>
      </c>
      <c r="S40" s="89">
        <v>1</v>
      </c>
      <c r="T40" s="89">
        <v>1</v>
      </c>
      <c r="U40" s="89"/>
      <c r="V40" s="89">
        <v>1</v>
      </c>
      <c r="W40" s="89">
        <v>1.5</v>
      </c>
      <c r="X40" s="89"/>
      <c r="Y40" s="89">
        <v>1.5</v>
      </c>
      <c r="Z40" s="89">
        <v>1</v>
      </c>
      <c r="AA40" s="89">
        <v>1</v>
      </c>
      <c r="AB40" s="89"/>
      <c r="AC40" s="89">
        <v>1.5</v>
      </c>
      <c r="AD40" s="89">
        <v>1</v>
      </c>
      <c r="AE40" s="89"/>
      <c r="AF40" s="89"/>
      <c r="AG40" s="89"/>
      <c r="AH40" s="89"/>
      <c r="AI40" s="89"/>
      <c r="AJ40" s="89">
        <v>1</v>
      </c>
      <c r="AK40" s="89">
        <v>1.5</v>
      </c>
      <c r="AL40" s="89">
        <v>1</v>
      </c>
      <c r="AM40" s="89"/>
      <c r="AN40" s="90">
        <f t="shared" si="6"/>
        <v>25</v>
      </c>
      <c r="AO40" s="86">
        <v>180000</v>
      </c>
      <c r="AP40" s="91">
        <f t="shared" si="7"/>
        <v>4500000</v>
      </c>
    </row>
    <row r="41" spans="1:42" ht="24.9" customHeight="1" x14ac:dyDescent="0.4">
      <c r="A41" s="84">
        <v>36</v>
      </c>
      <c r="B41" s="84" t="s">
        <v>578</v>
      </c>
      <c r="C41" s="85" t="s">
        <v>622</v>
      </c>
      <c r="D41" s="36" t="s">
        <v>228</v>
      </c>
      <c r="E41" s="126" t="s">
        <v>667</v>
      </c>
      <c r="F41" s="94" t="s">
        <v>303</v>
      </c>
      <c r="G41" s="87" t="s">
        <v>578</v>
      </c>
      <c r="H41" s="88" t="s">
        <v>711</v>
      </c>
      <c r="I41" s="89">
        <v>2</v>
      </c>
      <c r="J41" s="89">
        <v>2</v>
      </c>
      <c r="K41" s="89">
        <v>2</v>
      </c>
      <c r="L41" s="89">
        <v>2</v>
      </c>
      <c r="M41" s="89"/>
      <c r="N41" s="89"/>
      <c r="O41" s="89">
        <v>2</v>
      </c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90">
        <f t="shared" si="6"/>
        <v>10</v>
      </c>
      <c r="AO41" s="86">
        <v>210000</v>
      </c>
      <c r="AP41" s="91">
        <f t="shared" si="7"/>
        <v>2100000</v>
      </c>
    </row>
    <row r="42" spans="1:42" ht="24.9" customHeight="1" x14ac:dyDescent="0.4">
      <c r="A42" s="84">
        <v>37</v>
      </c>
      <c r="B42" s="84" t="s">
        <v>493</v>
      </c>
      <c r="C42" s="85" t="s">
        <v>513</v>
      </c>
      <c r="D42" s="36" t="s">
        <v>225</v>
      </c>
      <c r="E42" s="126" t="s">
        <v>531</v>
      </c>
      <c r="F42" s="94" t="s">
        <v>229</v>
      </c>
      <c r="G42" s="87" t="s">
        <v>493</v>
      </c>
      <c r="H42" s="88" t="s">
        <v>550</v>
      </c>
      <c r="I42" s="89">
        <v>2</v>
      </c>
      <c r="J42" s="89">
        <v>2</v>
      </c>
      <c r="K42" s="89">
        <v>2</v>
      </c>
      <c r="L42" s="89">
        <v>1</v>
      </c>
      <c r="M42" s="89"/>
      <c r="N42" s="89"/>
      <c r="O42" s="89">
        <v>2</v>
      </c>
      <c r="P42" s="89">
        <v>2</v>
      </c>
      <c r="Q42" s="89">
        <v>2</v>
      </c>
      <c r="R42" s="89">
        <v>2</v>
      </c>
      <c r="S42" s="89">
        <v>2</v>
      </c>
      <c r="T42" s="89"/>
      <c r="U42" s="89"/>
      <c r="V42" s="89">
        <v>0.5</v>
      </c>
      <c r="W42" s="89">
        <v>1.5</v>
      </c>
      <c r="X42" s="89">
        <v>1</v>
      </c>
      <c r="Y42" s="89">
        <v>1.5</v>
      </c>
      <c r="Z42" s="89">
        <v>1</v>
      </c>
      <c r="AA42" s="89">
        <v>1</v>
      </c>
      <c r="AB42" s="89"/>
      <c r="AC42" s="89">
        <v>1</v>
      </c>
      <c r="AD42" s="89">
        <v>1</v>
      </c>
      <c r="AE42" s="89">
        <v>1</v>
      </c>
      <c r="AF42" s="89"/>
      <c r="AG42" s="89"/>
      <c r="AH42" s="89"/>
      <c r="AI42" s="89"/>
      <c r="AJ42" s="89"/>
      <c r="AK42" s="89">
        <v>1.5</v>
      </c>
      <c r="AL42" s="89">
        <v>1</v>
      </c>
      <c r="AM42" s="89"/>
      <c r="AN42" s="90">
        <f t="shared" si="6"/>
        <v>29</v>
      </c>
      <c r="AO42" s="86">
        <v>220000</v>
      </c>
      <c r="AP42" s="91">
        <f t="shared" si="7"/>
        <v>6380000</v>
      </c>
    </row>
    <row r="43" spans="1:42" ht="24.9" customHeight="1" x14ac:dyDescent="0.4">
      <c r="A43" s="84">
        <v>38</v>
      </c>
      <c r="B43" s="84" t="s">
        <v>341</v>
      </c>
      <c r="C43" s="85" t="s">
        <v>342</v>
      </c>
      <c r="D43" s="36" t="s">
        <v>228</v>
      </c>
      <c r="E43" s="126" t="s">
        <v>343</v>
      </c>
      <c r="F43" s="94" t="s">
        <v>296</v>
      </c>
      <c r="G43" s="87" t="s">
        <v>341</v>
      </c>
      <c r="H43" s="88" t="s">
        <v>344</v>
      </c>
      <c r="I43" s="89">
        <v>2</v>
      </c>
      <c r="J43" s="89">
        <v>2</v>
      </c>
      <c r="K43" s="89">
        <v>2</v>
      </c>
      <c r="L43" s="89">
        <v>2</v>
      </c>
      <c r="M43" s="89"/>
      <c r="N43" s="89"/>
      <c r="O43" s="89">
        <v>2</v>
      </c>
      <c r="P43" s="89">
        <v>2</v>
      </c>
      <c r="Q43" s="89">
        <v>2</v>
      </c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90">
        <f t="shared" si="6"/>
        <v>14</v>
      </c>
      <c r="AO43" s="86">
        <v>250000</v>
      </c>
      <c r="AP43" s="91">
        <f t="shared" si="7"/>
        <v>3500000</v>
      </c>
    </row>
    <row r="44" spans="1:42" ht="24.9" customHeight="1" x14ac:dyDescent="0.4">
      <c r="A44" s="84">
        <v>39</v>
      </c>
      <c r="B44" s="84" t="s">
        <v>762</v>
      </c>
      <c r="C44" s="85" t="s">
        <v>791</v>
      </c>
      <c r="D44" s="36" t="s">
        <v>225</v>
      </c>
      <c r="E44" s="36" t="s">
        <v>821</v>
      </c>
      <c r="F44" s="96" t="s">
        <v>852</v>
      </c>
      <c r="G44" s="87" t="s">
        <v>762</v>
      </c>
      <c r="H44" s="88" t="s">
        <v>853</v>
      </c>
      <c r="I44" s="89">
        <v>2</v>
      </c>
      <c r="J44" s="89">
        <v>2</v>
      </c>
      <c r="K44" s="89">
        <v>2</v>
      </c>
      <c r="L44" s="89">
        <v>2</v>
      </c>
      <c r="M44" s="89"/>
      <c r="N44" s="89"/>
      <c r="O44" s="89">
        <v>2</v>
      </c>
      <c r="P44" s="89">
        <v>2</v>
      </c>
      <c r="Q44" s="89">
        <v>2</v>
      </c>
      <c r="R44" s="89">
        <v>2</v>
      </c>
      <c r="S44" s="89">
        <v>2</v>
      </c>
      <c r="T44" s="89"/>
      <c r="U44" s="89"/>
      <c r="V44" s="89">
        <v>1</v>
      </c>
      <c r="W44" s="89">
        <v>2</v>
      </c>
      <c r="X44" s="89">
        <v>2</v>
      </c>
      <c r="Y44" s="89">
        <v>2</v>
      </c>
      <c r="Z44" s="89">
        <v>2</v>
      </c>
      <c r="AA44" s="89"/>
      <c r="AB44" s="89"/>
      <c r="AC44" s="89">
        <v>2</v>
      </c>
      <c r="AD44" s="89">
        <v>2</v>
      </c>
      <c r="AE44" s="89"/>
      <c r="AF44" s="89"/>
      <c r="AG44" s="89"/>
      <c r="AH44" s="89"/>
      <c r="AI44" s="89"/>
      <c r="AJ44" s="89">
        <v>2</v>
      </c>
      <c r="AK44" s="89">
        <v>2</v>
      </c>
      <c r="AL44" s="89">
        <v>2</v>
      </c>
      <c r="AM44" s="89"/>
      <c r="AN44" s="90">
        <f t="shared" si="6"/>
        <v>37</v>
      </c>
      <c r="AO44" s="86">
        <v>170000</v>
      </c>
      <c r="AP44" s="91">
        <f t="shared" si="7"/>
        <v>6290000</v>
      </c>
    </row>
    <row r="45" spans="1:42" ht="24.9" customHeight="1" x14ac:dyDescent="0.4">
      <c r="A45" s="84">
        <v>40</v>
      </c>
      <c r="B45" s="84" t="s">
        <v>763</v>
      </c>
      <c r="C45" s="85" t="s">
        <v>792</v>
      </c>
      <c r="D45" s="36" t="s">
        <v>225</v>
      </c>
      <c r="E45" s="36" t="s">
        <v>822</v>
      </c>
      <c r="F45" s="94" t="s">
        <v>303</v>
      </c>
      <c r="G45" s="87" t="s">
        <v>763</v>
      </c>
      <c r="H45" s="88" t="s">
        <v>854</v>
      </c>
      <c r="I45" s="89">
        <v>2</v>
      </c>
      <c r="J45" s="89">
        <v>2</v>
      </c>
      <c r="K45" s="89">
        <v>2</v>
      </c>
      <c r="L45" s="89">
        <v>2</v>
      </c>
      <c r="M45" s="89"/>
      <c r="N45" s="89"/>
      <c r="O45" s="89">
        <v>2</v>
      </c>
      <c r="P45" s="89">
        <v>2</v>
      </c>
      <c r="Q45" s="89">
        <v>2</v>
      </c>
      <c r="R45" s="89">
        <v>2</v>
      </c>
      <c r="S45" s="89">
        <v>2</v>
      </c>
      <c r="T45" s="89"/>
      <c r="U45" s="89"/>
      <c r="V45" s="89">
        <v>1</v>
      </c>
      <c r="W45" s="89">
        <v>2</v>
      </c>
      <c r="X45" s="89">
        <v>2</v>
      </c>
      <c r="Y45" s="89">
        <v>2</v>
      </c>
      <c r="Z45" s="89">
        <v>2</v>
      </c>
      <c r="AA45" s="89"/>
      <c r="AB45" s="89"/>
      <c r="AC45" s="89">
        <v>2</v>
      </c>
      <c r="AD45" s="89">
        <v>2</v>
      </c>
      <c r="AE45" s="89"/>
      <c r="AF45" s="89"/>
      <c r="AG45" s="89"/>
      <c r="AH45" s="89"/>
      <c r="AI45" s="89"/>
      <c r="AJ45" s="89">
        <v>2</v>
      </c>
      <c r="AK45" s="89">
        <v>2</v>
      </c>
      <c r="AL45" s="89">
        <v>2</v>
      </c>
      <c r="AM45" s="89"/>
      <c r="AN45" s="90">
        <f t="shared" si="6"/>
        <v>37</v>
      </c>
      <c r="AO45" s="86">
        <v>170000</v>
      </c>
      <c r="AP45" s="91">
        <f t="shared" si="7"/>
        <v>6290000</v>
      </c>
    </row>
    <row r="46" spans="1:42" ht="24.9" customHeight="1" x14ac:dyDescent="0.4">
      <c r="A46" s="84">
        <v>41</v>
      </c>
      <c r="B46" s="84" t="s">
        <v>764</v>
      </c>
      <c r="C46" s="85" t="s">
        <v>793</v>
      </c>
      <c r="D46" s="36" t="s">
        <v>225</v>
      </c>
      <c r="E46" s="126" t="s">
        <v>823</v>
      </c>
      <c r="F46" s="96" t="s">
        <v>295</v>
      </c>
      <c r="G46" s="87" t="s">
        <v>764</v>
      </c>
      <c r="H46" s="88" t="s">
        <v>855</v>
      </c>
      <c r="I46" s="89">
        <v>2</v>
      </c>
      <c r="J46" s="89">
        <v>2</v>
      </c>
      <c r="K46" s="89">
        <v>2</v>
      </c>
      <c r="L46" s="89">
        <v>2</v>
      </c>
      <c r="M46" s="89"/>
      <c r="N46" s="89"/>
      <c r="O46" s="89">
        <v>2</v>
      </c>
      <c r="P46" s="89">
        <v>2</v>
      </c>
      <c r="Q46" s="89">
        <v>2</v>
      </c>
      <c r="R46" s="89">
        <v>2</v>
      </c>
      <c r="S46" s="89">
        <v>2</v>
      </c>
      <c r="T46" s="89"/>
      <c r="U46" s="89"/>
      <c r="V46" s="89">
        <v>1</v>
      </c>
      <c r="W46" s="89">
        <v>2</v>
      </c>
      <c r="X46" s="89">
        <v>2</v>
      </c>
      <c r="Y46" s="89">
        <v>2</v>
      </c>
      <c r="Z46" s="89">
        <v>2</v>
      </c>
      <c r="AA46" s="89"/>
      <c r="AB46" s="89"/>
      <c r="AC46" s="89">
        <v>2</v>
      </c>
      <c r="AD46" s="89">
        <v>2</v>
      </c>
      <c r="AE46" s="89"/>
      <c r="AF46" s="89"/>
      <c r="AG46" s="89"/>
      <c r="AH46" s="89"/>
      <c r="AI46" s="89"/>
      <c r="AJ46" s="89">
        <v>2</v>
      </c>
      <c r="AK46" s="89">
        <v>2</v>
      </c>
      <c r="AL46" s="89">
        <v>2</v>
      </c>
      <c r="AM46" s="89"/>
      <c r="AN46" s="90">
        <f t="shared" si="6"/>
        <v>37</v>
      </c>
      <c r="AO46" s="86">
        <v>170000</v>
      </c>
      <c r="AP46" s="91">
        <f t="shared" si="7"/>
        <v>6290000</v>
      </c>
    </row>
    <row r="47" spans="1:42" ht="24.9" customHeight="1" x14ac:dyDescent="0.4">
      <c r="A47" s="84">
        <v>42</v>
      </c>
      <c r="B47" s="84" t="s">
        <v>501</v>
      </c>
      <c r="C47" s="85" t="s">
        <v>914</v>
      </c>
      <c r="D47" s="128" t="s">
        <v>228</v>
      </c>
      <c r="E47" s="126" t="s">
        <v>929</v>
      </c>
      <c r="F47" s="94" t="s">
        <v>229</v>
      </c>
      <c r="G47" s="87" t="s">
        <v>501</v>
      </c>
      <c r="H47" s="88" t="s">
        <v>944</v>
      </c>
      <c r="I47" s="89">
        <v>1.5</v>
      </c>
      <c r="J47" s="89">
        <v>1.5</v>
      </c>
      <c r="K47" s="89">
        <v>1</v>
      </c>
      <c r="L47" s="89">
        <v>1</v>
      </c>
      <c r="M47" s="89">
        <v>1</v>
      </c>
      <c r="N47" s="89"/>
      <c r="O47" s="89">
        <v>1</v>
      </c>
      <c r="P47" s="89">
        <v>1.5</v>
      </c>
      <c r="Q47" s="89">
        <v>1</v>
      </c>
      <c r="R47" s="89">
        <v>1.5</v>
      </c>
      <c r="S47" s="89">
        <v>1</v>
      </c>
      <c r="T47" s="89">
        <v>1</v>
      </c>
      <c r="U47" s="89"/>
      <c r="V47" s="89">
        <v>1</v>
      </c>
      <c r="W47" s="89">
        <v>1.5</v>
      </c>
      <c r="X47" s="89">
        <v>1</v>
      </c>
      <c r="Y47" s="89"/>
      <c r="Z47" s="89">
        <v>1</v>
      </c>
      <c r="AA47" s="89">
        <v>1</v>
      </c>
      <c r="AB47" s="89"/>
      <c r="AC47" s="89">
        <v>1.5</v>
      </c>
      <c r="AD47" s="89">
        <v>1</v>
      </c>
      <c r="AE47" s="89"/>
      <c r="AF47" s="89"/>
      <c r="AG47" s="89"/>
      <c r="AH47" s="89"/>
      <c r="AI47" s="89"/>
      <c r="AJ47" s="89">
        <v>1</v>
      </c>
      <c r="AK47" s="89">
        <v>1</v>
      </c>
      <c r="AL47" s="89">
        <v>2</v>
      </c>
      <c r="AM47" s="89"/>
      <c r="AN47" s="90">
        <f t="shared" si="6"/>
        <v>25</v>
      </c>
      <c r="AO47" s="86">
        <v>230000</v>
      </c>
      <c r="AP47" s="91">
        <f t="shared" si="7"/>
        <v>5750000</v>
      </c>
    </row>
    <row r="48" spans="1:42" ht="24.9" customHeight="1" x14ac:dyDescent="0.4">
      <c r="A48" s="84">
        <v>43</v>
      </c>
      <c r="B48" s="84" t="s">
        <v>358</v>
      </c>
      <c r="C48" s="85" t="s">
        <v>359</v>
      </c>
      <c r="D48" s="36" t="s">
        <v>228</v>
      </c>
      <c r="E48" s="36" t="s">
        <v>360</v>
      </c>
      <c r="F48" s="94" t="s">
        <v>361</v>
      </c>
      <c r="G48" s="87" t="s">
        <v>358</v>
      </c>
      <c r="H48" s="88" t="s">
        <v>362</v>
      </c>
      <c r="I48" s="89">
        <v>2</v>
      </c>
      <c r="J48" s="89">
        <v>2</v>
      </c>
      <c r="K48" s="89">
        <v>2</v>
      </c>
      <c r="L48" s="89">
        <v>2</v>
      </c>
      <c r="M48" s="89"/>
      <c r="N48" s="89"/>
      <c r="O48" s="89">
        <v>1</v>
      </c>
      <c r="P48" s="89">
        <v>2</v>
      </c>
      <c r="Q48" s="89">
        <v>2</v>
      </c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90">
        <f t="shared" si="6"/>
        <v>13</v>
      </c>
      <c r="AO48" s="86">
        <v>200000</v>
      </c>
      <c r="AP48" s="91">
        <f t="shared" si="7"/>
        <v>2600000</v>
      </c>
    </row>
    <row r="49" spans="1:42" ht="24.9" customHeight="1" x14ac:dyDescent="0.4">
      <c r="A49" s="84">
        <v>44</v>
      </c>
      <c r="B49" s="84" t="s">
        <v>398</v>
      </c>
      <c r="C49" s="85" t="s">
        <v>399</v>
      </c>
      <c r="D49" s="36" t="s">
        <v>228</v>
      </c>
      <c r="E49" s="36" t="s">
        <v>400</v>
      </c>
      <c r="F49" s="94" t="s">
        <v>229</v>
      </c>
      <c r="G49" s="87" t="s">
        <v>398</v>
      </c>
      <c r="H49" s="88" t="s">
        <v>401</v>
      </c>
      <c r="I49" s="89">
        <v>2</v>
      </c>
      <c r="J49" s="89">
        <v>2</v>
      </c>
      <c r="K49" s="89">
        <v>2</v>
      </c>
      <c r="L49" s="89">
        <v>2</v>
      </c>
      <c r="M49" s="89"/>
      <c r="N49" s="89"/>
      <c r="O49" s="89">
        <v>2</v>
      </c>
      <c r="P49" s="89">
        <v>2</v>
      </c>
      <c r="Q49" s="89">
        <v>2</v>
      </c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90">
        <f t="shared" si="6"/>
        <v>14</v>
      </c>
      <c r="AO49" s="86">
        <v>230000</v>
      </c>
      <c r="AP49" s="91">
        <f t="shared" si="7"/>
        <v>3220000</v>
      </c>
    </row>
    <row r="50" spans="1:42" ht="24.9" customHeight="1" x14ac:dyDescent="0.4">
      <c r="A50" s="84">
        <v>45</v>
      </c>
      <c r="B50" s="84" t="s">
        <v>899</v>
      </c>
      <c r="C50" s="85" t="s">
        <v>655</v>
      </c>
      <c r="D50" s="36" t="s">
        <v>225</v>
      </c>
      <c r="E50" s="36" t="s">
        <v>699</v>
      </c>
      <c r="F50" s="94" t="s">
        <v>230</v>
      </c>
      <c r="G50" s="87" t="s">
        <v>610</v>
      </c>
      <c r="H50" s="88" t="s">
        <v>739</v>
      </c>
      <c r="I50" s="89">
        <v>2</v>
      </c>
      <c r="J50" s="89">
        <v>2</v>
      </c>
      <c r="K50" s="89">
        <v>2</v>
      </c>
      <c r="L50" s="89">
        <v>2</v>
      </c>
      <c r="M50" s="89"/>
      <c r="N50" s="89"/>
      <c r="O50" s="89">
        <v>2</v>
      </c>
      <c r="P50" s="89">
        <v>2</v>
      </c>
      <c r="Q50" s="89">
        <v>2</v>
      </c>
      <c r="R50" s="89">
        <v>2</v>
      </c>
      <c r="S50" s="89">
        <v>2</v>
      </c>
      <c r="T50" s="89"/>
      <c r="U50" s="89"/>
      <c r="V50" s="89">
        <v>1</v>
      </c>
      <c r="W50" s="89">
        <v>1.5</v>
      </c>
      <c r="X50" s="89">
        <v>1</v>
      </c>
      <c r="Y50" s="89">
        <v>2</v>
      </c>
      <c r="Z50" s="89"/>
      <c r="AA50" s="89"/>
      <c r="AB50" s="89"/>
      <c r="AC50" s="89">
        <v>2</v>
      </c>
      <c r="AD50" s="89">
        <v>2</v>
      </c>
      <c r="AE50" s="89"/>
      <c r="AF50" s="89"/>
      <c r="AG50" s="89"/>
      <c r="AH50" s="89"/>
      <c r="AI50" s="89"/>
      <c r="AJ50" s="89">
        <v>2</v>
      </c>
      <c r="AK50" s="89">
        <v>2</v>
      </c>
      <c r="AL50" s="89">
        <v>2</v>
      </c>
      <c r="AM50" s="89"/>
      <c r="AN50" s="90">
        <f t="shared" si="6"/>
        <v>33.5</v>
      </c>
      <c r="AO50" s="86">
        <v>180000</v>
      </c>
      <c r="AP50" s="91">
        <f t="shared" si="7"/>
        <v>6030000</v>
      </c>
    </row>
    <row r="51" spans="1:42" ht="24.9" customHeight="1" x14ac:dyDescent="0.4">
      <c r="A51" s="84">
        <v>46</v>
      </c>
      <c r="B51" s="84" t="s">
        <v>765</v>
      </c>
      <c r="C51" s="85" t="s">
        <v>795</v>
      </c>
      <c r="D51" s="36" t="s">
        <v>225</v>
      </c>
      <c r="E51" s="36" t="s">
        <v>825</v>
      </c>
      <c r="F51" s="94" t="s">
        <v>295</v>
      </c>
      <c r="G51" s="87" t="s">
        <v>765</v>
      </c>
      <c r="H51" s="88" t="s">
        <v>857</v>
      </c>
      <c r="I51" s="89">
        <v>1.5</v>
      </c>
      <c r="J51" s="89">
        <v>0.5</v>
      </c>
      <c r="K51" s="89">
        <v>1</v>
      </c>
      <c r="L51" s="89">
        <v>1</v>
      </c>
      <c r="M51" s="89">
        <v>1</v>
      </c>
      <c r="N51" s="89"/>
      <c r="O51" s="89"/>
      <c r="P51" s="89"/>
      <c r="Q51" s="89"/>
      <c r="R51" s="89">
        <v>1.5</v>
      </c>
      <c r="S51" s="89">
        <v>1</v>
      </c>
      <c r="T51" s="89">
        <v>1</v>
      </c>
      <c r="U51" s="89"/>
      <c r="V51" s="89">
        <v>1</v>
      </c>
      <c r="W51" s="89">
        <v>1.5</v>
      </c>
      <c r="X51" s="89">
        <v>1</v>
      </c>
      <c r="Y51" s="89">
        <v>1.5</v>
      </c>
      <c r="Z51" s="89">
        <v>1</v>
      </c>
      <c r="AA51" s="89">
        <v>1</v>
      </c>
      <c r="AB51" s="89"/>
      <c r="AC51" s="89">
        <v>1.5</v>
      </c>
      <c r="AD51" s="89">
        <v>1</v>
      </c>
      <c r="AE51" s="89">
        <v>1</v>
      </c>
      <c r="AF51" s="89"/>
      <c r="AG51" s="89"/>
      <c r="AH51" s="89"/>
      <c r="AI51" s="89"/>
      <c r="AJ51" s="89">
        <v>0.5</v>
      </c>
      <c r="AK51" s="89">
        <v>1.5</v>
      </c>
      <c r="AL51" s="89">
        <v>1</v>
      </c>
      <c r="AM51" s="89"/>
      <c r="AN51" s="90">
        <f t="shared" si="6"/>
        <v>22</v>
      </c>
      <c r="AO51" s="86">
        <v>160000</v>
      </c>
      <c r="AP51" s="91">
        <f t="shared" si="7"/>
        <v>3520000</v>
      </c>
    </row>
    <row r="52" spans="1:42" ht="24.9" customHeight="1" x14ac:dyDescent="0.4">
      <c r="A52" s="84">
        <v>47</v>
      </c>
      <c r="B52" s="84" t="s">
        <v>430</v>
      </c>
      <c r="C52" s="85" t="s">
        <v>445</v>
      </c>
      <c r="D52" s="36" t="s">
        <v>225</v>
      </c>
      <c r="E52" s="36" t="s">
        <v>460</v>
      </c>
      <c r="F52" s="96" t="s">
        <v>361</v>
      </c>
      <c r="G52" s="87" t="s">
        <v>430</v>
      </c>
      <c r="H52" s="88" t="s">
        <v>473</v>
      </c>
      <c r="I52" s="89">
        <v>2</v>
      </c>
      <c r="J52" s="89">
        <v>2</v>
      </c>
      <c r="K52" s="89">
        <v>2</v>
      </c>
      <c r="L52" s="89">
        <v>2</v>
      </c>
      <c r="M52" s="89"/>
      <c r="N52" s="89"/>
      <c r="O52" s="89">
        <v>2</v>
      </c>
      <c r="P52" s="89">
        <v>2</v>
      </c>
      <c r="Q52" s="89">
        <v>2</v>
      </c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90">
        <f t="shared" si="6"/>
        <v>14</v>
      </c>
      <c r="AO52" s="86">
        <v>170000</v>
      </c>
      <c r="AP52" s="91">
        <f t="shared" si="7"/>
        <v>2380000</v>
      </c>
    </row>
    <row r="53" spans="1:42" ht="24.9" customHeight="1" x14ac:dyDescent="0.4">
      <c r="A53" s="84">
        <v>48</v>
      </c>
      <c r="B53" s="84" t="s">
        <v>402</v>
      </c>
      <c r="C53" s="85" t="s">
        <v>403</v>
      </c>
      <c r="D53" s="36" t="s">
        <v>225</v>
      </c>
      <c r="E53" s="36" t="s">
        <v>404</v>
      </c>
      <c r="F53" s="94" t="s">
        <v>295</v>
      </c>
      <c r="G53" s="87" t="s">
        <v>402</v>
      </c>
      <c r="H53" s="88" t="s">
        <v>405</v>
      </c>
      <c r="I53" s="89">
        <v>2</v>
      </c>
      <c r="J53" s="89">
        <v>2</v>
      </c>
      <c r="K53" s="89">
        <v>2</v>
      </c>
      <c r="L53" s="89">
        <v>2</v>
      </c>
      <c r="M53" s="89"/>
      <c r="N53" s="89"/>
      <c r="O53" s="89">
        <v>2</v>
      </c>
      <c r="P53" s="89">
        <v>2</v>
      </c>
      <c r="Q53" s="89">
        <v>2</v>
      </c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90">
        <f t="shared" si="6"/>
        <v>14</v>
      </c>
      <c r="AO53" s="86">
        <v>170000</v>
      </c>
      <c r="AP53" s="91">
        <f t="shared" si="7"/>
        <v>2380000</v>
      </c>
    </row>
    <row r="54" spans="1:42" ht="24.9" customHeight="1" x14ac:dyDescent="0.4">
      <c r="A54" s="84">
        <v>49</v>
      </c>
      <c r="B54" s="84" t="s">
        <v>585</v>
      </c>
      <c r="C54" s="85" t="s">
        <v>629</v>
      </c>
      <c r="D54" s="128" t="s">
        <v>228</v>
      </c>
      <c r="E54" s="126" t="s">
        <v>674</v>
      </c>
      <c r="F54" s="94" t="s">
        <v>296</v>
      </c>
      <c r="G54" s="87" t="s">
        <v>585</v>
      </c>
      <c r="H54" s="88" t="s">
        <v>674</v>
      </c>
      <c r="I54" s="89">
        <v>2</v>
      </c>
      <c r="J54" s="89">
        <v>2</v>
      </c>
      <c r="K54" s="89">
        <v>2</v>
      </c>
      <c r="L54" s="89">
        <v>2</v>
      </c>
      <c r="M54" s="89"/>
      <c r="N54" s="89"/>
      <c r="O54" s="89">
        <v>2</v>
      </c>
      <c r="P54" s="89">
        <v>2</v>
      </c>
      <c r="Q54" s="89">
        <v>2</v>
      </c>
      <c r="R54" s="89">
        <v>2</v>
      </c>
      <c r="S54" s="89">
        <v>2</v>
      </c>
      <c r="T54" s="89"/>
      <c r="U54" s="89"/>
      <c r="V54" s="89">
        <v>1</v>
      </c>
      <c r="W54" s="89">
        <v>2</v>
      </c>
      <c r="X54" s="89">
        <v>2</v>
      </c>
      <c r="Y54" s="89">
        <v>2</v>
      </c>
      <c r="Z54" s="89">
        <v>2</v>
      </c>
      <c r="AA54" s="89"/>
      <c r="AB54" s="89"/>
      <c r="AC54" s="89">
        <v>2</v>
      </c>
      <c r="AD54" s="89">
        <v>2</v>
      </c>
      <c r="AE54" s="89"/>
      <c r="AF54" s="89"/>
      <c r="AG54" s="89"/>
      <c r="AH54" s="89"/>
      <c r="AI54" s="89"/>
      <c r="AJ54" s="89">
        <v>2</v>
      </c>
      <c r="AK54" s="89">
        <v>2</v>
      </c>
      <c r="AL54" s="89">
        <v>2</v>
      </c>
      <c r="AM54" s="89"/>
      <c r="AN54" s="90">
        <f t="shared" si="6"/>
        <v>37</v>
      </c>
      <c r="AO54" s="86">
        <v>210000</v>
      </c>
      <c r="AP54" s="91">
        <f t="shared" si="7"/>
        <v>7770000</v>
      </c>
    </row>
    <row r="55" spans="1:42" ht="24.9" customHeight="1" x14ac:dyDescent="0.4">
      <c r="A55" s="84">
        <v>50</v>
      </c>
      <c r="B55" s="84" t="s">
        <v>421</v>
      </c>
      <c r="C55" s="85" t="s">
        <v>436</v>
      </c>
      <c r="D55" s="36" t="s">
        <v>225</v>
      </c>
      <c r="E55" s="126" t="s">
        <v>451</v>
      </c>
      <c r="F55" s="94" t="s">
        <v>229</v>
      </c>
      <c r="G55" s="87" t="s">
        <v>421</v>
      </c>
      <c r="H55" s="88" t="s">
        <v>465</v>
      </c>
      <c r="I55" s="89">
        <v>1.5</v>
      </c>
      <c r="J55" s="89">
        <v>1.5</v>
      </c>
      <c r="K55" s="89">
        <v>1</v>
      </c>
      <c r="L55" s="89">
        <v>0.5</v>
      </c>
      <c r="M55" s="89"/>
      <c r="N55" s="89"/>
      <c r="O55" s="89">
        <v>1</v>
      </c>
      <c r="P55" s="89">
        <v>1.5</v>
      </c>
      <c r="Q55" s="89">
        <v>1</v>
      </c>
      <c r="R55" s="89">
        <v>1.5</v>
      </c>
      <c r="S55" s="89">
        <v>0.375</v>
      </c>
      <c r="T55" s="89"/>
      <c r="U55" s="89"/>
      <c r="V55" s="89">
        <v>1</v>
      </c>
      <c r="W55" s="89">
        <v>1.5</v>
      </c>
      <c r="X55" s="89"/>
      <c r="Y55" s="89"/>
      <c r="Z55" s="89"/>
      <c r="AA55" s="89"/>
      <c r="AB55" s="89"/>
      <c r="AC55" s="89"/>
      <c r="AD55" s="89">
        <v>1</v>
      </c>
      <c r="AE55" s="89">
        <v>1</v>
      </c>
      <c r="AF55" s="89"/>
      <c r="AG55" s="89"/>
      <c r="AH55" s="89"/>
      <c r="AI55" s="89"/>
      <c r="AJ55" s="89">
        <v>1</v>
      </c>
      <c r="AK55" s="89">
        <v>1.5</v>
      </c>
      <c r="AL55" s="89">
        <v>1</v>
      </c>
      <c r="AM55" s="89"/>
      <c r="AN55" s="90">
        <f t="shared" si="6"/>
        <v>17.875</v>
      </c>
      <c r="AO55" s="86">
        <v>160000</v>
      </c>
      <c r="AP55" s="91">
        <f t="shared" si="7"/>
        <v>2860000</v>
      </c>
    </row>
    <row r="56" spans="1:42" ht="24.9" customHeight="1" x14ac:dyDescent="0.4">
      <c r="A56" s="84">
        <v>51</v>
      </c>
      <c r="B56" s="84" t="s">
        <v>406</v>
      </c>
      <c r="C56" s="85" t="s">
        <v>407</v>
      </c>
      <c r="D56" s="128" t="s">
        <v>228</v>
      </c>
      <c r="E56" s="126" t="s">
        <v>408</v>
      </c>
      <c r="F56" s="94" t="s">
        <v>230</v>
      </c>
      <c r="G56" s="87" t="s">
        <v>406</v>
      </c>
      <c r="H56" s="88" t="s">
        <v>409</v>
      </c>
      <c r="I56" s="89">
        <v>2</v>
      </c>
      <c r="J56" s="89">
        <v>2</v>
      </c>
      <c r="K56" s="89">
        <v>2</v>
      </c>
      <c r="L56" s="89">
        <v>2</v>
      </c>
      <c r="M56" s="89"/>
      <c r="N56" s="89"/>
      <c r="O56" s="89">
        <v>2</v>
      </c>
      <c r="P56" s="89">
        <v>2</v>
      </c>
      <c r="Q56" s="89">
        <v>2</v>
      </c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90">
        <f t="shared" si="6"/>
        <v>14</v>
      </c>
      <c r="AO56" s="86">
        <v>190000</v>
      </c>
      <c r="AP56" s="91">
        <f t="shared" si="7"/>
        <v>2660000</v>
      </c>
    </row>
    <row r="57" spans="1:42" ht="24.9" customHeight="1" x14ac:dyDescent="0.4">
      <c r="A57" s="84">
        <v>52</v>
      </c>
      <c r="B57" s="84" t="s">
        <v>357</v>
      </c>
      <c r="C57" s="85" t="s">
        <v>790</v>
      </c>
      <c r="D57" s="36" t="s">
        <v>225</v>
      </c>
      <c r="E57" s="126" t="s">
        <v>820</v>
      </c>
      <c r="F57" s="94" t="s">
        <v>226</v>
      </c>
      <c r="G57" s="87" t="s">
        <v>357</v>
      </c>
      <c r="H57" s="88" t="s">
        <v>851</v>
      </c>
      <c r="I57" s="89">
        <v>1.5</v>
      </c>
      <c r="J57" s="89">
        <v>1.5</v>
      </c>
      <c r="K57" s="89">
        <v>1</v>
      </c>
      <c r="L57" s="89">
        <v>1</v>
      </c>
      <c r="M57" s="89">
        <v>0.5</v>
      </c>
      <c r="N57" s="89"/>
      <c r="O57" s="89"/>
      <c r="P57" s="89"/>
      <c r="Q57" s="89">
        <v>1</v>
      </c>
      <c r="R57" s="89">
        <v>1.5</v>
      </c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90">
        <f t="shared" si="6"/>
        <v>8</v>
      </c>
      <c r="AO57" s="86">
        <v>170000</v>
      </c>
      <c r="AP57" s="91">
        <f t="shared" si="7"/>
        <v>1360000</v>
      </c>
    </row>
    <row r="58" spans="1:42" ht="24.9" customHeight="1" x14ac:dyDescent="0.4">
      <c r="A58" s="84">
        <v>53</v>
      </c>
      <c r="B58" s="84" t="s">
        <v>587</v>
      </c>
      <c r="C58" s="85" t="s">
        <v>631</v>
      </c>
      <c r="D58" s="36" t="s">
        <v>228</v>
      </c>
      <c r="E58" s="36" t="s">
        <v>676</v>
      </c>
      <c r="F58" s="96" t="s">
        <v>296</v>
      </c>
      <c r="G58" s="87" t="s">
        <v>587</v>
      </c>
      <c r="H58" s="88" t="s">
        <v>719</v>
      </c>
      <c r="I58" s="89">
        <v>2</v>
      </c>
      <c r="J58" s="89">
        <v>2</v>
      </c>
      <c r="K58" s="89">
        <v>2</v>
      </c>
      <c r="L58" s="89">
        <v>2</v>
      </c>
      <c r="M58" s="89"/>
      <c r="N58" s="89"/>
      <c r="O58" s="89">
        <v>2</v>
      </c>
      <c r="P58" s="89">
        <v>2</v>
      </c>
      <c r="Q58" s="89">
        <v>2</v>
      </c>
      <c r="R58" s="89">
        <v>2</v>
      </c>
      <c r="S58" s="89">
        <v>2</v>
      </c>
      <c r="T58" s="89"/>
      <c r="U58" s="89"/>
      <c r="V58" s="89">
        <v>1</v>
      </c>
      <c r="W58" s="89">
        <v>2</v>
      </c>
      <c r="X58" s="89">
        <v>2</v>
      </c>
      <c r="Y58" s="89">
        <v>2</v>
      </c>
      <c r="Z58" s="89">
        <v>2</v>
      </c>
      <c r="AA58" s="89"/>
      <c r="AB58" s="89"/>
      <c r="AC58" s="89">
        <v>2</v>
      </c>
      <c r="AD58" s="89">
        <v>2</v>
      </c>
      <c r="AE58" s="89"/>
      <c r="AF58" s="89"/>
      <c r="AG58" s="89"/>
      <c r="AH58" s="89"/>
      <c r="AI58" s="89"/>
      <c r="AJ58" s="89">
        <v>2</v>
      </c>
      <c r="AK58" s="89">
        <v>2</v>
      </c>
      <c r="AL58" s="89">
        <v>2</v>
      </c>
      <c r="AM58" s="89"/>
      <c r="AN58" s="90">
        <f t="shared" si="6"/>
        <v>37</v>
      </c>
      <c r="AO58" s="86">
        <v>230000</v>
      </c>
      <c r="AP58" s="91">
        <f t="shared" si="7"/>
        <v>8510000</v>
      </c>
    </row>
    <row r="59" spans="1:42" ht="24.9" customHeight="1" x14ac:dyDescent="0.4">
      <c r="A59" s="84">
        <v>54</v>
      </c>
      <c r="B59" s="84" t="s">
        <v>900</v>
      </c>
      <c r="C59" s="85" t="s">
        <v>915</v>
      </c>
      <c r="D59" s="36" t="s">
        <v>959</v>
      </c>
      <c r="E59" s="36" t="s">
        <v>930</v>
      </c>
      <c r="F59" s="94" t="s">
        <v>226</v>
      </c>
      <c r="G59" s="87" t="s">
        <v>900</v>
      </c>
      <c r="H59" s="88" t="s">
        <v>945</v>
      </c>
      <c r="I59" s="89">
        <v>1.5</v>
      </c>
      <c r="J59" s="89">
        <v>1.5</v>
      </c>
      <c r="K59" s="89">
        <v>1</v>
      </c>
      <c r="L59" s="89">
        <v>1</v>
      </c>
      <c r="M59" s="89">
        <v>1</v>
      </c>
      <c r="N59" s="89"/>
      <c r="O59" s="89"/>
      <c r="P59" s="89">
        <v>1.5</v>
      </c>
      <c r="Q59" s="89">
        <v>1</v>
      </c>
      <c r="R59" s="89">
        <v>1.5</v>
      </c>
      <c r="S59" s="89">
        <v>1</v>
      </c>
      <c r="T59" s="89">
        <v>1</v>
      </c>
      <c r="U59" s="89"/>
      <c r="V59" s="89">
        <v>1</v>
      </c>
      <c r="W59" s="89">
        <v>1.5</v>
      </c>
      <c r="X59" s="89">
        <v>1</v>
      </c>
      <c r="Y59" s="89">
        <v>1.5</v>
      </c>
      <c r="Z59" s="89">
        <v>1</v>
      </c>
      <c r="AA59" s="89">
        <v>0.5</v>
      </c>
      <c r="AB59" s="89"/>
      <c r="AC59" s="89">
        <v>1.5</v>
      </c>
      <c r="AD59" s="89">
        <v>1</v>
      </c>
      <c r="AE59" s="89"/>
      <c r="AF59" s="89"/>
      <c r="AG59" s="89"/>
      <c r="AH59" s="89"/>
      <c r="AI59" s="89"/>
      <c r="AJ59" s="89">
        <v>1</v>
      </c>
      <c r="AK59" s="89">
        <v>1</v>
      </c>
      <c r="AL59" s="89">
        <v>2</v>
      </c>
      <c r="AM59" s="89"/>
      <c r="AN59" s="90">
        <f t="shared" si="6"/>
        <v>25</v>
      </c>
      <c r="AO59" s="86">
        <v>200000</v>
      </c>
      <c r="AP59" s="91">
        <f t="shared" si="7"/>
        <v>5000000</v>
      </c>
    </row>
    <row r="60" spans="1:42" ht="24.9" customHeight="1" x14ac:dyDescent="0.4">
      <c r="A60" s="84">
        <v>55</v>
      </c>
      <c r="B60" s="84" t="s">
        <v>495</v>
      </c>
      <c r="C60" s="85" t="s">
        <v>515</v>
      </c>
      <c r="D60" s="36" t="s">
        <v>225</v>
      </c>
      <c r="E60" s="126" t="s">
        <v>533</v>
      </c>
      <c r="F60" s="96" t="s">
        <v>296</v>
      </c>
      <c r="G60" s="87" t="s">
        <v>495</v>
      </c>
      <c r="H60" s="88" t="s">
        <v>552</v>
      </c>
      <c r="I60" s="89">
        <v>2</v>
      </c>
      <c r="J60" s="89">
        <v>2</v>
      </c>
      <c r="K60" s="89">
        <v>2</v>
      </c>
      <c r="L60" s="89">
        <v>2</v>
      </c>
      <c r="M60" s="89"/>
      <c r="N60" s="89"/>
      <c r="O60" s="89">
        <v>2</v>
      </c>
      <c r="P60" s="89">
        <v>2</v>
      </c>
      <c r="Q60" s="89">
        <v>2</v>
      </c>
      <c r="R60" s="89">
        <v>2</v>
      </c>
      <c r="S60" s="89">
        <v>2</v>
      </c>
      <c r="T60" s="89"/>
      <c r="U60" s="89"/>
      <c r="V60" s="89">
        <v>1</v>
      </c>
      <c r="W60" s="89">
        <v>1.5</v>
      </c>
      <c r="X60" s="89"/>
      <c r="Y60" s="89">
        <v>1.5</v>
      </c>
      <c r="Z60" s="89">
        <v>1</v>
      </c>
      <c r="AA60" s="89"/>
      <c r="AB60" s="89"/>
      <c r="AC60" s="89">
        <v>1.5</v>
      </c>
      <c r="AD60" s="89">
        <v>1</v>
      </c>
      <c r="AE60" s="89">
        <v>1</v>
      </c>
      <c r="AF60" s="89"/>
      <c r="AG60" s="89"/>
      <c r="AH60" s="89"/>
      <c r="AI60" s="89"/>
      <c r="AJ60" s="89"/>
      <c r="AK60" s="89">
        <v>1.5</v>
      </c>
      <c r="AL60" s="89">
        <v>1</v>
      </c>
      <c r="AM60" s="89"/>
      <c r="AN60" s="90">
        <f t="shared" si="6"/>
        <v>29</v>
      </c>
      <c r="AO60" s="86">
        <v>170000</v>
      </c>
      <c r="AP60" s="91">
        <f t="shared" si="7"/>
        <v>4930000</v>
      </c>
    </row>
    <row r="61" spans="1:42" ht="24.9" customHeight="1" x14ac:dyDescent="0.4">
      <c r="A61" s="84">
        <v>56</v>
      </c>
      <c r="B61" s="84" t="s">
        <v>306</v>
      </c>
      <c r="C61" s="85" t="s">
        <v>307</v>
      </c>
      <c r="D61" s="36" t="s">
        <v>960</v>
      </c>
      <c r="E61" s="126" t="s">
        <v>309</v>
      </c>
      <c r="F61" s="94" t="s">
        <v>303</v>
      </c>
      <c r="G61" s="87" t="s">
        <v>306</v>
      </c>
      <c r="H61" s="88" t="s">
        <v>308</v>
      </c>
      <c r="I61" s="89">
        <v>2</v>
      </c>
      <c r="J61" s="89">
        <v>2</v>
      </c>
      <c r="K61" s="89">
        <v>2</v>
      </c>
      <c r="L61" s="89">
        <v>2</v>
      </c>
      <c r="M61" s="89"/>
      <c r="N61" s="89"/>
      <c r="O61" s="89">
        <v>2</v>
      </c>
      <c r="P61" s="89">
        <v>2</v>
      </c>
      <c r="Q61" s="89">
        <v>2</v>
      </c>
      <c r="R61" s="89">
        <v>2</v>
      </c>
      <c r="S61" s="89">
        <v>2</v>
      </c>
      <c r="T61" s="89"/>
      <c r="U61" s="89"/>
      <c r="V61" s="89">
        <v>1</v>
      </c>
      <c r="W61" s="89">
        <v>2</v>
      </c>
      <c r="X61" s="89">
        <v>2</v>
      </c>
      <c r="Y61" s="89">
        <v>2</v>
      </c>
      <c r="Z61" s="89">
        <v>2</v>
      </c>
      <c r="AA61" s="89"/>
      <c r="AB61" s="89"/>
      <c r="AC61" s="89">
        <v>2</v>
      </c>
      <c r="AD61" s="89">
        <v>2</v>
      </c>
      <c r="AE61" s="89"/>
      <c r="AF61" s="89"/>
      <c r="AG61" s="89"/>
      <c r="AH61" s="89"/>
      <c r="AI61" s="89"/>
      <c r="AJ61" s="89">
        <v>2</v>
      </c>
      <c r="AK61" s="89">
        <v>2</v>
      </c>
      <c r="AL61" s="89">
        <v>2</v>
      </c>
      <c r="AM61" s="89"/>
      <c r="AN61" s="90">
        <f t="shared" si="6"/>
        <v>37</v>
      </c>
      <c r="AO61" s="86">
        <v>200000</v>
      </c>
      <c r="AP61" s="91">
        <f t="shared" si="7"/>
        <v>7400000</v>
      </c>
    </row>
    <row r="62" spans="1:42" ht="24.9" customHeight="1" x14ac:dyDescent="0.4">
      <c r="A62" s="84">
        <v>57</v>
      </c>
      <c r="B62" s="84" t="s">
        <v>504</v>
      </c>
      <c r="C62" s="85" t="s">
        <v>522</v>
      </c>
      <c r="D62" s="36" t="s">
        <v>225</v>
      </c>
      <c r="E62" s="36" t="s">
        <v>541</v>
      </c>
      <c r="F62" s="94" t="s">
        <v>226</v>
      </c>
      <c r="G62" s="87" t="s">
        <v>504</v>
      </c>
      <c r="H62" s="88" t="s">
        <v>560</v>
      </c>
      <c r="I62" s="89">
        <v>1.5</v>
      </c>
      <c r="J62" s="89">
        <v>1.5</v>
      </c>
      <c r="K62" s="89">
        <v>1</v>
      </c>
      <c r="L62" s="89">
        <v>1</v>
      </c>
      <c r="M62" s="89">
        <v>1</v>
      </c>
      <c r="N62" s="89"/>
      <c r="O62" s="89">
        <v>1</v>
      </c>
      <c r="P62" s="89">
        <v>1.5</v>
      </c>
      <c r="Q62" s="89">
        <v>1</v>
      </c>
      <c r="R62" s="89">
        <v>1.5</v>
      </c>
      <c r="S62" s="89">
        <v>1</v>
      </c>
      <c r="T62" s="89">
        <v>0.5</v>
      </c>
      <c r="U62" s="89"/>
      <c r="V62" s="89">
        <v>1</v>
      </c>
      <c r="W62" s="89">
        <v>1.5</v>
      </c>
      <c r="X62" s="89">
        <v>1</v>
      </c>
      <c r="Y62" s="89">
        <v>1.5</v>
      </c>
      <c r="Z62" s="89">
        <v>1</v>
      </c>
      <c r="AA62" s="89">
        <v>1</v>
      </c>
      <c r="AB62" s="89"/>
      <c r="AC62" s="89">
        <v>1.5</v>
      </c>
      <c r="AD62" s="89">
        <v>1</v>
      </c>
      <c r="AE62" s="89">
        <v>1</v>
      </c>
      <c r="AF62" s="89"/>
      <c r="AG62" s="89"/>
      <c r="AH62" s="89"/>
      <c r="AI62" s="89"/>
      <c r="AJ62" s="89">
        <v>1</v>
      </c>
      <c r="AK62" s="89">
        <v>1.5</v>
      </c>
      <c r="AL62" s="89">
        <v>1</v>
      </c>
      <c r="AM62" s="89"/>
      <c r="AN62" s="90">
        <f t="shared" si="6"/>
        <v>26.5</v>
      </c>
      <c r="AO62" s="86">
        <v>150000</v>
      </c>
      <c r="AP62" s="91">
        <f t="shared" si="7"/>
        <v>3975000</v>
      </c>
    </row>
    <row r="63" spans="1:42" ht="24.9" customHeight="1" x14ac:dyDescent="0.4">
      <c r="A63" s="84">
        <v>58</v>
      </c>
      <c r="B63" s="84" t="s">
        <v>363</v>
      </c>
      <c r="C63" s="85" t="s">
        <v>364</v>
      </c>
      <c r="D63" s="36" t="s">
        <v>959</v>
      </c>
      <c r="E63" s="36" t="s">
        <v>365</v>
      </c>
      <c r="F63" s="94" t="s">
        <v>361</v>
      </c>
      <c r="G63" s="87" t="s">
        <v>363</v>
      </c>
      <c r="H63" s="88" t="s">
        <v>366</v>
      </c>
      <c r="I63" s="89">
        <v>2</v>
      </c>
      <c r="J63" s="89">
        <v>2</v>
      </c>
      <c r="K63" s="89">
        <v>2</v>
      </c>
      <c r="L63" s="89">
        <v>2</v>
      </c>
      <c r="M63" s="89"/>
      <c r="N63" s="89"/>
      <c r="O63" s="89">
        <v>2</v>
      </c>
      <c r="P63" s="89">
        <v>2</v>
      </c>
      <c r="Q63" s="89">
        <v>2</v>
      </c>
      <c r="R63" s="89">
        <v>2</v>
      </c>
      <c r="S63" s="89">
        <v>2</v>
      </c>
      <c r="T63" s="89"/>
      <c r="U63" s="89"/>
      <c r="V63" s="89">
        <v>1</v>
      </c>
      <c r="W63" s="89">
        <v>1.5</v>
      </c>
      <c r="X63" s="89">
        <v>1</v>
      </c>
      <c r="Y63" s="89">
        <v>2</v>
      </c>
      <c r="Z63" s="89">
        <v>2</v>
      </c>
      <c r="AA63" s="89"/>
      <c r="AB63" s="89"/>
      <c r="AC63" s="89">
        <v>2</v>
      </c>
      <c r="AD63" s="89">
        <v>2</v>
      </c>
      <c r="AE63" s="89"/>
      <c r="AF63" s="89"/>
      <c r="AG63" s="89"/>
      <c r="AH63" s="89"/>
      <c r="AI63" s="89"/>
      <c r="AJ63" s="89">
        <v>2</v>
      </c>
      <c r="AK63" s="89">
        <v>2</v>
      </c>
      <c r="AL63" s="89">
        <v>2</v>
      </c>
      <c r="AM63" s="89"/>
      <c r="AN63" s="90">
        <f t="shared" si="6"/>
        <v>35.5</v>
      </c>
      <c r="AO63" s="86">
        <v>230000</v>
      </c>
      <c r="AP63" s="91">
        <f t="shared" si="7"/>
        <v>8165000</v>
      </c>
    </row>
    <row r="64" spans="1:42" ht="24.9" customHeight="1" x14ac:dyDescent="0.4">
      <c r="A64" s="84">
        <v>59</v>
      </c>
      <c r="B64" s="84" t="s">
        <v>588</v>
      </c>
      <c r="C64" s="85" t="s">
        <v>632</v>
      </c>
      <c r="D64" s="36" t="s">
        <v>227</v>
      </c>
      <c r="E64" s="36" t="s">
        <v>677</v>
      </c>
      <c r="F64" s="94" t="s">
        <v>230</v>
      </c>
      <c r="G64" s="87" t="s">
        <v>588</v>
      </c>
      <c r="H64" s="88" t="s">
        <v>720</v>
      </c>
      <c r="I64" s="89">
        <v>2</v>
      </c>
      <c r="J64" s="89">
        <v>2</v>
      </c>
      <c r="K64" s="89">
        <v>2</v>
      </c>
      <c r="L64" s="89">
        <v>2</v>
      </c>
      <c r="M64" s="89"/>
      <c r="N64" s="89"/>
      <c r="O64" s="89">
        <v>2</v>
      </c>
      <c r="P64" s="89">
        <v>2</v>
      </c>
      <c r="Q64" s="89">
        <v>2</v>
      </c>
      <c r="R64" s="89">
        <v>2</v>
      </c>
      <c r="S64" s="89">
        <v>2</v>
      </c>
      <c r="T64" s="89"/>
      <c r="U64" s="89"/>
      <c r="V64" s="89">
        <v>1</v>
      </c>
      <c r="W64" s="89">
        <v>1.5</v>
      </c>
      <c r="X64" s="89">
        <v>0.5</v>
      </c>
      <c r="Y64" s="89"/>
      <c r="Z64" s="89">
        <v>1</v>
      </c>
      <c r="AA64" s="89">
        <v>0.5</v>
      </c>
      <c r="AB64" s="89"/>
      <c r="AC64" s="89">
        <v>1.5</v>
      </c>
      <c r="AD64" s="89"/>
      <c r="AE64" s="89"/>
      <c r="AF64" s="89"/>
      <c r="AG64" s="89"/>
      <c r="AH64" s="89"/>
      <c r="AI64" s="89"/>
      <c r="AJ64" s="89">
        <v>1</v>
      </c>
      <c r="AK64" s="89">
        <v>1</v>
      </c>
      <c r="AL64" s="89">
        <v>2</v>
      </c>
      <c r="AM64" s="89"/>
      <c r="AN64" s="90">
        <f t="shared" si="6"/>
        <v>28</v>
      </c>
      <c r="AO64" s="86">
        <v>240000</v>
      </c>
      <c r="AP64" s="91">
        <f t="shared" si="7"/>
        <v>6720000</v>
      </c>
    </row>
    <row r="65" spans="1:42" ht="24.9" customHeight="1" x14ac:dyDescent="0.4">
      <c r="A65" s="84">
        <v>60</v>
      </c>
      <c r="B65" s="84" t="s">
        <v>584</v>
      </c>
      <c r="C65" s="85" t="s">
        <v>628</v>
      </c>
      <c r="D65" s="36" t="s">
        <v>225</v>
      </c>
      <c r="E65" s="36" t="s">
        <v>673</v>
      </c>
      <c r="F65" s="94" t="s">
        <v>229</v>
      </c>
      <c r="G65" s="87" t="s">
        <v>584</v>
      </c>
      <c r="H65" s="88" t="s">
        <v>717</v>
      </c>
      <c r="I65" s="89">
        <v>1.5</v>
      </c>
      <c r="J65" s="89">
        <v>1.5</v>
      </c>
      <c r="K65" s="89">
        <v>1</v>
      </c>
      <c r="L65" s="89">
        <v>1</v>
      </c>
      <c r="M65" s="89">
        <v>1</v>
      </c>
      <c r="N65" s="89"/>
      <c r="O65" s="89">
        <v>1</v>
      </c>
      <c r="P65" s="89">
        <v>1.5</v>
      </c>
      <c r="Q65" s="89">
        <v>1</v>
      </c>
      <c r="R65" s="89">
        <v>1.5</v>
      </c>
      <c r="S65" s="89">
        <v>1</v>
      </c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90">
        <f t="shared" si="6"/>
        <v>12</v>
      </c>
      <c r="AO65" s="86">
        <v>160000</v>
      </c>
      <c r="AP65" s="91">
        <f t="shared" si="7"/>
        <v>1920000</v>
      </c>
    </row>
    <row r="66" spans="1:42" ht="24.9" customHeight="1" x14ac:dyDescent="0.4">
      <c r="A66" s="84">
        <v>61</v>
      </c>
      <c r="B66" s="84" t="s">
        <v>422</v>
      </c>
      <c r="C66" s="85" t="s">
        <v>437</v>
      </c>
      <c r="D66" s="36" t="s">
        <v>227</v>
      </c>
      <c r="E66" s="36" t="s">
        <v>452</v>
      </c>
      <c r="F66" s="96" t="s">
        <v>296</v>
      </c>
      <c r="G66" s="87" t="s">
        <v>422</v>
      </c>
      <c r="H66" s="88" t="s">
        <v>452</v>
      </c>
      <c r="I66" s="89">
        <v>2</v>
      </c>
      <c r="J66" s="89">
        <v>2</v>
      </c>
      <c r="K66" s="89">
        <v>2</v>
      </c>
      <c r="L66" s="89">
        <v>2</v>
      </c>
      <c r="M66" s="89"/>
      <c r="N66" s="89"/>
      <c r="O66" s="89">
        <v>2</v>
      </c>
      <c r="P66" s="89">
        <v>2</v>
      </c>
      <c r="Q66" s="89">
        <v>2</v>
      </c>
      <c r="R66" s="89">
        <v>2</v>
      </c>
      <c r="S66" s="89">
        <v>2</v>
      </c>
      <c r="T66" s="89"/>
      <c r="U66" s="89"/>
      <c r="V66" s="89">
        <v>1</v>
      </c>
      <c r="W66" s="89">
        <v>2</v>
      </c>
      <c r="X66" s="89">
        <v>2</v>
      </c>
      <c r="Y66" s="89">
        <v>2</v>
      </c>
      <c r="Z66" s="89">
        <v>2</v>
      </c>
      <c r="AA66" s="89"/>
      <c r="AB66" s="89"/>
      <c r="AC66" s="89">
        <v>2</v>
      </c>
      <c r="AD66" s="89">
        <v>2</v>
      </c>
      <c r="AE66" s="89"/>
      <c r="AF66" s="89"/>
      <c r="AG66" s="89"/>
      <c r="AH66" s="89"/>
      <c r="AI66" s="89"/>
      <c r="AJ66" s="89">
        <v>2</v>
      </c>
      <c r="AK66" s="89">
        <v>2</v>
      </c>
      <c r="AL66" s="89">
        <v>2</v>
      </c>
      <c r="AM66" s="89"/>
      <c r="AN66" s="90">
        <f t="shared" si="6"/>
        <v>37</v>
      </c>
      <c r="AO66" s="86">
        <v>240000</v>
      </c>
      <c r="AP66" s="91">
        <f t="shared" si="7"/>
        <v>8880000</v>
      </c>
    </row>
    <row r="67" spans="1:42" ht="24.9" customHeight="1" x14ac:dyDescent="0.4">
      <c r="A67" s="84">
        <v>62</v>
      </c>
      <c r="B67" s="84" t="s">
        <v>610</v>
      </c>
      <c r="C67" s="85" t="s">
        <v>794</v>
      </c>
      <c r="D67" s="128" t="s">
        <v>227</v>
      </c>
      <c r="E67" s="36" t="s">
        <v>824</v>
      </c>
      <c r="F67" s="94" t="s">
        <v>295</v>
      </c>
      <c r="G67" s="87" t="s">
        <v>610</v>
      </c>
      <c r="H67" s="88" t="s">
        <v>856</v>
      </c>
      <c r="I67" s="89">
        <v>2</v>
      </c>
      <c r="J67" s="89">
        <v>2</v>
      </c>
      <c r="K67" s="89">
        <v>2</v>
      </c>
      <c r="L67" s="89">
        <v>2</v>
      </c>
      <c r="M67" s="89"/>
      <c r="N67" s="89"/>
      <c r="O67" s="89">
        <v>2</v>
      </c>
      <c r="P67" s="89">
        <v>2</v>
      </c>
      <c r="Q67" s="89">
        <v>2</v>
      </c>
      <c r="R67" s="89">
        <v>2</v>
      </c>
      <c r="S67" s="89">
        <v>2</v>
      </c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90">
        <f t="shared" ref="AN67:AN96" si="8">SUM(I67:AM67)</f>
        <v>18</v>
      </c>
      <c r="AO67" s="86">
        <v>240000</v>
      </c>
      <c r="AP67" s="91">
        <f t="shared" ref="AP67:AP96" si="9">AN67*AO67</f>
        <v>4320000</v>
      </c>
    </row>
    <row r="68" spans="1:42" ht="24.9" customHeight="1" x14ac:dyDescent="0.4">
      <c r="A68" s="84">
        <v>63</v>
      </c>
      <c r="B68" s="84" t="s">
        <v>367</v>
      </c>
      <c r="C68" s="85" t="s">
        <v>368</v>
      </c>
      <c r="D68" s="36" t="s">
        <v>959</v>
      </c>
      <c r="E68" s="126" t="s">
        <v>369</v>
      </c>
      <c r="F68" s="94" t="s">
        <v>296</v>
      </c>
      <c r="G68" s="87" t="s">
        <v>367</v>
      </c>
      <c r="H68" s="88" t="s">
        <v>370</v>
      </c>
      <c r="I68" s="89">
        <v>1.5</v>
      </c>
      <c r="J68" s="89">
        <v>1.5</v>
      </c>
      <c r="K68" s="89">
        <v>1</v>
      </c>
      <c r="L68" s="89">
        <v>1</v>
      </c>
      <c r="M68" s="89">
        <v>0.875</v>
      </c>
      <c r="N68" s="89"/>
      <c r="O68" s="89">
        <v>1</v>
      </c>
      <c r="P68" s="89">
        <v>1.5</v>
      </c>
      <c r="Q68" s="89">
        <v>1</v>
      </c>
      <c r="R68" s="89">
        <v>1.5</v>
      </c>
      <c r="S68" s="89">
        <v>1</v>
      </c>
      <c r="T68" s="89">
        <v>0.875</v>
      </c>
      <c r="U68" s="89"/>
      <c r="V68" s="89">
        <v>1</v>
      </c>
      <c r="W68" s="89">
        <v>1.5</v>
      </c>
      <c r="X68" s="89">
        <v>1</v>
      </c>
      <c r="Y68" s="89">
        <v>1.5</v>
      </c>
      <c r="Z68" s="89">
        <v>1</v>
      </c>
      <c r="AA68" s="89">
        <v>0.25</v>
      </c>
      <c r="AB68" s="89"/>
      <c r="AC68" s="89">
        <v>1.5</v>
      </c>
      <c r="AD68" s="89">
        <v>1</v>
      </c>
      <c r="AE68" s="89">
        <v>1</v>
      </c>
      <c r="AF68" s="89"/>
      <c r="AG68" s="89"/>
      <c r="AH68" s="89"/>
      <c r="AI68" s="89"/>
      <c r="AJ68" s="89">
        <v>1</v>
      </c>
      <c r="AK68" s="89">
        <v>1.5</v>
      </c>
      <c r="AL68" s="89">
        <v>1</v>
      </c>
      <c r="AM68" s="89"/>
      <c r="AN68" s="90">
        <f t="shared" si="8"/>
        <v>26</v>
      </c>
      <c r="AO68" s="86">
        <v>240000</v>
      </c>
      <c r="AP68" s="91">
        <f t="shared" si="9"/>
        <v>6240000</v>
      </c>
    </row>
    <row r="69" spans="1:42" ht="24.9" customHeight="1" x14ac:dyDescent="0.4">
      <c r="A69" s="84">
        <v>64</v>
      </c>
      <c r="B69" s="84" t="s">
        <v>487</v>
      </c>
      <c r="C69" s="85" t="s">
        <v>507</v>
      </c>
      <c r="D69" s="36" t="s">
        <v>228</v>
      </c>
      <c r="E69" s="126" t="s">
        <v>525</v>
      </c>
      <c r="F69" s="94" t="s">
        <v>230</v>
      </c>
      <c r="G69" s="87" t="s">
        <v>487</v>
      </c>
      <c r="H69" s="88" t="s">
        <v>544</v>
      </c>
      <c r="I69" s="89">
        <v>2</v>
      </c>
      <c r="J69" s="89">
        <v>2</v>
      </c>
      <c r="K69" s="89">
        <v>2</v>
      </c>
      <c r="L69" s="89">
        <v>2</v>
      </c>
      <c r="M69" s="89"/>
      <c r="N69" s="89"/>
      <c r="O69" s="89">
        <v>2</v>
      </c>
      <c r="P69" s="89">
        <v>2</v>
      </c>
      <c r="Q69" s="89">
        <v>2</v>
      </c>
      <c r="R69" s="89">
        <v>2</v>
      </c>
      <c r="S69" s="89">
        <v>2</v>
      </c>
      <c r="T69" s="89"/>
      <c r="U69" s="89"/>
      <c r="V69" s="89">
        <v>1</v>
      </c>
      <c r="W69" s="89">
        <v>1.5</v>
      </c>
      <c r="X69" s="89">
        <v>1</v>
      </c>
      <c r="Y69" s="89">
        <v>1.5</v>
      </c>
      <c r="Z69" s="89">
        <v>1</v>
      </c>
      <c r="AA69" s="89">
        <v>1</v>
      </c>
      <c r="AB69" s="89"/>
      <c r="AC69" s="89">
        <v>1.5</v>
      </c>
      <c r="AD69" s="89">
        <v>0.25</v>
      </c>
      <c r="AE69" s="89"/>
      <c r="AF69" s="89"/>
      <c r="AG69" s="89"/>
      <c r="AH69" s="89"/>
      <c r="AI69" s="89"/>
      <c r="AJ69" s="89"/>
      <c r="AK69" s="89"/>
      <c r="AL69" s="89"/>
      <c r="AM69" s="89"/>
      <c r="AN69" s="90">
        <f t="shared" si="8"/>
        <v>26.75</v>
      </c>
      <c r="AO69" s="86">
        <v>190000</v>
      </c>
      <c r="AP69" s="91">
        <f t="shared" si="9"/>
        <v>5082500</v>
      </c>
    </row>
    <row r="70" spans="1:42" ht="24.9" customHeight="1" x14ac:dyDescent="0.4">
      <c r="A70" s="84">
        <v>65</v>
      </c>
      <c r="B70" s="84" t="s">
        <v>612</v>
      </c>
      <c r="C70" s="85" t="s">
        <v>657</v>
      </c>
      <c r="D70" s="36" t="s">
        <v>225</v>
      </c>
      <c r="E70" s="126" t="s">
        <v>701</v>
      </c>
      <c r="F70" s="94" t="s">
        <v>295</v>
      </c>
      <c r="G70" s="87" t="s">
        <v>612</v>
      </c>
      <c r="H70" s="88" t="s">
        <v>741</v>
      </c>
      <c r="I70" s="89">
        <v>1</v>
      </c>
      <c r="J70" s="89">
        <v>2</v>
      </c>
      <c r="K70" s="89">
        <v>2</v>
      </c>
      <c r="L70" s="89">
        <v>2</v>
      </c>
      <c r="M70" s="89"/>
      <c r="N70" s="89"/>
      <c r="O70" s="89">
        <v>2</v>
      </c>
      <c r="P70" s="89">
        <v>2</v>
      </c>
      <c r="Q70" s="89">
        <v>2</v>
      </c>
      <c r="R70" s="89">
        <v>2</v>
      </c>
      <c r="S70" s="89"/>
      <c r="T70" s="89"/>
      <c r="U70" s="89"/>
      <c r="V70" s="89">
        <v>1</v>
      </c>
      <c r="W70" s="89">
        <v>1.5</v>
      </c>
      <c r="X70" s="89">
        <v>1</v>
      </c>
      <c r="Y70" s="89">
        <v>1.5</v>
      </c>
      <c r="Z70" s="89">
        <v>1</v>
      </c>
      <c r="AA70" s="89">
        <v>1</v>
      </c>
      <c r="AB70" s="89"/>
      <c r="AC70" s="89">
        <v>1.5</v>
      </c>
      <c r="AD70" s="89">
        <v>1</v>
      </c>
      <c r="AE70" s="89">
        <v>1</v>
      </c>
      <c r="AF70" s="89"/>
      <c r="AG70" s="89"/>
      <c r="AH70" s="89"/>
      <c r="AI70" s="89"/>
      <c r="AJ70" s="89">
        <v>1</v>
      </c>
      <c r="AK70" s="89">
        <v>1</v>
      </c>
      <c r="AL70" s="89">
        <v>2</v>
      </c>
      <c r="AM70" s="89"/>
      <c r="AN70" s="90">
        <f t="shared" si="8"/>
        <v>29.5</v>
      </c>
      <c r="AO70" s="86">
        <v>180000</v>
      </c>
      <c r="AP70" s="91">
        <f t="shared" si="9"/>
        <v>5310000</v>
      </c>
    </row>
    <row r="71" spans="1:42" ht="24.9" customHeight="1" x14ac:dyDescent="0.4">
      <c r="A71" s="84">
        <v>66</v>
      </c>
      <c r="B71" s="84" t="s">
        <v>423</v>
      </c>
      <c r="C71" s="85" t="s">
        <v>438</v>
      </c>
      <c r="D71" s="36" t="s">
        <v>227</v>
      </c>
      <c r="E71" s="126" t="s">
        <v>453</v>
      </c>
      <c r="F71" s="94" t="s">
        <v>303</v>
      </c>
      <c r="G71" s="87" t="s">
        <v>423</v>
      </c>
      <c r="H71" s="88" t="s">
        <v>466</v>
      </c>
      <c r="I71" s="89">
        <v>2</v>
      </c>
      <c r="J71" s="89">
        <v>2</v>
      </c>
      <c r="K71" s="89">
        <v>2</v>
      </c>
      <c r="L71" s="89">
        <v>2</v>
      </c>
      <c r="M71" s="89"/>
      <c r="N71" s="89"/>
      <c r="O71" s="89">
        <v>2</v>
      </c>
      <c r="P71" s="89">
        <v>2</v>
      </c>
      <c r="Q71" s="89">
        <v>2</v>
      </c>
      <c r="R71" s="89">
        <v>2</v>
      </c>
      <c r="S71" s="89">
        <v>2</v>
      </c>
      <c r="T71" s="89"/>
      <c r="U71" s="89"/>
      <c r="V71" s="89">
        <v>1</v>
      </c>
      <c r="W71" s="89">
        <v>2</v>
      </c>
      <c r="X71" s="89">
        <v>2</v>
      </c>
      <c r="Y71" s="89">
        <v>2</v>
      </c>
      <c r="Z71" s="89">
        <v>2</v>
      </c>
      <c r="AA71" s="89"/>
      <c r="AB71" s="89"/>
      <c r="AC71" s="89">
        <v>2</v>
      </c>
      <c r="AD71" s="89">
        <v>2</v>
      </c>
      <c r="AE71" s="89"/>
      <c r="AF71" s="89"/>
      <c r="AG71" s="89"/>
      <c r="AH71" s="89"/>
      <c r="AI71" s="89"/>
      <c r="AJ71" s="89">
        <v>2</v>
      </c>
      <c r="AK71" s="89">
        <v>2</v>
      </c>
      <c r="AL71" s="89">
        <v>2</v>
      </c>
      <c r="AM71" s="89"/>
      <c r="AN71" s="90">
        <f t="shared" si="8"/>
        <v>37</v>
      </c>
      <c r="AO71" s="86">
        <v>240000</v>
      </c>
      <c r="AP71" s="91">
        <f t="shared" si="9"/>
        <v>8880000</v>
      </c>
    </row>
    <row r="72" spans="1:42" ht="24.9" customHeight="1" x14ac:dyDescent="0.4">
      <c r="A72" s="84">
        <v>67</v>
      </c>
      <c r="B72" s="84" t="s">
        <v>604</v>
      </c>
      <c r="C72" s="85" t="s">
        <v>649</v>
      </c>
      <c r="D72" s="36" t="s">
        <v>228</v>
      </c>
      <c r="E72" s="126" t="s">
        <v>693</v>
      </c>
      <c r="F72" s="94" t="s">
        <v>230</v>
      </c>
      <c r="G72" s="87" t="s">
        <v>604</v>
      </c>
      <c r="H72" s="88" t="s">
        <v>733</v>
      </c>
      <c r="I72" s="89">
        <v>2</v>
      </c>
      <c r="J72" s="89">
        <v>2</v>
      </c>
      <c r="K72" s="89">
        <v>2</v>
      </c>
      <c r="L72" s="89">
        <v>2</v>
      </c>
      <c r="M72" s="89"/>
      <c r="N72" s="89"/>
      <c r="O72" s="89">
        <v>2</v>
      </c>
      <c r="P72" s="89">
        <v>2</v>
      </c>
      <c r="Q72" s="89">
        <v>2</v>
      </c>
      <c r="R72" s="89">
        <v>2</v>
      </c>
      <c r="S72" s="89">
        <v>2</v>
      </c>
      <c r="T72" s="89"/>
      <c r="U72" s="89"/>
      <c r="V72" s="89">
        <v>1</v>
      </c>
      <c r="W72" s="89">
        <v>0.5</v>
      </c>
      <c r="X72" s="89">
        <v>1</v>
      </c>
      <c r="Y72" s="89">
        <v>2</v>
      </c>
      <c r="Z72" s="89">
        <v>2</v>
      </c>
      <c r="AA72" s="89"/>
      <c r="AB72" s="89"/>
      <c r="AC72" s="89">
        <v>2</v>
      </c>
      <c r="AD72" s="89">
        <v>2</v>
      </c>
      <c r="AE72" s="89"/>
      <c r="AF72" s="89"/>
      <c r="AG72" s="89"/>
      <c r="AH72" s="89"/>
      <c r="AI72" s="89"/>
      <c r="AJ72" s="89">
        <v>2</v>
      </c>
      <c r="AK72" s="89">
        <v>2</v>
      </c>
      <c r="AL72" s="89">
        <v>2</v>
      </c>
      <c r="AM72" s="89"/>
      <c r="AN72" s="90">
        <f t="shared" si="8"/>
        <v>34.5</v>
      </c>
      <c r="AO72" s="86">
        <v>240000</v>
      </c>
      <c r="AP72" s="91">
        <f t="shared" si="9"/>
        <v>8280000</v>
      </c>
    </row>
    <row r="73" spans="1:42" ht="24.9" customHeight="1" x14ac:dyDescent="0.4">
      <c r="A73" s="84">
        <v>68</v>
      </c>
      <c r="B73" s="84" t="s">
        <v>371</v>
      </c>
      <c r="C73" s="85" t="s">
        <v>372</v>
      </c>
      <c r="D73" s="36" t="s">
        <v>959</v>
      </c>
      <c r="E73" s="126" t="s">
        <v>373</v>
      </c>
      <c r="F73" s="94" t="s">
        <v>229</v>
      </c>
      <c r="G73" s="87" t="s">
        <v>371</v>
      </c>
      <c r="H73" s="88" t="s">
        <v>374</v>
      </c>
      <c r="I73" s="89">
        <v>1.5</v>
      </c>
      <c r="J73" s="89">
        <v>1.5</v>
      </c>
      <c r="K73" s="89">
        <v>1</v>
      </c>
      <c r="L73" s="89">
        <v>1</v>
      </c>
      <c r="M73" s="89">
        <v>1</v>
      </c>
      <c r="N73" s="89"/>
      <c r="O73" s="89">
        <v>1</v>
      </c>
      <c r="P73" s="89">
        <v>1.5</v>
      </c>
      <c r="Q73" s="89">
        <v>1</v>
      </c>
      <c r="R73" s="89">
        <v>1.5</v>
      </c>
      <c r="S73" s="89">
        <v>1</v>
      </c>
      <c r="T73" s="89">
        <v>1</v>
      </c>
      <c r="U73" s="89"/>
      <c r="V73" s="89">
        <v>1</v>
      </c>
      <c r="W73" s="89"/>
      <c r="X73" s="89">
        <v>1</v>
      </c>
      <c r="Y73" s="89">
        <v>1</v>
      </c>
      <c r="Z73" s="89">
        <v>1</v>
      </c>
      <c r="AA73" s="89">
        <v>1</v>
      </c>
      <c r="AB73" s="89"/>
      <c r="AC73" s="89">
        <v>1.5</v>
      </c>
      <c r="AD73" s="89">
        <v>1</v>
      </c>
      <c r="AE73" s="89">
        <v>1</v>
      </c>
      <c r="AF73" s="89"/>
      <c r="AG73" s="89"/>
      <c r="AH73" s="89"/>
      <c r="AI73" s="89"/>
      <c r="AJ73" s="89">
        <v>1</v>
      </c>
      <c r="AK73" s="89">
        <v>1.5</v>
      </c>
      <c r="AL73" s="89">
        <v>1</v>
      </c>
      <c r="AM73" s="89"/>
      <c r="AN73" s="90">
        <f t="shared" si="8"/>
        <v>25</v>
      </c>
      <c r="AO73" s="86">
        <v>250000</v>
      </c>
      <c r="AP73" s="91">
        <f t="shared" si="9"/>
        <v>6250000</v>
      </c>
    </row>
    <row r="74" spans="1:42" ht="24.9" customHeight="1" x14ac:dyDescent="0.4">
      <c r="A74" s="84">
        <v>69</v>
      </c>
      <c r="B74" s="84" t="s">
        <v>375</v>
      </c>
      <c r="C74" s="85" t="s">
        <v>376</v>
      </c>
      <c r="D74" s="128" t="s">
        <v>225</v>
      </c>
      <c r="E74" s="36" t="s">
        <v>377</v>
      </c>
      <c r="F74" s="96" t="s">
        <v>226</v>
      </c>
      <c r="G74" s="87" t="s">
        <v>375</v>
      </c>
      <c r="H74" s="88" t="s">
        <v>378</v>
      </c>
      <c r="I74" s="89">
        <v>1.5</v>
      </c>
      <c r="J74" s="89">
        <v>1.5</v>
      </c>
      <c r="K74" s="89">
        <v>1</v>
      </c>
      <c r="L74" s="89">
        <v>1</v>
      </c>
      <c r="M74" s="89">
        <v>1</v>
      </c>
      <c r="N74" s="89"/>
      <c r="O74" s="89">
        <v>1</v>
      </c>
      <c r="P74" s="89">
        <v>1.5</v>
      </c>
      <c r="Q74" s="89">
        <v>1</v>
      </c>
      <c r="R74" s="89">
        <v>1.5</v>
      </c>
      <c r="S74" s="89">
        <v>1</v>
      </c>
      <c r="T74" s="89">
        <v>1</v>
      </c>
      <c r="U74" s="89"/>
      <c r="V74" s="89">
        <v>1</v>
      </c>
      <c r="W74" s="89">
        <v>1.5</v>
      </c>
      <c r="X74" s="89">
        <v>1</v>
      </c>
      <c r="Y74" s="89">
        <v>1.5</v>
      </c>
      <c r="Z74" s="89">
        <v>1</v>
      </c>
      <c r="AA74" s="89">
        <v>1</v>
      </c>
      <c r="AB74" s="89"/>
      <c r="AC74" s="89">
        <v>1.5</v>
      </c>
      <c r="AD74" s="89">
        <v>1</v>
      </c>
      <c r="AE74" s="89">
        <v>1</v>
      </c>
      <c r="AF74" s="89"/>
      <c r="AG74" s="89"/>
      <c r="AH74" s="89"/>
      <c r="AI74" s="89"/>
      <c r="AJ74" s="89">
        <v>1</v>
      </c>
      <c r="AK74" s="89">
        <v>1.5</v>
      </c>
      <c r="AL74" s="89">
        <v>1</v>
      </c>
      <c r="AM74" s="89"/>
      <c r="AN74" s="90">
        <f t="shared" si="8"/>
        <v>27</v>
      </c>
      <c r="AO74" s="86">
        <v>180000</v>
      </c>
      <c r="AP74" s="91">
        <f t="shared" si="9"/>
        <v>4860000</v>
      </c>
    </row>
    <row r="75" spans="1:42" ht="24.9" customHeight="1" x14ac:dyDescent="0.4">
      <c r="A75" s="84">
        <v>70</v>
      </c>
      <c r="B75" s="84" t="s">
        <v>901</v>
      </c>
      <c r="C75" s="85" t="s">
        <v>916</v>
      </c>
      <c r="D75" s="36" t="s">
        <v>961</v>
      </c>
      <c r="E75" s="36" t="s">
        <v>931</v>
      </c>
      <c r="F75" s="94" t="s">
        <v>226</v>
      </c>
      <c r="G75" s="87" t="s">
        <v>901</v>
      </c>
      <c r="H75" s="88">
        <v>99936850449</v>
      </c>
      <c r="I75" s="89">
        <v>1.5</v>
      </c>
      <c r="J75" s="89">
        <v>1.25</v>
      </c>
      <c r="K75" s="89">
        <v>1</v>
      </c>
      <c r="L75" s="89">
        <v>1</v>
      </c>
      <c r="M75" s="89">
        <v>1</v>
      </c>
      <c r="N75" s="89"/>
      <c r="O75" s="89">
        <v>1</v>
      </c>
      <c r="P75" s="89">
        <v>1.5</v>
      </c>
      <c r="Q75" s="89">
        <v>1</v>
      </c>
      <c r="R75" s="89">
        <v>0.375</v>
      </c>
      <c r="S75" s="89">
        <v>1</v>
      </c>
      <c r="T75" s="89">
        <v>1</v>
      </c>
      <c r="U75" s="89"/>
      <c r="V75" s="89">
        <v>1</v>
      </c>
      <c r="W75" s="89">
        <v>1.5</v>
      </c>
      <c r="X75" s="89">
        <v>0.75</v>
      </c>
      <c r="Y75" s="89"/>
      <c r="Z75" s="89">
        <v>1</v>
      </c>
      <c r="AA75" s="89">
        <v>1</v>
      </c>
      <c r="AB75" s="89"/>
      <c r="AC75" s="89">
        <v>1.5</v>
      </c>
      <c r="AD75" s="89">
        <v>1</v>
      </c>
      <c r="AE75" s="89">
        <v>1</v>
      </c>
      <c r="AF75" s="89"/>
      <c r="AG75" s="89"/>
      <c r="AH75" s="89"/>
      <c r="AI75" s="89"/>
      <c r="AJ75" s="89">
        <v>1</v>
      </c>
      <c r="AK75" s="89">
        <v>1.5</v>
      </c>
      <c r="AL75" s="89">
        <v>1</v>
      </c>
      <c r="AM75" s="89"/>
      <c r="AN75" s="90">
        <f t="shared" si="8"/>
        <v>23.875</v>
      </c>
      <c r="AO75" s="86">
        <v>210000</v>
      </c>
      <c r="AP75" s="91">
        <f t="shared" si="9"/>
        <v>5013750</v>
      </c>
    </row>
    <row r="76" spans="1:42" ht="24.9" customHeight="1" x14ac:dyDescent="0.4">
      <c r="A76" s="84">
        <v>71</v>
      </c>
      <c r="B76" s="84" t="s">
        <v>768</v>
      </c>
      <c r="C76" s="85" t="s">
        <v>798</v>
      </c>
      <c r="D76" s="36" t="s">
        <v>228</v>
      </c>
      <c r="E76" s="126" t="s">
        <v>828</v>
      </c>
      <c r="F76" s="96" t="s">
        <v>229</v>
      </c>
      <c r="G76" s="87" t="s">
        <v>768</v>
      </c>
      <c r="H76" s="88" t="s">
        <v>859</v>
      </c>
      <c r="I76" s="89">
        <v>2</v>
      </c>
      <c r="J76" s="89">
        <v>2</v>
      </c>
      <c r="K76" s="89">
        <v>2</v>
      </c>
      <c r="L76" s="89">
        <v>2</v>
      </c>
      <c r="M76" s="89"/>
      <c r="N76" s="89"/>
      <c r="O76" s="89">
        <v>2</v>
      </c>
      <c r="P76" s="89">
        <v>2</v>
      </c>
      <c r="Q76" s="89">
        <v>2</v>
      </c>
      <c r="R76" s="89">
        <v>2</v>
      </c>
      <c r="S76" s="89">
        <v>2</v>
      </c>
      <c r="T76" s="89"/>
      <c r="U76" s="89"/>
      <c r="V76" s="89">
        <v>1</v>
      </c>
      <c r="W76" s="89">
        <v>2</v>
      </c>
      <c r="X76" s="89"/>
      <c r="Y76" s="89">
        <v>2</v>
      </c>
      <c r="Z76" s="89">
        <v>2</v>
      </c>
      <c r="AA76" s="89"/>
      <c r="AB76" s="89"/>
      <c r="AC76" s="89">
        <v>2</v>
      </c>
      <c r="AD76" s="89">
        <v>1.75</v>
      </c>
      <c r="AE76" s="89"/>
      <c r="AF76" s="89"/>
      <c r="AG76" s="89"/>
      <c r="AH76" s="89"/>
      <c r="AI76" s="89"/>
      <c r="AJ76" s="89">
        <v>2</v>
      </c>
      <c r="AK76" s="89">
        <v>2</v>
      </c>
      <c r="AL76" s="89">
        <v>2</v>
      </c>
      <c r="AM76" s="89"/>
      <c r="AN76" s="90">
        <f t="shared" si="8"/>
        <v>34.75</v>
      </c>
      <c r="AO76" s="86">
        <v>220000</v>
      </c>
      <c r="AP76" s="91">
        <f t="shared" si="9"/>
        <v>7645000</v>
      </c>
    </row>
    <row r="77" spans="1:42" ht="24.9" customHeight="1" x14ac:dyDescent="0.4">
      <c r="A77" s="84">
        <v>72</v>
      </c>
      <c r="B77" s="84" t="s">
        <v>611</v>
      </c>
      <c r="C77" s="85" t="s">
        <v>656</v>
      </c>
      <c r="D77" s="128" t="s">
        <v>225</v>
      </c>
      <c r="E77" s="126" t="s">
        <v>700</v>
      </c>
      <c r="F77" s="94" t="s">
        <v>361</v>
      </c>
      <c r="G77" s="87" t="s">
        <v>611</v>
      </c>
      <c r="H77" s="88" t="s">
        <v>740</v>
      </c>
      <c r="I77" s="89">
        <v>2</v>
      </c>
      <c r="J77" s="89"/>
      <c r="K77" s="89">
        <v>2</v>
      </c>
      <c r="L77" s="89">
        <v>2</v>
      </c>
      <c r="M77" s="89"/>
      <c r="N77" s="89"/>
      <c r="O77" s="89">
        <v>2</v>
      </c>
      <c r="P77" s="89">
        <v>2</v>
      </c>
      <c r="Q77" s="89">
        <v>2</v>
      </c>
      <c r="R77" s="89">
        <v>2</v>
      </c>
      <c r="S77" s="89">
        <v>2</v>
      </c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90">
        <f t="shared" si="8"/>
        <v>16</v>
      </c>
      <c r="AO77" s="86">
        <v>150000</v>
      </c>
      <c r="AP77" s="91">
        <f t="shared" si="9"/>
        <v>2400000</v>
      </c>
    </row>
    <row r="78" spans="1:42" ht="24.9" customHeight="1" x14ac:dyDescent="0.4">
      <c r="A78" s="84">
        <v>73</v>
      </c>
      <c r="B78" s="84" t="s">
        <v>902</v>
      </c>
      <c r="C78" s="85" t="s">
        <v>917</v>
      </c>
      <c r="D78" s="36" t="s">
        <v>228</v>
      </c>
      <c r="E78" s="36" t="s">
        <v>932</v>
      </c>
      <c r="F78" s="94" t="s">
        <v>295</v>
      </c>
      <c r="G78" s="87" t="s">
        <v>902</v>
      </c>
      <c r="H78" s="88" t="s">
        <v>947</v>
      </c>
      <c r="I78" s="89">
        <v>1.5</v>
      </c>
      <c r="J78" s="89">
        <v>0.125</v>
      </c>
      <c r="K78" s="89">
        <v>1</v>
      </c>
      <c r="L78" s="89">
        <v>1</v>
      </c>
      <c r="M78" s="89">
        <v>1</v>
      </c>
      <c r="N78" s="89"/>
      <c r="O78" s="89">
        <v>1</v>
      </c>
      <c r="P78" s="89">
        <v>1.5</v>
      </c>
      <c r="Q78" s="89">
        <v>1</v>
      </c>
      <c r="R78" s="89">
        <v>1.5</v>
      </c>
      <c r="S78" s="89">
        <v>1</v>
      </c>
      <c r="T78" s="89">
        <v>1</v>
      </c>
      <c r="U78" s="89"/>
      <c r="V78" s="89">
        <v>1</v>
      </c>
      <c r="W78" s="89">
        <v>1.5</v>
      </c>
      <c r="X78" s="89">
        <v>1</v>
      </c>
      <c r="Y78" s="89">
        <v>1.5</v>
      </c>
      <c r="Z78" s="89">
        <v>1</v>
      </c>
      <c r="AA78" s="89">
        <v>0.5</v>
      </c>
      <c r="AB78" s="89"/>
      <c r="AC78" s="89">
        <v>1.5</v>
      </c>
      <c r="AD78" s="89">
        <v>1</v>
      </c>
      <c r="AE78" s="89"/>
      <c r="AF78" s="89"/>
      <c r="AG78" s="89"/>
      <c r="AH78" s="89"/>
      <c r="AI78" s="89"/>
      <c r="AJ78" s="89">
        <v>1</v>
      </c>
      <c r="AK78" s="89">
        <v>1</v>
      </c>
      <c r="AL78" s="89">
        <v>2</v>
      </c>
      <c r="AM78" s="89"/>
      <c r="AN78" s="90">
        <f t="shared" si="8"/>
        <v>24.625</v>
      </c>
      <c r="AO78" s="86">
        <v>250000</v>
      </c>
      <c r="AP78" s="91">
        <f t="shared" si="9"/>
        <v>6156250</v>
      </c>
    </row>
    <row r="79" spans="1:42" ht="24.9" customHeight="1" x14ac:dyDescent="0.4">
      <c r="A79" s="84">
        <v>74</v>
      </c>
      <c r="B79" s="84" t="s">
        <v>619</v>
      </c>
      <c r="C79" s="85" t="s">
        <v>664</v>
      </c>
      <c r="D79" s="36" t="s">
        <v>225</v>
      </c>
      <c r="E79" s="36" t="s">
        <v>708</v>
      </c>
      <c r="F79" s="94" t="s">
        <v>230</v>
      </c>
      <c r="G79" s="87" t="s">
        <v>619</v>
      </c>
      <c r="H79" s="88" t="s">
        <v>749</v>
      </c>
      <c r="I79" s="89">
        <v>2</v>
      </c>
      <c r="J79" s="89">
        <v>2</v>
      </c>
      <c r="K79" s="89">
        <v>2</v>
      </c>
      <c r="L79" s="89">
        <v>2</v>
      </c>
      <c r="M79" s="89"/>
      <c r="N79" s="89"/>
      <c r="O79" s="89">
        <v>2</v>
      </c>
      <c r="P79" s="89">
        <v>2</v>
      </c>
      <c r="Q79" s="89">
        <v>2</v>
      </c>
      <c r="R79" s="89">
        <v>2</v>
      </c>
      <c r="S79" s="89">
        <v>2</v>
      </c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90">
        <f t="shared" si="8"/>
        <v>18</v>
      </c>
      <c r="AO79" s="86">
        <v>160000</v>
      </c>
      <c r="AP79" s="91">
        <f t="shared" si="9"/>
        <v>2880000</v>
      </c>
    </row>
    <row r="80" spans="1:42" ht="24.9" customHeight="1" x14ac:dyDescent="0.4">
      <c r="A80" s="84">
        <v>75</v>
      </c>
      <c r="B80" s="84" t="s">
        <v>770</v>
      </c>
      <c r="C80" s="85" t="s">
        <v>800</v>
      </c>
      <c r="D80" s="36" t="s">
        <v>228</v>
      </c>
      <c r="E80" s="36" t="s">
        <v>830</v>
      </c>
      <c r="F80" s="94" t="s">
        <v>361</v>
      </c>
      <c r="G80" s="87" t="s">
        <v>770</v>
      </c>
      <c r="H80" s="88" t="s">
        <v>861</v>
      </c>
      <c r="I80" s="89">
        <v>2</v>
      </c>
      <c r="J80" s="89">
        <v>2</v>
      </c>
      <c r="K80" s="89">
        <v>2</v>
      </c>
      <c r="L80" s="89">
        <v>2</v>
      </c>
      <c r="M80" s="89"/>
      <c r="N80" s="89"/>
      <c r="O80" s="89">
        <v>2</v>
      </c>
      <c r="P80" s="89">
        <v>2</v>
      </c>
      <c r="Q80" s="89">
        <v>2</v>
      </c>
      <c r="R80" s="89">
        <v>2</v>
      </c>
      <c r="S80" s="89">
        <v>2</v>
      </c>
      <c r="T80" s="89"/>
      <c r="U80" s="89"/>
      <c r="V80" s="89"/>
      <c r="W80" s="89">
        <v>2</v>
      </c>
      <c r="X80" s="89">
        <v>2</v>
      </c>
      <c r="Y80" s="89">
        <v>2</v>
      </c>
      <c r="Z80" s="89">
        <v>2</v>
      </c>
      <c r="AA80" s="89"/>
      <c r="AB80" s="89"/>
      <c r="AC80" s="89">
        <v>2</v>
      </c>
      <c r="AD80" s="89">
        <v>2</v>
      </c>
      <c r="AE80" s="89"/>
      <c r="AF80" s="89"/>
      <c r="AG80" s="89"/>
      <c r="AH80" s="89"/>
      <c r="AI80" s="89"/>
      <c r="AJ80" s="89">
        <v>2</v>
      </c>
      <c r="AK80" s="89">
        <v>2</v>
      </c>
      <c r="AL80" s="89">
        <v>2</v>
      </c>
      <c r="AM80" s="89"/>
      <c r="AN80" s="90">
        <f t="shared" si="8"/>
        <v>36</v>
      </c>
      <c r="AO80" s="86">
        <v>230000</v>
      </c>
      <c r="AP80" s="91">
        <f t="shared" si="9"/>
        <v>8280000</v>
      </c>
    </row>
    <row r="81" spans="1:42" ht="24.9" customHeight="1" x14ac:dyDescent="0.4">
      <c r="A81" s="84">
        <v>76</v>
      </c>
      <c r="B81" s="84" t="s">
        <v>424</v>
      </c>
      <c r="C81" s="85" t="s">
        <v>439</v>
      </c>
      <c r="D81" s="36" t="s">
        <v>227</v>
      </c>
      <c r="E81" s="36" t="s">
        <v>454</v>
      </c>
      <c r="F81" s="94" t="s">
        <v>230</v>
      </c>
      <c r="G81" s="87" t="s">
        <v>424</v>
      </c>
      <c r="H81" s="88" t="s">
        <v>467</v>
      </c>
      <c r="I81" s="89">
        <v>2</v>
      </c>
      <c r="J81" s="89">
        <v>2</v>
      </c>
      <c r="K81" s="89">
        <v>2</v>
      </c>
      <c r="L81" s="89">
        <v>2</v>
      </c>
      <c r="M81" s="89"/>
      <c r="N81" s="89"/>
      <c r="O81" s="89"/>
      <c r="P81" s="89"/>
      <c r="Q81" s="89"/>
      <c r="R81" s="89"/>
      <c r="S81" s="89">
        <v>2</v>
      </c>
      <c r="T81" s="89"/>
      <c r="U81" s="89"/>
      <c r="V81" s="89">
        <v>1</v>
      </c>
      <c r="W81" s="89">
        <v>2</v>
      </c>
      <c r="X81" s="89">
        <v>2</v>
      </c>
      <c r="Y81" s="89">
        <v>2</v>
      </c>
      <c r="Z81" s="89">
        <v>2</v>
      </c>
      <c r="AA81" s="89"/>
      <c r="AB81" s="89"/>
      <c r="AC81" s="89">
        <v>2</v>
      </c>
      <c r="AD81" s="89">
        <v>2</v>
      </c>
      <c r="AE81" s="89"/>
      <c r="AF81" s="89"/>
      <c r="AG81" s="89"/>
      <c r="AH81" s="89"/>
      <c r="AI81" s="89"/>
      <c r="AJ81" s="89">
        <v>2</v>
      </c>
      <c r="AK81" s="89">
        <v>2</v>
      </c>
      <c r="AL81" s="89">
        <v>2</v>
      </c>
      <c r="AM81" s="89"/>
      <c r="AN81" s="90">
        <f t="shared" si="8"/>
        <v>29</v>
      </c>
      <c r="AO81" s="86">
        <v>240000</v>
      </c>
      <c r="AP81" s="91">
        <f t="shared" si="9"/>
        <v>6960000</v>
      </c>
    </row>
    <row r="82" spans="1:42" ht="24.9" customHeight="1" x14ac:dyDescent="0.4">
      <c r="A82" s="84">
        <v>77</v>
      </c>
      <c r="B82" s="84" t="s">
        <v>613</v>
      </c>
      <c r="C82" s="85" t="s">
        <v>658</v>
      </c>
      <c r="D82" s="36" t="s">
        <v>225</v>
      </c>
      <c r="E82" s="36" t="s">
        <v>702</v>
      </c>
      <c r="F82" s="96" t="s">
        <v>226</v>
      </c>
      <c r="G82" s="87" t="s">
        <v>613</v>
      </c>
      <c r="H82" s="88" t="s">
        <v>742</v>
      </c>
      <c r="I82" s="89">
        <v>2</v>
      </c>
      <c r="J82" s="89">
        <v>2</v>
      </c>
      <c r="K82" s="89">
        <v>2</v>
      </c>
      <c r="L82" s="89">
        <v>2</v>
      </c>
      <c r="M82" s="89"/>
      <c r="N82" s="89"/>
      <c r="O82" s="89">
        <v>2</v>
      </c>
      <c r="P82" s="89">
        <v>2</v>
      </c>
      <c r="Q82" s="89">
        <v>2</v>
      </c>
      <c r="R82" s="89">
        <v>2</v>
      </c>
      <c r="S82" s="89">
        <v>2</v>
      </c>
      <c r="T82" s="89"/>
      <c r="U82" s="89"/>
      <c r="V82" s="89">
        <v>1</v>
      </c>
      <c r="W82" s="89">
        <v>1.5</v>
      </c>
      <c r="X82" s="89">
        <v>1</v>
      </c>
      <c r="Y82" s="89">
        <v>2</v>
      </c>
      <c r="Z82" s="89">
        <v>2</v>
      </c>
      <c r="AA82" s="89"/>
      <c r="AB82" s="89"/>
      <c r="AC82" s="89">
        <v>2</v>
      </c>
      <c r="AD82" s="89">
        <v>2</v>
      </c>
      <c r="AE82" s="89"/>
      <c r="AF82" s="89"/>
      <c r="AG82" s="89"/>
      <c r="AH82" s="89"/>
      <c r="AI82" s="89"/>
      <c r="AJ82" s="89">
        <v>2</v>
      </c>
      <c r="AK82" s="89">
        <v>2</v>
      </c>
      <c r="AL82" s="89">
        <v>2</v>
      </c>
      <c r="AM82" s="89"/>
      <c r="AN82" s="90">
        <f t="shared" si="8"/>
        <v>35.5</v>
      </c>
      <c r="AO82" s="86">
        <v>150000</v>
      </c>
      <c r="AP82" s="91">
        <f t="shared" si="9"/>
        <v>5325000</v>
      </c>
    </row>
    <row r="83" spans="1:42" ht="24.9" customHeight="1" x14ac:dyDescent="0.4">
      <c r="A83" s="84">
        <v>78</v>
      </c>
      <c r="B83" s="84" t="s">
        <v>767</v>
      </c>
      <c r="C83" s="85" t="s">
        <v>797</v>
      </c>
      <c r="D83" s="36" t="s">
        <v>227</v>
      </c>
      <c r="E83" s="36" t="s">
        <v>827</v>
      </c>
      <c r="F83" s="94" t="s">
        <v>230</v>
      </c>
      <c r="G83" s="87" t="s">
        <v>767</v>
      </c>
      <c r="H83" s="88" t="s">
        <v>946</v>
      </c>
      <c r="I83" s="89">
        <v>2</v>
      </c>
      <c r="J83" s="89">
        <v>2</v>
      </c>
      <c r="K83" s="89">
        <v>2</v>
      </c>
      <c r="L83" s="89">
        <v>2</v>
      </c>
      <c r="M83" s="89"/>
      <c r="N83" s="89"/>
      <c r="O83" s="89">
        <v>2</v>
      </c>
      <c r="P83" s="89"/>
      <c r="Q83" s="89">
        <v>2</v>
      </c>
      <c r="R83" s="89">
        <v>2</v>
      </c>
      <c r="S83" s="89">
        <v>2</v>
      </c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90">
        <f t="shared" si="8"/>
        <v>16</v>
      </c>
      <c r="AO83" s="86">
        <v>240000</v>
      </c>
      <c r="AP83" s="91">
        <f t="shared" si="9"/>
        <v>3840000</v>
      </c>
    </row>
    <row r="84" spans="1:42" ht="24.9" customHeight="1" x14ac:dyDescent="0.4">
      <c r="A84" s="84">
        <v>79</v>
      </c>
      <c r="B84" s="84" t="s">
        <v>494</v>
      </c>
      <c r="C84" s="85" t="s">
        <v>514</v>
      </c>
      <c r="D84" s="128" t="s">
        <v>225</v>
      </c>
      <c r="E84" s="126" t="s">
        <v>532</v>
      </c>
      <c r="F84" s="94" t="s">
        <v>296</v>
      </c>
      <c r="G84" s="87" t="s">
        <v>494</v>
      </c>
      <c r="H84" s="88" t="s">
        <v>551</v>
      </c>
      <c r="I84" s="89">
        <v>2</v>
      </c>
      <c r="J84" s="89">
        <v>2</v>
      </c>
      <c r="K84" s="89">
        <v>2</v>
      </c>
      <c r="L84" s="89">
        <v>2</v>
      </c>
      <c r="M84" s="89"/>
      <c r="N84" s="89"/>
      <c r="O84" s="89">
        <v>2</v>
      </c>
      <c r="P84" s="89">
        <v>2</v>
      </c>
      <c r="Q84" s="89">
        <v>2</v>
      </c>
      <c r="R84" s="89">
        <v>2</v>
      </c>
      <c r="S84" s="89">
        <v>2</v>
      </c>
      <c r="T84" s="89"/>
      <c r="U84" s="89"/>
      <c r="V84" s="89">
        <v>1</v>
      </c>
      <c r="W84" s="89">
        <v>2</v>
      </c>
      <c r="X84" s="89">
        <v>2</v>
      </c>
      <c r="Y84" s="89">
        <v>2</v>
      </c>
      <c r="Z84" s="89">
        <v>2</v>
      </c>
      <c r="AA84" s="89"/>
      <c r="AB84" s="89"/>
      <c r="AC84" s="89"/>
      <c r="AD84" s="89">
        <v>2</v>
      </c>
      <c r="AE84" s="89"/>
      <c r="AF84" s="89"/>
      <c r="AG84" s="89"/>
      <c r="AH84" s="89"/>
      <c r="AI84" s="89"/>
      <c r="AJ84" s="89">
        <v>2</v>
      </c>
      <c r="AK84" s="89">
        <v>2</v>
      </c>
      <c r="AL84" s="89">
        <v>2</v>
      </c>
      <c r="AM84" s="89"/>
      <c r="AN84" s="90">
        <f t="shared" si="8"/>
        <v>35</v>
      </c>
      <c r="AO84" s="86">
        <v>180000</v>
      </c>
      <c r="AP84" s="91">
        <f t="shared" si="9"/>
        <v>6300000</v>
      </c>
    </row>
    <row r="85" spans="1:42" ht="24.9" customHeight="1" x14ac:dyDescent="0.4">
      <c r="A85" s="84">
        <v>80</v>
      </c>
      <c r="B85" s="84" t="s">
        <v>903</v>
      </c>
      <c r="C85" s="85" t="s">
        <v>918</v>
      </c>
      <c r="D85" s="36" t="s">
        <v>227</v>
      </c>
      <c r="E85" s="126" t="s">
        <v>933</v>
      </c>
      <c r="F85" s="94" t="s">
        <v>229</v>
      </c>
      <c r="G85" s="87" t="s">
        <v>903</v>
      </c>
      <c r="H85" s="88" t="s">
        <v>948</v>
      </c>
      <c r="I85" s="89">
        <v>1.5</v>
      </c>
      <c r="J85" s="89">
        <v>1.5</v>
      </c>
      <c r="K85" s="89">
        <v>0.75</v>
      </c>
      <c r="L85" s="89">
        <v>1</v>
      </c>
      <c r="M85" s="89">
        <v>1</v>
      </c>
      <c r="N85" s="89"/>
      <c r="O85" s="89">
        <v>1</v>
      </c>
      <c r="P85" s="89">
        <v>1.5</v>
      </c>
      <c r="Q85" s="89">
        <v>1</v>
      </c>
      <c r="R85" s="89">
        <v>1.5</v>
      </c>
      <c r="S85" s="89">
        <v>1</v>
      </c>
      <c r="T85" s="89">
        <v>1</v>
      </c>
      <c r="U85" s="89"/>
      <c r="V85" s="89">
        <v>1</v>
      </c>
      <c r="W85" s="89">
        <v>1.5</v>
      </c>
      <c r="X85" s="89">
        <v>1</v>
      </c>
      <c r="Y85" s="89">
        <v>1.5</v>
      </c>
      <c r="Z85" s="89">
        <v>1</v>
      </c>
      <c r="AA85" s="89">
        <v>1</v>
      </c>
      <c r="AB85" s="89"/>
      <c r="AC85" s="89">
        <v>1.5</v>
      </c>
      <c r="AD85" s="89">
        <v>1</v>
      </c>
      <c r="AE85" s="89">
        <v>1</v>
      </c>
      <c r="AF85" s="89"/>
      <c r="AG85" s="89"/>
      <c r="AH85" s="89"/>
      <c r="AI85" s="89"/>
      <c r="AJ85" s="89">
        <v>1</v>
      </c>
      <c r="AK85" s="89">
        <v>1</v>
      </c>
      <c r="AL85" s="89">
        <v>2</v>
      </c>
      <c r="AM85" s="89"/>
      <c r="AN85" s="90">
        <f t="shared" si="8"/>
        <v>27.25</v>
      </c>
      <c r="AO85" s="86">
        <v>240000</v>
      </c>
      <c r="AP85" s="91">
        <f t="shared" si="9"/>
        <v>6540000</v>
      </c>
    </row>
    <row r="86" spans="1:42" ht="24.9" customHeight="1" x14ac:dyDescent="0.4">
      <c r="A86" s="84">
        <v>81</v>
      </c>
      <c r="B86" s="84" t="s">
        <v>425</v>
      </c>
      <c r="C86" s="85" t="s">
        <v>440</v>
      </c>
      <c r="D86" s="36" t="s">
        <v>959</v>
      </c>
      <c r="E86" s="126" t="s">
        <v>455</v>
      </c>
      <c r="F86" s="94" t="s">
        <v>361</v>
      </c>
      <c r="G86" s="87" t="s">
        <v>425</v>
      </c>
      <c r="H86" s="88" t="s">
        <v>468</v>
      </c>
      <c r="I86" s="89">
        <v>2</v>
      </c>
      <c r="J86" s="89">
        <v>2</v>
      </c>
      <c r="K86" s="89">
        <v>2</v>
      </c>
      <c r="L86" s="89">
        <v>2</v>
      </c>
      <c r="M86" s="89"/>
      <c r="N86" s="89"/>
      <c r="O86" s="89">
        <v>2</v>
      </c>
      <c r="P86" s="89">
        <v>2</v>
      </c>
      <c r="Q86" s="89">
        <v>2</v>
      </c>
      <c r="R86" s="89">
        <v>2</v>
      </c>
      <c r="S86" s="89">
        <v>2</v>
      </c>
      <c r="T86" s="89"/>
      <c r="U86" s="89"/>
      <c r="V86" s="89">
        <v>1</v>
      </c>
      <c r="W86" s="89">
        <v>2</v>
      </c>
      <c r="X86" s="89">
        <v>2</v>
      </c>
      <c r="Y86" s="89">
        <v>2</v>
      </c>
      <c r="Z86" s="89">
        <v>2</v>
      </c>
      <c r="AA86" s="89"/>
      <c r="AB86" s="89"/>
      <c r="AC86" s="89">
        <v>2</v>
      </c>
      <c r="AD86" s="89">
        <v>2</v>
      </c>
      <c r="AE86" s="89"/>
      <c r="AF86" s="89"/>
      <c r="AG86" s="89"/>
      <c r="AH86" s="89"/>
      <c r="AI86" s="89"/>
      <c r="AJ86" s="89">
        <v>2</v>
      </c>
      <c r="AK86" s="89">
        <v>2</v>
      </c>
      <c r="AL86" s="89">
        <v>2</v>
      </c>
      <c r="AM86" s="89"/>
      <c r="AN86" s="90">
        <f t="shared" si="8"/>
        <v>37</v>
      </c>
      <c r="AO86" s="86">
        <v>240000</v>
      </c>
      <c r="AP86" s="91">
        <f t="shared" si="9"/>
        <v>8880000</v>
      </c>
    </row>
    <row r="87" spans="1:42" ht="24.9" customHeight="1" x14ac:dyDescent="0.4">
      <c r="A87" s="84">
        <v>82</v>
      </c>
      <c r="B87" s="84" t="s">
        <v>379</v>
      </c>
      <c r="C87" s="85" t="s">
        <v>380</v>
      </c>
      <c r="D87" s="36" t="s">
        <v>225</v>
      </c>
      <c r="E87" s="126" t="s">
        <v>381</v>
      </c>
      <c r="F87" s="94" t="s">
        <v>970</v>
      </c>
      <c r="G87" s="87" t="s">
        <v>379</v>
      </c>
      <c r="H87" s="88" t="s">
        <v>949</v>
      </c>
      <c r="I87" s="89">
        <v>2</v>
      </c>
      <c r="J87" s="89">
        <v>2</v>
      </c>
      <c r="K87" s="89">
        <v>2</v>
      </c>
      <c r="L87" s="89">
        <v>2</v>
      </c>
      <c r="M87" s="89"/>
      <c r="N87" s="89"/>
      <c r="O87" s="89">
        <v>2</v>
      </c>
      <c r="P87" s="89">
        <v>2</v>
      </c>
      <c r="Q87" s="89">
        <v>2</v>
      </c>
      <c r="R87" s="89">
        <v>2</v>
      </c>
      <c r="S87" s="89">
        <v>2</v>
      </c>
      <c r="T87" s="89"/>
      <c r="U87" s="89"/>
      <c r="V87" s="89">
        <v>1</v>
      </c>
      <c r="W87" s="89">
        <v>2</v>
      </c>
      <c r="X87" s="89">
        <v>2</v>
      </c>
      <c r="Y87" s="89">
        <v>2</v>
      </c>
      <c r="Z87" s="89">
        <v>2</v>
      </c>
      <c r="AA87" s="89"/>
      <c r="AB87" s="89"/>
      <c r="AC87" s="89">
        <v>2</v>
      </c>
      <c r="AD87" s="89">
        <v>2</v>
      </c>
      <c r="AE87" s="89"/>
      <c r="AF87" s="89"/>
      <c r="AG87" s="89"/>
      <c r="AH87" s="89"/>
      <c r="AI87" s="89"/>
      <c r="AJ87" s="89">
        <v>2</v>
      </c>
      <c r="AK87" s="89">
        <v>2</v>
      </c>
      <c r="AL87" s="89">
        <v>2</v>
      </c>
      <c r="AM87" s="89"/>
      <c r="AN87" s="90">
        <f t="shared" si="8"/>
        <v>37</v>
      </c>
      <c r="AO87" s="86">
        <v>170000</v>
      </c>
      <c r="AP87" s="91">
        <f t="shared" si="9"/>
        <v>6290000</v>
      </c>
    </row>
    <row r="88" spans="1:42" ht="24.9" customHeight="1" x14ac:dyDescent="0.4">
      <c r="A88" s="84">
        <v>83</v>
      </c>
      <c r="B88" s="84" t="s">
        <v>382</v>
      </c>
      <c r="C88" s="85" t="s">
        <v>383</v>
      </c>
      <c r="D88" s="36" t="s">
        <v>959</v>
      </c>
      <c r="E88" s="36" t="s">
        <v>384</v>
      </c>
      <c r="F88" s="96" t="s">
        <v>296</v>
      </c>
      <c r="G88" s="87" t="s">
        <v>382</v>
      </c>
      <c r="H88" s="88" t="s">
        <v>385</v>
      </c>
      <c r="I88" s="89">
        <v>1.5</v>
      </c>
      <c r="J88" s="89">
        <v>1.5</v>
      </c>
      <c r="K88" s="89">
        <v>1</v>
      </c>
      <c r="L88" s="89">
        <v>1</v>
      </c>
      <c r="M88" s="89">
        <v>1</v>
      </c>
      <c r="N88" s="89"/>
      <c r="O88" s="89">
        <v>1</v>
      </c>
      <c r="P88" s="89">
        <v>1.5</v>
      </c>
      <c r="Q88" s="89">
        <v>1</v>
      </c>
      <c r="R88" s="89">
        <v>1.5</v>
      </c>
      <c r="S88" s="89">
        <v>1</v>
      </c>
      <c r="T88" s="89">
        <v>1</v>
      </c>
      <c r="U88" s="89"/>
      <c r="V88" s="89">
        <v>1</v>
      </c>
      <c r="W88" s="89">
        <v>1.5</v>
      </c>
      <c r="X88" s="89">
        <v>1</v>
      </c>
      <c r="Y88" s="89"/>
      <c r="Z88" s="89">
        <v>1</v>
      </c>
      <c r="AA88" s="89">
        <v>1</v>
      </c>
      <c r="AB88" s="89"/>
      <c r="AC88" s="89">
        <v>1.5</v>
      </c>
      <c r="AD88" s="89">
        <v>1</v>
      </c>
      <c r="AE88" s="89">
        <v>1</v>
      </c>
      <c r="AF88" s="89"/>
      <c r="AG88" s="89"/>
      <c r="AH88" s="89"/>
      <c r="AI88" s="89"/>
      <c r="AJ88" s="89">
        <v>1</v>
      </c>
      <c r="AK88" s="89">
        <v>1.5</v>
      </c>
      <c r="AL88" s="89">
        <v>1</v>
      </c>
      <c r="AM88" s="89"/>
      <c r="AN88" s="90">
        <f t="shared" si="8"/>
        <v>25.5</v>
      </c>
      <c r="AO88" s="86">
        <v>270000</v>
      </c>
      <c r="AP88" s="91">
        <f t="shared" si="9"/>
        <v>6885000</v>
      </c>
    </row>
    <row r="89" spans="1:42" ht="24.9" customHeight="1" x14ac:dyDescent="0.4">
      <c r="A89" s="84">
        <v>84</v>
      </c>
      <c r="B89" s="84" t="s">
        <v>386</v>
      </c>
      <c r="C89" s="85" t="s">
        <v>387</v>
      </c>
      <c r="D89" s="36" t="s">
        <v>960</v>
      </c>
      <c r="E89" s="36" t="s">
        <v>388</v>
      </c>
      <c r="F89" s="94" t="s">
        <v>226</v>
      </c>
      <c r="G89" s="87" t="s">
        <v>386</v>
      </c>
      <c r="H89" s="88" t="s">
        <v>389</v>
      </c>
      <c r="I89" s="89">
        <v>2</v>
      </c>
      <c r="J89" s="89">
        <v>2</v>
      </c>
      <c r="K89" s="89">
        <v>2</v>
      </c>
      <c r="L89" s="89">
        <v>2</v>
      </c>
      <c r="M89" s="89"/>
      <c r="N89" s="89"/>
      <c r="O89" s="89">
        <v>2</v>
      </c>
      <c r="P89" s="89">
        <v>2</v>
      </c>
      <c r="Q89" s="89">
        <v>2</v>
      </c>
      <c r="R89" s="89">
        <v>2</v>
      </c>
      <c r="S89" s="89">
        <v>2</v>
      </c>
      <c r="T89" s="89"/>
      <c r="U89" s="89"/>
      <c r="V89" s="89">
        <v>1</v>
      </c>
      <c r="W89" s="89">
        <v>1.5</v>
      </c>
      <c r="X89" s="89">
        <v>1</v>
      </c>
      <c r="Y89" s="89">
        <v>0.5</v>
      </c>
      <c r="Z89" s="89">
        <v>1</v>
      </c>
      <c r="AA89" s="89">
        <v>1</v>
      </c>
      <c r="AB89" s="89"/>
      <c r="AC89" s="89">
        <v>1.5</v>
      </c>
      <c r="AD89" s="89">
        <v>1</v>
      </c>
      <c r="AE89" s="89">
        <v>1</v>
      </c>
      <c r="AF89" s="89"/>
      <c r="AG89" s="89"/>
      <c r="AH89" s="89"/>
      <c r="AI89" s="89"/>
      <c r="AJ89" s="89">
        <v>1</v>
      </c>
      <c r="AK89" s="89">
        <v>1.5</v>
      </c>
      <c r="AL89" s="89">
        <v>1</v>
      </c>
      <c r="AM89" s="89"/>
      <c r="AN89" s="90">
        <f t="shared" si="8"/>
        <v>31</v>
      </c>
      <c r="AO89" s="86">
        <v>190000</v>
      </c>
      <c r="AP89" s="91">
        <f t="shared" si="9"/>
        <v>5890000</v>
      </c>
    </row>
    <row r="90" spans="1:42" ht="24.9" customHeight="1" x14ac:dyDescent="0.4">
      <c r="A90" s="84">
        <v>85</v>
      </c>
      <c r="B90" s="84" t="s">
        <v>904</v>
      </c>
      <c r="C90" s="85" t="s">
        <v>919</v>
      </c>
      <c r="D90" s="36" t="s">
        <v>225</v>
      </c>
      <c r="E90" s="126" t="s">
        <v>934</v>
      </c>
      <c r="F90" s="96" t="s">
        <v>361</v>
      </c>
      <c r="G90" s="87" t="s">
        <v>904</v>
      </c>
      <c r="H90" s="88" t="s">
        <v>950</v>
      </c>
      <c r="I90" s="89">
        <v>1.5</v>
      </c>
      <c r="J90" s="89">
        <v>1.5</v>
      </c>
      <c r="K90" s="89">
        <v>1</v>
      </c>
      <c r="L90" s="89">
        <v>1</v>
      </c>
      <c r="M90" s="89">
        <v>1</v>
      </c>
      <c r="N90" s="89"/>
      <c r="O90" s="89">
        <v>1</v>
      </c>
      <c r="P90" s="89">
        <v>1.5</v>
      </c>
      <c r="Q90" s="89">
        <v>1</v>
      </c>
      <c r="R90" s="89">
        <v>1.5</v>
      </c>
      <c r="S90" s="89">
        <v>1</v>
      </c>
      <c r="T90" s="89">
        <v>1</v>
      </c>
      <c r="U90" s="89"/>
      <c r="V90" s="89">
        <v>1</v>
      </c>
      <c r="W90" s="89">
        <v>1.5</v>
      </c>
      <c r="X90" s="89">
        <v>1</v>
      </c>
      <c r="Y90" s="89">
        <v>1.5</v>
      </c>
      <c r="Z90" s="89">
        <v>1</v>
      </c>
      <c r="AA90" s="89">
        <v>1</v>
      </c>
      <c r="AB90" s="89"/>
      <c r="AC90" s="89">
        <v>1.5</v>
      </c>
      <c r="AD90" s="89">
        <v>1</v>
      </c>
      <c r="AE90" s="89">
        <v>1</v>
      </c>
      <c r="AF90" s="89"/>
      <c r="AG90" s="89"/>
      <c r="AH90" s="89"/>
      <c r="AI90" s="89"/>
      <c r="AJ90" s="89">
        <v>1</v>
      </c>
      <c r="AK90" s="89">
        <v>1</v>
      </c>
      <c r="AL90" s="89">
        <v>2</v>
      </c>
      <c r="AM90" s="89"/>
      <c r="AN90" s="90">
        <f t="shared" si="8"/>
        <v>27.5</v>
      </c>
      <c r="AO90" s="86">
        <v>150000</v>
      </c>
      <c r="AP90" s="91">
        <f t="shared" si="9"/>
        <v>4125000</v>
      </c>
    </row>
    <row r="91" spans="1:42" ht="24.9" customHeight="1" x14ac:dyDescent="0.4">
      <c r="A91" s="84">
        <v>86</v>
      </c>
      <c r="B91" s="84" t="s">
        <v>488</v>
      </c>
      <c r="C91" s="85" t="s">
        <v>508</v>
      </c>
      <c r="D91" s="36" t="s">
        <v>227</v>
      </c>
      <c r="E91" s="126" t="s">
        <v>526</v>
      </c>
      <c r="F91" s="94" t="s">
        <v>230</v>
      </c>
      <c r="G91" s="87" t="s">
        <v>488</v>
      </c>
      <c r="H91" s="88" t="s">
        <v>545</v>
      </c>
      <c r="I91" s="89">
        <v>2</v>
      </c>
      <c r="J91" s="89">
        <v>2</v>
      </c>
      <c r="K91" s="89">
        <v>2</v>
      </c>
      <c r="L91" s="89">
        <v>2</v>
      </c>
      <c r="M91" s="89"/>
      <c r="N91" s="89"/>
      <c r="O91" s="89">
        <v>2</v>
      </c>
      <c r="P91" s="89">
        <v>2</v>
      </c>
      <c r="Q91" s="89">
        <v>2</v>
      </c>
      <c r="R91" s="89">
        <v>2</v>
      </c>
      <c r="S91" s="89">
        <v>2</v>
      </c>
      <c r="T91" s="89"/>
      <c r="U91" s="89"/>
      <c r="V91" s="89">
        <v>1</v>
      </c>
      <c r="W91" s="89">
        <v>1.5</v>
      </c>
      <c r="X91" s="89"/>
      <c r="Y91" s="89">
        <v>1.5</v>
      </c>
      <c r="Z91" s="89">
        <v>1</v>
      </c>
      <c r="AA91" s="89">
        <v>1</v>
      </c>
      <c r="AB91" s="89"/>
      <c r="AC91" s="89">
        <v>1.5</v>
      </c>
      <c r="AD91" s="89">
        <v>1</v>
      </c>
      <c r="AE91" s="89">
        <v>1</v>
      </c>
      <c r="AF91" s="89"/>
      <c r="AG91" s="89"/>
      <c r="AH91" s="89"/>
      <c r="AI91" s="89"/>
      <c r="AJ91" s="89">
        <v>1</v>
      </c>
      <c r="AK91" s="89">
        <v>1</v>
      </c>
      <c r="AL91" s="89">
        <v>2</v>
      </c>
      <c r="AM91" s="89"/>
      <c r="AN91" s="90">
        <f t="shared" si="8"/>
        <v>31.5</v>
      </c>
      <c r="AO91" s="86">
        <v>240000</v>
      </c>
      <c r="AP91" s="91">
        <f t="shared" si="9"/>
        <v>7560000</v>
      </c>
    </row>
    <row r="92" spans="1:42" ht="24.9" customHeight="1" x14ac:dyDescent="0.4">
      <c r="A92" s="84">
        <v>87</v>
      </c>
      <c r="B92" s="84" t="s">
        <v>426</v>
      </c>
      <c r="C92" s="85" t="s">
        <v>441</v>
      </c>
      <c r="D92" s="36" t="s">
        <v>960</v>
      </c>
      <c r="E92" s="36" t="s">
        <v>456</v>
      </c>
      <c r="F92" s="94" t="s">
        <v>361</v>
      </c>
      <c r="G92" s="87" t="s">
        <v>426</v>
      </c>
      <c r="H92" s="88" t="s">
        <v>469</v>
      </c>
      <c r="I92" s="89">
        <v>2</v>
      </c>
      <c r="J92" s="89">
        <v>2</v>
      </c>
      <c r="K92" s="89">
        <v>2</v>
      </c>
      <c r="L92" s="89">
        <v>2</v>
      </c>
      <c r="M92" s="89"/>
      <c r="N92" s="89"/>
      <c r="O92" s="89">
        <v>2</v>
      </c>
      <c r="P92" s="89">
        <v>2</v>
      </c>
      <c r="Q92" s="89">
        <v>2</v>
      </c>
      <c r="R92" s="89">
        <v>2</v>
      </c>
      <c r="S92" s="89"/>
      <c r="T92" s="89"/>
      <c r="U92" s="89"/>
      <c r="V92" s="89">
        <v>1</v>
      </c>
      <c r="W92" s="89">
        <v>2</v>
      </c>
      <c r="X92" s="89">
        <v>2</v>
      </c>
      <c r="Y92" s="89">
        <v>2</v>
      </c>
      <c r="Z92" s="89">
        <v>2</v>
      </c>
      <c r="AA92" s="89"/>
      <c r="AB92" s="89"/>
      <c r="AC92" s="89">
        <v>2</v>
      </c>
      <c r="AD92" s="89">
        <v>2</v>
      </c>
      <c r="AE92" s="89"/>
      <c r="AF92" s="89"/>
      <c r="AG92" s="89"/>
      <c r="AH92" s="89"/>
      <c r="AI92" s="89"/>
      <c r="AJ92" s="89">
        <v>2</v>
      </c>
      <c r="AK92" s="89">
        <v>2</v>
      </c>
      <c r="AL92" s="89">
        <v>2</v>
      </c>
      <c r="AM92" s="89"/>
      <c r="AN92" s="90">
        <f t="shared" si="8"/>
        <v>35</v>
      </c>
      <c r="AO92" s="86">
        <v>180000</v>
      </c>
      <c r="AP92" s="91">
        <f t="shared" si="9"/>
        <v>6300000</v>
      </c>
    </row>
    <row r="93" spans="1:42" ht="24.9" customHeight="1" x14ac:dyDescent="0.4">
      <c r="A93" s="84">
        <v>88</v>
      </c>
      <c r="B93" s="84" t="s">
        <v>500</v>
      </c>
      <c r="C93" s="85" t="s">
        <v>520</v>
      </c>
      <c r="D93" s="36" t="s">
        <v>228</v>
      </c>
      <c r="E93" s="36" t="s">
        <v>538</v>
      </c>
      <c r="F93" s="94" t="s">
        <v>226</v>
      </c>
      <c r="G93" s="87" t="s">
        <v>500</v>
      </c>
      <c r="H93" s="88" t="s">
        <v>557</v>
      </c>
      <c r="I93" s="89">
        <v>1.5</v>
      </c>
      <c r="J93" s="89">
        <v>1.5</v>
      </c>
      <c r="K93" s="89">
        <v>1</v>
      </c>
      <c r="L93" s="89">
        <v>1</v>
      </c>
      <c r="M93" s="89"/>
      <c r="N93" s="89"/>
      <c r="O93" s="89">
        <v>1</v>
      </c>
      <c r="P93" s="89">
        <v>1.5</v>
      </c>
      <c r="Q93" s="89">
        <v>1</v>
      </c>
      <c r="R93" s="89">
        <v>1.5</v>
      </c>
      <c r="S93" s="89">
        <v>1</v>
      </c>
      <c r="T93" s="89">
        <v>1</v>
      </c>
      <c r="U93" s="89"/>
      <c r="V93" s="89">
        <v>1</v>
      </c>
      <c r="W93" s="89">
        <v>1.5</v>
      </c>
      <c r="X93" s="89">
        <v>1</v>
      </c>
      <c r="Y93" s="89">
        <v>1.5</v>
      </c>
      <c r="Z93" s="89">
        <v>1</v>
      </c>
      <c r="AA93" s="89">
        <v>1</v>
      </c>
      <c r="AB93" s="89"/>
      <c r="AC93" s="89">
        <v>1.5</v>
      </c>
      <c r="AD93" s="89">
        <v>1</v>
      </c>
      <c r="AE93" s="89">
        <v>1</v>
      </c>
      <c r="AF93" s="89"/>
      <c r="AG93" s="89"/>
      <c r="AH93" s="89"/>
      <c r="AI93" s="89"/>
      <c r="AJ93" s="89">
        <v>1</v>
      </c>
      <c r="AK93" s="89">
        <v>1.5</v>
      </c>
      <c r="AL93" s="89">
        <v>1</v>
      </c>
      <c r="AM93" s="89"/>
      <c r="AN93" s="90">
        <f t="shared" si="8"/>
        <v>26</v>
      </c>
      <c r="AO93" s="86">
        <v>220000</v>
      </c>
      <c r="AP93" s="91">
        <f t="shared" si="9"/>
        <v>5720000</v>
      </c>
    </row>
    <row r="94" spans="1:42" ht="24.9" customHeight="1" x14ac:dyDescent="0.4">
      <c r="A94" s="84">
        <v>89</v>
      </c>
      <c r="B94" s="84" t="s">
        <v>605</v>
      </c>
      <c r="C94" s="85" t="s">
        <v>650</v>
      </c>
      <c r="D94" s="36" t="s">
        <v>228</v>
      </c>
      <c r="E94" s="36" t="s">
        <v>694</v>
      </c>
      <c r="F94" s="94" t="s">
        <v>304</v>
      </c>
      <c r="G94" s="87" t="s">
        <v>605</v>
      </c>
      <c r="H94" s="88" t="s">
        <v>734</v>
      </c>
      <c r="I94" s="89">
        <v>1.5</v>
      </c>
      <c r="J94" s="89">
        <v>1.5</v>
      </c>
      <c r="K94" s="89">
        <v>1</v>
      </c>
      <c r="L94" s="89">
        <v>1</v>
      </c>
      <c r="M94" s="89">
        <v>1</v>
      </c>
      <c r="N94" s="89"/>
      <c r="O94" s="89">
        <v>1</v>
      </c>
      <c r="P94" s="89">
        <v>1.5</v>
      </c>
      <c r="Q94" s="89"/>
      <c r="R94" s="89">
        <v>1.5</v>
      </c>
      <c r="S94" s="89">
        <v>1</v>
      </c>
      <c r="T94" s="89">
        <v>1</v>
      </c>
      <c r="U94" s="89"/>
      <c r="V94" s="89">
        <v>1</v>
      </c>
      <c r="W94" s="89">
        <v>1.5</v>
      </c>
      <c r="X94" s="89">
        <v>1</v>
      </c>
      <c r="Y94" s="89">
        <v>1.5</v>
      </c>
      <c r="Z94" s="89">
        <v>1</v>
      </c>
      <c r="AA94" s="89">
        <v>1</v>
      </c>
      <c r="AB94" s="89"/>
      <c r="AC94" s="89">
        <v>1.5</v>
      </c>
      <c r="AD94" s="89">
        <v>1</v>
      </c>
      <c r="AE94" s="89">
        <v>1</v>
      </c>
      <c r="AF94" s="89"/>
      <c r="AG94" s="89"/>
      <c r="AH94" s="89"/>
      <c r="AI94" s="89"/>
      <c r="AJ94" s="89">
        <v>1</v>
      </c>
      <c r="AK94" s="89">
        <v>1.5</v>
      </c>
      <c r="AL94" s="89">
        <v>1</v>
      </c>
      <c r="AM94" s="89"/>
      <c r="AN94" s="90">
        <f t="shared" si="8"/>
        <v>26</v>
      </c>
      <c r="AO94" s="86">
        <v>210000</v>
      </c>
      <c r="AP94" s="91">
        <f t="shared" si="9"/>
        <v>5460000</v>
      </c>
    </row>
    <row r="95" spans="1:42" ht="24.9" customHeight="1" x14ac:dyDescent="0.4">
      <c r="A95" s="84">
        <v>90</v>
      </c>
      <c r="B95" s="84" t="s">
        <v>772</v>
      </c>
      <c r="C95" s="85" t="s">
        <v>802</v>
      </c>
      <c r="D95" s="36" t="s">
        <v>228</v>
      </c>
      <c r="E95" s="36" t="s">
        <v>832</v>
      </c>
      <c r="F95" s="94" t="s">
        <v>230</v>
      </c>
      <c r="G95" s="87" t="s">
        <v>772</v>
      </c>
      <c r="H95" s="88" t="s">
        <v>863</v>
      </c>
      <c r="I95" s="89">
        <v>2</v>
      </c>
      <c r="J95" s="89">
        <v>2</v>
      </c>
      <c r="K95" s="89">
        <v>2</v>
      </c>
      <c r="L95" s="89">
        <v>2</v>
      </c>
      <c r="M95" s="89"/>
      <c r="N95" s="89"/>
      <c r="O95" s="89">
        <v>2</v>
      </c>
      <c r="P95" s="89">
        <v>2</v>
      </c>
      <c r="Q95" s="89">
        <v>2</v>
      </c>
      <c r="R95" s="89">
        <v>2</v>
      </c>
      <c r="S95" s="89">
        <v>2</v>
      </c>
      <c r="T95" s="89"/>
      <c r="U95" s="89"/>
      <c r="V95" s="89">
        <v>0.5</v>
      </c>
      <c r="W95" s="89"/>
      <c r="X95" s="89">
        <v>2</v>
      </c>
      <c r="Y95" s="89">
        <v>2</v>
      </c>
      <c r="Z95" s="89">
        <v>2</v>
      </c>
      <c r="AA95" s="89"/>
      <c r="AB95" s="89"/>
      <c r="AC95" s="89">
        <v>2</v>
      </c>
      <c r="AD95" s="89">
        <v>2</v>
      </c>
      <c r="AE95" s="89"/>
      <c r="AF95" s="89"/>
      <c r="AG95" s="89"/>
      <c r="AH95" s="89"/>
      <c r="AI95" s="89"/>
      <c r="AJ95" s="89">
        <v>2</v>
      </c>
      <c r="AK95" s="89">
        <v>2</v>
      </c>
      <c r="AL95" s="89">
        <v>2</v>
      </c>
      <c r="AM95" s="89"/>
      <c r="AN95" s="90">
        <f t="shared" si="8"/>
        <v>34.5</v>
      </c>
      <c r="AO95" s="86">
        <v>230000</v>
      </c>
      <c r="AP95" s="91">
        <f t="shared" si="9"/>
        <v>7935000</v>
      </c>
    </row>
    <row r="96" spans="1:42" ht="24.9" customHeight="1" x14ac:dyDescent="0.4">
      <c r="A96" s="84">
        <v>91</v>
      </c>
      <c r="B96" s="84" t="s">
        <v>614</v>
      </c>
      <c r="C96" s="85" t="s">
        <v>659</v>
      </c>
      <c r="D96" s="36" t="s">
        <v>225</v>
      </c>
      <c r="E96" s="36" t="s">
        <v>703</v>
      </c>
      <c r="F96" s="96" t="s">
        <v>361</v>
      </c>
      <c r="G96" s="87" t="s">
        <v>614</v>
      </c>
      <c r="H96" s="88" t="s">
        <v>743</v>
      </c>
      <c r="I96" s="89">
        <v>2</v>
      </c>
      <c r="J96" s="89">
        <v>2</v>
      </c>
      <c r="K96" s="89">
        <v>2</v>
      </c>
      <c r="L96" s="89">
        <v>2</v>
      </c>
      <c r="M96" s="89"/>
      <c r="N96" s="89"/>
      <c r="O96" s="89">
        <v>2</v>
      </c>
      <c r="P96" s="89">
        <v>2</v>
      </c>
      <c r="Q96" s="89">
        <v>2</v>
      </c>
      <c r="R96" s="89">
        <v>2</v>
      </c>
      <c r="S96" s="89">
        <v>2</v>
      </c>
      <c r="T96" s="89"/>
      <c r="U96" s="89"/>
      <c r="V96" s="89">
        <v>1</v>
      </c>
      <c r="W96" s="89">
        <v>1.5</v>
      </c>
      <c r="X96" s="89">
        <v>1</v>
      </c>
      <c r="Y96" s="89">
        <v>2</v>
      </c>
      <c r="Z96" s="89">
        <v>2</v>
      </c>
      <c r="AA96" s="89"/>
      <c r="AB96" s="89"/>
      <c r="AC96" s="89">
        <v>2</v>
      </c>
      <c r="AD96" s="89">
        <v>2</v>
      </c>
      <c r="AE96" s="89"/>
      <c r="AF96" s="89"/>
      <c r="AG96" s="89"/>
      <c r="AH96" s="89"/>
      <c r="AI96" s="89"/>
      <c r="AJ96" s="89">
        <v>2</v>
      </c>
      <c r="AK96" s="89">
        <v>2</v>
      </c>
      <c r="AL96" s="89">
        <v>2</v>
      </c>
      <c r="AM96" s="89"/>
      <c r="AN96" s="90">
        <f t="shared" si="8"/>
        <v>35.5</v>
      </c>
      <c r="AO96" s="86">
        <v>150000</v>
      </c>
      <c r="AP96" s="91">
        <f t="shared" si="9"/>
        <v>5325000</v>
      </c>
    </row>
    <row r="97" spans="1:42" ht="24.9" customHeight="1" x14ac:dyDescent="0.4">
      <c r="A97" s="84">
        <v>92</v>
      </c>
      <c r="B97" s="84" t="s">
        <v>390</v>
      </c>
      <c r="C97" s="85" t="s">
        <v>391</v>
      </c>
      <c r="D97" s="36" t="s">
        <v>961</v>
      </c>
      <c r="E97" s="36" t="s">
        <v>392</v>
      </c>
      <c r="F97" s="94" t="s">
        <v>226</v>
      </c>
      <c r="G97" s="87" t="s">
        <v>390</v>
      </c>
      <c r="H97" s="88" t="s">
        <v>393</v>
      </c>
      <c r="I97" s="89">
        <v>1.5</v>
      </c>
      <c r="J97" s="89">
        <v>1.5</v>
      </c>
      <c r="K97" s="89">
        <v>1</v>
      </c>
      <c r="L97" s="89">
        <v>1</v>
      </c>
      <c r="M97" s="89">
        <v>1</v>
      </c>
      <c r="N97" s="89"/>
      <c r="O97" s="89">
        <v>1</v>
      </c>
      <c r="P97" s="89">
        <v>1.5</v>
      </c>
      <c r="Q97" s="89">
        <v>1</v>
      </c>
      <c r="R97" s="89">
        <v>1.5</v>
      </c>
      <c r="S97" s="89">
        <v>1</v>
      </c>
      <c r="T97" s="89">
        <v>0.8125</v>
      </c>
      <c r="U97" s="89"/>
      <c r="V97" s="89">
        <v>1</v>
      </c>
      <c r="W97" s="89">
        <v>1.5</v>
      </c>
      <c r="X97" s="89">
        <v>1</v>
      </c>
      <c r="Y97" s="89">
        <v>1.5</v>
      </c>
      <c r="Z97" s="89">
        <v>1</v>
      </c>
      <c r="AA97" s="89">
        <v>0.625</v>
      </c>
      <c r="AB97" s="89"/>
      <c r="AC97" s="89">
        <v>1.5</v>
      </c>
      <c r="AD97" s="89">
        <v>1</v>
      </c>
      <c r="AE97" s="89">
        <v>1</v>
      </c>
      <c r="AF97" s="89"/>
      <c r="AG97" s="89"/>
      <c r="AH97" s="89"/>
      <c r="AI97" s="89"/>
      <c r="AJ97" s="89">
        <v>1</v>
      </c>
      <c r="AK97" s="89">
        <v>1.5</v>
      </c>
      <c r="AL97" s="89">
        <v>1</v>
      </c>
      <c r="AM97" s="89"/>
      <c r="AN97" s="90">
        <f t="shared" ref="AN97:AN149" si="10">SUM(I97:AM97)</f>
        <v>26.4375</v>
      </c>
      <c r="AO97" s="86">
        <v>200000</v>
      </c>
      <c r="AP97" s="91">
        <f t="shared" ref="AP97:AP149" si="11">AN97*AO97</f>
        <v>5287500</v>
      </c>
    </row>
    <row r="98" spans="1:42" ht="24.9" customHeight="1" x14ac:dyDescent="0.4">
      <c r="A98" s="84">
        <v>93</v>
      </c>
      <c r="B98" s="84" t="s">
        <v>590</v>
      </c>
      <c r="C98" s="85" t="s">
        <v>634</v>
      </c>
      <c r="D98" s="128" t="s">
        <v>225</v>
      </c>
      <c r="E98" s="126" t="s">
        <v>679</v>
      </c>
      <c r="F98" s="94" t="s">
        <v>230</v>
      </c>
      <c r="G98" s="87" t="s">
        <v>590</v>
      </c>
      <c r="H98" s="88" t="s">
        <v>722</v>
      </c>
      <c r="I98" s="89">
        <v>1.5</v>
      </c>
      <c r="J98" s="89">
        <v>1.5</v>
      </c>
      <c r="K98" s="89"/>
      <c r="L98" s="89">
        <v>1</v>
      </c>
      <c r="M98" s="89">
        <v>1</v>
      </c>
      <c r="N98" s="89"/>
      <c r="O98" s="89">
        <v>1</v>
      </c>
      <c r="P98" s="89">
        <v>1.5</v>
      </c>
      <c r="Q98" s="89">
        <v>1</v>
      </c>
      <c r="R98" s="89">
        <v>1.5</v>
      </c>
      <c r="S98" s="89">
        <v>1</v>
      </c>
      <c r="T98" s="89">
        <v>0.5</v>
      </c>
      <c r="U98" s="89"/>
      <c r="V98" s="89">
        <v>1</v>
      </c>
      <c r="W98" s="89">
        <v>1.5</v>
      </c>
      <c r="X98" s="89">
        <v>1</v>
      </c>
      <c r="Y98" s="89">
        <v>1.5</v>
      </c>
      <c r="Z98" s="89">
        <v>1</v>
      </c>
      <c r="AA98" s="89">
        <v>1</v>
      </c>
      <c r="AB98" s="89"/>
      <c r="AC98" s="89">
        <v>1.5</v>
      </c>
      <c r="AD98" s="89">
        <v>1</v>
      </c>
      <c r="AE98" s="89">
        <v>1</v>
      </c>
      <c r="AF98" s="89"/>
      <c r="AG98" s="89"/>
      <c r="AH98" s="89"/>
      <c r="AI98" s="89"/>
      <c r="AJ98" s="89">
        <v>1</v>
      </c>
      <c r="AK98" s="89">
        <v>1.5</v>
      </c>
      <c r="AL98" s="89">
        <v>1</v>
      </c>
      <c r="AM98" s="89"/>
      <c r="AN98" s="90">
        <f t="shared" si="10"/>
        <v>25.5</v>
      </c>
      <c r="AO98" s="86">
        <v>160000</v>
      </c>
      <c r="AP98" s="91">
        <f t="shared" si="11"/>
        <v>4080000</v>
      </c>
    </row>
    <row r="99" spans="1:42" ht="24.9" customHeight="1" x14ac:dyDescent="0.4">
      <c r="A99" s="84">
        <v>94</v>
      </c>
      <c r="B99" s="84" t="s">
        <v>771</v>
      </c>
      <c r="C99" s="85" t="s">
        <v>801</v>
      </c>
      <c r="D99" s="36" t="s">
        <v>227</v>
      </c>
      <c r="E99" s="126" t="s">
        <v>831</v>
      </c>
      <c r="F99" s="94" t="s">
        <v>296</v>
      </c>
      <c r="G99" s="87" t="s">
        <v>771</v>
      </c>
      <c r="H99" s="88" t="s">
        <v>862</v>
      </c>
      <c r="I99" s="89">
        <v>2</v>
      </c>
      <c r="J99" s="89">
        <v>2</v>
      </c>
      <c r="K99" s="89">
        <v>2</v>
      </c>
      <c r="L99" s="89">
        <v>2</v>
      </c>
      <c r="M99" s="89"/>
      <c r="N99" s="89"/>
      <c r="O99" s="89">
        <v>2</v>
      </c>
      <c r="P99" s="89">
        <v>2</v>
      </c>
      <c r="Q99" s="89">
        <v>2</v>
      </c>
      <c r="R99" s="89">
        <v>2</v>
      </c>
      <c r="S99" s="89">
        <v>2</v>
      </c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90">
        <f t="shared" si="10"/>
        <v>18</v>
      </c>
      <c r="AO99" s="86">
        <v>240000</v>
      </c>
      <c r="AP99" s="91">
        <f t="shared" si="11"/>
        <v>4320000</v>
      </c>
    </row>
    <row r="100" spans="1:42" ht="24.9" customHeight="1" x14ac:dyDescent="0.4">
      <c r="A100" s="84">
        <v>95</v>
      </c>
      <c r="B100" s="84" t="s">
        <v>591</v>
      </c>
      <c r="C100" s="85" t="s">
        <v>635</v>
      </c>
      <c r="D100" s="36" t="s">
        <v>225</v>
      </c>
      <c r="E100" s="126" t="s">
        <v>680</v>
      </c>
      <c r="F100" s="94" t="s">
        <v>303</v>
      </c>
      <c r="G100" s="87" t="s">
        <v>591</v>
      </c>
      <c r="H100" s="88" t="s">
        <v>951</v>
      </c>
      <c r="I100" s="89">
        <v>2</v>
      </c>
      <c r="J100" s="89">
        <v>2</v>
      </c>
      <c r="K100" s="89">
        <v>2</v>
      </c>
      <c r="L100" s="89">
        <v>2</v>
      </c>
      <c r="M100" s="89"/>
      <c r="N100" s="89"/>
      <c r="O100" s="89">
        <v>2</v>
      </c>
      <c r="P100" s="89">
        <v>2</v>
      </c>
      <c r="Q100" s="89">
        <v>2</v>
      </c>
      <c r="R100" s="89">
        <v>2</v>
      </c>
      <c r="S100" s="89">
        <v>2</v>
      </c>
      <c r="T100" s="89"/>
      <c r="U100" s="89"/>
      <c r="V100" s="89">
        <v>1</v>
      </c>
      <c r="W100" s="89">
        <v>2</v>
      </c>
      <c r="X100" s="89">
        <v>2</v>
      </c>
      <c r="Y100" s="89">
        <v>2</v>
      </c>
      <c r="Z100" s="89">
        <v>2</v>
      </c>
      <c r="AA100" s="89"/>
      <c r="AB100" s="89"/>
      <c r="AC100" s="89">
        <v>2</v>
      </c>
      <c r="AD100" s="89">
        <v>2</v>
      </c>
      <c r="AE100" s="89"/>
      <c r="AF100" s="89"/>
      <c r="AG100" s="89"/>
      <c r="AH100" s="89"/>
      <c r="AI100" s="89"/>
      <c r="AJ100" s="89">
        <v>2</v>
      </c>
      <c r="AK100" s="89">
        <v>2</v>
      </c>
      <c r="AL100" s="89">
        <v>2</v>
      </c>
      <c r="AM100" s="89"/>
      <c r="AN100" s="90">
        <f t="shared" si="10"/>
        <v>37</v>
      </c>
      <c r="AO100" s="86">
        <v>160000</v>
      </c>
      <c r="AP100" s="91">
        <f t="shared" si="11"/>
        <v>5920000</v>
      </c>
    </row>
    <row r="101" spans="1:42" ht="24.9" customHeight="1" x14ac:dyDescent="0.4">
      <c r="A101" s="84">
        <v>96</v>
      </c>
      <c r="B101" s="84" t="s">
        <v>592</v>
      </c>
      <c r="C101" s="85" t="s">
        <v>636</v>
      </c>
      <c r="D101" s="36" t="s">
        <v>228</v>
      </c>
      <c r="E101" s="126" t="s">
        <v>681</v>
      </c>
      <c r="F101" s="94" t="s">
        <v>296</v>
      </c>
      <c r="G101" s="87" t="s">
        <v>592</v>
      </c>
      <c r="H101" s="88" t="s">
        <v>681</v>
      </c>
      <c r="I101" s="89">
        <v>2</v>
      </c>
      <c r="J101" s="89">
        <v>2</v>
      </c>
      <c r="K101" s="89">
        <v>2</v>
      </c>
      <c r="L101" s="89">
        <v>2</v>
      </c>
      <c r="M101" s="89"/>
      <c r="N101" s="89"/>
      <c r="O101" s="89">
        <v>2</v>
      </c>
      <c r="P101" s="89">
        <v>2</v>
      </c>
      <c r="Q101" s="89">
        <v>2</v>
      </c>
      <c r="R101" s="89"/>
      <c r="S101" s="89"/>
      <c r="T101" s="89"/>
      <c r="U101" s="89"/>
      <c r="V101" s="89"/>
      <c r="W101" s="89">
        <v>1.5</v>
      </c>
      <c r="X101" s="89">
        <v>1</v>
      </c>
      <c r="Y101" s="89"/>
      <c r="Z101" s="89">
        <v>1</v>
      </c>
      <c r="AA101" s="89">
        <v>1</v>
      </c>
      <c r="AB101" s="89"/>
      <c r="AC101" s="89">
        <v>1.5</v>
      </c>
      <c r="AD101" s="89">
        <v>1</v>
      </c>
      <c r="AE101" s="89">
        <v>1</v>
      </c>
      <c r="AF101" s="89"/>
      <c r="AG101" s="89"/>
      <c r="AH101" s="89"/>
      <c r="AI101" s="89"/>
      <c r="AJ101" s="89">
        <v>1</v>
      </c>
      <c r="AK101" s="89">
        <v>1.5</v>
      </c>
      <c r="AL101" s="89">
        <v>1</v>
      </c>
      <c r="AM101" s="89"/>
      <c r="AN101" s="90">
        <f t="shared" si="10"/>
        <v>25.5</v>
      </c>
      <c r="AO101" s="86">
        <v>240000</v>
      </c>
      <c r="AP101" s="91">
        <f t="shared" si="11"/>
        <v>6120000</v>
      </c>
    </row>
    <row r="102" spans="1:42" ht="24.9" customHeight="1" x14ac:dyDescent="0.4">
      <c r="A102" s="84">
        <v>97</v>
      </c>
      <c r="B102" s="84" t="s">
        <v>427</v>
      </c>
      <c r="C102" s="85" t="s">
        <v>442</v>
      </c>
      <c r="D102" s="36" t="s">
        <v>338</v>
      </c>
      <c r="E102" s="126" t="s">
        <v>457</v>
      </c>
      <c r="F102" s="94" t="s">
        <v>304</v>
      </c>
      <c r="G102" s="87" t="s">
        <v>427</v>
      </c>
      <c r="H102" s="88" t="s">
        <v>470</v>
      </c>
      <c r="I102" s="89">
        <v>2</v>
      </c>
      <c r="J102" s="89">
        <v>2</v>
      </c>
      <c r="K102" s="89">
        <v>2</v>
      </c>
      <c r="L102" s="89">
        <v>2</v>
      </c>
      <c r="M102" s="89"/>
      <c r="N102" s="89"/>
      <c r="O102" s="89">
        <v>2</v>
      </c>
      <c r="P102" s="89">
        <v>2</v>
      </c>
      <c r="Q102" s="89">
        <v>2</v>
      </c>
      <c r="R102" s="89">
        <v>1.75</v>
      </c>
      <c r="S102" s="89">
        <v>2</v>
      </c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90">
        <f t="shared" si="10"/>
        <v>17.75</v>
      </c>
      <c r="AO102" s="86">
        <v>200000</v>
      </c>
      <c r="AP102" s="91">
        <f t="shared" si="11"/>
        <v>3550000</v>
      </c>
    </row>
    <row r="103" spans="1:42" ht="24.9" customHeight="1" x14ac:dyDescent="0.4">
      <c r="A103" s="84">
        <v>98</v>
      </c>
      <c r="B103" s="84" t="s">
        <v>428</v>
      </c>
      <c r="C103" s="85" t="s">
        <v>443</v>
      </c>
      <c r="D103" s="36" t="s">
        <v>225</v>
      </c>
      <c r="E103" s="126" t="s">
        <v>458</v>
      </c>
      <c r="F103" s="94" t="s">
        <v>226</v>
      </c>
      <c r="G103" s="87" t="s">
        <v>428</v>
      </c>
      <c r="H103" s="88" t="s">
        <v>471</v>
      </c>
      <c r="I103" s="89">
        <v>2</v>
      </c>
      <c r="J103" s="89">
        <v>2</v>
      </c>
      <c r="K103" s="89">
        <v>2</v>
      </c>
      <c r="L103" s="89">
        <v>2</v>
      </c>
      <c r="M103" s="89"/>
      <c r="N103" s="89"/>
      <c r="O103" s="89">
        <v>2</v>
      </c>
      <c r="P103" s="89">
        <v>2</v>
      </c>
      <c r="Q103" s="89">
        <v>2</v>
      </c>
      <c r="R103" s="89">
        <v>2</v>
      </c>
      <c r="S103" s="89">
        <v>2</v>
      </c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90">
        <f t="shared" si="10"/>
        <v>18</v>
      </c>
      <c r="AO103" s="86">
        <v>170000</v>
      </c>
      <c r="AP103" s="91">
        <f t="shared" si="11"/>
        <v>3060000</v>
      </c>
    </row>
    <row r="104" spans="1:42" ht="24.9" customHeight="1" x14ac:dyDescent="0.4">
      <c r="A104" s="84">
        <v>99</v>
      </c>
      <c r="B104" s="84" t="s">
        <v>502</v>
      </c>
      <c r="C104" s="85" t="s">
        <v>637</v>
      </c>
      <c r="D104" s="128" t="s">
        <v>338</v>
      </c>
      <c r="E104" s="36" t="s">
        <v>539</v>
      </c>
      <c r="F104" s="96" t="s">
        <v>296</v>
      </c>
      <c r="G104" s="87" t="s">
        <v>502</v>
      </c>
      <c r="H104" s="88" t="s">
        <v>539</v>
      </c>
      <c r="I104" s="89">
        <v>1.5</v>
      </c>
      <c r="J104" s="89">
        <v>1.5</v>
      </c>
      <c r="K104" s="89">
        <v>1</v>
      </c>
      <c r="L104" s="89">
        <v>1</v>
      </c>
      <c r="M104" s="89">
        <v>1</v>
      </c>
      <c r="N104" s="89"/>
      <c r="O104" s="89">
        <v>1</v>
      </c>
      <c r="P104" s="89">
        <v>1.5</v>
      </c>
      <c r="Q104" s="89">
        <v>1</v>
      </c>
      <c r="R104" s="89">
        <v>1.5</v>
      </c>
      <c r="S104" s="89">
        <v>1</v>
      </c>
      <c r="T104" s="89">
        <v>1</v>
      </c>
      <c r="U104" s="89"/>
      <c r="V104" s="89">
        <v>1</v>
      </c>
      <c r="W104" s="89">
        <v>1.5</v>
      </c>
      <c r="X104" s="89">
        <v>1</v>
      </c>
      <c r="Y104" s="89">
        <v>1.5</v>
      </c>
      <c r="Z104" s="89">
        <v>1</v>
      </c>
      <c r="AA104" s="89">
        <v>1</v>
      </c>
      <c r="AB104" s="89"/>
      <c r="AC104" s="89"/>
      <c r="AD104" s="89">
        <v>1</v>
      </c>
      <c r="AE104" s="89">
        <v>1</v>
      </c>
      <c r="AF104" s="89"/>
      <c r="AG104" s="89"/>
      <c r="AH104" s="89"/>
      <c r="AI104" s="89"/>
      <c r="AJ104" s="89">
        <v>1</v>
      </c>
      <c r="AK104" s="89">
        <v>1.5</v>
      </c>
      <c r="AL104" s="89">
        <v>1</v>
      </c>
      <c r="AM104" s="89"/>
      <c r="AN104" s="90">
        <f t="shared" si="10"/>
        <v>25.5</v>
      </c>
      <c r="AO104" s="86">
        <v>210000</v>
      </c>
      <c r="AP104" s="91">
        <f t="shared" si="11"/>
        <v>5355000</v>
      </c>
    </row>
    <row r="105" spans="1:42" ht="24.9" customHeight="1" x14ac:dyDescent="0.4">
      <c r="A105" s="84">
        <v>100</v>
      </c>
      <c r="B105" s="84" t="s">
        <v>593</v>
      </c>
      <c r="C105" s="85" t="s">
        <v>638</v>
      </c>
      <c r="D105" s="36" t="s">
        <v>225</v>
      </c>
      <c r="E105" s="36" t="s">
        <v>682</v>
      </c>
      <c r="F105" s="94" t="s">
        <v>230</v>
      </c>
      <c r="G105" s="87" t="s">
        <v>593</v>
      </c>
      <c r="H105" s="88" t="s">
        <v>723</v>
      </c>
      <c r="I105" s="89">
        <v>1.5</v>
      </c>
      <c r="J105" s="89">
        <v>1.5</v>
      </c>
      <c r="K105" s="89">
        <v>1</v>
      </c>
      <c r="L105" s="89">
        <v>1</v>
      </c>
      <c r="M105" s="89">
        <v>1</v>
      </c>
      <c r="N105" s="89"/>
      <c r="O105" s="89">
        <v>1</v>
      </c>
      <c r="P105" s="89">
        <v>1.5</v>
      </c>
      <c r="Q105" s="89">
        <v>1</v>
      </c>
      <c r="R105" s="89">
        <v>1.5</v>
      </c>
      <c r="S105" s="89">
        <v>1</v>
      </c>
      <c r="T105" s="89">
        <v>1</v>
      </c>
      <c r="U105" s="89"/>
      <c r="V105" s="89">
        <v>1</v>
      </c>
      <c r="W105" s="89">
        <v>1.5</v>
      </c>
      <c r="X105" s="89">
        <v>1</v>
      </c>
      <c r="Y105" s="89">
        <v>1.5</v>
      </c>
      <c r="Z105" s="89">
        <v>1</v>
      </c>
      <c r="AA105" s="89">
        <v>1</v>
      </c>
      <c r="AB105" s="89"/>
      <c r="AC105" s="89">
        <v>1.5</v>
      </c>
      <c r="AD105" s="89">
        <v>1</v>
      </c>
      <c r="AE105" s="89">
        <v>1</v>
      </c>
      <c r="AF105" s="89"/>
      <c r="AG105" s="89"/>
      <c r="AH105" s="89"/>
      <c r="AI105" s="89"/>
      <c r="AJ105" s="89">
        <v>1</v>
      </c>
      <c r="AK105" s="89">
        <v>1.5</v>
      </c>
      <c r="AL105" s="89">
        <v>1</v>
      </c>
      <c r="AM105" s="89"/>
      <c r="AN105" s="90">
        <f t="shared" si="10"/>
        <v>27</v>
      </c>
      <c r="AO105" s="86">
        <v>180000</v>
      </c>
      <c r="AP105" s="91">
        <f t="shared" si="11"/>
        <v>4860000</v>
      </c>
    </row>
    <row r="106" spans="1:42" ht="24.9" customHeight="1" x14ac:dyDescent="0.4">
      <c r="A106" s="84">
        <v>101</v>
      </c>
      <c r="B106" s="84" t="s">
        <v>394</v>
      </c>
      <c r="C106" s="85" t="s">
        <v>395</v>
      </c>
      <c r="D106" s="36" t="s">
        <v>959</v>
      </c>
      <c r="E106" s="126" t="s">
        <v>396</v>
      </c>
      <c r="F106" s="96" t="s">
        <v>345</v>
      </c>
      <c r="G106" s="87" t="s">
        <v>394</v>
      </c>
      <c r="H106" s="88" t="s">
        <v>397</v>
      </c>
      <c r="I106" s="89">
        <v>1.5</v>
      </c>
      <c r="J106" s="89">
        <v>1.5</v>
      </c>
      <c r="K106" s="89">
        <v>1</v>
      </c>
      <c r="L106" s="89">
        <v>0.875</v>
      </c>
      <c r="M106" s="89">
        <v>1</v>
      </c>
      <c r="N106" s="89"/>
      <c r="O106" s="89">
        <v>1</v>
      </c>
      <c r="P106" s="89">
        <v>1.5</v>
      </c>
      <c r="Q106" s="89">
        <v>1</v>
      </c>
      <c r="R106" s="89">
        <v>1.5</v>
      </c>
      <c r="S106" s="89">
        <v>1</v>
      </c>
      <c r="T106" s="89">
        <v>1</v>
      </c>
      <c r="U106" s="89"/>
      <c r="V106" s="89">
        <v>1</v>
      </c>
      <c r="W106" s="89">
        <v>1.5</v>
      </c>
      <c r="X106" s="89">
        <v>1</v>
      </c>
      <c r="Y106" s="89">
        <v>2</v>
      </c>
      <c r="Z106" s="89">
        <v>2</v>
      </c>
      <c r="AA106" s="89"/>
      <c r="AB106" s="89"/>
      <c r="AC106" s="89">
        <v>2</v>
      </c>
      <c r="AD106" s="89">
        <v>2</v>
      </c>
      <c r="AE106" s="89"/>
      <c r="AF106" s="89"/>
      <c r="AG106" s="89"/>
      <c r="AH106" s="89"/>
      <c r="AI106" s="89"/>
      <c r="AJ106" s="89">
        <v>2</v>
      </c>
      <c r="AK106" s="89">
        <v>2</v>
      </c>
      <c r="AL106" s="89">
        <v>2</v>
      </c>
      <c r="AM106" s="89"/>
      <c r="AN106" s="90">
        <f t="shared" si="10"/>
        <v>30.375</v>
      </c>
      <c r="AO106" s="86">
        <v>230000</v>
      </c>
      <c r="AP106" s="91">
        <f t="shared" si="11"/>
        <v>6986250</v>
      </c>
    </row>
    <row r="107" spans="1:42" ht="24.9" customHeight="1" x14ac:dyDescent="0.4">
      <c r="A107" s="84">
        <v>102</v>
      </c>
      <c r="B107" s="84" t="s">
        <v>617</v>
      </c>
      <c r="C107" s="85" t="s">
        <v>662</v>
      </c>
      <c r="D107" s="128" t="s">
        <v>225</v>
      </c>
      <c r="E107" s="126" t="s">
        <v>706</v>
      </c>
      <c r="F107" s="94" t="s">
        <v>746</v>
      </c>
      <c r="G107" s="87" t="s">
        <v>617</v>
      </c>
      <c r="H107" s="88" t="s">
        <v>747</v>
      </c>
      <c r="I107" s="89">
        <v>2</v>
      </c>
      <c r="J107" s="89">
        <v>2</v>
      </c>
      <c r="K107" s="89">
        <v>2</v>
      </c>
      <c r="L107" s="89">
        <v>2</v>
      </c>
      <c r="M107" s="89"/>
      <c r="N107" s="89"/>
      <c r="O107" s="89">
        <v>2</v>
      </c>
      <c r="P107" s="89">
        <v>2</v>
      </c>
      <c r="Q107" s="89">
        <v>2</v>
      </c>
      <c r="R107" s="89">
        <v>2</v>
      </c>
      <c r="S107" s="89">
        <v>2</v>
      </c>
      <c r="T107" s="89"/>
      <c r="U107" s="89"/>
      <c r="V107" s="89">
        <v>1</v>
      </c>
      <c r="W107" s="89">
        <v>1.5</v>
      </c>
      <c r="X107" s="89">
        <v>1</v>
      </c>
      <c r="Y107" s="89">
        <v>2</v>
      </c>
      <c r="Z107" s="89">
        <v>2</v>
      </c>
      <c r="AA107" s="89"/>
      <c r="AB107" s="89"/>
      <c r="AC107" s="89">
        <v>2</v>
      </c>
      <c r="AD107" s="89">
        <v>2</v>
      </c>
      <c r="AE107" s="89"/>
      <c r="AF107" s="89"/>
      <c r="AG107" s="89"/>
      <c r="AH107" s="89"/>
      <c r="AI107" s="89"/>
      <c r="AJ107" s="89">
        <v>2</v>
      </c>
      <c r="AK107" s="89">
        <v>2</v>
      </c>
      <c r="AL107" s="89">
        <v>2</v>
      </c>
      <c r="AM107" s="89"/>
      <c r="AN107" s="90">
        <f t="shared" si="10"/>
        <v>35.5</v>
      </c>
      <c r="AO107" s="86">
        <v>150000</v>
      </c>
      <c r="AP107" s="91">
        <f t="shared" si="11"/>
        <v>5325000</v>
      </c>
    </row>
    <row r="108" spans="1:42" ht="24.9" customHeight="1" x14ac:dyDescent="0.4">
      <c r="A108" s="84">
        <v>103</v>
      </c>
      <c r="B108" s="84" t="s">
        <v>905</v>
      </c>
      <c r="C108" s="85" t="s">
        <v>920</v>
      </c>
      <c r="D108" s="36" t="s">
        <v>960</v>
      </c>
      <c r="E108" s="36" t="s">
        <v>935</v>
      </c>
      <c r="F108" s="94" t="s">
        <v>230</v>
      </c>
      <c r="G108" s="87" t="s">
        <v>905</v>
      </c>
      <c r="H108" s="88" t="s">
        <v>952</v>
      </c>
      <c r="I108" s="89">
        <v>1.5</v>
      </c>
      <c r="J108" s="89">
        <v>1.5</v>
      </c>
      <c r="K108" s="89">
        <v>1</v>
      </c>
      <c r="L108" s="89">
        <v>1</v>
      </c>
      <c r="M108" s="89">
        <v>1</v>
      </c>
      <c r="N108" s="89"/>
      <c r="O108" s="89">
        <v>1</v>
      </c>
      <c r="P108" s="89">
        <v>1.5</v>
      </c>
      <c r="Q108" s="89">
        <v>1</v>
      </c>
      <c r="R108" s="89">
        <v>1.5</v>
      </c>
      <c r="S108" s="89">
        <v>1</v>
      </c>
      <c r="T108" s="89">
        <v>1</v>
      </c>
      <c r="U108" s="89"/>
      <c r="V108" s="89">
        <v>1</v>
      </c>
      <c r="W108" s="89">
        <v>1.5</v>
      </c>
      <c r="X108" s="89">
        <v>1</v>
      </c>
      <c r="Y108" s="89">
        <v>1.5</v>
      </c>
      <c r="Z108" s="89">
        <v>1</v>
      </c>
      <c r="AA108" s="89">
        <v>1</v>
      </c>
      <c r="AB108" s="89"/>
      <c r="AC108" s="89">
        <v>1.5</v>
      </c>
      <c r="AD108" s="89">
        <v>1</v>
      </c>
      <c r="AE108" s="89">
        <v>1</v>
      </c>
      <c r="AF108" s="89"/>
      <c r="AG108" s="89"/>
      <c r="AH108" s="89"/>
      <c r="AI108" s="89"/>
      <c r="AJ108" s="89">
        <v>1</v>
      </c>
      <c r="AK108" s="89">
        <v>1.5</v>
      </c>
      <c r="AL108" s="89">
        <v>1</v>
      </c>
      <c r="AM108" s="89"/>
      <c r="AN108" s="90">
        <f t="shared" si="10"/>
        <v>27</v>
      </c>
      <c r="AO108" s="86">
        <v>240000</v>
      </c>
      <c r="AP108" s="91">
        <f t="shared" si="11"/>
        <v>6480000</v>
      </c>
    </row>
    <row r="109" spans="1:42" ht="24.9" customHeight="1" x14ac:dyDescent="0.4">
      <c r="A109" s="84">
        <v>104</v>
      </c>
      <c r="B109" s="84" t="s">
        <v>774</v>
      </c>
      <c r="C109" s="85" t="s">
        <v>804</v>
      </c>
      <c r="D109" s="36" t="s">
        <v>227</v>
      </c>
      <c r="E109" s="36" t="s">
        <v>834</v>
      </c>
      <c r="F109" s="94" t="s">
        <v>230</v>
      </c>
      <c r="G109" s="87" t="s">
        <v>774</v>
      </c>
      <c r="H109" s="88" t="s">
        <v>865</v>
      </c>
      <c r="I109" s="89">
        <v>2</v>
      </c>
      <c r="J109" s="89">
        <v>2</v>
      </c>
      <c r="K109" s="89">
        <v>2</v>
      </c>
      <c r="L109" s="89">
        <v>2</v>
      </c>
      <c r="M109" s="89"/>
      <c r="N109" s="89"/>
      <c r="O109" s="89">
        <v>2</v>
      </c>
      <c r="P109" s="89">
        <v>2</v>
      </c>
      <c r="Q109" s="89">
        <v>2</v>
      </c>
      <c r="R109" s="89">
        <v>2</v>
      </c>
      <c r="S109" s="89">
        <v>2</v>
      </c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90">
        <f t="shared" si="10"/>
        <v>18</v>
      </c>
      <c r="AO109" s="86">
        <v>240000</v>
      </c>
      <c r="AP109" s="91">
        <f t="shared" si="11"/>
        <v>4320000</v>
      </c>
    </row>
    <row r="110" spans="1:42" ht="24.9" customHeight="1" x14ac:dyDescent="0.4">
      <c r="A110" s="84">
        <v>105</v>
      </c>
      <c r="B110" s="84" t="s">
        <v>615</v>
      </c>
      <c r="C110" s="85" t="s">
        <v>660</v>
      </c>
      <c r="D110" s="36" t="s">
        <v>225</v>
      </c>
      <c r="E110" s="36" t="s">
        <v>704</v>
      </c>
      <c r="F110" s="94" t="s">
        <v>226</v>
      </c>
      <c r="G110" s="87" t="s">
        <v>615</v>
      </c>
      <c r="H110" s="88" t="s">
        <v>744</v>
      </c>
      <c r="I110" s="89">
        <v>2</v>
      </c>
      <c r="J110" s="89">
        <v>2</v>
      </c>
      <c r="K110" s="89">
        <v>2</v>
      </c>
      <c r="L110" s="89">
        <v>2</v>
      </c>
      <c r="M110" s="89"/>
      <c r="N110" s="89"/>
      <c r="O110" s="89">
        <v>2</v>
      </c>
      <c r="P110" s="89">
        <v>2</v>
      </c>
      <c r="Q110" s="89">
        <v>2</v>
      </c>
      <c r="R110" s="89">
        <v>2</v>
      </c>
      <c r="S110" s="89">
        <v>2</v>
      </c>
      <c r="T110" s="89"/>
      <c r="U110" s="89"/>
      <c r="V110" s="89">
        <v>1</v>
      </c>
      <c r="W110" s="89">
        <v>1.5</v>
      </c>
      <c r="X110" s="89">
        <v>1</v>
      </c>
      <c r="Y110" s="89">
        <v>2</v>
      </c>
      <c r="Z110" s="89">
        <v>2</v>
      </c>
      <c r="AA110" s="89"/>
      <c r="AB110" s="89"/>
      <c r="AC110" s="89">
        <v>2</v>
      </c>
      <c r="AD110" s="89">
        <v>2</v>
      </c>
      <c r="AE110" s="89"/>
      <c r="AF110" s="89"/>
      <c r="AG110" s="89"/>
      <c r="AH110" s="89"/>
      <c r="AI110" s="89"/>
      <c r="AJ110" s="89">
        <v>2</v>
      </c>
      <c r="AK110" s="89">
        <v>2</v>
      </c>
      <c r="AL110" s="89">
        <v>2</v>
      </c>
      <c r="AM110" s="89"/>
      <c r="AN110" s="90">
        <f t="shared" si="10"/>
        <v>35.5</v>
      </c>
      <c r="AO110" s="86">
        <v>170000</v>
      </c>
      <c r="AP110" s="91">
        <f t="shared" si="11"/>
        <v>6035000</v>
      </c>
    </row>
    <row r="111" spans="1:42" ht="24.9" customHeight="1" x14ac:dyDescent="0.4">
      <c r="A111" s="84">
        <v>106</v>
      </c>
      <c r="B111" s="84" t="s">
        <v>775</v>
      </c>
      <c r="C111" s="85" t="s">
        <v>805</v>
      </c>
      <c r="D111" s="36" t="s">
        <v>225</v>
      </c>
      <c r="E111" s="36" t="s">
        <v>835</v>
      </c>
      <c r="F111" s="94" t="s">
        <v>226</v>
      </c>
      <c r="G111" s="87" t="s">
        <v>775</v>
      </c>
      <c r="H111" s="88" t="s">
        <v>866</v>
      </c>
      <c r="I111" s="89"/>
      <c r="J111" s="89">
        <v>1.5</v>
      </c>
      <c r="K111" s="89">
        <v>1</v>
      </c>
      <c r="L111" s="89">
        <v>1</v>
      </c>
      <c r="M111" s="89">
        <v>1</v>
      </c>
      <c r="N111" s="89"/>
      <c r="O111" s="89">
        <v>1</v>
      </c>
      <c r="P111" s="89">
        <v>1.5</v>
      </c>
      <c r="Q111" s="89">
        <v>1</v>
      </c>
      <c r="R111" s="89">
        <v>1.5</v>
      </c>
      <c r="S111" s="89">
        <v>1</v>
      </c>
      <c r="T111" s="89">
        <v>1</v>
      </c>
      <c r="U111" s="89"/>
      <c r="V111" s="89">
        <v>1</v>
      </c>
      <c r="W111" s="89"/>
      <c r="X111" s="89">
        <v>1</v>
      </c>
      <c r="Y111" s="89">
        <v>1.5</v>
      </c>
      <c r="Z111" s="89">
        <v>1</v>
      </c>
      <c r="AA111" s="89">
        <v>1</v>
      </c>
      <c r="AB111" s="89"/>
      <c r="AC111" s="89">
        <v>1.5</v>
      </c>
      <c r="AD111" s="89">
        <v>1</v>
      </c>
      <c r="AE111" s="89">
        <v>1</v>
      </c>
      <c r="AF111" s="89"/>
      <c r="AG111" s="89"/>
      <c r="AH111" s="89"/>
      <c r="AI111" s="89"/>
      <c r="AJ111" s="89">
        <v>1</v>
      </c>
      <c r="AK111" s="89">
        <v>1</v>
      </c>
      <c r="AL111" s="89">
        <v>2</v>
      </c>
      <c r="AM111" s="89"/>
      <c r="AN111" s="90">
        <f t="shared" si="10"/>
        <v>24.5</v>
      </c>
      <c r="AO111" s="86">
        <v>150000</v>
      </c>
      <c r="AP111" s="91">
        <f t="shared" si="11"/>
        <v>3675000</v>
      </c>
    </row>
    <row r="112" spans="1:42" ht="24.9" customHeight="1" x14ac:dyDescent="0.4">
      <c r="A112" s="84">
        <v>107</v>
      </c>
      <c r="B112" s="84" t="s">
        <v>906</v>
      </c>
      <c r="C112" s="85" t="s">
        <v>921</v>
      </c>
      <c r="D112" s="36" t="s">
        <v>225</v>
      </c>
      <c r="E112" s="36" t="s">
        <v>936</v>
      </c>
      <c r="F112" s="96" t="s">
        <v>296</v>
      </c>
      <c r="G112" s="87" t="s">
        <v>906</v>
      </c>
      <c r="H112" s="88" t="s">
        <v>953</v>
      </c>
      <c r="I112" s="89">
        <v>2</v>
      </c>
      <c r="J112" s="89">
        <v>2</v>
      </c>
      <c r="K112" s="89">
        <v>2</v>
      </c>
      <c r="L112" s="89">
        <v>2</v>
      </c>
      <c r="M112" s="89"/>
      <c r="N112" s="89"/>
      <c r="O112" s="89">
        <v>2</v>
      </c>
      <c r="P112" s="89">
        <v>2</v>
      </c>
      <c r="Q112" s="89">
        <v>2</v>
      </c>
      <c r="R112" s="89">
        <v>2</v>
      </c>
      <c r="S112" s="89">
        <v>2</v>
      </c>
      <c r="T112" s="89"/>
      <c r="U112" s="89"/>
      <c r="V112" s="89">
        <v>1</v>
      </c>
      <c r="W112" s="89">
        <v>2</v>
      </c>
      <c r="X112" s="89">
        <v>2</v>
      </c>
      <c r="Y112" s="89">
        <v>2</v>
      </c>
      <c r="Z112" s="89">
        <v>2</v>
      </c>
      <c r="AA112" s="89"/>
      <c r="AB112" s="89"/>
      <c r="AC112" s="89">
        <v>2</v>
      </c>
      <c r="AD112" s="89">
        <v>2</v>
      </c>
      <c r="AE112" s="89"/>
      <c r="AF112" s="89"/>
      <c r="AG112" s="89"/>
      <c r="AH112" s="89"/>
      <c r="AI112" s="89"/>
      <c r="AJ112" s="89">
        <v>2</v>
      </c>
      <c r="AK112" s="89">
        <v>2</v>
      </c>
      <c r="AL112" s="89">
        <v>2</v>
      </c>
      <c r="AM112" s="89"/>
      <c r="AN112" s="90">
        <f t="shared" si="10"/>
        <v>37</v>
      </c>
      <c r="AO112" s="86">
        <v>190000</v>
      </c>
      <c r="AP112" s="91">
        <f t="shared" si="11"/>
        <v>7030000</v>
      </c>
    </row>
    <row r="113" spans="1:42" ht="24.9" customHeight="1" x14ac:dyDescent="0.4">
      <c r="A113" s="84">
        <v>108</v>
      </c>
      <c r="B113" s="84" t="s">
        <v>431</v>
      </c>
      <c r="C113" s="85" t="s">
        <v>446</v>
      </c>
      <c r="D113" s="36" t="s">
        <v>225</v>
      </c>
      <c r="E113" s="36" t="s">
        <v>461</v>
      </c>
      <c r="F113" s="94" t="s">
        <v>226</v>
      </c>
      <c r="G113" s="87" t="s">
        <v>431</v>
      </c>
      <c r="H113" s="88" t="s">
        <v>474</v>
      </c>
      <c r="I113" s="89">
        <v>2</v>
      </c>
      <c r="J113" s="89">
        <v>2</v>
      </c>
      <c r="K113" s="89">
        <v>2</v>
      </c>
      <c r="L113" s="89">
        <v>2</v>
      </c>
      <c r="M113" s="89"/>
      <c r="N113" s="89"/>
      <c r="O113" s="89">
        <v>2</v>
      </c>
      <c r="P113" s="89">
        <v>2</v>
      </c>
      <c r="Q113" s="89">
        <v>2</v>
      </c>
      <c r="R113" s="89">
        <v>2</v>
      </c>
      <c r="S113" s="89">
        <v>2</v>
      </c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90">
        <f t="shared" si="10"/>
        <v>18</v>
      </c>
      <c r="AO113" s="86">
        <v>170000</v>
      </c>
      <c r="AP113" s="91">
        <f t="shared" si="11"/>
        <v>3060000</v>
      </c>
    </row>
    <row r="114" spans="1:42" ht="24.9" customHeight="1" x14ac:dyDescent="0.4">
      <c r="A114" s="84">
        <v>109</v>
      </c>
      <c r="B114" s="84" t="s">
        <v>429</v>
      </c>
      <c r="C114" s="85" t="s">
        <v>444</v>
      </c>
      <c r="D114" s="36" t="s">
        <v>228</v>
      </c>
      <c r="E114" s="126" t="s">
        <v>459</v>
      </c>
      <c r="F114" s="94" t="s">
        <v>230</v>
      </c>
      <c r="G114" s="87" t="s">
        <v>429</v>
      </c>
      <c r="H114" s="88" t="s">
        <v>472</v>
      </c>
      <c r="I114" s="89"/>
      <c r="J114" s="89">
        <v>1.5</v>
      </c>
      <c r="K114" s="89">
        <v>1</v>
      </c>
      <c r="L114" s="89">
        <v>1</v>
      </c>
      <c r="M114" s="89">
        <v>1</v>
      </c>
      <c r="N114" s="89"/>
      <c r="O114" s="89">
        <v>1</v>
      </c>
      <c r="P114" s="89">
        <v>1.5</v>
      </c>
      <c r="Q114" s="89">
        <v>1</v>
      </c>
      <c r="R114" s="89">
        <v>1.5</v>
      </c>
      <c r="S114" s="89">
        <v>1</v>
      </c>
      <c r="T114" s="89"/>
      <c r="U114" s="89"/>
      <c r="V114" s="89">
        <v>1</v>
      </c>
      <c r="W114" s="89">
        <v>1.5</v>
      </c>
      <c r="X114" s="89">
        <v>1</v>
      </c>
      <c r="Y114" s="89">
        <v>1.5</v>
      </c>
      <c r="Z114" s="89">
        <v>1</v>
      </c>
      <c r="AA114" s="89">
        <v>1</v>
      </c>
      <c r="AB114" s="89"/>
      <c r="AC114" s="89">
        <v>1.5</v>
      </c>
      <c r="AD114" s="89">
        <v>1</v>
      </c>
      <c r="AE114" s="89">
        <v>1</v>
      </c>
      <c r="AF114" s="89"/>
      <c r="AG114" s="89"/>
      <c r="AH114" s="89"/>
      <c r="AI114" s="89"/>
      <c r="AJ114" s="89">
        <v>1</v>
      </c>
      <c r="AK114" s="89">
        <v>1.5</v>
      </c>
      <c r="AL114" s="89">
        <v>1</v>
      </c>
      <c r="AM114" s="89"/>
      <c r="AN114" s="90">
        <f t="shared" si="10"/>
        <v>24.5</v>
      </c>
      <c r="AO114" s="86">
        <v>210000</v>
      </c>
      <c r="AP114" s="91">
        <f t="shared" si="11"/>
        <v>5145000</v>
      </c>
    </row>
    <row r="115" spans="1:42" ht="24.9" customHeight="1" x14ac:dyDescent="0.4">
      <c r="A115" s="84">
        <v>110</v>
      </c>
      <c r="B115" s="84" t="s">
        <v>594</v>
      </c>
      <c r="C115" s="85" t="s">
        <v>639</v>
      </c>
      <c r="D115" s="36" t="s">
        <v>338</v>
      </c>
      <c r="E115" s="126" t="s">
        <v>683</v>
      </c>
      <c r="F115" s="94" t="s">
        <v>295</v>
      </c>
      <c r="G115" s="87" t="s">
        <v>594</v>
      </c>
      <c r="H115" s="88" t="s">
        <v>724</v>
      </c>
      <c r="I115" s="89">
        <v>2</v>
      </c>
      <c r="J115" s="89">
        <v>2</v>
      </c>
      <c r="K115" s="89">
        <v>2</v>
      </c>
      <c r="L115" s="89"/>
      <c r="M115" s="89"/>
      <c r="N115" s="89"/>
      <c r="O115" s="89">
        <v>2</v>
      </c>
      <c r="P115" s="89">
        <v>2</v>
      </c>
      <c r="Q115" s="89">
        <v>2</v>
      </c>
      <c r="R115" s="89">
        <v>2</v>
      </c>
      <c r="S115" s="89">
        <v>2</v>
      </c>
      <c r="T115" s="89"/>
      <c r="U115" s="89"/>
      <c r="V115" s="89">
        <v>1</v>
      </c>
      <c r="W115" s="89"/>
      <c r="X115" s="89"/>
      <c r="Y115" s="89"/>
      <c r="Z115" s="89"/>
      <c r="AA115" s="89"/>
      <c r="AB115" s="89"/>
      <c r="AC115" s="89">
        <v>1.5</v>
      </c>
      <c r="AD115" s="89">
        <v>1</v>
      </c>
      <c r="AE115" s="89">
        <v>0.5</v>
      </c>
      <c r="AF115" s="89"/>
      <c r="AG115" s="89"/>
      <c r="AH115" s="89"/>
      <c r="AI115" s="89"/>
      <c r="AJ115" s="89">
        <v>1</v>
      </c>
      <c r="AK115" s="89">
        <v>1.5</v>
      </c>
      <c r="AL115" s="89">
        <v>0.5</v>
      </c>
      <c r="AM115" s="89"/>
      <c r="AN115" s="90">
        <f t="shared" si="10"/>
        <v>23</v>
      </c>
      <c r="AO115" s="86">
        <v>210000</v>
      </c>
      <c r="AP115" s="91">
        <f t="shared" si="11"/>
        <v>4830000</v>
      </c>
    </row>
    <row r="116" spans="1:42" ht="24.9" customHeight="1" x14ac:dyDescent="0.4">
      <c r="A116" s="84">
        <v>111</v>
      </c>
      <c r="B116" s="84" t="s">
        <v>607</v>
      </c>
      <c r="C116" s="85" t="s">
        <v>652</v>
      </c>
      <c r="D116" s="36" t="s">
        <v>228</v>
      </c>
      <c r="E116" s="126" t="s">
        <v>696</v>
      </c>
      <c r="F116" s="94" t="s">
        <v>735</v>
      </c>
      <c r="G116" s="87" t="s">
        <v>607</v>
      </c>
      <c r="H116" s="88" t="s">
        <v>736</v>
      </c>
      <c r="I116" s="89">
        <v>2</v>
      </c>
      <c r="J116" s="89">
        <v>2</v>
      </c>
      <c r="K116" s="89">
        <v>2</v>
      </c>
      <c r="L116" s="89">
        <v>2</v>
      </c>
      <c r="M116" s="89"/>
      <c r="N116" s="89"/>
      <c r="O116" s="89">
        <v>2</v>
      </c>
      <c r="P116" s="89">
        <v>2</v>
      </c>
      <c r="Q116" s="89">
        <v>2</v>
      </c>
      <c r="R116" s="89">
        <v>2</v>
      </c>
      <c r="S116" s="89">
        <v>2</v>
      </c>
      <c r="T116" s="89"/>
      <c r="U116" s="89"/>
      <c r="V116" s="89">
        <v>1</v>
      </c>
      <c r="W116" s="89">
        <v>1.5</v>
      </c>
      <c r="X116" s="89">
        <v>1</v>
      </c>
      <c r="Y116" s="89">
        <v>2</v>
      </c>
      <c r="Z116" s="89">
        <v>2</v>
      </c>
      <c r="AA116" s="89"/>
      <c r="AB116" s="89"/>
      <c r="AC116" s="89">
        <v>2</v>
      </c>
      <c r="AD116" s="89">
        <v>2</v>
      </c>
      <c r="AE116" s="89"/>
      <c r="AF116" s="89"/>
      <c r="AG116" s="89"/>
      <c r="AH116" s="89"/>
      <c r="AI116" s="89"/>
      <c r="AJ116" s="89">
        <v>2</v>
      </c>
      <c r="AK116" s="89">
        <v>2</v>
      </c>
      <c r="AL116" s="89">
        <v>2</v>
      </c>
      <c r="AM116" s="89"/>
      <c r="AN116" s="90">
        <f t="shared" si="10"/>
        <v>35.5</v>
      </c>
      <c r="AO116" s="86">
        <v>220000</v>
      </c>
      <c r="AP116" s="91">
        <f t="shared" si="11"/>
        <v>7810000</v>
      </c>
    </row>
    <row r="117" spans="1:42" ht="24.9" customHeight="1" x14ac:dyDescent="0.4">
      <c r="A117" s="84">
        <v>112</v>
      </c>
      <c r="B117" s="84" t="s">
        <v>781</v>
      </c>
      <c r="C117" s="85" t="s">
        <v>811</v>
      </c>
      <c r="D117" s="36" t="s">
        <v>227</v>
      </c>
      <c r="E117" s="126" t="s">
        <v>841</v>
      </c>
      <c r="F117" s="94" t="s">
        <v>230</v>
      </c>
      <c r="G117" s="87" t="s">
        <v>781</v>
      </c>
      <c r="H117" s="88" t="s">
        <v>872</v>
      </c>
      <c r="I117" s="89">
        <v>2</v>
      </c>
      <c r="J117" s="89">
        <v>2</v>
      </c>
      <c r="K117" s="89">
        <v>2</v>
      </c>
      <c r="L117" s="89">
        <v>2</v>
      </c>
      <c r="M117" s="89"/>
      <c r="N117" s="89"/>
      <c r="O117" s="89">
        <v>2</v>
      </c>
      <c r="P117" s="89">
        <v>2</v>
      </c>
      <c r="Q117" s="89">
        <v>2</v>
      </c>
      <c r="R117" s="89">
        <v>2</v>
      </c>
      <c r="S117" s="89">
        <v>2</v>
      </c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90">
        <f t="shared" si="10"/>
        <v>18</v>
      </c>
      <c r="AO117" s="86">
        <v>240000</v>
      </c>
      <c r="AP117" s="91">
        <f t="shared" si="11"/>
        <v>4320000</v>
      </c>
    </row>
    <row r="118" spans="1:42" ht="24.9" customHeight="1" x14ac:dyDescent="0.4">
      <c r="A118" s="84">
        <v>113</v>
      </c>
      <c r="B118" s="84" t="s">
        <v>489</v>
      </c>
      <c r="C118" s="85" t="s">
        <v>509</v>
      </c>
      <c r="D118" s="36" t="s">
        <v>225</v>
      </c>
      <c r="E118" s="36" t="s">
        <v>527</v>
      </c>
      <c r="F118" s="96" t="s">
        <v>296</v>
      </c>
      <c r="G118" s="87" t="s">
        <v>489</v>
      </c>
      <c r="H118" s="88" t="s">
        <v>546</v>
      </c>
      <c r="I118" s="89">
        <v>1.5</v>
      </c>
      <c r="J118" s="89">
        <v>1.5</v>
      </c>
      <c r="K118" s="89">
        <v>1</v>
      </c>
      <c r="L118" s="89">
        <v>1</v>
      </c>
      <c r="M118" s="89">
        <v>1</v>
      </c>
      <c r="N118" s="89"/>
      <c r="O118" s="89">
        <v>1</v>
      </c>
      <c r="P118" s="89">
        <v>1.5</v>
      </c>
      <c r="Q118" s="89">
        <v>1</v>
      </c>
      <c r="R118" s="89">
        <v>1.5</v>
      </c>
      <c r="S118" s="89">
        <v>1</v>
      </c>
      <c r="T118" s="89"/>
      <c r="U118" s="89"/>
      <c r="V118" s="89">
        <v>1</v>
      </c>
      <c r="W118" s="89"/>
      <c r="X118" s="89">
        <v>1</v>
      </c>
      <c r="Y118" s="89">
        <v>1.5</v>
      </c>
      <c r="Z118" s="89">
        <v>0.875</v>
      </c>
      <c r="AA118" s="89">
        <v>1</v>
      </c>
      <c r="AB118" s="89"/>
      <c r="AC118" s="89">
        <v>1.5</v>
      </c>
      <c r="AD118" s="89">
        <v>1</v>
      </c>
      <c r="AE118" s="89">
        <v>1</v>
      </c>
      <c r="AF118" s="89"/>
      <c r="AG118" s="89"/>
      <c r="AH118" s="89"/>
      <c r="AI118" s="89"/>
      <c r="AJ118" s="89">
        <v>1</v>
      </c>
      <c r="AK118" s="89">
        <v>1.5</v>
      </c>
      <c r="AL118" s="89">
        <v>1</v>
      </c>
      <c r="AM118" s="89"/>
      <c r="AN118" s="90">
        <f t="shared" si="10"/>
        <v>24.375</v>
      </c>
      <c r="AO118" s="86">
        <v>170000</v>
      </c>
      <c r="AP118" s="91">
        <f t="shared" si="11"/>
        <v>4143750</v>
      </c>
    </row>
    <row r="119" spans="1:42" ht="24.9" customHeight="1" x14ac:dyDescent="0.4">
      <c r="A119" s="84">
        <v>114</v>
      </c>
      <c r="B119" s="84" t="s">
        <v>414</v>
      </c>
      <c r="C119" s="85" t="s">
        <v>415</v>
      </c>
      <c r="D119" s="36" t="s">
        <v>225</v>
      </c>
      <c r="E119" s="36" t="s">
        <v>416</v>
      </c>
      <c r="F119" s="94" t="s">
        <v>296</v>
      </c>
      <c r="G119" s="87" t="s">
        <v>414</v>
      </c>
      <c r="H119" s="88" t="s">
        <v>416</v>
      </c>
      <c r="I119" s="89">
        <v>2</v>
      </c>
      <c r="J119" s="89">
        <v>2</v>
      </c>
      <c r="K119" s="89">
        <v>2</v>
      </c>
      <c r="L119" s="89">
        <v>2</v>
      </c>
      <c r="M119" s="89"/>
      <c r="N119" s="89"/>
      <c r="O119" s="89">
        <v>2</v>
      </c>
      <c r="P119" s="89">
        <v>2</v>
      </c>
      <c r="Q119" s="89">
        <v>2</v>
      </c>
      <c r="R119" s="89">
        <v>2</v>
      </c>
      <c r="S119" s="89">
        <v>2</v>
      </c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90">
        <f t="shared" si="10"/>
        <v>18</v>
      </c>
      <c r="AO119" s="86">
        <v>150000</v>
      </c>
      <c r="AP119" s="91">
        <f t="shared" si="11"/>
        <v>2700000</v>
      </c>
    </row>
    <row r="120" spans="1:42" ht="24.9" customHeight="1" x14ac:dyDescent="0.4">
      <c r="A120" s="84">
        <v>115</v>
      </c>
      <c r="B120" s="84" t="s">
        <v>596</v>
      </c>
      <c r="C120" s="85" t="s">
        <v>641</v>
      </c>
      <c r="D120" s="36" t="s">
        <v>225</v>
      </c>
      <c r="E120" s="126" t="s">
        <v>685</v>
      </c>
      <c r="F120" s="96" t="s">
        <v>295</v>
      </c>
      <c r="G120" s="87" t="s">
        <v>596</v>
      </c>
      <c r="H120" s="88" t="s">
        <v>726</v>
      </c>
      <c r="I120" s="89">
        <v>2</v>
      </c>
      <c r="J120" s="89">
        <v>2</v>
      </c>
      <c r="K120" s="89">
        <v>2</v>
      </c>
      <c r="L120" s="89">
        <v>2</v>
      </c>
      <c r="M120" s="89"/>
      <c r="N120" s="89"/>
      <c r="O120" s="89">
        <v>2</v>
      </c>
      <c r="P120" s="89">
        <v>2</v>
      </c>
      <c r="Q120" s="89">
        <v>2</v>
      </c>
      <c r="R120" s="89">
        <v>2</v>
      </c>
      <c r="S120" s="89">
        <v>2</v>
      </c>
      <c r="T120" s="89"/>
      <c r="U120" s="89"/>
      <c r="V120" s="89">
        <v>1</v>
      </c>
      <c r="W120" s="89">
        <v>2</v>
      </c>
      <c r="X120" s="89">
        <v>2</v>
      </c>
      <c r="Y120" s="89">
        <v>2</v>
      </c>
      <c r="Z120" s="89">
        <v>2</v>
      </c>
      <c r="AA120" s="89"/>
      <c r="AB120" s="89"/>
      <c r="AC120" s="89">
        <v>2</v>
      </c>
      <c r="AD120" s="89">
        <v>2</v>
      </c>
      <c r="AE120" s="89"/>
      <c r="AF120" s="89"/>
      <c r="AG120" s="89"/>
      <c r="AH120" s="89"/>
      <c r="AI120" s="89"/>
      <c r="AJ120" s="89">
        <v>2</v>
      </c>
      <c r="AK120" s="89">
        <v>2</v>
      </c>
      <c r="AL120" s="89">
        <v>2</v>
      </c>
      <c r="AM120" s="89"/>
      <c r="AN120" s="90">
        <f t="shared" si="10"/>
        <v>37</v>
      </c>
      <c r="AO120" s="86">
        <v>160000</v>
      </c>
      <c r="AP120" s="91">
        <f t="shared" si="11"/>
        <v>5920000</v>
      </c>
    </row>
    <row r="121" spans="1:42" ht="24.9" customHeight="1" x14ac:dyDescent="0.4">
      <c r="A121" s="84">
        <v>116</v>
      </c>
      <c r="B121" s="84" t="s">
        <v>907</v>
      </c>
      <c r="C121" s="85" t="s">
        <v>922</v>
      </c>
      <c r="D121" s="36" t="s">
        <v>228</v>
      </c>
      <c r="E121" s="126" t="s">
        <v>937</v>
      </c>
      <c r="F121" s="94" t="s">
        <v>954</v>
      </c>
      <c r="G121" s="87" t="s">
        <v>907</v>
      </c>
      <c r="H121" s="88" t="s">
        <v>955</v>
      </c>
      <c r="I121" s="89">
        <v>1.5</v>
      </c>
      <c r="J121" s="89">
        <v>1.5</v>
      </c>
      <c r="K121" s="89">
        <v>1</v>
      </c>
      <c r="L121" s="89"/>
      <c r="M121" s="89"/>
      <c r="N121" s="89"/>
      <c r="O121" s="89">
        <v>1</v>
      </c>
      <c r="P121" s="89">
        <v>1.5</v>
      </c>
      <c r="Q121" s="89">
        <v>0.75</v>
      </c>
      <c r="R121" s="89">
        <v>1.5</v>
      </c>
      <c r="S121" s="89">
        <v>1</v>
      </c>
      <c r="T121" s="89">
        <v>1</v>
      </c>
      <c r="U121" s="89"/>
      <c r="V121" s="89">
        <v>1</v>
      </c>
      <c r="W121" s="89">
        <v>1.5</v>
      </c>
      <c r="X121" s="89">
        <v>1</v>
      </c>
      <c r="Y121" s="89">
        <v>1.5</v>
      </c>
      <c r="Z121" s="89">
        <v>1</v>
      </c>
      <c r="AA121" s="89">
        <v>1</v>
      </c>
      <c r="AB121" s="89"/>
      <c r="AC121" s="89">
        <v>1.5</v>
      </c>
      <c r="AD121" s="89">
        <v>1</v>
      </c>
      <c r="AE121" s="89">
        <v>1</v>
      </c>
      <c r="AF121" s="89"/>
      <c r="AG121" s="89"/>
      <c r="AH121" s="89"/>
      <c r="AI121" s="89"/>
      <c r="AJ121" s="89">
        <v>1</v>
      </c>
      <c r="AK121" s="89">
        <v>1</v>
      </c>
      <c r="AL121" s="89">
        <v>2</v>
      </c>
      <c r="AM121" s="89"/>
      <c r="AN121" s="90">
        <f t="shared" si="10"/>
        <v>25.25</v>
      </c>
      <c r="AO121" s="86">
        <v>230000</v>
      </c>
      <c r="AP121" s="91">
        <f t="shared" si="11"/>
        <v>5807500</v>
      </c>
    </row>
    <row r="122" spans="1:42" ht="24.9" customHeight="1" x14ac:dyDescent="0.4">
      <c r="A122" s="84">
        <v>117</v>
      </c>
      <c r="B122" s="84" t="s">
        <v>776</v>
      </c>
      <c r="C122" s="85" t="s">
        <v>806</v>
      </c>
      <c r="D122" s="36" t="s">
        <v>225</v>
      </c>
      <c r="E122" s="36" t="s">
        <v>836</v>
      </c>
      <c r="F122" s="94" t="s">
        <v>229</v>
      </c>
      <c r="G122" s="87" t="s">
        <v>776</v>
      </c>
      <c r="H122" s="88" t="s">
        <v>867</v>
      </c>
      <c r="I122" s="89">
        <v>2</v>
      </c>
      <c r="J122" s="89">
        <v>2</v>
      </c>
      <c r="K122" s="89">
        <v>2</v>
      </c>
      <c r="L122" s="89">
        <v>2</v>
      </c>
      <c r="M122" s="89"/>
      <c r="N122" s="89"/>
      <c r="O122" s="89">
        <v>2</v>
      </c>
      <c r="P122" s="89">
        <v>2</v>
      </c>
      <c r="Q122" s="89">
        <v>2</v>
      </c>
      <c r="R122" s="89">
        <v>2</v>
      </c>
      <c r="S122" s="89">
        <v>2</v>
      </c>
      <c r="T122" s="89"/>
      <c r="U122" s="89"/>
      <c r="V122" s="89">
        <v>1</v>
      </c>
      <c r="W122" s="89">
        <v>2</v>
      </c>
      <c r="X122" s="89">
        <v>2</v>
      </c>
      <c r="Y122" s="89">
        <v>2</v>
      </c>
      <c r="Z122" s="89">
        <v>2</v>
      </c>
      <c r="AA122" s="89"/>
      <c r="AB122" s="89"/>
      <c r="AC122" s="89">
        <v>2</v>
      </c>
      <c r="AD122" s="89">
        <v>2</v>
      </c>
      <c r="AE122" s="89"/>
      <c r="AF122" s="89"/>
      <c r="AG122" s="89"/>
      <c r="AH122" s="89"/>
      <c r="AI122" s="89"/>
      <c r="AJ122" s="89">
        <v>2</v>
      </c>
      <c r="AK122" s="89">
        <v>2</v>
      </c>
      <c r="AL122" s="89">
        <v>2</v>
      </c>
      <c r="AM122" s="89"/>
      <c r="AN122" s="90">
        <f t="shared" si="10"/>
        <v>37</v>
      </c>
      <c r="AO122" s="86">
        <v>250000</v>
      </c>
      <c r="AP122" s="91">
        <f t="shared" si="11"/>
        <v>9250000</v>
      </c>
    </row>
    <row r="123" spans="1:42" ht="24.9" customHeight="1" x14ac:dyDescent="0.4">
      <c r="A123" s="84">
        <v>118</v>
      </c>
      <c r="B123" s="84" t="s">
        <v>490</v>
      </c>
      <c r="C123" s="85" t="s">
        <v>510</v>
      </c>
      <c r="D123" s="36" t="s">
        <v>225</v>
      </c>
      <c r="E123" s="36" t="s">
        <v>528</v>
      </c>
      <c r="F123" s="94" t="s">
        <v>230</v>
      </c>
      <c r="G123" s="87" t="s">
        <v>490</v>
      </c>
      <c r="H123" s="88" t="s">
        <v>547</v>
      </c>
      <c r="I123" s="89">
        <v>2</v>
      </c>
      <c r="J123" s="89">
        <v>2</v>
      </c>
      <c r="K123" s="89">
        <v>2</v>
      </c>
      <c r="L123" s="89">
        <v>2</v>
      </c>
      <c r="M123" s="89"/>
      <c r="N123" s="89"/>
      <c r="O123" s="89">
        <v>2</v>
      </c>
      <c r="P123" s="89">
        <v>2</v>
      </c>
      <c r="Q123" s="89">
        <v>2</v>
      </c>
      <c r="R123" s="89">
        <v>2</v>
      </c>
      <c r="S123" s="89">
        <v>1</v>
      </c>
      <c r="T123" s="89"/>
      <c r="U123" s="89"/>
      <c r="V123" s="89">
        <v>1</v>
      </c>
      <c r="W123" s="89">
        <v>1.5</v>
      </c>
      <c r="X123" s="89">
        <v>1</v>
      </c>
      <c r="Y123" s="89">
        <v>0.5</v>
      </c>
      <c r="Z123" s="89">
        <v>1</v>
      </c>
      <c r="AA123" s="89">
        <v>0.5</v>
      </c>
      <c r="AB123" s="89"/>
      <c r="AC123" s="89">
        <v>1.5</v>
      </c>
      <c r="AD123" s="89">
        <v>1</v>
      </c>
      <c r="AE123" s="89">
        <v>1</v>
      </c>
      <c r="AF123" s="89"/>
      <c r="AG123" s="89"/>
      <c r="AH123" s="89"/>
      <c r="AI123" s="89"/>
      <c r="AJ123" s="89">
        <v>1</v>
      </c>
      <c r="AK123" s="89">
        <v>1.5</v>
      </c>
      <c r="AL123" s="89">
        <v>1</v>
      </c>
      <c r="AM123" s="89"/>
      <c r="AN123" s="90">
        <f t="shared" si="10"/>
        <v>29.5</v>
      </c>
      <c r="AO123" s="86">
        <v>160000</v>
      </c>
      <c r="AP123" s="91">
        <f t="shared" si="11"/>
        <v>4720000</v>
      </c>
    </row>
    <row r="124" spans="1:42" ht="24.9" customHeight="1" x14ac:dyDescent="0.4">
      <c r="A124" s="84">
        <v>119</v>
      </c>
      <c r="B124" s="84" t="s">
        <v>505</v>
      </c>
      <c r="C124" s="85" t="s">
        <v>523</v>
      </c>
      <c r="D124" s="36" t="s">
        <v>225</v>
      </c>
      <c r="E124" s="36" t="s">
        <v>542</v>
      </c>
      <c r="F124" s="94" t="s">
        <v>558</v>
      </c>
      <c r="G124" s="87" t="s">
        <v>505</v>
      </c>
      <c r="H124" s="88" t="s">
        <v>868</v>
      </c>
      <c r="I124" s="89">
        <v>2</v>
      </c>
      <c r="J124" s="89">
        <v>2</v>
      </c>
      <c r="K124" s="89">
        <v>2</v>
      </c>
      <c r="L124" s="89">
        <v>2</v>
      </c>
      <c r="M124" s="89"/>
      <c r="N124" s="89"/>
      <c r="O124" s="89">
        <v>2</v>
      </c>
      <c r="P124" s="89">
        <v>2</v>
      </c>
      <c r="Q124" s="89">
        <v>2</v>
      </c>
      <c r="R124" s="89">
        <v>2</v>
      </c>
      <c r="S124" s="89">
        <v>2</v>
      </c>
      <c r="T124" s="89"/>
      <c r="U124" s="89"/>
      <c r="V124" s="89">
        <v>1</v>
      </c>
      <c r="W124" s="89">
        <v>1.5</v>
      </c>
      <c r="X124" s="89">
        <v>1</v>
      </c>
      <c r="Y124" s="89">
        <v>1.5</v>
      </c>
      <c r="Z124" s="89">
        <v>1</v>
      </c>
      <c r="AA124" s="89">
        <v>1</v>
      </c>
      <c r="AB124" s="89"/>
      <c r="AC124" s="89">
        <v>1.5</v>
      </c>
      <c r="AD124" s="89">
        <v>1</v>
      </c>
      <c r="AE124" s="89">
        <v>1</v>
      </c>
      <c r="AF124" s="89"/>
      <c r="AG124" s="89"/>
      <c r="AH124" s="89"/>
      <c r="AI124" s="89"/>
      <c r="AJ124" s="89"/>
      <c r="AK124" s="89">
        <v>1.5</v>
      </c>
      <c r="AL124" s="89">
        <v>1</v>
      </c>
      <c r="AM124" s="89"/>
      <c r="AN124" s="90">
        <f t="shared" si="10"/>
        <v>31</v>
      </c>
      <c r="AO124" s="86">
        <v>170000</v>
      </c>
      <c r="AP124" s="91">
        <f t="shared" si="11"/>
        <v>5270000</v>
      </c>
    </row>
    <row r="125" spans="1:42" ht="24.9" customHeight="1" x14ac:dyDescent="0.4">
      <c r="A125" s="84">
        <v>120</v>
      </c>
      <c r="B125" s="84" t="s">
        <v>583</v>
      </c>
      <c r="C125" s="85" t="s">
        <v>627</v>
      </c>
      <c r="D125" s="36" t="s">
        <v>338</v>
      </c>
      <c r="E125" s="36" t="s">
        <v>672</v>
      </c>
      <c r="F125" s="94" t="s">
        <v>226</v>
      </c>
      <c r="G125" s="87" t="s">
        <v>583</v>
      </c>
      <c r="H125" s="88" t="s">
        <v>716</v>
      </c>
      <c r="I125" s="89">
        <v>0.125</v>
      </c>
      <c r="J125" s="89"/>
      <c r="K125" s="89">
        <v>1</v>
      </c>
      <c r="L125" s="89">
        <v>1</v>
      </c>
      <c r="M125" s="89">
        <v>1</v>
      </c>
      <c r="N125" s="89"/>
      <c r="O125" s="89"/>
      <c r="P125" s="89">
        <v>1.5</v>
      </c>
      <c r="Q125" s="89">
        <v>1</v>
      </c>
      <c r="R125" s="89">
        <v>1.5</v>
      </c>
      <c r="S125" s="89">
        <v>1</v>
      </c>
      <c r="T125" s="89">
        <v>1</v>
      </c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90">
        <f t="shared" si="10"/>
        <v>9.125</v>
      </c>
      <c r="AO125" s="86">
        <v>210000</v>
      </c>
      <c r="AP125" s="91">
        <f t="shared" si="11"/>
        <v>1916250</v>
      </c>
    </row>
    <row r="126" spans="1:42" ht="24.9" customHeight="1" x14ac:dyDescent="0.4">
      <c r="A126" s="84">
        <v>121</v>
      </c>
      <c r="B126" s="84" t="s">
        <v>618</v>
      </c>
      <c r="C126" s="85" t="s">
        <v>663</v>
      </c>
      <c r="D126" s="36" t="s">
        <v>225</v>
      </c>
      <c r="E126" s="36" t="s">
        <v>707</v>
      </c>
      <c r="F126" s="96" t="s">
        <v>361</v>
      </c>
      <c r="G126" s="87" t="s">
        <v>618</v>
      </c>
      <c r="H126" s="88" t="s">
        <v>748</v>
      </c>
      <c r="I126" s="89">
        <v>2</v>
      </c>
      <c r="J126" s="89">
        <v>2</v>
      </c>
      <c r="K126" s="89">
        <v>2</v>
      </c>
      <c r="L126" s="89">
        <v>2</v>
      </c>
      <c r="M126" s="89"/>
      <c r="N126" s="89"/>
      <c r="O126" s="89">
        <v>2</v>
      </c>
      <c r="P126" s="89">
        <v>2</v>
      </c>
      <c r="Q126" s="89">
        <v>2</v>
      </c>
      <c r="R126" s="89">
        <v>2</v>
      </c>
      <c r="S126" s="89">
        <v>2</v>
      </c>
      <c r="T126" s="89"/>
      <c r="U126" s="89"/>
      <c r="V126" s="89"/>
      <c r="W126" s="89">
        <v>1.5</v>
      </c>
      <c r="X126" s="89">
        <v>1</v>
      </c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90">
        <f t="shared" si="10"/>
        <v>20.5</v>
      </c>
      <c r="AO126" s="86">
        <v>160000</v>
      </c>
      <c r="AP126" s="91">
        <f t="shared" si="11"/>
        <v>3280000</v>
      </c>
    </row>
    <row r="127" spans="1:42" ht="24.9" customHeight="1" x14ac:dyDescent="0.4">
      <c r="A127" s="84">
        <v>122</v>
      </c>
      <c r="B127" s="84" t="s">
        <v>616</v>
      </c>
      <c r="C127" s="85" t="s">
        <v>661</v>
      </c>
      <c r="D127" s="36" t="s">
        <v>225</v>
      </c>
      <c r="E127" s="36" t="s">
        <v>705</v>
      </c>
      <c r="F127" s="94" t="s">
        <v>230</v>
      </c>
      <c r="G127" s="87" t="s">
        <v>616</v>
      </c>
      <c r="H127" s="88" t="s">
        <v>745</v>
      </c>
      <c r="I127" s="89">
        <v>2</v>
      </c>
      <c r="J127" s="89">
        <v>2</v>
      </c>
      <c r="K127" s="89">
        <v>2</v>
      </c>
      <c r="L127" s="89">
        <v>2</v>
      </c>
      <c r="M127" s="89"/>
      <c r="N127" s="89"/>
      <c r="O127" s="89">
        <v>2</v>
      </c>
      <c r="P127" s="89">
        <v>2</v>
      </c>
      <c r="Q127" s="89">
        <v>2</v>
      </c>
      <c r="R127" s="89">
        <v>2</v>
      </c>
      <c r="S127" s="89">
        <v>2</v>
      </c>
      <c r="T127" s="89"/>
      <c r="U127" s="89"/>
      <c r="V127" s="89">
        <v>1</v>
      </c>
      <c r="W127" s="89">
        <v>1.5</v>
      </c>
      <c r="X127" s="89">
        <v>1</v>
      </c>
      <c r="Y127" s="89">
        <v>2</v>
      </c>
      <c r="Z127" s="89">
        <v>2</v>
      </c>
      <c r="AA127" s="89"/>
      <c r="AB127" s="89"/>
      <c r="AC127" s="89">
        <v>2</v>
      </c>
      <c r="AD127" s="89">
        <v>2</v>
      </c>
      <c r="AE127" s="89"/>
      <c r="AF127" s="89"/>
      <c r="AG127" s="89"/>
      <c r="AH127" s="89"/>
      <c r="AI127" s="89"/>
      <c r="AJ127" s="89">
        <v>2</v>
      </c>
      <c r="AK127" s="89">
        <v>2</v>
      </c>
      <c r="AL127" s="89">
        <v>2</v>
      </c>
      <c r="AM127" s="89"/>
      <c r="AN127" s="90">
        <f t="shared" si="10"/>
        <v>35.5</v>
      </c>
      <c r="AO127" s="86">
        <v>190000</v>
      </c>
      <c r="AP127" s="91">
        <f t="shared" si="11"/>
        <v>6745000</v>
      </c>
    </row>
    <row r="128" spans="1:42" ht="24.9" customHeight="1" x14ac:dyDescent="0.4">
      <c r="A128" s="84">
        <v>123</v>
      </c>
      <c r="B128" s="84" t="s">
        <v>777</v>
      </c>
      <c r="C128" s="85" t="s">
        <v>807</v>
      </c>
      <c r="D128" s="128" t="s">
        <v>225</v>
      </c>
      <c r="E128" s="126" t="s">
        <v>837</v>
      </c>
      <c r="F128" s="94" t="s">
        <v>296</v>
      </c>
      <c r="G128" s="87" t="s">
        <v>777</v>
      </c>
      <c r="H128" s="88" t="s">
        <v>837</v>
      </c>
      <c r="I128" s="89">
        <v>1.5</v>
      </c>
      <c r="J128" s="89">
        <v>1.5</v>
      </c>
      <c r="K128" s="89">
        <v>1</v>
      </c>
      <c r="L128" s="89">
        <v>1</v>
      </c>
      <c r="M128" s="89">
        <v>1</v>
      </c>
      <c r="N128" s="89"/>
      <c r="O128" s="89">
        <v>1</v>
      </c>
      <c r="P128" s="89">
        <v>1.5</v>
      </c>
      <c r="Q128" s="89">
        <v>1</v>
      </c>
      <c r="R128" s="89">
        <v>1.5</v>
      </c>
      <c r="S128" s="89">
        <v>1</v>
      </c>
      <c r="T128" s="89">
        <v>1</v>
      </c>
      <c r="U128" s="89"/>
      <c r="V128" s="89">
        <v>1</v>
      </c>
      <c r="W128" s="89">
        <v>1.5</v>
      </c>
      <c r="X128" s="89">
        <v>1</v>
      </c>
      <c r="Y128" s="89">
        <v>1.5</v>
      </c>
      <c r="Z128" s="89">
        <v>1</v>
      </c>
      <c r="AA128" s="89"/>
      <c r="AB128" s="89"/>
      <c r="AC128" s="89">
        <v>1.5</v>
      </c>
      <c r="AD128" s="89">
        <v>1</v>
      </c>
      <c r="AE128" s="89">
        <v>1</v>
      </c>
      <c r="AF128" s="89"/>
      <c r="AG128" s="89"/>
      <c r="AH128" s="89"/>
      <c r="AI128" s="89"/>
      <c r="AJ128" s="89">
        <v>1</v>
      </c>
      <c r="AK128" s="89">
        <v>1.5</v>
      </c>
      <c r="AL128" s="89">
        <v>1</v>
      </c>
      <c r="AM128" s="89"/>
      <c r="AN128" s="90">
        <f t="shared" si="10"/>
        <v>26</v>
      </c>
      <c r="AO128" s="86">
        <v>170000</v>
      </c>
      <c r="AP128" s="91">
        <f t="shared" si="11"/>
        <v>4420000</v>
      </c>
    </row>
    <row r="129" spans="1:42" ht="24.9" customHeight="1" x14ac:dyDescent="0.4">
      <c r="A129" s="84">
        <v>124</v>
      </c>
      <c r="B129" s="84" t="s">
        <v>598</v>
      </c>
      <c r="C129" s="85" t="s">
        <v>643</v>
      </c>
      <c r="D129" s="36" t="s">
        <v>225</v>
      </c>
      <c r="E129" s="126" t="s">
        <v>687</v>
      </c>
      <c r="F129" s="94" t="s">
        <v>226</v>
      </c>
      <c r="G129" s="87" t="s">
        <v>598</v>
      </c>
      <c r="H129" s="88" t="s">
        <v>728</v>
      </c>
      <c r="I129" s="89">
        <v>2</v>
      </c>
      <c r="J129" s="89">
        <v>2</v>
      </c>
      <c r="K129" s="89">
        <v>2</v>
      </c>
      <c r="L129" s="89">
        <v>2</v>
      </c>
      <c r="M129" s="89"/>
      <c r="N129" s="89"/>
      <c r="O129" s="89">
        <v>2</v>
      </c>
      <c r="P129" s="89">
        <v>2</v>
      </c>
      <c r="Q129" s="89">
        <v>2</v>
      </c>
      <c r="R129" s="89">
        <v>2</v>
      </c>
      <c r="S129" s="89">
        <v>2</v>
      </c>
      <c r="T129" s="89"/>
      <c r="U129" s="89"/>
      <c r="V129" s="89">
        <v>1</v>
      </c>
      <c r="W129" s="89">
        <v>2</v>
      </c>
      <c r="X129" s="89">
        <v>2</v>
      </c>
      <c r="Y129" s="89">
        <v>2</v>
      </c>
      <c r="Z129" s="89">
        <v>2</v>
      </c>
      <c r="AA129" s="89"/>
      <c r="AB129" s="89"/>
      <c r="AC129" s="89">
        <v>2</v>
      </c>
      <c r="AD129" s="89">
        <v>2</v>
      </c>
      <c r="AE129" s="89"/>
      <c r="AF129" s="89"/>
      <c r="AG129" s="89"/>
      <c r="AH129" s="89"/>
      <c r="AI129" s="89"/>
      <c r="AJ129" s="89">
        <v>2</v>
      </c>
      <c r="AK129" s="89">
        <v>2</v>
      </c>
      <c r="AL129" s="89">
        <v>2</v>
      </c>
      <c r="AM129" s="89"/>
      <c r="AN129" s="90">
        <f t="shared" si="10"/>
        <v>37</v>
      </c>
      <c r="AO129" s="86">
        <v>150000</v>
      </c>
      <c r="AP129" s="91">
        <f t="shared" si="11"/>
        <v>5550000</v>
      </c>
    </row>
    <row r="130" spans="1:42" ht="24.9" customHeight="1" x14ac:dyDescent="0.4">
      <c r="A130" s="84">
        <v>125</v>
      </c>
      <c r="B130" s="84" t="s">
        <v>757</v>
      </c>
      <c r="C130" s="85" t="s">
        <v>785</v>
      </c>
      <c r="D130" s="36" t="s">
        <v>225</v>
      </c>
      <c r="E130" s="126" t="s">
        <v>815</v>
      </c>
      <c r="F130" s="94" t="s">
        <v>226</v>
      </c>
      <c r="G130" s="87" t="s">
        <v>757</v>
      </c>
      <c r="H130" s="88" t="s">
        <v>845</v>
      </c>
      <c r="I130" s="89">
        <v>2</v>
      </c>
      <c r="J130" s="89">
        <v>2</v>
      </c>
      <c r="K130" s="89">
        <v>2</v>
      </c>
      <c r="L130" s="89">
        <v>2</v>
      </c>
      <c r="M130" s="89"/>
      <c r="N130" s="89"/>
      <c r="O130" s="89">
        <v>2</v>
      </c>
      <c r="P130" s="89">
        <v>2</v>
      </c>
      <c r="Q130" s="89">
        <v>2</v>
      </c>
      <c r="R130" s="89">
        <v>2</v>
      </c>
      <c r="S130" s="89">
        <v>2</v>
      </c>
      <c r="T130" s="89"/>
      <c r="U130" s="89"/>
      <c r="V130" s="89">
        <v>1</v>
      </c>
      <c r="W130" s="89">
        <v>1.5</v>
      </c>
      <c r="X130" s="89">
        <v>1</v>
      </c>
      <c r="Y130" s="89">
        <v>1.5</v>
      </c>
      <c r="Z130" s="89">
        <v>1</v>
      </c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90">
        <f t="shared" si="10"/>
        <v>24</v>
      </c>
      <c r="AO130" s="86">
        <v>160000</v>
      </c>
      <c r="AP130" s="91">
        <f t="shared" si="11"/>
        <v>3840000</v>
      </c>
    </row>
    <row r="131" spans="1:42" ht="24.9" customHeight="1" x14ac:dyDescent="0.4">
      <c r="A131" s="84">
        <v>126</v>
      </c>
      <c r="B131" s="84" t="s">
        <v>908</v>
      </c>
      <c r="C131" s="85" t="s">
        <v>923</v>
      </c>
      <c r="D131" s="36" t="s">
        <v>960</v>
      </c>
      <c r="E131" s="126" t="s">
        <v>938</v>
      </c>
      <c r="F131" s="94" t="s">
        <v>295</v>
      </c>
      <c r="G131" s="87" t="s">
        <v>908</v>
      </c>
      <c r="H131" s="88" t="s">
        <v>956</v>
      </c>
      <c r="I131" s="89"/>
      <c r="J131" s="89"/>
      <c r="K131" s="89">
        <v>1</v>
      </c>
      <c r="L131" s="89">
        <v>1</v>
      </c>
      <c r="M131" s="89">
        <v>1</v>
      </c>
      <c r="N131" s="89"/>
      <c r="O131" s="89">
        <v>1</v>
      </c>
      <c r="P131" s="89">
        <v>1.5</v>
      </c>
      <c r="Q131" s="89">
        <v>1</v>
      </c>
      <c r="R131" s="89">
        <v>1.5</v>
      </c>
      <c r="S131" s="89">
        <v>1</v>
      </c>
      <c r="T131" s="89"/>
      <c r="U131" s="89"/>
      <c r="V131" s="89">
        <v>1</v>
      </c>
      <c r="W131" s="89">
        <v>1.5</v>
      </c>
      <c r="X131" s="89">
        <v>1</v>
      </c>
      <c r="Y131" s="89">
        <v>1.5</v>
      </c>
      <c r="Z131" s="89">
        <v>1</v>
      </c>
      <c r="AA131" s="89">
        <v>0.8125</v>
      </c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90">
        <f t="shared" si="10"/>
        <v>15.8125</v>
      </c>
      <c r="AO131" s="86">
        <v>180000</v>
      </c>
      <c r="AP131" s="91">
        <f t="shared" si="11"/>
        <v>2846250</v>
      </c>
    </row>
    <row r="132" spans="1:42" ht="24.9" customHeight="1" x14ac:dyDescent="0.4">
      <c r="A132" s="84">
        <v>127</v>
      </c>
      <c r="B132" s="84" t="s">
        <v>599</v>
      </c>
      <c r="C132" s="85" t="s">
        <v>644</v>
      </c>
      <c r="D132" s="36" t="s">
        <v>961</v>
      </c>
      <c r="E132" s="126" t="s">
        <v>688</v>
      </c>
      <c r="F132" s="94" t="s">
        <v>304</v>
      </c>
      <c r="G132" s="87" t="s">
        <v>599</v>
      </c>
      <c r="H132" s="88" t="s">
        <v>957</v>
      </c>
      <c r="I132" s="89">
        <v>1.5</v>
      </c>
      <c r="J132" s="89">
        <v>1.5</v>
      </c>
      <c r="K132" s="89">
        <v>1</v>
      </c>
      <c r="L132" s="89">
        <v>1</v>
      </c>
      <c r="M132" s="89">
        <v>1</v>
      </c>
      <c r="N132" s="89"/>
      <c r="O132" s="89">
        <v>1</v>
      </c>
      <c r="P132" s="89">
        <v>1.5</v>
      </c>
      <c r="Q132" s="89">
        <v>1</v>
      </c>
      <c r="R132" s="89">
        <v>1.5</v>
      </c>
      <c r="S132" s="89">
        <v>1</v>
      </c>
      <c r="T132" s="89"/>
      <c r="U132" s="89"/>
      <c r="V132" s="89">
        <v>1</v>
      </c>
      <c r="W132" s="89">
        <v>1.5</v>
      </c>
      <c r="X132" s="89">
        <v>1</v>
      </c>
      <c r="Y132" s="89">
        <v>2</v>
      </c>
      <c r="Z132" s="89">
        <v>2</v>
      </c>
      <c r="AA132" s="89"/>
      <c r="AB132" s="89"/>
      <c r="AC132" s="89">
        <v>2</v>
      </c>
      <c r="AD132" s="89">
        <v>2</v>
      </c>
      <c r="AE132" s="89"/>
      <c r="AF132" s="89"/>
      <c r="AG132" s="89"/>
      <c r="AH132" s="89"/>
      <c r="AI132" s="89"/>
      <c r="AJ132" s="89">
        <v>2</v>
      </c>
      <c r="AK132" s="89">
        <v>2</v>
      </c>
      <c r="AL132" s="89">
        <v>2</v>
      </c>
      <c r="AM132" s="89"/>
      <c r="AN132" s="90">
        <f t="shared" si="10"/>
        <v>29.5</v>
      </c>
      <c r="AO132" s="86">
        <v>180000</v>
      </c>
      <c r="AP132" s="91">
        <f t="shared" si="11"/>
        <v>5310000</v>
      </c>
    </row>
    <row r="133" spans="1:42" ht="24.9" customHeight="1" x14ac:dyDescent="0.4">
      <c r="A133" s="84">
        <v>128</v>
      </c>
      <c r="B133" s="84" t="s">
        <v>766</v>
      </c>
      <c r="C133" s="85" t="s">
        <v>796</v>
      </c>
      <c r="D133" s="36" t="s">
        <v>228</v>
      </c>
      <c r="E133" s="126" t="s">
        <v>826</v>
      </c>
      <c r="F133" s="94" t="s">
        <v>226</v>
      </c>
      <c r="G133" s="87" t="s">
        <v>766</v>
      </c>
      <c r="H133" s="88" t="s">
        <v>858</v>
      </c>
      <c r="I133" s="89">
        <v>2</v>
      </c>
      <c r="J133" s="89">
        <v>2</v>
      </c>
      <c r="K133" s="89">
        <v>2</v>
      </c>
      <c r="L133" s="89">
        <v>2</v>
      </c>
      <c r="M133" s="89"/>
      <c r="N133" s="89"/>
      <c r="O133" s="89">
        <v>2</v>
      </c>
      <c r="P133" s="89">
        <v>2</v>
      </c>
      <c r="Q133" s="89">
        <v>2</v>
      </c>
      <c r="R133" s="89">
        <v>2</v>
      </c>
      <c r="S133" s="89">
        <v>2</v>
      </c>
      <c r="T133" s="89"/>
      <c r="U133" s="89"/>
      <c r="V133" s="89">
        <v>1</v>
      </c>
      <c r="W133" s="89">
        <v>1.5</v>
      </c>
      <c r="X133" s="89">
        <v>1</v>
      </c>
      <c r="Y133" s="89">
        <v>1.5</v>
      </c>
      <c r="Z133" s="89">
        <v>1</v>
      </c>
      <c r="AA133" s="89"/>
      <c r="AB133" s="89"/>
      <c r="AC133" s="89">
        <v>1.5</v>
      </c>
      <c r="AD133" s="89">
        <v>1</v>
      </c>
      <c r="AE133" s="89">
        <v>1</v>
      </c>
      <c r="AF133" s="89"/>
      <c r="AG133" s="89"/>
      <c r="AH133" s="89"/>
      <c r="AI133" s="89"/>
      <c r="AJ133" s="89"/>
      <c r="AK133" s="89"/>
      <c r="AL133" s="89"/>
      <c r="AM133" s="89"/>
      <c r="AN133" s="90">
        <f t="shared" si="10"/>
        <v>27.5</v>
      </c>
      <c r="AO133" s="86">
        <v>210000</v>
      </c>
      <c r="AP133" s="91">
        <f t="shared" si="11"/>
        <v>5775000</v>
      </c>
    </row>
    <row r="134" spans="1:42" ht="24.9" customHeight="1" x14ac:dyDescent="0.4">
      <c r="A134" s="84">
        <v>129</v>
      </c>
      <c r="B134" s="84" t="s">
        <v>600</v>
      </c>
      <c r="C134" s="85" t="s">
        <v>645</v>
      </c>
      <c r="D134" s="128" t="s">
        <v>225</v>
      </c>
      <c r="E134" s="36" t="s">
        <v>689</v>
      </c>
      <c r="F134" s="96" t="s">
        <v>226</v>
      </c>
      <c r="G134" s="87" t="s">
        <v>600</v>
      </c>
      <c r="H134" s="88" t="s">
        <v>729</v>
      </c>
      <c r="I134" s="89">
        <v>2</v>
      </c>
      <c r="J134" s="89">
        <v>2</v>
      </c>
      <c r="K134" s="89">
        <v>2</v>
      </c>
      <c r="L134" s="89">
        <v>2</v>
      </c>
      <c r="M134" s="89"/>
      <c r="N134" s="89"/>
      <c r="O134" s="89">
        <v>2</v>
      </c>
      <c r="P134" s="89">
        <v>2</v>
      </c>
      <c r="Q134" s="89">
        <v>2</v>
      </c>
      <c r="R134" s="89">
        <v>2</v>
      </c>
      <c r="S134" s="89">
        <v>2</v>
      </c>
      <c r="T134" s="89"/>
      <c r="U134" s="89"/>
      <c r="V134" s="89">
        <v>1</v>
      </c>
      <c r="W134" s="89">
        <v>2</v>
      </c>
      <c r="X134" s="89">
        <v>2</v>
      </c>
      <c r="Y134" s="89">
        <v>2</v>
      </c>
      <c r="Z134" s="89">
        <v>2</v>
      </c>
      <c r="AA134" s="89"/>
      <c r="AB134" s="89"/>
      <c r="AC134" s="89">
        <v>2</v>
      </c>
      <c r="AD134" s="89">
        <v>2</v>
      </c>
      <c r="AE134" s="89"/>
      <c r="AF134" s="89"/>
      <c r="AG134" s="89"/>
      <c r="AH134" s="89"/>
      <c r="AI134" s="89"/>
      <c r="AJ134" s="89">
        <v>2</v>
      </c>
      <c r="AK134" s="89">
        <v>2</v>
      </c>
      <c r="AL134" s="89">
        <v>2</v>
      </c>
      <c r="AM134" s="89"/>
      <c r="AN134" s="90">
        <f t="shared" si="10"/>
        <v>37</v>
      </c>
      <c r="AO134" s="86">
        <v>160000</v>
      </c>
      <c r="AP134" s="91">
        <f t="shared" si="11"/>
        <v>5920000</v>
      </c>
    </row>
    <row r="135" spans="1:42" ht="24.9" customHeight="1" x14ac:dyDescent="0.4">
      <c r="A135" s="84">
        <v>130</v>
      </c>
      <c r="B135" s="84" t="s">
        <v>601</v>
      </c>
      <c r="C135" s="85" t="s">
        <v>646</v>
      </c>
      <c r="D135" s="36" t="s">
        <v>225</v>
      </c>
      <c r="E135" s="36" t="s">
        <v>690</v>
      </c>
      <c r="F135" s="94" t="s">
        <v>229</v>
      </c>
      <c r="G135" s="87" t="s">
        <v>601</v>
      </c>
      <c r="H135" s="88" t="s">
        <v>730</v>
      </c>
      <c r="I135" s="89">
        <v>2</v>
      </c>
      <c r="J135" s="89">
        <v>2</v>
      </c>
      <c r="K135" s="89">
        <v>2</v>
      </c>
      <c r="L135" s="89">
        <v>2</v>
      </c>
      <c r="M135" s="89"/>
      <c r="N135" s="89"/>
      <c r="O135" s="89">
        <v>2</v>
      </c>
      <c r="P135" s="89">
        <v>2</v>
      </c>
      <c r="Q135" s="89">
        <v>2</v>
      </c>
      <c r="R135" s="89">
        <v>2</v>
      </c>
      <c r="S135" s="89">
        <v>2</v>
      </c>
      <c r="T135" s="89"/>
      <c r="U135" s="89"/>
      <c r="V135" s="89">
        <v>1</v>
      </c>
      <c r="W135" s="89">
        <v>1.5</v>
      </c>
      <c r="X135" s="89">
        <v>1</v>
      </c>
      <c r="Y135" s="89">
        <v>1.5</v>
      </c>
      <c r="Z135" s="89">
        <v>1</v>
      </c>
      <c r="AA135" s="89">
        <v>1</v>
      </c>
      <c r="AB135" s="89"/>
      <c r="AC135" s="89">
        <v>1.5</v>
      </c>
      <c r="AD135" s="89">
        <v>1</v>
      </c>
      <c r="AE135" s="89">
        <v>0.5</v>
      </c>
      <c r="AF135" s="89"/>
      <c r="AG135" s="89"/>
      <c r="AH135" s="89"/>
      <c r="AI135" s="89"/>
      <c r="AJ135" s="89">
        <v>1</v>
      </c>
      <c r="AK135" s="89">
        <v>1.5</v>
      </c>
      <c r="AL135" s="89">
        <v>1</v>
      </c>
      <c r="AM135" s="89"/>
      <c r="AN135" s="90">
        <f t="shared" si="10"/>
        <v>31.5</v>
      </c>
      <c r="AO135" s="86">
        <v>170000</v>
      </c>
      <c r="AP135" s="91">
        <f t="shared" si="11"/>
        <v>5355000</v>
      </c>
    </row>
    <row r="136" spans="1:42" ht="24.9" customHeight="1" x14ac:dyDescent="0.4">
      <c r="A136" s="84">
        <v>131</v>
      </c>
      <c r="B136" s="84" t="s">
        <v>909</v>
      </c>
      <c r="C136" s="85" t="s">
        <v>924</v>
      </c>
      <c r="D136" s="36" t="s">
        <v>959</v>
      </c>
      <c r="E136" s="126" t="s">
        <v>939</v>
      </c>
      <c r="F136" s="96" t="s">
        <v>226</v>
      </c>
      <c r="G136" s="87" t="s">
        <v>909</v>
      </c>
      <c r="H136" s="88" t="s">
        <v>958</v>
      </c>
      <c r="I136" s="89">
        <v>1.5</v>
      </c>
      <c r="J136" s="89">
        <v>1.5</v>
      </c>
      <c r="K136" s="89">
        <v>1</v>
      </c>
      <c r="L136" s="89">
        <v>1</v>
      </c>
      <c r="M136" s="89"/>
      <c r="N136" s="89"/>
      <c r="O136" s="89">
        <v>1</v>
      </c>
      <c r="P136" s="89">
        <v>1.5</v>
      </c>
      <c r="Q136" s="89">
        <v>1</v>
      </c>
      <c r="R136" s="89">
        <v>1.5</v>
      </c>
      <c r="S136" s="89">
        <v>1</v>
      </c>
      <c r="T136" s="89">
        <v>1</v>
      </c>
      <c r="U136" s="89"/>
      <c r="V136" s="89">
        <v>1</v>
      </c>
      <c r="W136" s="89">
        <v>1.5</v>
      </c>
      <c r="X136" s="89">
        <v>1</v>
      </c>
      <c r="Y136" s="89">
        <v>1.5</v>
      </c>
      <c r="Z136" s="89">
        <v>1</v>
      </c>
      <c r="AA136" s="89"/>
      <c r="AB136" s="89"/>
      <c r="AC136" s="89">
        <v>1.5</v>
      </c>
      <c r="AD136" s="89">
        <v>1</v>
      </c>
      <c r="AE136" s="89"/>
      <c r="AF136" s="89"/>
      <c r="AG136" s="89"/>
      <c r="AH136" s="89"/>
      <c r="AI136" s="89"/>
      <c r="AJ136" s="89">
        <v>1</v>
      </c>
      <c r="AK136" s="89">
        <v>1.5</v>
      </c>
      <c r="AL136" s="89">
        <v>1</v>
      </c>
      <c r="AM136" s="89"/>
      <c r="AN136" s="90">
        <f t="shared" si="10"/>
        <v>24</v>
      </c>
      <c r="AO136" s="86">
        <v>220000</v>
      </c>
      <c r="AP136" s="91">
        <f t="shared" si="11"/>
        <v>5280000</v>
      </c>
    </row>
    <row r="137" spans="1:42" ht="24.9" customHeight="1" x14ac:dyDescent="0.4">
      <c r="A137" s="84">
        <v>132</v>
      </c>
      <c r="B137" s="84" t="s">
        <v>589</v>
      </c>
      <c r="C137" s="85" t="s">
        <v>633</v>
      </c>
      <c r="D137" s="128" t="s">
        <v>338</v>
      </c>
      <c r="E137" s="126" t="s">
        <v>678</v>
      </c>
      <c r="F137" s="94" t="s">
        <v>226</v>
      </c>
      <c r="G137" s="87" t="s">
        <v>589</v>
      </c>
      <c r="H137" s="88" t="s">
        <v>721</v>
      </c>
      <c r="I137" s="89">
        <v>2</v>
      </c>
      <c r="J137" s="89">
        <v>2</v>
      </c>
      <c r="K137" s="89">
        <v>2</v>
      </c>
      <c r="L137" s="89">
        <v>2</v>
      </c>
      <c r="M137" s="89"/>
      <c r="N137" s="89"/>
      <c r="O137" s="89">
        <v>2</v>
      </c>
      <c r="P137" s="89">
        <v>2</v>
      </c>
      <c r="Q137" s="89">
        <v>2</v>
      </c>
      <c r="R137" s="89">
        <v>2</v>
      </c>
      <c r="S137" s="89">
        <v>2</v>
      </c>
      <c r="T137" s="89"/>
      <c r="U137" s="89"/>
      <c r="V137" s="89">
        <v>1</v>
      </c>
      <c r="W137" s="89">
        <v>1.5</v>
      </c>
      <c r="X137" s="89">
        <v>1</v>
      </c>
      <c r="Y137" s="89">
        <v>1.5</v>
      </c>
      <c r="Z137" s="89">
        <v>1</v>
      </c>
      <c r="AA137" s="89">
        <v>1</v>
      </c>
      <c r="AB137" s="89"/>
      <c r="AC137" s="89"/>
      <c r="AD137" s="89">
        <v>1</v>
      </c>
      <c r="AE137" s="89">
        <v>1</v>
      </c>
      <c r="AF137" s="89"/>
      <c r="AG137" s="89"/>
      <c r="AH137" s="89"/>
      <c r="AI137" s="89"/>
      <c r="AJ137" s="89"/>
      <c r="AK137" s="89"/>
      <c r="AL137" s="89"/>
      <c r="AM137" s="89"/>
      <c r="AN137" s="90">
        <f t="shared" si="10"/>
        <v>27</v>
      </c>
      <c r="AO137" s="86">
        <v>220000</v>
      </c>
      <c r="AP137" s="91">
        <f t="shared" si="11"/>
        <v>5940000</v>
      </c>
    </row>
    <row r="138" spans="1:42" ht="24.9" customHeight="1" x14ac:dyDescent="0.4">
      <c r="A138" s="84">
        <v>133</v>
      </c>
      <c r="B138" s="84" t="s">
        <v>769</v>
      </c>
      <c r="C138" s="85" t="s">
        <v>799</v>
      </c>
      <c r="D138" s="36" t="s">
        <v>228</v>
      </c>
      <c r="E138" s="36" t="s">
        <v>829</v>
      </c>
      <c r="F138" s="94" t="s">
        <v>296</v>
      </c>
      <c r="G138" s="87" t="s">
        <v>769</v>
      </c>
      <c r="H138" s="88" t="s">
        <v>860</v>
      </c>
      <c r="I138" s="89">
        <v>2</v>
      </c>
      <c r="J138" s="89">
        <v>2</v>
      </c>
      <c r="K138" s="89">
        <v>2</v>
      </c>
      <c r="L138" s="89">
        <v>2</v>
      </c>
      <c r="M138" s="89"/>
      <c r="N138" s="89"/>
      <c r="O138" s="89">
        <v>2</v>
      </c>
      <c r="P138" s="89">
        <v>2</v>
      </c>
      <c r="Q138" s="89">
        <v>2</v>
      </c>
      <c r="R138" s="89">
        <v>2</v>
      </c>
      <c r="S138" s="89">
        <v>2</v>
      </c>
      <c r="T138" s="89"/>
      <c r="U138" s="89"/>
      <c r="V138" s="89">
        <v>1</v>
      </c>
      <c r="W138" s="89">
        <v>1.5</v>
      </c>
      <c r="X138" s="89">
        <v>1</v>
      </c>
      <c r="Y138" s="89">
        <v>1.5</v>
      </c>
      <c r="Z138" s="89">
        <v>1</v>
      </c>
      <c r="AA138" s="89"/>
      <c r="AB138" s="89"/>
      <c r="AC138" s="89">
        <v>1.5</v>
      </c>
      <c r="AD138" s="89">
        <v>1</v>
      </c>
      <c r="AE138" s="89">
        <v>1</v>
      </c>
      <c r="AF138" s="89"/>
      <c r="AG138" s="89"/>
      <c r="AH138" s="89"/>
      <c r="AI138" s="89"/>
      <c r="AJ138" s="89"/>
      <c r="AK138" s="89"/>
      <c r="AL138" s="89"/>
      <c r="AM138" s="89"/>
      <c r="AN138" s="90">
        <f t="shared" si="10"/>
        <v>27.5</v>
      </c>
      <c r="AO138" s="86">
        <v>210000</v>
      </c>
      <c r="AP138" s="91">
        <f t="shared" si="11"/>
        <v>5775000</v>
      </c>
    </row>
    <row r="139" spans="1:42" ht="24.9" customHeight="1" x14ac:dyDescent="0.4">
      <c r="A139" s="84">
        <v>134</v>
      </c>
      <c r="B139" s="84" t="s">
        <v>773</v>
      </c>
      <c r="C139" s="85" t="s">
        <v>803</v>
      </c>
      <c r="D139" s="36" t="s">
        <v>225</v>
      </c>
      <c r="E139" s="36" t="s">
        <v>833</v>
      </c>
      <c r="F139" s="94" t="s">
        <v>226</v>
      </c>
      <c r="G139" s="87" t="s">
        <v>773</v>
      </c>
      <c r="H139" s="88" t="s">
        <v>864</v>
      </c>
      <c r="I139" s="89">
        <v>2</v>
      </c>
      <c r="J139" s="89">
        <v>2</v>
      </c>
      <c r="K139" s="89">
        <v>2</v>
      </c>
      <c r="L139" s="89">
        <v>2</v>
      </c>
      <c r="M139" s="89"/>
      <c r="N139" s="89"/>
      <c r="O139" s="89">
        <v>2</v>
      </c>
      <c r="P139" s="89">
        <v>2</v>
      </c>
      <c r="Q139" s="89">
        <v>2</v>
      </c>
      <c r="R139" s="89"/>
      <c r="S139" s="89"/>
      <c r="T139" s="89"/>
      <c r="U139" s="89"/>
      <c r="V139" s="89">
        <v>1</v>
      </c>
      <c r="W139" s="89">
        <v>1.5</v>
      </c>
      <c r="X139" s="89">
        <v>1</v>
      </c>
      <c r="Y139" s="89">
        <v>1.5</v>
      </c>
      <c r="Z139" s="89">
        <v>1</v>
      </c>
      <c r="AA139" s="89"/>
      <c r="AB139" s="89"/>
      <c r="AC139" s="89">
        <v>1.5</v>
      </c>
      <c r="AD139" s="89">
        <v>1</v>
      </c>
      <c r="AE139" s="89">
        <v>1</v>
      </c>
      <c r="AF139" s="89"/>
      <c r="AG139" s="89"/>
      <c r="AH139" s="89"/>
      <c r="AI139" s="89"/>
      <c r="AJ139" s="89"/>
      <c r="AK139" s="89"/>
      <c r="AL139" s="89"/>
      <c r="AM139" s="89"/>
      <c r="AN139" s="90">
        <f t="shared" si="10"/>
        <v>23.5</v>
      </c>
      <c r="AO139" s="86">
        <v>160000</v>
      </c>
      <c r="AP139" s="91">
        <f t="shared" si="11"/>
        <v>3760000</v>
      </c>
    </row>
    <row r="140" spans="1:42" ht="24.9" customHeight="1" x14ac:dyDescent="0.4">
      <c r="A140" s="84">
        <v>135</v>
      </c>
      <c r="B140" s="84" t="s">
        <v>621</v>
      </c>
      <c r="C140" s="85" t="s">
        <v>666</v>
      </c>
      <c r="D140" s="36" t="s">
        <v>227</v>
      </c>
      <c r="E140" s="36" t="s">
        <v>710</v>
      </c>
      <c r="F140" s="94" t="s">
        <v>304</v>
      </c>
      <c r="G140" s="87" t="s">
        <v>621</v>
      </c>
      <c r="H140" s="88" t="s">
        <v>751</v>
      </c>
      <c r="I140" s="89">
        <v>2</v>
      </c>
      <c r="J140" s="89">
        <v>2</v>
      </c>
      <c r="K140" s="89">
        <v>2</v>
      </c>
      <c r="L140" s="89">
        <v>2</v>
      </c>
      <c r="M140" s="89"/>
      <c r="N140" s="89"/>
      <c r="O140" s="89">
        <v>2</v>
      </c>
      <c r="P140" s="89">
        <v>2</v>
      </c>
      <c r="Q140" s="89">
        <v>2</v>
      </c>
      <c r="R140" s="89">
        <v>2</v>
      </c>
      <c r="S140" s="89">
        <v>2</v>
      </c>
      <c r="T140" s="89"/>
      <c r="U140" s="89"/>
      <c r="V140" s="89">
        <v>1</v>
      </c>
      <c r="W140" s="89">
        <v>1.5</v>
      </c>
      <c r="X140" s="89">
        <v>1</v>
      </c>
      <c r="Y140" s="89">
        <v>1.5</v>
      </c>
      <c r="Z140" s="89">
        <v>1</v>
      </c>
      <c r="AA140" s="89">
        <v>1</v>
      </c>
      <c r="AB140" s="89"/>
      <c r="AC140" s="89">
        <v>1.5</v>
      </c>
      <c r="AD140" s="89">
        <v>1</v>
      </c>
      <c r="AE140" s="89">
        <v>1</v>
      </c>
      <c r="AF140" s="89"/>
      <c r="AG140" s="89"/>
      <c r="AH140" s="89"/>
      <c r="AI140" s="89"/>
      <c r="AJ140" s="89">
        <v>1</v>
      </c>
      <c r="AK140" s="89">
        <v>1.5</v>
      </c>
      <c r="AL140" s="89">
        <v>1</v>
      </c>
      <c r="AM140" s="89"/>
      <c r="AN140" s="90">
        <f t="shared" si="10"/>
        <v>32</v>
      </c>
      <c r="AO140" s="86">
        <v>240000</v>
      </c>
      <c r="AP140" s="91">
        <f t="shared" si="11"/>
        <v>7680000</v>
      </c>
    </row>
    <row r="141" spans="1:42" ht="24.9" customHeight="1" x14ac:dyDescent="0.4">
      <c r="A141" s="84">
        <v>136</v>
      </c>
      <c r="B141" s="84" t="s">
        <v>595</v>
      </c>
      <c r="C141" s="85" t="s">
        <v>640</v>
      </c>
      <c r="D141" s="36" t="s">
        <v>225</v>
      </c>
      <c r="E141" s="36" t="s">
        <v>684</v>
      </c>
      <c r="F141" s="94" t="s">
        <v>361</v>
      </c>
      <c r="G141" s="87" t="s">
        <v>595</v>
      </c>
      <c r="H141" s="88" t="s">
        <v>725</v>
      </c>
      <c r="I141" s="89">
        <v>1.5</v>
      </c>
      <c r="J141" s="89">
        <v>1.5</v>
      </c>
      <c r="K141" s="89">
        <v>1</v>
      </c>
      <c r="L141" s="89">
        <v>1</v>
      </c>
      <c r="M141" s="89">
        <v>1</v>
      </c>
      <c r="N141" s="89"/>
      <c r="O141" s="89">
        <v>1</v>
      </c>
      <c r="P141" s="89">
        <v>1.5</v>
      </c>
      <c r="Q141" s="89">
        <v>1</v>
      </c>
      <c r="R141" s="89">
        <v>1.5</v>
      </c>
      <c r="S141" s="89">
        <v>1</v>
      </c>
      <c r="T141" s="89">
        <v>1</v>
      </c>
      <c r="U141" s="89"/>
      <c r="V141" s="89">
        <v>1</v>
      </c>
      <c r="W141" s="89">
        <v>1.5</v>
      </c>
      <c r="X141" s="89">
        <v>1</v>
      </c>
      <c r="Y141" s="89">
        <v>1.5</v>
      </c>
      <c r="Z141" s="89">
        <v>1</v>
      </c>
      <c r="AA141" s="89"/>
      <c r="AB141" s="89"/>
      <c r="AC141" s="89">
        <v>1.5</v>
      </c>
      <c r="AD141" s="89">
        <v>1</v>
      </c>
      <c r="AE141" s="89">
        <v>1</v>
      </c>
      <c r="AF141" s="89"/>
      <c r="AG141" s="89"/>
      <c r="AH141" s="89"/>
      <c r="AI141" s="89"/>
      <c r="AJ141" s="89"/>
      <c r="AK141" s="89"/>
      <c r="AL141" s="89"/>
      <c r="AM141" s="89"/>
      <c r="AN141" s="90">
        <f t="shared" si="10"/>
        <v>22.5</v>
      </c>
      <c r="AO141" s="86">
        <v>160000</v>
      </c>
      <c r="AP141" s="91">
        <f t="shared" si="11"/>
        <v>3600000</v>
      </c>
    </row>
    <row r="142" spans="1:42" ht="24.9" customHeight="1" x14ac:dyDescent="0.4">
      <c r="A142" s="84">
        <v>137</v>
      </c>
      <c r="B142" s="84" t="s">
        <v>602</v>
      </c>
      <c r="C142" s="85" t="s">
        <v>647</v>
      </c>
      <c r="D142" s="36" t="s">
        <v>338</v>
      </c>
      <c r="E142" s="36" t="s">
        <v>691</v>
      </c>
      <c r="F142" s="96" t="s">
        <v>303</v>
      </c>
      <c r="G142" s="87" t="s">
        <v>602</v>
      </c>
      <c r="H142" s="88" t="s">
        <v>731</v>
      </c>
      <c r="I142" s="89">
        <v>2</v>
      </c>
      <c r="J142" s="89">
        <v>2</v>
      </c>
      <c r="K142" s="89">
        <v>2</v>
      </c>
      <c r="L142" s="89">
        <v>2</v>
      </c>
      <c r="M142" s="89"/>
      <c r="N142" s="89"/>
      <c r="O142" s="89">
        <v>2</v>
      </c>
      <c r="P142" s="89">
        <v>2</v>
      </c>
      <c r="Q142" s="89">
        <v>2</v>
      </c>
      <c r="R142" s="89">
        <v>2</v>
      </c>
      <c r="S142" s="89">
        <v>2</v>
      </c>
      <c r="T142" s="89"/>
      <c r="U142" s="89"/>
      <c r="V142" s="89">
        <v>1</v>
      </c>
      <c r="W142" s="89">
        <v>1.5</v>
      </c>
      <c r="X142" s="89">
        <v>1</v>
      </c>
      <c r="Y142" s="89">
        <v>1.5</v>
      </c>
      <c r="Z142" s="89">
        <v>1</v>
      </c>
      <c r="AA142" s="89">
        <v>1</v>
      </c>
      <c r="AB142" s="89"/>
      <c r="AC142" s="89">
        <v>1.5</v>
      </c>
      <c r="AD142" s="89">
        <v>1</v>
      </c>
      <c r="AE142" s="89">
        <v>0.5</v>
      </c>
      <c r="AF142" s="89"/>
      <c r="AG142" s="89"/>
      <c r="AH142" s="89"/>
      <c r="AI142" s="89"/>
      <c r="AJ142" s="89"/>
      <c r="AK142" s="89"/>
      <c r="AL142" s="89"/>
      <c r="AM142" s="89"/>
      <c r="AN142" s="90">
        <f t="shared" si="10"/>
        <v>28</v>
      </c>
      <c r="AO142" s="86">
        <v>210000</v>
      </c>
      <c r="AP142" s="91">
        <f t="shared" si="11"/>
        <v>5880000</v>
      </c>
    </row>
    <row r="143" spans="1:42" ht="24.9" customHeight="1" x14ac:dyDescent="0.4">
      <c r="A143" s="84">
        <v>138</v>
      </c>
      <c r="B143" s="84" t="s">
        <v>586</v>
      </c>
      <c r="C143" s="85" t="s">
        <v>630</v>
      </c>
      <c r="D143" s="36" t="s">
        <v>225</v>
      </c>
      <c r="E143" s="36" t="s">
        <v>675</v>
      </c>
      <c r="F143" s="94" t="s">
        <v>303</v>
      </c>
      <c r="G143" s="87" t="s">
        <v>586</v>
      </c>
      <c r="H143" s="88" t="s">
        <v>718</v>
      </c>
      <c r="I143" s="89">
        <v>2</v>
      </c>
      <c r="J143" s="89">
        <v>2</v>
      </c>
      <c r="K143" s="89">
        <v>2</v>
      </c>
      <c r="L143" s="89">
        <v>2</v>
      </c>
      <c r="M143" s="89"/>
      <c r="N143" s="89"/>
      <c r="O143" s="89">
        <v>2</v>
      </c>
      <c r="P143" s="89">
        <v>2</v>
      </c>
      <c r="Q143" s="89">
        <v>2</v>
      </c>
      <c r="R143" s="89">
        <v>2</v>
      </c>
      <c r="S143" s="89">
        <v>2</v>
      </c>
      <c r="T143" s="89"/>
      <c r="U143" s="89"/>
      <c r="V143" s="89">
        <v>1</v>
      </c>
      <c r="W143" s="89">
        <v>1.5</v>
      </c>
      <c r="X143" s="89">
        <v>1</v>
      </c>
      <c r="Y143" s="89">
        <v>1.5</v>
      </c>
      <c r="Z143" s="89">
        <v>1</v>
      </c>
      <c r="AA143" s="89">
        <v>1</v>
      </c>
      <c r="AB143" s="89"/>
      <c r="AC143" s="89">
        <v>1.5</v>
      </c>
      <c r="AD143" s="89">
        <v>1</v>
      </c>
      <c r="AE143" s="89">
        <v>0.5</v>
      </c>
      <c r="AF143" s="89"/>
      <c r="AG143" s="89"/>
      <c r="AH143" s="89"/>
      <c r="AI143" s="89"/>
      <c r="AJ143" s="89">
        <v>1</v>
      </c>
      <c r="AK143" s="89"/>
      <c r="AL143" s="89"/>
      <c r="AM143" s="89"/>
      <c r="AN143" s="90">
        <f t="shared" si="10"/>
        <v>29</v>
      </c>
      <c r="AO143" s="86">
        <v>160000</v>
      </c>
      <c r="AP143" s="91">
        <f t="shared" si="11"/>
        <v>4640000</v>
      </c>
    </row>
    <row r="144" spans="1:42" ht="24.9" customHeight="1" x14ac:dyDescent="0.4">
      <c r="A144" s="84">
        <v>139</v>
      </c>
      <c r="B144" s="84" t="s">
        <v>780</v>
      </c>
      <c r="C144" s="85" t="s">
        <v>810</v>
      </c>
      <c r="D144" s="128" t="s">
        <v>228</v>
      </c>
      <c r="E144" s="126" t="s">
        <v>840</v>
      </c>
      <c r="F144" s="94" t="s">
        <v>230</v>
      </c>
      <c r="G144" s="87" t="s">
        <v>780</v>
      </c>
      <c r="H144" s="88" t="s">
        <v>871</v>
      </c>
      <c r="I144" s="89">
        <v>2</v>
      </c>
      <c r="J144" s="89">
        <v>2</v>
      </c>
      <c r="K144" s="89">
        <v>2</v>
      </c>
      <c r="L144" s="89"/>
      <c r="M144" s="89"/>
      <c r="N144" s="89"/>
      <c r="O144" s="89">
        <v>2</v>
      </c>
      <c r="P144" s="89">
        <v>2</v>
      </c>
      <c r="Q144" s="89">
        <v>2</v>
      </c>
      <c r="R144" s="89">
        <v>2</v>
      </c>
      <c r="S144" s="89">
        <v>2</v>
      </c>
      <c r="T144" s="89"/>
      <c r="U144" s="89"/>
      <c r="V144" s="89">
        <v>1</v>
      </c>
      <c r="W144" s="89">
        <v>2</v>
      </c>
      <c r="X144" s="89">
        <v>2</v>
      </c>
      <c r="Y144" s="89">
        <v>2</v>
      </c>
      <c r="Z144" s="89">
        <v>2</v>
      </c>
      <c r="AA144" s="89"/>
      <c r="AB144" s="89"/>
      <c r="AC144" s="89">
        <v>2</v>
      </c>
      <c r="AD144" s="89">
        <v>2</v>
      </c>
      <c r="AE144" s="89"/>
      <c r="AF144" s="89"/>
      <c r="AG144" s="89"/>
      <c r="AH144" s="89"/>
      <c r="AI144" s="89"/>
      <c r="AJ144" s="89">
        <v>2</v>
      </c>
      <c r="AK144" s="89">
        <v>2</v>
      </c>
      <c r="AL144" s="89">
        <v>2</v>
      </c>
      <c r="AM144" s="89"/>
      <c r="AN144" s="90">
        <f t="shared" si="10"/>
        <v>35</v>
      </c>
      <c r="AO144" s="86">
        <v>230000</v>
      </c>
      <c r="AP144" s="91">
        <f t="shared" si="11"/>
        <v>8050000</v>
      </c>
    </row>
    <row r="145" spans="1:42" ht="24.9" customHeight="1" x14ac:dyDescent="0.4">
      <c r="A145" s="84">
        <v>140</v>
      </c>
      <c r="B145" s="84" t="s">
        <v>496</v>
      </c>
      <c r="C145" s="85" t="s">
        <v>516</v>
      </c>
      <c r="D145" s="36" t="s">
        <v>225</v>
      </c>
      <c r="E145" s="126" t="s">
        <v>534</v>
      </c>
      <c r="F145" s="94" t="s">
        <v>229</v>
      </c>
      <c r="G145" s="87" t="s">
        <v>496</v>
      </c>
      <c r="H145" s="88" t="s">
        <v>553</v>
      </c>
      <c r="I145" s="89">
        <v>2</v>
      </c>
      <c r="J145" s="89">
        <v>2</v>
      </c>
      <c r="K145" s="89">
        <v>2</v>
      </c>
      <c r="L145" s="89">
        <v>2</v>
      </c>
      <c r="M145" s="89"/>
      <c r="N145" s="89"/>
      <c r="O145" s="89"/>
      <c r="P145" s="89">
        <v>2</v>
      </c>
      <c r="Q145" s="89">
        <v>2</v>
      </c>
      <c r="R145" s="89">
        <v>2</v>
      </c>
      <c r="S145" s="89">
        <v>2</v>
      </c>
      <c r="T145" s="89"/>
      <c r="U145" s="89"/>
      <c r="V145" s="89">
        <v>1</v>
      </c>
      <c r="W145" s="89">
        <v>2</v>
      </c>
      <c r="X145" s="89">
        <v>2</v>
      </c>
      <c r="Y145" s="89">
        <v>2</v>
      </c>
      <c r="Z145" s="89">
        <v>2</v>
      </c>
      <c r="AA145" s="89"/>
      <c r="AB145" s="89"/>
      <c r="AC145" s="89">
        <v>2</v>
      </c>
      <c r="AD145" s="89">
        <v>2</v>
      </c>
      <c r="AE145" s="89"/>
      <c r="AF145" s="89"/>
      <c r="AG145" s="89"/>
      <c r="AH145" s="89"/>
      <c r="AI145" s="89"/>
      <c r="AJ145" s="89">
        <v>2</v>
      </c>
      <c r="AK145" s="89">
        <v>2</v>
      </c>
      <c r="AL145" s="89"/>
      <c r="AM145" s="89"/>
      <c r="AN145" s="90">
        <f t="shared" si="10"/>
        <v>33</v>
      </c>
      <c r="AO145" s="86">
        <v>170000</v>
      </c>
      <c r="AP145" s="91">
        <f t="shared" si="11"/>
        <v>5610000</v>
      </c>
    </row>
    <row r="146" spans="1:42" ht="24.9" customHeight="1" x14ac:dyDescent="0.4">
      <c r="A146" s="84">
        <v>141</v>
      </c>
      <c r="B146" s="84" t="s">
        <v>597</v>
      </c>
      <c r="C146" s="85" t="s">
        <v>642</v>
      </c>
      <c r="D146" s="36" t="s">
        <v>225</v>
      </c>
      <c r="E146" s="126" t="s">
        <v>686</v>
      </c>
      <c r="F146" s="94" t="s">
        <v>230</v>
      </c>
      <c r="G146" s="87" t="s">
        <v>597</v>
      </c>
      <c r="H146" s="88" t="s">
        <v>727</v>
      </c>
      <c r="I146" s="89"/>
      <c r="J146" s="89">
        <v>1.5</v>
      </c>
      <c r="K146" s="89">
        <v>1</v>
      </c>
      <c r="L146" s="89">
        <v>1</v>
      </c>
      <c r="M146" s="89">
        <v>1</v>
      </c>
      <c r="N146" s="89"/>
      <c r="O146" s="89">
        <v>1</v>
      </c>
      <c r="P146" s="89">
        <v>1.5</v>
      </c>
      <c r="Q146" s="89"/>
      <c r="R146" s="89">
        <v>1.5</v>
      </c>
      <c r="S146" s="89">
        <v>1</v>
      </c>
      <c r="T146" s="89">
        <v>1</v>
      </c>
      <c r="U146" s="89"/>
      <c r="V146" s="89">
        <v>1</v>
      </c>
      <c r="W146" s="89">
        <v>1.5</v>
      </c>
      <c r="X146" s="89">
        <v>1</v>
      </c>
      <c r="Y146" s="89">
        <v>1.5</v>
      </c>
      <c r="Z146" s="89">
        <v>1</v>
      </c>
      <c r="AA146" s="89">
        <v>1</v>
      </c>
      <c r="AB146" s="89"/>
      <c r="AC146" s="89">
        <v>1.5</v>
      </c>
      <c r="AD146" s="89">
        <v>1</v>
      </c>
      <c r="AE146" s="89">
        <v>1</v>
      </c>
      <c r="AF146" s="89"/>
      <c r="AG146" s="89"/>
      <c r="AH146" s="89"/>
      <c r="AI146" s="89"/>
      <c r="AJ146" s="89">
        <v>0.5</v>
      </c>
      <c r="AK146" s="89"/>
      <c r="AL146" s="89"/>
      <c r="AM146" s="89"/>
      <c r="AN146" s="90">
        <f t="shared" si="10"/>
        <v>21.5</v>
      </c>
      <c r="AO146" s="86">
        <v>160000</v>
      </c>
      <c r="AP146" s="91">
        <f t="shared" si="11"/>
        <v>3440000</v>
      </c>
    </row>
    <row r="147" spans="1:42" ht="24.9" customHeight="1" x14ac:dyDescent="0.4">
      <c r="A147" s="84">
        <v>142</v>
      </c>
      <c r="B147" s="84" t="s">
        <v>782</v>
      </c>
      <c r="C147" s="85" t="s">
        <v>812</v>
      </c>
      <c r="D147" s="36" t="s">
        <v>225</v>
      </c>
      <c r="E147" s="126" t="s">
        <v>842</v>
      </c>
      <c r="F147" s="94" t="s">
        <v>226</v>
      </c>
      <c r="G147" s="87" t="s">
        <v>782</v>
      </c>
      <c r="H147" s="88" t="s">
        <v>873</v>
      </c>
      <c r="I147" s="89">
        <v>2</v>
      </c>
      <c r="J147" s="89">
        <v>2</v>
      </c>
      <c r="K147" s="89">
        <v>2</v>
      </c>
      <c r="L147" s="89">
        <v>2</v>
      </c>
      <c r="M147" s="89"/>
      <c r="N147" s="89"/>
      <c r="O147" s="89">
        <v>2</v>
      </c>
      <c r="P147" s="89">
        <v>2</v>
      </c>
      <c r="Q147" s="89">
        <v>2</v>
      </c>
      <c r="R147" s="89">
        <v>2</v>
      </c>
      <c r="S147" s="89">
        <v>2</v>
      </c>
      <c r="T147" s="89"/>
      <c r="U147" s="89"/>
      <c r="V147" s="89">
        <v>1</v>
      </c>
      <c r="W147" s="89">
        <v>2</v>
      </c>
      <c r="X147" s="89">
        <v>2</v>
      </c>
      <c r="Y147" s="89">
        <v>2</v>
      </c>
      <c r="Z147" s="89">
        <v>2</v>
      </c>
      <c r="AA147" s="89"/>
      <c r="AB147" s="89"/>
      <c r="AC147" s="89">
        <v>2</v>
      </c>
      <c r="AD147" s="89">
        <v>2</v>
      </c>
      <c r="AE147" s="89"/>
      <c r="AF147" s="89"/>
      <c r="AG147" s="89"/>
      <c r="AH147" s="89"/>
      <c r="AI147" s="89"/>
      <c r="AJ147" s="89">
        <v>2</v>
      </c>
      <c r="AK147" s="89">
        <v>2</v>
      </c>
      <c r="AL147" s="89">
        <v>2</v>
      </c>
      <c r="AM147" s="89"/>
      <c r="AN147" s="90">
        <f t="shared" si="10"/>
        <v>37</v>
      </c>
      <c r="AO147" s="86">
        <v>170000</v>
      </c>
      <c r="AP147" s="91">
        <f t="shared" si="11"/>
        <v>6290000</v>
      </c>
    </row>
    <row r="148" spans="1:42" ht="24.9" customHeight="1" x14ac:dyDescent="0.4">
      <c r="A148" s="84">
        <v>143</v>
      </c>
      <c r="B148" s="84" t="s">
        <v>410</v>
      </c>
      <c r="C148" s="85" t="s">
        <v>411</v>
      </c>
      <c r="D148" s="36" t="s">
        <v>338</v>
      </c>
      <c r="E148" s="36" t="s">
        <v>412</v>
      </c>
      <c r="F148" s="96" t="s">
        <v>226</v>
      </c>
      <c r="G148" s="87" t="s">
        <v>410</v>
      </c>
      <c r="H148" s="88" t="s">
        <v>413</v>
      </c>
      <c r="I148" s="89">
        <v>1.5</v>
      </c>
      <c r="J148" s="89">
        <v>1.5</v>
      </c>
      <c r="K148" s="89">
        <v>1</v>
      </c>
      <c r="L148" s="89">
        <v>1</v>
      </c>
      <c r="M148" s="89">
        <v>0.5</v>
      </c>
      <c r="N148" s="89"/>
      <c r="O148" s="89"/>
      <c r="P148" s="89"/>
      <c r="Q148" s="89"/>
      <c r="R148" s="89">
        <v>1.5</v>
      </c>
      <c r="S148" s="89">
        <v>1</v>
      </c>
      <c r="T148" s="89">
        <v>1</v>
      </c>
      <c r="U148" s="89"/>
      <c r="V148" s="89">
        <v>1</v>
      </c>
      <c r="W148" s="89">
        <v>1.5</v>
      </c>
      <c r="X148" s="89">
        <v>1</v>
      </c>
      <c r="Y148" s="89">
        <v>1.5</v>
      </c>
      <c r="Z148" s="89">
        <v>1</v>
      </c>
      <c r="AA148" s="89">
        <v>1</v>
      </c>
      <c r="AB148" s="89"/>
      <c r="AC148" s="89">
        <v>0.5</v>
      </c>
      <c r="AD148" s="89">
        <v>1</v>
      </c>
      <c r="AE148" s="89">
        <v>1</v>
      </c>
      <c r="AF148" s="89"/>
      <c r="AG148" s="89"/>
      <c r="AH148" s="89"/>
      <c r="AI148" s="89"/>
      <c r="AJ148" s="89">
        <v>1</v>
      </c>
      <c r="AK148" s="89">
        <v>1.5</v>
      </c>
      <c r="AL148" s="89">
        <v>1</v>
      </c>
      <c r="AM148" s="89"/>
      <c r="AN148" s="90">
        <f t="shared" si="10"/>
        <v>22</v>
      </c>
      <c r="AO148" s="86">
        <v>190000</v>
      </c>
      <c r="AP148" s="91">
        <f t="shared" si="11"/>
        <v>4180000</v>
      </c>
    </row>
    <row r="149" spans="1:42" ht="24.9" customHeight="1" thickBot="1" x14ac:dyDescent="0.45">
      <c r="A149" s="84">
        <v>144</v>
      </c>
      <c r="B149" s="84" t="s">
        <v>779</v>
      </c>
      <c r="C149" s="85" t="s">
        <v>809</v>
      </c>
      <c r="D149" s="36" t="s">
        <v>225</v>
      </c>
      <c r="E149" s="36" t="s">
        <v>839</v>
      </c>
      <c r="F149" s="94" t="s">
        <v>229</v>
      </c>
      <c r="G149" s="87" t="s">
        <v>779</v>
      </c>
      <c r="H149" s="88" t="s">
        <v>870</v>
      </c>
      <c r="I149" s="89">
        <v>2</v>
      </c>
      <c r="J149" s="89">
        <v>2</v>
      </c>
      <c r="K149" s="89">
        <v>2</v>
      </c>
      <c r="L149" s="89">
        <v>2</v>
      </c>
      <c r="M149" s="89"/>
      <c r="N149" s="89"/>
      <c r="O149" s="89">
        <v>2</v>
      </c>
      <c r="P149" s="89">
        <v>2</v>
      </c>
      <c r="Q149" s="89"/>
      <c r="R149" s="89"/>
      <c r="S149" s="89"/>
      <c r="T149" s="89"/>
      <c r="U149" s="89"/>
      <c r="V149" s="89">
        <v>1</v>
      </c>
      <c r="W149" s="89">
        <v>2</v>
      </c>
      <c r="X149" s="89"/>
      <c r="Y149" s="89">
        <v>2</v>
      </c>
      <c r="Z149" s="89">
        <v>2</v>
      </c>
      <c r="AA149" s="89"/>
      <c r="AB149" s="89"/>
      <c r="AC149" s="89">
        <v>2</v>
      </c>
      <c r="AD149" s="89">
        <v>2</v>
      </c>
      <c r="AE149" s="89"/>
      <c r="AF149" s="89"/>
      <c r="AG149" s="89"/>
      <c r="AH149" s="89"/>
      <c r="AI149" s="89"/>
      <c r="AJ149" s="89">
        <v>2</v>
      </c>
      <c r="AK149" s="89">
        <v>2</v>
      </c>
      <c r="AL149" s="89">
        <v>2</v>
      </c>
      <c r="AM149" s="89"/>
      <c r="AN149" s="90">
        <f t="shared" si="10"/>
        <v>29</v>
      </c>
      <c r="AO149" s="86">
        <v>170000</v>
      </c>
      <c r="AP149" s="91">
        <f t="shared" si="11"/>
        <v>4930000</v>
      </c>
    </row>
    <row r="150" spans="1:42" ht="30" customHeight="1" thickBot="1" x14ac:dyDescent="0.45">
      <c r="A150" s="266" t="s">
        <v>210</v>
      </c>
      <c r="B150" s="267"/>
      <c r="C150" s="267"/>
      <c r="D150" s="267"/>
      <c r="E150" s="267"/>
      <c r="F150" s="267"/>
      <c r="G150" s="267"/>
      <c r="H150" s="268"/>
      <c r="I150" s="97">
        <f t="shared" ref="I150:AL150" si="12">SUM(I6:I149)</f>
        <v>255.125</v>
      </c>
      <c r="J150" s="97">
        <f t="shared" si="12"/>
        <v>254.875</v>
      </c>
      <c r="K150" s="97">
        <f t="shared" si="12"/>
        <v>238.5</v>
      </c>
      <c r="L150" s="97">
        <f t="shared" si="12"/>
        <v>233.375</v>
      </c>
      <c r="M150" s="97">
        <f t="shared" si="12"/>
        <v>37.25</v>
      </c>
      <c r="N150" s="97">
        <f t="shared" si="12"/>
        <v>0</v>
      </c>
      <c r="O150" s="97">
        <f t="shared" si="12"/>
        <v>221</v>
      </c>
      <c r="P150" s="97">
        <f t="shared" si="12"/>
        <v>243</v>
      </c>
      <c r="Q150" s="97">
        <f t="shared" si="12"/>
        <v>220.75</v>
      </c>
      <c r="R150" s="97">
        <f t="shared" si="12"/>
        <v>230.125</v>
      </c>
      <c r="S150" s="97">
        <f t="shared" si="12"/>
        <v>201.375</v>
      </c>
      <c r="T150" s="97">
        <f t="shared" si="12"/>
        <v>33.0625</v>
      </c>
      <c r="U150" s="97">
        <f t="shared" si="12"/>
        <v>0</v>
      </c>
      <c r="V150" s="97">
        <f t="shared" si="12"/>
        <v>111.5</v>
      </c>
      <c r="W150" s="97">
        <f t="shared" si="12"/>
        <v>184.5</v>
      </c>
      <c r="X150" s="97">
        <f t="shared" si="12"/>
        <v>143.25</v>
      </c>
      <c r="Y150" s="97">
        <f t="shared" si="12"/>
        <v>184</v>
      </c>
      <c r="Z150" s="97">
        <f t="shared" si="12"/>
        <v>163.375</v>
      </c>
      <c r="AA150" s="97">
        <f t="shared" si="12"/>
        <v>48.6875</v>
      </c>
      <c r="AB150" s="97">
        <f t="shared" si="12"/>
        <v>0</v>
      </c>
      <c r="AC150" s="97">
        <f t="shared" si="12"/>
        <v>186.875</v>
      </c>
      <c r="AD150" s="97">
        <f t="shared" si="12"/>
        <v>161</v>
      </c>
      <c r="AE150" s="97">
        <f t="shared" si="12"/>
        <v>50.5</v>
      </c>
      <c r="AF150" s="97">
        <f t="shared" si="12"/>
        <v>0</v>
      </c>
      <c r="AG150" s="97">
        <f t="shared" si="12"/>
        <v>0</v>
      </c>
      <c r="AH150" s="97">
        <f t="shared" si="12"/>
        <v>0</v>
      </c>
      <c r="AI150" s="97">
        <f t="shared" si="12"/>
        <v>0</v>
      </c>
      <c r="AJ150" s="97">
        <f t="shared" si="12"/>
        <v>153.25</v>
      </c>
      <c r="AK150" s="97">
        <f t="shared" si="12"/>
        <v>174</v>
      </c>
      <c r="AL150" s="97">
        <f t="shared" si="12"/>
        <v>163.5</v>
      </c>
      <c r="AM150" s="97">
        <f>SUM(AM10:AM149)</f>
        <v>0</v>
      </c>
      <c r="AN150" s="172">
        <f>SUM(AN6:AN149)</f>
        <v>3892.875</v>
      </c>
      <c r="AO150" s="100">
        <f>AVERAGE(AO6:AO149)</f>
        <v>196527.77777777778</v>
      </c>
      <c r="AP150" s="101">
        <f>SUM(AP6:AP149)</f>
        <v>766965000</v>
      </c>
    </row>
    <row r="151" spans="1:42" ht="24.9" hidden="1" customHeight="1" x14ac:dyDescent="0.4">
      <c r="A151" s="84">
        <v>1</v>
      </c>
      <c r="B151" s="84"/>
      <c r="C151" s="85"/>
      <c r="D151" s="95"/>
      <c r="E151" s="85"/>
      <c r="F151" s="86"/>
      <c r="G151" s="87"/>
      <c r="H151" s="88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90">
        <f>SUM(I151:AM151)</f>
        <v>0</v>
      </c>
      <c r="AO151" s="86"/>
      <c r="AP151" s="91">
        <f>AN151*AO151</f>
        <v>0</v>
      </c>
    </row>
    <row r="152" spans="1:42" ht="24.9" hidden="1" customHeight="1" x14ac:dyDescent="0.4">
      <c r="A152" s="92">
        <v>2</v>
      </c>
      <c r="B152" s="84"/>
      <c r="C152" s="85"/>
      <c r="D152" s="95"/>
      <c r="E152" s="85"/>
      <c r="F152" s="94"/>
      <c r="G152" s="87"/>
      <c r="H152" s="88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90">
        <f t="shared" ref="AN152:AN154" si="13">SUM(I152:AM152)</f>
        <v>0</v>
      </c>
      <c r="AO152" s="86"/>
      <c r="AP152" s="91">
        <f t="shared" ref="AP152:AP154" si="14">AN152*AO152</f>
        <v>0</v>
      </c>
    </row>
    <row r="153" spans="1:42" ht="24.9" hidden="1" customHeight="1" x14ac:dyDescent="0.4">
      <c r="A153" s="92">
        <v>3</v>
      </c>
      <c r="B153" s="84"/>
      <c r="C153" s="85"/>
      <c r="D153" s="93"/>
      <c r="E153" s="85"/>
      <c r="F153" s="94"/>
      <c r="G153" s="87"/>
      <c r="H153" s="88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90">
        <f t="shared" si="13"/>
        <v>0</v>
      </c>
      <c r="AO153" s="86"/>
      <c r="AP153" s="91">
        <f t="shared" si="14"/>
        <v>0</v>
      </c>
    </row>
    <row r="154" spans="1:42" ht="24.9" hidden="1" customHeight="1" x14ac:dyDescent="0.4">
      <c r="A154" s="92">
        <v>4</v>
      </c>
      <c r="B154" s="84"/>
      <c r="C154" s="85"/>
      <c r="D154" s="93"/>
      <c r="E154" s="85"/>
      <c r="F154" s="94"/>
      <c r="G154" s="87"/>
      <c r="H154" s="88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90">
        <f t="shared" si="13"/>
        <v>0</v>
      </c>
      <c r="AO154" s="86"/>
      <c r="AP154" s="91">
        <f t="shared" si="14"/>
        <v>0</v>
      </c>
    </row>
    <row r="155" spans="1:42" ht="24.9" hidden="1" customHeight="1" x14ac:dyDescent="0.4">
      <c r="A155" s="92">
        <v>5</v>
      </c>
      <c r="B155" s="84"/>
      <c r="C155" s="85"/>
      <c r="D155" s="95"/>
      <c r="E155" s="85"/>
      <c r="F155" s="86"/>
      <c r="G155" s="87"/>
      <c r="H155" s="88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90">
        <f>SUM(I155:AM155)</f>
        <v>0</v>
      </c>
      <c r="AO155" s="86"/>
      <c r="AP155" s="91">
        <f>AN155*AO155</f>
        <v>0</v>
      </c>
    </row>
    <row r="156" spans="1:42" ht="24.9" hidden="1" customHeight="1" x14ac:dyDescent="0.4">
      <c r="A156" s="92">
        <v>6</v>
      </c>
      <c r="B156" s="84"/>
      <c r="C156" s="85"/>
      <c r="D156" s="95"/>
      <c r="E156" s="85"/>
      <c r="F156" s="94"/>
      <c r="G156" s="87"/>
      <c r="H156" s="88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90">
        <f t="shared" ref="AN156:AN158" si="15">SUM(I156:AM156)</f>
        <v>0</v>
      </c>
      <c r="AO156" s="86"/>
      <c r="AP156" s="91">
        <f t="shared" ref="AP156:AP158" si="16">AN156*AO156</f>
        <v>0</v>
      </c>
    </row>
    <row r="157" spans="1:42" ht="24.9" hidden="1" customHeight="1" x14ac:dyDescent="0.4">
      <c r="A157" s="92">
        <v>7</v>
      </c>
      <c r="B157" s="84"/>
      <c r="C157" s="85"/>
      <c r="D157" s="93"/>
      <c r="E157" s="85"/>
      <c r="F157" s="94"/>
      <c r="G157" s="87"/>
      <c r="H157" s="88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90">
        <f t="shared" si="15"/>
        <v>0</v>
      </c>
      <c r="AO157" s="86"/>
      <c r="AP157" s="91">
        <f t="shared" si="16"/>
        <v>0</v>
      </c>
    </row>
    <row r="158" spans="1:42" ht="24.9" hidden="1" customHeight="1" x14ac:dyDescent="0.4">
      <c r="A158" s="92">
        <v>8</v>
      </c>
      <c r="B158" s="84"/>
      <c r="C158" s="85"/>
      <c r="D158" s="93"/>
      <c r="E158" s="85"/>
      <c r="F158" s="94"/>
      <c r="G158" s="87"/>
      <c r="H158" s="88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90">
        <f t="shared" si="15"/>
        <v>0</v>
      </c>
      <c r="AO158" s="86"/>
      <c r="AP158" s="91">
        <f t="shared" si="16"/>
        <v>0</v>
      </c>
    </row>
    <row r="159" spans="1:42" ht="24.9" hidden="1" customHeight="1" x14ac:dyDescent="0.4">
      <c r="A159" s="92">
        <v>9</v>
      </c>
      <c r="B159" s="84"/>
      <c r="C159" s="85"/>
      <c r="D159" s="95"/>
      <c r="E159" s="85"/>
      <c r="F159" s="94"/>
      <c r="G159" s="87"/>
      <c r="H159" s="88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90">
        <f t="shared" ref="AN159:AN161" si="17">SUM(I159:AM159)</f>
        <v>0</v>
      </c>
      <c r="AO159" s="86"/>
      <c r="AP159" s="91">
        <f t="shared" ref="AP159:AP161" si="18">AN159*AO159</f>
        <v>0</v>
      </c>
    </row>
    <row r="160" spans="1:42" ht="24.9" hidden="1" customHeight="1" x14ac:dyDescent="0.4">
      <c r="A160" s="92">
        <v>10</v>
      </c>
      <c r="B160" s="84"/>
      <c r="C160" s="85"/>
      <c r="D160" s="93"/>
      <c r="E160" s="85"/>
      <c r="F160" s="94"/>
      <c r="G160" s="87"/>
      <c r="H160" s="88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90">
        <f t="shared" si="17"/>
        <v>0</v>
      </c>
      <c r="AO160" s="86"/>
      <c r="AP160" s="91">
        <f t="shared" si="18"/>
        <v>0</v>
      </c>
    </row>
    <row r="161" spans="1:42" ht="24.9" hidden="1" customHeight="1" thickBot="1" x14ac:dyDescent="0.45">
      <c r="A161" s="92">
        <v>11</v>
      </c>
      <c r="B161" s="84"/>
      <c r="C161" s="85"/>
      <c r="D161" s="93"/>
      <c r="E161" s="85"/>
      <c r="F161" s="94"/>
      <c r="G161" s="87"/>
      <c r="H161" s="88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90">
        <f t="shared" si="17"/>
        <v>0</v>
      </c>
      <c r="AO161" s="86"/>
      <c r="AP161" s="91">
        <f t="shared" si="18"/>
        <v>0</v>
      </c>
    </row>
    <row r="162" spans="1:42" ht="30" hidden="1" customHeight="1" thickBot="1" x14ac:dyDescent="0.45">
      <c r="A162" s="266" t="s">
        <v>476</v>
      </c>
      <c r="B162" s="267"/>
      <c r="C162" s="267"/>
      <c r="D162" s="267"/>
      <c r="E162" s="267"/>
      <c r="F162" s="267"/>
      <c r="G162" s="267"/>
      <c r="H162" s="268"/>
      <c r="I162" s="97">
        <f>SUM(I151:I161)</f>
        <v>0</v>
      </c>
      <c r="J162" s="97">
        <f t="shared" ref="J162:AL162" si="19">SUM(J151:J161)</f>
        <v>0</v>
      </c>
      <c r="K162" s="97">
        <f t="shared" si="19"/>
        <v>0</v>
      </c>
      <c r="L162" s="97">
        <f t="shared" si="19"/>
        <v>0</v>
      </c>
      <c r="M162" s="97">
        <f t="shared" si="19"/>
        <v>0</v>
      </c>
      <c r="N162" s="97">
        <f t="shared" si="19"/>
        <v>0</v>
      </c>
      <c r="O162" s="97">
        <f t="shared" si="19"/>
        <v>0</v>
      </c>
      <c r="P162" s="97">
        <f t="shared" si="19"/>
        <v>0</v>
      </c>
      <c r="Q162" s="97">
        <f t="shared" si="19"/>
        <v>0</v>
      </c>
      <c r="R162" s="97">
        <f t="shared" si="19"/>
        <v>0</v>
      </c>
      <c r="S162" s="97">
        <f t="shared" si="19"/>
        <v>0</v>
      </c>
      <c r="T162" s="97">
        <f t="shared" si="19"/>
        <v>0</v>
      </c>
      <c r="U162" s="97">
        <f t="shared" si="19"/>
        <v>0</v>
      </c>
      <c r="V162" s="97">
        <f t="shared" si="19"/>
        <v>0</v>
      </c>
      <c r="W162" s="97">
        <f t="shared" si="19"/>
        <v>0</v>
      </c>
      <c r="X162" s="97">
        <f t="shared" si="19"/>
        <v>0</v>
      </c>
      <c r="Y162" s="97">
        <f t="shared" si="19"/>
        <v>0</v>
      </c>
      <c r="Z162" s="97">
        <f t="shared" si="19"/>
        <v>0</v>
      </c>
      <c r="AA162" s="97">
        <f t="shared" si="19"/>
        <v>0</v>
      </c>
      <c r="AB162" s="97">
        <f t="shared" si="19"/>
        <v>0</v>
      </c>
      <c r="AC162" s="97">
        <f t="shared" si="19"/>
        <v>0</v>
      </c>
      <c r="AD162" s="97">
        <f t="shared" si="19"/>
        <v>0</v>
      </c>
      <c r="AE162" s="97">
        <f t="shared" si="19"/>
        <v>0</v>
      </c>
      <c r="AF162" s="97">
        <f t="shared" si="19"/>
        <v>0</v>
      </c>
      <c r="AG162" s="97">
        <f t="shared" si="19"/>
        <v>0</v>
      </c>
      <c r="AH162" s="97">
        <f t="shared" si="19"/>
        <v>0</v>
      </c>
      <c r="AI162" s="97">
        <f t="shared" si="19"/>
        <v>0</v>
      </c>
      <c r="AJ162" s="97">
        <f t="shared" si="19"/>
        <v>0</v>
      </c>
      <c r="AK162" s="97">
        <f t="shared" si="19"/>
        <v>0</v>
      </c>
      <c r="AL162" s="97">
        <f t="shared" si="19"/>
        <v>0</v>
      </c>
      <c r="AM162" s="98">
        <f>SUM(AM151:AM161)</f>
        <v>0</v>
      </c>
      <c r="AN162" s="99">
        <f>SUM(AN151:AN161)</f>
        <v>0</v>
      </c>
      <c r="AO162" s="100"/>
      <c r="AP162" s="101">
        <f>SUM(AP151:AP161)</f>
        <v>0</v>
      </c>
    </row>
    <row r="163" spans="1:42" ht="35.1" hidden="1" customHeight="1" thickBot="1" x14ac:dyDescent="0.45">
      <c r="A163" s="269" t="s">
        <v>231</v>
      </c>
      <c r="B163" s="270"/>
      <c r="C163" s="270"/>
      <c r="D163" s="270"/>
      <c r="E163" s="270"/>
      <c r="F163" s="270"/>
      <c r="G163" s="270"/>
      <c r="H163" s="271"/>
      <c r="I163" s="102">
        <f t="shared" ref="I163:AP163" si="20">I150+I162</f>
        <v>255.125</v>
      </c>
      <c r="J163" s="103">
        <f t="shared" si="20"/>
        <v>254.875</v>
      </c>
      <c r="K163" s="103">
        <f t="shared" si="20"/>
        <v>238.5</v>
      </c>
      <c r="L163" s="103">
        <f t="shared" si="20"/>
        <v>233.375</v>
      </c>
      <c r="M163" s="103">
        <f t="shared" si="20"/>
        <v>37.25</v>
      </c>
      <c r="N163" s="103">
        <f t="shared" si="20"/>
        <v>0</v>
      </c>
      <c r="O163" s="103">
        <f t="shared" si="20"/>
        <v>221</v>
      </c>
      <c r="P163" s="103">
        <f t="shared" si="20"/>
        <v>243</v>
      </c>
      <c r="Q163" s="103">
        <f t="shared" si="20"/>
        <v>220.75</v>
      </c>
      <c r="R163" s="103">
        <f t="shared" si="20"/>
        <v>230.125</v>
      </c>
      <c r="S163" s="103">
        <f t="shared" si="20"/>
        <v>201.375</v>
      </c>
      <c r="T163" s="103">
        <f t="shared" si="20"/>
        <v>33.0625</v>
      </c>
      <c r="U163" s="103">
        <f t="shared" si="20"/>
        <v>0</v>
      </c>
      <c r="V163" s="103">
        <f t="shared" si="20"/>
        <v>111.5</v>
      </c>
      <c r="W163" s="103">
        <f t="shared" si="20"/>
        <v>184.5</v>
      </c>
      <c r="X163" s="103">
        <f t="shared" si="20"/>
        <v>143.25</v>
      </c>
      <c r="Y163" s="103">
        <f t="shared" si="20"/>
        <v>184</v>
      </c>
      <c r="Z163" s="103">
        <f t="shared" si="20"/>
        <v>163.375</v>
      </c>
      <c r="AA163" s="103">
        <f t="shared" si="20"/>
        <v>48.6875</v>
      </c>
      <c r="AB163" s="103">
        <f t="shared" si="20"/>
        <v>0</v>
      </c>
      <c r="AC163" s="103">
        <f t="shared" si="20"/>
        <v>186.875</v>
      </c>
      <c r="AD163" s="103">
        <f t="shared" si="20"/>
        <v>161</v>
      </c>
      <c r="AE163" s="103">
        <f t="shared" si="20"/>
        <v>50.5</v>
      </c>
      <c r="AF163" s="103">
        <f t="shared" si="20"/>
        <v>0</v>
      </c>
      <c r="AG163" s="103">
        <f t="shared" si="20"/>
        <v>0</v>
      </c>
      <c r="AH163" s="103">
        <f t="shared" si="20"/>
        <v>0</v>
      </c>
      <c r="AI163" s="103">
        <f t="shared" si="20"/>
        <v>0</v>
      </c>
      <c r="AJ163" s="103">
        <f t="shared" si="20"/>
        <v>153.25</v>
      </c>
      <c r="AK163" s="103">
        <f t="shared" si="20"/>
        <v>174</v>
      </c>
      <c r="AL163" s="103">
        <f t="shared" si="20"/>
        <v>163.5</v>
      </c>
      <c r="AM163" s="103">
        <f t="shared" si="20"/>
        <v>0</v>
      </c>
      <c r="AN163" s="104">
        <f t="shared" si="20"/>
        <v>3892.875</v>
      </c>
      <c r="AO163" s="105">
        <f t="shared" si="20"/>
        <v>196527.77777777778</v>
      </c>
      <c r="AP163" s="106">
        <f t="shared" si="20"/>
        <v>766965000</v>
      </c>
    </row>
    <row r="164" spans="1:42" x14ac:dyDescent="0.4">
      <c r="G164" s="73"/>
      <c r="H164" s="73"/>
      <c r="AG164" s="107"/>
      <c r="AI164" s="108"/>
      <c r="AO164" s="73"/>
    </row>
    <row r="165" spans="1:42" x14ac:dyDescent="0.4">
      <c r="G165" s="73"/>
      <c r="H165" s="73"/>
      <c r="AG165" s="107"/>
      <c r="AI165" s="108"/>
      <c r="AO165" s="122"/>
    </row>
    <row r="166" spans="1:42" x14ac:dyDescent="0.4">
      <c r="G166" s="73"/>
      <c r="H166" s="73"/>
      <c r="AG166" s="107"/>
      <c r="AI166" s="108"/>
      <c r="AO166" s="73"/>
    </row>
    <row r="167" spans="1:42" x14ac:dyDescent="0.4">
      <c r="G167" s="73"/>
      <c r="H167" s="73"/>
      <c r="AG167" s="107"/>
      <c r="AI167" s="108"/>
      <c r="AO167" s="73"/>
    </row>
    <row r="168" spans="1:42" x14ac:dyDescent="0.4">
      <c r="G168" s="73"/>
      <c r="H168" s="73"/>
      <c r="AI168" s="107"/>
      <c r="AM168" s="108"/>
      <c r="AO168" s="73"/>
    </row>
    <row r="169" spans="1:42" x14ac:dyDescent="0.4">
      <c r="G169" s="73"/>
      <c r="H169" s="73"/>
      <c r="AI169" s="107"/>
      <c r="AJ169" s="107"/>
      <c r="AM169" s="108"/>
      <c r="AO169" s="73"/>
    </row>
    <row r="170" spans="1:42" x14ac:dyDescent="0.4">
      <c r="G170" s="73"/>
      <c r="H170" s="73"/>
      <c r="AJ170" s="107"/>
      <c r="AK170" s="107"/>
      <c r="AL170" s="107"/>
      <c r="AO170" s="73"/>
    </row>
    <row r="171" spans="1:42" x14ac:dyDescent="0.4">
      <c r="G171" s="73"/>
      <c r="H171" s="73"/>
      <c r="AJ171" s="107"/>
      <c r="AK171" s="107"/>
      <c r="AL171" s="107"/>
      <c r="AO171" s="73"/>
    </row>
    <row r="172" spans="1:42" x14ac:dyDescent="0.4">
      <c r="G172" s="73"/>
      <c r="H172" s="73"/>
      <c r="AJ172" s="107"/>
      <c r="AK172" s="107"/>
      <c r="AL172" s="107"/>
      <c r="AO172" s="73"/>
    </row>
    <row r="173" spans="1:42" x14ac:dyDescent="0.4">
      <c r="G173" s="73"/>
      <c r="H173" s="73"/>
      <c r="AK173" s="107"/>
      <c r="AL173" s="107"/>
      <c r="AO173" s="73"/>
    </row>
    <row r="174" spans="1:42" x14ac:dyDescent="0.4">
      <c r="C174" s="74"/>
      <c r="D174" s="74"/>
      <c r="E174" s="74"/>
      <c r="G174" s="73"/>
      <c r="H174" s="73"/>
      <c r="AN174" s="108"/>
      <c r="AO174" s="73"/>
    </row>
    <row r="175" spans="1:42" x14ac:dyDescent="0.4">
      <c r="C175" s="74"/>
      <c r="D175" s="74"/>
      <c r="E175" s="74"/>
      <c r="G175" s="73"/>
      <c r="H175" s="73"/>
      <c r="AN175" s="108"/>
      <c r="AO175" s="73"/>
    </row>
    <row r="176" spans="1:42" x14ac:dyDescent="0.4">
      <c r="C176" s="74"/>
      <c r="D176" s="74"/>
      <c r="E176" s="74"/>
      <c r="G176" s="73"/>
      <c r="H176" s="73"/>
      <c r="AN176" s="108"/>
      <c r="AO176" s="73"/>
    </row>
    <row r="177" spans="3:41" x14ac:dyDescent="0.4">
      <c r="C177" s="74"/>
      <c r="D177" s="74"/>
      <c r="E177" s="74"/>
      <c r="G177" s="73"/>
      <c r="H177" s="73"/>
      <c r="AN177" s="108"/>
      <c r="AO177" s="73"/>
    </row>
    <row r="178" spans="3:41" x14ac:dyDescent="0.4">
      <c r="C178" s="74"/>
      <c r="D178" s="74"/>
      <c r="E178" s="74"/>
      <c r="G178" s="73"/>
      <c r="H178" s="73"/>
      <c r="AN178" s="108"/>
      <c r="AO178" s="73"/>
    </row>
    <row r="179" spans="3:41" x14ac:dyDescent="0.4">
      <c r="E179" s="74"/>
      <c r="F179" s="74"/>
      <c r="G179" s="73"/>
      <c r="H179" s="73"/>
      <c r="AO179" s="108"/>
    </row>
    <row r="180" spans="3:41" x14ac:dyDescent="0.4">
      <c r="E180" s="74"/>
      <c r="F180" s="74"/>
      <c r="G180" s="73"/>
      <c r="H180" s="73"/>
      <c r="AO180" s="108"/>
    </row>
    <row r="181" spans="3:41" x14ac:dyDescent="0.4">
      <c r="E181" s="74"/>
      <c r="F181" s="74"/>
      <c r="G181" s="73"/>
      <c r="H181" s="73"/>
      <c r="AO181" s="108"/>
    </row>
    <row r="182" spans="3:41" x14ac:dyDescent="0.4">
      <c r="E182" s="74"/>
      <c r="F182" s="74"/>
      <c r="G182" s="73"/>
      <c r="H182" s="73"/>
      <c r="AO182" s="108"/>
    </row>
    <row r="183" spans="3:41" x14ac:dyDescent="0.4">
      <c r="E183" s="74"/>
      <c r="F183" s="74"/>
      <c r="G183" s="73"/>
      <c r="H183" s="73"/>
      <c r="AO183" s="108"/>
    </row>
    <row r="184" spans="3:41" x14ac:dyDescent="0.4">
      <c r="E184" s="74"/>
      <c r="F184" s="74"/>
      <c r="G184" s="73"/>
      <c r="H184" s="73"/>
      <c r="AO184" s="108"/>
    </row>
    <row r="185" spans="3:41" x14ac:dyDescent="0.4">
      <c r="E185" s="74"/>
      <c r="F185" s="74"/>
      <c r="G185" s="73"/>
      <c r="H185" s="73"/>
      <c r="AO185" s="108"/>
    </row>
    <row r="186" spans="3:41" x14ac:dyDescent="0.4">
      <c r="E186" s="74"/>
      <c r="F186" s="74"/>
      <c r="G186" s="73"/>
      <c r="H186" s="73"/>
      <c r="AO186" s="108"/>
    </row>
    <row r="187" spans="3:41" x14ac:dyDescent="0.4">
      <c r="E187" s="74"/>
      <c r="F187" s="74"/>
      <c r="G187" s="73"/>
      <c r="H187" s="73"/>
      <c r="AO187" s="108"/>
    </row>
    <row r="188" spans="3:41" x14ac:dyDescent="0.4">
      <c r="E188" s="74"/>
      <c r="F188" s="74"/>
      <c r="G188" s="73"/>
      <c r="H188" s="73"/>
      <c r="AO188" s="108"/>
    </row>
    <row r="189" spans="3:41" x14ac:dyDescent="0.4">
      <c r="E189" s="74"/>
      <c r="F189" s="74"/>
      <c r="G189" s="73"/>
      <c r="H189" s="73"/>
      <c r="AO189" s="108"/>
    </row>
    <row r="190" spans="3:41" x14ac:dyDescent="0.4">
      <c r="E190" s="74"/>
      <c r="F190" s="74"/>
      <c r="G190" s="73"/>
      <c r="H190" s="73"/>
      <c r="AO190" s="108"/>
    </row>
    <row r="191" spans="3:41" x14ac:dyDescent="0.4">
      <c r="E191" s="74"/>
      <c r="F191" s="74"/>
      <c r="G191" s="73"/>
      <c r="H191" s="73"/>
      <c r="AO191" s="108"/>
    </row>
    <row r="192" spans="3:41" x14ac:dyDescent="0.4">
      <c r="E192" s="74"/>
      <c r="F192" s="74"/>
      <c r="G192" s="73"/>
      <c r="H192" s="73"/>
      <c r="AO192" s="108"/>
    </row>
    <row r="193" spans="5:42" x14ac:dyDescent="0.4">
      <c r="E193" s="74"/>
      <c r="F193" s="74"/>
      <c r="G193" s="73"/>
      <c r="H193" s="73"/>
      <c r="AO193" s="108"/>
    </row>
    <row r="194" spans="5:42" x14ac:dyDescent="0.4">
      <c r="E194" s="74"/>
      <c r="F194" s="74"/>
      <c r="G194" s="73"/>
      <c r="H194" s="73"/>
      <c r="AO194" s="108"/>
    </row>
    <row r="195" spans="5:42" x14ac:dyDescent="0.4">
      <c r="E195" s="74"/>
      <c r="F195" s="74"/>
      <c r="G195" s="73"/>
      <c r="H195" s="73"/>
      <c r="AO195" s="108"/>
    </row>
    <row r="196" spans="5:42" x14ac:dyDescent="0.4">
      <c r="E196" s="74"/>
      <c r="F196" s="74"/>
      <c r="G196" s="73"/>
      <c r="H196" s="73"/>
      <c r="AO196" s="108"/>
    </row>
    <row r="197" spans="5:42" x14ac:dyDescent="0.4">
      <c r="E197" s="74"/>
      <c r="F197" s="74"/>
      <c r="G197" s="73"/>
      <c r="H197" s="73"/>
      <c r="AO197" s="108"/>
    </row>
    <row r="198" spans="5:42" x14ac:dyDescent="0.4">
      <c r="E198" s="74"/>
      <c r="F198" s="74"/>
      <c r="G198" s="73"/>
      <c r="H198" s="73"/>
      <c r="AO198" s="108"/>
    </row>
    <row r="199" spans="5:42" x14ac:dyDescent="0.4">
      <c r="E199" s="74"/>
      <c r="F199" s="74"/>
      <c r="G199" s="73"/>
      <c r="H199" s="73"/>
      <c r="AO199" s="108"/>
    </row>
    <row r="200" spans="5:42" x14ac:dyDescent="0.4">
      <c r="E200" s="74"/>
      <c r="F200" s="74"/>
      <c r="G200" s="73"/>
      <c r="H200" s="73"/>
      <c r="AO200" s="108"/>
    </row>
    <row r="201" spans="5:42" x14ac:dyDescent="0.4">
      <c r="E201" s="74"/>
      <c r="F201" s="74"/>
      <c r="G201" s="73"/>
      <c r="H201" s="73"/>
      <c r="AO201" s="108"/>
    </row>
    <row r="202" spans="5:42" x14ac:dyDescent="0.4">
      <c r="E202" s="74"/>
      <c r="F202" s="74"/>
      <c r="G202" s="73"/>
      <c r="H202" s="73"/>
      <c r="AO202" s="108"/>
    </row>
    <row r="203" spans="5:42" x14ac:dyDescent="0.4">
      <c r="F203" s="74"/>
      <c r="H203" s="73"/>
      <c r="AN203" s="107"/>
      <c r="AO203" s="73"/>
      <c r="AP203" s="110"/>
    </row>
    <row r="204" spans="5:42" x14ac:dyDescent="0.4">
      <c r="F204" s="74"/>
      <c r="H204" s="73"/>
      <c r="AN204" s="107"/>
      <c r="AO204" s="73"/>
      <c r="AP204" s="110"/>
    </row>
    <row r="205" spans="5:42" x14ac:dyDescent="0.4">
      <c r="F205" s="74"/>
      <c r="H205" s="73"/>
      <c r="AN205" s="107"/>
      <c r="AO205" s="73"/>
      <c r="AP205" s="110"/>
    </row>
    <row r="206" spans="5:42" x14ac:dyDescent="0.4">
      <c r="F206" s="74"/>
      <c r="H206" s="73"/>
      <c r="AN206" s="107"/>
      <c r="AO206" s="73"/>
      <c r="AP206" s="110"/>
    </row>
    <row r="207" spans="5:42" x14ac:dyDescent="0.4">
      <c r="F207" s="74"/>
      <c r="H207" s="73"/>
      <c r="AN207" s="107"/>
      <c r="AO207" s="73"/>
      <c r="AP207" s="110"/>
    </row>
    <row r="208" spans="5:42" x14ac:dyDescent="0.4">
      <c r="F208" s="74"/>
      <c r="H208" s="73"/>
      <c r="AN208" s="107"/>
      <c r="AO208" s="73"/>
      <c r="AP208" s="110"/>
    </row>
    <row r="209" spans="6:42" x14ac:dyDescent="0.4">
      <c r="F209" s="74"/>
      <c r="H209" s="73"/>
      <c r="AN209" s="107"/>
      <c r="AO209" s="73"/>
      <c r="AP209" s="110"/>
    </row>
    <row r="210" spans="6:42" x14ac:dyDescent="0.4">
      <c r="F210" s="74"/>
      <c r="H210" s="73"/>
      <c r="AN210" s="107"/>
      <c r="AO210" s="73"/>
      <c r="AP210" s="110"/>
    </row>
    <row r="211" spans="6:42" x14ac:dyDescent="0.4">
      <c r="F211" s="74"/>
      <c r="H211" s="73"/>
      <c r="AN211" s="107"/>
      <c r="AO211" s="73"/>
      <c r="AP211" s="110"/>
    </row>
    <row r="212" spans="6:42" x14ac:dyDescent="0.4">
      <c r="F212" s="74"/>
      <c r="H212" s="73"/>
      <c r="AN212" s="107"/>
      <c r="AO212" s="73"/>
      <c r="AP212" s="110"/>
    </row>
    <row r="213" spans="6:42" x14ac:dyDescent="0.4">
      <c r="F213" s="74"/>
      <c r="H213" s="73"/>
      <c r="AN213" s="107"/>
      <c r="AO213" s="73"/>
      <c r="AP213" s="110"/>
    </row>
    <row r="214" spans="6:42" x14ac:dyDescent="0.4">
      <c r="F214" s="74"/>
      <c r="H214" s="73"/>
      <c r="AN214" s="107"/>
      <c r="AO214" s="73"/>
      <c r="AP214" s="110"/>
    </row>
    <row r="215" spans="6:42" x14ac:dyDescent="0.4">
      <c r="F215" s="74"/>
      <c r="H215" s="73"/>
      <c r="AN215" s="107"/>
      <c r="AO215" s="73"/>
      <c r="AP215" s="110"/>
    </row>
    <row r="216" spans="6:42" x14ac:dyDescent="0.4">
      <c r="F216" s="74"/>
      <c r="H216" s="73"/>
      <c r="AN216" s="107"/>
      <c r="AO216" s="73"/>
      <c r="AP216" s="110"/>
    </row>
    <row r="217" spans="6:42" x14ac:dyDescent="0.4">
      <c r="F217" s="74"/>
      <c r="H217" s="73"/>
      <c r="AN217" s="107"/>
      <c r="AO217" s="73"/>
      <c r="AP217" s="110"/>
    </row>
    <row r="218" spans="6:42" x14ac:dyDescent="0.4">
      <c r="F218" s="74"/>
      <c r="H218" s="73"/>
      <c r="AN218" s="107"/>
      <c r="AO218" s="73"/>
      <c r="AP218" s="110"/>
    </row>
    <row r="219" spans="6:42" x14ac:dyDescent="0.4">
      <c r="F219" s="74"/>
      <c r="H219" s="73"/>
      <c r="AN219" s="107"/>
      <c r="AO219" s="73"/>
      <c r="AP219" s="110"/>
    </row>
    <row r="220" spans="6:42" x14ac:dyDescent="0.4">
      <c r="F220" s="74"/>
      <c r="H220" s="73"/>
      <c r="AN220" s="107"/>
      <c r="AO220" s="73"/>
      <c r="AP220" s="110"/>
    </row>
    <row r="221" spans="6:42" x14ac:dyDescent="0.4">
      <c r="F221" s="74"/>
      <c r="H221" s="73"/>
      <c r="AN221" s="107"/>
      <c r="AO221" s="73"/>
      <c r="AP221" s="110"/>
    </row>
    <row r="222" spans="6:42" x14ac:dyDescent="0.4">
      <c r="F222" s="74"/>
      <c r="H222" s="73"/>
      <c r="AN222" s="107"/>
      <c r="AO222" s="73"/>
      <c r="AP222" s="110"/>
    </row>
    <row r="223" spans="6:42" x14ac:dyDescent="0.4">
      <c r="F223" s="74"/>
      <c r="H223" s="73"/>
      <c r="AN223" s="107"/>
      <c r="AO223" s="73"/>
      <c r="AP223" s="110"/>
    </row>
    <row r="224" spans="6:42" x14ac:dyDescent="0.4">
      <c r="F224" s="74"/>
      <c r="H224" s="73"/>
      <c r="AN224" s="107"/>
      <c r="AO224" s="73"/>
      <c r="AP224" s="110"/>
    </row>
    <row r="225" spans="6:42" x14ac:dyDescent="0.4">
      <c r="F225" s="74"/>
      <c r="H225" s="73"/>
      <c r="AN225" s="107"/>
      <c r="AO225" s="73"/>
      <c r="AP225" s="110"/>
    </row>
    <row r="226" spans="6:42" x14ac:dyDescent="0.4">
      <c r="F226" s="74"/>
      <c r="H226" s="73"/>
      <c r="AN226" s="107"/>
      <c r="AO226" s="73"/>
      <c r="AP226" s="110"/>
    </row>
    <row r="227" spans="6:42" x14ac:dyDescent="0.4">
      <c r="F227" s="74"/>
      <c r="H227" s="73"/>
      <c r="AN227" s="107"/>
      <c r="AO227" s="73"/>
      <c r="AP227" s="110"/>
    </row>
    <row r="228" spans="6:42" x14ac:dyDescent="0.4">
      <c r="F228" s="74"/>
      <c r="H228" s="73"/>
      <c r="AN228" s="107"/>
      <c r="AO228" s="73"/>
      <c r="AP228" s="110"/>
    </row>
    <row r="229" spans="6:42" x14ac:dyDescent="0.4">
      <c r="F229" s="74"/>
      <c r="H229" s="73"/>
      <c r="AN229" s="107"/>
      <c r="AO229" s="73"/>
      <c r="AP229" s="110"/>
    </row>
    <row r="230" spans="6:42" x14ac:dyDescent="0.4">
      <c r="F230" s="74"/>
      <c r="H230" s="73"/>
      <c r="AN230" s="107"/>
      <c r="AO230" s="73"/>
      <c r="AP230" s="110"/>
    </row>
    <row r="231" spans="6:42" x14ac:dyDescent="0.4">
      <c r="F231" s="74"/>
      <c r="H231" s="73"/>
      <c r="AN231" s="107"/>
      <c r="AO231" s="73"/>
      <c r="AP231" s="110"/>
    </row>
    <row r="232" spans="6:42" x14ac:dyDescent="0.4">
      <c r="F232" s="74"/>
      <c r="H232" s="73"/>
      <c r="AN232" s="107"/>
      <c r="AO232" s="73"/>
      <c r="AP232" s="110"/>
    </row>
    <row r="233" spans="6:42" x14ac:dyDescent="0.4">
      <c r="F233" s="74"/>
      <c r="H233" s="73"/>
      <c r="AN233" s="107"/>
      <c r="AO233" s="73"/>
      <c r="AP233" s="110"/>
    </row>
    <row r="234" spans="6:42" x14ac:dyDescent="0.4">
      <c r="F234" s="74"/>
      <c r="H234" s="73"/>
      <c r="AN234" s="107"/>
      <c r="AO234" s="73"/>
      <c r="AP234" s="110"/>
    </row>
    <row r="235" spans="6:42" x14ac:dyDescent="0.4">
      <c r="F235" s="74"/>
      <c r="H235" s="73"/>
      <c r="AN235" s="107"/>
      <c r="AO235" s="73"/>
      <c r="AP235" s="110"/>
    </row>
    <row r="236" spans="6:42" x14ac:dyDescent="0.4">
      <c r="F236" s="74"/>
      <c r="H236" s="73"/>
      <c r="AN236" s="107"/>
      <c r="AO236" s="73"/>
      <c r="AP236" s="110"/>
    </row>
    <row r="237" spans="6:42" x14ac:dyDescent="0.4">
      <c r="F237" s="74"/>
      <c r="H237" s="73"/>
      <c r="AN237" s="107"/>
      <c r="AO237" s="73"/>
      <c r="AP237" s="110"/>
    </row>
    <row r="238" spans="6:42" x14ac:dyDescent="0.4">
      <c r="F238" s="74"/>
      <c r="H238" s="73"/>
      <c r="AN238" s="107"/>
      <c r="AO238" s="73"/>
      <c r="AP238" s="110"/>
    </row>
    <row r="239" spans="6:42" x14ac:dyDescent="0.4">
      <c r="F239" s="74"/>
      <c r="H239" s="73"/>
      <c r="AN239" s="107"/>
      <c r="AO239" s="73"/>
      <c r="AP239" s="110"/>
    </row>
    <row r="240" spans="6:42" x14ac:dyDescent="0.4">
      <c r="F240" s="74"/>
      <c r="H240" s="73"/>
      <c r="AN240" s="107"/>
      <c r="AO240" s="73"/>
      <c r="AP240" s="110"/>
    </row>
    <row r="241" spans="6:42" x14ac:dyDescent="0.4">
      <c r="F241" s="74"/>
      <c r="H241" s="73"/>
      <c r="AN241" s="107"/>
      <c r="AO241" s="73"/>
      <c r="AP241" s="110"/>
    </row>
    <row r="242" spans="6:42" x14ac:dyDescent="0.4">
      <c r="F242" s="74"/>
      <c r="H242" s="73"/>
      <c r="AN242" s="107"/>
      <c r="AO242" s="73"/>
      <c r="AP242" s="110"/>
    </row>
    <row r="243" spans="6:42" x14ac:dyDescent="0.4">
      <c r="F243" s="74"/>
      <c r="H243" s="73"/>
      <c r="AN243" s="107"/>
      <c r="AO243" s="73"/>
      <c r="AP243" s="110"/>
    </row>
    <row r="244" spans="6:42" x14ac:dyDescent="0.4">
      <c r="F244" s="74"/>
      <c r="H244" s="73"/>
      <c r="AN244" s="107"/>
      <c r="AO244" s="73"/>
      <c r="AP244" s="110"/>
    </row>
  </sheetData>
  <autoFilter ref="A5:AP163" xr:uid="{00000000-0001-0000-0500-000000000000}"/>
  <mergeCells count="10">
    <mergeCell ref="AM1:AP1"/>
    <mergeCell ref="AH2:AL2"/>
    <mergeCell ref="AM2:AP2"/>
    <mergeCell ref="AH3:AL3"/>
    <mergeCell ref="AM3:AP3"/>
    <mergeCell ref="A150:H150"/>
    <mergeCell ref="A162:H162"/>
    <mergeCell ref="A163:H163"/>
    <mergeCell ref="A1:AG3"/>
    <mergeCell ref="AH1:AL1"/>
  </mergeCells>
  <phoneticPr fontId="3" type="noConversion"/>
  <conditionalFormatting sqref="B151:B161">
    <cfRule type="duplicateValues" dxfId="54" priority="117"/>
  </conditionalFormatting>
  <conditionalFormatting sqref="B164:B1048576 B1:B149">
    <cfRule type="duplicateValues" dxfId="53" priority="17"/>
  </conditionalFormatting>
  <conditionalFormatting sqref="B151:C161">
    <cfRule type="duplicateValues" dxfId="52" priority="119"/>
  </conditionalFormatting>
  <conditionalFormatting sqref="B164:C1048576 B1:C5">
    <cfRule type="duplicateValues" dxfId="51" priority="41"/>
  </conditionalFormatting>
  <conditionalFormatting sqref="C5">
    <cfRule type="duplicateValues" dxfId="50" priority="34"/>
    <cfRule type="duplicateValues" dxfId="49" priority="35"/>
    <cfRule type="duplicateValues" dxfId="48" priority="36"/>
  </conditionalFormatting>
  <conditionalFormatting sqref="C151:C161 E151:E161">
    <cfRule type="duplicateValues" dxfId="47" priority="121"/>
  </conditionalFormatting>
  <conditionalFormatting sqref="C151:C161">
    <cfRule type="duplicateValues" dxfId="46" priority="123"/>
    <cfRule type="duplicateValues" dxfId="45" priority="124"/>
    <cfRule type="duplicateValues" dxfId="44" priority="125"/>
  </conditionalFormatting>
  <conditionalFormatting sqref="C164:C1048576 C1:C5">
    <cfRule type="duplicateValues" dxfId="43" priority="18"/>
  </conditionalFormatting>
  <conditionalFormatting sqref="C164:C1048576 C4">
    <cfRule type="duplicateValues" dxfId="42" priority="33"/>
  </conditionalFormatting>
  <conditionalFormatting sqref="C164:C1048576 C4:C5">
    <cfRule type="duplicateValues" dxfId="41" priority="23"/>
    <cfRule type="duplicateValues" dxfId="40" priority="26"/>
    <cfRule type="duplicateValues" dxfId="39" priority="31"/>
  </conditionalFormatting>
  <conditionalFormatting sqref="C164:C1048576">
    <cfRule type="duplicateValues" dxfId="38" priority="27"/>
  </conditionalFormatting>
  <conditionalFormatting sqref="E5">
    <cfRule type="duplicateValues" dxfId="37" priority="37"/>
    <cfRule type="duplicateValues" dxfId="36" priority="38"/>
  </conditionalFormatting>
  <conditionalFormatting sqref="E151:E161">
    <cfRule type="duplicateValues" dxfId="35" priority="131"/>
    <cfRule type="duplicateValues" dxfId="34" priority="132"/>
    <cfRule type="duplicateValues" dxfId="33" priority="133"/>
  </conditionalFormatting>
  <conditionalFormatting sqref="E164:E1048576 C4:C5 E4:E5 C164:C1048576">
    <cfRule type="duplicateValues" dxfId="32" priority="28"/>
  </conditionalFormatting>
  <conditionalFormatting sqref="E164:E1048576 E1:E5">
    <cfRule type="duplicateValues" dxfId="31" priority="20"/>
  </conditionalFormatting>
  <conditionalFormatting sqref="E164:E1048576 E4:E5">
    <cfRule type="duplicateValues" dxfId="30" priority="22"/>
    <cfRule type="duplicateValues" dxfId="29" priority="25"/>
    <cfRule type="duplicateValues" dxfId="28" priority="30"/>
  </conditionalFormatting>
  <conditionalFormatting sqref="G151:H161">
    <cfRule type="duplicateValues" dxfId="27" priority="141"/>
  </conditionalFormatting>
  <conditionalFormatting sqref="G164:H1048576 G1:H5">
    <cfRule type="duplicateValues" dxfId="26" priority="19"/>
  </conditionalFormatting>
  <conditionalFormatting sqref="H5">
    <cfRule type="duplicateValues" dxfId="25" priority="39"/>
    <cfRule type="duplicateValues" dxfId="24" priority="40"/>
  </conditionalFormatting>
  <conditionalFormatting sqref="H151:H161">
    <cfRule type="duplicateValues" dxfId="23" priority="143"/>
    <cfRule type="duplicateValues" dxfId="22" priority="144"/>
    <cfRule type="duplicateValues" dxfId="21" priority="145"/>
    <cfRule type="duplicateValues" dxfId="20" priority="146"/>
    <cfRule type="duplicateValues" dxfId="19" priority="147"/>
    <cfRule type="duplicateValues" dxfId="18" priority="148"/>
  </conditionalFormatting>
  <conditionalFormatting sqref="H164:H1048576 H4">
    <cfRule type="duplicateValues" dxfId="17" priority="32"/>
  </conditionalFormatting>
  <conditionalFormatting sqref="H164:H1048576 H4:H5">
    <cfRule type="duplicateValues" dxfId="16" priority="21"/>
    <cfRule type="duplicateValues" dxfId="15" priority="24"/>
    <cfRule type="duplicateValues" dxfId="14" priority="29"/>
  </conditionalFormatting>
  <conditionalFormatting sqref="B6:C149">
    <cfRule type="duplicateValues" dxfId="13" priority="210"/>
  </conditionalFormatting>
  <conditionalFormatting sqref="C6:C149">
    <cfRule type="duplicateValues" dxfId="12" priority="212"/>
    <cfRule type="duplicateValues" dxfId="11" priority="213"/>
    <cfRule type="duplicateValues" dxfId="10" priority="214"/>
    <cfRule type="duplicateValues" dxfId="9" priority="215"/>
  </conditionalFormatting>
  <conditionalFormatting sqref="G6:H149">
    <cfRule type="duplicateValues" dxfId="8" priority="229"/>
  </conditionalFormatting>
  <conditionalFormatting sqref="H6:H149">
    <cfRule type="duplicateValues" dxfId="7" priority="231"/>
    <cfRule type="duplicateValues" dxfId="6" priority="232"/>
    <cfRule type="duplicateValues" dxfId="5" priority="233"/>
    <cfRule type="duplicateValues" dxfId="4" priority="234"/>
    <cfRule type="duplicateValues" dxfId="3" priority="235"/>
    <cfRule type="duplicateValues" dxfId="2" priority="236"/>
  </conditionalFormatting>
  <pageMargins left="0.7" right="0.7" top="0.75" bottom="0.75" header="0.3" footer="0.3"/>
  <pageSetup paperSize="9" scale="1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36"/>
  <sheetViews>
    <sheetView view="pageBreakPreview" topLeftCell="A3" zoomScaleNormal="100" zoomScaleSheetLayoutView="100" workbookViewId="0">
      <selection activeCell="I3" sqref="I3"/>
    </sheetView>
  </sheetViews>
  <sheetFormatPr defaultRowHeight="17.399999999999999" x14ac:dyDescent="0.4"/>
  <cols>
    <col min="1" max="1" width="9" style="52"/>
    <col min="2" max="3" width="12.59765625" style="52" customWidth="1"/>
    <col min="4" max="4" width="16" style="52" bestFit="1" customWidth="1"/>
    <col min="5" max="5" width="31.3984375" style="52" bestFit="1" customWidth="1"/>
    <col min="6" max="6" width="10.59765625" style="52" customWidth="1"/>
    <col min="7" max="8" width="8.09765625" style="52" customWidth="1"/>
    <col min="9" max="9" width="13.59765625" style="52" customWidth="1"/>
    <col min="10" max="10" width="35.59765625" style="52" customWidth="1"/>
    <col min="11" max="12" width="9" style="52"/>
  </cols>
  <sheetData>
    <row r="1" spans="1:12" ht="35.1" customHeight="1" x14ac:dyDescent="0.4">
      <c r="A1" s="287" t="s">
        <v>232</v>
      </c>
      <c r="B1" s="288"/>
      <c r="C1" s="288"/>
      <c r="D1" s="288"/>
      <c r="E1" s="288"/>
      <c r="F1" s="288"/>
      <c r="G1" s="288"/>
      <c r="H1" s="288"/>
      <c r="I1" s="288"/>
      <c r="J1" s="289"/>
    </row>
    <row r="2" spans="1:12" ht="20.100000000000001" customHeight="1" x14ac:dyDescent="0.4">
      <c r="A2" s="290" t="s">
        <v>233</v>
      </c>
      <c r="B2" s="290" t="s">
        <v>234</v>
      </c>
      <c r="C2" s="290" t="s">
        <v>235</v>
      </c>
      <c r="D2" s="290" t="s">
        <v>236</v>
      </c>
      <c r="E2" s="290" t="s">
        <v>237</v>
      </c>
      <c r="F2" s="290" t="s">
        <v>238</v>
      </c>
      <c r="G2" s="290" t="s">
        <v>239</v>
      </c>
      <c r="H2" s="290" t="s">
        <v>240</v>
      </c>
      <c r="I2" s="111" t="s">
        <v>241</v>
      </c>
      <c r="J2" s="290" t="s">
        <v>242</v>
      </c>
    </row>
    <row r="3" spans="1:12" ht="20.100000000000001" customHeight="1" x14ac:dyDescent="0.4">
      <c r="A3" s="290"/>
      <c r="B3" s="290"/>
      <c r="C3" s="290"/>
      <c r="D3" s="290"/>
      <c r="E3" s="290"/>
      <c r="F3" s="290"/>
      <c r="G3" s="290"/>
      <c r="H3" s="290"/>
      <c r="I3" s="112">
        <f>SUM(I4:I35)</f>
        <v>48610000</v>
      </c>
      <c r="J3" s="290"/>
      <c r="L3" s="113" t="s">
        <v>243</v>
      </c>
    </row>
    <row r="4" spans="1:12" ht="20.100000000000001" customHeight="1" x14ac:dyDescent="0.4">
      <c r="A4" s="114">
        <v>1</v>
      </c>
      <c r="B4" s="123">
        <v>46295</v>
      </c>
      <c r="C4" s="114" t="s">
        <v>244</v>
      </c>
      <c r="D4" s="114" t="s">
        <v>974</v>
      </c>
      <c r="E4" s="124" t="s">
        <v>567</v>
      </c>
      <c r="F4" s="114" t="s">
        <v>963</v>
      </c>
      <c r="G4" s="114">
        <v>1</v>
      </c>
      <c r="H4" s="114">
        <v>6</v>
      </c>
      <c r="I4" s="115">
        <v>1650000</v>
      </c>
      <c r="J4" s="114" t="s">
        <v>246</v>
      </c>
      <c r="L4" s="116" t="s">
        <v>247</v>
      </c>
    </row>
    <row r="5" spans="1:12" ht="20.100000000000001" customHeight="1" x14ac:dyDescent="0.4">
      <c r="A5" s="114">
        <v>2</v>
      </c>
      <c r="B5" s="123">
        <v>46295</v>
      </c>
      <c r="C5" s="114" t="s">
        <v>244</v>
      </c>
      <c r="D5" s="114" t="s">
        <v>974</v>
      </c>
      <c r="E5" s="124" t="s">
        <v>568</v>
      </c>
      <c r="F5" s="114" t="s">
        <v>245</v>
      </c>
      <c r="G5" s="114">
        <v>1</v>
      </c>
      <c r="H5" s="114">
        <v>6</v>
      </c>
      <c r="I5" s="115">
        <v>1900000</v>
      </c>
      <c r="J5" s="114" t="s">
        <v>246</v>
      </c>
      <c r="L5" s="116" t="s">
        <v>248</v>
      </c>
    </row>
    <row r="6" spans="1:12" ht="20.100000000000001" customHeight="1" x14ac:dyDescent="0.4">
      <c r="A6" s="114">
        <v>3</v>
      </c>
      <c r="B6" s="123">
        <v>46295</v>
      </c>
      <c r="C6" s="114" t="s">
        <v>244</v>
      </c>
      <c r="D6" s="114" t="s">
        <v>974</v>
      </c>
      <c r="E6" s="124" t="s">
        <v>569</v>
      </c>
      <c r="F6" s="114" t="s">
        <v>297</v>
      </c>
      <c r="G6" s="114">
        <v>1</v>
      </c>
      <c r="H6" s="114">
        <v>6</v>
      </c>
      <c r="I6" s="115">
        <v>1400000</v>
      </c>
      <c r="J6" s="114" t="s">
        <v>246</v>
      </c>
      <c r="L6" s="116" t="s">
        <v>249</v>
      </c>
    </row>
    <row r="7" spans="1:12" ht="20.100000000000001" customHeight="1" x14ac:dyDescent="0.4">
      <c r="A7" s="114">
        <v>4</v>
      </c>
      <c r="B7" s="123">
        <v>46295</v>
      </c>
      <c r="C7" s="114" t="s">
        <v>244</v>
      </c>
      <c r="D7" s="114" t="s">
        <v>974</v>
      </c>
      <c r="E7" s="124" t="s">
        <v>570</v>
      </c>
      <c r="F7" s="114" t="s">
        <v>577</v>
      </c>
      <c r="G7" s="114">
        <v>1</v>
      </c>
      <c r="H7" s="114">
        <v>6</v>
      </c>
      <c r="I7" s="115">
        <v>1800000</v>
      </c>
      <c r="J7" s="114" t="s">
        <v>246</v>
      </c>
      <c r="L7" s="116" t="s">
        <v>250</v>
      </c>
    </row>
    <row r="8" spans="1:12" ht="20.100000000000001" customHeight="1" x14ac:dyDescent="0.4">
      <c r="A8" s="114">
        <v>5</v>
      </c>
      <c r="B8" s="123">
        <v>46295</v>
      </c>
      <c r="C8" s="114" t="s">
        <v>244</v>
      </c>
      <c r="D8" s="114" t="s">
        <v>974</v>
      </c>
      <c r="E8" s="124" t="s">
        <v>564</v>
      </c>
      <c r="F8" s="114" t="s">
        <v>305</v>
      </c>
      <c r="G8" s="114">
        <v>1</v>
      </c>
      <c r="H8" s="114">
        <v>6</v>
      </c>
      <c r="I8" s="115">
        <v>1700000</v>
      </c>
      <c r="J8" s="114" t="s">
        <v>246</v>
      </c>
      <c r="L8" s="117" t="s">
        <v>251</v>
      </c>
    </row>
    <row r="9" spans="1:12" ht="20.100000000000001" customHeight="1" x14ac:dyDescent="0.4">
      <c r="A9" s="114">
        <v>6</v>
      </c>
      <c r="B9" s="123">
        <v>46295</v>
      </c>
      <c r="C9" s="114" t="s">
        <v>244</v>
      </c>
      <c r="D9" s="114" t="s">
        <v>974</v>
      </c>
      <c r="E9" s="124" t="s">
        <v>565</v>
      </c>
      <c r="F9" s="114" t="s">
        <v>245</v>
      </c>
      <c r="G9" s="114">
        <v>1</v>
      </c>
      <c r="H9" s="114">
        <v>6</v>
      </c>
      <c r="I9" s="115">
        <v>1530000</v>
      </c>
      <c r="J9" s="114" t="s">
        <v>246</v>
      </c>
      <c r="L9" s="117" t="s">
        <v>252</v>
      </c>
    </row>
    <row r="10" spans="1:12" ht="20.100000000000001" customHeight="1" x14ac:dyDescent="0.4">
      <c r="A10" s="114">
        <v>7</v>
      </c>
      <c r="B10" s="123">
        <v>46295</v>
      </c>
      <c r="C10" s="114" t="s">
        <v>244</v>
      </c>
      <c r="D10" s="114" t="s">
        <v>974</v>
      </c>
      <c r="E10" s="124" t="s">
        <v>962</v>
      </c>
      <c r="F10" s="114" t="s">
        <v>576</v>
      </c>
      <c r="G10" s="114">
        <v>1</v>
      </c>
      <c r="H10" s="114">
        <v>6</v>
      </c>
      <c r="I10" s="115">
        <v>900000</v>
      </c>
      <c r="J10" s="114" t="s">
        <v>246</v>
      </c>
      <c r="L10" s="117" t="s">
        <v>253</v>
      </c>
    </row>
    <row r="11" spans="1:12" ht="20.100000000000001" customHeight="1" x14ac:dyDescent="0.4">
      <c r="A11" s="114">
        <v>8</v>
      </c>
      <c r="B11" s="123">
        <v>46295</v>
      </c>
      <c r="C11" s="114" t="s">
        <v>244</v>
      </c>
      <c r="D11" s="114" t="s">
        <v>974</v>
      </c>
      <c r="E11" s="124" t="s">
        <v>571</v>
      </c>
      <c r="F11" s="114" t="s">
        <v>297</v>
      </c>
      <c r="G11" s="114">
        <v>1</v>
      </c>
      <c r="H11" s="114">
        <v>6</v>
      </c>
      <c r="I11" s="115">
        <v>1650000</v>
      </c>
      <c r="J11" s="114" t="s">
        <v>246</v>
      </c>
      <c r="L11" s="117"/>
    </row>
    <row r="12" spans="1:12" ht="20.100000000000001" customHeight="1" x14ac:dyDescent="0.4">
      <c r="A12" s="114">
        <v>9</v>
      </c>
      <c r="B12" s="123">
        <v>46295</v>
      </c>
      <c r="C12" s="114" t="s">
        <v>244</v>
      </c>
      <c r="D12" s="114" t="s">
        <v>974</v>
      </c>
      <c r="E12" s="124" t="s">
        <v>874</v>
      </c>
      <c r="F12" s="114" t="s">
        <v>576</v>
      </c>
      <c r="G12" s="114">
        <v>1</v>
      </c>
      <c r="H12" s="114">
        <v>6</v>
      </c>
      <c r="I12" s="115">
        <v>1500000</v>
      </c>
      <c r="J12" s="114" t="s">
        <v>246</v>
      </c>
      <c r="L12" s="113" t="s">
        <v>254</v>
      </c>
    </row>
    <row r="13" spans="1:12" ht="20.100000000000001" customHeight="1" x14ac:dyDescent="0.4">
      <c r="A13" s="114">
        <v>10</v>
      </c>
      <c r="B13" s="123">
        <v>46295</v>
      </c>
      <c r="C13" s="114" t="s">
        <v>244</v>
      </c>
      <c r="D13" s="114" t="s">
        <v>974</v>
      </c>
      <c r="E13" s="124" t="s">
        <v>875</v>
      </c>
      <c r="F13" s="114" t="s">
        <v>577</v>
      </c>
      <c r="G13" s="114">
        <v>1</v>
      </c>
      <c r="H13" s="114">
        <v>6</v>
      </c>
      <c r="I13" s="115">
        <v>1650000</v>
      </c>
      <c r="J13" s="114" t="s">
        <v>246</v>
      </c>
    </row>
    <row r="14" spans="1:12" ht="20.100000000000001" customHeight="1" x14ac:dyDescent="0.4">
      <c r="A14" s="114">
        <v>11</v>
      </c>
      <c r="B14" s="123">
        <v>46295</v>
      </c>
      <c r="C14" s="114" t="s">
        <v>244</v>
      </c>
      <c r="D14" s="114" t="s">
        <v>974</v>
      </c>
      <c r="E14" s="124" t="s">
        <v>572</v>
      </c>
      <c r="F14" s="114" t="s">
        <v>245</v>
      </c>
      <c r="G14" s="114">
        <v>1</v>
      </c>
      <c r="H14" s="114">
        <v>6</v>
      </c>
      <c r="I14" s="115">
        <v>1600000</v>
      </c>
      <c r="J14" s="114" t="s">
        <v>246</v>
      </c>
    </row>
    <row r="15" spans="1:12" ht="20.100000000000001" customHeight="1" x14ac:dyDescent="0.4">
      <c r="A15" s="114">
        <v>12</v>
      </c>
      <c r="B15" s="123">
        <v>46295</v>
      </c>
      <c r="C15" s="114" t="s">
        <v>244</v>
      </c>
      <c r="D15" s="114" t="s">
        <v>974</v>
      </c>
      <c r="E15" s="124" t="s">
        <v>573</v>
      </c>
      <c r="F15" s="114" t="s">
        <v>577</v>
      </c>
      <c r="G15" s="114">
        <v>1</v>
      </c>
      <c r="H15" s="114">
        <v>6</v>
      </c>
      <c r="I15" s="115">
        <v>1500000</v>
      </c>
      <c r="J15" s="114" t="s">
        <v>246</v>
      </c>
    </row>
    <row r="16" spans="1:12" ht="20.100000000000001" customHeight="1" x14ac:dyDescent="0.4">
      <c r="A16" s="114">
        <v>13</v>
      </c>
      <c r="B16" s="123">
        <v>46295</v>
      </c>
      <c r="C16" s="114" t="s">
        <v>244</v>
      </c>
      <c r="D16" s="114" t="s">
        <v>974</v>
      </c>
      <c r="E16" s="124" t="s">
        <v>574</v>
      </c>
      <c r="F16" s="114" t="s">
        <v>297</v>
      </c>
      <c r="G16" s="114">
        <v>1</v>
      </c>
      <c r="H16" s="114">
        <v>6</v>
      </c>
      <c r="I16" s="115">
        <v>1800000</v>
      </c>
      <c r="J16" s="114" t="s">
        <v>246</v>
      </c>
    </row>
    <row r="17" spans="1:10" ht="20.100000000000001" customHeight="1" x14ac:dyDescent="0.4">
      <c r="A17" s="114">
        <v>14</v>
      </c>
      <c r="B17" s="123">
        <v>46295</v>
      </c>
      <c r="C17" s="114" t="s">
        <v>244</v>
      </c>
      <c r="D17" s="114" t="s">
        <v>974</v>
      </c>
      <c r="E17" s="124" t="s">
        <v>575</v>
      </c>
      <c r="F17" s="114" t="s">
        <v>245</v>
      </c>
      <c r="G17" s="114">
        <v>1</v>
      </c>
      <c r="H17" s="114">
        <v>6</v>
      </c>
      <c r="I17" s="115">
        <v>1600000</v>
      </c>
      <c r="J17" s="114" t="s">
        <v>246</v>
      </c>
    </row>
    <row r="18" spans="1:10" ht="20.100000000000001" customHeight="1" x14ac:dyDescent="0.4">
      <c r="A18" s="114">
        <v>15</v>
      </c>
      <c r="B18" s="123">
        <v>46295</v>
      </c>
      <c r="C18" s="114" t="s">
        <v>244</v>
      </c>
      <c r="D18" s="114" t="s">
        <v>974</v>
      </c>
      <c r="E18" s="124" t="s">
        <v>876</v>
      </c>
      <c r="F18" s="114" t="s">
        <v>297</v>
      </c>
      <c r="G18" s="114">
        <v>1</v>
      </c>
      <c r="H18" s="114">
        <v>4</v>
      </c>
      <c r="I18" s="115">
        <v>1630000</v>
      </c>
      <c r="J18" s="114" t="s">
        <v>246</v>
      </c>
    </row>
    <row r="19" spans="1:10" ht="20.100000000000001" customHeight="1" x14ac:dyDescent="0.4">
      <c r="A19" s="114">
        <v>16</v>
      </c>
      <c r="B19" s="123">
        <v>46295</v>
      </c>
      <c r="C19" s="114" t="s">
        <v>244</v>
      </c>
      <c r="D19" s="114" t="s">
        <v>974</v>
      </c>
      <c r="E19" s="124" t="s">
        <v>877</v>
      </c>
      <c r="F19" s="114" t="s">
        <v>297</v>
      </c>
      <c r="G19" s="114">
        <v>1</v>
      </c>
      <c r="H19" s="114">
        <v>6</v>
      </c>
      <c r="I19" s="115">
        <v>1050000</v>
      </c>
      <c r="J19" s="114" t="s">
        <v>246</v>
      </c>
    </row>
    <row r="20" spans="1:10" ht="20.100000000000001" customHeight="1" x14ac:dyDescent="0.4">
      <c r="A20" s="114">
        <v>17</v>
      </c>
      <c r="B20" s="123">
        <v>46295</v>
      </c>
      <c r="C20" s="114" t="s">
        <v>244</v>
      </c>
      <c r="D20" s="114" t="s">
        <v>974</v>
      </c>
      <c r="E20" s="124" t="s">
        <v>878</v>
      </c>
      <c r="F20" s="114" t="s">
        <v>577</v>
      </c>
      <c r="G20" s="114">
        <v>1</v>
      </c>
      <c r="H20" s="114">
        <v>6</v>
      </c>
      <c r="I20" s="115">
        <v>1600000</v>
      </c>
      <c r="J20" s="114" t="s">
        <v>246</v>
      </c>
    </row>
    <row r="21" spans="1:10" ht="20.100000000000001" customHeight="1" x14ac:dyDescent="0.4">
      <c r="A21" s="114">
        <v>18</v>
      </c>
      <c r="B21" s="123">
        <v>46295</v>
      </c>
      <c r="C21" s="114" t="s">
        <v>244</v>
      </c>
      <c r="D21" s="114" t="s">
        <v>974</v>
      </c>
      <c r="E21" s="124" t="s">
        <v>879</v>
      </c>
      <c r="F21" s="114" t="s">
        <v>297</v>
      </c>
      <c r="G21" s="114">
        <v>1</v>
      </c>
      <c r="H21" s="114">
        <v>6</v>
      </c>
      <c r="I21" s="115">
        <v>1550000</v>
      </c>
      <c r="J21" s="114" t="s">
        <v>246</v>
      </c>
    </row>
    <row r="22" spans="1:10" ht="20.100000000000001" customHeight="1" x14ac:dyDescent="0.4">
      <c r="A22" s="114">
        <v>19</v>
      </c>
      <c r="B22" s="123">
        <v>46295</v>
      </c>
      <c r="C22" s="114" t="s">
        <v>244</v>
      </c>
      <c r="D22" s="114" t="s">
        <v>974</v>
      </c>
      <c r="E22" s="124" t="s">
        <v>880</v>
      </c>
      <c r="F22" s="114" t="s">
        <v>577</v>
      </c>
      <c r="G22" s="114">
        <v>1</v>
      </c>
      <c r="H22" s="114">
        <v>6</v>
      </c>
      <c r="I22" s="115">
        <v>1550000</v>
      </c>
      <c r="J22" s="114" t="s">
        <v>246</v>
      </c>
    </row>
    <row r="23" spans="1:10" ht="20.100000000000001" customHeight="1" x14ac:dyDescent="0.4">
      <c r="A23" s="114">
        <v>20</v>
      </c>
      <c r="B23" s="123">
        <v>46295</v>
      </c>
      <c r="C23" s="114" t="s">
        <v>244</v>
      </c>
      <c r="D23" s="114" t="s">
        <v>974</v>
      </c>
      <c r="E23" s="124" t="s">
        <v>881</v>
      </c>
      <c r="F23" s="114" t="s">
        <v>245</v>
      </c>
      <c r="G23" s="114">
        <v>1</v>
      </c>
      <c r="H23" s="114">
        <v>6</v>
      </c>
      <c r="I23" s="115">
        <v>1550000</v>
      </c>
      <c r="J23" s="114" t="s">
        <v>246</v>
      </c>
    </row>
    <row r="24" spans="1:10" ht="20.100000000000001" customHeight="1" x14ac:dyDescent="0.4">
      <c r="A24" s="114">
        <v>21</v>
      </c>
      <c r="B24" s="123">
        <v>46295</v>
      </c>
      <c r="C24" s="114" t="s">
        <v>244</v>
      </c>
      <c r="D24" s="114" t="s">
        <v>974</v>
      </c>
      <c r="E24" s="124" t="s">
        <v>882</v>
      </c>
      <c r="F24" s="114" t="s">
        <v>577</v>
      </c>
      <c r="G24" s="114">
        <v>1</v>
      </c>
      <c r="H24" s="114">
        <v>6</v>
      </c>
      <c r="I24" s="115">
        <v>1550000</v>
      </c>
      <c r="J24" s="114" t="s">
        <v>246</v>
      </c>
    </row>
    <row r="25" spans="1:10" ht="20.100000000000001" customHeight="1" x14ac:dyDescent="0.4">
      <c r="A25" s="114">
        <v>22</v>
      </c>
      <c r="B25" s="123">
        <v>46295</v>
      </c>
      <c r="C25" s="114" t="s">
        <v>244</v>
      </c>
      <c r="D25" s="114" t="s">
        <v>974</v>
      </c>
      <c r="E25" s="124" t="s">
        <v>883</v>
      </c>
      <c r="F25" s="114" t="s">
        <v>297</v>
      </c>
      <c r="G25" s="114">
        <v>1</v>
      </c>
      <c r="H25" s="114">
        <v>6</v>
      </c>
      <c r="I25" s="115">
        <v>1550000</v>
      </c>
      <c r="J25" s="114" t="s">
        <v>246</v>
      </c>
    </row>
    <row r="26" spans="1:10" ht="20.100000000000001" customHeight="1" x14ac:dyDescent="0.4">
      <c r="A26" s="114">
        <v>23</v>
      </c>
      <c r="B26" s="123">
        <v>46295</v>
      </c>
      <c r="C26" s="114" t="s">
        <v>244</v>
      </c>
      <c r="D26" s="114" t="s">
        <v>974</v>
      </c>
      <c r="E26" s="124" t="s">
        <v>884</v>
      </c>
      <c r="F26" s="114" t="s">
        <v>577</v>
      </c>
      <c r="G26" s="114">
        <v>1</v>
      </c>
      <c r="H26" s="114">
        <v>6</v>
      </c>
      <c r="I26" s="115">
        <v>1600000</v>
      </c>
      <c r="J26" s="114" t="s">
        <v>246</v>
      </c>
    </row>
    <row r="27" spans="1:10" ht="20.100000000000001" customHeight="1" x14ac:dyDescent="0.4">
      <c r="A27" s="114">
        <v>24</v>
      </c>
      <c r="B27" s="123">
        <v>46295</v>
      </c>
      <c r="C27" s="114" t="s">
        <v>244</v>
      </c>
      <c r="D27" s="114" t="s">
        <v>974</v>
      </c>
      <c r="E27" s="124" t="s">
        <v>885</v>
      </c>
      <c r="F27" s="114" t="s">
        <v>577</v>
      </c>
      <c r="G27" s="114">
        <v>1</v>
      </c>
      <c r="H27" s="114">
        <v>6</v>
      </c>
      <c r="I27" s="115">
        <v>1550000</v>
      </c>
      <c r="J27" s="114" t="s">
        <v>246</v>
      </c>
    </row>
    <row r="28" spans="1:10" ht="20.100000000000001" customHeight="1" x14ac:dyDescent="0.4">
      <c r="A28" s="114">
        <v>25</v>
      </c>
      <c r="B28" s="123">
        <v>46295</v>
      </c>
      <c r="C28" s="114" t="s">
        <v>244</v>
      </c>
      <c r="D28" s="114" t="s">
        <v>974</v>
      </c>
      <c r="E28" s="124" t="s">
        <v>886</v>
      </c>
      <c r="F28" s="114" t="s">
        <v>297</v>
      </c>
      <c r="G28" s="114">
        <v>1</v>
      </c>
      <c r="H28" s="114">
        <v>6</v>
      </c>
      <c r="I28" s="115">
        <v>1200000</v>
      </c>
      <c r="J28" s="114" t="s">
        <v>246</v>
      </c>
    </row>
    <row r="29" spans="1:10" ht="19.5" customHeight="1" x14ac:dyDescent="0.4">
      <c r="A29" s="114">
        <v>26</v>
      </c>
      <c r="B29" s="123">
        <v>46295</v>
      </c>
      <c r="C29" s="114" t="s">
        <v>244</v>
      </c>
      <c r="D29" s="114" t="s">
        <v>974</v>
      </c>
      <c r="E29" s="124" t="s">
        <v>887</v>
      </c>
      <c r="F29" s="114" t="s">
        <v>297</v>
      </c>
      <c r="G29" s="114">
        <v>1</v>
      </c>
      <c r="H29" s="114">
        <v>6</v>
      </c>
      <c r="I29" s="115">
        <v>1400000</v>
      </c>
      <c r="J29" s="114" t="s">
        <v>246</v>
      </c>
    </row>
    <row r="30" spans="1:10" ht="19.5" customHeight="1" x14ac:dyDescent="0.4">
      <c r="A30" s="114">
        <v>27</v>
      </c>
      <c r="B30" s="123">
        <v>46295</v>
      </c>
      <c r="C30" s="114" t="s">
        <v>244</v>
      </c>
      <c r="D30" s="114" t="s">
        <v>974</v>
      </c>
      <c r="E30" s="124" t="s">
        <v>888</v>
      </c>
      <c r="F30" s="114" t="s">
        <v>576</v>
      </c>
      <c r="G30" s="114">
        <v>1</v>
      </c>
      <c r="H30" s="114">
        <v>6</v>
      </c>
      <c r="I30" s="115">
        <v>1400000</v>
      </c>
      <c r="J30" s="114" t="s">
        <v>246</v>
      </c>
    </row>
    <row r="31" spans="1:10" ht="19.5" customHeight="1" x14ac:dyDescent="0.4">
      <c r="A31" s="114">
        <v>28</v>
      </c>
      <c r="B31" s="123">
        <v>46295</v>
      </c>
      <c r="C31" s="114" t="s">
        <v>244</v>
      </c>
      <c r="D31" s="114" t="s">
        <v>974</v>
      </c>
      <c r="E31" s="124" t="s">
        <v>561</v>
      </c>
      <c r="F31" s="114" t="s">
        <v>576</v>
      </c>
      <c r="G31" s="114">
        <v>1</v>
      </c>
      <c r="H31" s="114">
        <v>6</v>
      </c>
      <c r="I31" s="115">
        <v>1300000</v>
      </c>
      <c r="J31" s="114" t="s">
        <v>246</v>
      </c>
    </row>
    <row r="32" spans="1:10" ht="19.5" customHeight="1" x14ac:dyDescent="0.4">
      <c r="A32" s="114">
        <v>29</v>
      </c>
      <c r="B32" s="123">
        <v>46295</v>
      </c>
      <c r="C32" s="114" t="s">
        <v>244</v>
      </c>
      <c r="D32" s="114" t="s">
        <v>974</v>
      </c>
      <c r="E32" s="124" t="s">
        <v>562</v>
      </c>
      <c r="F32" s="114" t="s">
        <v>245</v>
      </c>
      <c r="G32" s="114">
        <v>1</v>
      </c>
      <c r="H32" s="114">
        <v>6</v>
      </c>
      <c r="I32" s="115">
        <v>1550000</v>
      </c>
      <c r="J32" s="114" t="s">
        <v>246</v>
      </c>
    </row>
    <row r="33" spans="1:10" ht="19.5" customHeight="1" x14ac:dyDescent="0.4">
      <c r="A33" s="114">
        <v>30</v>
      </c>
      <c r="B33" s="123">
        <v>46295</v>
      </c>
      <c r="C33" s="114" t="s">
        <v>244</v>
      </c>
      <c r="D33" s="114" t="s">
        <v>974</v>
      </c>
      <c r="E33" s="124" t="s">
        <v>563</v>
      </c>
      <c r="F33" s="114" t="s">
        <v>297</v>
      </c>
      <c r="G33" s="114">
        <v>1</v>
      </c>
      <c r="H33" s="114">
        <v>6</v>
      </c>
      <c r="I33" s="115">
        <v>1300000</v>
      </c>
      <c r="J33" s="114" t="s">
        <v>246</v>
      </c>
    </row>
    <row r="34" spans="1:10" ht="19.5" customHeight="1" x14ac:dyDescent="0.4">
      <c r="A34" s="114">
        <v>31</v>
      </c>
      <c r="B34" s="123">
        <v>46295</v>
      </c>
      <c r="C34" s="114" t="s">
        <v>244</v>
      </c>
      <c r="D34" s="114" t="s">
        <v>974</v>
      </c>
      <c r="E34" s="124" t="s">
        <v>566</v>
      </c>
      <c r="F34" s="114" t="s">
        <v>245</v>
      </c>
      <c r="G34" s="114">
        <v>1</v>
      </c>
      <c r="H34" s="114">
        <v>6</v>
      </c>
      <c r="I34" s="115">
        <v>1600000</v>
      </c>
      <c r="J34" s="114" t="s">
        <v>246</v>
      </c>
    </row>
    <row r="35" spans="1:10" ht="20.100000000000001" customHeight="1" x14ac:dyDescent="0.4">
      <c r="A35" s="114">
        <v>32</v>
      </c>
      <c r="B35" s="123">
        <v>46295</v>
      </c>
      <c r="C35" s="114" t="s">
        <v>244</v>
      </c>
      <c r="D35" s="114" t="s">
        <v>974</v>
      </c>
      <c r="E35" s="124" t="s">
        <v>972</v>
      </c>
      <c r="F35" s="114" t="s">
        <v>245</v>
      </c>
      <c r="G35" s="114">
        <v>1</v>
      </c>
      <c r="H35" s="114">
        <v>6</v>
      </c>
      <c r="I35" s="115">
        <v>1500000</v>
      </c>
      <c r="J35" s="114" t="s">
        <v>246</v>
      </c>
    </row>
    <row r="36" spans="1:10" ht="19.5" customHeight="1" x14ac:dyDescent="0.4"/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:E35">
    <cfRule type="duplicateValues" dxfId="1" priority="237"/>
    <cfRule type="duplicateValues" dxfId="0" priority="238"/>
  </conditionalFormatting>
  <pageMargins left="0.7" right="0.7" top="0.75" bottom="0.75" header="0.3" footer="0.3"/>
  <pageSetup paperSize="9" scale="70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04"/>
  <sheetViews>
    <sheetView view="pageBreakPreview" topLeftCell="A3" zoomScaleNormal="100" zoomScaleSheetLayoutView="100" workbookViewId="0">
      <selection activeCell="I3" sqref="I3"/>
    </sheetView>
  </sheetViews>
  <sheetFormatPr defaultRowHeight="17.399999999999999" x14ac:dyDescent="0.4"/>
  <cols>
    <col min="1" max="1" width="9" style="52"/>
    <col min="2" max="3" width="12.59765625" style="52" customWidth="1"/>
    <col min="4" max="4" width="16" style="52" bestFit="1" customWidth="1"/>
    <col min="5" max="5" width="31.3984375" style="52" bestFit="1" customWidth="1"/>
    <col min="6" max="6" width="10.59765625" style="52" customWidth="1"/>
    <col min="7" max="8" width="8.09765625" style="52" customWidth="1"/>
    <col min="9" max="9" width="13.59765625" style="52" customWidth="1"/>
    <col min="10" max="10" width="35.59765625" style="52" customWidth="1"/>
  </cols>
  <sheetData>
    <row r="1" spans="1:10" ht="35.1" customHeight="1" x14ac:dyDescent="0.4">
      <c r="A1" s="287" t="s">
        <v>255</v>
      </c>
      <c r="B1" s="288"/>
      <c r="C1" s="288"/>
      <c r="D1" s="288"/>
      <c r="E1" s="288"/>
      <c r="F1" s="288"/>
      <c r="G1" s="288"/>
      <c r="H1" s="288"/>
      <c r="I1" s="288"/>
      <c r="J1" s="289"/>
    </row>
    <row r="2" spans="1:10" ht="20.100000000000001" customHeight="1" x14ac:dyDescent="0.4">
      <c r="A2" s="290" t="s">
        <v>256</v>
      </c>
      <c r="B2" s="290" t="s">
        <v>234</v>
      </c>
      <c r="C2" s="290" t="s">
        <v>257</v>
      </c>
      <c r="D2" s="290" t="s">
        <v>236</v>
      </c>
      <c r="E2" s="290" t="s">
        <v>237</v>
      </c>
      <c r="F2" s="290" t="s">
        <v>238</v>
      </c>
      <c r="G2" s="290" t="s">
        <v>258</v>
      </c>
      <c r="H2" s="290" t="s">
        <v>259</v>
      </c>
      <c r="I2" s="111" t="s">
        <v>298</v>
      </c>
      <c r="J2" s="290" t="s">
        <v>260</v>
      </c>
    </row>
    <row r="3" spans="1:10" ht="20.100000000000001" customHeight="1" x14ac:dyDescent="0.4">
      <c r="A3" s="290"/>
      <c r="B3" s="290"/>
      <c r="C3" s="290"/>
      <c r="D3" s="290"/>
      <c r="E3" s="290"/>
      <c r="F3" s="290"/>
      <c r="G3" s="290"/>
      <c r="H3" s="290"/>
      <c r="I3" s="112">
        <f>SUM(I4:I104)</f>
        <v>5108770</v>
      </c>
      <c r="J3" s="290"/>
    </row>
    <row r="4" spans="1:10" ht="20.100000000000001" customHeight="1" x14ac:dyDescent="0.4">
      <c r="A4" s="114">
        <v>1</v>
      </c>
      <c r="B4" s="123">
        <v>46295</v>
      </c>
      <c r="C4" s="114" t="s">
        <v>261</v>
      </c>
      <c r="D4" s="114" t="s">
        <v>975</v>
      </c>
      <c r="E4" s="202" t="s">
        <v>567</v>
      </c>
      <c r="F4" s="114" t="s">
        <v>963</v>
      </c>
      <c r="G4" s="114">
        <v>1</v>
      </c>
      <c r="H4" s="114">
        <v>6</v>
      </c>
      <c r="I4" s="115">
        <v>23660</v>
      </c>
      <c r="J4" s="114" t="s">
        <v>246</v>
      </c>
    </row>
    <row r="5" spans="1:10" ht="19.5" customHeight="1" x14ac:dyDescent="0.4">
      <c r="A5" s="114">
        <v>2</v>
      </c>
      <c r="B5" s="123">
        <v>46295</v>
      </c>
      <c r="C5" s="114" t="s">
        <v>261</v>
      </c>
      <c r="D5" s="114" t="s">
        <v>976</v>
      </c>
      <c r="E5" s="202" t="s">
        <v>567</v>
      </c>
      <c r="F5" s="114" t="s">
        <v>297</v>
      </c>
      <c r="G5" s="114">
        <v>1</v>
      </c>
      <c r="H5" s="114">
        <v>6</v>
      </c>
      <c r="I5" s="205" t="s">
        <v>978</v>
      </c>
      <c r="J5" s="114" t="s">
        <v>246</v>
      </c>
    </row>
    <row r="6" spans="1:10" ht="20.100000000000001" customHeight="1" x14ac:dyDescent="0.4">
      <c r="A6" s="114">
        <v>3</v>
      </c>
      <c r="B6" s="123">
        <v>46295</v>
      </c>
      <c r="C6" s="114" t="s">
        <v>261</v>
      </c>
      <c r="D6" s="114" t="s">
        <v>977</v>
      </c>
      <c r="E6" s="202" t="s">
        <v>567</v>
      </c>
      <c r="F6" s="114" t="s">
        <v>297</v>
      </c>
      <c r="G6" s="114">
        <v>1</v>
      </c>
      <c r="H6" s="114">
        <v>6</v>
      </c>
      <c r="I6" s="115">
        <v>62870</v>
      </c>
      <c r="J6" s="114" t="s">
        <v>246</v>
      </c>
    </row>
    <row r="7" spans="1:10" ht="20.100000000000001" customHeight="1" x14ac:dyDescent="0.4">
      <c r="A7" s="114">
        <v>4</v>
      </c>
      <c r="B7" s="123">
        <v>46295</v>
      </c>
      <c r="C7" s="114" t="s">
        <v>261</v>
      </c>
      <c r="D7" s="114" t="s">
        <v>975</v>
      </c>
      <c r="E7" s="202" t="s">
        <v>568</v>
      </c>
      <c r="F7" s="114" t="s">
        <v>245</v>
      </c>
      <c r="G7" s="114">
        <v>1</v>
      </c>
      <c r="H7" s="114">
        <v>6</v>
      </c>
      <c r="I7" s="115">
        <v>8100</v>
      </c>
      <c r="J7" s="114" t="s">
        <v>246</v>
      </c>
    </row>
    <row r="8" spans="1:10" ht="19.5" customHeight="1" x14ac:dyDescent="0.4">
      <c r="A8" s="114">
        <v>5</v>
      </c>
      <c r="B8" s="123">
        <v>46295</v>
      </c>
      <c r="C8" s="114" t="s">
        <v>261</v>
      </c>
      <c r="D8" s="114" t="s">
        <v>976</v>
      </c>
      <c r="E8" s="202" t="s">
        <v>568</v>
      </c>
      <c r="F8" s="114" t="s">
        <v>245</v>
      </c>
      <c r="G8" s="114">
        <v>1</v>
      </c>
      <c r="H8" s="114">
        <v>6</v>
      </c>
      <c r="I8" s="205" t="s">
        <v>978</v>
      </c>
      <c r="J8" s="114" t="s">
        <v>246</v>
      </c>
    </row>
    <row r="9" spans="1:10" ht="20.100000000000001" customHeight="1" x14ac:dyDescent="0.4">
      <c r="A9" s="114">
        <v>6</v>
      </c>
      <c r="B9" s="123">
        <v>46295</v>
      </c>
      <c r="C9" s="114" t="s">
        <v>261</v>
      </c>
      <c r="D9" s="114" t="s">
        <v>977</v>
      </c>
      <c r="E9" s="202" t="s">
        <v>568</v>
      </c>
      <c r="F9" s="114" t="s">
        <v>245</v>
      </c>
      <c r="G9" s="114">
        <v>1</v>
      </c>
      <c r="H9" s="114">
        <v>6</v>
      </c>
      <c r="I9" s="115">
        <v>210480</v>
      </c>
      <c r="J9" s="114" t="s">
        <v>246</v>
      </c>
    </row>
    <row r="10" spans="1:10" ht="20.100000000000001" customHeight="1" x14ac:dyDescent="0.4">
      <c r="A10" s="114">
        <v>7</v>
      </c>
      <c r="B10" s="123">
        <v>46295</v>
      </c>
      <c r="C10" s="114" t="s">
        <v>261</v>
      </c>
      <c r="D10" s="114" t="s">
        <v>975</v>
      </c>
      <c r="E10" s="202" t="s">
        <v>569</v>
      </c>
      <c r="F10" s="114" t="s">
        <v>297</v>
      </c>
      <c r="G10" s="114">
        <v>1</v>
      </c>
      <c r="H10" s="114">
        <v>6</v>
      </c>
      <c r="I10" s="115">
        <v>8100</v>
      </c>
      <c r="J10" s="114" t="s">
        <v>246</v>
      </c>
    </row>
    <row r="11" spans="1:10" ht="19.5" customHeight="1" x14ac:dyDescent="0.4">
      <c r="A11" s="114">
        <v>8</v>
      </c>
      <c r="B11" s="123">
        <v>46295</v>
      </c>
      <c r="C11" s="114" t="s">
        <v>261</v>
      </c>
      <c r="D11" s="114" t="s">
        <v>976</v>
      </c>
      <c r="E11" s="202" t="s">
        <v>569</v>
      </c>
      <c r="F11" s="114" t="s">
        <v>297</v>
      </c>
      <c r="G11" s="114">
        <v>1</v>
      </c>
      <c r="H11" s="114">
        <v>6</v>
      </c>
      <c r="I11" s="205" t="s">
        <v>978</v>
      </c>
      <c r="J11" s="114" t="s">
        <v>246</v>
      </c>
    </row>
    <row r="12" spans="1:10" ht="20.100000000000001" customHeight="1" x14ac:dyDescent="0.4">
      <c r="A12" s="114">
        <v>9</v>
      </c>
      <c r="B12" s="123">
        <v>46295</v>
      </c>
      <c r="C12" s="114" t="s">
        <v>261</v>
      </c>
      <c r="D12" s="114" t="s">
        <v>977</v>
      </c>
      <c r="E12" s="202" t="s">
        <v>569</v>
      </c>
      <c r="F12" s="114" t="s">
        <v>297</v>
      </c>
      <c r="G12" s="114">
        <v>1</v>
      </c>
      <c r="H12" s="114">
        <v>6</v>
      </c>
      <c r="I12" s="115">
        <v>27520</v>
      </c>
      <c r="J12" s="114" t="s">
        <v>246</v>
      </c>
    </row>
    <row r="13" spans="1:10" ht="20.100000000000001" customHeight="1" x14ac:dyDescent="0.4">
      <c r="A13" s="114">
        <v>10</v>
      </c>
      <c r="B13" s="123">
        <v>46295</v>
      </c>
      <c r="C13" s="114" t="s">
        <v>261</v>
      </c>
      <c r="D13" s="114" t="s">
        <v>975</v>
      </c>
      <c r="E13" s="202" t="s">
        <v>570</v>
      </c>
      <c r="F13" s="114" t="s">
        <v>577</v>
      </c>
      <c r="G13" s="114">
        <v>1</v>
      </c>
      <c r="H13" s="114">
        <v>6</v>
      </c>
      <c r="I13" s="115">
        <v>27130</v>
      </c>
      <c r="J13" s="114" t="s">
        <v>246</v>
      </c>
    </row>
    <row r="14" spans="1:10" ht="19.5" customHeight="1" x14ac:dyDescent="0.4">
      <c r="A14" s="114">
        <v>11</v>
      </c>
      <c r="B14" s="123">
        <v>46295</v>
      </c>
      <c r="C14" s="114" t="s">
        <v>261</v>
      </c>
      <c r="D14" s="114" t="s">
        <v>976</v>
      </c>
      <c r="E14" s="202" t="s">
        <v>570</v>
      </c>
      <c r="F14" s="114" t="s">
        <v>577</v>
      </c>
      <c r="G14" s="114">
        <v>1</v>
      </c>
      <c r="H14" s="114">
        <v>6</v>
      </c>
      <c r="I14" s="205" t="s">
        <v>978</v>
      </c>
      <c r="J14" s="114" t="s">
        <v>246</v>
      </c>
    </row>
    <row r="15" spans="1:10" ht="20.100000000000001" customHeight="1" x14ac:dyDescent="0.4">
      <c r="A15" s="114">
        <v>12</v>
      </c>
      <c r="B15" s="123">
        <v>46295</v>
      </c>
      <c r="C15" s="114" t="s">
        <v>261</v>
      </c>
      <c r="D15" s="114" t="s">
        <v>977</v>
      </c>
      <c r="E15" s="202" t="s">
        <v>570</v>
      </c>
      <c r="F15" s="114" t="s">
        <v>577</v>
      </c>
      <c r="G15" s="114">
        <v>1</v>
      </c>
      <c r="H15" s="114">
        <v>6</v>
      </c>
      <c r="I15" s="115">
        <v>39900</v>
      </c>
      <c r="J15" s="114" t="s">
        <v>246</v>
      </c>
    </row>
    <row r="16" spans="1:10" ht="20.100000000000001" customHeight="1" x14ac:dyDescent="0.4">
      <c r="A16" s="114">
        <v>13</v>
      </c>
      <c r="B16" s="123">
        <v>46295</v>
      </c>
      <c r="C16" s="114" t="s">
        <v>261</v>
      </c>
      <c r="D16" s="114" t="s">
        <v>975</v>
      </c>
      <c r="E16" s="202" t="s">
        <v>564</v>
      </c>
      <c r="F16" s="114" t="s">
        <v>305</v>
      </c>
      <c r="G16" s="114">
        <v>1</v>
      </c>
      <c r="H16" s="114">
        <v>6</v>
      </c>
      <c r="I16" s="115">
        <v>28850</v>
      </c>
      <c r="J16" s="114" t="s">
        <v>246</v>
      </c>
    </row>
    <row r="17" spans="1:10" ht="19.5" customHeight="1" x14ac:dyDescent="0.4">
      <c r="A17" s="114">
        <v>14</v>
      </c>
      <c r="B17" s="123">
        <v>46295</v>
      </c>
      <c r="C17" s="114" t="s">
        <v>261</v>
      </c>
      <c r="D17" s="114" t="s">
        <v>976</v>
      </c>
      <c r="E17" s="202" t="s">
        <v>564</v>
      </c>
      <c r="F17" s="114" t="s">
        <v>305</v>
      </c>
      <c r="G17" s="114">
        <v>1</v>
      </c>
      <c r="H17" s="114">
        <v>6</v>
      </c>
      <c r="I17" s="205" t="s">
        <v>978</v>
      </c>
      <c r="J17" s="114" t="s">
        <v>246</v>
      </c>
    </row>
    <row r="18" spans="1:10" ht="20.100000000000001" customHeight="1" x14ac:dyDescent="0.4">
      <c r="A18" s="114">
        <v>15</v>
      </c>
      <c r="B18" s="123">
        <v>46295</v>
      </c>
      <c r="C18" s="114" t="s">
        <v>261</v>
      </c>
      <c r="D18" s="114" t="s">
        <v>977</v>
      </c>
      <c r="E18" s="202" t="s">
        <v>564</v>
      </c>
      <c r="F18" s="114" t="s">
        <v>305</v>
      </c>
      <c r="G18" s="114">
        <v>1</v>
      </c>
      <c r="H18" s="114">
        <v>6</v>
      </c>
      <c r="I18" s="115">
        <v>155100</v>
      </c>
      <c r="J18" s="114" t="s">
        <v>246</v>
      </c>
    </row>
    <row r="19" spans="1:10" ht="20.100000000000001" customHeight="1" x14ac:dyDescent="0.4">
      <c r="A19" s="114">
        <v>16</v>
      </c>
      <c r="B19" s="123">
        <v>46295</v>
      </c>
      <c r="C19" s="114" t="s">
        <v>261</v>
      </c>
      <c r="D19" s="114" t="s">
        <v>975</v>
      </c>
      <c r="E19" s="202" t="s">
        <v>565</v>
      </c>
      <c r="F19" s="114" t="s">
        <v>245</v>
      </c>
      <c r="G19" s="114">
        <v>1</v>
      </c>
      <c r="H19" s="114">
        <v>6</v>
      </c>
      <c r="I19" s="115" t="s">
        <v>965</v>
      </c>
      <c r="J19" s="114" t="s">
        <v>246</v>
      </c>
    </row>
    <row r="20" spans="1:10" ht="19.5" customHeight="1" x14ac:dyDescent="0.4">
      <c r="A20" s="114">
        <v>17</v>
      </c>
      <c r="B20" s="123">
        <v>46295</v>
      </c>
      <c r="C20" s="114" t="s">
        <v>261</v>
      </c>
      <c r="D20" s="114" t="s">
        <v>976</v>
      </c>
      <c r="E20" s="202" t="s">
        <v>565</v>
      </c>
      <c r="F20" s="114" t="s">
        <v>245</v>
      </c>
      <c r="G20" s="114">
        <v>1</v>
      </c>
      <c r="H20" s="114">
        <v>6</v>
      </c>
      <c r="I20" s="205" t="s">
        <v>978</v>
      </c>
      <c r="J20" s="114" t="s">
        <v>246</v>
      </c>
    </row>
    <row r="21" spans="1:10" ht="20.100000000000001" customHeight="1" x14ac:dyDescent="0.4">
      <c r="A21" s="114">
        <v>18</v>
      </c>
      <c r="B21" s="123">
        <v>46295</v>
      </c>
      <c r="C21" s="114" t="s">
        <v>261</v>
      </c>
      <c r="D21" s="114" t="s">
        <v>977</v>
      </c>
      <c r="E21" s="202" t="s">
        <v>565</v>
      </c>
      <c r="F21" s="114" t="s">
        <v>245</v>
      </c>
      <c r="G21" s="114">
        <v>1</v>
      </c>
      <c r="H21" s="114">
        <v>6</v>
      </c>
      <c r="I21" s="115">
        <v>27440</v>
      </c>
      <c r="J21" s="114" t="s">
        <v>246</v>
      </c>
    </row>
    <row r="22" spans="1:10" ht="20.100000000000001" customHeight="1" x14ac:dyDescent="0.4">
      <c r="A22" s="114">
        <v>19</v>
      </c>
      <c r="B22" s="123">
        <v>46295</v>
      </c>
      <c r="C22" s="114" t="s">
        <v>261</v>
      </c>
      <c r="D22" s="114" t="s">
        <v>975</v>
      </c>
      <c r="E22" s="202" t="s">
        <v>962</v>
      </c>
      <c r="F22" s="114" t="s">
        <v>576</v>
      </c>
      <c r="G22" s="114">
        <v>1</v>
      </c>
      <c r="H22" s="114">
        <v>6</v>
      </c>
      <c r="I22" s="115">
        <v>1200</v>
      </c>
      <c r="J22" s="114" t="s">
        <v>246</v>
      </c>
    </row>
    <row r="23" spans="1:10" ht="19.5" customHeight="1" x14ac:dyDescent="0.4">
      <c r="A23" s="114">
        <v>20</v>
      </c>
      <c r="B23" s="123">
        <v>46295</v>
      </c>
      <c r="C23" s="114" t="s">
        <v>261</v>
      </c>
      <c r="D23" s="114" t="s">
        <v>976</v>
      </c>
      <c r="E23" s="202" t="s">
        <v>962</v>
      </c>
      <c r="F23" s="114" t="s">
        <v>576</v>
      </c>
      <c r="G23" s="114">
        <v>1</v>
      </c>
      <c r="H23" s="114">
        <v>6</v>
      </c>
      <c r="I23" s="205" t="s">
        <v>978</v>
      </c>
      <c r="J23" s="114" t="s">
        <v>246</v>
      </c>
    </row>
    <row r="24" spans="1:10" ht="20.100000000000001" customHeight="1" x14ac:dyDescent="0.4">
      <c r="A24" s="114">
        <v>21</v>
      </c>
      <c r="B24" s="123">
        <v>46295</v>
      </c>
      <c r="C24" s="114" t="s">
        <v>261</v>
      </c>
      <c r="D24" s="114" t="s">
        <v>977</v>
      </c>
      <c r="E24" s="202" t="s">
        <v>962</v>
      </c>
      <c r="F24" s="114" t="s">
        <v>576</v>
      </c>
      <c r="G24" s="114">
        <v>1</v>
      </c>
      <c r="H24" s="114">
        <v>6</v>
      </c>
      <c r="I24" s="115" t="s">
        <v>965</v>
      </c>
      <c r="J24" s="114" t="s">
        <v>246</v>
      </c>
    </row>
    <row r="25" spans="1:10" ht="20.100000000000001" customHeight="1" x14ac:dyDescent="0.4">
      <c r="A25" s="114">
        <v>22</v>
      </c>
      <c r="B25" s="123">
        <v>46295</v>
      </c>
      <c r="C25" s="114" t="s">
        <v>261</v>
      </c>
      <c r="D25" s="114" t="s">
        <v>975</v>
      </c>
      <c r="E25" s="203" t="s">
        <v>571</v>
      </c>
      <c r="F25" s="114" t="s">
        <v>297</v>
      </c>
      <c r="G25" s="114">
        <v>1</v>
      </c>
      <c r="H25" s="114">
        <v>6</v>
      </c>
      <c r="I25" s="115">
        <v>20210</v>
      </c>
      <c r="J25" s="114" t="s">
        <v>246</v>
      </c>
    </row>
    <row r="26" spans="1:10" ht="19.5" customHeight="1" x14ac:dyDescent="0.4">
      <c r="A26" s="114">
        <v>23</v>
      </c>
      <c r="B26" s="123">
        <v>46295</v>
      </c>
      <c r="C26" s="114" t="s">
        <v>261</v>
      </c>
      <c r="D26" s="114" t="s">
        <v>976</v>
      </c>
      <c r="E26" s="203" t="s">
        <v>571</v>
      </c>
      <c r="F26" s="114" t="s">
        <v>297</v>
      </c>
      <c r="G26" s="114">
        <v>1</v>
      </c>
      <c r="H26" s="114">
        <v>6</v>
      </c>
      <c r="I26" s="205" t="s">
        <v>978</v>
      </c>
      <c r="J26" s="114" t="s">
        <v>246</v>
      </c>
    </row>
    <row r="27" spans="1:10" ht="20.100000000000001" customHeight="1" x14ac:dyDescent="0.4">
      <c r="A27" s="114">
        <v>24</v>
      </c>
      <c r="B27" s="123">
        <v>46295</v>
      </c>
      <c r="C27" s="114" t="s">
        <v>261</v>
      </c>
      <c r="D27" s="114" t="s">
        <v>977</v>
      </c>
      <c r="E27" s="203" t="s">
        <v>571</v>
      </c>
      <c r="F27" s="114" t="s">
        <v>297</v>
      </c>
      <c r="G27" s="114">
        <v>1</v>
      </c>
      <c r="H27" s="114">
        <v>6</v>
      </c>
      <c r="I27" s="115">
        <v>165210</v>
      </c>
      <c r="J27" s="114" t="s">
        <v>246</v>
      </c>
    </row>
    <row r="28" spans="1:10" ht="20.100000000000001" customHeight="1" x14ac:dyDescent="0.4">
      <c r="A28" s="114">
        <v>25</v>
      </c>
      <c r="B28" s="123">
        <v>46295</v>
      </c>
      <c r="C28" s="114" t="s">
        <v>261</v>
      </c>
      <c r="D28" s="114" t="s">
        <v>975</v>
      </c>
      <c r="E28" s="202" t="s">
        <v>874</v>
      </c>
      <c r="F28" s="114" t="s">
        <v>576</v>
      </c>
      <c r="G28" s="114">
        <v>1</v>
      </c>
      <c r="H28" s="114">
        <v>6</v>
      </c>
      <c r="I28" s="115">
        <v>1530</v>
      </c>
      <c r="J28" s="114" t="s">
        <v>246</v>
      </c>
    </row>
    <row r="29" spans="1:10" ht="19.5" customHeight="1" x14ac:dyDescent="0.4">
      <c r="A29" s="114">
        <v>26</v>
      </c>
      <c r="B29" s="123">
        <v>46295</v>
      </c>
      <c r="C29" s="114" t="s">
        <v>261</v>
      </c>
      <c r="D29" s="114" t="s">
        <v>976</v>
      </c>
      <c r="E29" s="202" t="s">
        <v>874</v>
      </c>
      <c r="F29" s="114" t="s">
        <v>576</v>
      </c>
      <c r="G29" s="114">
        <v>1</v>
      </c>
      <c r="H29" s="114">
        <v>6</v>
      </c>
      <c r="I29" s="205" t="s">
        <v>978</v>
      </c>
      <c r="J29" s="114" t="s">
        <v>246</v>
      </c>
    </row>
    <row r="30" spans="1:10" ht="20.100000000000001" customHeight="1" x14ac:dyDescent="0.4">
      <c r="A30" s="114">
        <v>27</v>
      </c>
      <c r="B30" s="123">
        <v>46295</v>
      </c>
      <c r="C30" s="114" t="s">
        <v>261</v>
      </c>
      <c r="D30" s="114" t="s">
        <v>977</v>
      </c>
      <c r="E30" s="202" t="s">
        <v>874</v>
      </c>
      <c r="F30" s="114" t="s">
        <v>576</v>
      </c>
      <c r="G30" s="114">
        <v>1</v>
      </c>
      <c r="H30" s="114">
        <v>6</v>
      </c>
      <c r="I30" s="115">
        <v>91760</v>
      </c>
      <c r="J30" s="114" t="s">
        <v>246</v>
      </c>
    </row>
    <row r="31" spans="1:10" ht="20.100000000000001" customHeight="1" x14ac:dyDescent="0.4">
      <c r="A31" s="114">
        <v>28</v>
      </c>
      <c r="B31" s="123">
        <v>46295</v>
      </c>
      <c r="C31" s="114" t="s">
        <v>261</v>
      </c>
      <c r="D31" s="114" t="s">
        <v>975</v>
      </c>
      <c r="E31" s="202" t="s">
        <v>875</v>
      </c>
      <c r="F31" s="114" t="s">
        <v>577</v>
      </c>
      <c r="G31" s="114">
        <v>1</v>
      </c>
      <c r="H31" s="114">
        <v>6</v>
      </c>
      <c r="I31" s="115">
        <v>25390</v>
      </c>
      <c r="J31" s="114" t="s">
        <v>246</v>
      </c>
    </row>
    <row r="32" spans="1:10" ht="19.5" customHeight="1" x14ac:dyDescent="0.4">
      <c r="A32" s="114">
        <v>29</v>
      </c>
      <c r="B32" s="123">
        <v>46295</v>
      </c>
      <c r="C32" s="114" t="s">
        <v>261</v>
      </c>
      <c r="D32" s="114" t="s">
        <v>976</v>
      </c>
      <c r="E32" s="202" t="s">
        <v>875</v>
      </c>
      <c r="F32" s="114" t="s">
        <v>577</v>
      </c>
      <c r="G32" s="114">
        <v>1</v>
      </c>
      <c r="H32" s="114">
        <v>6</v>
      </c>
      <c r="I32" s="205" t="s">
        <v>978</v>
      </c>
      <c r="J32" s="114" t="s">
        <v>246</v>
      </c>
    </row>
    <row r="33" spans="1:10" ht="20.100000000000001" customHeight="1" x14ac:dyDescent="0.4">
      <c r="A33" s="114">
        <v>30</v>
      </c>
      <c r="B33" s="123">
        <v>46295</v>
      </c>
      <c r="C33" s="114" t="s">
        <v>261</v>
      </c>
      <c r="D33" s="114" t="s">
        <v>977</v>
      </c>
      <c r="E33" s="202" t="s">
        <v>875</v>
      </c>
      <c r="F33" s="114" t="s">
        <v>577</v>
      </c>
      <c r="G33" s="114">
        <v>1</v>
      </c>
      <c r="H33" s="114">
        <v>6</v>
      </c>
      <c r="I33" s="115">
        <v>161230</v>
      </c>
      <c r="J33" s="114" t="s">
        <v>246</v>
      </c>
    </row>
    <row r="34" spans="1:10" ht="20.100000000000001" customHeight="1" x14ac:dyDescent="0.4">
      <c r="A34" s="114">
        <v>31</v>
      </c>
      <c r="B34" s="123">
        <v>46295</v>
      </c>
      <c r="C34" s="114" t="s">
        <v>261</v>
      </c>
      <c r="D34" s="114" t="s">
        <v>975</v>
      </c>
      <c r="E34" s="202" t="s">
        <v>572</v>
      </c>
      <c r="F34" s="114" t="s">
        <v>245</v>
      </c>
      <c r="G34" s="114">
        <v>1</v>
      </c>
      <c r="H34" s="114">
        <v>6</v>
      </c>
      <c r="I34" s="115">
        <v>20210</v>
      </c>
      <c r="J34" s="114" t="s">
        <v>246</v>
      </c>
    </row>
    <row r="35" spans="1:10" ht="19.5" customHeight="1" x14ac:dyDescent="0.4">
      <c r="A35" s="114">
        <v>32</v>
      </c>
      <c r="B35" s="123">
        <v>46295</v>
      </c>
      <c r="C35" s="114" t="s">
        <v>261</v>
      </c>
      <c r="D35" s="114" t="s">
        <v>976</v>
      </c>
      <c r="E35" s="202" t="s">
        <v>572</v>
      </c>
      <c r="F35" s="114" t="s">
        <v>245</v>
      </c>
      <c r="G35" s="114">
        <v>1</v>
      </c>
      <c r="H35" s="114">
        <v>6</v>
      </c>
      <c r="I35" s="205" t="s">
        <v>978</v>
      </c>
      <c r="J35" s="114" t="s">
        <v>246</v>
      </c>
    </row>
    <row r="36" spans="1:10" ht="20.100000000000001" customHeight="1" x14ac:dyDescent="0.4">
      <c r="A36" s="114">
        <v>33</v>
      </c>
      <c r="B36" s="123">
        <v>46295</v>
      </c>
      <c r="C36" s="114" t="s">
        <v>261</v>
      </c>
      <c r="D36" s="114" t="s">
        <v>977</v>
      </c>
      <c r="E36" s="202" t="s">
        <v>572</v>
      </c>
      <c r="F36" s="114" t="s">
        <v>245</v>
      </c>
      <c r="G36" s="114">
        <v>1</v>
      </c>
      <c r="H36" s="114">
        <v>6</v>
      </c>
      <c r="I36" s="115">
        <v>29180</v>
      </c>
      <c r="J36" s="114" t="s">
        <v>246</v>
      </c>
    </row>
    <row r="37" spans="1:10" ht="20.100000000000001" customHeight="1" x14ac:dyDescent="0.4">
      <c r="A37" s="114">
        <v>34</v>
      </c>
      <c r="B37" s="123">
        <v>46295</v>
      </c>
      <c r="C37" s="114" t="s">
        <v>261</v>
      </c>
      <c r="D37" s="114" t="s">
        <v>975</v>
      </c>
      <c r="E37" s="202" t="s">
        <v>573</v>
      </c>
      <c r="F37" s="114" t="s">
        <v>577</v>
      </c>
      <c r="G37" s="114">
        <v>1</v>
      </c>
      <c r="H37" s="114">
        <v>6</v>
      </c>
      <c r="I37" s="115">
        <v>15020</v>
      </c>
      <c r="J37" s="114" t="s">
        <v>246</v>
      </c>
    </row>
    <row r="38" spans="1:10" ht="19.5" customHeight="1" x14ac:dyDescent="0.4">
      <c r="A38" s="114">
        <v>35</v>
      </c>
      <c r="B38" s="123">
        <v>46295</v>
      </c>
      <c r="C38" s="114" t="s">
        <v>261</v>
      </c>
      <c r="D38" s="114" t="s">
        <v>976</v>
      </c>
      <c r="E38" s="202" t="s">
        <v>573</v>
      </c>
      <c r="F38" s="114" t="s">
        <v>577</v>
      </c>
      <c r="G38" s="114">
        <v>1</v>
      </c>
      <c r="H38" s="114">
        <v>6</v>
      </c>
      <c r="I38" s="205" t="s">
        <v>978</v>
      </c>
      <c r="J38" s="114" t="s">
        <v>246</v>
      </c>
    </row>
    <row r="39" spans="1:10" ht="20.100000000000001" customHeight="1" x14ac:dyDescent="0.4">
      <c r="A39" s="114">
        <v>36</v>
      </c>
      <c r="B39" s="123">
        <v>46295</v>
      </c>
      <c r="C39" s="114" t="s">
        <v>261</v>
      </c>
      <c r="D39" s="114" t="s">
        <v>977</v>
      </c>
      <c r="E39" s="202" t="s">
        <v>573</v>
      </c>
      <c r="F39" s="114" t="s">
        <v>577</v>
      </c>
      <c r="G39" s="114">
        <v>1</v>
      </c>
      <c r="H39" s="114">
        <v>6</v>
      </c>
      <c r="I39" s="115">
        <v>8260</v>
      </c>
      <c r="J39" s="114" t="s">
        <v>246</v>
      </c>
    </row>
    <row r="40" spans="1:10" ht="20.100000000000001" customHeight="1" x14ac:dyDescent="0.4">
      <c r="A40" s="114">
        <v>37</v>
      </c>
      <c r="B40" s="123">
        <v>46295</v>
      </c>
      <c r="C40" s="114" t="s">
        <v>261</v>
      </c>
      <c r="D40" s="114" t="s">
        <v>975</v>
      </c>
      <c r="E40" s="202" t="s">
        <v>574</v>
      </c>
      <c r="F40" s="114" t="s">
        <v>297</v>
      </c>
      <c r="G40" s="114">
        <v>1</v>
      </c>
      <c r="H40" s="114">
        <v>6</v>
      </c>
      <c r="I40" s="115">
        <v>22160</v>
      </c>
      <c r="J40" s="114" t="s">
        <v>246</v>
      </c>
    </row>
    <row r="41" spans="1:10" ht="19.5" customHeight="1" x14ac:dyDescent="0.4">
      <c r="A41" s="114">
        <v>38</v>
      </c>
      <c r="B41" s="123">
        <v>46295</v>
      </c>
      <c r="C41" s="114" t="s">
        <v>261</v>
      </c>
      <c r="D41" s="114" t="s">
        <v>976</v>
      </c>
      <c r="E41" s="202" t="s">
        <v>574</v>
      </c>
      <c r="F41" s="114" t="s">
        <v>297</v>
      </c>
      <c r="G41" s="114">
        <v>1</v>
      </c>
      <c r="H41" s="114">
        <v>6</v>
      </c>
      <c r="I41" s="205" t="s">
        <v>978</v>
      </c>
      <c r="J41" s="114" t="s">
        <v>246</v>
      </c>
    </row>
    <row r="42" spans="1:10" ht="20.100000000000001" customHeight="1" x14ac:dyDescent="0.4">
      <c r="A42" s="114">
        <v>39</v>
      </c>
      <c r="B42" s="123">
        <v>46295</v>
      </c>
      <c r="C42" s="114" t="s">
        <v>261</v>
      </c>
      <c r="D42" s="114" t="s">
        <v>977</v>
      </c>
      <c r="E42" s="202" t="s">
        <v>574</v>
      </c>
      <c r="F42" s="114" t="s">
        <v>297</v>
      </c>
      <c r="G42" s="114">
        <v>1</v>
      </c>
      <c r="H42" s="114">
        <v>6</v>
      </c>
      <c r="I42" s="115" t="s">
        <v>965</v>
      </c>
      <c r="J42" s="114" t="s">
        <v>246</v>
      </c>
    </row>
    <row r="43" spans="1:10" ht="20.100000000000001" customHeight="1" x14ac:dyDescent="0.4">
      <c r="A43" s="114">
        <v>40</v>
      </c>
      <c r="B43" s="123">
        <v>46295</v>
      </c>
      <c r="C43" s="114" t="s">
        <v>261</v>
      </c>
      <c r="D43" s="114" t="s">
        <v>975</v>
      </c>
      <c r="E43" s="202" t="s">
        <v>575</v>
      </c>
      <c r="F43" s="114" t="s">
        <v>245</v>
      </c>
      <c r="G43" s="114">
        <v>1</v>
      </c>
      <c r="H43" s="114">
        <v>6</v>
      </c>
      <c r="I43" s="115">
        <v>35770</v>
      </c>
      <c r="J43" s="114" t="s">
        <v>246</v>
      </c>
    </row>
    <row r="44" spans="1:10" ht="19.5" customHeight="1" x14ac:dyDescent="0.4">
      <c r="A44" s="114">
        <v>41</v>
      </c>
      <c r="B44" s="123">
        <v>46295</v>
      </c>
      <c r="C44" s="114" t="s">
        <v>261</v>
      </c>
      <c r="D44" s="114" t="s">
        <v>976</v>
      </c>
      <c r="E44" s="202" t="s">
        <v>575</v>
      </c>
      <c r="F44" s="114" t="s">
        <v>245</v>
      </c>
      <c r="G44" s="114">
        <v>1</v>
      </c>
      <c r="H44" s="114">
        <v>6</v>
      </c>
      <c r="I44" s="205" t="s">
        <v>978</v>
      </c>
      <c r="J44" s="114" t="s">
        <v>246</v>
      </c>
    </row>
    <row r="45" spans="1:10" ht="20.100000000000001" customHeight="1" x14ac:dyDescent="0.4">
      <c r="A45" s="114">
        <v>42</v>
      </c>
      <c r="B45" s="123">
        <v>46295</v>
      </c>
      <c r="C45" s="114" t="s">
        <v>261</v>
      </c>
      <c r="D45" s="114" t="s">
        <v>977</v>
      </c>
      <c r="E45" s="202" t="s">
        <v>575</v>
      </c>
      <c r="F45" s="114" t="s">
        <v>245</v>
      </c>
      <c r="G45" s="114">
        <v>1</v>
      </c>
      <c r="H45" s="114">
        <v>6</v>
      </c>
      <c r="I45" s="115">
        <v>66220</v>
      </c>
      <c r="J45" s="114" t="s">
        <v>246</v>
      </c>
    </row>
    <row r="46" spans="1:10" ht="20.100000000000001" customHeight="1" x14ac:dyDescent="0.4">
      <c r="A46" s="114">
        <v>43</v>
      </c>
      <c r="B46" s="123">
        <v>46295</v>
      </c>
      <c r="C46" s="114" t="s">
        <v>261</v>
      </c>
      <c r="D46" s="114" t="s">
        <v>975</v>
      </c>
      <c r="E46" s="202" t="s">
        <v>876</v>
      </c>
      <c r="F46" s="114" t="s">
        <v>297</v>
      </c>
      <c r="G46" s="114">
        <v>1</v>
      </c>
      <c r="H46" s="114">
        <v>4</v>
      </c>
      <c r="I46" s="115" t="s">
        <v>965</v>
      </c>
      <c r="J46" s="114" t="s">
        <v>246</v>
      </c>
    </row>
    <row r="47" spans="1:10" ht="19.5" customHeight="1" x14ac:dyDescent="0.4">
      <c r="A47" s="114">
        <v>44</v>
      </c>
      <c r="B47" s="123">
        <v>46295</v>
      </c>
      <c r="C47" s="114" t="s">
        <v>261</v>
      </c>
      <c r="D47" s="114" t="s">
        <v>976</v>
      </c>
      <c r="E47" s="202" t="s">
        <v>876</v>
      </c>
      <c r="F47" s="114" t="s">
        <v>297</v>
      </c>
      <c r="G47" s="114">
        <v>1</v>
      </c>
      <c r="H47" s="114">
        <v>4</v>
      </c>
      <c r="I47" s="205" t="s">
        <v>978</v>
      </c>
      <c r="J47" s="114" t="s">
        <v>246</v>
      </c>
    </row>
    <row r="48" spans="1:10" ht="19.5" customHeight="1" x14ac:dyDescent="0.4">
      <c r="A48" s="114">
        <v>45</v>
      </c>
      <c r="B48" s="123">
        <v>46295</v>
      </c>
      <c r="C48" s="114" t="s">
        <v>261</v>
      </c>
      <c r="D48" s="114" t="s">
        <v>977</v>
      </c>
      <c r="E48" s="202" t="s">
        <v>876</v>
      </c>
      <c r="F48" s="114" t="s">
        <v>297</v>
      </c>
      <c r="G48" s="114">
        <v>1</v>
      </c>
      <c r="H48" s="114">
        <v>4</v>
      </c>
      <c r="I48" s="115">
        <v>34480</v>
      </c>
      <c r="J48" s="114" t="s">
        <v>246</v>
      </c>
    </row>
    <row r="49" spans="1:10" ht="20.100000000000001" customHeight="1" x14ac:dyDescent="0.4">
      <c r="A49" s="114">
        <v>46</v>
      </c>
      <c r="B49" s="123">
        <v>46295</v>
      </c>
      <c r="C49" s="114" t="s">
        <v>261</v>
      </c>
      <c r="D49" s="114" t="s">
        <v>975</v>
      </c>
      <c r="E49" s="202" t="s">
        <v>877</v>
      </c>
      <c r="F49" s="114" t="s">
        <v>297</v>
      </c>
      <c r="G49" s="114">
        <v>1</v>
      </c>
      <c r="H49" s="114">
        <v>6</v>
      </c>
      <c r="I49" s="115">
        <v>21940</v>
      </c>
      <c r="J49" s="114" t="s">
        <v>246</v>
      </c>
    </row>
    <row r="50" spans="1:10" ht="19.5" customHeight="1" x14ac:dyDescent="0.4">
      <c r="A50" s="114">
        <v>47</v>
      </c>
      <c r="B50" s="123">
        <v>46295</v>
      </c>
      <c r="C50" s="114" t="s">
        <v>261</v>
      </c>
      <c r="D50" s="114" t="s">
        <v>976</v>
      </c>
      <c r="E50" s="202" t="s">
        <v>877</v>
      </c>
      <c r="F50" s="114" t="s">
        <v>297</v>
      </c>
      <c r="G50" s="114">
        <v>1</v>
      </c>
      <c r="H50" s="114">
        <v>6</v>
      </c>
      <c r="I50" s="205" t="s">
        <v>978</v>
      </c>
      <c r="J50" s="114" t="s">
        <v>246</v>
      </c>
    </row>
    <row r="51" spans="1:10" ht="19.5" customHeight="1" x14ac:dyDescent="0.4">
      <c r="A51" s="114">
        <v>48</v>
      </c>
      <c r="B51" s="123">
        <v>46295</v>
      </c>
      <c r="C51" s="114" t="s">
        <v>261</v>
      </c>
      <c r="D51" s="114" t="s">
        <v>977</v>
      </c>
      <c r="E51" s="202" t="s">
        <v>877</v>
      </c>
      <c r="F51" s="114" t="s">
        <v>297</v>
      </c>
      <c r="G51" s="114">
        <v>1</v>
      </c>
      <c r="H51" s="114">
        <v>6</v>
      </c>
      <c r="I51" s="115">
        <v>70600</v>
      </c>
      <c r="J51" s="114" t="s">
        <v>246</v>
      </c>
    </row>
    <row r="52" spans="1:10" ht="20.100000000000001" customHeight="1" x14ac:dyDescent="0.4">
      <c r="A52" s="114">
        <v>49</v>
      </c>
      <c r="B52" s="123">
        <v>46295</v>
      </c>
      <c r="C52" s="114" t="s">
        <v>261</v>
      </c>
      <c r="D52" s="114" t="s">
        <v>975</v>
      </c>
      <c r="E52" s="202" t="s">
        <v>878</v>
      </c>
      <c r="F52" s="114" t="s">
        <v>577</v>
      </c>
      <c r="G52" s="114">
        <v>1</v>
      </c>
      <c r="H52" s="114">
        <v>6</v>
      </c>
      <c r="I52" s="115">
        <v>27160</v>
      </c>
      <c r="J52" s="114" t="s">
        <v>246</v>
      </c>
    </row>
    <row r="53" spans="1:10" ht="19.5" customHeight="1" x14ac:dyDescent="0.4">
      <c r="A53" s="114">
        <v>50</v>
      </c>
      <c r="B53" s="123">
        <v>46295</v>
      </c>
      <c r="C53" s="114" t="s">
        <v>261</v>
      </c>
      <c r="D53" s="114" t="s">
        <v>976</v>
      </c>
      <c r="E53" s="202" t="s">
        <v>878</v>
      </c>
      <c r="F53" s="114" t="s">
        <v>577</v>
      </c>
      <c r="G53" s="114">
        <v>1</v>
      </c>
      <c r="H53" s="114">
        <v>6</v>
      </c>
      <c r="I53" s="205" t="s">
        <v>978</v>
      </c>
      <c r="J53" s="114" t="s">
        <v>246</v>
      </c>
    </row>
    <row r="54" spans="1:10" ht="19.5" customHeight="1" x14ac:dyDescent="0.4">
      <c r="A54" s="114">
        <v>51</v>
      </c>
      <c r="B54" s="123">
        <v>46295</v>
      </c>
      <c r="C54" s="114" t="s">
        <v>261</v>
      </c>
      <c r="D54" s="114" t="s">
        <v>977</v>
      </c>
      <c r="E54" s="202" t="s">
        <v>878</v>
      </c>
      <c r="F54" s="114" t="s">
        <v>577</v>
      </c>
      <c r="G54" s="114">
        <v>1</v>
      </c>
      <c r="H54" s="114">
        <v>6</v>
      </c>
      <c r="I54" s="115">
        <v>93000</v>
      </c>
      <c r="J54" s="114" t="s">
        <v>246</v>
      </c>
    </row>
    <row r="55" spans="1:10" ht="20.100000000000001" customHeight="1" x14ac:dyDescent="0.4">
      <c r="A55" s="114">
        <v>52</v>
      </c>
      <c r="B55" s="123">
        <v>46295</v>
      </c>
      <c r="C55" s="114" t="s">
        <v>261</v>
      </c>
      <c r="D55" s="114" t="s">
        <v>975</v>
      </c>
      <c r="E55" s="202" t="s">
        <v>879</v>
      </c>
      <c r="F55" s="114" t="s">
        <v>297</v>
      </c>
      <c r="G55" s="114">
        <v>1</v>
      </c>
      <c r="H55" s="114">
        <v>6</v>
      </c>
      <c r="I55" s="115">
        <v>30610</v>
      </c>
      <c r="J55" s="114" t="s">
        <v>246</v>
      </c>
    </row>
    <row r="56" spans="1:10" ht="19.5" customHeight="1" x14ac:dyDescent="0.4">
      <c r="A56" s="114">
        <v>53</v>
      </c>
      <c r="B56" s="123">
        <v>46295</v>
      </c>
      <c r="C56" s="114" t="s">
        <v>261</v>
      </c>
      <c r="D56" s="114" t="s">
        <v>976</v>
      </c>
      <c r="E56" s="202" t="s">
        <v>879</v>
      </c>
      <c r="F56" s="114" t="s">
        <v>297</v>
      </c>
      <c r="G56" s="114">
        <v>1</v>
      </c>
      <c r="H56" s="114">
        <v>6</v>
      </c>
      <c r="I56" s="205" t="s">
        <v>978</v>
      </c>
      <c r="J56" s="114" t="s">
        <v>246</v>
      </c>
    </row>
    <row r="57" spans="1:10" ht="19.5" customHeight="1" x14ac:dyDescent="0.4">
      <c r="A57" s="114">
        <v>54</v>
      </c>
      <c r="B57" s="123">
        <v>46295</v>
      </c>
      <c r="C57" s="114" t="s">
        <v>261</v>
      </c>
      <c r="D57" s="114" t="s">
        <v>977</v>
      </c>
      <c r="E57" s="202" t="s">
        <v>879</v>
      </c>
      <c r="F57" s="114" t="s">
        <v>297</v>
      </c>
      <c r="G57" s="114">
        <v>1</v>
      </c>
      <c r="H57" s="114">
        <v>6</v>
      </c>
      <c r="I57" s="115">
        <v>32810</v>
      </c>
      <c r="J57" s="114" t="s">
        <v>246</v>
      </c>
    </row>
    <row r="58" spans="1:10" ht="20.100000000000001" customHeight="1" x14ac:dyDescent="0.4">
      <c r="A58" s="114">
        <v>55</v>
      </c>
      <c r="B58" s="123">
        <v>46295</v>
      </c>
      <c r="C58" s="114" t="s">
        <v>261</v>
      </c>
      <c r="D58" s="114" t="s">
        <v>975</v>
      </c>
      <c r="E58" s="202" t="s">
        <v>880</v>
      </c>
      <c r="F58" s="114" t="s">
        <v>577</v>
      </c>
      <c r="G58" s="114">
        <v>1</v>
      </c>
      <c r="H58" s="114">
        <v>6</v>
      </c>
      <c r="I58" s="115">
        <v>20240</v>
      </c>
      <c r="J58" s="114" t="s">
        <v>246</v>
      </c>
    </row>
    <row r="59" spans="1:10" ht="19.5" customHeight="1" x14ac:dyDescent="0.4">
      <c r="A59" s="114">
        <v>56</v>
      </c>
      <c r="B59" s="123">
        <v>46295</v>
      </c>
      <c r="C59" s="114" t="s">
        <v>261</v>
      </c>
      <c r="D59" s="114" t="s">
        <v>976</v>
      </c>
      <c r="E59" s="202" t="s">
        <v>880</v>
      </c>
      <c r="F59" s="114" t="s">
        <v>577</v>
      </c>
      <c r="G59" s="114">
        <v>1</v>
      </c>
      <c r="H59" s="114">
        <v>6</v>
      </c>
      <c r="I59" s="205" t="s">
        <v>978</v>
      </c>
      <c r="J59" s="114" t="s">
        <v>246</v>
      </c>
    </row>
    <row r="60" spans="1:10" ht="19.5" customHeight="1" x14ac:dyDescent="0.4">
      <c r="A60" s="114">
        <v>57</v>
      </c>
      <c r="B60" s="123">
        <v>46295</v>
      </c>
      <c r="C60" s="114" t="s">
        <v>261</v>
      </c>
      <c r="D60" s="114" t="s">
        <v>977</v>
      </c>
      <c r="E60" s="202" t="s">
        <v>880</v>
      </c>
      <c r="F60" s="114" t="s">
        <v>577</v>
      </c>
      <c r="G60" s="114">
        <v>1</v>
      </c>
      <c r="H60" s="114">
        <v>6</v>
      </c>
      <c r="I60" s="115">
        <v>83920</v>
      </c>
      <c r="J60" s="114" t="s">
        <v>246</v>
      </c>
    </row>
    <row r="61" spans="1:10" ht="20.100000000000001" customHeight="1" x14ac:dyDescent="0.4">
      <c r="A61" s="114">
        <v>58</v>
      </c>
      <c r="B61" s="123">
        <v>46295</v>
      </c>
      <c r="C61" s="114" t="s">
        <v>261</v>
      </c>
      <c r="D61" s="114" t="s">
        <v>975</v>
      </c>
      <c r="E61" s="202" t="s">
        <v>881</v>
      </c>
      <c r="F61" s="114" t="s">
        <v>245</v>
      </c>
      <c r="G61" s="114">
        <v>1</v>
      </c>
      <c r="H61" s="114">
        <v>6</v>
      </c>
      <c r="I61" s="115">
        <v>15050</v>
      </c>
      <c r="J61" s="114" t="s">
        <v>246</v>
      </c>
    </row>
    <row r="62" spans="1:10" ht="19.5" customHeight="1" x14ac:dyDescent="0.4">
      <c r="A62" s="114">
        <v>59</v>
      </c>
      <c r="B62" s="123">
        <v>46295</v>
      </c>
      <c r="C62" s="114" t="s">
        <v>261</v>
      </c>
      <c r="D62" s="114" t="s">
        <v>976</v>
      </c>
      <c r="E62" s="202" t="s">
        <v>881</v>
      </c>
      <c r="F62" s="114" t="s">
        <v>245</v>
      </c>
      <c r="G62" s="114">
        <v>1</v>
      </c>
      <c r="H62" s="114">
        <v>6</v>
      </c>
      <c r="I62" s="205" t="s">
        <v>978</v>
      </c>
      <c r="J62" s="114" t="s">
        <v>246</v>
      </c>
    </row>
    <row r="63" spans="1:10" ht="19.5" customHeight="1" x14ac:dyDescent="0.4">
      <c r="A63" s="114">
        <v>60</v>
      </c>
      <c r="B63" s="123">
        <v>46295</v>
      </c>
      <c r="C63" s="114" t="s">
        <v>261</v>
      </c>
      <c r="D63" s="114" t="s">
        <v>977</v>
      </c>
      <c r="E63" s="202" t="s">
        <v>881</v>
      </c>
      <c r="F63" s="114" t="s">
        <v>245</v>
      </c>
      <c r="G63" s="114">
        <v>1</v>
      </c>
      <c r="H63" s="114">
        <v>6</v>
      </c>
      <c r="I63" s="115">
        <v>33570</v>
      </c>
      <c r="J63" s="114" t="s">
        <v>246</v>
      </c>
    </row>
    <row r="64" spans="1:10" ht="20.100000000000001" customHeight="1" x14ac:dyDescent="0.4">
      <c r="A64" s="114">
        <v>61</v>
      </c>
      <c r="B64" s="123">
        <v>46295</v>
      </c>
      <c r="C64" s="114" t="s">
        <v>261</v>
      </c>
      <c r="D64" s="114" t="s">
        <v>975</v>
      </c>
      <c r="E64" s="202" t="s">
        <v>882</v>
      </c>
      <c r="F64" s="114" t="s">
        <v>577</v>
      </c>
      <c r="G64" s="114">
        <v>1</v>
      </c>
      <c r="H64" s="114">
        <v>6</v>
      </c>
      <c r="I64" s="115">
        <v>34070</v>
      </c>
      <c r="J64" s="114" t="s">
        <v>246</v>
      </c>
    </row>
    <row r="65" spans="1:10" ht="19.5" customHeight="1" x14ac:dyDescent="0.4">
      <c r="A65" s="114">
        <v>62</v>
      </c>
      <c r="B65" s="123">
        <v>46295</v>
      </c>
      <c r="C65" s="114" t="s">
        <v>261</v>
      </c>
      <c r="D65" s="114" t="s">
        <v>976</v>
      </c>
      <c r="E65" s="202" t="s">
        <v>882</v>
      </c>
      <c r="F65" s="114" t="s">
        <v>577</v>
      </c>
      <c r="G65" s="114">
        <v>1</v>
      </c>
      <c r="H65" s="114">
        <v>6</v>
      </c>
      <c r="I65" s="205" t="s">
        <v>978</v>
      </c>
      <c r="J65" s="114" t="s">
        <v>246</v>
      </c>
    </row>
    <row r="66" spans="1:10" ht="19.5" customHeight="1" x14ac:dyDescent="0.4">
      <c r="A66" s="114">
        <v>63</v>
      </c>
      <c r="B66" s="123">
        <v>46295</v>
      </c>
      <c r="C66" s="114" t="s">
        <v>261</v>
      </c>
      <c r="D66" s="114" t="s">
        <v>977</v>
      </c>
      <c r="E66" s="202" t="s">
        <v>882</v>
      </c>
      <c r="F66" s="114" t="s">
        <v>577</v>
      </c>
      <c r="G66" s="114">
        <v>1</v>
      </c>
      <c r="H66" s="114">
        <v>6</v>
      </c>
      <c r="I66" s="115" t="s">
        <v>965</v>
      </c>
      <c r="J66" s="114" t="s">
        <v>246</v>
      </c>
    </row>
    <row r="67" spans="1:10" ht="20.100000000000001" customHeight="1" x14ac:dyDescent="0.4">
      <c r="A67" s="114">
        <v>64</v>
      </c>
      <c r="B67" s="123">
        <v>46295</v>
      </c>
      <c r="C67" s="114" t="s">
        <v>261</v>
      </c>
      <c r="D67" s="114" t="s">
        <v>975</v>
      </c>
      <c r="E67" s="202" t="s">
        <v>883</v>
      </c>
      <c r="F67" s="114" t="s">
        <v>297</v>
      </c>
      <c r="G67" s="114">
        <v>1</v>
      </c>
      <c r="H67" s="114">
        <v>6</v>
      </c>
      <c r="I67" s="115">
        <v>15050</v>
      </c>
      <c r="J67" s="114" t="s">
        <v>246</v>
      </c>
    </row>
    <row r="68" spans="1:10" ht="19.5" customHeight="1" x14ac:dyDescent="0.4">
      <c r="A68" s="114">
        <v>65</v>
      </c>
      <c r="B68" s="123">
        <v>46295</v>
      </c>
      <c r="C68" s="114" t="s">
        <v>261</v>
      </c>
      <c r="D68" s="114" t="s">
        <v>976</v>
      </c>
      <c r="E68" s="202" t="s">
        <v>883</v>
      </c>
      <c r="F68" s="114" t="s">
        <v>297</v>
      </c>
      <c r="G68" s="114">
        <v>1</v>
      </c>
      <c r="H68" s="114">
        <v>6</v>
      </c>
      <c r="I68" s="205" t="s">
        <v>978</v>
      </c>
      <c r="J68" s="114" t="s">
        <v>246</v>
      </c>
    </row>
    <row r="69" spans="1:10" ht="19.5" customHeight="1" x14ac:dyDescent="0.4">
      <c r="A69" s="114">
        <v>66</v>
      </c>
      <c r="B69" s="123">
        <v>46295</v>
      </c>
      <c r="C69" s="114" t="s">
        <v>261</v>
      </c>
      <c r="D69" s="114" t="s">
        <v>977</v>
      </c>
      <c r="E69" s="202" t="s">
        <v>883</v>
      </c>
      <c r="F69" s="114" t="s">
        <v>297</v>
      </c>
      <c r="G69" s="114">
        <v>1</v>
      </c>
      <c r="H69" s="114">
        <v>6</v>
      </c>
      <c r="I69" s="115" t="s">
        <v>965</v>
      </c>
      <c r="J69" s="114" t="s">
        <v>246</v>
      </c>
    </row>
    <row r="70" spans="1:10" ht="20.100000000000001" customHeight="1" x14ac:dyDescent="0.4">
      <c r="A70" s="114">
        <v>67</v>
      </c>
      <c r="B70" s="123">
        <v>46295</v>
      </c>
      <c r="C70" s="114" t="s">
        <v>261</v>
      </c>
      <c r="D70" s="114" t="s">
        <v>975</v>
      </c>
      <c r="E70" s="202" t="s">
        <v>884</v>
      </c>
      <c r="F70" s="114" t="s">
        <v>577</v>
      </c>
      <c r="G70" s="114">
        <v>1</v>
      </c>
      <c r="H70" s="114">
        <v>6</v>
      </c>
      <c r="I70" s="115">
        <v>20210</v>
      </c>
      <c r="J70" s="114" t="s">
        <v>246</v>
      </c>
    </row>
    <row r="71" spans="1:10" ht="19.5" customHeight="1" x14ac:dyDescent="0.4">
      <c r="A71" s="114">
        <v>68</v>
      </c>
      <c r="B71" s="123">
        <v>46295</v>
      </c>
      <c r="C71" s="114" t="s">
        <v>261</v>
      </c>
      <c r="D71" s="114" t="s">
        <v>976</v>
      </c>
      <c r="E71" s="202" t="s">
        <v>884</v>
      </c>
      <c r="F71" s="114" t="s">
        <v>577</v>
      </c>
      <c r="G71" s="114">
        <v>1</v>
      </c>
      <c r="H71" s="114">
        <v>6</v>
      </c>
      <c r="I71" s="205" t="s">
        <v>978</v>
      </c>
      <c r="J71" s="114" t="s">
        <v>246</v>
      </c>
    </row>
    <row r="72" spans="1:10" ht="19.5" customHeight="1" x14ac:dyDescent="0.4">
      <c r="A72" s="114">
        <v>69</v>
      </c>
      <c r="B72" s="123">
        <v>46295</v>
      </c>
      <c r="C72" s="114" t="s">
        <v>261</v>
      </c>
      <c r="D72" s="114" t="s">
        <v>977</v>
      </c>
      <c r="E72" s="202" t="s">
        <v>884</v>
      </c>
      <c r="F72" s="114" t="s">
        <v>577</v>
      </c>
      <c r="G72" s="114">
        <v>1</v>
      </c>
      <c r="H72" s="114">
        <v>6</v>
      </c>
      <c r="I72" s="115" t="s">
        <v>965</v>
      </c>
      <c r="J72" s="114" t="s">
        <v>246</v>
      </c>
    </row>
    <row r="73" spans="1:10" ht="20.100000000000001" customHeight="1" x14ac:dyDescent="0.4">
      <c r="A73" s="114">
        <v>70</v>
      </c>
      <c r="B73" s="123">
        <v>46295</v>
      </c>
      <c r="C73" s="114" t="s">
        <v>261</v>
      </c>
      <c r="D73" s="114" t="s">
        <v>975</v>
      </c>
      <c r="E73" s="202" t="s">
        <v>885</v>
      </c>
      <c r="F73" s="114" t="s">
        <v>577</v>
      </c>
      <c r="G73" s="114">
        <v>1</v>
      </c>
      <c r="H73" s="114">
        <v>6</v>
      </c>
      <c r="I73" s="115">
        <v>9840</v>
      </c>
      <c r="J73" s="114" t="s">
        <v>246</v>
      </c>
    </row>
    <row r="74" spans="1:10" ht="19.5" customHeight="1" x14ac:dyDescent="0.4">
      <c r="A74" s="114">
        <v>71</v>
      </c>
      <c r="B74" s="123">
        <v>46295</v>
      </c>
      <c r="C74" s="114" t="s">
        <v>261</v>
      </c>
      <c r="D74" s="114" t="s">
        <v>976</v>
      </c>
      <c r="E74" s="202" t="s">
        <v>885</v>
      </c>
      <c r="F74" s="114" t="s">
        <v>577</v>
      </c>
      <c r="G74" s="114">
        <v>1</v>
      </c>
      <c r="H74" s="114">
        <v>6</v>
      </c>
      <c r="I74" s="205" t="s">
        <v>978</v>
      </c>
      <c r="J74" s="114" t="s">
        <v>246</v>
      </c>
    </row>
    <row r="75" spans="1:10" ht="19.5" customHeight="1" x14ac:dyDescent="0.4">
      <c r="A75" s="114">
        <v>72</v>
      </c>
      <c r="B75" s="123">
        <v>46295</v>
      </c>
      <c r="C75" s="114" t="s">
        <v>261</v>
      </c>
      <c r="D75" s="114" t="s">
        <v>977</v>
      </c>
      <c r="E75" s="202" t="s">
        <v>885</v>
      </c>
      <c r="F75" s="114" t="s">
        <v>577</v>
      </c>
      <c r="G75" s="114">
        <v>1</v>
      </c>
      <c r="H75" s="114">
        <v>6</v>
      </c>
      <c r="I75" s="115" t="s">
        <v>965</v>
      </c>
      <c r="J75" s="114" t="s">
        <v>246</v>
      </c>
    </row>
    <row r="76" spans="1:10" ht="20.100000000000001" customHeight="1" x14ac:dyDescent="0.4">
      <c r="A76" s="114">
        <v>73</v>
      </c>
      <c r="B76" s="123">
        <v>46295</v>
      </c>
      <c r="C76" s="114" t="s">
        <v>261</v>
      </c>
      <c r="D76" s="114" t="s">
        <v>975</v>
      </c>
      <c r="E76" s="202" t="s">
        <v>886</v>
      </c>
      <c r="F76" s="114" t="s">
        <v>297</v>
      </c>
      <c r="G76" s="114">
        <v>1</v>
      </c>
      <c r="H76" s="114">
        <v>6</v>
      </c>
      <c r="I76" s="115">
        <v>16750</v>
      </c>
      <c r="J76" s="114" t="s">
        <v>246</v>
      </c>
    </row>
    <row r="77" spans="1:10" ht="19.5" customHeight="1" x14ac:dyDescent="0.4">
      <c r="A77" s="114">
        <v>74</v>
      </c>
      <c r="B77" s="123">
        <v>46295</v>
      </c>
      <c r="C77" s="114" t="s">
        <v>261</v>
      </c>
      <c r="D77" s="114" t="s">
        <v>976</v>
      </c>
      <c r="E77" s="202" t="s">
        <v>886</v>
      </c>
      <c r="F77" s="114" t="s">
        <v>297</v>
      </c>
      <c r="G77" s="114">
        <v>1</v>
      </c>
      <c r="H77" s="114">
        <v>6</v>
      </c>
      <c r="I77" s="205" t="s">
        <v>978</v>
      </c>
      <c r="J77" s="114" t="s">
        <v>246</v>
      </c>
    </row>
    <row r="78" spans="1:10" ht="19.5" customHeight="1" x14ac:dyDescent="0.4">
      <c r="A78" s="114">
        <v>75</v>
      </c>
      <c r="B78" s="123">
        <v>46295</v>
      </c>
      <c r="C78" s="114" t="s">
        <v>261</v>
      </c>
      <c r="D78" s="114" t="s">
        <v>977</v>
      </c>
      <c r="E78" s="202" t="s">
        <v>886</v>
      </c>
      <c r="F78" s="114" t="s">
        <v>297</v>
      </c>
      <c r="G78" s="114">
        <v>1</v>
      </c>
      <c r="H78" s="114">
        <v>6</v>
      </c>
      <c r="I78" s="115">
        <v>26470</v>
      </c>
      <c r="J78" s="114" t="s">
        <v>246</v>
      </c>
    </row>
    <row r="79" spans="1:10" ht="20.100000000000001" customHeight="1" x14ac:dyDescent="0.4">
      <c r="A79" s="114">
        <v>76</v>
      </c>
      <c r="B79" s="123">
        <v>46295</v>
      </c>
      <c r="C79" s="114" t="s">
        <v>261</v>
      </c>
      <c r="D79" s="114" t="s">
        <v>975</v>
      </c>
      <c r="E79" s="202" t="s">
        <v>887</v>
      </c>
      <c r="F79" s="114" t="s">
        <v>297</v>
      </c>
      <c r="G79" s="114">
        <v>1</v>
      </c>
      <c r="H79" s="114">
        <v>6</v>
      </c>
      <c r="I79" s="115">
        <v>10260</v>
      </c>
      <c r="J79" s="114" t="s">
        <v>246</v>
      </c>
    </row>
    <row r="80" spans="1:10" ht="19.5" customHeight="1" x14ac:dyDescent="0.4">
      <c r="A80" s="114">
        <v>77</v>
      </c>
      <c r="B80" s="123">
        <v>46295</v>
      </c>
      <c r="C80" s="114" t="s">
        <v>261</v>
      </c>
      <c r="D80" s="114" t="s">
        <v>976</v>
      </c>
      <c r="E80" s="202" t="s">
        <v>887</v>
      </c>
      <c r="F80" s="114" t="s">
        <v>297</v>
      </c>
      <c r="G80" s="114">
        <v>1</v>
      </c>
      <c r="H80" s="114">
        <v>6</v>
      </c>
      <c r="I80" s="205" t="s">
        <v>978</v>
      </c>
      <c r="J80" s="114" t="s">
        <v>246</v>
      </c>
    </row>
    <row r="81" spans="1:10" ht="19.5" customHeight="1" x14ac:dyDescent="0.4">
      <c r="A81" s="114">
        <v>78</v>
      </c>
      <c r="B81" s="123">
        <v>46295</v>
      </c>
      <c r="C81" s="114" t="s">
        <v>261</v>
      </c>
      <c r="D81" s="114" t="s">
        <v>977</v>
      </c>
      <c r="E81" s="202" t="s">
        <v>887</v>
      </c>
      <c r="F81" s="114" t="s">
        <v>297</v>
      </c>
      <c r="G81" s="114">
        <v>1</v>
      </c>
      <c r="H81" s="114">
        <v>6</v>
      </c>
      <c r="I81" s="115">
        <v>61840</v>
      </c>
      <c r="J81" s="114" t="s">
        <v>246</v>
      </c>
    </row>
    <row r="82" spans="1:10" ht="20.100000000000001" customHeight="1" x14ac:dyDescent="0.4">
      <c r="A82" s="114">
        <v>79</v>
      </c>
      <c r="B82" s="123">
        <v>46295</v>
      </c>
      <c r="C82" s="114" t="s">
        <v>261</v>
      </c>
      <c r="D82" s="114" t="s">
        <v>975</v>
      </c>
      <c r="E82" s="202" t="s">
        <v>888</v>
      </c>
      <c r="F82" s="114" t="s">
        <v>576</v>
      </c>
      <c r="G82" s="114">
        <v>1</v>
      </c>
      <c r="H82" s="114">
        <v>6</v>
      </c>
      <c r="I82" s="115">
        <v>1200</v>
      </c>
      <c r="J82" s="114" t="s">
        <v>246</v>
      </c>
    </row>
    <row r="83" spans="1:10" ht="19.5" customHeight="1" x14ac:dyDescent="0.4">
      <c r="A83" s="114">
        <v>80</v>
      </c>
      <c r="B83" s="123">
        <v>46295</v>
      </c>
      <c r="C83" s="114" t="s">
        <v>261</v>
      </c>
      <c r="D83" s="114" t="s">
        <v>976</v>
      </c>
      <c r="E83" s="202" t="s">
        <v>888</v>
      </c>
      <c r="F83" s="114" t="s">
        <v>576</v>
      </c>
      <c r="G83" s="114">
        <v>1</v>
      </c>
      <c r="H83" s="114">
        <v>6</v>
      </c>
      <c r="I83" s="205" t="s">
        <v>978</v>
      </c>
      <c r="J83" s="114" t="s">
        <v>246</v>
      </c>
    </row>
    <row r="84" spans="1:10" ht="19.5" customHeight="1" x14ac:dyDescent="0.4">
      <c r="A84" s="114">
        <v>81</v>
      </c>
      <c r="B84" s="123">
        <v>46295</v>
      </c>
      <c r="C84" s="114" t="s">
        <v>261</v>
      </c>
      <c r="D84" s="114" t="s">
        <v>977</v>
      </c>
      <c r="E84" s="202" t="s">
        <v>888</v>
      </c>
      <c r="F84" s="114" t="s">
        <v>576</v>
      </c>
      <c r="G84" s="114">
        <v>1</v>
      </c>
      <c r="H84" s="114">
        <v>6</v>
      </c>
      <c r="I84" s="115">
        <v>16810</v>
      </c>
      <c r="J84" s="114" t="s">
        <v>246</v>
      </c>
    </row>
    <row r="85" spans="1:10" ht="20.100000000000001" customHeight="1" x14ac:dyDescent="0.4">
      <c r="A85" s="114">
        <v>82</v>
      </c>
      <c r="B85" s="123">
        <v>46295</v>
      </c>
      <c r="C85" s="114" t="s">
        <v>261</v>
      </c>
      <c r="D85" s="114" t="s">
        <v>975</v>
      </c>
      <c r="E85" s="202" t="s">
        <v>561</v>
      </c>
      <c r="F85" s="114" t="s">
        <v>576</v>
      </c>
      <c r="G85" s="114">
        <v>1</v>
      </c>
      <c r="H85" s="114">
        <v>6</v>
      </c>
      <c r="I85" s="115">
        <v>20210</v>
      </c>
      <c r="J85" s="114" t="s">
        <v>246</v>
      </c>
    </row>
    <row r="86" spans="1:10" ht="19.5" customHeight="1" x14ac:dyDescent="0.4">
      <c r="A86" s="114">
        <v>83</v>
      </c>
      <c r="B86" s="123">
        <v>46295</v>
      </c>
      <c r="C86" s="114" t="s">
        <v>261</v>
      </c>
      <c r="D86" s="114" t="s">
        <v>976</v>
      </c>
      <c r="E86" s="202" t="s">
        <v>561</v>
      </c>
      <c r="F86" s="114" t="s">
        <v>576</v>
      </c>
      <c r="G86" s="114">
        <v>1</v>
      </c>
      <c r="H86" s="114">
        <v>6</v>
      </c>
      <c r="I86" s="205" t="s">
        <v>978</v>
      </c>
      <c r="J86" s="114" t="s">
        <v>246</v>
      </c>
    </row>
    <row r="87" spans="1:10" ht="19.5" customHeight="1" x14ac:dyDescent="0.4">
      <c r="A87" s="114">
        <v>84</v>
      </c>
      <c r="B87" s="123">
        <v>46295</v>
      </c>
      <c r="C87" s="114" t="s">
        <v>261</v>
      </c>
      <c r="D87" s="114" t="s">
        <v>977</v>
      </c>
      <c r="E87" s="202" t="s">
        <v>561</v>
      </c>
      <c r="F87" s="114" t="s">
        <v>576</v>
      </c>
      <c r="G87" s="114">
        <v>1</v>
      </c>
      <c r="H87" s="114">
        <v>6</v>
      </c>
      <c r="I87" s="115">
        <v>31910</v>
      </c>
      <c r="J87" s="114" t="s">
        <v>246</v>
      </c>
    </row>
    <row r="88" spans="1:10" ht="20.100000000000001" customHeight="1" x14ac:dyDescent="0.4">
      <c r="A88" s="114">
        <v>85</v>
      </c>
      <c r="B88" s="123">
        <v>46295</v>
      </c>
      <c r="C88" s="114" t="s">
        <v>261</v>
      </c>
      <c r="D88" s="114" t="s">
        <v>975</v>
      </c>
      <c r="E88" s="202" t="s">
        <v>562</v>
      </c>
      <c r="F88" s="114" t="s">
        <v>245</v>
      </c>
      <c r="G88" s="114">
        <v>1</v>
      </c>
      <c r="H88" s="114">
        <v>6</v>
      </c>
      <c r="I88" s="115">
        <v>35620</v>
      </c>
      <c r="J88" s="114" t="s">
        <v>246</v>
      </c>
    </row>
    <row r="89" spans="1:10" ht="19.5" customHeight="1" x14ac:dyDescent="0.4">
      <c r="A89" s="114">
        <v>86</v>
      </c>
      <c r="B89" s="123">
        <v>46295</v>
      </c>
      <c r="C89" s="114" t="s">
        <v>261</v>
      </c>
      <c r="D89" s="114" t="s">
        <v>976</v>
      </c>
      <c r="E89" s="202" t="s">
        <v>562</v>
      </c>
      <c r="F89" s="114" t="s">
        <v>245</v>
      </c>
      <c r="G89" s="114">
        <v>1</v>
      </c>
      <c r="H89" s="114">
        <v>6</v>
      </c>
      <c r="I89" s="205" t="s">
        <v>978</v>
      </c>
      <c r="J89" s="114" t="s">
        <v>246</v>
      </c>
    </row>
    <row r="90" spans="1:10" ht="19.5" customHeight="1" x14ac:dyDescent="0.4">
      <c r="A90" s="114">
        <v>87</v>
      </c>
      <c r="B90" s="123">
        <v>46295</v>
      </c>
      <c r="C90" s="114" t="s">
        <v>261</v>
      </c>
      <c r="D90" s="114" t="s">
        <v>977</v>
      </c>
      <c r="E90" s="202" t="s">
        <v>562</v>
      </c>
      <c r="F90" s="114" t="s">
        <v>245</v>
      </c>
      <c r="G90" s="114">
        <v>1</v>
      </c>
      <c r="H90" s="114">
        <v>6</v>
      </c>
      <c r="I90" s="115">
        <v>68540</v>
      </c>
      <c r="J90" s="114" t="s">
        <v>246</v>
      </c>
    </row>
    <row r="91" spans="1:10" ht="20.100000000000001" customHeight="1" x14ac:dyDescent="0.4">
      <c r="A91" s="114">
        <v>88</v>
      </c>
      <c r="B91" s="123">
        <v>46295</v>
      </c>
      <c r="C91" s="114" t="s">
        <v>261</v>
      </c>
      <c r="D91" s="114" t="s">
        <v>975</v>
      </c>
      <c r="E91" s="202" t="s">
        <v>563</v>
      </c>
      <c r="F91" s="114" t="s">
        <v>297</v>
      </c>
      <c r="G91" s="114">
        <v>1</v>
      </c>
      <c r="H91" s="114">
        <v>6</v>
      </c>
      <c r="I91" s="115">
        <v>47330</v>
      </c>
      <c r="J91" s="114" t="s">
        <v>246</v>
      </c>
    </row>
    <row r="92" spans="1:10" ht="19.5" customHeight="1" x14ac:dyDescent="0.4">
      <c r="A92" s="114">
        <v>89</v>
      </c>
      <c r="B92" s="123">
        <v>46295</v>
      </c>
      <c r="C92" s="114" t="s">
        <v>261</v>
      </c>
      <c r="D92" s="114" t="s">
        <v>976</v>
      </c>
      <c r="E92" s="202" t="s">
        <v>563</v>
      </c>
      <c r="F92" s="114" t="s">
        <v>297</v>
      </c>
      <c r="G92" s="114">
        <v>1</v>
      </c>
      <c r="H92" s="114">
        <v>6</v>
      </c>
      <c r="I92" s="205" t="s">
        <v>978</v>
      </c>
      <c r="J92" s="114" t="s">
        <v>246</v>
      </c>
    </row>
    <row r="93" spans="1:10" ht="19.5" customHeight="1" x14ac:dyDescent="0.4">
      <c r="A93" s="114">
        <v>90</v>
      </c>
      <c r="B93" s="123">
        <v>46295</v>
      </c>
      <c r="C93" s="114" t="s">
        <v>261</v>
      </c>
      <c r="D93" s="114" t="s">
        <v>977</v>
      </c>
      <c r="E93" s="202" t="s">
        <v>563</v>
      </c>
      <c r="F93" s="114" t="s">
        <v>297</v>
      </c>
      <c r="G93" s="114">
        <v>1</v>
      </c>
      <c r="H93" s="114">
        <v>6</v>
      </c>
      <c r="I93" s="115">
        <v>59270</v>
      </c>
      <c r="J93" s="114" t="s">
        <v>246</v>
      </c>
    </row>
    <row r="94" spans="1:10" ht="20.100000000000001" customHeight="1" x14ac:dyDescent="0.4">
      <c r="A94" s="114">
        <v>91</v>
      </c>
      <c r="B94" s="123">
        <v>46295</v>
      </c>
      <c r="C94" s="114" t="s">
        <v>261</v>
      </c>
      <c r="D94" s="114" t="s">
        <v>975</v>
      </c>
      <c r="E94" s="202" t="s">
        <v>566</v>
      </c>
      <c r="F94" s="114" t="s">
        <v>245</v>
      </c>
      <c r="G94" s="114">
        <v>1</v>
      </c>
      <c r="H94" s="114">
        <v>6</v>
      </c>
      <c r="I94" s="115">
        <v>46140</v>
      </c>
      <c r="J94" s="114" t="s">
        <v>246</v>
      </c>
    </row>
    <row r="95" spans="1:10" ht="19.5" customHeight="1" x14ac:dyDescent="0.4">
      <c r="A95" s="114">
        <v>92</v>
      </c>
      <c r="B95" s="123">
        <v>46295</v>
      </c>
      <c r="C95" s="114" t="s">
        <v>261</v>
      </c>
      <c r="D95" s="114" t="s">
        <v>976</v>
      </c>
      <c r="E95" s="202" t="s">
        <v>566</v>
      </c>
      <c r="F95" s="114" t="s">
        <v>245</v>
      </c>
      <c r="G95" s="114">
        <v>1</v>
      </c>
      <c r="H95" s="114">
        <v>6</v>
      </c>
      <c r="I95" s="205" t="s">
        <v>978</v>
      </c>
      <c r="J95" s="114" t="s">
        <v>246</v>
      </c>
    </row>
    <row r="96" spans="1:10" ht="19.5" customHeight="1" x14ac:dyDescent="0.4">
      <c r="A96" s="114">
        <v>93</v>
      </c>
      <c r="B96" s="123">
        <v>46295</v>
      </c>
      <c r="C96" s="114" t="s">
        <v>261</v>
      </c>
      <c r="D96" s="114" t="s">
        <v>977</v>
      </c>
      <c r="E96" s="202" t="s">
        <v>566</v>
      </c>
      <c r="F96" s="114" t="s">
        <v>245</v>
      </c>
      <c r="G96" s="114">
        <v>1</v>
      </c>
      <c r="H96" s="114">
        <v>6</v>
      </c>
      <c r="I96" s="115">
        <v>70680</v>
      </c>
      <c r="J96" s="114" t="s">
        <v>246</v>
      </c>
    </row>
    <row r="97" spans="1:10" ht="20.100000000000001" customHeight="1" x14ac:dyDescent="0.4">
      <c r="A97" s="114">
        <v>94</v>
      </c>
      <c r="B97" s="123">
        <v>46295</v>
      </c>
      <c r="C97" s="114" t="s">
        <v>261</v>
      </c>
      <c r="D97" s="114" t="s">
        <v>975</v>
      </c>
      <c r="E97" s="202" t="s">
        <v>972</v>
      </c>
      <c r="F97" s="114" t="s">
        <v>245</v>
      </c>
      <c r="G97" s="114">
        <v>1</v>
      </c>
      <c r="H97" s="114">
        <v>6</v>
      </c>
      <c r="I97" s="115" t="s">
        <v>965</v>
      </c>
      <c r="J97" s="114" t="s">
        <v>246</v>
      </c>
    </row>
    <row r="98" spans="1:10" ht="19.5" customHeight="1" x14ac:dyDescent="0.4">
      <c r="A98" s="114">
        <v>95</v>
      </c>
      <c r="B98" s="123">
        <v>46295</v>
      </c>
      <c r="C98" s="114" t="s">
        <v>261</v>
      </c>
      <c r="D98" s="114" t="s">
        <v>976</v>
      </c>
      <c r="E98" s="202" t="s">
        <v>972</v>
      </c>
      <c r="F98" s="114" t="s">
        <v>245</v>
      </c>
      <c r="G98" s="114">
        <v>1</v>
      </c>
      <c r="H98" s="114">
        <v>6</v>
      </c>
      <c r="I98" s="205" t="s">
        <v>978</v>
      </c>
      <c r="J98" s="114" t="s">
        <v>246</v>
      </c>
    </row>
    <row r="99" spans="1:10" ht="19.5" customHeight="1" x14ac:dyDescent="0.4">
      <c r="A99" s="114">
        <v>96</v>
      </c>
      <c r="B99" s="123">
        <v>46295</v>
      </c>
      <c r="C99" s="114" t="s">
        <v>261</v>
      </c>
      <c r="D99" s="114" t="s">
        <v>977</v>
      </c>
      <c r="E99" s="202" t="s">
        <v>972</v>
      </c>
      <c r="F99" s="114" t="s">
        <v>245</v>
      </c>
      <c r="G99" s="114">
        <v>1</v>
      </c>
      <c r="H99" s="114">
        <v>6</v>
      </c>
      <c r="I99" s="115" t="s">
        <v>965</v>
      </c>
      <c r="J99" s="114" t="s">
        <v>246</v>
      </c>
    </row>
    <row r="100" spans="1:10" ht="19.5" customHeight="1" x14ac:dyDescent="0.4">
      <c r="A100" s="114">
        <v>97</v>
      </c>
      <c r="B100" s="123">
        <v>46295</v>
      </c>
      <c r="C100" s="114" t="s">
        <v>261</v>
      </c>
      <c r="D100" s="114" t="s">
        <v>964</v>
      </c>
      <c r="E100" s="204" t="s">
        <v>979</v>
      </c>
      <c r="F100" s="114" t="s">
        <v>973</v>
      </c>
      <c r="G100" s="114">
        <v>1</v>
      </c>
      <c r="H100" s="114"/>
      <c r="I100" s="115">
        <v>674170</v>
      </c>
      <c r="J100" s="114" t="s">
        <v>246</v>
      </c>
    </row>
    <row r="101" spans="1:10" ht="19.5" customHeight="1" x14ac:dyDescent="0.4">
      <c r="A101" s="114">
        <v>98</v>
      </c>
      <c r="B101" s="123">
        <v>46295</v>
      </c>
      <c r="C101" s="114" t="s">
        <v>261</v>
      </c>
      <c r="D101" s="114" t="s">
        <v>964</v>
      </c>
      <c r="E101" s="204" t="s">
        <v>980</v>
      </c>
      <c r="F101" s="114" t="s">
        <v>963</v>
      </c>
      <c r="G101" s="114">
        <v>1</v>
      </c>
      <c r="H101" s="114"/>
      <c r="I101" s="115">
        <v>451370</v>
      </c>
      <c r="J101" s="114" t="s">
        <v>246</v>
      </c>
    </row>
    <row r="102" spans="1:10" ht="19.5" customHeight="1" x14ac:dyDescent="0.4">
      <c r="A102" s="114">
        <v>99</v>
      </c>
      <c r="B102" s="123">
        <v>46295</v>
      </c>
      <c r="C102" s="114" t="s">
        <v>261</v>
      </c>
      <c r="D102" s="114" t="s">
        <v>964</v>
      </c>
      <c r="E102" s="204" t="s">
        <v>981</v>
      </c>
      <c r="F102" s="114" t="s">
        <v>963</v>
      </c>
      <c r="G102" s="114">
        <v>1</v>
      </c>
      <c r="H102" s="114"/>
      <c r="I102" s="115">
        <v>413370</v>
      </c>
      <c r="J102" s="114" t="s">
        <v>246</v>
      </c>
    </row>
    <row r="103" spans="1:10" ht="19.5" customHeight="1" x14ac:dyDescent="0.4">
      <c r="A103" s="114">
        <v>100</v>
      </c>
      <c r="B103" s="123">
        <v>46295</v>
      </c>
      <c r="C103" s="114" t="s">
        <v>261</v>
      </c>
      <c r="D103" s="114" t="s">
        <v>964</v>
      </c>
      <c r="E103" s="204" t="s">
        <v>982</v>
      </c>
      <c r="F103" s="114" t="s">
        <v>973</v>
      </c>
      <c r="G103" s="114">
        <v>1</v>
      </c>
      <c r="H103" s="114"/>
      <c r="I103" s="115">
        <v>754610</v>
      </c>
      <c r="J103" s="114" t="s">
        <v>246</v>
      </c>
    </row>
    <row r="104" spans="1:10" ht="19.5" customHeight="1" x14ac:dyDescent="0.4">
      <c r="A104" s="114">
        <v>101</v>
      </c>
      <c r="B104" s="123">
        <v>46295</v>
      </c>
      <c r="C104" s="114" t="s">
        <v>261</v>
      </c>
      <c r="D104" s="114" t="s">
        <v>964</v>
      </c>
      <c r="E104" s="204" t="s">
        <v>983</v>
      </c>
      <c r="F104" s="114" t="s">
        <v>984</v>
      </c>
      <c r="G104" s="114">
        <v>1</v>
      </c>
      <c r="H104" s="114"/>
      <c r="I104" s="115">
        <v>477170</v>
      </c>
      <c r="J104" s="114" t="s">
        <v>246</v>
      </c>
    </row>
  </sheetData>
  <autoFilter ref="A3:L102" xr:uid="{00000000-0001-0000-0700-000000000000}">
    <sortState ref="A5:J99">
      <sortCondition ref="A3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3" fitToHeight="3" orientation="landscape" r:id="rId1"/>
  <rowBreaks count="2" manualBreakCount="2">
    <brk id="25" max="9" man="1"/>
    <brk id="57" max="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I3" sqref="I3"/>
    </sheetView>
  </sheetViews>
  <sheetFormatPr defaultRowHeight="17.399999999999999" x14ac:dyDescent="0.4"/>
  <cols>
    <col min="1" max="1" width="9" style="52"/>
    <col min="2" max="3" width="12.59765625" style="52" customWidth="1"/>
    <col min="4" max="4" width="22.8984375" style="52" bestFit="1" customWidth="1"/>
    <col min="5" max="5" width="31.3984375" style="52" bestFit="1" customWidth="1"/>
    <col min="6" max="6" width="10.59765625" style="52" customWidth="1"/>
    <col min="7" max="7" width="8.09765625" style="52" customWidth="1"/>
    <col min="8" max="8" width="10.5" style="52" bestFit="1" customWidth="1"/>
    <col min="9" max="9" width="13.59765625" style="52" customWidth="1"/>
    <col min="10" max="10" width="35.59765625" style="52" customWidth="1"/>
    <col min="11" max="12" width="9" style="52"/>
  </cols>
  <sheetData>
    <row r="1" spans="1:12" ht="35.1" customHeight="1" x14ac:dyDescent="0.4">
      <c r="A1" s="287" t="s">
        <v>262</v>
      </c>
      <c r="B1" s="288"/>
      <c r="C1" s="288"/>
      <c r="D1" s="288"/>
      <c r="E1" s="288"/>
      <c r="F1" s="288"/>
      <c r="G1" s="288"/>
      <c r="H1" s="288"/>
      <c r="I1" s="288"/>
      <c r="J1" s="289"/>
    </row>
    <row r="2" spans="1:12" ht="24.9" customHeight="1" x14ac:dyDescent="0.4">
      <c r="A2" s="290" t="s">
        <v>263</v>
      </c>
      <c r="B2" s="290" t="s">
        <v>264</v>
      </c>
      <c r="C2" s="290" t="s">
        <v>109</v>
      </c>
      <c r="D2" s="290" t="s">
        <v>265</v>
      </c>
      <c r="E2" s="290" t="s">
        <v>266</v>
      </c>
      <c r="F2" s="290" t="s">
        <v>267</v>
      </c>
      <c r="G2" s="290" t="s">
        <v>268</v>
      </c>
      <c r="H2" s="290" t="s">
        <v>269</v>
      </c>
      <c r="I2" s="111" t="s">
        <v>270</v>
      </c>
      <c r="J2" s="290" t="s">
        <v>242</v>
      </c>
    </row>
    <row r="3" spans="1:12" ht="24.9" customHeight="1" x14ac:dyDescent="0.4">
      <c r="A3" s="290"/>
      <c r="B3" s="290"/>
      <c r="C3" s="290"/>
      <c r="D3" s="290"/>
      <c r="E3" s="290"/>
      <c r="F3" s="290"/>
      <c r="G3" s="290"/>
      <c r="H3" s="290"/>
      <c r="I3" s="112">
        <f>SUM(I4:I5)</f>
        <v>50466045</v>
      </c>
      <c r="J3" s="290"/>
      <c r="L3" s="113" t="s">
        <v>271</v>
      </c>
    </row>
    <row r="4" spans="1:12" ht="24.9" customHeight="1" x14ac:dyDescent="0.4">
      <c r="A4" s="114">
        <v>1</v>
      </c>
      <c r="B4" s="125">
        <v>46295</v>
      </c>
      <c r="C4" s="114" t="s">
        <v>272</v>
      </c>
      <c r="D4" s="114" t="s">
        <v>273</v>
      </c>
      <c r="E4" s="114" t="s">
        <v>299</v>
      </c>
      <c r="F4" s="114">
        <v>3283</v>
      </c>
      <c r="G4" s="114">
        <v>99</v>
      </c>
      <c r="H4" s="115">
        <v>6181.82</v>
      </c>
      <c r="I4" s="115">
        <v>20247045</v>
      </c>
      <c r="J4" s="114" t="s">
        <v>246</v>
      </c>
      <c r="L4" s="116" t="s">
        <v>274</v>
      </c>
    </row>
    <row r="5" spans="1:12" ht="24.9" customHeight="1" x14ac:dyDescent="0.4">
      <c r="A5" s="114">
        <v>2</v>
      </c>
      <c r="B5" s="125">
        <v>46295</v>
      </c>
      <c r="C5" s="114" t="s">
        <v>272</v>
      </c>
      <c r="D5" s="114" t="s">
        <v>273</v>
      </c>
      <c r="E5" s="114" t="s">
        <v>302</v>
      </c>
      <c r="F5" s="114">
        <v>4317</v>
      </c>
      <c r="G5" s="114">
        <v>127</v>
      </c>
      <c r="H5" s="115">
        <v>7000</v>
      </c>
      <c r="I5" s="115">
        <f>F5*H5</f>
        <v>30219000</v>
      </c>
      <c r="J5" s="114" t="s">
        <v>246</v>
      </c>
      <c r="L5" s="116" t="s">
        <v>275</v>
      </c>
    </row>
    <row r="6" spans="1:12" ht="24.9" customHeight="1" x14ac:dyDescent="0.4">
      <c r="L6" s="116" t="s">
        <v>276</v>
      </c>
    </row>
    <row r="7" spans="1:12" ht="24.9" customHeight="1" x14ac:dyDescent="0.4">
      <c r="L7" s="116" t="s">
        <v>277</v>
      </c>
    </row>
    <row r="8" spans="1:12" ht="24.9" customHeight="1" x14ac:dyDescent="0.4">
      <c r="L8" s="117" t="s">
        <v>278</v>
      </c>
    </row>
    <row r="9" spans="1:12" ht="24.9" customHeight="1" x14ac:dyDescent="0.4">
      <c r="L9" s="117" t="s">
        <v>279</v>
      </c>
    </row>
    <row r="10" spans="1:12" x14ac:dyDescent="0.4">
      <c r="L10" s="117" t="s">
        <v>280</v>
      </c>
    </row>
    <row r="11" spans="1:12" x14ac:dyDescent="0.4">
      <c r="L11" s="117" t="s">
        <v>281</v>
      </c>
    </row>
    <row r="12" spans="1:12" x14ac:dyDescent="0.4">
      <c r="L12" s="113"/>
    </row>
    <row r="13" spans="1:12" x14ac:dyDescent="0.4">
      <c r="L13" s="52" t="s">
        <v>282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4"/>
  <sheetViews>
    <sheetView view="pageBreakPreview" topLeftCell="A16" zoomScale="115" zoomScaleNormal="100" zoomScaleSheetLayoutView="115" workbookViewId="0">
      <selection activeCell="E11" sqref="E11"/>
    </sheetView>
  </sheetViews>
  <sheetFormatPr defaultRowHeight="17.399999999999999" x14ac:dyDescent="0.4"/>
  <cols>
    <col min="2" max="2" width="10.8984375" bestFit="1" customWidth="1"/>
    <col min="3" max="3" width="10.59765625" bestFit="1" customWidth="1"/>
    <col min="4" max="4" width="52.8984375" bestFit="1" customWidth="1"/>
    <col min="7" max="7" width="10.5" bestFit="1" customWidth="1"/>
    <col min="8" max="8" width="10.5" customWidth="1"/>
    <col min="9" max="9" width="18" customWidth="1"/>
    <col min="10" max="10" width="10.5" bestFit="1" customWidth="1"/>
    <col min="14" max="14" width="9.3984375" bestFit="1" customWidth="1"/>
    <col min="15" max="15" width="10.8984375" bestFit="1" customWidth="1"/>
  </cols>
  <sheetData>
    <row r="1" spans="1:15" ht="35.1" customHeight="1" x14ac:dyDescent="0.4">
      <c r="A1" s="291" t="s">
        <v>283</v>
      </c>
      <c r="B1" s="291"/>
      <c r="C1" s="291"/>
      <c r="D1" s="291"/>
      <c r="E1" s="291"/>
      <c r="F1" s="291"/>
      <c r="G1" s="291"/>
      <c r="H1" s="291"/>
      <c r="I1" s="291"/>
      <c r="J1" s="52"/>
      <c r="K1" s="52"/>
      <c r="L1" s="52"/>
    </row>
    <row r="2" spans="1:15" ht="24.9" customHeight="1" x14ac:dyDescent="0.4">
      <c r="A2" s="290" t="s">
        <v>284</v>
      </c>
      <c r="B2" s="292" t="s">
        <v>285</v>
      </c>
      <c r="C2" s="292" t="s">
        <v>286</v>
      </c>
      <c r="D2" s="293" t="s">
        <v>277</v>
      </c>
      <c r="E2" s="292" t="s">
        <v>278</v>
      </c>
      <c r="F2" s="292" t="s">
        <v>252</v>
      </c>
      <c r="G2" s="294" t="s">
        <v>287</v>
      </c>
      <c r="H2" s="118" t="s">
        <v>288</v>
      </c>
      <c r="I2" s="292" t="s">
        <v>289</v>
      </c>
      <c r="J2" s="52"/>
      <c r="K2" s="52"/>
      <c r="L2" s="52"/>
    </row>
    <row r="3" spans="1:15" ht="24.9" customHeight="1" x14ac:dyDescent="0.4">
      <c r="A3" s="290"/>
      <c r="B3" s="292"/>
      <c r="C3" s="292"/>
      <c r="D3" s="293"/>
      <c r="E3" s="292"/>
      <c r="F3" s="292"/>
      <c r="G3" s="294"/>
      <c r="H3" s="119">
        <f>SUM(H4:H34)</f>
        <v>923200</v>
      </c>
      <c r="I3" s="292"/>
      <c r="J3" s="206"/>
      <c r="K3" s="113" t="s">
        <v>271</v>
      </c>
      <c r="L3" s="52"/>
      <c r="N3" s="19"/>
      <c r="O3" s="19"/>
    </row>
    <row r="4" spans="1:15" ht="24.9" customHeight="1" x14ac:dyDescent="0.4">
      <c r="A4" s="114">
        <v>1</v>
      </c>
      <c r="B4" s="123">
        <v>46268</v>
      </c>
      <c r="C4" s="114" t="s">
        <v>290</v>
      </c>
      <c r="D4" s="124" t="s">
        <v>893</v>
      </c>
      <c r="E4" s="114" t="s">
        <v>300</v>
      </c>
      <c r="F4" s="114">
        <v>10</v>
      </c>
      <c r="G4" s="115">
        <v>3200</v>
      </c>
      <c r="H4" s="115">
        <f>F4*G4</f>
        <v>32000</v>
      </c>
      <c r="I4" s="115" t="s">
        <v>301</v>
      </c>
      <c r="J4" s="206"/>
      <c r="K4" s="116" t="s">
        <v>274</v>
      </c>
      <c r="L4" s="52"/>
    </row>
    <row r="5" spans="1:15" ht="24.9" customHeight="1" x14ac:dyDescent="0.4">
      <c r="A5" s="114">
        <v>2</v>
      </c>
      <c r="B5" s="123">
        <v>46268</v>
      </c>
      <c r="C5" s="114" t="s">
        <v>290</v>
      </c>
      <c r="D5" s="124" t="s">
        <v>985</v>
      </c>
      <c r="E5" s="114" t="s">
        <v>300</v>
      </c>
      <c r="F5" s="114">
        <v>5</v>
      </c>
      <c r="G5" s="115">
        <v>6500</v>
      </c>
      <c r="H5" s="115">
        <f t="shared" ref="H5:H6" si="0">F5*G5</f>
        <v>32500</v>
      </c>
      <c r="I5" s="115" t="s">
        <v>301</v>
      </c>
      <c r="J5" s="52"/>
      <c r="K5" s="116" t="s">
        <v>275</v>
      </c>
      <c r="L5" s="52"/>
    </row>
    <row r="6" spans="1:15" ht="24.9" customHeight="1" x14ac:dyDescent="0.4">
      <c r="A6" s="114">
        <v>3</v>
      </c>
      <c r="B6" s="123">
        <v>46272</v>
      </c>
      <c r="C6" s="114" t="s">
        <v>290</v>
      </c>
      <c r="D6" s="124" t="s">
        <v>986</v>
      </c>
      <c r="E6" s="114" t="s">
        <v>300</v>
      </c>
      <c r="F6" s="114">
        <v>3</v>
      </c>
      <c r="G6" s="115">
        <v>53100</v>
      </c>
      <c r="H6" s="115">
        <f t="shared" si="0"/>
        <v>159300</v>
      </c>
      <c r="I6" s="115" t="s">
        <v>301</v>
      </c>
      <c r="J6" s="52"/>
      <c r="K6" s="116" t="s">
        <v>276</v>
      </c>
      <c r="L6" s="52"/>
    </row>
    <row r="7" spans="1:15" ht="24.9" customHeight="1" x14ac:dyDescent="0.4">
      <c r="A7" s="114">
        <v>4</v>
      </c>
      <c r="B7" s="123">
        <v>46273</v>
      </c>
      <c r="C7" s="114" t="s">
        <v>290</v>
      </c>
      <c r="D7" s="124" t="s">
        <v>891</v>
      </c>
      <c r="E7" s="114" t="s">
        <v>300</v>
      </c>
      <c r="F7" s="114">
        <v>500</v>
      </c>
      <c r="G7" s="115">
        <v>100</v>
      </c>
      <c r="H7" s="115">
        <f>F7*G7</f>
        <v>50000</v>
      </c>
      <c r="I7" s="115" t="s">
        <v>301</v>
      </c>
      <c r="J7" s="52"/>
      <c r="K7" s="116" t="s">
        <v>277</v>
      </c>
      <c r="L7" s="52"/>
    </row>
    <row r="8" spans="1:15" ht="24.9" customHeight="1" x14ac:dyDescent="0.4">
      <c r="A8" s="114">
        <v>5</v>
      </c>
      <c r="B8" s="123">
        <v>46273</v>
      </c>
      <c r="C8" s="114" t="s">
        <v>290</v>
      </c>
      <c r="D8" s="124" t="s">
        <v>987</v>
      </c>
      <c r="E8" s="114" t="s">
        <v>300</v>
      </c>
      <c r="F8" s="114">
        <v>10</v>
      </c>
      <c r="G8" s="115">
        <v>12000</v>
      </c>
      <c r="H8" s="115">
        <f t="shared" ref="H8:H9" si="1">F8*G8</f>
        <v>120000</v>
      </c>
      <c r="I8" s="115" t="s">
        <v>301</v>
      </c>
      <c r="J8" s="52"/>
      <c r="K8" s="117" t="s">
        <v>278</v>
      </c>
      <c r="L8" s="52"/>
    </row>
    <row r="9" spans="1:15" ht="24.9" customHeight="1" x14ac:dyDescent="0.4">
      <c r="A9" s="114">
        <v>6</v>
      </c>
      <c r="B9" s="123">
        <v>46273</v>
      </c>
      <c r="C9" s="114" t="s">
        <v>290</v>
      </c>
      <c r="D9" s="124" t="s">
        <v>988</v>
      </c>
      <c r="E9" s="114" t="s">
        <v>300</v>
      </c>
      <c r="F9" s="114">
        <v>50</v>
      </c>
      <c r="G9" s="115">
        <v>500</v>
      </c>
      <c r="H9" s="115">
        <f t="shared" si="1"/>
        <v>25000</v>
      </c>
      <c r="I9" s="115" t="s">
        <v>301</v>
      </c>
      <c r="J9" s="52"/>
      <c r="K9" s="117" t="s">
        <v>279</v>
      </c>
      <c r="L9" s="52"/>
    </row>
    <row r="10" spans="1:15" ht="24.9" customHeight="1" x14ac:dyDescent="0.4">
      <c r="A10" s="114">
        <v>7</v>
      </c>
      <c r="B10" s="123">
        <v>46273</v>
      </c>
      <c r="C10" s="114" t="s">
        <v>290</v>
      </c>
      <c r="D10" s="124" t="s">
        <v>894</v>
      </c>
      <c r="E10" s="114" t="s">
        <v>300</v>
      </c>
      <c r="F10" s="114">
        <v>100</v>
      </c>
      <c r="G10" s="115">
        <v>300</v>
      </c>
      <c r="H10" s="115">
        <f>F10*G10</f>
        <v>30000</v>
      </c>
      <c r="I10" s="115" t="s">
        <v>301</v>
      </c>
      <c r="J10" s="52"/>
      <c r="K10" s="117" t="s">
        <v>280</v>
      </c>
      <c r="L10" s="52"/>
    </row>
    <row r="11" spans="1:15" ht="24.9" customHeight="1" x14ac:dyDescent="0.4">
      <c r="A11" s="114">
        <v>8</v>
      </c>
      <c r="B11" s="123">
        <v>46273</v>
      </c>
      <c r="C11" s="114" t="s">
        <v>290</v>
      </c>
      <c r="D11" s="124" t="s">
        <v>989</v>
      </c>
      <c r="E11" s="114" t="s">
        <v>300</v>
      </c>
      <c r="F11" s="114">
        <v>5</v>
      </c>
      <c r="G11" s="115">
        <v>1500</v>
      </c>
      <c r="H11" s="115">
        <f t="shared" ref="H11:H12" si="2">F11*G11</f>
        <v>7500</v>
      </c>
      <c r="I11" s="115" t="s">
        <v>301</v>
      </c>
      <c r="J11" s="52"/>
      <c r="K11" s="117" t="s">
        <v>281</v>
      </c>
      <c r="L11" s="52"/>
    </row>
    <row r="12" spans="1:15" ht="24.9" customHeight="1" x14ac:dyDescent="0.4">
      <c r="A12" s="114">
        <v>9</v>
      </c>
      <c r="B12" s="123">
        <v>46273</v>
      </c>
      <c r="C12" s="114" t="s">
        <v>290</v>
      </c>
      <c r="D12" s="124" t="s">
        <v>990</v>
      </c>
      <c r="E12" s="114" t="s">
        <v>300</v>
      </c>
      <c r="F12" s="114">
        <v>2</v>
      </c>
      <c r="G12" s="115">
        <v>31000</v>
      </c>
      <c r="H12" s="115">
        <f t="shared" si="2"/>
        <v>62000</v>
      </c>
      <c r="I12" s="115" t="s">
        <v>301</v>
      </c>
      <c r="J12" s="52"/>
      <c r="K12" s="113"/>
      <c r="L12" s="52"/>
    </row>
    <row r="13" spans="1:15" ht="24.9" customHeight="1" x14ac:dyDescent="0.4">
      <c r="A13" s="114">
        <v>10</v>
      </c>
      <c r="B13" s="123">
        <v>46273</v>
      </c>
      <c r="C13" s="114" t="s">
        <v>290</v>
      </c>
      <c r="D13" s="124" t="s">
        <v>991</v>
      </c>
      <c r="E13" s="114" t="s">
        <v>300</v>
      </c>
      <c r="F13" s="114">
        <v>2</v>
      </c>
      <c r="G13" s="115">
        <v>4100</v>
      </c>
      <c r="H13" s="115">
        <f>F13*G13</f>
        <v>8200</v>
      </c>
      <c r="I13" s="115" t="s">
        <v>301</v>
      </c>
      <c r="J13" s="52"/>
      <c r="K13" s="52" t="s">
        <v>282</v>
      </c>
      <c r="L13" s="52"/>
    </row>
    <row r="14" spans="1:15" ht="24.9" customHeight="1" x14ac:dyDescent="0.4">
      <c r="A14" s="114">
        <v>11</v>
      </c>
      <c r="B14" s="123">
        <v>46274</v>
      </c>
      <c r="C14" s="114" t="s">
        <v>290</v>
      </c>
      <c r="D14" s="124" t="s">
        <v>890</v>
      </c>
      <c r="E14" s="114" t="s">
        <v>300</v>
      </c>
      <c r="F14" s="114">
        <v>1</v>
      </c>
      <c r="G14" s="115">
        <v>10300</v>
      </c>
      <c r="H14" s="115">
        <f t="shared" ref="H14:H15" si="3">F14*G14</f>
        <v>10300</v>
      </c>
      <c r="I14" s="115" t="s">
        <v>301</v>
      </c>
    </row>
    <row r="15" spans="1:15" ht="24.9" customHeight="1" x14ac:dyDescent="0.4">
      <c r="A15" s="114">
        <v>12</v>
      </c>
      <c r="B15" s="123">
        <v>46274</v>
      </c>
      <c r="C15" s="114" t="s">
        <v>290</v>
      </c>
      <c r="D15" s="124" t="s">
        <v>889</v>
      </c>
      <c r="E15" s="114" t="s">
        <v>300</v>
      </c>
      <c r="F15" s="114">
        <v>20</v>
      </c>
      <c r="G15" s="115">
        <v>100</v>
      </c>
      <c r="H15" s="115">
        <f t="shared" si="3"/>
        <v>2000</v>
      </c>
      <c r="I15" s="115" t="s">
        <v>301</v>
      </c>
    </row>
    <row r="16" spans="1:15" ht="24.9" customHeight="1" x14ac:dyDescent="0.4">
      <c r="A16" s="114">
        <v>13</v>
      </c>
      <c r="B16" s="123">
        <v>46274</v>
      </c>
      <c r="C16" s="114" t="s">
        <v>290</v>
      </c>
      <c r="D16" s="124" t="s">
        <v>894</v>
      </c>
      <c r="E16" s="114" t="s">
        <v>300</v>
      </c>
      <c r="F16" s="114">
        <v>100</v>
      </c>
      <c r="G16" s="115">
        <v>300</v>
      </c>
      <c r="H16" s="115">
        <f>F16*G16</f>
        <v>30000</v>
      </c>
      <c r="I16" s="115" t="s">
        <v>301</v>
      </c>
    </row>
    <row r="17" spans="1:12" ht="24.9" customHeight="1" x14ac:dyDescent="0.4">
      <c r="A17" s="114">
        <v>14</v>
      </c>
      <c r="B17" s="123">
        <v>46274</v>
      </c>
      <c r="C17" s="114" t="s">
        <v>290</v>
      </c>
      <c r="D17" s="124" t="s">
        <v>310</v>
      </c>
      <c r="E17" s="114" t="s">
        <v>300</v>
      </c>
      <c r="F17" s="114">
        <v>10</v>
      </c>
      <c r="G17" s="115">
        <v>3600</v>
      </c>
      <c r="H17" s="115">
        <f t="shared" ref="H17:H18" si="4">F17*G17</f>
        <v>36000</v>
      </c>
      <c r="I17" s="115" t="s">
        <v>301</v>
      </c>
    </row>
    <row r="18" spans="1:12" ht="24.9" customHeight="1" x14ac:dyDescent="0.4">
      <c r="A18" s="114">
        <v>15</v>
      </c>
      <c r="B18" s="123">
        <v>46274</v>
      </c>
      <c r="C18" s="114" t="s">
        <v>290</v>
      </c>
      <c r="D18" s="124" t="s">
        <v>992</v>
      </c>
      <c r="E18" s="114" t="s">
        <v>300</v>
      </c>
      <c r="F18" s="114">
        <v>2</v>
      </c>
      <c r="G18" s="115">
        <v>5500</v>
      </c>
      <c r="H18" s="115">
        <f t="shared" si="4"/>
        <v>11000</v>
      </c>
      <c r="I18" s="115" t="s">
        <v>301</v>
      </c>
    </row>
    <row r="19" spans="1:12" ht="24.9" customHeight="1" x14ac:dyDescent="0.4">
      <c r="A19" s="114">
        <v>16</v>
      </c>
      <c r="B19" s="123">
        <v>46275</v>
      </c>
      <c r="C19" s="114" t="s">
        <v>290</v>
      </c>
      <c r="D19" s="124" t="s">
        <v>753</v>
      </c>
      <c r="E19" s="114" t="s">
        <v>300</v>
      </c>
      <c r="F19" s="114">
        <v>10</v>
      </c>
      <c r="G19" s="115">
        <v>1100</v>
      </c>
      <c r="H19" s="115">
        <f>F19*G19</f>
        <v>11000</v>
      </c>
      <c r="I19" s="115" t="s">
        <v>301</v>
      </c>
    </row>
    <row r="20" spans="1:12" ht="24.9" customHeight="1" x14ac:dyDescent="0.4">
      <c r="A20" s="114">
        <v>17</v>
      </c>
      <c r="B20" s="123">
        <v>46275</v>
      </c>
      <c r="C20" s="114" t="s">
        <v>290</v>
      </c>
      <c r="D20" s="124" t="s">
        <v>993</v>
      </c>
      <c r="E20" s="114" t="s">
        <v>300</v>
      </c>
      <c r="F20" s="114">
        <v>3</v>
      </c>
      <c r="G20" s="115">
        <v>12400</v>
      </c>
      <c r="H20" s="115">
        <f t="shared" ref="H20:H23" si="5">F20*G20</f>
        <v>37200</v>
      </c>
      <c r="I20" s="115" t="s">
        <v>301</v>
      </c>
    </row>
    <row r="21" spans="1:12" ht="24.9" customHeight="1" x14ac:dyDescent="0.4">
      <c r="A21" s="114">
        <v>18</v>
      </c>
      <c r="B21" s="123">
        <v>46276</v>
      </c>
      <c r="C21" s="114" t="s">
        <v>290</v>
      </c>
      <c r="D21" s="124" t="s">
        <v>994</v>
      </c>
      <c r="E21" s="114" t="s">
        <v>300</v>
      </c>
      <c r="F21" s="114">
        <v>2</v>
      </c>
      <c r="G21" s="115">
        <v>4700</v>
      </c>
      <c r="H21" s="115">
        <f t="shared" si="5"/>
        <v>9400</v>
      </c>
      <c r="I21" s="115" t="s">
        <v>301</v>
      </c>
    </row>
    <row r="22" spans="1:12" ht="24.9" customHeight="1" x14ac:dyDescent="0.4">
      <c r="A22" s="114">
        <v>19</v>
      </c>
      <c r="B22" s="123">
        <v>46281</v>
      </c>
      <c r="C22" s="114" t="s">
        <v>290</v>
      </c>
      <c r="D22" s="124" t="s">
        <v>995</v>
      </c>
      <c r="E22" s="114" t="s">
        <v>300</v>
      </c>
      <c r="F22" s="114">
        <v>3</v>
      </c>
      <c r="G22" s="115">
        <v>10500</v>
      </c>
      <c r="H22" s="115">
        <f t="shared" si="5"/>
        <v>31500</v>
      </c>
      <c r="I22" s="115" t="s">
        <v>301</v>
      </c>
      <c r="J22" s="52"/>
      <c r="K22" s="117"/>
      <c r="L22" s="52"/>
    </row>
    <row r="23" spans="1:12" ht="24.9" customHeight="1" x14ac:dyDescent="0.4">
      <c r="A23" s="114">
        <v>20</v>
      </c>
      <c r="B23" s="123">
        <v>46281</v>
      </c>
      <c r="C23" s="114" t="s">
        <v>290</v>
      </c>
      <c r="D23" s="124" t="s">
        <v>988</v>
      </c>
      <c r="E23" s="114" t="s">
        <v>300</v>
      </c>
      <c r="F23" s="114">
        <v>50</v>
      </c>
      <c r="G23" s="115">
        <v>500</v>
      </c>
      <c r="H23" s="115">
        <f t="shared" si="5"/>
        <v>25000</v>
      </c>
      <c r="I23" s="115" t="s">
        <v>301</v>
      </c>
      <c r="J23" s="52"/>
      <c r="K23" s="117"/>
      <c r="L23" s="52"/>
    </row>
    <row r="24" spans="1:12" ht="24.9" customHeight="1" x14ac:dyDescent="0.4">
      <c r="A24" s="114">
        <v>21</v>
      </c>
      <c r="B24" s="123">
        <v>46281</v>
      </c>
      <c r="C24" s="114" t="s">
        <v>290</v>
      </c>
      <c r="D24" s="124" t="s">
        <v>752</v>
      </c>
      <c r="E24" s="114" t="s">
        <v>300</v>
      </c>
      <c r="F24" s="114">
        <v>10</v>
      </c>
      <c r="G24" s="115">
        <v>900</v>
      </c>
      <c r="H24" s="115">
        <f>F24*G24</f>
        <v>9000</v>
      </c>
      <c r="I24" s="115" t="s">
        <v>301</v>
      </c>
      <c r="J24" s="52"/>
      <c r="K24" s="117"/>
      <c r="L24" s="52"/>
    </row>
    <row r="25" spans="1:12" ht="24.9" customHeight="1" x14ac:dyDescent="0.4">
      <c r="A25" s="114">
        <v>22</v>
      </c>
      <c r="B25" s="123">
        <v>46282</v>
      </c>
      <c r="C25" s="114" t="s">
        <v>290</v>
      </c>
      <c r="D25" s="124" t="s">
        <v>996</v>
      </c>
      <c r="E25" s="114" t="s">
        <v>300</v>
      </c>
      <c r="F25" s="114">
        <v>1</v>
      </c>
      <c r="G25" s="115">
        <v>30000</v>
      </c>
      <c r="H25" s="115">
        <f t="shared" ref="H25:H26" si="6">F25*G25</f>
        <v>30000</v>
      </c>
      <c r="I25" s="115" t="s">
        <v>301</v>
      </c>
      <c r="J25" s="52"/>
      <c r="K25" s="117"/>
      <c r="L25" s="52"/>
    </row>
    <row r="26" spans="1:12" ht="24.9" customHeight="1" x14ac:dyDescent="0.4">
      <c r="A26" s="114">
        <v>23</v>
      </c>
      <c r="B26" s="123">
        <v>46282</v>
      </c>
      <c r="C26" s="114" t="s">
        <v>290</v>
      </c>
      <c r="D26" s="124" t="s">
        <v>997</v>
      </c>
      <c r="E26" s="114" t="s">
        <v>300</v>
      </c>
      <c r="F26" s="114">
        <v>2</v>
      </c>
      <c r="G26" s="115">
        <v>6000</v>
      </c>
      <c r="H26" s="115">
        <f t="shared" si="6"/>
        <v>12000</v>
      </c>
      <c r="I26" s="115" t="s">
        <v>301</v>
      </c>
      <c r="J26" s="52"/>
      <c r="K26" s="113"/>
      <c r="L26" s="52"/>
    </row>
    <row r="27" spans="1:12" ht="24.9" customHeight="1" x14ac:dyDescent="0.4">
      <c r="A27" s="114">
        <v>24</v>
      </c>
      <c r="B27" s="123">
        <v>46286</v>
      </c>
      <c r="C27" s="114" t="s">
        <v>290</v>
      </c>
      <c r="D27" s="124" t="s">
        <v>998</v>
      </c>
      <c r="E27" s="114" t="s">
        <v>300</v>
      </c>
      <c r="F27" s="114">
        <v>3</v>
      </c>
      <c r="G27" s="115">
        <v>12400</v>
      </c>
      <c r="H27" s="115">
        <f>F27*G27</f>
        <v>37200</v>
      </c>
      <c r="I27" s="115" t="s">
        <v>301</v>
      </c>
      <c r="J27" s="52"/>
      <c r="K27" s="52"/>
      <c r="L27" s="52"/>
    </row>
    <row r="28" spans="1:12" ht="24.9" customHeight="1" x14ac:dyDescent="0.4">
      <c r="A28" s="114">
        <v>25</v>
      </c>
      <c r="B28" s="123">
        <v>46286</v>
      </c>
      <c r="C28" s="114" t="s">
        <v>290</v>
      </c>
      <c r="D28" s="124" t="s">
        <v>988</v>
      </c>
      <c r="E28" s="114" t="s">
        <v>300</v>
      </c>
      <c r="F28" s="114">
        <v>20</v>
      </c>
      <c r="G28" s="115">
        <v>500</v>
      </c>
      <c r="H28" s="115">
        <f t="shared" ref="H28:H29" si="7">F28*G28</f>
        <v>10000</v>
      </c>
      <c r="I28" s="115" t="s">
        <v>301</v>
      </c>
    </row>
    <row r="29" spans="1:12" ht="24.9" customHeight="1" x14ac:dyDescent="0.4">
      <c r="A29" s="114">
        <v>26</v>
      </c>
      <c r="B29" s="123">
        <v>46286</v>
      </c>
      <c r="C29" s="114" t="s">
        <v>290</v>
      </c>
      <c r="D29" s="124" t="s">
        <v>999</v>
      </c>
      <c r="E29" s="114" t="s">
        <v>300</v>
      </c>
      <c r="F29" s="114">
        <v>2</v>
      </c>
      <c r="G29" s="115">
        <v>1400</v>
      </c>
      <c r="H29" s="115">
        <f t="shared" si="7"/>
        <v>2800</v>
      </c>
      <c r="I29" s="115" t="s">
        <v>301</v>
      </c>
    </row>
    <row r="30" spans="1:12" ht="24.9" customHeight="1" x14ac:dyDescent="0.4">
      <c r="A30" s="114">
        <v>27</v>
      </c>
      <c r="B30" s="123">
        <v>46287</v>
      </c>
      <c r="C30" s="114" t="s">
        <v>290</v>
      </c>
      <c r="D30" s="124" t="s">
        <v>1000</v>
      </c>
      <c r="E30" s="114" t="s">
        <v>300</v>
      </c>
      <c r="F30" s="114">
        <v>1</v>
      </c>
      <c r="G30" s="115">
        <v>23200</v>
      </c>
      <c r="H30" s="115">
        <f>F30*G30</f>
        <v>23200</v>
      </c>
      <c r="I30" s="115" t="s">
        <v>301</v>
      </c>
    </row>
    <row r="31" spans="1:12" ht="24.9" customHeight="1" x14ac:dyDescent="0.4">
      <c r="A31" s="114">
        <v>28</v>
      </c>
      <c r="B31" s="123">
        <v>46287</v>
      </c>
      <c r="C31" s="114" t="s">
        <v>290</v>
      </c>
      <c r="D31" s="124" t="s">
        <v>1001</v>
      </c>
      <c r="E31" s="114" t="s">
        <v>300</v>
      </c>
      <c r="F31" s="114">
        <v>2</v>
      </c>
      <c r="G31" s="115">
        <v>2800</v>
      </c>
      <c r="H31" s="115">
        <f t="shared" ref="H31" si="8">F31*G31</f>
        <v>5600</v>
      </c>
      <c r="I31" s="115" t="s">
        <v>301</v>
      </c>
    </row>
    <row r="32" spans="1:12" ht="24.9" customHeight="1" x14ac:dyDescent="0.4">
      <c r="A32" s="114">
        <v>29</v>
      </c>
      <c r="B32" s="123">
        <v>46293</v>
      </c>
      <c r="C32" s="114" t="s">
        <v>290</v>
      </c>
      <c r="D32" s="124" t="s">
        <v>475</v>
      </c>
      <c r="E32" s="114" t="s">
        <v>300</v>
      </c>
      <c r="F32" s="114">
        <v>2</v>
      </c>
      <c r="G32" s="115">
        <v>8500</v>
      </c>
      <c r="H32" s="115">
        <f>F32*G32</f>
        <v>17000</v>
      </c>
      <c r="I32" s="115" t="s">
        <v>301</v>
      </c>
    </row>
    <row r="33" spans="1:9" ht="24.9" customHeight="1" x14ac:dyDescent="0.4">
      <c r="A33" s="114">
        <v>30</v>
      </c>
      <c r="B33" s="123">
        <v>46293</v>
      </c>
      <c r="C33" s="114" t="s">
        <v>290</v>
      </c>
      <c r="D33" s="124" t="s">
        <v>892</v>
      </c>
      <c r="E33" s="114" t="s">
        <v>300</v>
      </c>
      <c r="F33" s="114">
        <v>2</v>
      </c>
      <c r="G33" s="115">
        <v>2000</v>
      </c>
      <c r="H33" s="115">
        <f t="shared" ref="H33:H34" si="9">F33*G33</f>
        <v>4000</v>
      </c>
      <c r="I33" s="115" t="s">
        <v>301</v>
      </c>
    </row>
    <row r="34" spans="1:9" ht="24.9" customHeight="1" x14ac:dyDescent="0.4">
      <c r="A34" s="114">
        <v>31</v>
      </c>
      <c r="B34" s="123">
        <v>46293</v>
      </c>
      <c r="C34" s="114" t="s">
        <v>290</v>
      </c>
      <c r="D34" s="124" t="s">
        <v>475</v>
      </c>
      <c r="E34" s="114" t="s">
        <v>300</v>
      </c>
      <c r="F34" s="114">
        <v>5</v>
      </c>
      <c r="G34" s="115">
        <v>8500</v>
      </c>
      <c r="H34" s="115">
        <f t="shared" si="9"/>
        <v>42500</v>
      </c>
      <c r="I34" s="115" t="s">
        <v>301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5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 x14ac:dyDescent="0.4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 x14ac:dyDescent="0.4">
      <c r="B2" s="295" t="s">
        <v>40</v>
      </c>
      <c r="C2" s="36" t="s">
        <v>36</v>
      </c>
      <c r="D2" s="36"/>
      <c r="E2" s="36" t="s">
        <v>39</v>
      </c>
    </row>
    <row r="3" spans="2:18" ht="30" customHeight="1" x14ac:dyDescent="0.4">
      <c r="B3" s="296"/>
      <c r="C3" s="36" t="s">
        <v>37</v>
      </c>
      <c r="D3" s="36"/>
      <c r="E3" s="36" t="s">
        <v>39</v>
      </c>
    </row>
    <row r="4" spans="2:18" ht="30" customHeight="1" x14ac:dyDescent="0.4">
      <c r="B4" s="296"/>
      <c r="C4" s="36" t="s">
        <v>38</v>
      </c>
      <c r="D4" s="36"/>
      <c r="E4" s="36" t="s">
        <v>39</v>
      </c>
    </row>
    <row r="6" spans="2:18" ht="48.9" customHeight="1" x14ac:dyDescent="0.4">
      <c r="G6" s="295" t="s">
        <v>48</v>
      </c>
      <c r="H6" s="37" t="s">
        <v>41</v>
      </c>
      <c r="I6" s="37" t="s">
        <v>42</v>
      </c>
      <c r="J6" s="37" t="s">
        <v>46</v>
      </c>
      <c r="K6" s="35"/>
      <c r="L6" s="35"/>
      <c r="M6" s="35"/>
      <c r="N6" s="35"/>
      <c r="O6" s="35"/>
    </row>
    <row r="7" spans="2:18" ht="54.9" customHeight="1" x14ac:dyDescent="0.4">
      <c r="G7" s="295"/>
      <c r="H7" s="36"/>
      <c r="I7" s="36"/>
      <c r="J7" s="36"/>
      <c r="K7" s="35"/>
      <c r="L7" s="35"/>
      <c r="M7" s="35"/>
      <c r="N7" s="35"/>
      <c r="O7" s="35"/>
    </row>
    <row r="8" spans="2:18" ht="24.9" customHeight="1" x14ac:dyDescent="0.4">
      <c r="G8" s="35"/>
      <c r="H8" s="35"/>
      <c r="I8" s="35"/>
      <c r="J8" s="35"/>
      <c r="K8" s="35"/>
      <c r="L8" s="297" t="s">
        <v>47</v>
      </c>
      <c r="M8" s="36" t="s">
        <v>43</v>
      </c>
      <c r="N8" s="36" t="s">
        <v>44</v>
      </c>
      <c r="O8" s="36" t="s">
        <v>45</v>
      </c>
    </row>
    <row r="9" spans="2:18" ht="39.9" customHeight="1" x14ac:dyDescent="0.4">
      <c r="G9" s="35"/>
      <c r="H9" s="35"/>
      <c r="I9" s="35"/>
      <c r="J9" s="35"/>
      <c r="K9" s="35"/>
      <c r="L9" s="298"/>
      <c r="M9" s="36"/>
      <c r="N9" s="36"/>
      <c r="O9" s="36"/>
    </row>
    <row r="11" spans="2:18" ht="24.9" customHeight="1" x14ac:dyDescent="0.4">
      <c r="Q11" s="36" t="s">
        <v>49</v>
      </c>
      <c r="R11" s="36" t="s">
        <v>52</v>
      </c>
    </row>
    <row r="12" spans="2:18" ht="24.9" customHeight="1" x14ac:dyDescent="0.4">
      <c r="Q12" s="36" t="s">
        <v>50</v>
      </c>
      <c r="R12" s="36" t="s">
        <v>53</v>
      </c>
    </row>
    <row r="13" spans="2:18" ht="24.9" customHeight="1" x14ac:dyDescent="0.4">
      <c r="Q13" s="36" t="s">
        <v>51</v>
      </c>
      <c r="R13" s="36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H20" sqref="H20"/>
    </sheetView>
  </sheetViews>
  <sheetFormatPr defaultRowHeight="17.399999999999999" x14ac:dyDescent="0.4"/>
  <sheetData>
    <row r="3" spans="2:3" x14ac:dyDescent="0.4">
      <c r="B3" s="299" t="s">
        <v>54</v>
      </c>
      <c r="C3" s="300"/>
    </row>
    <row r="4" spans="2:3" x14ac:dyDescent="0.4">
      <c r="B4" s="38" t="s">
        <v>55</v>
      </c>
      <c r="C4" s="38" t="s">
        <v>56</v>
      </c>
    </row>
    <row r="5" spans="2:3" x14ac:dyDescent="0.4">
      <c r="B5" s="36" t="s">
        <v>57</v>
      </c>
      <c r="C5" s="36">
        <v>0.25</v>
      </c>
    </row>
    <row r="6" spans="2:3" x14ac:dyDescent="0.4">
      <c r="B6" s="36" t="s">
        <v>58</v>
      </c>
      <c r="C6" s="36">
        <v>0.5</v>
      </c>
    </row>
    <row r="7" spans="2:3" x14ac:dyDescent="0.4">
      <c r="B7" s="36" t="s">
        <v>59</v>
      </c>
      <c r="C7" s="36">
        <v>0.75</v>
      </c>
    </row>
    <row r="8" spans="2:3" x14ac:dyDescent="0.4">
      <c r="B8" s="36" t="s">
        <v>60</v>
      </c>
      <c r="C8" s="36">
        <v>1</v>
      </c>
    </row>
    <row r="9" spans="2:3" x14ac:dyDescent="0.4">
      <c r="B9" s="36" t="s">
        <v>61</v>
      </c>
      <c r="C9" s="36">
        <v>1.25</v>
      </c>
    </row>
    <row r="10" spans="2:3" x14ac:dyDescent="0.4">
      <c r="B10" s="36" t="s">
        <v>62</v>
      </c>
      <c r="C10" s="36">
        <v>1.5</v>
      </c>
    </row>
    <row r="11" spans="2:3" x14ac:dyDescent="0.4">
      <c r="B11" s="36" t="s">
        <v>63</v>
      </c>
      <c r="C11" s="36">
        <v>2</v>
      </c>
    </row>
    <row r="12" spans="2:3" x14ac:dyDescent="0.4">
      <c r="B12" s="36" t="s">
        <v>64</v>
      </c>
      <c r="C12" s="36">
        <v>2.5</v>
      </c>
    </row>
    <row r="13" spans="2:3" x14ac:dyDescent="0.4">
      <c r="B13" s="36" t="s">
        <v>65</v>
      </c>
      <c r="C13" s="36">
        <v>3</v>
      </c>
    </row>
    <row r="14" spans="2:3" x14ac:dyDescent="0.4">
      <c r="B14" s="36" t="s">
        <v>66</v>
      </c>
      <c r="C14" s="36">
        <v>4</v>
      </c>
    </row>
    <row r="15" spans="2:3" x14ac:dyDescent="0.4">
      <c r="B15" s="36" t="s">
        <v>67</v>
      </c>
      <c r="C15" s="36">
        <v>4</v>
      </c>
    </row>
    <row r="16" spans="2:3" x14ac:dyDescent="0.4">
      <c r="B16" s="36" t="s">
        <v>68</v>
      </c>
      <c r="C16" s="36">
        <v>5</v>
      </c>
    </row>
    <row r="17" spans="2:3" x14ac:dyDescent="0.4">
      <c r="B17" s="36" t="s">
        <v>69</v>
      </c>
      <c r="C17" s="36">
        <v>6</v>
      </c>
    </row>
    <row r="18" spans="2:3" x14ac:dyDescent="0.4">
      <c r="B18" s="36" t="s">
        <v>70</v>
      </c>
      <c r="C18" s="36">
        <v>7</v>
      </c>
    </row>
    <row r="19" spans="2:3" x14ac:dyDescent="0.4">
      <c r="B19" s="36" t="s">
        <v>71</v>
      </c>
      <c r="C19" s="36">
        <v>8</v>
      </c>
    </row>
    <row r="20" spans="2:3" x14ac:dyDescent="0.4">
      <c r="B20" s="36" t="s">
        <v>72</v>
      </c>
      <c r="C20" s="36">
        <v>9</v>
      </c>
    </row>
    <row r="21" spans="2:3" x14ac:dyDescent="0.4">
      <c r="B21" s="36" t="s">
        <v>73</v>
      </c>
      <c r="C21" s="36">
        <v>10</v>
      </c>
    </row>
    <row r="22" spans="2:3" x14ac:dyDescent="0.4">
      <c r="B22" s="36" t="s">
        <v>74</v>
      </c>
      <c r="C22" s="36">
        <v>12</v>
      </c>
    </row>
    <row r="23" spans="2:3" x14ac:dyDescent="0.4">
      <c r="B23" s="36" t="s">
        <v>75</v>
      </c>
      <c r="C23" s="36">
        <v>14</v>
      </c>
    </row>
    <row r="24" spans="2:3" x14ac:dyDescent="0.4">
      <c r="B24" s="36" t="s">
        <v>76</v>
      </c>
      <c r="C24" s="36">
        <v>16</v>
      </c>
    </row>
    <row r="25" spans="2:3" x14ac:dyDescent="0.4">
      <c r="B25" s="36" t="s">
        <v>77</v>
      </c>
      <c r="C25" s="36">
        <v>18</v>
      </c>
    </row>
    <row r="26" spans="2:3" x14ac:dyDescent="0.4">
      <c r="B26" s="36" t="s">
        <v>78</v>
      </c>
      <c r="C26" s="36">
        <v>20</v>
      </c>
    </row>
    <row r="27" spans="2:3" x14ac:dyDescent="0.4">
      <c r="B27" s="36" t="s">
        <v>79</v>
      </c>
      <c r="C27" s="36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4</vt:i4>
      </vt:variant>
    </vt:vector>
  </HeadingPairs>
  <TitlesOfParts>
    <vt:vector size="17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(09월)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숙소임차료!Print_Area</vt:lpstr>
      <vt:lpstr>식대비용!Print_Area</vt:lpstr>
      <vt:lpstr>집계장!Print_Area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2026-07-06T02:42:10Z</cp:lastPrinted>
  <dcterms:created xsi:type="dcterms:W3CDTF">2025-09-12T00:04:15Z</dcterms:created>
  <dcterms:modified xsi:type="dcterms:W3CDTF">2026-10-08T07:56:27Z</dcterms:modified>
</cp:coreProperties>
</file>