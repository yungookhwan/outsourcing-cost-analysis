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153.244\KcencGD2_공무_NEW\02. P4\04. Ph4\03. 대내업무\02. 외주기성\08. 2026년 05월 외주기성\01. 태성하이텍\"/>
    </mc:Choice>
  </mc:AlternateContent>
  <xr:revisionPtr revIDLastSave="0" documentId="13_ncr:1_{2B285992-F236-4936-9A2F-5770F8F952B4}" xr6:coauthVersionLast="36" xr6:coauthVersionMax="47" xr10:uidLastSave="{00000000-0000-0000-0000-000000000000}"/>
  <bookViews>
    <workbookView xWindow="28680" yWindow="-120" windowWidth="29040" windowHeight="15720" tabRatio="726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물량 내역서" sheetId="7" r:id="rId6"/>
    <sheet name="근로내역 (05월)" sheetId="8" r:id="rId7"/>
    <sheet name="용접기자재" sheetId="13" r:id="rId8"/>
    <sheet name="배관기자재" sheetId="14" r:id="rId9"/>
    <sheet name="숙소임차료" sheetId="9" r:id="rId10"/>
    <sheet name="숙소관리비" sheetId="10" r:id="rId11"/>
    <sheet name="식대비용" sheetId="11" r:id="rId12"/>
    <sheet name="기타비용" sheetId="12" r:id="rId13"/>
    <sheet name="서명란" sheetId="3" state="hidden" r:id="rId14"/>
    <sheet name="DIA-INCH" sheetId="4" state="hidden" r:id="rId15"/>
  </sheet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5">#REF!</definedName>
    <definedName name="___QQ123">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01__장비_설치공사">#REF!</definedName>
    <definedName name="_0201__소화_장비설치공사">#REF!</definedName>
    <definedName name="_1" localSheetId="3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>#REF!</definedName>
    <definedName name="_2" localSheetId="3">#REF!</definedName>
    <definedName name="_2">#REF!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 localSheetId="3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3__Crite">#REF!</definedName>
    <definedName name="_3_401K" localSheetId="3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1" localSheetId="3">#REF!</definedName>
    <definedName name="_DAT11">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5" localSheetId="3">#REF!</definedName>
    <definedName name="_DAT5">#REF!</definedName>
    <definedName name="_xlnm._FilterDatabase" localSheetId="8" hidden="1">배관기자재!$A$2:$J$15</definedName>
    <definedName name="_xlnm._FilterDatabase" localSheetId="7" hidden="1">용접기자재!$A$2:$J$3</definedName>
    <definedName name="_xlnm._FilterDatabase" hidden="1">#REF!</definedName>
    <definedName name="_Key1" localSheetId="3" hidden="1">#REF!</definedName>
    <definedName name="_Key1" hidden="1">#REF!</definedName>
    <definedName name="_LP1">#REF!</definedName>
    <definedName name="_LP2">#REF!</definedName>
    <definedName name="_Order1" hidden="1">255</definedName>
    <definedName name="_Order2" hidden="1">0</definedName>
    <definedName name="_p11">#REF!</definedName>
    <definedName name="_p2">#REF!</definedName>
    <definedName name="_PH1">#REF!</definedName>
    <definedName name="_PP1" localSheetId="3">#REF!</definedName>
    <definedName name="_PP1">#REF!</definedName>
    <definedName name="_QQ123">#REF!</definedName>
    <definedName name="_Regression_Int" hidden="1">1</definedName>
    <definedName name="_Sort" hidden="1">#REF!</definedName>
    <definedName name="_ST1">#N/A</definedName>
    <definedName name="\0">#REF!</definedName>
    <definedName name="\a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>#REF!</definedName>
    <definedName name="\l">#REF!</definedName>
    <definedName name="\n">#REF!</definedName>
    <definedName name="\o">#REF!</definedName>
    <definedName name="\p">#N/A</definedName>
    <definedName name="\q">#REF!</definedName>
    <definedName name="\R" localSheetId="3">#REF!</definedName>
    <definedName name="\R">#REF!</definedName>
    <definedName name="\s">#N/A</definedName>
    <definedName name="\t">#REF!</definedName>
    <definedName name="\u">#N/A</definedName>
    <definedName name="\W" localSheetId="3">#REF!</definedName>
    <definedName name="\W">#REF!</definedName>
    <definedName name="\x">#REF!</definedName>
    <definedName name="\y">#N/A</definedName>
    <definedName name="\z">#REF!</definedName>
    <definedName name="\주수">#N/A</definedName>
    <definedName name="Ⅱ" localSheetId="3" hidden="1">{#N/A,#N/A,FALSE,"정공"}</definedName>
    <definedName name="Ⅱ" hidden="1">{#N/A,#N/A,FALSE,"정공"}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Database" hidden="1">"C:\My Documents\입고현황_류\장비입고현황2.mdb"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s" localSheetId="3">[0]!BlankMacro1</definedName>
    <definedName name="as">[0]!BlankMacro1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ut" localSheetId="3">#REF!</definedName>
    <definedName name="aut">#REF!</definedName>
    <definedName name="AV">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>#REF!</definedName>
    <definedName name="betas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HDDOR" localSheetId="3">#REF!</definedName>
    <definedName name="CHDDOR">#REF!</definedName>
    <definedName name="cho" localSheetId="3">[0]!BlankMacro1</definedName>
    <definedName name="cho">[0]!BlankMacro1</definedName>
    <definedName name="CKFKFL" localSheetId="3">[0]!BlankMacro1</definedName>
    <definedName name="CKFKFL">[0]!BlankMacro1</definedName>
    <definedName name="Client">#REF!</definedName>
    <definedName name="CLIENT_NAME" localSheetId="3">#REF!</definedName>
    <definedName name="CLIENT_NAME">#REF!</definedName>
    <definedName name="CM">#REF!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>#REF!</definedName>
    <definedName name="conf" localSheetId="3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EDIT_MEMOS" localSheetId="3">#REF!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DANGA">#REF!,#REF!</definedName>
    <definedName name="DATABAS">#REF!</definedName>
    <definedName name="_xlnm.Database" localSheetId="3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sg">#REF!</definedName>
    <definedName name="DWGL_AREA">#REF!</definedName>
    <definedName name="E">#REF!</definedName>
    <definedName name="E5625RTDK" localSheetId="3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NCOST">#N/A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>#REF!</definedName>
    <definedName name="Exp_sub">#REF!</definedName>
    <definedName name="exp_tot">#REF!</definedName>
    <definedName name="_xlnm.Extract">#REF!</definedName>
    <definedName name="Extract_MI">#REF!</definedName>
    <definedName name="f">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>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hidden="1">#REF!</definedName>
    <definedName name="GG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>#REF!</definedName>
    <definedName name="h.sys">#REF!</definedName>
    <definedName name="hardwar" hidden="1">#REF!</definedName>
    <definedName name="HEADER" localSheetId="3">#REF!</definedName>
    <definedName name="HEADER">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NPUT" localSheetId="3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 localSheetId="3">#REF!</definedName>
    <definedName name="insur">#REF!</definedName>
    <definedName name="ir_d3">#REF!</definedName>
    <definedName name="it_new" localSheetId="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 localSheetId="3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isc" localSheetId="3">#REF!</definedName>
    <definedName name="misc">#REF!</definedName>
    <definedName name="mm">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>#REF!</definedName>
    <definedName name="NUMBER">#REF!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>#REF!</definedName>
    <definedName name="Out_of_Scope">#REF!</definedName>
    <definedName name="OUTPUT">#REF!</definedName>
    <definedName name="Period_Const">#REF!</definedName>
    <definedName name="PERIOD_END" localSheetId="3">#REF!</definedName>
    <definedName name="PERIOD_END">#REF!</definedName>
    <definedName name="pihkj">#REF!</definedName>
    <definedName name="PIPE40">#REF!</definedName>
    <definedName name="PJT">#N/A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>#REF!</definedName>
    <definedName name="_xlnm.Print_Area" localSheetId="12">기타비용!$A$1:$I$28</definedName>
    <definedName name="_xlnm.Print_Area" localSheetId="5">'물량 내역서'!$A$1:$O$59</definedName>
    <definedName name="_xlnm.Print_Area" localSheetId="8">배관기자재!$A$1:$J$56</definedName>
    <definedName name="_xlnm.Print_Area" localSheetId="10">숙소관리비!$A$1:$J$58</definedName>
    <definedName name="_xlnm.Print_Area" localSheetId="9">숙소임차료!$A$1:$J$21</definedName>
    <definedName name="_xlnm.Print_Area" localSheetId="11">식대비용!$A$1:$J$11</definedName>
    <definedName name="_xlnm.Print_Area" localSheetId="1">'용역 청구서(갑지)'!$A$1:$L$26</definedName>
    <definedName name="_xlnm.Print_Area" localSheetId="7">용접기자재!$A$1:$J$9</definedName>
    <definedName name="_xlnm.Print_Area" localSheetId="4">집계장!$A$1:$L$26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_xlnm.Print_Titles" localSheetId="3">'내역서(을지)'!$2:$4</definedName>
    <definedName name="_xlnm.Print_Titles" localSheetId="8">배관기자재!$1:$3</definedName>
    <definedName name="_xlnm.Print_Titles" localSheetId="7">용접기자재!$1:$3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_xlnm.Recorder" localSheetId="3">#REF!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CODE" localSheetId="3">#REF!</definedName>
    <definedName name="SCODE">#REF!</definedName>
    <definedName name="SD">#REF!</definedName>
    <definedName name="SDASDASDA" hidden="1">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>#REF!</definedName>
    <definedName name="Tele_sub">#REF!</definedName>
    <definedName name="teleph">#REF!</definedName>
    <definedName name="TEST0">#REF!</definedName>
    <definedName name="TESTKEYS" localSheetId="3">#REF!</definedName>
    <definedName name="TESTKEYS">#REF!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>#REF!</definedName>
    <definedName name="Total_sub" localSheetId="3">#REF!</definedName>
    <definedName name="Total_sub">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>#REF!</definedName>
    <definedName name="w" localSheetId="3">[0]!BlankMacro1</definedName>
    <definedName name="w">[0]!BlankMacro1</definedName>
    <definedName name="wd">#REF!</definedName>
    <definedName name="wessdd">#REF!</definedName>
    <definedName name="WKSEKFMZM" localSheetId="3">[0]!BlankMacro1</definedName>
    <definedName name="WKSEKFMZM">[0]!BlankMacro1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속도." localSheetId="3" hidden="1">{#N/A,#N/A,FALSE,"속도"}</definedName>
    <definedName name="wrn.속도." hidden="1">{#N/A,#N/A,FALSE,"속도"}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>#REF!</definedName>
    <definedName name="ZXCV" localSheetId="3">[0]!BlankMacro1</definedName>
    <definedName name="ZXCV">[0]!BlankMacro1</definedName>
    <definedName name="ㄱㄱㄱ">#REF!</definedName>
    <definedName name="ㄱㄱㄱㄱ">#REF!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>#REF!</definedName>
    <definedName name="갑근세" localSheetId="3">#REF!</definedName>
    <definedName name="갑근세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>#REF!</definedName>
    <definedName name="갤로" localSheetId="3" hidden="1">{#N/A,#N/A,FALSE,"정공"}</definedName>
    <definedName name="갤로" hidden="1">{#N/A,#N/A,FALSE,"정공"}</definedName>
    <definedName name="거리">#REF!</definedName>
    <definedName name="견적" localSheetId="3">#REF!</definedName>
    <definedName name="견적">#REF!</definedName>
    <definedName name="견적2" localSheetId="3">#REF!</definedName>
    <definedName name="견적2">#REF!</definedName>
    <definedName name="견적2001">#REF!</definedName>
    <definedName name="견적서" localSheetId="3">BlankMacro1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>[0]!BlankMacro1</definedName>
    <definedName name="고용보험료율" localSheetId="3">#REF!</definedName>
    <definedName name="고용보험료율">#REF!</definedName>
    <definedName name="공___종">#REF!</definedName>
    <definedName name="공관" localSheetId="3">[0]!BlankMacro1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>#REF!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>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상구" localSheetId="3">[0]!BlankMacro1</definedName>
    <definedName name="김상구">[0]!BlankMacro1</definedName>
    <definedName name="꽃창포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>#REF!</definedName>
    <definedName name="ㄴㅇ">#REF!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>[0]!BlankMacro1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>#REF!</definedName>
    <definedName name="내선">#REF!</definedName>
    <definedName name="내역">#REF!</definedName>
    <definedName name="내역서">#REF!</definedName>
    <definedName name="내장">#REF!</definedName>
    <definedName name="낵역4">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하하시오" localSheetId="3">[0]!BlankMacro1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>#REF!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>#REF!</definedName>
    <definedName name="ㅁ139">#REF!</definedName>
    <definedName name="ㅁ1510.">#REF!</definedName>
    <definedName name="ㅁ2923">#REF!</definedName>
    <definedName name="ㅁㄴ" localSheetId="3">#REF!</definedName>
    <definedName name="ㅁㄴ">#REF!</definedName>
    <definedName name="ㅁㄴㄴ" localSheetId="3">[0]!BlankMacro1</definedName>
    <definedName name="ㅁㄴㄴ">[0]!BlankMacro1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 localSheetId="3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ㅂㅂ" localSheetId="3">[0]!BlankMacro1</definedName>
    <definedName name="ㅂㅂㅂㅂ">[0]!BlankMacro1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>#REF!</definedName>
    <definedName name="방송">#REF!</definedName>
    <definedName name="방수">#REF!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1">#REF!</definedName>
    <definedName name="변경개요2">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 localSheetId="3">#REF!</definedName>
    <definedName name="보증금">#REF!</definedName>
    <definedName name="보통">#REF!</definedName>
    <definedName name="보통인부">#REF!</definedName>
    <definedName name="부___문" localSheetId="3">#REF!</definedName>
    <definedName name="부___문">#REF!</definedName>
    <definedName name="부가가치세">#REF!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당내역서" hidden="1">#REF!</definedName>
    <definedName name="분당아파트">#REF!</definedName>
    <definedName name="분전반" localSheetId="3">BlankMacro1</definedName>
    <definedName name="분전반">BlankMacro1</definedName>
    <definedName name="비">#REF!</definedName>
    <definedName name="비계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>#REF!</definedName>
    <definedName name="산출냐역">#REF!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 localSheetId="3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공">#REF!</definedName>
    <definedName name="설비투자" localSheetId="3" hidden="1">{#N/A,#N/A,FALSE,"정공"}</definedName>
    <definedName name="설비투자" hidden="1">{#N/A,#N/A,FALSE,"정공"}</definedName>
    <definedName name="설집">#REF!</definedName>
    <definedName name="성과분석용" localSheetId="3">[0]!BlankMacro1</definedName>
    <definedName name="성과분석용">[0]!BlankMacro1</definedName>
    <definedName name="성적">#REF!</definedName>
    <definedName name="세부실적" localSheetId="3">[0]!BlankMacro1</definedName>
    <definedName name="세부실적">[0]!BlankMacro1</definedName>
    <definedName name="소계">#REF!</definedName>
    <definedName name="소나무">#REF!</definedName>
    <definedName name="소방">#REF!</definedName>
    <definedName name="소방시설공사">#REF!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형차축부" localSheetId="3">#REF!</definedName>
    <definedName name="소형차축부">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숙직">#REF!</definedName>
    <definedName name="순공사비">#REF!</definedName>
    <definedName name="순공사원가">#REF!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>#REF!</definedName>
    <definedName name="실행">#REF!</definedName>
    <definedName name="십이월" localSheetId="3">#REF!</definedName>
    <definedName name="십이월">#REF!</definedName>
    <definedName name="ㅇ" localSheetId="3">#REF!</definedName>
    <definedName name="ㅇ">#REF!</definedName>
    <definedName name="ㅇㄴㄹㄴㅁㅇㄻ">#REF!</definedName>
    <definedName name="ㅇㄹ">#REF!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호" localSheetId="3">[0]!BlankMacro1</definedName>
    <definedName name="ㅇ호">[0]!BlankMacro1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>[0]!BlankMacro1</definedName>
    <definedName name="아이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>#REF!</definedName>
    <definedName name="안전관리비율">#REF!</definedName>
    <definedName name="알" localSheetId="3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>#REF!</definedName>
    <definedName name="어" localSheetId="3">[0]!BlankMacro1</definedName>
    <definedName name="어">[0]!BlankMacro1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연결부하">#REF!</definedName>
    <definedName name="연도.도금">#REF!</definedName>
    <definedName name="연습">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>#REF!</definedName>
    <definedName name="영어">#REF!</definedName>
    <definedName name="영업외비용" localSheetId="3">[0]!BlankMacro1</definedName>
    <definedName name="영업외비용">[0]!BlankMacro1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 localSheetId="3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윤율">#REF!</definedName>
    <definedName name="인동덩쿨">#REF!</definedName>
    <definedName name="인쇄영역">#REF!</definedName>
    <definedName name="인쇄제목" localSheetId="3">#REF!</definedName>
    <definedName name="인쇄제목">#REF!</definedName>
    <definedName name="인할">#REF!</definedName>
    <definedName name="일" localSheetId="3">[0]!BlankMacro1</definedName>
    <definedName name="일">[0]!BlankMacro1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 localSheetId="3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 localSheetId="3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체조직3" localSheetId="3">[0]!BlankMacro1</definedName>
    <definedName name="전체조직3">[0]!BlankMacro1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창" localSheetId="3">[0]!BlankMacro1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 localSheetId="3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컴">#REF!</definedName>
    <definedName name="컴퓨">#REF!</definedName>
    <definedName name="크레인">#REF!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목내역">#REF!</definedName>
    <definedName name="통신집계" localSheetId="3">BlankMacro1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폐기물처리비">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 localSheetId="3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프" localSheetId="3">#REF!</definedName>
    <definedName name="프">#REF!</definedName>
    <definedName name="ㅎ" localSheetId="3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>#REF!</definedName>
    <definedName name="현대" localSheetId="3" hidden="1">{#N/A,#N/A,FALSE,"정공"}</definedName>
    <definedName name="현대" hidden="1">{#N/A,#N/A,FALSE,"정공"}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>#REF!</definedName>
    <definedName name="휴게">#REF!</definedName>
    <definedName name="흄_____관">#REF!</definedName>
    <definedName name="ㅏㅏ" localSheetId="3">[0]!BlankMacro1</definedName>
    <definedName name="ㅏㅏ">[0]!BlankMacro1</definedName>
    <definedName name="ㅐㅐㅐㅐ" localSheetId="3">[0]!BlankMacro1</definedName>
    <definedName name="ㅐㅐㅐㅐ">[0]!BlankMacro1</definedName>
    <definedName name="ㅑ3081">#REF!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ㅕㅓ" localSheetId="3">[0]!BlankMacro1</definedName>
    <definedName name="ㅗㅕㅓ">[0]!BlankMacro1</definedName>
    <definedName name="ㅛㅛㅛㅛ" localSheetId="3">[0]!BlankMacro1</definedName>
    <definedName name="ㅛㅛㅛㅛ">[0]!BlankMacro1</definedName>
    <definedName name="ㅜㅜ" localSheetId="3">BlankMacro1</definedName>
    <definedName name="ㅜㅜ">BlankMacro1</definedName>
    <definedName name="ㅠ" localSheetId="3">#REF!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2" l="1"/>
  <c r="E6" i="6"/>
  <c r="E10" i="6"/>
  <c r="E11" i="6"/>
  <c r="H3" i="12" l="1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H15" i="12"/>
  <c r="A15" i="12"/>
  <c r="H14" i="12"/>
  <c r="A14" i="12"/>
  <c r="H13" i="12"/>
  <c r="A13" i="12"/>
  <c r="H12" i="12"/>
  <c r="A12" i="12"/>
  <c r="H11" i="12"/>
  <c r="A11" i="12"/>
  <c r="H10" i="12"/>
  <c r="A10" i="12"/>
  <c r="H9" i="12"/>
  <c r="A9" i="12"/>
  <c r="H8" i="12"/>
  <c r="A8" i="12"/>
  <c r="H7" i="12"/>
  <c r="A7" i="12"/>
  <c r="H6" i="12"/>
  <c r="A6" i="12"/>
  <c r="H5" i="12"/>
  <c r="A5" i="12"/>
  <c r="H4" i="12"/>
  <c r="A4" i="12"/>
  <c r="I11" i="11"/>
  <c r="A11" i="11"/>
  <c r="I10" i="11"/>
  <c r="A10" i="11"/>
  <c r="I9" i="11"/>
  <c r="A9" i="11"/>
  <c r="I8" i="11"/>
  <c r="A8" i="11"/>
  <c r="I7" i="11"/>
  <c r="A7" i="11"/>
  <c r="I6" i="11"/>
  <c r="A6" i="11"/>
  <c r="I5" i="11"/>
  <c r="A5" i="11"/>
  <c r="I4" i="11"/>
  <c r="A4" i="11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I21" i="9"/>
  <c r="A21" i="9"/>
  <c r="I20" i="9"/>
  <c r="A20" i="9"/>
  <c r="I19" i="9"/>
  <c r="A19" i="9"/>
  <c r="I18" i="9"/>
  <c r="A18" i="9"/>
  <c r="I17" i="9"/>
  <c r="A17" i="9"/>
  <c r="I16" i="9"/>
  <c r="A16" i="9"/>
  <c r="I15" i="9"/>
  <c r="A15" i="9"/>
  <c r="I14" i="9"/>
  <c r="A14" i="9"/>
  <c r="I13" i="9"/>
  <c r="A13" i="9"/>
  <c r="I12" i="9"/>
  <c r="A12" i="9"/>
  <c r="I11" i="9"/>
  <c r="A11" i="9"/>
  <c r="I10" i="9"/>
  <c r="A10" i="9"/>
  <c r="I9" i="9"/>
  <c r="A9" i="9"/>
  <c r="I8" i="9"/>
  <c r="A8" i="9"/>
  <c r="I7" i="9"/>
  <c r="A7" i="9"/>
  <c r="I6" i="9"/>
  <c r="A6" i="9"/>
  <c r="I5" i="9"/>
  <c r="A5" i="9"/>
  <c r="I4" i="9"/>
  <c r="A4" i="9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9" i="13"/>
  <c r="A8" i="13"/>
  <c r="A7" i="13"/>
  <c r="A6" i="13"/>
  <c r="A5" i="13"/>
  <c r="A4" i="13"/>
  <c r="I8" i="7"/>
  <c r="I3" i="10" l="1"/>
  <c r="E16" i="15"/>
  <c r="F11" i="15"/>
  <c r="F10" i="15"/>
  <c r="F9" i="15"/>
  <c r="F8" i="15"/>
  <c r="F7" i="15"/>
  <c r="F6" i="15"/>
  <c r="F5" i="15"/>
  <c r="F13" i="15" l="1"/>
  <c r="F16" i="15" s="1"/>
  <c r="G8" i="6" l="1"/>
  <c r="G13" i="6" l="1"/>
  <c r="G14" i="6" s="1"/>
  <c r="G18" i="6" s="1"/>
  <c r="G21" i="6" s="1"/>
  <c r="G22" i="6" s="1"/>
  <c r="I3" i="11" l="1"/>
  <c r="I3" i="9"/>
  <c r="K8" i="7" l="1"/>
  <c r="L8" i="7" s="1"/>
  <c r="K10" i="7"/>
  <c r="L10" i="7" s="1"/>
  <c r="K11" i="7"/>
  <c r="L11" i="7" s="1"/>
  <c r="K12" i="7"/>
  <c r="L12" i="7" s="1"/>
  <c r="K13" i="7"/>
  <c r="L13" i="7" s="1"/>
  <c r="K14" i="7"/>
  <c r="L14" i="7" s="1"/>
  <c r="K16" i="7"/>
  <c r="L16" i="7" s="1"/>
  <c r="K9" i="7"/>
  <c r="L9" i="7" s="1"/>
  <c r="K15" i="7"/>
  <c r="L15" i="7" s="1"/>
  <c r="I3" i="14"/>
  <c r="I3" i="13"/>
  <c r="AN98" i="8" l="1"/>
  <c r="AP98" i="8" s="1"/>
  <c r="AN97" i="8"/>
  <c r="AP97" i="8" s="1"/>
  <c r="AN96" i="8"/>
  <c r="AP96" i="8" s="1"/>
  <c r="AN95" i="8"/>
  <c r="AP95" i="8" s="1"/>
  <c r="AN94" i="8"/>
  <c r="AP94" i="8" s="1"/>
  <c r="AN93" i="8"/>
  <c r="AP93" i="8" s="1"/>
  <c r="AN92" i="8"/>
  <c r="AP92" i="8" s="1"/>
  <c r="AN91" i="8"/>
  <c r="AP91" i="8" s="1"/>
  <c r="AN90" i="8"/>
  <c r="AP90" i="8" s="1"/>
  <c r="AN89" i="8"/>
  <c r="AP89" i="8" s="1"/>
  <c r="AN88" i="8"/>
  <c r="AP88" i="8" s="1"/>
  <c r="AN87" i="8"/>
  <c r="AP87" i="8" s="1"/>
  <c r="AN86" i="8"/>
  <c r="AP86" i="8" s="1"/>
  <c r="AN85" i="8"/>
  <c r="AP85" i="8" s="1"/>
  <c r="AN84" i="8"/>
  <c r="AP84" i="8" s="1"/>
  <c r="AN83" i="8"/>
  <c r="AP83" i="8" s="1"/>
  <c r="AN82" i="8"/>
  <c r="AP82" i="8" s="1"/>
  <c r="AN81" i="8"/>
  <c r="AP81" i="8" s="1"/>
  <c r="AN80" i="8"/>
  <c r="AP80" i="8" s="1"/>
  <c r="AN79" i="8"/>
  <c r="AP79" i="8" s="1"/>
  <c r="AN78" i="8"/>
  <c r="AP78" i="8" s="1"/>
  <c r="AN77" i="8"/>
  <c r="AP77" i="8" s="1"/>
  <c r="AN76" i="8"/>
  <c r="AP76" i="8" s="1"/>
  <c r="AN75" i="8"/>
  <c r="AP75" i="8" s="1"/>
  <c r="AN74" i="8"/>
  <c r="AP74" i="8" s="1"/>
  <c r="AN73" i="8"/>
  <c r="AP73" i="8" s="1"/>
  <c r="AN72" i="8"/>
  <c r="AP72" i="8" s="1"/>
  <c r="AN71" i="8"/>
  <c r="AP71" i="8" s="1"/>
  <c r="AN70" i="8"/>
  <c r="AP70" i="8" s="1"/>
  <c r="AN69" i="8"/>
  <c r="AP69" i="8" s="1"/>
  <c r="AN68" i="8"/>
  <c r="AP68" i="8" s="1"/>
  <c r="AN67" i="8"/>
  <c r="AP67" i="8" s="1"/>
  <c r="AN66" i="8"/>
  <c r="AP66" i="8" s="1"/>
  <c r="AN65" i="8"/>
  <c r="AP65" i="8" s="1"/>
  <c r="AN64" i="8"/>
  <c r="AP64" i="8" s="1"/>
  <c r="AN63" i="8"/>
  <c r="AP63" i="8" s="1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41" i="8"/>
  <c r="AP41" i="8" s="1"/>
  <c r="AN40" i="8"/>
  <c r="AP40" i="8" s="1"/>
  <c r="AN39" i="8"/>
  <c r="AP39" i="8" s="1"/>
  <c r="AN38" i="8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I99" i="8"/>
  <c r="J99" i="8"/>
  <c r="K99" i="8"/>
  <c r="L99" i="8"/>
  <c r="M99" i="8"/>
  <c r="N99" i="8"/>
  <c r="O99" i="8"/>
  <c r="P99" i="8"/>
  <c r="P106" i="8" s="1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AK99" i="8"/>
  <c r="AL99" i="8"/>
  <c r="AM99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AK105" i="8"/>
  <c r="AL105" i="8"/>
  <c r="AM105" i="8"/>
  <c r="O106" i="8" l="1"/>
  <c r="N106" i="8"/>
  <c r="Z106" i="8"/>
  <c r="AM106" i="8"/>
  <c r="AL106" i="8"/>
  <c r="Q106" i="8"/>
  <c r="AD106" i="8"/>
  <c r="T106" i="8"/>
  <c r="AF106" i="8"/>
  <c r="R106" i="8"/>
  <c r="AB106" i="8"/>
  <c r="AA106" i="8"/>
  <c r="AC106" i="8"/>
  <c r="AJ106" i="8"/>
  <c r="AE106" i="8"/>
  <c r="W106" i="8"/>
  <c r="AK106" i="8"/>
  <c r="Y106" i="8"/>
  <c r="M106" i="8"/>
  <c r="X106" i="8"/>
  <c r="L106" i="8"/>
  <c r="AI106" i="8"/>
  <c r="K106" i="8"/>
  <c r="V106" i="8"/>
  <c r="J106" i="8"/>
  <c r="AG106" i="8"/>
  <c r="U106" i="8"/>
  <c r="I106" i="8"/>
  <c r="S106" i="8"/>
  <c r="AH106" i="8"/>
  <c r="AN28" i="8" l="1"/>
  <c r="AP28" i="8" s="1"/>
  <c r="AN27" i="8"/>
  <c r="AP27" i="8" s="1"/>
  <c r="AN26" i="8"/>
  <c r="AP26" i="8" s="1"/>
  <c r="AN25" i="8"/>
  <c r="AP25" i="8" s="1"/>
  <c r="AN24" i="8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AN17" i="8"/>
  <c r="AP17" i="8" s="1"/>
  <c r="AN16" i="8"/>
  <c r="AP16" i="8" s="1"/>
  <c r="AN15" i="8"/>
  <c r="AP15" i="8" s="1"/>
  <c r="AN14" i="8"/>
  <c r="AP14" i="8" s="1"/>
  <c r="AN13" i="8"/>
  <c r="AP13" i="8" s="1"/>
  <c r="AN12" i="8"/>
  <c r="AP12" i="8" s="1"/>
  <c r="AN11" i="8" l="1"/>
  <c r="AP11" i="8" s="1"/>
  <c r="AN10" i="8"/>
  <c r="AP10" i="8" s="1"/>
  <c r="AN9" i="8"/>
  <c r="AP9" i="8" s="1"/>
  <c r="AN8" i="8"/>
  <c r="AP8" i="8" s="1"/>
  <c r="AN7" i="8"/>
  <c r="AP7" i="8" s="1"/>
  <c r="AN6" i="8"/>
  <c r="AP6" i="8" s="1"/>
  <c r="E10" i="2" l="1"/>
  <c r="E7" i="2"/>
  <c r="K50" i="7" l="1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L31" i="7" s="1"/>
  <c r="K30" i="7"/>
  <c r="K29" i="7"/>
  <c r="K28" i="7"/>
  <c r="D5" i="6" l="1"/>
  <c r="D11" i="6"/>
  <c r="F11" i="6" l="1"/>
  <c r="F10" i="6"/>
  <c r="D10" i="6"/>
  <c r="AM3" i="8" l="1"/>
  <c r="AM1" i="8"/>
  <c r="AN104" i="8"/>
  <c r="AP104" i="8" s="1"/>
  <c r="AN103" i="8"/>
  <c r="AP103" i="8" s="1"/>
  <c r="AN102" i="8"/>
  <c r="AP102" i="8" s="1"/>
  <c r="AN101" i="8"/>
  <c r="AP101" i="8" s="1"/>
  <c r="AN100" i="8"/>
  <c r="AP100" i="8" s="1"/>
  <c r="AP105" i="8" l="1"/>
  <c r="F6" i="6" s="1"/>
  <c r="AN99" i="8"/>
  <c r="AP99" i="8"/>
  <c r="AN105" i="8"/>
  <c r="F50" i="7"/>
  <c r="L50" i="7" s="1"/>
  <c r="F49" i="7"/>
  <c r="L49" i="7" s="1"/>
  <c r="F48" i="7"/>
  <c r="L48" i="7" s="1"/>
  <c r="F47" i="7"/>
  <c r="L47" i="7" s="1"/>
  <c r="F46" i="7"/>
  <c r="L46" i="7" s="1"/>
  <c r="F45" i="7"/>
  <c r="L45" i="7" s="1"/>
  <c r="F44" i="7"/>
  <c r="L44" i="7" s="1"/>
  <c r="F43" i="7"/>
  <c r="L43" i="7" s="1"/>
  <c r="F42" i="7"/>
  <c r="F41" i="7"/>
  <c r="F40" i="7"/>
  <c r="F39" i="7"/>
  <c r="F38" i="7"/>
  <c r="F37" i="7"/>
  <c r="F36" i="7"/>
  <c r="F35" i="7"/>
  <c r="F34" i="7"/>
  <c r="L34" i="7" s="1"/>
  <c r="F33" i="7"/>
  <c r="L33" i="7" s="1"/>
  <c r="F32" i="7"/>
  <c r="L32" i="7" s="1"/>
  <c r="F30" i="7"/>
  <c r="F29" i="7"/>
  <c r="L29" i="7" s="1"/>
  <c r="F28" i="7"/>
  <c r="K27" i="7"/>
  <c r="K26" i="7"/>
  <c r="K25" i="7"/>
  <c r="L25" i="7" s="1"/>
  <c r="K24" i="7"/>
  <c r="L24" i="7" s="1"/>
  <c r="K23" i="7"/>
  <c r="L23" i="7" s="1"/>
  <c r="K22" i="7"/>
  <c r="K21" i="7"/>
  <c r="L21" i="7" s="1"/>
  <c r="K20" i="7"/>
  <c r="K19" i="7"/>
  <c r="K18" i="7"/>
  <c r="L18" i="7" s="1"/>
  <c r="K17" i="7"/>
  <c r="K7" i="7"/>
  <c r="K6" i="7"/>
  <c r="K5" i="7"/>
  <c r="B2" i="7"/>
  <c r="A1" i="6"/>
  <c r="L2" i="6"/>
  <c r="AN106" i="8" l="1"/>
  <c r="D9" i="6" s="1"/>
  <c r="L26" i="7"/>
  <c r="L36" i="7"/>
  <c r="L37" i="7"/>
  <c r="L40" i="7"/>
  <c r="L41" i="7"/>
  <c r="L42" i="7"/>
  <c r="L38" i="7"/>
  <c r="L39" i="7"/>
  <c r="L28" i="7"/>
  <c r="L30" i="7"/>
  <c r="L35" i="7"/>
  <c r="D6" i="6"/>
  <c r="L7" i="7"/>
  <c r="D4" i="6"/>
  <c r="AP106" i="8"/>
  <c r="AO99" i="8"/>
  <c r="L6" i="7"/>
  <c r="L22" i="7"/>
  <c r="L5" i="7"/>
  <c r="L19" i="7"/>
  <c r="L27" i="7"/>
  <c r="L17" i="7"/>
  <c r="L20" i="7"/>
  <c r="F20" i="6"/>
  <c r="H19" i="6"/>
  <c r="I19" i="6" s="1"/>
  <c r="H17" i="6"/>
  <c r="I17" i="6" s="1"/>
  <c r="H16" i="6"/>
  <c r="I16" i="6" s="1"/>
  <c r="E14" i="2" s="1"/>
  <c r="H15" i="6"/>
  <c r="I15" i="6" s="1"/>
  <c r="F12" i="6"/>
  <c r="F7" i="6"/>
  <c r="H7" i="6" s="1"/>
  <c r="I7" i="6" s="1"/>
  <c r="H6" i="6"/>
  <c r="I6" i="6" s="1"/>
  <c r="AO106" i="8" l="1"/>
  <c r="F9" i="6"/>
  <c r="H20" i="6"/>
  <c r="I20" i="6" s="1"/>
  <c r="L20" i="6" s="1"/>
  <c r="E12" i="2" s="1"/>
  <c r="E11" i="2"/>
  <c r="F5" i="6"/>
  <c r="F4" i="6"/>
  <c r="L51" i="7"/>
  <c r="K51" i="7"/>
  <c r="H11" i="6"/>
  <c r="I11" i="6" s="1"/>
  <c r="H12" i="6"/>
  <c r="I12" i="6" s="1"/>
  <c r="H10" i="6"/>
  <c r="I10" i="6" s="1"/>
  <c r="F6" i="5"/>
  <c r="F7" i="5"/>
  <c r="F8" i="5"/>
  <c r="F9" i="5"/>
  <c r="F10" i="5"/>
  <c r="F11" i="5"/>
  <c r="F5" i="5"/>
  <c r="E15" i="5"/>
  <c r="E3" i="2"/>
  <c r="D3" i="2"/>
  <c r="F8" i="6" l="1"/>
  <c r="H8" i="6" s="1"/>
  <c r="I8" i="6" s="1"/>
  <c r="E5" i="6"/>
  <c r="H5" i="6"/>
  <c r="I5" i="6" s="1"/>
  <c r="H9" i="6"/>
  <c r="E9" i="6"/>
  <c r="F13" i="6"/>
  <c r="H13" i="6" s="1"/>
  <c r="I13" i="6" s="1"/>
  <c r="H4" i="6"/>
  <c r="I4" i="6" s="1"/>
  <c r="E4" i="6"/>
  <c r="F13" i="5"/>
  <c r="F15" i="5" s="1"/>
  <c r="D14" i="2"/>
  <c r="D12" i="2"/>
  <c r="D11" i="2"/>
  <c r="D10" i="2"/>
  <c r="D9" i="2"/>
  <c r="D7" i="2"/>
  <c r="F14" i="6" l="1"/>
  <c r="H14" i="6" s="1"/>
  <c r="I14" i="6" s="1"/>
  <c r="F18" i="6" l="1"/>
  <c r="F21" i="6" s="1"/>
  <c r="H18" i="6" l="1"/>
  <c r="I18" i="6" s="1"/>
  <c r="H21" i="6"/>
  <c r="I21" i="6" s="1"/>
  <c r="F22" i="6"/>
  <c r="H22" i="6" l="1"/>
  <c r="I22" i="6" s="1"/>
  <c r="E5" i="2" s="1"/>
  <c r="D5" i="2" s="1"/>
  <c r="E8" i="2"/>
  <c r="D8" i="2" s="1"/>
  <c r="E13" i="2"/>
  <c r="E6" i="2" s="1"/>
  <c r="D6" i="2" s="1"/>
  <c r="I9" i="6"/>
  <c r="D13" i="2" l="1"/>
  <c r="N8" i="7"/>
  <c r="H8" i="7" s="1"/>
  <c r="N38" i="7"/>
  <c r="H38" i="7" s="1"/>
  <c r="M29" i="7"/>
  <c r="G29" i="7" s="1"/>
  <c r="M35" i="7"/>
  <c r="G35" i="7" s="1"/>
  <c r="N47" i="7"/>
  <c r="H47" i="7" s="1"/>
  <c r="M31" i="7"/>
  <c r="G31" i="7" s="1"/>
  <c r="M37" i="7"/>
  <c r="G37" i="7"/>
  <c r="M20" i="7"/>
  <c r="G20" i="7" s="1"/>
  <c r="M39" i="7"/>
  <c r="G39" i="7" s="1"/>
  <c r="M46" i="7"/>
  <c r="G46" i="7" s="1"/>
  <c r="M12" i="7"/>
  <c r="G12" i="7" s="1"/>
  <c r="M27" i="7"/>
  <c r="G27" i="7" s="1"/>
  <c r="M26" i="7"/>
  <c r="G26" i="7"/>
  <c r="N26" i="7"/>
  <c r="H26" i="7" s="1"/>
  <c r="M16" i="7"/>
  <c r="G16" i="7" s="1"/>
  <c r="N37" i="7"/>
  <c r="H37" i="7"/>
  <c r="N18" i="7"/>
  <c r="H18" i="7" s="1"/>
  <c r="N19" i="7"/>
  <c r="H19" i="7" s="1"/>
  <c r="N30" i="7"/>
  <c r="H30" i="7" s="1"/>
  <c r="N29" i="7"/>
  <c r="H29" i="7" s="1"/>
  <c r="N41" i="7"/>
  <c r="H41" i="7" s="1"/>
  <c r="M7" i="7"/>
  <c r="G7" i="7"/>
  <c r="N45" i="7"/>
  <c r="H45" i="7" s="1"/>
  <c r="M50" i="7"/>
  <c r="G50" i="7" s="1"/>
  <c r="M38" i="7"/>
  <c r="G38" i="7"/>
  <c r="M49" i="7"/>
  <c r="G49" i="7" s="1"/>
  <c r="N35" i="7"/>
  <c r="H35" i="7" s="1"/>
  <c r="M8" i="7"/>
  <c r="G8" i="7" s="1"/>
  <c r="N14" i="7"/>
  <c r="H14" i="7" s="1"/>
  <c r="M17" i="7"/>
  <c r="G17" i="7" s="1"/>
  <c r="M23" i="7"/>
  <c r="G23" i="7" s="1"/>
  <c r="N24" i="7"/>
  <c r="H24" i="7" s="1"/>
  <c r="M40" i="7"/>
  <c r="G40" i="7" s="1"/>
  <c r="N17" i="7"/>
  <c r="H17" i="7" s="1"/>
  <c r="N16" i="7"/>
  <c r="H16" i="7" s="1"/>
  <c r="M15" i="7"/>
  <c r="G15" i="7" s="1"/>
  <c r="M34" i="7"/>
  <c r="G34" i="7" s="1"/>
  <c r="N20" i="7"/>
  <c r="H20" i="7" s="1"/>
  <c r="N42" i="7"/>
  <c r="H42" i="7" s="1"/>
  <c r="M32" i="7"/>
  <c r="G32" i="7"/>
  <c r="N36" i="7"/>
  <c r="H36" i="7" s="1"/>
  <c r="N11" i="7"/>
  <c r="H11" i="7" s="1"/>
  <c r="M13" i="7"/>
  <c r="G13" i="7" s="1"/>
  <c r="M45" i="7"/>
  <c r="G45" i="7" s="1"/>
  <c r="N49" i="7"/>
  <c r="H49" i="7"/>
  <c r="M24" i="7"/>
  <c r="G24" i="7"/>
  <c r="M44" i="7"/>
  <c r="G44" i="7" s="1"/>
  <c r="M42" i="7"/>
  <c r="G42" i="7" s="1"/>
  <c r="M28" i="7"/>
  <c r="G28" i="7" s="1"/>
  <c r="M30" i="7"/>
  <c r="G30" i="7" s="1"/>
  <c r="M47" i="7"/>
  <c r="G47" i="7" s="1"/>
  <c r="N15" i="7"/>
  <c r="H15" i="7"/>
  <c r="N31" i="7"/>
  <c r="H31" i="7" s="1"/>
  <c r="M43" i="7"/>
  <c r="G43" i="7" s="1"/>
  <c r="N44" i="7"/>
  <c r="H44" i="7" s="1"/>
  <c r="J51" i="7"/>
  <c r="M14" i="7"/>
  <c r="G14" i="7" s="1"/>
  <c r="M18" i="7"/>
  <c r="G18" i="7" s="1"/>
  <c r="M21" i="7"/>
  <c r="G21" i="7" s="1"/>
  <c r="N33" i="7"/>
  <c r="H33" i="7"/>
  <c r="N6" i="7"/>
  <c r="H6" i="7" s="1"/>
  <c r="N32" i="7"/>
  <c r="H32" i="7"/>
  <c r="N28" i="7"/>
  <c r="H28" i="7" s="1"/>
  <c r="N25" i="7"/>
  <c r="H25" i="7" s="1"/>
  <c r="M19" i="7"/>
  <c r="G19" i="7" s="1"/>
  <c r="N23" i="7"/>
  <c r="H23" i="7" s="1"/>
  <c r="M9" i="7"/>
  <c r="G9" i="7" s="1"/>
  <c r="N9" i="7"/>
  <c r="H9" i="7" s="1"/>
  <c r="M22" i="7"/>
  <c r="G22" i="7" s="1"/>
  <c r="M10" i="7"/>
  <c r="G10" i="7" s="1"/>
  <c r="N46" i="7"/>
  <c r="H46" i="7"/>
  <c r="N13" i="7"/>
  <c r="H13" i="7" s="1"/>
  <c r="N21" i="7"/>
  <c r="H21" i="7" s="1"/>
  <c r="N10" i="7"/>
  <c r="H10" i="7" s="1"/>
  <c r="I51" i="7"/>
  <c r="M36" i="7"/>
  <c r="G36" i="7" s="1"/>
  <c r="N34" i="7"/>
  <c r="H34" i="7" s="1"/>
  <c r="N50" i="7"/>
  <c r="H50" i="7" s="1"/>
  <c r="M33" i="7"/>
  <c r="G33" i="7" s="1"/>
  <c r="N22" i="7"/>
  <c r="H22" i="7" s="1"/>
  <c r="N40" i="7"/>
  <c r="H40" i="7"/>
  <c r="N7" i="7"/>
  <c r="H7" i="7" s="1"/>
  <c r="M25" i="7"/>
  <c r="G25" i="7"/>
  <c r="N12" i="7"/>
  <c r="H12" i="7" s="1"/>
  <c r="N43" i="7"/>
  <c r="H43" i="7" s="1"/>
  <c r="N27" i="7"/>
  <c r="H27" i="7" s="1"/>
  <c r="N48" i="7"/>
  <c r="H48" i="7"/>
  <c r="M41" i="7"/>
  <c r="G41" i="7" s="1"/>
  <c r="M48" i="7"/>
  <c r="G48" i="7"/>
  <c r="N39" i="7"/>
  <c r="H39" i="7" s="1"/>
  <c r="M11" i="7"/>
  <c r="G11" i="7" s="1"/>
  <c r="M6" i="7"/>
  <c r="G6" i="7" s="1"/>
  <c r="M5" i="7"/>
  <c r="N5" i="7"/>
  <c r="N51" i="7" l="1"/>
  <c r="M51" i="7"/>
  <c r="H5" i="7"/>
  <c r="H51" i="7" s="1"/>
  <c r="G5" i="7"/>
  <c r="G5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김영광</author>
  </authors>
  <commentList>
    <comment ref="I8" authorId="0" shapeId="0" xr:uid="{046CF6CF-E596-46A4-A253-9F6C092FA68F}">
      <text>
        <r>
          <rPr>
            <b/>
            <sz val="9"/>
            <color indexed="81"/>
            <rFont val="돋움"/>
            <family val="3"/>
            <charset val="129"/>
          </rPr>
          <t>태성귀책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인치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차감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<sst xmlns="http://schemas.openxmlformats.org/spreadsheetml/2006/main" count="1828" uniqueCount="890">
  <si>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</si>
  <si>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</si>
  <si>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</si>
  <si>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</si>
  <si>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</si>
  <si>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</si>
  <si>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</si>
  <si>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</si>
  <si>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</si>
  <si>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</si>
  <si>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</si>
  <si>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</si>
  <si>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</si>
  <si>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</si>
  <si>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</si>
  <si>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</si>
  <si>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</si>
  <si>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</si>
  <si>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</si>
  <si>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</si>
  <si>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</si>
  <si>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</si>
  <si>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</si>
  <si>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</si>
  <si>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</si>
  <si>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</si>
  <si>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</si>
  <si>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</si>
  <si>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</si>
  <si>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</si>
  <si>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</si>
  <si>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</si>
  <si>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</si>
  <si>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</si>
  <si>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</si>
  <si>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</si>
  <si>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</si>
  <si>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</si>
  <si>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</si>
  <si>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</si>
  <si>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</si>
  <si>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</si>
  <si>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</si>
  <si>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</si>
  <si>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</si>
  <si>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</si>
  <si>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</si>
  <si>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</si>
  <si>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</si>
  <si>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</si>
  <si>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</si>
  <si>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</si>
  <si>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</si>
  <si>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</si>
  <si>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</si>
  <si>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</si>
  <si>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</si>
  <si>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</si>
  <si>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</si>
  <si>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</si>
  <si>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</si>
  <si>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</si>
  <si>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</si>
  <si>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</si>
  <si>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</si>
  <si>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</si>
  <si>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</si>
  <si>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</si>
  <si>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</si>
  <si>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</si>
  <si>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</si>
  <si>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</si>
  <si>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</si>
  <si>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</si>
  <si>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</si>
  <si>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</si>
  <si>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</si>
  <si>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</si>
  <si>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</si>
  <si>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</si>
  <si>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</si>
  <si>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</si>
  <si>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</si>
  <si>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</si>
  <si>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</si>
  <si>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</si>
  <si>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</si>
  <si>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</si>
  <si>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</si>
  <si>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</si>
  <si>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</si>
  <si>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</si>
  <si>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</si>
  <si>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</si>
  <si>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</si>
  <si>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</si>
  <si>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</si>
  <si>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</si>
  <si>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</si>
  <si>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</si>
  <si>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</si>
  <si>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</si>
  <si>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</si>
  <si>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</si>
  <si>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</si>
  <si>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</si>
  <si>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</si>
  <si>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</si>
  <si>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</si>
  <si>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</si>
  <si>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</si>
  <si>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</si>
  <si>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</si>
  <si>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</si>
  <si>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</si>
  <si>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</si>
  <si>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</si>
  <si>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</si>
  <si>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</si>
  <si>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</si>
  <si>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</si>
  <si>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</si>
  <si>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</si>
  <si>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</si>
  <si>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</si>
  <si>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</si>
  <si>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</si>
  <si>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</si>
  <si>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</si>
  <si>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</si>
  <si>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</si>
  <si>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</si>
  <si>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</si>
  <si>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</si>
  <si>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</si>
  <si>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</si>
  <si>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</si>
  <si>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</si>
  <si>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</si>
  <si>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</si>
  <si>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</si>
  <si>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</si>
  <si>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</si>
  <si>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</si>
  <si>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</si>
  <si>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</si>
  <si>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</si>
  <si>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</si>
  <si>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</si>
  <si>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</si>
  <si>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</si>
  <si>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</si>
  <si>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</si>
  <si>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</si>
  <si>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</si>
  <si>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</si>
  <si>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</si>
  <si>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</si>
  <si>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</si>
  <si>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</si>
  <si>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</si>
  <si>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</si>
  <si>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</si>
  <si>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</si>
  <si>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</si>
  <si>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</si>
  <si>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</si>
  <si>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</si>
  <si>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</si>
  <si>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</si>
  <si>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</si>
  <si>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</si>
  <si>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</si>
  <si>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</si>
  <si>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</si>
  <si>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</si>
  <si>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</si>
  <si>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</si>
  <si>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</si>
  <si>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</si>
  <si>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</si>
  <si>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</si>
  <si>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</si>
  <si>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</si>
  <si>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</si>
  <si>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</si>
  <si>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</si>
  <si>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</si>
  <si>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</si>
  <si>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</si>
  <si>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</si>
  <si>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</si>
  <si>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</si>
  <si>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</si>
  <si>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</si>
  <si>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</si>
  <si>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</si>
  <si>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</si>
  <si>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</si>
  <si>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</si>
  <si>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</si>
  <si>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</si>
  <si>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</si>
  <si>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</si>
  <si>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</si>
  <si>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</si>
  <si>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</si>
  <si>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</si>
  <si>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</si>
  <si>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</si>
  <si>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</si>
  <si>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</si>
  <si>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</si>
  <si>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</si>
  <si>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</si>
  <si>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</si>
  <si>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</si>
  <si>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</si>
  <si>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</si>
  <si>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</si>
  <si>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</si>
  <si>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</si>
  <si>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</si>
  <si>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</si>
  <si>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</si>
  <si>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</si>
  <si>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</si>
  <si>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</si>
  <si>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</si>
  <si>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</si>
  <si>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</si>
  <si>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</si>
  <si>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</si>
  <si>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</si>
  <si>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</si>
  <si>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</si>
  <si>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</si>
  <si>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</si>
  <si>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</si>
  <si>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</si>
  <si>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</si>
  <si>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</si>
  <si>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</si>
  <si>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</si>
  <si>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</si>
  <si>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</si>
  <si>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</si>
  <si>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</si>
  <si>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</si>
  <si>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</si>
  <si>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</si>
  <si>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</si>
  <si>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</si>
  <si>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</si>
  <si>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</si>
  <si>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</si>
  <si>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</si>
  <si>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</si>
  <si>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</si>
  <si>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</si>
  <si>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</si>
  <si>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</si>
  <si>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</si>
  <si>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</si>
  <si>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</si>
  <si>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</si>
  <si>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</si>
  <si>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</si>
  <si>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</si>
  <si>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</si>
  <si>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</si>
  <si>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</si>
  <si>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</si>
  <si>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</si>
  <si>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</si>
  <si>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</si>
  <si>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</si>
  <si>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</si>
  <si>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</si>
  <si>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</si>
  <si>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</si>
  <si>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</si>
  <si>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</si>
  <si>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</si>
  <si>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</si>
  <si>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</si>
  <si>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</si>
  <si>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</si>
  <si>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</si>
  <si>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</si>
  <si>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</si>
  <si>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</si>
  <si>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S25-004</t>
    <phoneticPr fontId="5" type="noConversion"/>
  </si>
  <si>
    <t>용접 기자재</t>
    <phoneticPr fontId="5" type="noConversion"/>
  </si>
  <si>
    <t>No</t>
    <phoneticPr fontId="5" type="noConversion"/>
  </si>
  <si>
    <t>규격</t>
    <phoneticPr fontId="5" type="noConversion"/>
  </si>
  <si>
    <t>발주수량</t>
  </si>
  <si>
    <t>입력항목</t>
    <phoneticPr fontId="5" type="noConversion"/>
  </si>
  <si>
    <t>거래처명</t>
    <phoneticPr fontId="5" type="noConversion"/>
  </si>
  <si>
    <t>발주수량</t>
    <phoneticPr fontId="5" type="noConversion"/>
  </si>
  <si>
    <t>■ 구분은 [소모성자재, 공구, 임대(공구), 안전용품, 비품] 이외 항목은 입력금지</t>
    <phoneticPr fontId="5" type="noConversion"/>
  </si>
  <si>
    <t>배관 기자재</t>
    <phoneticPr fontId="5" type="noConversion"/>
  </si>
  <si>
    <t>장규철</t>
    <phoneticPr fontId="3" type="noConversion"/>
  </si>
  <si>
    <t>㈜태성하이텍</t>
    <phoneticPr fontId="5" type="noConversion"/>
  </si>
  <si>
    <t>㈜ 태성하이텍</t>
  </si>
  <si>
    <t>경기도 용인시 처인구 남사면 봉명리 73-1</t>
  </si>
  <si>
    <t>유 태 진</t>
  </si>
  <si>
    <t>(인)</t>
    <phoneticPr fontId="9" type="noConversion"/>
  </si>
  <si>
    <t>■ 구분은 [사무용품, 소모품비, 법인카드] 이외 항목은 입력금지</t>
    <phoneticPr fontId="5" type="noConversion"/>
  </si>
  <si>
    <t>용 역 내 역 서</t>
    <phoneticPr fontId="5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</si>
  <si>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</si>
  <si>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</si>
  <si>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</si>
  <si>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</si>
  <si>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</si>
  <si>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</si>
  <si>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8" type="noConversion"/>
  </si>
  <si>
    <t>수 량</t>
    <phoneticPr fontId="5" type="noConversion"/>
  </si>
  <si>
    <t>금  액</t>
    <phoneticPr fontId="5" type="noConversion"/>
  </si>
  <si>
    <t>고급기술인</t>
  </si>
  <si>
    <t/>
  </si>
  <si>
    <t>초급기술인</t>
    <phoneticPr fontId="3" type="noConversion"/>
  </si>
  <si>
    <t>총   계</t>
    <phoneticPr fontId="5" type="noConversion"/>
  </si>
  <si>
    <t>2026년 (05)월 물량 내역서</t>
    <phoneticPr fontId="3" type="noConversion"/>
  </si>
  <si>
    <t>2026년 05월</t>
    <phoneticPr fontId="5" type="noConversion"/>
  </si>
  <si>
    <t>작 성 일 :   2026  년  05 월   31 일</t>
    <phoneticPr fontId="9" type="noConversion"/>
  </si>
  <si>
    <t>2026. 05. 01 ~ 2026. 05. 31</t>
    <phoneticPr fontId="3" type="noConversion"/>
  </si>
  <si>
    <t>강경섭</t>
  </si>
  <si>
    <t>강동근</t>
  </si>
  <si>
    <t>강우형</t>
  </si>
  <si>
    <t>강원태</t>
  </si>
  <si>
    <t>강희재</t>
  </si>
  <si>
    <t>곽명재</t>
  </si>
  <si>
    <t>김강현</t>
  </si>
  <si>
    <t>김경태</t>
  </si>
  <si>
    <t>김광동</t>
  </si>
  <si>
    <t>김기진</t>
  </si>
  <si>
    <t>김동민</t>
  </si>
  <si>
    <t>김동열</t>
  </si>
  <si>
    <t>김명수</t>
  </si>
  <si>
    <t>김성인</t>
  </si>
  <si>
    <t>김성중</t>
  </si>
  <si>
    <t>김승진</t>
  </si>
  <si>
    <t>김양근</t>
  </si>
  <si>
    <t>김영광</t>
  </si>
  <si>
    <t>김영철</t>
  </si>
  <si>
    <t>김윤하</t>
  </si>
  <si>
    <t>김재호</t>
  </si>
  <si>
    <t>김정천</t>
  </si>
  <si>
    <t>김태훈</t>
  </si>
  <si>
    <t>김현규</t>
  </si>
  <si>
    <t>김현수</t>
  </si>
  <si>
    <t>김현재</t>
  </si>
  <si>
    <t>김형식</t>
  </si>
  <si>
    <t>남희수</t>
  </si>
  <si>
    <t>도남철</t>
  </si>
  <si>
    <t>박동은</t>
  </si>
  <si>
    <t>박민우</t>
  </si>
  <si>
    <t>박성근</t>
  </si>
  <si>
    <t>박성호</t>
  </si>
  <si>
    <t>박세호</t>
  </si>
  <si>
    <t>박승남</t>
  </si>
  <si>
    <t>박안서</t>
  </si>
  <si>
    <t>박주영</t>
  </si>
  <si>
    <t>반춘호</t>
  </si>
  <si>
    <t>백승모</t>
  </si>
  <si>
    <t>백승배</t>
  </si>
  <si>
    <t>서용원</t>
  </si>
  <si>
    <t>서주석</t>
  </si>
  <si>
    <t>서현우</t>
  </si>
  <si>
    <t>손동섭</t>
  </si>
  <si>
    <t>송상엽</t>
  </si>
  <si>
    <t>송수림</t>
  </si>
  <si>
    <t>송용기</t>
  </si>
  <si>
    <t>신기현</t>
  </si>
  <si>
    <t>신원석</t>
  </si>
  <si>
    <t>신준호</t>
  </si>
  <si>
    <t>안성원</t>
  </si>
  <si>
    <t>안수민</t>
  </si>
  <si>
    <t>안영애</t>
  </si>
  <si>
    <t>안현진</t>
  </si>
  <si>
    <t>양동현</t>
  </si>
  <si>
    <t>양희성</t>
  </si>
  <si>
    <t>여훈</t>
  </si>
  <si>
    <t>원홍연</t>
  </si>
  <si>
    <t>이관창</t>
  </si>
  <si>
    <t>이명재</t>
  </si>
  <si>
    <t>이상범</t>
  </si>
  <si>
    <t>이상수</t>
  </si>
  <si>
    <t>이정완</t>
  </si>
  <si>
    <t>이주문</t>
  </si>
  <si>
    <t>이준희</t>
  </si>
  <si>
    <t>이창수</t>
  </si>
  <si>
    <t>이해주</t>
  </si>
  <si>
    <t>이희완</t>
  </si>
  <si>
    <t>임국빈</t>
  </si>
  <si>
    <t>임세훈</t>
  </si>
  <si>
    <t>임승희</t>
  </si>
  <si>
    <t>전용훈</t>
  </si>
  <si>
    <t>전준</t>
  </si>
  <si>
    <t>정덕원</t>
  </si>
  <si>
    <t>정영석</t>
  </si>
  <si>
    <t>정웅진</t>
  </si>
  <si>
    <t>정의돈</t>
  </si>
  <si>
    <t>정일교</t>
  </si>
  <si>
    <t>조민규</t>
  </si>
  <si>
    <t>조병업</t>
  </si>
  <si>
    <t>조병욱</t>
  </si>
  <si>
    <t>조완희</t>
  </si>
  <si>
    <t>주병돈</t>
  </si>
  <si>
    <t>최건희</t>
  </si>
  <si>
    <t>최동건</t>
  </si>
  <si>
    <t>최동철</t>
  </si>
  <si>
    <t>최연지</t>
  </si>
  <si>
    <t>최은희</t>
  </si>
  <si>
    <t>최진웅</t>
  </si>
  <si>
    <t>허창훈</t>
  </si>
  <si>
    <t>홍성연</t>
  </si>
  <si>
    <t>황선정</t>
  </si>
  <si>
    <t>781225-1392311</t>
  </si>
  <si>
    <t>960219-1406218</t>
  </si>
  <si>
    <t>000830-3484718</t>
  </si>
  <si>
    <t>920818-1240811</t>
  </si>
  <si>
    <t>940122-1491011</t>
  </si>
  <si>
    <t>800514-1894915</t>
  </si>
  <si>
    <t>910414-1031829</t>
  </si>
  <si>
    <t>901120-1588112</t>
  </si>
  <si>
    <t>930520-1692511</t>
  </si>
  <si>
    <t>871020-1850315</t>
  </si>
  <si>
    <t>840606-1768018</t>
  </si>
  <si>
    <t>920815-1331213</t>
  </si>
  <si>
    <t>001211-3823418</t>
  </si>
  <si>
    <t>781127-1567319</t>
  </si>
  <si>
    <t>911126-1043210</t>
  </si>
  <si>
    <t>751018-1332839</t>
  </si>
  <si>
    <t>930824-1030929</t>
  </si>
  <si>
    <t>920704-1860718</t>
  </si>
  <si>
    <t>720622-1921415</t>
  </si>
  <si>
    <t>860417-1348219</t>
  </si>
  <si>
    <t>740417-1691211</t>
  </si>
  <si>
    <t>010314-3837113</t>
  </si>
  <si>
    <t>810515-1814611</t>
  </si>
  <si>
    <t>921116-1163211</t>
  </si>
  <si>
    <t>960703-1675511</t>
  </si>
  <si>
    <t>700202-1057315</t>
  </si>
  <si>
    <t>910612-1075819</t>
  </si>
  <si>
    <t>741212-1068534</t>
  </si>
  <si>
    <t>681003-1683610</t>
  </si>
  <si>
    <t>740428-1777929</t>
  </si>
  <si>
    <t>841026-1531716</t>
  </si>
  <si>
    <t>850811-1526610</t>
  </si>
  <si>
    <t>941107-1199714</t>
  </si>
  <si>
    <t>830125-1674711</t>
  </si>
  <si>
    <t>730316-1654417</t>
  </si>
  <si>
    <t>810228-1469327</t>
  </si>
  <si>
    <t>730810-1457613</t>
  </si>
  <si>
    <t>680115-1057219</t>
  </si>
  <si>
    <t>800106-1229412</t>
  </si>
  <si>
    <t>850323-1520514</t>
  </si>
  <si>
    <t>680629-1224212</t>
  </si>
  <si>
    <t>670215-1386321</t>
  </si>
  <si>
    <t>911210-1163410</t>
  </si>
  <si>
    <t>700908-1108719</t>
  </si>
  <si>
    <t>820530-1167417</t>
  </si>
  <si>
    <t>840920-1789928</t>
  </si>
  <si>
    <t>980114-1811111</t>
  </si>
  <si>
    <t>951018-1458314</t>
  </si>
  <si>
    <t>820823-1151611</t>
  </si>
  <si>
    <t>860115-1063914</t>
  </si>
  <si>
    <t>730222-1674813</t>
  </si>
  <si>
    <t>900220-1083010</t>
  </si>
  <si>
    <t>730210-2810921</t>
  </si>
  <si>
    <t>940313-1105610</t>
  </si>
  <si>
    <t>970121-1126611</t>
  </si>
  <si>
    <t>911226-1178314</t>
  </si>
  <si>
    <t>790116-1696716</t>
  </si>
  <si>
    <t>801025-1057720</t>
  </si>
  <si>
    <t>740709-1262013</t>
  </si>
  <si>
    <t>840407-1011315</t>
  </si>
  <si>
    <t>860701-1070519</t>
  </si>
  <si>
    <t>781203-1474219</t>
  </si>
  <si>
    <t>810518-1927711</t>
  </si>
  <si>
    <t>680304-1661020</t>
  </si>
  <si>
    <t>730118-1047421</t>
  </si>
  <si>
    <t>990409-1482511</t>
  </si>
  <si>
    <t>891212-1042614</t>
  </si>
  <si>
    <t>701028-1536510</t>
  </si>
  <si>
    <t>910415-1692627</t>
  </si>
  <si>
    <t>730623-1357211</t>
  </si>
  <si>
    <t>801028-1113827</t>
  </si>
  <si>
    <t>881107-1235222</t>
  </si>
  <si>
    <t>941206-1187916</t>
  </si>
  <si>
    <t>800228-1168033</t>
  </si>
  <si>
    <t>970110-1675211</t>
  </si>
  <si>
    <t>950715-1831411</t>
  </si>
  <si>
    <t>881120-1890214</t>
  </si>
  <si>
    <t>781215-1324314</t>
  </si>
  <si>
    <t>761021-1348015</t>
  </si>
  <si>
    <t>891111-1113118</t>
  </si>
  <si>
    <t>800609-1253523</t>
  </si>
  <si>
    <t>781213-1253515</t>
  </si>
  <si>
    <t>800713-1148619</t>
  </si>
  <si>
    <t>691217-1029722</t>
  </si>
  <si>
    <t>891016-1177813</t>
  </si>
  <si>
    <t>830504-1000819</t>
  </si>
  <si>
    <t>841202-1000819</t>
  </si>
  <si>
    <t>981006-2192118</t>
  </si>
  <si>
    <t>850227-2454711</t>
  </si>
  <si>
    <t>810101-1447610</t>
  </si>
  <si>
    <t>850908-1100619</t>
  </si>
  <si>
    <t>960406-1213110</t>
  </si>
  <si>
    <t>730308-1057411</t>
  </si>
  <si>
    <t>용접공</t>
  </si>
  <si>
    <t>010-7444-3839</t>
  </si>
  <si>
    <t>기업</t>
  </si>
  <si>
    <t>453-050090-01-012</t>
  </si>
  <si>
    <t>010-4393-9938</t>
  </si>
  <si>
    <t>신한</t>
  </si>
  <si>
    <t>110-353-055995</t>
  </si>
  <si>
    <t>보통인부</t>
  </si>
  <si>
    <t>010-5397-1694</t>
  </si>
  <si>
    <t>972-025806-01-019</t>
  </si>
  <si>
    <t>010-2822-3392</t>
  </si>
  <si>
    <t>110-264-802497</t>
  </si>
  <si>
    <t>010-5100-8961</t>
  </si>
  <si>
    <t>하나</t>
  </si>
  <si>
    <t>119-910619-32507</t>
  </si>
  <si>
    <t>010-5752-3056</t>
  </si>
  <si>
    <t>농협</t>
  </si>
  <si>
    <t>352-1313-0435-83</t>
  </si>
  <si>
    <t>010-6694-2204</t>
  </si>
  <si>
    <t>국민</t>
  </si>
  <si>
    <t>695002-01-237429</t>
  </si>
  <si>
    <t>배관공</t>
  </si>
  <si>
    <t>010-4169-5213</t>
  </si>
  <si>
    <t>605-04-400370</t>
  </si>
  <si>
    <t>010-3789-1185</t>
  </si>
  <si>
    <t>360-13-033492</t>
  </si>
  <si>
    <t>010-6269-5994</t>
  </si>
  <si>
    <t>카카오</t>
  </si>
  <si>
    <t>3333-10-4699384</t>
  </si>
  <si>
    <t>010-6467-2954</t>
  </si>
  <si>
    <t>신협</t>
  </si>
  <si>
    <t>137-014-675322</t>
  </si>
  <si>
    <t>010-3855-2994</t>
  </si>
  <si>
    <t>우리</t>
  </si>
  <si>
    <t>1002-915-102274</t>
  </si>
  <si>
    <t>010-7613-1564</t>
  </si>
  <si>
    <t>356-0737-2299-53</t>
  </si>
  <si>
    <t>010-8585-6212</t>
  </si>
  <si>
    <t>새마을</t>
  </si>
  <si>
    <t>9002-1382-8695-3</t>
  </si>
  <si>
    <t>010-5133-8306</t>
  </si>
  <si>
    <t>110-356-523328</t>
  </si>
  <si>
    <t>010-9456-1177</t>
  </si>
  <si>
    <t>1002-646-504814</t>
  </si>
  <si>
    <t>010-8530-8537</t>
  </si>
  <si>
    <t>110-198-836862</t>
  </si>
  <si>
    <t>010-6714-4859</t>
  </si>
  <si>
    <t xml:space="preserve">토스 </t>
  </si>
  <si>
    <t>1000-8388-0973</t>
  </si>
  <si>
    <t>010-2052-6656</t>
  </si>
  <si>
    <t>472-910128-17307</t>
  </si>
  <si>
    <t>010-6545-2244</t>
  </si>
  <si>
    <t>1002-150-879909</t>
  </si>
  <si>
    <t>010-9244-6987</t>
  </si>
  <si>
    <t>9002-1418-0675-3</t>
  </si>
  <si>
    <t>010-7451-1297</t>
  </si>
  <si>
    <t>216502-04-453135</t>
  </si>
  <si>
    <t>010-7480-0008</t>
  </si>
  <si>
    <t>302-0861-0223-61</t>
  </si>
  <si>
    <t>010-2573-6379</t>
  </si>
  <si>
    <t>356-0973-5567-73</t>
  </si>
  <si>
    <t>010-5555-5945</t>
  </si>
  <si>
    <t>110-444-941185</t>
  </si>
  <si>
    <t>010-7963-4799</t>
  </si>
  <si>
    <t>토스</t>
  </si>
  <si>
    <t>1002-2019-2812</t>
  </si>
  <si>
    <t>010-9205-4684</t>
  </si>
  <si>
    <t>186-075475-01-013</t>
  </si>
  <si>
    <t>010-9127-3784</t>
  </si>
  <si>
    <t>110-404-502876</t>
  </si>
  <si>
    <t>010-9232-3215</t>
  </si>
  <si>
    <t>312-0172-2596-61</t>
  </si>
  <si>
    <t>010-6733-7963</t>
  </si>
  <si>
    <t>110-302-846665</t>
  </si>
  <si>
    <t>010-9538-3223</t>
  </si>
  <si>
    <t>99538322358</t>
  </si>
  <si>
    <t>010-4348-0266</t>
  </si>
  <si>
    <t>926102-01-496205</t>
  </si>
  <si>
    <t>010-6613-2156</t>
  </si>
  <si>
    <t>937-12-468305</t>
  </si>
  <si>
    <t>010-3804-2432</t>
  </si>
  <si>
    <t>110-408-565589</t>
  </si>
  <si>
    <t>010-2426-3254</t>
  </si>
  <si>
    <t>9003-2999-8313-9</t>
  </si>
  <si>
    <t>010-5797-6473</t>
  </si>
  <si>
    <t>944502-00-579965</t>
  </si>
  <si>
    <t>010-8336-3710</t>
  </si>
  <si>
    <t>우체국</t>
  </si>
  <si>
    <t>503904-02-235538</t>
  </si>
  <si>
    <t>010-3777-9825</t>
  </si>
  <si>
    <t>118-149246-01-011</t>
  </si>
  <si>
    <t>010-4742-4181</t>
  </si>
  <si>
    <t>110-338-273904</t>
  </si>
  <si>
    <t>010-2301-4979</t>
  </si>
  <si>
    <t>110-349-207217</t>
  </si>
  <si>
    <t>010-7704-1777</t>
  </si>
  <si>
    <t>580-022392-01-010</t>
  </si>
  <si>
    <t>010-3884-4513</t>
  </si>
  <si>
    <t>9003-2504-8199-8</t>
  </si>
  <si>
    <t>010-4807-9031</t>
  </si>
  <si>
    <t>263102-04-214815</t>
  </si>
  <si>
    <t>010-7903-8334</t>
  </si>
  <si>
    <t>수협</t>
  </si>
  <si>
    <t>0010-2858-8334</t>
  </si>
  <si>
    <t>010-2210-3629</t>
  </si>
  <si>
    <t>3333-14-2904871</t>
  </si>
  <si>
    <t>010-5844-3098</t>
  </si>
  <si>
    <t>793-12-097221</t>
  </si>
  <si>
    <t>010-9150-0018</t>
  </si>
  <si>
    <t>920302-01-333030</t>
  </si>
  <si>
    <t>010-7760-4917</t>
  </si>
  <si>
    <t>IM뱅크</t>
  </si>
  <si>
    <t>143-13-132971</t>
  </si>
  <si>
    <t>010-9062-6693</t>
  </si>
  <si>
    <t>040001-04-096857</t>
  </si>
  <si>
    <t>010-7340-6771</t>
  </si>
  <si>
    <t>052-096995-01-018</t>
  </si>
  <si>
    <t>010-8994-9296</t>
  </si>
  <si>
    <t>547201-01-029724</t>
  </si>
  <si>
    <t>010-3734-2196</t>
  </si>
  <si>
    <t>9002-1869-8588-9</t>
  </si>
  <si>
    <t>010-8240-5009</t>
  </si>
  <si>
    <t>717-12-084497</t>
  </si>
  <si>
    <t>010-4768-4757</t>
  </si>
  <si>
    <t>673002-01-201903</t>
  </si>
  <si>
    <t>010-9463-2277</t>
  </si>
  <si>
    <t>352-0406-9764-83</t>
  </si>
  <si>
    <t>010-2922-3403</t>
  </si>
  <si>
    <t>450-033865-01-013</t>
  </si>
  <si>
    <t>010-8898-7171</t>
  </si>
  <si>
    <t>3333-21-7116487</t>
  </si>
  <si>
    <t>010-7618-6130</t>
  </si>
  <si>
    <t>211065-56-138642</t>
  </si>
  <si>
    <t>010-3690-0417</t>
  </si>
  <si>
    <t>1002-040-987874</t>
  </si>
  <si>
    <t>010-3356-9406</t>
  </si>
  <si>
    <t>130-910013-37908</t>
  </si>
  <si>
    <t>010-5440-6205</t>
  </si>
  <si>
    <t>302-1494-8082-31</t>
  </si>
  <si>
    <t>010-2773-3333</t>
  </si>
  <si>
    <t>101824-02-361526</t>
  </si>
  <si>
    <t>010-8113-3288</t>
  </si>
  <si>
    <t>402057-02-369681</t>
  </si>
  <si>
    <t>010-5326-2653</t>
  </si>
  <si>
    <t>132-101-853762</t>
  </si>
  <si>
    <t>010-4514-8042</t>
  </si>
  <si>
    <t>352-1129-4746-73</t>
  </si>
  <si>
    <t>010-2320-6077</t>
  </si>
  <si>
    <t>576-910358-27807</t>
  </si>
  <si>
    <t>010-3842-1987</t>
  </si>
  <si>
    <t>부산</t>
  </si>
  <si>
    <t>067-12-025943-0</t>
  </si>
  <si>
    <t>010-3142-8904</t>
  </si>
  <si>
    <t>349-910362-94907</t>
  </si>
  <si>
    <t>010-2777-7145</t>
  </si>
  <si>
    <t>352-0253-3500-63</t>
  </si>
  <si>
    <t>010-9473-9352</t>
  </si>
  <si>
    <t>352-2309-2775-73</t>
  </si>
  <si>
    <t>010-3950-1045</t>
  </si>
  <si>
    <t>3333-05-4607779</t>
  </si>
  <si>
    <t>010-5794-3572</t>
  </si>
  <si>
    <t>110-312-958801</t>
  </si>
  <si>
    <t>010-7628-6061</t>
  </si>
  <si>
    <t>1002-735-727923</t>
  </si>
  <si>
    <t>010-9575-3445</t>
  </si>
  <si>
    <t>9003-2348-2974-4</t>
  </si>
  <si>
    <t>010-5250-9814</t>
  </si>
  <si>
    <t>8010-5250-9814-0</t>
  </si>
  <si>
    <t>010-4250-5380</t>
  </si>
  <si>
    <t>402401-04-137923</t>
  </si>
  <si>
    <t>010-8108-0460</t>
  </si>
  <si>
    <t>1002-750-745421</t>
  </si>
  <si>
    <t>010-5213-3183</t>
  </si>
  <si>
    <t>3333-05-3629952</t>
  </si>
  <si>
    <t>010-8362-1226</t>
  </si>
  <si>
    <t>110-314-832686</t>
  </si>
  <si>
    <t>010-8583-1849</t>
  </si>
  <si>
    <t>110-302-536595</t>
  </si>
  <si>
    <t>010-2922-2223</t>
  </si>
  <si>
    <t>케이뱅크</t>
  </si>
  <si>
    <t>100-214-461370</t>
  </si>
  <si>
    <t>010-5385-2305</t>
  </si>
  <si>
    <t>167-02-743383</t>
  </si>
  <si>
    <t>010-2288-2353</t>
  </si>
  <si>
    <t>110-470-707347</t>
  </si>
  <si>
    <t>010-2221-9310</t>
  </si>
  <si>
    <t>352-2141-5574-83</t>
  </si>
  <si>
    <t>010-6515-6214</t>
  </si>
  <si>
    <t>1002-531-775338</t>
  </si>
  <si>
    <t>010-3552-7717</t>
  </si>
  <si>
    <t>171077318-02-013</t>
  </si>
  <si>
    <t>010-3833-5897</t>
  </si>
  <si>
    <t>3333-22-9072681</t>
  </si>
  <si>
    <t>010-9628-9599</t>
  </si>
  <si>
    <t>159-910705-92107</t>
  </si>
  <si>
    <t>010-7610-5782</t>
  </si>
  <si>
    <t>352-9999-0409-23</t>
  </si>
  <si>
    <t>010-7370-6219</t>
  </si>
  <si>
    <t>3333-26-3010854</t>
  </si>
  <si>
    <t>010-4503-9417</t>
  </si>
  <si>
    <t>541-011332-01-010</t>
  </si>
  <si>
    <t>010-9909-6141</t>
  </si>
  <si>
    <t>110-316-569643</t>
  </si>
  <si>
    <t>010-9061-4722</t>
  </si>
  <si>
    <t>336-02-182566</t>
  </si>
  <si>
    <t>공사보조</t>
  </si>
  <si>
    <t>안전보조</t>
  </si>
  <si>
    <t>공무보조</t>
  </si>
  <si>
    <t>2026년 (    05   )월 일용 노무비명세서</t>
    <phoneticPr fontId="3" type="noConversion"/>
  </si>
  <si>
    <t>알곤용접봉</t>
  </si>
  <si>
    <t>[TGC50S.2.4mm,5kg [조선선재]]</t>
  </si>
  <si>
    <t>미래공구</t>
  </si>
  <si>
    <t>[TGC50S.3.2mm,5kg [조선선재]]</t>
  </si>
  <si>
    <t>알곤스위치</t>
  </si>
  <si>
    <t>[350A [조영]]</t>
  </si>
  <si>
    <t>[TGC308L.2.4mm,5kg [조선선재]]</t>
  </si>
  <si>
    <t>알곤캡</t>
  </si>
  <si>
    <t>[중캡,CTX [크레토스]]</t>
  </si>
  <si>
    <t>알곤토치헤드</t>
  </si>
  <si>
    <t>[350A,플렉시블,CT-35F,CTX [크레토스]]</t>
  </si>
  <si>
    <t>투명지퍼백</t>
  </si>
  <si>
    <t>25*35</t>
  </si>
  <si>
    <t>네이버파이낸셜㈜</t>
  </si>
  <si>
    <t>35*40</t>
  </si>
  <si>
    <t>면보루</t>
  </si>
  <si>
    <t>5kg</t>
  </si>
  <si>
    <t>라인테이프</t>
  </si>
  <si>
    <t>48mm*30m</t>
  </si>
  <si>
    <t>마루한길</t>
  </si>
  <si>
    <t>페인트롤러</t>
  </si>
  <si>
    <t>[2"]</t>
  </si>
  <si>
    <t>[3" [동양]]</t>
  </si>
  <si>
    <t>쓰레받이</t>
  </si>
  <si>
    <t>[외각,CTX [리빙엔젤]]</t>
  </si>
  <si>
    <t>빗자루</t>
  </si>
  <si>
    <t>[갈대비 [수입/HNS]]</t>
  </si>
  <si>
    <t>마대</t>
  </si>
  <si>
    <t>[PP,신재 [국산/SW]]</t>
  </si>
  <si>
    <t>컷쏘날</t>
  </si>
  <si>
    <t>[21098-9114G,5개입 [레녹스]]</t>
  </si>
  <si>
    <t>케이블타이</t>
  </si>
  <si>
    <t>[릴리져블타이,270mm(1봉=500개),청색 [전오]]</t>
  </si>
  <si>
    <t>볼소켓어댑터</t>
  </si>
  <si>
    <t>[13mm(1/2"),CTX [지니어스]]</t>
  </si>
  <si>
    <t>우의</t>
  </si>
  <si>
    <t>[SW-502,고급형,투피스,XXXL [크래커]]</t>
  </si>
  <si>
    <t>튜브컷터날</t>
  </si>
  <si>
    <t>[TCBC105 [슈퍼]]</t>
  </si>
  <si>
    <t>[7.0028(7.0031용) [로덴베르거]]</t>
  </si>
  <si>
    <t>낙상경보기부품</t>
  </si>
  <si>
    <t>[풀피리]</t>
  </si>
  <si>
    <t>롱핸드소켓</t>
  </si>
  <si>
    <t>[1/2"*15mm [킹토니]]</t>
  </si>
  <si>
    <t>양면테이프</t>
  </si>
  <si>
    <t>[50mm*6m,핫멧트 [HNS]]</t>
  </si>
  <si>
    <t>[S1122BF,철재,바이메탈,5개입 [보쉬]]</t>
  </si>
  <si>
    <t>다이아몬드줄</t>
  </si>
  <si>
    <t>[200mm,반원 [삼익]]</t>
  </si>
  <si>
    <t>[S922BF,철재,바이메탈,5개입 [보쉬]]</t>
  </si>
  <si>
    <t>별렌치세트</t>
  </si>
  <si>
    <t>[SB-STLSS9,CTX [세신]]</t>
  </si>
  <si>
    <t>번호열쇠</t>
  </si>
  <si>
    <t>[XD-40,4열 [자커]]</t>
  </si>
  <si>
    <t>[RBN67P용,스텐 [렉스]]</t>
  </si>
  <si>
    <t>[5.5054(7.0032용) [로덴베르거]]</t>
  </si>
  <si>
    <t>[5.5074(7.0033용) [로덴베르거]]</t>
  </si>
  <si>
    <t>낙상경보기</t>
  </si>
  <si>
    <t>[200*90 [3S]]</t>
  </si>
  <si>
    <t>파이프안전커버</t>
  </si>
  <si>
    <t>[10T*50mm*2m,난연,황/흑 [SW]]</t>
  </si>
  <si>
    <t>우마사다리부품</t>
  </si>
  <si>
    <t>[고무발,우]</t>
  </si>
  <si>
    <t>[고무발,좌]</t>
  </si>
  <si>
    <t>직결피스(와셔형)</t>
  </si>
  <si>
    <t>[8x13W,500개,천연색 [서울화스너]]</t>
  </si>
  <si>
    <t>수리비,엑서</t>
  </si>
  <si>
    <t>[파이프컷팅기,스위치]</t>
  </si>
  <si>
    <t>비너</t>
  </si>
  <si>
    <t>[6mm,락타입,CTX [KBC]]</t>
  </si>
  <si>
    <t>안전칼날</t>
  </si>
  <si>
    <t>[SKB-2, 5개입 [올파]]</t>
  </si>
  <si>
    <t>텅스텐연마기휠</t>
  </si>
  <si>
    <t>[CGW-4,다이아몬드휠,100*16*1T,#180,CTX [크레토스]]</t>
  </si>
  <si>
    <t>[수입,정80kg,80L [SW]]</t>
  </si>
  <si>
    <t>파이프컷팅날</t>
  </si>
  <si>
    <t>[LS6844 [엑서]]</t>
  </si>
  <si>
    <t>수리비,레이저레벨</t>
  </si>
  <si>
    <t>[ST-550G,하우징교환,미동수리,다이오드휨수리,교정]</t>
  </si>
  <si>
    <t>수리비,레이저레벨기</t>
  </si>
  <si>
    <t>[K10G,축수리,수평/수직교정/전자틸트교정/밧데리커버교체]</t>
  </si>
  <si>
    <t>칫솔브러쉬</t>
  </si>
  <si>
    <t>[브러쉬,스텐 [스마토]]</t>
  </si>
  <si>
    <t>백팩</t>
  </si>
  <si>
    <t>십일번가 주식회사</t>
  </si>
  <si>
    <t>탭</t>
  </si>
  <si>
    <t>진위공구철물</t>
  </si>
  <si>
    <t>P2454 스파이럴탭</t>
  </si>
  <si>
    <t>M10</t>
  </si>
  <si>
    <t>스크레퍼</t>
  </si>
  <si>
    <t>쿠팡㈜</t>
  </si>
  <si>
    <t>크린룸가방</t>
  </si>
  <si>
    <t>소모품비</t>
    <phoneticPr fontId="5" type="noConversion"/>
  </si>
  <si>
    <t>비품</t>
    <phoneticPr fontId="5" type="noConversion"/>
  </si>
  <si>
    <t>안전용품</t>
    <phoneticPr fontId="5" type="noConversion"/>
  </si>
  <si>
    <t>KC대납 임대료</t>
  </si>
  <si>
    <t xml:space="preserve">숙소임대료(5월분) </t>
    <phoneticPr fontId="5" type="noConversion"/>
  </si>
  <si>
    <t>함박산1길 16</t>
    <phoneticPr fontId="5" type="noConversion"/>
  </si>
  <si>
    <t>301호</t>
  </si>
  <si>
    <t>함박산8길 37</t>
    <phoneticPr fontId="5" type="noConversion"/>
  </si>
  <si>
    <t>302호</t>
  </si>
  <si>
    <t>함박산9길 8-1</t>
    <phoneticPr fontId="9" type="noConversion"/>
  </si>
  <si>
    <t>201호</t>
    <phoneticPr fontId="9" type="noConversion"/>
  </si>
  <si>
    <t>함박산12길 8-10</t>
    <phoneticPr fontId="9" type="noConversion"/>
  </si>
  <si>
    <t>301호</t>
    <phoneticPr fontId="9" type="noConversion"/>
  </si>
  <si>
    <t>함박산10길 19</t>
    <phoneticPr fontId="9" type="noConversion"/>
  </si>
  <si>
    <t>고덕여염6길 108</t>
    <phoneticPr fontId="9" type="noConversion"/>
  </si>
  <si>
    <t>302호</t>
    <phoneticPr fontId="9" type="noConversion"/>
  </si>
  <si>
    <t>고덕여염5길 23-16</t>
    <phoneticPr fontId="9" type="noConversion"/>
  </si>
  <si>
    <t>402호</t>
    <phoneticPr fontId="9" type="noConversion"/>
  </si>
  <si>
    <t>고덕여염12길 92</t>
    <phoneticPr fontId="9" type="noConversion"/>
  </si>
  <si>
    <t>202호</t>
    <phoneticPr fontId="9" type="noConversion"/>
  </si>
  <si>
    <t>고덕여염16길 32</t>
    <phoneticPr fontId="9" type="noConversion"/>
  </si>
  <si>
    <t xml:space="preserve">  고덕여염 5길 15-10</t>
  </si>
  <si>
    <t>301호</t>
    <phoneticPr fontId="5" type="noConversion"/>
  </si>
  <si>
    <t>201호</t>
    <phoneticPr fontId="5" type="noConversion"/>
  </si>
  <si>
    <t>202호</t>
    <phoneticPr fontId="5" type="noConversion"/>
  </si>
  <si>
    <t xml:space="preserve">  고덕 갈평10길 67</t>
  </si>
  <si>
    <t xml:space="preserve">  고덕 갈평9길 43</t>
  </si>
  <si>
    <t xml:space="preserve">  함박산2길 32-2</t>
  </si>
  <si>
    <t xml:space="preserve">  고덕갈평7길 61</t>
  </si>
  <si>
    <t xml:space="preserve">  함박산4길 20</t>
  </si>
  <si>
    <t>관리비</t>
    <phoneticPr fontId="5" type="noConversion"/>
  </si>
  <si>
    <t>숙소전기요금(5월)</t>
  </si>
  <si>
    <t>함박산1길 16</t>
  </si>
  <si>
    <t>함박산9길 8-1</t>
  </si>
  <si>
    <t>201호</t>
  </si>
  <si>
    <t>함박산12길 8-10</t>
  </si>
  <si>
    <t>함박산10길 19</t>
  </si>
  <si>
    <t>고덕여염6길 108</t>
  </si>
  <si>
    <t>고덕여염5길 23-16</t>
  </si>
  <si>
    <t>402호</t>
  </si>
  <si>
    <t>고덕여염12길 92</t>
  </si>
  <si>
    <t>202호</t>
  </si>
  <si>
    <t>고덕여염16길 32</t>
  </si>
  <si>
    <t>숙소도시가스(5월)</t>
  </si>
  <si>
    <t>숙소수도요금(5월)</t>
  </si>
  <si>
    <t>함박산8길 37</t>
  </si>
  <si>
    <t>청소비(5월)</t>
    <phoneticPr fontId="5" type="noConversion"/>
  </si>
  <si>
    <t>KC대납 식대</t>
  </si>
  <si>
    <t>기술인및관리자 (현장 식당)</t>
  </si>
  <si>
    <t>태정위드유 주식회사</t>
    <phoneticPr fontId="5" type="noConversion"/>
  </si>
  <si>
    <t>다모아한식뷔페</t>
  </si>
  <si>
    <t>영미손김밥</t>
  </si>
  <si>
    <t>옛날장터</t>
  </si>
  <si>
    <t>은주네한식뷔페</t>
  </si>
  <si>
    <t>삼성김밥</t>
  </si>
  <si>
    <t>한솥</t>
    <phoneticPr fontId="5" type="noConversion"/>
  </si>
  <si>
    <t>식대</t>
  </si>
  <si>
    <t>법인카드</t>
  </si>
  <si>
    <t>차량유류대</t>
    <phoneticPr fontId="5" type="noConversion"/>
  </si>
  <si>
    <t>85어 5471 포터2</t>
    <phoneticPr fontId="9" type="noConversion"/>
  </si>
  <si>
    <t>SB새벽주유소</t>
  </si>
  <si>
    <t>남사농업협동조합</t>
  </si>
  <si>
    <t>청원로셀프주유소</t>
  </si>
  <si>
    <t>(주)소모 칠곡주유소</t>
  </si>
  <si>
    <t>요소수</t>
    <phoneticPr fontId="5" type="noConversion"/>
  </si>
  <si>
    <t>소모품비</t>
    <phoneticPr fontId="5" type="noConversion"/>
  </si>
  <si>
    <t>네임펜</t>
  </si>
  <si>
    <t>보드마카</t>
  </si>
  <si>
    <t>유성매직</t>
  </si>
  <si>
    <t>AA 건전지</t>
  </si>
  <si>
    <t>AA, AAA 건전지</t>
  </si>
  <si>
    <t>A4 코팅지</t>
  </si>
  <si>
    <t>비품</t>
    <phoneticPr fontId="5" type="noConversion"/>
  </si>
  <si>
    <t>멀티충전기</t>
  </si>
  <si>
    <t>AAA 건전지</t>
  </si>
  <si>
    <t>페인트 마카</t>
  </si>
  <si>
    <t>납기준수비 지급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</si>
</sst>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_ "/>
    <numFmt numFmtId="187" formatCode="#,##0.0000_ "/>
    <numFmt numFmtId="188" formatCode="_-* #,##0_-;&quot;₩&quot;\!\-* #,##0_-;_-* &quot;-&quot;_-;_-@_-"/>
    <numFmt numFmtId="189" formatCode="_-* #,##0.0_-;\-* #,##0.0_-;_-* &quot;-&quot;_-;_-@_-"/>
  </numFmts>
  <fonts count="64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51" fillId="0" borderId="0"/>
    <xf numFmtId="41" fontId="1" fillId="0" borderId="0" applyFont="0" applyFill="0" applyBorder="0" applyAlignment="0" applyProtection="0"/>
    <xf numFmtId="0" fontId="56" fillId="0" borderId="0"/>
    <xf numFmtId="0" fontId="62" fillId="0" borderId="0">
      <alignment vertical="center"/>
    </xf>
    <xf numFmtId="187" fontId="1" fillId="0" borderId="0" applyFont="0" applyFill="0" applyBorder="0" applyAlignment="0" applyProtection="0"/>
  </cellStyleXfs>
  <cellXfs count="356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2" fontId="34" fillId="5" borderId="43" xfId="0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2" fontId="36" fillId="5" borderId="43" xfId="0" applyNumberFormat="1" applyFont="1" applyFill="1" applyBorder="1" applyAlignment="1">
      <alignment horizontal="center" vertical="center"/>
    </xf>
    <xf numFmtId="182" fontId="34" fillId="5" borderId="46" xfId="0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7" fillId="2" borderId="45" xfId="6" applyNumberFormat="1" applyFont="1" applyFill="1" applyBorder="1" applyAlignment="1">
      <alignment horizontal="center" vertical="center" shrinkToFit="1"/>
    </xf>
    <xf numFmtId="185" fontId="37" fillId="2" borderId="43" xfId="6" applyNumberFormat="1" applyFont="1" applyFill="1" applyBorder="1" applyAlignment="1">
      <alignment horizontal="center" vertical="center" shrinkToFit="1"/>
    </xf>
    <xf numFmtId="185" fontId="37" fillId="2" borderId="42" xfId="6" applyNumberFormat="1" applyFont="1" applyFill="1" applyBorder="1" applyAlignment="1">
      <alignment horizontal="center" vertical="center" shrinkToFit="1"/>
    </xf>
    <xf numFmtId="41" fontId="37" fillId="2" borderId="43" xfId="6" applyFont="1" applyFill="1" applyBorder="1" applyAlignment="1">
      <alignment horizontal="center" vertical="center" shrinkToFit="1"/>
    </xf>
    <xf numFmtId="41" fontId="37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2" fillId="9" borderId="9" xfId="0" applyNumberFormat="1" applyFont="1" applyFill="1" applyBorder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43" fontId="46" fillId="10" borderId="9" xfId="0" applyNumberFormat="1" applyFont="1" applyFill="1" applyBorder="1" applyAlignment="1">
      <alignment horizontal="center" vertical="center"/>
    </xf>
    <xf numFmtId="41" fontId="47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46" fillId="10" borderId="9" xfId="3" applyNumberFormat="1" applyFont="1" applyFill="1" applyBorder="1" applyAlignment="1">
      <alignment horizontal="center" vertical="center"/>
    </xf>
    <xf numFmtId="0" fontId="45" fillId="0" borderId="0" xfId="3" applyFont="1" applyAlignment="1">
      <alignment vertical="center"/>
    </xf>
    <xf numFmtId="0" fontId="49" fillId="0" borderId="0" xfId="3" applyFont="1" applyAlignment="1">
      <alignment vertical="center"/>
    </xf>
    <xf numFmtId="0" fontId="46" fillId="0" borderId="9" xfId="3" applyFont="1" applyBorder="1" applyAlignment="1">
      <alignment horizontal="center" vertical="center"/>
    </xf>
    <xf numFmtId="14" fontId="46" fillId="0" borderId="9" xfId="3" applyNumberFormat="1" applyFont="1" applyBorder="1" applyAlignment="1">
      <alignment horizontal="center" vertical="center"/>
    </xf>
    <xf numFmtId="182" fontId="46" fillId="0" borderId="9" xfId="3" applyNumberFormat="1" applyFont="1" applyBorder="1" applyAlignment="1">
      <alignment horizontal="center" vertical="center"/>
    </xf>
    <xf numFmtId="41" fontId="46" fillId="0" borderId="9" xfId="3" applyNumberFormat="1" applyFont="1" applyBorder="1" applyAlignment="1">
      <alignment horizontal="center" vertical="center"/>
    </xf>
    <xf numFmtId="0" fontId="45" fillId="0" borderId="0" xfId="3" applyFont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49" fillId="0" borderId="0" xfId="3" applyFont="1" applyAlignment="1">
      <alignment horizontal="left" vertical="center"/>
    </xf>
    <xf numFmtId="0" fontId="46" fillId="0" borderId="0" xfId="3" applyFont="1"/>
    <xf numFmtId="0" fontId="46" fillId="0" borderId="0" xfId="3" applyFont="1" applyAlignment="1">
      <alignment horizontal="center"/>
    </xf>
    <xf numFmtId="182" fontId="46" fillId="0" borderId="0" xfId="3" applyNumberFormat="1" applyFont="1" applyAlignment="1">
      <alignment horizontal="center" vertical="center"/>
    </xf>
    <xf numFmtId="41" fontId="46" fillId="0" borderId="0" xfId="3" applyNumberFormat="1" applyFont="1" applyAlignment="1">
      <alignment horizontal="center" vertical="center"/>
    </xf>
    <xf numFmtId="0" fontId="50" fillId="12" borderId="9" xfId="0" applyFont="1" applyFill="1" applyBorder="1" applyAlignment="1">
      <alignment horizontal="center" vertical="center"/>
    </xf>
    <xf numFmtId="14" fontId="46" fillId="12" borderId="9" xfId="0" applyNumberFormat="1" applyFont="1" applyFill="1" applyBorder="1" applyAlignment="1">
      <alignment horizontal="center" vertical="center"/>
    </xf>
    <xf numFmtId="14" fontId="46" fillId="0" borderId="9" xfId="0" applyNumberFormat="1" applyFont="1" applyBorder="1" applyAlignment="1">
      <alignment horizontal="center" vertical="center"/>
    </xf>
    <xf numFmtId="49" fontId="46" fillId="0" borderId="9" xfId="0" applyNumberFormat="1" applyFont="1" applyBorder="1" applyAlignment="1">
      <alignment horizontal="center" vertical="center"/>
    </xf>
    <xf numFmtId="186" fontId="46" fillId="0" borderId="9" xfId="0" applyNumberFormat="1" applyFont="1" applyBorder="1" applyAlignment="1">
      <alignment horizontal="center" vertical="center"/>
    </xf>
    <xf numFmtId="0" fontId="46" fillId="0" borderId="9" xfId="0" applyFont="1" applyBorder="1" applyAlignment="1"/>
    <xf numFmtId="41" fontId="46" fillId="0" borderId="9" xfId="0" applyNumberFormat="1" applyFont="1" applyBorder="1" applyAlignment="1">
      <alignment horizontal="center" vertical="center"/>
    </xf>
    <xf numFmtId="0" fontId="46" fillId="12" borderId="9" xfId="0" applyFont="1" applyFill="1" applyBorder="1" applyAlignment="1">
      <alignment horizontal="center" vertical="center"/>
    </xf>
    <xf numFmtId="0" fontId="52" fillId="0" borderId="9" xfId="0" applyFont="1" applyBorder="1" applyAlignment="1">
      <alignment horizontal="center" vertical="center" wrapText="1"/>
    </xf>
    <xf numFmtId="41" fontId="46" fillId="12" borderId="10" xfId="14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3" fontId="23" fillId="0" borderId="0" xfId="0" applyNumberFormat="1" applyFont="1">
      <alignment vertical="center"/>
    </xf>
    <xf numFmtId="0" fontId="49" fillId="0" borderId="0" xfId="0" applyFont="1">
      <alignment vertical="center"/>
    </xf>
    <xf numFmtId="0" fontId="0" fillId="0" borderId="0" xfId="0" applyAlignment="1"/>
    <xf numFmtId="0" fontId="13" fillId="0" borderId="9" xfId="0" applyFont="1" applyBorder="1">
      <alignment vertical="center"/>
    </xf>
    <xf numFmtId="14" fontId="13" fillId="0" borderId="9" xfId="0" applyNumberFormat="1" applyFont="1" applyBorder="1" applyAlignment="1">
      <alignment horizontal="center" vertical="center"/>
    </xf>
    <xf numFmtId="41" fontId="23" fillId="0" borderId="0" xfId="0" applyNumberFormat="1" applyFont="1">
      <alignment vertical="center"/>
    </xf>
    <xf numFmtId="41" fontId="13" fillId="0" borderId="9" xfId="14" applyFont="1" applyBorder="1" applyAlignment="1">
      <alignment horizontal="center" vertical="center"/>
    </xf>
    <xf numFmtId="41" fontId="13" fillId="0" borderId="9" xfId="0" applyNumberFormat="1" applyFont="1" applyBorder="1">
      <alignment vertical="center"/>
    </xf>
    <xf numFmtId="0" fontId="13" fillId="0" borderId="9" xfId="0" applyFont="1" applyBorder="1" applyAlignment="1">
      <alignment horizontal="center" vertical="center" wrapText="1"/>
    </xf>
    <xf numFmtId="43" fontId="0" fillId="0" borderId="0" xfId="0" applyNumberFormat="1">
      <alignment vertical="center"/>
    </xf>
    <xf numFmtId="182" fontId="14" fillId="5" borderId="43" xfId="0" applyNumberFormat="1" applyFont="1" applyFill="1" applyBorder="1" applyAlignment="1">
      <alignment horizontal="center" vertical="center"/>
    </xf>
    <xf numFmtId="182" fontId="36" fillId="5" borderId="45" xfId="0" applyNumberFormat="1" applyFont="1" applyFill="1" applyBorder="1" applyAlignment="1">
      <alignment horizontal="center" vertical="center"/>
    </xf>
    <xf numFmtId="41" fontId="13" fillId="0" borderId="9" xfId="14" applyFont="1" applyFill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41" fontId="54" fillId="2" borderId="0" xfId="2" applyNumberFormat="1" applyFont="1" applyFill="1">
      <alignment vertical="center"/>
    </xf>
    <xf numFmtId="0" fontId="54" fillId="0" borderId="0" xfId="2" quotePrefix="1" applyFont="1">
      <alignment vertical="center"/>
    </xf>
    <xf numFmtId="0" fontId="55" fillId="0" borderId="0" xfId="2" quotePrefix="1" applyFont="1">
      <alignment vertical="center"/>
    </xf>
    <xf numFmtId="0" fontId="55" fillId="0" borderId="0" xfId="2" applyFont="1" applyAlignment="1">
      <alignment horizontal="right" vertical="center"/>
    </xf>
    <xf numFmtId="41" fontId="54" fillId="13" borderId="9" xfId="4" applyFont="1" applyFill="1" applyBorder="1" applyAlignment="1">
      <alignment horizontal="center" vertical="center"/>
    </xf>
    <xf numFmtId="41" fontId="59" fillId="0" borderId="17" xfId="2" applyNumberFormat="1" applyFont="1" applyBorder="1" applyAlignment="1">
      <alignment horizontal="center" vertical="center"/>
    </xf>
    <xf numFmtId="0" fontId="59" fillId="0" borderId="9" xfId="2" applyFont="1" applyBorder="1" applyAlignment="1">
      <alignment horizontal="center" vertical="center"/>
    </xf>
    <xf numFmtId="41" fontId="59" fillId="0" borderId="9" xfId="10" applyFont="1" applyBorder="1" applyAlignment="1">
      <alignment horizontal="center" vertical="center"/>
    </xf>
    <xf numFmtId="41" fontId="59" fillId="0" borderId="9" xfId="4" applyFont="1" applyFill="1" applyBorder="1" applyAlignment="1">
      <alignment vertical="center" shrinkToFit="1"/>
    </xf>
    <xf numFmtId="184" fontId="60" fillId="0" borderId="18" xfId="2" applyNumberFormat="1" applyFont="1" applyBorder="1" applyAlignment="1">
      <alignment vertical="center" shrinkToFit="1"/>
    </xf>
    <xf numFmtId="184" fontId="60" fillId="0" borderId="18" xfId="2" quotePrefix="1" applyNumberFormat="1" applyFont="1" applyBorder="1" applyAlignment="1">
      <alignment vertical="center" shrinkToFit="1"/>
    </xf>
    <xf numFmtId="184" fontId="61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61" fillId="0" borderId="18" xfId="2" applyFont="1" applyBorder="1">
      <alignment vertical="center"/>
    </xf>
    <xf numFmtId="0" fontId="59" fillId="0" borderId="17" xfId="16" applyFont="1" applyBorder="1" applyAlignment="1">
      <alignment horizontal="left" vertical="center" wrapText="1"/>
    </xf>
    <xf numFmtId="0" fontId="59" fillId="0" borderId="9" xfId="16" applyFont="1" applyBorder="1" applyAlignment="1">
      <alignment horizontal="center" vertical="center"/>
    </xf>
    <xf numFmtId="0" fontId="59" fillId="0" borderId="17" xfId="16" applyFont="1" applyBorder="1" applyAlignment="1">
      <alignment horizontal="center" vertical="center" wrapText="1"/>
    </xf>
    <xf numFmtId="188" fontId="59" fillId="0" borderId="9" xfId="17" applyNumberFormat="1" applyFont="1" applyFill="1" applyBorder="1" applyAlignment="1">
      <alignment horizontal="center" vertical="center"/>
    </xf>
    <xf numFmtId="9" fontId="59" fillId="0" borderId="9" xfId="7" applyFont="1" applyFill="1" applyBorder="1" applyAlignment="1">
      <alignment vertical="center" shrinkToFit="1"/>
    </xf>
    <xf numFmtId="0" fontId="63" fillId="0" borderId="17" xfId="2" applyFont="1" applyBorder="1" applyAlignment="1">
      <alignment horizontal="left" vertical="center"/>
    </xf>
    <xf numFmtId="0" fontId="63" fillId="0" borderId="9" xfId="2" applyFont="1" applyBorder="1" applyAlignment="1">
      <alignment horizontal="center" vertical="center" shrinkToFit="1"/>
    </xf>
    <xf numFmtId="41" fontId="63" fillId="0" borderId="9" xfId="4" applyFont="1" applyBorder="1" applyAlignment="1">
      <alignment horizontal="center" vertical="center"/>
    </xf>
    <xf numFmtId="0" fontId="63" fillId="0" borderId="19" xfId="2" applyFont="1" applyBorder="1" applyAlignment="1">
      <alignment horizontal="center" vertical="center"/>
    </xf>
    <xf numFmtId="0" fontId="59" fillId="0" borderId="20" xfId="2" applyFont="1" applyBorder="1" applyAlignment="1">
      <alignment horizontal="center" vertical="center" shrinkToFit="1"/>
    </xf>
    <xf numFmtId="0" fontId="59" fillId="0" borderId="20" xfId="2" applyFont="1" applyBorder="1" applyAlignment="1">
      <alignment horizontal="center" vertical="center"/>
    </xf>
    <xf numFmtId="41" fontId="59" fillId="0" borderId="20" xfId="2" applyNumberFormat="1" applyFont="1" applyBorder="1" applyAlignment="1">
      <alignment horizontal="center" vertical="center"/>
    </xf>
    <xf numFmtId="189" fontId="59" fillId="0" borderId="20" xfId="2" applyNumberFormat="1" applyFont="1" applyBorder="1" applyAlignment="1">
      <alignment horizontal="center" vertical="center"/>
    </xf>
    <xf numFmtId="41" fontId="59" fillId="0" borderId="20" xfId="2" applyNumberFormat="1" applyFont="1" applyBorder="1" applyAlignment="1">
      <alignment vertical="center" shrinkToFit="1"/>
    </xf>
    <xf numFmtId="0" fontId="61" fillId="0" borderId="21" xfId="2" applyFont="1" applyBorder="1">
      <alignment vertical="center"/>
    </xf>
    <xf numFmtId="0" fontId="60" fillId="0" borderId="31" xfId="2" applyFont="1" applyBorder="1" applyAlignment="1">
      <alignment horizontal="center" vertical="center"/>
    </xf>
    <xf numFmtId="0" fontId="61" fillId="0" borderId="37" xfId="2" applyFont="1" applyBorder="1" applyAlignment="1">
      <alignment horizontal="center" vertical="center" shrinkToFit="1"/>
    </xf>
    <xf numFmtId="0" fontId="61" fillId="0" borderId="31" xfId="2" applyFont="1" applyBorder="1" applyAlignment="1">
      <alignment horizontal="center" vertical="center"/>
    </xf>
    <xf numFmtId="41" fontId="61" fillId="0" borderId="31" xfId="2" applyNumberFormat="1" applyFont="1" applyBorder="1" applyAlignment="1">
      <alignment horizontal="center" vertical="center"/>
    </xf>
    <xf numFmtId="41" fontId="61" fillId="0" borderId="11" xfId="2" applyNumberFormat="1" applyFont="1" applyBorder="1">
      <alignment vertical="center"/>
    </xf>
    <xf numFmtId="41" fontId="61" fillId="0" borderId="11" xfId="2" applyNumberFormat="1" applyFont="1" applyBorder="1" applyAlignment="1">
      <alignment vertical="center" shrinkToFit="1"/>
    </xf>
    <xf numFmtId="0" fontId="61" fillId="0" borderId="11" xfId="2" applyFont="1" applyBorder="1">
      <alignment vertical="center"/>
    </xf>
    <xf numFmtId="0" fontId="60" fillId="0" borderId="10" xfId="2" applyFont="1" applyBorder="1" applyAlignment="1">
      <alignment horizontal="center" vertical="center"/>
    </xf>
    <xf numFmtId="0" fontId="61" fillId="0" borderId="34" xfId="2" applyFont="1" applyBorder="1" applyAlignment="1">
      <alignment horizontal="center" vertical="center" shrinkToFit="1"/>
    </xf>
    <xf numFmtId="0" fontId="61" fillId="0" borderId="10" xfId="2" applyFont="1" applyBorder="1" applyAlignment="1">
      <alignment horizontal="center" vertical="center"/>
    </xf>
    <xf numFmtId="41" fontId="61" fillId="0" borderId="10" xfId="2" applyNumberFormat="1" applyFont="1" applyBorder="1" applyAlignment="1">
      <alignment horizontal="center" vertical="center"/>
    </xf>
    <xf numFmtId="41" fontId="61" fillId="0" borderId="9" xfId="2" applyNumberFormat="1" applyFont="1" applyBorder="1">
      <alignment vertical="center"/>
    </xf>
    <xf numFmtId="41" fontId="61" fillId="0" borderId="9" xfId="2" applyNumberFormat="1" applyFont="1" applyBorder="1" applyAlignment="1">
      <alignment vertical="center" shrinkToFit="1"/>
    </xf>
    <xf numFmtId="0" fontId="61" fillId="0" borderId="9" xfId="2" applyFont="1" applyBorder="1">
      <alignment vertical="center"/>
    </xf>
    <xf numFmtId="0" fontId="60" fillId="0" borderId="9" xfId="2" applyFont="1" applyBorder="1" applyAlignment="1">
      <alignment horizontal="center" vertical="center"/>
    </xf>
    <xf numFmtId="0" fontId="61" fillId="0" borderId="12" xfId="2" applyFont="1" applyBorder="1" applyAlignment="1">
      <alignment horizontal="center" vertical="center" shrinkToFit="1"/>
    </xf>
    <xf numFmtId="0" fontId="61" fillId="0" borderId="9" xfId="2" applyFont="1" applyBorder="1" applyAlignment="1">
      <alignment horizontal="center" vertical="center"/>
    </xf>
    <xf numFmtId="41" fontId="61" fillId="0" borderId="9" xfId="2" applyNumberFormat="1" applyFont="1" applyBorder="1" applyAlignment="1">
      <alignment horizontal="center" vertical="center"/>
    </xf>
    <xf numFmtId="0" fontId="60" fillId="0" borderId="0" xfId="2" applyFont="1" applyAlignment="1">
      <alignment horizontal="center" vertical="center"/>
    </xf>
    <xf numFmtId="0" fontId="61" fillId="0" borderId="0" xfId="2" applyFont="1" applyAlignment="1">
      <alignment horizontal="center" vertical="center" shrinkToFit="1"/>
    </xf>
    <xf numFmtId="0" fontId="61" fillId="0" borderId="0" xfId="2" applyFont="1" applyAlignment="1">
      <alignment horizontal="center" vertical="center"/>
    </xf>
    <xf numFmtId="41" fontId="1" fillId="0" borderId="0" xfId="4" applyFont="1">
      <alignment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41" fontId="0" fillId="0" borderId="0" xfId="6" applyFont="1">
      <alignment vertical="center"/>
    </xf>
    <xf numFmtId="43" fontId="0" fillId="0" borderId="9" xfId="0" applyNumberFormat="1" applyBorder="1">
      <alignment vertical="center"/>
    </xf>
    <xf numFmtId="0" fontId="46" fillId="2" borderId="9" xfId="3" applyFont="1" applyFill="1" applyBorder="1" applyAlignment="1">
      <alignment horizontal="center" vertical="center"/>
    </xf>
    <xf numFmtId="0" fontId="46" fillId="0" borderId="9" xfId="3" applyFont="1" applyBorder="1" applyAlignment="1">
      <alignment horizontal="center"/>
    </xf>
    <xf numFmtId="41" fontId="46" fillId="12" borderId="9" xfId="14" applyFont="1" applyFill="1" applyBorder="1" applyAlignment="1">
      <alignment horizontal="center" vertical="center"/>
    </xf>
    <xf numFmtId="21" fontId="46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3" fillId="2" borderId="0" xfId="2" applyFont="1" applyFill="1" applyAlignment="1">
      <alignment horizontal="center" vertical="center"/>
    </xf>
    <xf numFmtId="184" fontId="54" fillId="13" borderId="14" xfId="2" applyNumberFormat="1" applyFont="1" applyFill="1" applyBorder="1" applyAlignment="1">
      <alignment horizontal="center" vertical="center"/>
    </xf>
    <xf numFmtId="184" fontId="54" fillId="13" borderId="17" xfId="2" applyNumberFormat="1" applyFont="1" applyFill="1" applyBorder="1" applyAlignment="1">
      <alignment horizontal="center" vertical="center"/>
    </xf>
    <xf numFmtId="184" fontId="54" fillId="13" borderId="15" xfId="2" applyNumberFormat="1" applyFont="1" applyFill="1" applyBorder="1" applyAlignment="1">
      <alignment horizontal="center" vertical="center"/>
    </xf>
    <xf numFmtId="184" fontId="54" fillId="13" borderId="9" xfId="2" applyNumberFormat="1" applyFont="1" applyFill="1" applyBorder="1" applyAlignment="1">
      <alignment horizontal="center" vertical="center"/>
    </xf>
    <xf numFmtId="41" fontId="54" fillId="13" borderId="15" xfId="4" applyFont="1" applyFill="1" applyBorder="1" applyAlignment="1">
      <alignment horizontal="center" vertical="center"/>
    </xf>
    <xf numFmtId="41" fontId="54" fillId="13" borderId="9" xfId="4" applyFont="1" applyFill="1" applyBorder="1" applyAlignment="1">
      <alignment horizontal="center" vertical="center"/>
    </xf>
    <xf numFmtId="41" fontId="57" fillId="13" borderId="16" xfId="15" applyNumberFormat="1" applyFont="1" applyFill="1" applyBorder="1" applyAlignment="1">
      <alignment horizontal="center" vertical="center" shrinkToFit="1"/>
    </xf>
    <xf numFmtId="41" fontId="57" fillId="13" borderId="18" xfId="15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7" fillId="2" borderId="50" xfId="6" applyNumberFormat="1" applyFont="1" applyFill="1" applyBorder="1" applyAlignment="1">
      <alignment horizontal="center" vertical="center"/>
    </xf>
    <xf numFmtId="0" fontId="37" fillId="2" borderId="51" xfId="6" applyNumberFormat="1" applyFont="1" applyFill="1" applyBorder="1" applyAlignment="1">
      <alignment horizontal="center" vertical="center"/>
    </xf>
    <xf numFmtId="0" fontId="37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48" fillId="0" borderId="12" xfId="3" applyFont="1" applyBorder="1" applyAlignment="1">
      <alignment horizontal="center" vertical="center"/>
    </xf>
    <xf numFmtId="0" fontId="48" fillId="0" borderId="27" xfId="3" applyFont="1" applyBorder="1" applyAlignment="1">
      <alignment horizontal="center" vertical="center"/>
    </xf>
    <xf numFmtId="0" fontId="48" fillId="0" borderId="13" xfId="3" applyFont="1" applyBorder="1" applyAlignment="1">
      <alignment horizontal="center" vertical="center"/>
    </xf>
    <xf numFmtId="0" fontId="46" fillId="10" borderId="9" xfId="3" applyFont="1" applyFill="1" applyBorder="1" applyAlignment="1">
      <alignment horizontal="center" vertical="center"/>
    </xf>
    <xf numFmtId="0" fontId="46" fillId="10" borderId="10" xfId="3" applyFont="1" applyFill="1" applyBorder="1" applyAlignment="1">
      <alignment horizontal="center" vertical="center"/>
    </xf>
    <xf numFmtId="0" fontId="46" fillId="10" borderId="11" xfId="3" applyFont="1" applyFill="1" applyBorder="1" applyAlignment="1">
      <alignment horizontal="center" vertical="center"/>
    </xf>
    <xf numFmtId="49" fontId="46" fillId="10" borderId="9" xfId="3" applyNumberFormat="1" applyFont="1" applyFill="1" applyBorder="1" applyAlignment="1">
      <alignment horizontal="center" vertical="center"/>
    </xf>
    <xf numFmtId="182" fontId="46" fillId="10" borderId="9" xfId="3" applyNumberFormat="1" applyFont="1" applyFill="1" applyBorder="1" applyAlignment="1">
      <alignment horizontal="center" vertical="center"/>
    </xf>
    <xf numFmtId="41" fontId="46" fillId="10" borderId="9" xfId="3" applyNumberFormat="1" applyFont="1" applyFill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6" fillId="10" borderId="9" xfId="0" applyFont="1" applyFill="1" applyBorder="1" applyAlignment="1">
      <alignment horizontal="center" vertical="center"/>
    </xf>
    <xf numFmtId="49" fontId="46" fillId="10" borderId="9" xfId="0" applyNumberFormat="1" applyFont="1" applyFill="1" applyBorder="1" applyAlignment="1">
      <alignment horizontal="center" vertical="center"/>
    </xf>
    <xf numFmtId="43" fontId="46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8">
    <cellStyle name="백분율" xfId="7" builtinId="5"/>
    <cellStyle name="백분율 2" xfId="5" xr:uid="{00000000-0005-0000-0000-000001000000}"/>
    <cellStyle name="쉼표 [0]" xfId="6" builtinId="6"/>
    <cellStyle name="쉼표 [0] 101 2 2 2 2" xfId="14" xr:uid="{6145D325-C665-49FA-BDDA-53FDCB20A261}"/>
    <cellStyle name="쉼표 [0] 2" xfId="4" xr:uid="{00000000-0005-0000-0000-000003000000}"/>
    <cellStyle name="쉼표 [0] 2 2 8" xfId="10" xr:uid="{00000000-0005-0000-0000-000004000000}"/>
    <cellStyle name="쉼표 [0] 3" xfId="12" xr:uid="{78842BD4-0029-431E-8B62-3AC930B813CD}"/>
    <cellStyle name="쉼표 [0]_태준제약 기성청구서(3회)050219" xfId="17" xr:uid="{484DD91E-DF06-4F8D-9F15-86140A7D630D}"/>
    <cellStyle name="통화 [0]" xfId="8" builtinId="7"/>
    <cellStyle name="표준" xfId="0" builtinId="0"/>
    <cellStyle name="표준 103" xfId="13" xr:uid="{67305F8B-30F3-4A96-92D5-15B1F8166364}"/>
    <cellStyle name="표준 2" xfId="3" xr:uid="{00000000-0005-0000-0000-000007000000}"/>
    <cellStyle name="표준 2 2" xfId="2" xr:uid="{00000000-0005-0000-0000-000008000000}"/>
    <cellStyle name="표준 2 3" xfId="16" xr:uid="{DC46E561-9842-4383-B625-7F00C5AAF1AE}"/>
    <cellStyle name="표준 4" xfId="11" xr:uid="{72A51C34-A30B-44FF-BE15-2AE28992F6DB}"/>
    <cellStyle name="표준_QF-0402-25_일용직_노무비명세서_V1.0(07.07.12) - 7월" xfId="9" xr:uid="{00000000-0005-0000-0000-000009000000}"/>
    <cellStyle name="표준_설계 변경 내역서-1" xfId="15" xr:uid="{EC15A06E-7EA5-4098-A48A-5847AD6DA932}"/>
    <cellStyle name="표준_외주기성청구서_기성금청구양식" xfId="1" xr:uid="{00000000-0005-0000-0000-00000A000000}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333375</xdr:colOff>
      <xdr:row>23</xdr:row>
      <xdr:rowOff>47625</xdr:rowOff>
    </xdr:from>
    <xdr:to>
      <xdr:col>9</xdr:col>
      <xdr:colOff>220980</xdr:colOff>
      <xdr:row>25</xdr:row>
      <xdr:rowOff>180975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A67742C-24E4-4A4A-926C-272A4E011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9134475" y="6400800"/>
          <a:ext cx="687705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638174</xdr:colOff>
      <xdr:row>1</xdr:row>
      <xdr:rowOff>180975</xdr:rowOff>
    </xdr:from>
    <xdr:to>
      <xdr:col>5</xdr:col>
      <xdr:colOff>38099</xdr:colOff>
      <xdr:row>50</xdr:row>
      <xdr:rowOff>47625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162424" y="657225"/>
          <a:ext cx="714375" cy="1700212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906556</xdr:colOff>
      <xdr:row>51</xdr:row>
      <xdr:rowOff>126066</xdr:rowOff>
    </xdr:from>
    <xdr:to>
      <xdr:col>14</xdr:col>
      <xdr:colOff>10086</xdr:colOff>
      <xdr:row>58</xdr:row>
      <xdr:rowOff>102534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056C70A8-C987-5ECC-F446-2ADC39A41BF7}"/>
            </a:ext>
          </a:extLst>
        </xdr:cNvPr>
        <xdr:cNvGrpSpPr>
          <a:grpSpLocks noChangeAspect="1"/>
        </xdr:cNvGrpSpPr>
      </xdr:nvGrpSpPr>
      <xdr:grpSpPr bwMode="auto">
        <a:xfrm>
          <a:off x="13434940" y="9805901"/>
          <a:ext cx="3274189" cy="1459901"/>
          <a:chOff x="1797" y="1715"/>
          <a:chExt cx="305" cy="154"/>
        </a:xfrm>
      </xdr:grpSpPr>
      <xdr:sp macro="" textlink="">
        <xdr:nvSpPr>
          <xdr:cNvPr id="2050" name="AutoShape 2">
            <a:extLst>
              <a:ext uri="{FF2B5EF4-FFF2-40B4-BE49-F238E27FC236}">
                <a16:creationId xmlns:a16="http://schemas.microsoft.com/office/drawing/2014/main" id="{8D3BA742-557C-277C-06A8-B0FB34E95C06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1797" y="1715"/>
            <a:ext cx="303" cy="1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AA7EAB80-F631-6505-E07B-4164583CC611}"/>
              </a:ext>
            </a:extLst>
          </xdr:cNvPr>
          <xdr:cNvSpPr>
            <a:spLocks noChangeArrowheads="1"/>
          </xdr:cNvSpPr>
        </xdr:nvSpPr>
        <xdr:spPr bwMode="auto">
          <a:xfrm>
            <a:off x="1821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DDE682D9-4274-47CE-35F6-368796EFA9A8}"/>
              </a:ext>
            </a:extLst>
          </xdr:cNvPr>
          <xdr:cNvSpPr>
            <a:spLocks noChangeArrowheads="1"/>
          </xdr:cNvSpPr>
        </xdr:nvSpPr>
        <xdr:spPr bwMode="auto">
          <a:xfrm>
            <a:off x="1973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972EF5D5-B462-2118-47B8-724F9216B22D}"/>
              </a:ext>
            </a:extLst>
          </xdr:cNvPr>
          <xdr:cNvSpPr>
            <a:spLocks noChangeArrowheads="1"/>
          </xdr:cNvSpPr>
        </xdr:nvSpPr>
        <xdr:spPr bwMode="auto">
          <a:xfrm>
            <a:off x="1830" y="1773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84D632FC-6DCA-967B-6348-DE8D919085E9}"/>
              </a:ext>
            </a:extLst>
          </xdr:cNvPr>
          <xdr:cNvSpPr>
            <a:spLocks noChangeArrowheads="1"/>
          </xdr:cNvSpPr>
        </xdr:nvSpPr>
        <xdr:spPr bwMode="auto">
          <a:xfrm>
            <a:off x="1934" y="1773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백 석 민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6CEC37A8-64FF-F37C-EAA1-4F341F1722FC}"/>
              </a:ext>
            </a:extLst>
          </xdr:cNvPr>
          <xdr:cNvSpPr>
            <a:spLocks noChangeArrowheads="1"/>
          </xdr:cNvSpPr>
        </xdr:nvSpPr>
        <xdr:spPr bwMode="auto">
          <a:xfrm>
            <a:off x="204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DCB82A43-A7AC-9C16-2F9B-387830B7D5AD}"/>
              </a:ext>
            </a:extLst>
          </xdr:cNvPr>
          <xdr:cNvSpPr>
            <a:spLocks noChangeArrowheads="1"/>
          </xdr:cNvSpPr>
        </xdr:nvSpPr>
        <xdr:spPr bwMode="auto">
          <a:xfrm>
            <a:off x="2048" y="1773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41F45E10-9BE0-5B3D-E73D-EBEBB2C57AAF}"/>
              </a:ext>
            </a:extLst>
          </xdr:cNvPr>
          <xdr:cNvSpPr>
            <a:spLocks noChangeArrowheads="1"/>
          </xdr:cNvSpPr>
        </xdr:nvSpPr>
        <xdr:spPr bwMode="auto">
          <a:xfrm>
            <a:off x="207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850B4A79-864A-BBCA-8CD9-BE5885D72E7B}"/>
              </a:ext>
            </a:extLst>
          </xdr:cNvPr>
          <xdr:cNvSpPr>
            <a:spLocks noChangeArrowheads="1"/>
          </xdr:cNvSpPr>
        </xdr:nvSpPr>
        <xdr:spPr bwMode="auto">
          <a:xfrm>
            <a:off x="1830" y="1824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494217F2-351B-DE0D-9E80-857FB4D11165}"/>
              </a:ext>
            </a:extLst>
          </xdr:cNvPr>
          <xdr:cNvSpPr>
            <a:spLocks noChangeArrowheads="1"/>
          </xdr:cNvSpPr>
        </xdr:nvSpPr>
        <xdr:spPr bwMode="auto">
          <a:xfrm>
            <a:off x="1934" y="1824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서 현 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51328843-52D2-B50D-BA2E-B8A6652E1540}"/>
              </a:ext>
            </a:extLst>
          </xdr:cNvPr>
          <xdr:cNvSpPr>
            <a:spLocks noChangeArrowheads="1"/>
          </xdr:cNvSpPr>
        </xdr:nvSpPr>
        <xdr:spPr bwMode="auto">
          <a:xfrm>
            <a:off x="204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26E5B699-25FC-847D-83A9-B837D8A9FB0E}"/>
              </a:ext>
            </a:extLst>
          </xdr:cNvPr>
          <xdr:cNvSpPr>
            <a:spLocks noChangeArrowheads="1"/>
          </xdr:cNvSpPr>
        </xdr:nvSpPr>
        <xdr:spPr bwMode="auto">
          <a:xfrm>
            <a:off x="2048" y="1824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D8CC14C7-8C96-58EE-076B-798C78EDE0E8}"/>
              </a:ext>
            </a:extLst>
          </xdr:cNvPr>
          <xdr:cNvSpPr>
            <a:spLocks noChangeArrowheads="1"/>
          </xdr:cNvSpPr>
        </xdr:nvSpPr>
        <xdr:spPr bwMode="auto">
          <a:xfrm>
            <a:off x="207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32AD7B7D-AF76-B157-9DE2-68EC2DB6F9E5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3EB6628A-134A-D754-79F1-D88DB0367275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6747E572-D785-DE90-9CD3-6B9703E2D882}"/>
              </a:ext>
            </a:extLst>
          </xdr:cNvPr>
          <xdr:cNvSpPr>
            <a:spLocks noChangeShapeType="1"/>
          </xdr:cNvSpPr>
        </xdr:nvSpPr>
        <xdr:spPr bwMode="auto">
          <a:xfrm>
            <a:off x="1799" y="17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F7FC5B5B-F96E-BA04-6518-13E1160420CF}"/>
              </a:ext>
            </a:extLst>
          </xdr:cNvPr>
          <xdr:cNvSpPr>
            <a:spLocks noChangeArrowheads="1"/>
          </xdr:cNvSpPr>
        </xdr:nvSpPr>
        <xdr:spPr bwMode="auto">
          <a:xfrm>
            <a:off x="1799" y="17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B9238FE6-4F2B-92B1-EA63-8086CDC687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53FE6084-AC59-4E0C-CEC7-D1D98815F8F5}"/>
              </a:ext>
            </a:extLst>
          </xdr:cNvPr>
          <xdr:cNvSpPr>
            <a:spLocks noChangeShapeType="1"/>
          </xdr:cNvSpPr>
        </xdr:nvSpPr>
        <xdr:spPr bwMode="auto">
          <a:xfrm>
            <a:off x="1799" y="176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5CA6331F-CDDE-E14B-930D-229FCD34841E}"/>
              </a:ext>
            </a:extLst>
          </xdr:cNvPr>
          <xdr:cNvSpPr>
            <a:spLocks noChangeArrowheads="1"/>
          </xdr:cNvSpPr>
        </xdr:nvSpPr>
        <xdr:spPr bwMode="auto">
          <a:xfrm>
            <a:off x="1799" y="176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9F430FD9-9E66-3EF6-82A0-81521C6DB2F4}"/>
              </a:ext>
            </a:extLst>
          </xdr:cNvPr>
          <xdr:cNvSpPr>
            <a:spLocks noChangeShapeType="1"/>
          </xdr:cNvSpPr>
        </xdr:nvSpPr>
        <xdr:spPr bwMode="auto">
          <a:xfrm>
            <a:off x="1799" y="18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2A950621-F289-A41C-328A-F705176571BB}"/>
              </a:ext>
            </a:extLst>
          </xdr:cNvPr>
          <xdr:cNvSpPr>
            <a:spLocks noChangeArrowheads="1"/>
          </xdr:cNvSpPr>
        </xdr:nvSpPr>
        <xdr:spPr bwMode="auto">
          <a:xfrm>
            <a:off x="1799" y="18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533C0995-37F0-DB05-FF87-283B28CEBDC1}"/>
              </a:ext>
            </a:extLst>
          </xdr:cNvPr>
          <xdr:cNvSpPr>
            <a:spLocks noChangeShapeType="1"/>
          </xdr:cNvSpPr>
        </xdr:nvSpPr>
        <xdr:spPr bwMode="auto">
          <a:xfrm>
            <a:off x="1797" y="1715"/>
            <a:ext cx="0" cy="15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5EA6A7DA-FA39-D21B-04F9-3BC8442D6EAF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5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273618BE-6506-3660-5FFC-F1B7EA00D125}"/>
              </a:ext>
            </a:extLst>
          </xdr:cNvPr>
          <xdr:cNvSpPr>
            <a:spLocks noChangeShapeType="1"/>
          </xdr:cNvSpPr>
        </xdr:nvSpPr>
        <xdr:spPr bwMode="auto">
          <a:xfrm>
            <a:off x="1912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82072431-959B-EEBF-921E-03E3F0B96FCF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D5B38B77-C2E3-9BBF-C2AD-E5B09F861544}"/>
              </a:ext>
            </a:extLst>
          </xdr:cNvPr>
          <xdr:cNvSpPr>
            <a:spLocks noChangeShapeType="1"/>
          </xdr:cNvSpPr>
        </xdr:nvSpPr>
        <xdr:spPr bwMode="auto">
          <a:xfrm>
            <a:off x="1799" y="1866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D28AFE4E-C4C2-AAD5-B52F-60D3C6BAAE79}"/>
              </a:ext>
            </a:extLst>
          </xdr:cNvPr>
          <xdr:cNvSpPr>
            <a:spLocks noChangeArrowheads="1"/>
          </xdr:cNvSpPr>
        </xdr:nvSpPr>
        <xdr:spPr bwMode="auto">
          <a:xfrm>
            <a:off x="1799" y="1866"/>
            <a:ext cx="30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7B19F28C-8DB8-709E-EF78-DFC9C0C0D537}"/>
              </a:ext>
            </a:extLst>
          </xdr:cNvPr>
          <xdr:cNvSpPr>
            <a:spLocks noChangeShapeType="1"/>
          </xdr:cNvSpPr>
        </xdr:nvSpPr>
        <xdr:spPr bwMode="auto">
          <a:xfrm>
            <a:off x="2099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08173407-DC08-5DE6-E113-5663711A8132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99806136-9F4C-2595-E911-C90241DA432B}"/>
              </a:ext>
            </a:extLst>
          </xdr:cNvPr>
          <xdr:cNvSpPr>
            <a:spLocks noChangeShapeType="1"/>
          </xdr:cNvSpPr>
        </xdr:nvSpPr>
        <xdr:spPr bwMode="auto">
          <a:xfrm>
            <a:off x="1797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0BBB53EB-8C55-9EB6-711E-20E409208204}"/>
              </a:ext>
            </a:extLst>
          </xdr:cNvPr>
          <xdr:cNvSpPr>
            <a:spLocks noChangeArrowheads="1"/>
          </xdr:cNvSpPr>
        </xdr:nvSpPr>
        <xdr:spPr bwMode="auto">
          <a:xfrm>
            <a:off x="1797" y="1867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CF40CCCA-80D1-4005-8E4F-E2A0570B1868}"/>
              </a:ext>
            </a:extLst>
          </xdr:cNvPr>
          <xdr:cNvSpPr>
            <a:spLocks noChangeShapeType="1"/>
          </xdr:cNvSpPr>
        </xdr:nvSpPr>
        <xdr:spPr bwMode="auto">
          <a:xfrm>
            <a:off x="1912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6914C050-8AC1-51C5-2BBD-DB1482DE6C1C}"/>
              </a:ext>
            </a:extLst>
          </xdr:cNvPr>
          <xdr:cNvSpPr>
            <a:spLocks noChangeArrowheads="1"/>
          </xdr:cNvSpPr>
        </xdr:nvSpPr>
        <xdr:spPr bwMode="auto">
          <a:xfrm>
            <a:off x="1912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16A4F1C2-CC7D-1A35-EC79-E2D13E2C27F7}"/>
              </a:ext>
            </a:extLst>
          </xdr:cNvPr>
          <xdr:cNvSpPr>
            <a:spLocks noChangeShapeType="1"/>
          </xdr:cNvSpPr>
        </xdr:nvSpPr>
        <xdr:spPr bwMode="auto">
          <a:xfrm>
            <a:off x="2099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8EE8F548-FDDF-BD09-5B5C-5149DBA12C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0F49B72A-0747-6A35-659B-09BBD844EF61}"/>
              </a:ext>
            </a:extLst>
          </xdr:cNvPr>
          <xdr:cNvSpPr>
            <a:spLocks noChangeShapeType="1"/>
          </xdr:cNvSpPr>
        </xdr:nvSpPr>
        <xdr:spPr bwMode="auto">
          <a:xfrm>
            <a:off x="2100" y="17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DED63CD7-E07C-8F9C-00BC-BA0B1CF87666}"/>
              </a:ext>
            </a:extLst>
          </xdr:cNvPr>
          <xdr:cNvSpPr>
            <a:spLocks noChangeArrowheads="1"/>
          </xdr:cNvSpPr>
        </xdr:nvSpPr>
        <xdr:spPr bwMode="auto">
          <a:xfrm>
            <a:off x="2100" y="17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B5EC9152-7FFA-FBA5-1883-CBBAA6257263}"/>
              </a:ext>
            </a:extLst>
          </xdr:cNvPr>
          <xdr:cNvSpPr>
            <a:spLocks noChangeShapeType="1"/>
          </xdr:cNvSpPr>
        </xdr:nvSpPr>
        <xdr:spPr bwMode="auto">
          <a:xfrm>
            <a:off x="2100" y="176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9565177-7E05-C3DA-3E34-FF8EE9B3D619}"/>
              </a:ext>
            </a:extLst>
          </xdr:cNvPr>
          <xdr:cNvSpPr>
            <a:spLocks noChangeArrowheads="1"/>
          </xdr:cNvSpPr>
        </xdr:nvSpPr>
        <xdr:spPr bwMode="auto">
          <a:xfrm>
            <a:off x="2100" y="176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7C06D48B-4607-B1F3-A3B9-5A77F233C732}"/>
              </a:ext>
            </a:extLst>
          </xdr:cNvPr>
          <xdr:cNvSpPr>
            <a:spLocks noChangeShapeType="1"/>
          </xdr:cNvSpPr>
        </xdr:nvSpPr>
        <xdr:spPr bwMode="auto">
          <a:xfrm>
            <a:off x="2100" y="18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12E34373-ABF0-30E3-E9BB-AEF4E13F9FB0}"/>
              </a:ext>
            </a:extLst>
          </xdr:cNvPr>
          <xdr:cNvSpPr>
            <a:spLocks noChangeArrowheads="1"/>
          </xdr:cNvSpPr>
        </xdr:nvSpPr>
        <xdr:spPr bwMode="auto">
          <a:xfrm>
            <a:off x="2100" y="18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6D496BE5-EB65-4250-02D2-03D300179DD9}"/>
              </a:ext>
            </a:extLst>
          </xdr:cNvPr>
          <xdr:cNvSpPr>
            <a:spLocks noChangeShapeType="1"/>
          </xdr:cNvSpPr>
        </xdr:nvSpPr>
        <xdr:spPr bwMode="auto">
          <a:xfrm>
            <a:off x="2100" y="18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EA081357-12C6-D71B-2879-0EA781B7EC2B}"/>
              </a:ext>
            </a:extLst>
          </xdr:cNvPr>
          <xdr:cNvSpPr>
            <a:spLocks noChangeArrowheads="1"/>
          </xdr:cNvSpPr>
        </xdr:nvSpPr>
        <xdr:spPr bwMode="auto">
          <a:xfrm>
            <a:off x="2100" y="1866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tabSelected="1" view="pageBreakPreview" zoomScale="85" zoomScaleNormal="100" zoomScaleSheetLayoutView="85" workbookViewId="0">
      <selection activeCell="B31" sqref="B31"/>
    </sheetView>
  </sheetViews>
  <sheetFormatPr defaultRowHeight="16.5"/>
  <cols>
    <col min="1" max="6" width="21.625" customWidth="1"/>
  </cols>
  <sheetData>
    <row r="1" spans="1:6" ht="21.95" customHeight="1" thickTop="1">
      <c r="A1" s="1"/>
      <c r="B1" s="2"/>
      <c r="C1" s="2"/>
      <c r="D1" s="2"/>
      <c r="E1" s="2"/>
      <c r="F1" s="3"/>
    </row>
    <row r="2" spans="1:6" ht="21.95" customHeight="1">
      <c r="A2" s="4"/>
      <c r="B2" s="5"/>
      <c r="C2" s="5"/>
      <c r="D2" s="6"/>
      <c r="E2" s="5"/>
      <c r="F2" s="7"/>
    </row>
    <row r="3" spans="1:6" ht="21.95" customHeight="1">
      <c r="A3" s="4"/>
      <c r="B3" s="5"/>
      <c r="C3" s="5"/>
      <c r="D3" s="5"/>
      <c r="E3" s="5"/>
      <c r="F3" s="7"/>
    </row>
    <row r="4" spans="1:6" ht="21.95" customHeight="1">
      <c r="A4" s="4"/>
      <c r="B4" s="253" t="s">
        <v>0</v>
      </c>
      <c r="C4" s="253"/>
      <c r="D4" s="253"/>
      <c r="E4" s="253"/>
      <c r="F4" s="7"/>
    </row>
    <row r="5" spans="1:6" ht="21.95" customHeight="1">
      <c r="A5" s="8"/>
      <c r="B5" s="253"/>
      <c r="C5" s="253"/>
      <c r="D5" s="253"/>
      <c r="E5" s="253"/>
      <c r="F5" s="9"/>
    </row>
    <row r="6" spans="1:6" ht="21.95" customHeight="1">
      <c r="A6" s="10"/>
      <c r="B6" s="253"/>
      <c r="C6" s="253"/>
      <c r="D6" s="253"/>
      <c r="E6" s="253"/>
      <c r="F6" s="11"/>
    </row>
    <row r="7" spans="1:6" ht="36.950000000000003" customHeight="1">
      <c r="A7" s="12"/>
      <c r="B7" s="254" t="s">
        <v>1</v>
      </c>
      <c r="C7" s="254"/>
      <c r="D7" s="254"/>
      <c r="E7" s="254"/>
      <c r="F7" s="11"/>
    </row>
    <row r="8" spans="1:6" ht="29.1" customHeight="1">
      <c r="A8" s="8"/>
      <c r="B8" s="13"/>
      <c r="C8" s="255" t="s">
        <v>292</v>
      </c>
      <c r="D8" s="256"/>
      <c r="E8" s="13"/>
      <c r="F8" s="9"/>
    </row>
    <row r="9" spans="1:6" ht="21.95" customHeight="1">
      <c r="A9" s="8"/>
      <c r="B9" s="13"/>
      <c r="C9" s="13"/>
      <c r="D9" s="13"/>
      <c r="E9" s="13"/>
      <c r="F9" s="9"/>
    </row>
    <row r="10" spans="1:6" ht="21.95" customHeight="1">
      <c r="A10" s="8"/>
      <c r="B10" s="13"/>
      <c r="C10" s="13"/>
      <c r="D10" s="13"/>
      <c r="E10" s="13"/>
      <c r="F10" s="9"/>
    </row>
    <row r="11" spans="1:6" ht="21.95" customHeight="1">
      <c r="A11" s="8"/>
      <c r="B11" s="13"/>
      <c r="C11" s="13"/>
      <c r="D11" s="13"/>
      <c r="E11" s="13"/>
      <c r="F11" s="9"/>
    </row>
    <row r="12" spans="1:6" ht="21.95" customHeight="1">
      <c r="A12" s="8"/>
      <c r="B12" s="13"/>
      <c r="C12" s="13"/>
      <c r="D12" s="13"/>
      <c r="E12" s="13"/>
      <c r="F12" s="9"/>
    </row>
    <row r="13" spans="1:6" ht="21.95" customHeight="1">
      <c r="A13" s="8"/>
      <c r="B13" s="13"/>
      <c r="C13" s="13"/>
      <c r="D13" s="13"/>
      <c r="E13" s="13"/>
      <c r="F13" s="9"/>
    </row>
    <row r="14" spans="1:6" ht="21.95" customHeight="1">
      <c r="A14" s="8"/>
      <c r="B14" s="13"/>
      <c r="C14" s="257" t="s">
        <v>324</v>
      </c>
      <c r="D14" s="257"/>
      <c r="E14" s="13"/>
      <c r="F14" s="9"/>
    </row>
    <row r="15" spans="1:6" ht="21.95" customHeight="1">
      <c r="A15" s="8"/>
      <c r="B15" s="13"/>
      <c r="C15" s="258" t="s">
        <v>303</v>
      </c>
      <c r="D15" s="258"/>
      <c r="E15" s="13"/>
      <c r="F15" s="9"/>
    </row>
    <row r="16" spans="1:6" ht="21.95" customHeight="1">
      <c r="A16" s="8"/>
      <c r="B16" s="13"/>
      <c r="C16" s="13"/>
      <c r="D16" s="13"/>
      <c r="E16" s="13"/>
      <c r="F16" s="9"/>
    </row>
    <row r="17" spans="1:6" ht="21.95" customHeight="1">
      <c r="A17" s="8"/>
      <c r="B17" s="13"/>
      <c r="C17" s="13"/>
      <c r="D17" s="13"/>
      <c r="E17" s="13"/>
      <c r="F17" s="9"/>
    </row>
    <row r="18" spans="1:6" ht="21.95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52"/>
      <c r="D19" s="252"/>
      <c r="E19" s="13"/>
      <c r="F19" s="9"/>
    </row>
    <row r="20" spans="1:6" ht="21.95" customHeight="1">
      <c r="A20" s="8"/>
      <c r="B20" s="13"/>
      <c r="C20" s="13"/>
      <c r="D20" s="13"/>
      <c r="E20" s="13"/>
      <c r="F20" s="9"/>
    </row>
    <row r="21" spans="1:6" ht="21.95" customHeight="1" thickBot="1">
      <c r="A21" s="14"/>
      <c r="B21" s="15"/>
      <c r="C21" s="15"/>
      <c r="D21" s="15"/>
      <c r="E21" s="15"/>
      <c r="F21" s="16"/>
    </row>
    <row r="22" spans="1:6" ht="17.25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85" zoomScaleNormal="100" zoomScaleSheetLayoutView="85" workbookViewId="0">
      <selection activeCell="B31" sqref="B31"/>
    </sheetView>
  </sheetViews>
  <sheetFormatPr defaultRowHeight="16.5"/>
  <cols>
    <col min="1" max="1" width="5.375" style="17" customWidth="1"/>
    <col min="2" max="2" width="18.125" style="17" customWidth="1"/>
    <col min="3" max="3" width="3.125" style="17" customWidth="1"/>
    <col min="4" max="4" width="47.25" style="17" customWidth="1"/>
    <col min="5" max="5" width="17" style="17" customWidth="1"/>
    <col min="6" max="6" width="10.875" style="17" customWidth="1"/>
    <col min="7" max="7" width="5.25" style="17" customWidth="1"/>
    <col min="8" max="8" width="8.5" style="17" customWidth="1"/>
    <col min="9" max="9" width="10.5" style="17" customWidth="1"/>
    <col min="10" max="10" width="16.375" style="17" customWidth="1"/>
    <col min="11" max="11" width="13" style="17" customWidth="1"/>
    <col min="12" max="12" width="0.875" style="17" customWidth="1"/>
  </cols>
  <sheetData>
    <row r="1" spans="1:12" ht="39.950000000000003" customHeight="1">
      <c r="A1" s="259" t="s">
        <v>2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</row>
    <row r="2" spans="1:12" ht="21.95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5" customHeight="1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5" customHeight="1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5" customHeight="1">
      <c r="A5" s="20">
        <v>3</v>
      </c>
      <c r="B5" s="21" t="s">
        <v>7</v>
      </c>
      <c r="C5" s="21" t="s">
        <v>4</v>
      </c>
      <c r="D5" s="25">
        <f>ROUNDUP(E5,0)</f>
        <v>820000000</v>
      </c>
      <c r="E5" s="22">
        <f>집계장!I22</f>
        <v>820000000</v>
      </c>
      <c r="F5" s="26" t="s">
        <v>8</v>
      </c>
      <c r="G5" s="18"/>
      <c r="H5" s="18"/>
      <c r="I5" s="18"/>
      <c r="J5" s="18"/>
      <c r="K5" s="18"/>
    </row>
    <row r="6" spans="1:12" ht="21.95" customHeight="1">
      <c r="A6" s="20">
        <v>4</v>
      </c>
      <c r="B6" s="27" t="s">
        <v>9</v>
      </c>
      <c r="C6" s="21" t="s">
        <v>4</v>
      </c>
      <c r="D6" s="25">
        <f t="shared" ref="D6:D14" si="0">ROUNDUP(E6,0)</f>
        <v>820000000</v>
      </c>
      <c r="E6" s="22">
        <f>E7+E13</f>
        <v>820000000</v>
      </c>
      <c r="F6" s="26" t="s">
        <v>10</v>
      </c>
      <c r="G6" s="18"/>
      <c r="H6" s="18"/>
      <c r="I6" s="18"/>
      <c r="J6" s="18"/>
      <c r="K6" s="18"/>
      <c r="L6" s="18"/>
    </row>
    <row r="7" spans="1:12" ht="21.95" customHeight="1">
      <c r="A7" s="20">
        <v>5</v>
      </c>
      <c r="B7" s="21" t="s">
        <v>11</v>
      </c>
      <c r="C7" s="21" t="s">
        <v>12</v>
      </c>
      <c r="D7" s="25">
        <f t="shared" si="0"/>
        <v>520000000</v>
      </c>
      <c r="E7" s="22">
        <f>집계장!G22</f>
        <v>520000000</v>
      </c>
      <c r="F7" s="26" t="s">
        <v>13</v>
      </c>
      <c r="G7" s="18"/>
      <c r="H7" s="18"/>
      <c r="I7" s="18"/>
      <c r="J7" s="18"/>
      <c r="K7" s="18"/>
      <c r="L7" s="18"/>
    </row>
    <row r="8" spans="1:12" ht="21.95" customHeight="1">
      <c r="A8" s="20">
        <v>6</v>
      </c>
      <c r="B8" s="21" t="s">
        <v>14</v>
      </c>
      <c r="C8" s="21" t="s">
        <v>4</v>
      </c>
      <c r="D8" s="25">
        <f t="shared" si="0"/>
        <v>300000000</v>
      </c>
      <c r="E8" s="22">
        <f>집계장!F22</f>
        <v>300000000</v>
      </c>
      <c r="F8" s="26" t="s">
        <v>15</v>
      </c>
      <c r="G8" s="18"/>
      <c r="H8" s="18"/>
      <c r="I8" s="18"/>
      <c r="J8" s="18"/>
      <c r="K8" s="18"/>
      <c r="L8" s="28"/>
    </row>
    <row r="9" spans="1:12" ht="21.95" customHeight="1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5" customHeight="1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5" customHeight="1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5" customHeight="1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5" customHeight="1">
      <c r="A13" s="20">
        <v>11</v>
      </c>
      <c r="B13" s="24" t="s">
        <v>22</v>
      </c>
      <c r="C13" s="21" t="s">
        <v>23</v>
      </c>
      <c r="D13" s="31">
        <f>ROUNDUP(E13,0)</f>
        <v>300000000</v>
      </c>
      <c r="E13" s="32">
        <f>집계장!F22</f>
        <v>300000000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5" customHeight="1">
      <c r="A14" s="20">
        <v>12</v>
      </c>
      <c r="B14" s="21" t="s">
        <v>24</v>
      </c>
      <c r="C14" s="21" t="s">
        <v>23</v>
      </c>
      <c r="D14" s="25">
        <f t="shared" si="0"/>
        <v>0</v>
      </c>
      <c r="E14" s="22">
        <f>집계장!I16</f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5" customHeight="1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5" customHeight="1">
      <c r="A16" s="20">
        <v>14</v>
      </c>
      <c r="B16" s="21" t="s">
        <v>27</v>
      </c>
      <c r="C16" s="21" t="s">
        <v>28</v>
      </c>
      <c r="D16" s="33" t="s">
        <v>326</v>
      </c>
      <c r="E16" s="34"/>
      <c r="F16" s="21"/>
      <c r="G16" s="21"/>
      <c r="H16" s="21"/>
      <c r="I16" s="21"/>
      <c r="J16" s="21"/>
      <c r="K16" s="21"/>
    </row>
    <row r="17" spans="1:11" ht="21.95" customHeight="1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5" customHeight="1">
      <c r="A18" s="20"/>
      <c r="B18" s="260" t="s">
        <v>29</v>
      </c>
      <c r="C18" s="260"/>
      <c r="D18" s="260"/>
      <c r="E18" s="260"/>
      <c r="F18" s="260"/>
      <c r="G18" s="260"/>
      <c r="H18" s="260"/>
      <c r="I18" s="260"/>
      <c r="J18" s="261"/>
      <c r="K18" s="21"/>
    </row>
    <row r="19" spans="1:11" ht="21.95" customHeight="1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5" customHeight="1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5" customHeight="1">
      <c r="A21" s="35"/>
      <c r="B21" s="21"/>
      <c r="C21" s="21"/>
      <c r="D21" s="21"/>
      <c r="E21" s="34"/>
      <c r="F21" s="24" t="s">
        <v>325</v>
      </c>
      <c r="G21" s="24"/>
      <c r="H21" s="24"/>
      <c r="I21" s="24"/>
      <c r="J21" s="21"/>
      <c r="K21" s="21"/>
    </row>
    <row r="22" spans="1:11" ht="21.95" customHeight="1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5" customHeight="1">
      <c r="A23" s="35"/>
      <c r="B23" s="21"/>
      <c r="C23" s="21"/>
      <c r="D23" s="21"/>
      <c r="E23" s="34"/>
      <c r="F23" s="24" t="s">
        <v>32</v>
      </c>
      <c r="G23" s="262" t="s">
        <v>304</v>
      </c>
      <c r="H23" s="262"/>
      <c r="I23" s="262"/>
      <c r="J23" s="262"/>
      <c r="K23" s="262"/>
    </row>
    <row r="24" spans="1:11" ht="21.95" customHeight="1">
      <c r="A24" s="35"/>
      <c r="B24" s="21" t="s">
        <v>33</v>
      </c>
      <c r="C24" s="21"/>
      <c r="D24" s="21"/>
      <c r="E24" s="34"/>
      <c r="F24" s="24" t="s">
        <v>34</v>
      </c>
      <c r="G24" s="262" t="s">
        <v>305</v>
      </c>
      <c r="H24" s="262"/>
      <c r="I24" s="262"/>
      <c r="J24" s="262"/>
      <c r="K24" s="262"/>
    </row>
    <row r="25" spans="1:11" ht="21.95" customHeight="1">
      <c r="A25" s="18"/>
      <c r="B25" s="21"/>
      <c r="C25" s="21"/>
      <c r="D25" s="21"/>
      <c r="E25" s="34"/>
      <c r="F25" s="24" t="s">
        <v>35</v>
      </c>
      <c r="G25" s="262" t="s">
        <v>306</v>
      </c>
      <c r="H25" s="262"/>
      <c r="I25" s="23" t="s">
        <v>307</v>
      </c>
      <c r="J25" s="24"/>
      <c r="K25" s="24"/>
    </row>
    <row r="26" spans="1:11" ht="21.95" customHeight="1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83" fitToHeight="0" orientation="landscape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F7" sqref="F7"/>
    </sheetView>
  </sheetViews>
  <sheetFormatPr defaultRowHeight="16.5"/>
  <cols>
    <col min="1" max="1" width="29.25" style="37" bestFit="1" customWidth="1"/>
    <col min="2" max="2" width="18.625" style="37" customWidth="1"/>
    <col min="3" max="3" width="9" style="37"/>
    <col min="4" max="4" width="12.375" style="37" bestFit="1" customWidth="1"/>
    <col min="5" max="5" width="8.625" style="37" customWidth="1"/>
    <col min="6" max="6" width="15.625" style="37" customWidth="1"/>
    <col min="7" max="7" width="13.625" style="37" customWidth="1"/>
  </cols>
  <sheetData>
    <row r="1" spans="1:7" ht="69.95" customHeight="1">
      <c r="A1" s="263" t="s">
        <v>81</v>
      </c>
      <c r="B1" s="264"/>
      <c r="C1" s="264"/>
      <c r="D1" s="264"/>
      <c r="E1" s="264"/>
      <c r="F1" s="264"/>
      <c r="G1" s="264"/>
    </row>
    <row r="2" spans="1:7" ht="39.950000000000003" customHeight="1" thickBot="1">
      <c r="A2" s="41" t="s">
        <v>82</v>
      </c>
      <c r="G2" s="42" t="s">
        <v>83</v>
      </c>
    </row>
    <row r="3" spans="1:7" ht="27.95" customHeight="1">
      <c r="A3" s="265" t="s">
        <v>84</v>
      </c>
      <c r="B3" s="267" t="s">
        <v>85</v>
      </c>
      <c r="C3" s="267" t="s">
        <v>86</v>
      </c>
      <c r="D3" s="267" t="s">
        <v>87</v>
      </c>
      <c r="E3" s="267" t="s">
        <v>88</v>
      </c>
      <c r="F3" s="267"/>
      <c r="G3" s="269"/>
    </row>
    <row r="4" spans="1:7" ht="27.95" customHeight="1">
      <c r="A4" s="266"/>
      <c r="B4" s="268"/>
      <c r="C4" s="268"/>
      <c r="D4" s="268"/>
      <c r="E4" s="43" t="s">
        <v>89</v>
      </c>
      <c r="F4" s="43" t="s">
        <v>90</v>
      </c>
      <c r="G4" s="44" t="s">
        <v>91</v>
      </c>
    </row>
    <row r="5" spans="1:7" ht="27.95" customHeight="1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5" customHeight="1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5" customHeight="1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5" customHeight="1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5" customHeight="1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5" customHeight="1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5" customHeight="1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5" customHeight="1">
      <c r="A12" s="45"/>
      <c r="B12" s="46"/>
      <c r="C12" s="46"/>
      <c r="D12" s="46"/>
      <c r="E12" s="46"/>
      <c r="F12" s="46"/>
      <c r="G12" s="48"/>
    </row>
    <row r="13" spans="1:7" ht="27.95" customHeight="1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5" customHeight="1">
      <c r="A14" s="45"/>
      <c r="B14" s="46"/>
      <c r="C14" s="46"/>
      <c r="D14" s="46"/>
      <c r="E14" s="46"/>
      <c r="F14" s="46"/>
      <c r="G14" s="48"/>
    </row>
    <row r="15" spans="1:7" ht="27.95" customHeight="1" thickBot="1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1D32-6E2C-4203-AA47-2A2BE9488A41}">
  <sheetPr>
    <pageSetUpPr fitToPage="1"/>
  </sheetPr>
  <dimension ref="A1:L42"/>
  <sheetViews>
    <sheetView view="pageBreakPreview" zoomScale="115" zoomScaleNormal="100" zoomScaleSheetLayoutView="115" workbookViewId="0">
      <selection activeCell="B31" sqref="B31"/>
    </sheetView>
  </sheetViews>
  <sheetFormatPr defaultColWidth="9" defaultRowHeight="16.5"/>
  <cols>
    <col min="1" max="1" width="25.625" style="18" customWidth="1"/>
    <col min="2" max="2" width="20.125" style="18" customWidth="1"/>
    <col min="3" max="3" width="7.375" style="18" customWidth="1"/>
    <col min="4" max="4" width="10.625" style="244" customWidth="1"/>
    <col min="5" max="5" width="9.875" style="18" customWidth="1"/>
    <col min="6" max="6" width="17.625" style="18" customWidth="1"/>
    <col min="7" max="7" width="15.625" style="18" customWidth="1"/>
    <col min="8" max="11" width="9" style="18"/>
    <col min="12" max="12" width="15.625" style="18" bestFit="1" customWidth="1"/>
    <col min="13" max="16384" width="9" style="18"/>
  </cols>
  <sheetData>
    <row r="1" spans="1:12" ht="69" customHeight="1">
      <c r="A1" s="270" t="s">
        <v>309</v>
      </c>
      <c r="B1" s="270"/>
      <c r="C1" s="270"/>
      <c r="D1" s="270"/>
      <c r="E1" s="270"/>
      <c r="F1" s="270"/>
      <c r="G1" s="270"/>
    </row>
    <row r="2" spans="1:12" ht="39.75" customHeight="1" thickBot="1">
      <c r="A2" s="192" t="s">
        <v>82</v>
      </c>
      <c r="B2" s="193"/>
      <c r="C2" s="193"/>
      <c r="D2" s="193"/>
      <c r="E2" s="194"/>
      <c r="F2" s="195"/>
      <c r="G2" s="195" t="s">
        <v>310</v>
      </c>
    </row>
    <row r="3" spans="1:12" ht="27.95" customHeight="1">
      <c r="A3" s="271" t="s">
        <v>311</v>
      </c>
      <c r="B3" s="273" t="s">
        <v>312</v>
      </c>
      <c r="C3" s="273" t="s">
        <v>313</v>
      </c>
      <c r="D3" s="275" t="s">
        <v>314</v>
      </c>
      <c r="E3" s="275" t="s">
        <v>315</v>
      </c>
      <c r="F3" s="275"/>
      <c r="G3" s="277" t="s">
        <v>316</v>
      </c>
    </row>
    <row r="4" spans="1:12" ht="27.95" customHeight="1">
      <c r="A4" s="272"/>
      <c r="B4" s="274"/>
      <c r="C4" s="274"/>
      <c r="D4" s="276"/>
      <c r="E4" s="196" t="s">
        <v>317</v>
      </c>
      <c r="F4" s="196" t="s">
        <v>318</v>
      </c>
      <c r="G4" s="278"/>
    </row>
    <row r="5" spans="1:12" ht="27.95" customHeight="1">
      <c r="A5" s="197" t="s">
        <v>92</v>
      </c>
      <c r="B5" s="198" t="s">
        <v>93</v>
      </c>
      <c r="C5" s="198" t="s">
        <v>94</v>
      </c>
      <c r="D5" s="199">
        <v>1400000</v>
      </c>
      <c r="E5" s="200">
        <v>50</v>
      </c>
      <c r="F5" s="200">
        <f>D5*E5</f>
        <v>70000000</v>
      </c>
      <c r="G5" s="201"/>
    </row>
    <row r="6" spans="1:12" ht="27.95" customHeight="1">
      <c r="A6" s="197" t="s">
        <v>319</v>
      </c>
      <c r="B6" s="198" t="s">
        <v>95</v>
      </c>
      <c r="C6" s="198" t="s">
        <v>94</v>
      </c>
      <c r="D6" s="199">
        <v>1200000</v>
      </c>
      <c r="E6" s="200">
        <v>50</v>
      </c>
      <c r="F6" s="200">
        <f t="shared" ref="F6:F11" si="0">D6*E6</f>
        <v>60000000</v>
      </c>
      <c r="G6" s="202" t="s">
        <v>320</v>
      </c>
    </row>
    <row r="7" spans="1:12" ht="27.95" customHeight="1">
      <c r="A7" s="197" t="s">
        <v>97</v>
      </c>
      <c r="B7" s="198" t="s">
        <v>98</v>
      </c>
      <c r="C7" s="198" t="s">
        <v>94</v>
      </c>
      <c r="D7" s="199">
        <v>1000000</v>
      </c>
      <c r="E7" s="200">
        <v>50</v>
      </c>
      <c r="F7" s="200">
        <f t="shared" si="0"/>
        <v>50000000</v>
      </c>
      <c r="G7" s="203" t="s">
        <v>320</v>
      </c>
      <c r="I7" s="30"/>
    </row>
    <row r="8" spans="1:12" ht="27.95" customHeight="1">
      <c r="A8" s="197" t="s">
        <v>97</v>
      </c>
      <c r="B8" s="198" t="s">
        <v>100</v>
      </c>
      <c r="C8" s="198" t="s">
        <v>94</v>
      </c>
      <c r="D8" s="199">
        <v>900000</v>
      </c>
      <c r="E8" s="200">
        <v>40</v>
      </c>
      <c r="F8" s="200">
        <f t="shared" si="0"/>
        <v>36000000</v>
      </c>
      <c r="G8" s="203" t="s">
        <v>320</v>
      </c>
      <c r="J8" s="30"/>
    </row>
    <row r="9" spans="1:12" ht="27.95" customHeight="1">
      <c r="A9" s="197" t="s">
        <v>97</v>
      </c>
      <c r="B9" s="198" t="s">
        <v>102</v>
      </c>
      <c r="C9" s="198" t="s">
        <v>94</v>
      </c>
      <c r="D9" s="199">
        <v>800000</v>
      </c>
      <c r="E9" s="200">
        <v>40</v>
      </c>
      <c r="F9" s="200">
        <f t="shared" si="0"/>
        <v>32000000</v>
      </c>
      <c r="G9" s="204"/>
      <c r="J9" s="30"/>
      <c r="L9" s="30"/>
    </row>
    <row r="10" spans="1:12" ht="27.95" customHeight="1">
      <c r="A10" s="197" t="s">
        <v>97</v>
      </c>
      <c r="B10" s="198" t="s">
        <v>104</v>
      </c>
      <c r="C10" s="198" t="s">
        <v>94</v>
      </c>
      <c r="D10" s="199">
        <v>700000</v>
      </c>
      <c r="E10" s="200">
        <v>40</v>
      </c>
      <c r="F10" s="200">
        <f t="shared" si="0"/>
        <v>28000000</v>
      </c>
      <c r="G10" s="203"/>
    </row>
    <row r="11" spans="1:12" ht="27.95" customHeight="1">
      <c r="A11" s="197" t="s">
        <v>321</v>
      </c>
      <c r="B11" s="198" t="s">
        <v>106</v>
      </c>
      <c r="C11" s="198" t="s">
        <v>94</v>
      </c>
      <c r="D11" s="199">
        <v>600000</v>
      </c>
      <c r="E11" s="200">
        <v>40</v>
      </c>
      <c r="F11" s="200">
        <f t="shared" si="0"/>
        <v>24000000</v>
      </c>
      <c r="G11" s="205"/>
    </row>
    <row r="12" spans="1:12" ht="27.95" customHeight="1">
      <c r="A12" s="206"/>
      <c r="B12" s="198"/>
      <c r="C12" s="207"/>
      <c r="D12" s="199"/>
      <c r="E12" s="200"/>
      <c r="F12" s="200"/>
      <c r="G12" s="205"/>
    </row>
    <row r="13" spans="1:12" ht="27.95" customHeight="1">
      <c r="A13" s="208" t="s">
        <v>108</v>
      </c>
      <c r="B13" s="198"/>
      <c r="C13" s="207"/>
      <c r="D13" s="209"/>
      <c r="E13" s="210">
        <v>0</v>
      </c>
      <c r="F13" s="200">
        <f>SUM(F5:F11)*E13</f>
        <v>0</v>
      </c>
      <c r="G13" s="205"/>
    </row>
    <row r="14" spans="1:12" ht="27.95" customHeight="1">
      <c r="A14" s="206"/>
      <c r="B14" s="198"/>
      <c r="C14" s="207"/>
      <c r="D14" s="209"/>
      <c r="E14" s="200"/>
      <c r="F14" s="200"/>
      <c r="G14" s="205"/>
    </row>
    <row r="15" spans="1:12" ht="27.95" customHeight="1">
      <c r="A15" s="211"/>
      <c r="B15" s="212"/>
      <c r="C15" s="213"/>
      <c r="D15" s="213"/>
      <c r="E15" s="200"/>
      <c r="F15" s="200"/>
      <c r="G15" s="205"/>
    </row>
    <row r="16" spans="1:12" ht="27.95" customHeight="1" thickBot="1">
      <c r="A16" s="214" t="s">
        <v>322</v>
      </c>
      <c r="B16" s="215"/>
      <c r="C16" s="216"/>
      <c r="D16" s="217"/>
      <c r="E16" s="218">
        <f>SUM(E5:E15)</f>
        <v>310</v>
      </c>
      <c r="F16" s="219">
        <f>SUM(F5:F15)</f>
        <v>300000000</v>
      </c>
      <c r="G16" s="220"/>
    </row>
    <row r="17" spans="1:7" ht="27.95" hidden="1" customHeight="1">
      <c r="A17" s="221"/>
      <c r="B17" s="222"/>
      <c r="C17" s="223"/>
      <c r="D17" s="224"/>
      <c r="E17" s="225"/>
      <c r="F17" s="226"/>
      <c r="G17" s="227"/>
    </row>
    <row r="18" spans="1:7" ht="27.95" hidden="1" customHeight="1">
      <c r="A18" s="228"/>
      <c r="B18" s="229"/>
      <c r="C18" s="230"/>
      <c r="D18" s="231"/>
      <c r="E18" s="232"/>
      <c r="F18" s="233"/>
      <c r="G18" s="234"/>
    </row>
    <row r="19" spans="1:7" ht="27.95" hidden="1" customHeight="1">
      <c r="A19" s="228"/>
      <c r="B19" s="229"/>
      <c r="C19" s="230"/>
      <c r="D19" s="231"/>
      <c r="E19" s="232"/>
      <c r="F19" s="233"/>
      <c r="G19" s="234"/>
    </row>
    <row r="20" spans="1:7" ht="27.95" hidden="1" customHeight="1">
      <c r="A20" s="228"/>
      <c r="B20" s="229"/>
      <c r="C20" s="230"/>
      <c r="D20" s="231"/>
      <c r="E20" s="232"/>
      <c r="F20" s="233"/>
      <c r="G20" s="234"/>
    </row>
    <row r="21" spans="1:7" ht="27.95" hidden="1" customHeight="1">
      <c r="A21" s="228"/>
      <c r="B21" s="229"/>
      <c r="C21" s="230"/>
      <c r="D21" s="231"/>
      <c r="E21" s="232"/>
      <c r="F21" s="233"/>
      <c r="G21" s="234"/>
    </row>
    <row r="22" spans="1:7" ht="27.95" hidden="1" customHeight="1">
      <c r="A22" s="228"/>
      <c r="B22" s="229"/>
      <c r="C22" s="230"/>
      <c r="D22" s="231"/>
      <c r="E22" s="232"/>
      <c r="F22" s="233"/>
      <c r="G22" s="234"/>
    </row>
    <row r="23" spans="1:7" ht="27.95" hidden="1" customHeight="1">
      <c r="A23" s="235"/>
      <c r="B23" s="236"/>
      <c r="C23" s="237"/>
      <c r="D23" s="238"/>
      <c r="E23" s="232"/>
      <c r="F23" s="233"/>
      <c r="G23" s="234"/>
    </row>
    <row r="24" spans="1:7" ht="13.5">
      <c r="A24" s="239"/>
      <c r="B24" s="240"/>
      <c r="C24" s="241"/>
      <c r="D24" s="241"/>
    </row>
    <row r="25" spans="1:7" ht="13.5">
      <c r="A25" s="241"/>
      <c r="B25" s="241"/>
      <c r="C25" s="241"/>
      <c r="D25" s="241"/>
      <c r="F25" s="242"/>
    </row>
    <row r="26" spans="1:7" s="30" customFormat="1" ht="13.5">
      <c r="A26" s="241"/>
      <c r="B26" s="241"/>
      <c r="C26" s="241"/>
      <c r="D26" s="241"/>
      <c r="E26" s="18"/>
      <c r="F26" s="18"/>
      <c r="G26" s="18"/>
    </row>
    <row r="27" spans="1:7" s="30" customFormat="1" ht="13.5">
      <c r="A27" s="241"/>
      <c r="B27" s="241"/>
      <c r="C27" s="241"/>
      <c r="D27" s="241"/>
      <c r="E27" s="18"/>
      <c r="F27" s="242"/>
      <c r="G27" s="18"/>
    </row>
    <row r="28" spans="1:7" s="30" customFormat="1" ht="13.5">
      <c r="A28" s="241"/>
      <c r="B28" s="241"/>
      <c r="C28" s="241"/>
      <c r="D28" s="241"/>
      <c r="E28" s="18"/>
      <c r="F28" s="18"/>
      <c r="G28" s="18"/>
    </row>
    <row r="29" spans="1:7" s="30" customFormat="1" ht="13.5">
      <c r="A29" s="243"/>
      <c r="B29" s="243"/>
      <c r="C29" s="243"/>
      <c r="D29" s="243"/>
      <c r="E29" s="18"/>
      <c r="F29" s="18"/>
      <c r="G29" s="18"/>
    </row>
    <row r="30" spans="1:7" s="30" customFormat="1" ht="13.5">
      <c r="A30" s="243"/>
      <c r="B30" s="243"/>
      <c r="C30" s="243"/>
      <c r="D30" s="243"/>
      <c r="E30" s="18"/>
      <c r="F30" s="18"/>
      <c r="G30" s="18"/>
    </row>
    <row r="31" spans="1:7" s="30" customFormat="1" ht="13.5">
      <c r="A31" s="243"/>
      <c r="B31" s="243"/>
      <c r="C31" s="243"/>
      <c r="D31" s="243"/>
      <c r="E31" s="18"/>
      <c r="F31" s="18"/>
      <c r="G31" s="18"/>
    </row>
    <row r="32" spans="1:7" s="30" customFormat="1" ht="13.5">
      <c r="A32" s="243"/>
      <c r="B32" s="243"/>
      <c r="C32" s="243"/>
      <c r="D32" s="243"/>
      <c r="E32" s="18"/>
      <c r="F32" s="18"/>
      <c r="G32" s="18"/>
    </row>
    <row r="33" spans="1:7" s="30" customFormat="1" ht="13.5">
      <c r="A33" s="243"/>
      <c r="B33" s="243"/>
      <c r="C33" s="243"/>
      <c r="D33" s="243"/>
      <c r="E33" s="18"/>
      <c r="F33" s="18"/>
      <c r="G33" s="18"/>
    </row>
    <row r="34" spans="1:7" s="30" customFormat="1" ht="13.5">
      <c r="A34" s="243"/>
      <c r="B34" s="243"/>
      <c r="C34" s="243"/>
      <c r="D34" s="243"/>
      <c r="E34" s="18"/>
      <c r="F34" s="18"/>
      <c r="G34" s="18"/>
    </row>
    <row r="35" spans="1:7" s="30" customFormat="1" ht="13.5">
      <c r="A35" s="243"/>
      <c r="B35" s="18"/>
      <c r="C35" s="243"/>
      <c r="D35" s="243"/>
      <c r="E35" s="18"/>
      <c r="F35" s="18"/>
      <c r="G35" s="18"/>
    </row>
    <row r="36" spans="1:7" s="30" customFormat="1" ht="13.5">
      <c r="A36" s="243"/>
      <c r="B36" s="18"/>
      <c r="C36" s="243"/>
      <c r="D36" s="243"/>
      <c r="E36" s="18"/>
      <c r="F36" s="18"/>
      <c r="G36" s="18"/>
    </row>
    <row r="37" spans="1:7" s="30" customFormat="1" ht="13.5">
      <c r="A37" s="243"/>
      <c r="B37" s="18"/>
      <c r="C37" s="243"/>
      <c r="D37" s="243"/>
      <c r="E37" s="18"/>
      <c r="F37" s="18"/>
      <c r="G37" s="18"/>
    </row>
    <row r="38" spans="1:7" s="30" customFormat="1" ht="13.5">
      <c r="A38" s="243"/>
      <c r="B38" s="18"/>
      <c r="C38" s="243"/>
      <c r="D38" s="243"/>
      <c r="E38" s="18"/>
      <c r="F38" s="18"/>
      <c r="G38" s="18"/>
    </row>
    <row r="39" spans="1:7" s="30" customFormat="1" ht="13.5">
      <c r="A39" s="243"/>
      <c r="B39" s="18"/>
      <c r="C39" s="243"/>
      <c r="D39" s="243"/>
      <c r="E39" s="18"/>
      <c r="F39" s="18"/>
      <c r="G39" s="18"/>
    </row>
    <row r="40" spans="1:7" s="30" customFormat="1" ht="13.5">
      <c r="A40" s="18"/>
      <c r="B40" s="18"/>
      <c r="C40" s="243"/>
      <c r="D40" s="243"/>
      <c r="E40" s="18"/>
      <c r="F40" s="18"/>
      <c r="G40" s="18"/>
    </row>
    <row r="41" spans="1:7" s="30" customFormat="1">
      <c r="A41" s="18"/>
      <c r="B41" s="18"/>
      <c r="C41" s="243"/>
      <c r="D41" s="244"/>
      <c r="E41" s="18"/>
      <c r="F41" s="18"/>
      <c r="G41" s="18"/>
    </row>
    <row r="42" spans="1:7" s="30" customFormat="1">
      <c r="A42" s="18"/>
      <c r="B42" s="18"/>
      <c r="C42" s="243"/>
      <c r="D42" s="244"/>
      <c r="E42" s="18"/>
      <c r="F42" s="18"/>
      <c r="G42" s="1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fitToHeight="0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7"/>
  <sheetViews>
    <sheetView view="pageBreakPreview" zoomScaleNormal="100" zoomScaleSheetLayoutView="100" workbookViewId="0">
      <selection activeCell="B31" sqref="B31"/>
    </sheetView>
  </sheetViews>
  <sheetFormatPr defaultRowHeight="16.5"/>
  <cols>
    <col min="1" max="1" width="21.625" style="55" customWidth="1"/>
    <col min="2" max="2" width="20.625" style="55" customWidth="1"/>
    <col min="3" max="3" width="6.625" style="55" customWidth="1"/>
    <col min="4" max="4" width="12.125" style="55" customWidth="1"/>
    <col min="5" max="5" width="16.625" style="55" customWidth="1"/>
    <col min="6" max="9" width="19.625" style="55" customWidth="1"/>
    <col min="10" max="10" width="15.625" style="55" customWidth="1"/>
    <col min="11" max="12" width="11.625" style="55" customWidth="1"/>
    <col min="15" max="15" width="13.625" bestFit="1" customWidth="1"/>
  </cols>
  <sheetData>
    <row r="1" spans="1:14" ht="39.950000000000003" customHeight="1" thickTop="1">
      <c r="A1" s="282" t="str">
        <f>'용역청구서 표지'!$B$7</f>
        <v>P4 Ph4 GAS 1공구 마감공사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4"/>
    </row>
    <row r="2" spans="1:14" ht="20.100000000000001" customHeight="1">
      <c r="A2" s="54"/>
      <c r="J2" s="56"/>
      <c r="L2" s="57" t="str">
        <f>'용역청구서 표지'!$C$15</f>
        <v>㈜태성하이텍</v>
      </c>
    </row>
    <row r="3" spans="1:14" ht="30" customHeight="1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285" t="s">
        <v>119</v>
      </c>
      <c r="K3" s="285"/>
      <c r="L3" s="286"/>
    </row>
    <row r="4" spans="1:14" ht="30" customHeight="1">
      <c r="A4" s="63" t="s">
        <v>120</v>
      </c>
      <c r="B4" s="64" t="s">
        <v>121</v>
      </c>
      <c r="C4" s="46" t="s">
        <v>122</v>
      </c>
      <c r="D4" s="151">
        <f>SUM('물량 내역서'!$K$5:$K$27)</f>
        <v>2327.5</v>
      </c>
      <c r="E4" s="47">
        <f>F4/D4</f>
        <v>437000</v>
      </c>
      <c r="F4" s="65">
        <f>SUM('물량 내역서'!$L$5:$L$27)</f>
        <v>1017117500</v>
      </c>
      <c r="G4" s="66">
        <v>4123532000</v>
      </c>
      <c r="H4" s="47">
        <f t="shared" ref="H4:H22" si="0">F4</f>
        <v>1017117500</v>
      </c>
      <c r="I4" s="67">
        <f>G4+H4</f>
        <v>5140649500</v>
      </c>
      <c r="J4" s="279"/>
      <c r="K4" s="280"/>
      <c r="L4" s="281"/>
    </row>
    <row r="5" spans="1:14" ht="30" customHeight="1">
      <c r="A5" s="68"/>
      <c r="B5" s="64" t="s">
        <v>123</v>
      </c>
      <c r="C5" s="46" t="s">
        <v>124</v>
      </c>
      <c r="D5" s="150">
        <f>SUM('물량 내역서'!$K$28:$K$50)</f>
        <v>22</v>
      </c>
      <c r="E5" s="47">
        <f>F5/D5</f>
        <v>226704.54545454544</v>
      </c>
      <c r="F5" s="65">
        <f>SUM('물량 내역서'!$L$28:$L$50)</f>
        <v>4987500</v>
      </c>
      <c r="G5" s="66">
        <v>39243750</v>
      </c>
      <c r="H5" s="47">
        <f t="shared" si="0"/>
        <v>4987500</v>
      </c>
      <c r="I5" s="67">
        <f t="shared" ref="I5:I7" si="1">G5+H5</f>
        <v>44231250</v>
      </c>
      <c r="J5" s="279"/>
      <c r="K5" s="280"/>
      <c r="L5" s="281"/>
    </row>
    <row r="6" spans="1:14" ht="30" customHeight="1">
      <c r="A6" s="68"/>
      <c r="B6" s="64" t="s">
        <v>125</v>
      </c>
      <c r="C6" s="46" t="s">
        <v>126</v>
      </c>
      <c r="D6" s="69">
        <f>'근로내역 (05월)'!AN105</f>
        <v>0</v>
      </c>
      <c r="E6" s="47" t="e">
        <f>F6/D6</f>
        <v>#DIV/0!</v>
      </c>
      <c r="F6" s="65">
        <f>'근로내역 (05월)'!AP105</f>
        <v>0</v>
      </c>
      <c r="G6" s="66">
        <v>0</v>
      </c>
      <c r="H6" s="47">
        <f t="shared" si="0"/>
        <v>0</v>
      </c>
      <c r="I6" s="67">
        <f t="shared" si="1"/>
        <v>0</v>
      </c>
      <c r="J6" s="279"/>
      <c r="K6" s="280"/>
      <c r="L6" s="281"/>
    </row>
    <row r="7" spans="1:14" ht="30" customHeight="1">
      <c r="A7" s="63" t="s">
        <v>127</v>
      </c>
      <c r="B7" s="70"/>
      <c r="C7" s="46" t="s">
        <v>128</v>
      </c>
      <c r="D7" s="46">
        <v>527.56299999999999</v>
      </c>
      <c r="E7" s="47">
        <v>187981</v>
      </c>
      <c r="F7" s="65">
        <f t="shared" ref="F7:F12" si="2">D7*E7</f>
        <v>99171820.303000003</v>
      </c>
      <c r="G7" s="66">
        <v>586606403</v>
      </c>
      <c r="H7" s="47">
        <f t="shared" si="0"/>
        <v>99171820.303000003</v>
      </c>
      <c r="I7" s="67">
        <f t="shared" si="1"/>
        <v>685778223.30299997</v>
      </c>
      <c r="J7" s="279" t="s">
        <v>889</v>
      </c>
      <c r="K7" s="280"/>
      <c r="L7" s="281"/>
    </row>
    <row r="8" spans="1:14" ht="30" customHeight="1">
      <c r="A8" s="71" t="s">
        <v>129</v>
      </c>
      <c r="B8" s="287" t="s">
        <v>130</v>
      </c>
      <c r="C8" s="288"/>
      <c r="D8" s="72"/>
      <c r="E8" s="72"/>
      <c r="F8" s="73">
        <f>SUM(F4:F7)</f>
        <v>1121276820.303</v>
      </c>
      <c r="G8" s="74">
        <f>SUM(G4:G7)</f>
        <v>4749382153</v>
      </c>
      <c r="H8" s="75">
        <f t="shared" si="0"/>
        <v>1121276820.303</v>
      </c>
      <c r="I8" s="76">
        <f>G8+H8</f>
        <v>5870658973.3029995</v>
      </c>
      <c r="J8" s="289"/>
      <c r="K8" s="290"/>
      <c r="L8" s="291"/>
    </row>
    <row r="9" spans="1:14" ht="30" customHeight="1">
      <c r="A9" s="63" t="s">
        <v>131</v>
      </c>
      <c r="B9" s="64" t="s">
        <v>132</v>
      </c>
      <c r="C9" s="46" t="s">
        <v>133</v>
      </c>
      <c r="D9" s="69">
        <f>'근로내역 (05월)'!AN106</f>
        <v>2833.625</v>
      </c>
      <c r="E9" s="77">
        <f>F9/D9</f>
        <v>185232.69663417002</v>
      </c>
      <c r="F9" s="65">
        <f>'근로내역 (05월)'!AP106</f>
        <v>524880000</v>
      </c>
      <c r="G9" s="66">
        <v>2568938750</v>
      </c>
      <c r="H9" s="47">
        <f t="shared" si="0"/>
        <v>524880000</v>
      </c>
      <c r="I9" s="67">
        <f>G9+H9</f>
        <v>3093818750</v>
      </c>
      <c r="J9" s="279"/>
      <c r="K9" s="280"/>
      <c r="L9" s="281"/>
    </row>
    <row r="10" spans="1:14" ht="30" customHeight="1">
      <c r="A10" s="63" t="s">
        <v>134</v>
      </c>
      <c r="B10" s="64" t="s">
        <v>135</v>
      </c>
      <c r="C10" s="46" t="s">
        <v>128</v>
      </c>
      <c r="D10" s="46">
        <f>SUM(숙소임차료!H4:H8)+SUM(숙소관리비!H4:H8)</f>
        <v>0</v>
      </c>
      <c r="E10" s="47" t="e">
        <f>F10/D10</f>
        <v>#DIV/0!</v>
      </c>
      <c r="F10" s="65">
        <f>숙소임차료!I3+숙소관리비!I3</f>
        <v>19572431.935483873</v>
      </c>
      <c r="G10" s="66">
        <v>109671123</v>
      </c>
      <c r="H10" s="47">
        <f t="shared" si="0"/>
        <v>19572431.935483873</v>
      </c>
      <c r="I10" s="67">
        <f t="shared" ref="I10:I12" si="3">G10+H10</f>
        <v>129243554.93548387</v>
      </c>
      <c r="J10" s="279"/>
      <c r="K10" s="280"/>
      <c r="L10" s="281"/>
    </row>
    <row r="11" spans="1:14" ht="30" customHeight="1">
      <c r="A11" s="63"/>
      <c r="B11" s="64" t="s">
        <v>136</v>
      </c>
      <c r="C11" s="46" t="s">
        <v>137</v>
      </c>
      <c r="D11" s="46">
        <f>SUM(식대비용!G4:G9)</f>
        <v>0</v>
      </c>
      <c r="E11" s="47" t="e">
        <f>F11/D11</f>
        <v>#DIV/0!</v>
      </c>
      <c r="F11" s="65">
        <f>식대비용!I3</f>
        <v>34475819</v>
      </c>
      <c r="G11" s="66">
        <v>179014090</v>
      </c>
      <c r="H11" s="47">
        <f t="shared" si="0"/>
        <v>34475819</v>
      </c>
      <c r="I11" s="67">
        <f t="shared" si="3"/>
        <v>213489909</v>
      </c>
      <c r="J11" s="279"/>
      <c r="K11" s="280"/>
      <c r="L11" s="281"/>
    </row>
    <row r="12" spans="1:14" ht="30" customHeight="1">
      <c r="A12" s="63" t="s">
        <v>138</v>
      </c>
      <c r="B12" s="64"/>
      <c r="C12" s="46" t="s">
        <v>128</v>
      </c>
      <c r="D12" s="46"/>
      <c r="E12" s="47">
        <v>0</v>
      </c>
      <c r="F12" s="65">
        <f t="shared" si="2"/>
        <v>0</v>
      </c>
      <c r="G12" s="66">
        <v>0</v>
      </c>
      <c r="H12" s="47">
        <f t="shared" si="0"/>
        <v>0</v>
      </c>
      <c r="I12" s="67">
        <f t="shared" si="3"/>
        <v>0</v>
      </c>
      <c r="J12" s="279"/>
      <c r="K12" s="280"/>
      <c r="L12" s="281"/>
    </row>
    <row r="13" spans="1:14" ht="30" customHeight="1">
      <c r="A13" s="71" t="s">
        <v>139</v>
      </c>
      <c r="B13" s="287" t="s">
        <v>140</v>
      </c>
      <c r="C13" s="288"/>
      <c r="D13" s="72"/>
      <c r="E13" s="72"/>
      <c r="F13" s="73">
        <f t="shared" ref="F13" si="4">SUM(F9:F12)</f>
        <v>578928250.93548393</v>
      </c>
      <c r="G13" s="74">
        <f>SUM(G9:G12)</f>
        <v>2857623963</v>
      </c>
      <c r="H13" s="75">
        <f t="shared" si="0"/>
        <v>578928250.93548393</v>
      </c>
      <c r="I13" s="76">
        <f>G13+H13</f>
        <v>3436552213.9354839</v>
      </c>
      <c r="J13" s="289"/>
      <c r="K13" s="290"/>
      <c r="L13" s="291"/>
    </row>
    <row r="14" spans="1:14" ht="30" customHeight="1">
      <c r="A14" s="71" t="s">
        <v>141</v>
      </c>
      <c r="B14" s="287" t="s">
        <v>142</v>
      </c>
      <c r="C14" s="288"/>
      <c r="D14" s="72"/>
      <c r="E14" s="72"/>
      <c r="F14" s="73">
        <f>F8-F13</f>
        <v>542348569.36751604</v>
      </c>
      <c r="G14" s="74">
        <f>G8-G13</f>
        <v>1891758190</v>
      </c>
      <c r="H14" s="75">
        <f t="shared" si="0"/>
        <v>542348569.36751604</v>
      </c>
      <c r="I14" s="76">
        <f>G14+H14</f>
        <v>2434106759.367516</v>
      </c>
      <c r="J14" s="289"/>
      <c r="K14" s="290"/>
      <c r="L14" s="291"/>
    </row>
    <row r="15" spans="1:14" ht="30" customHeight="1">
      <c r="A15" s="63" t="s">
        <v>143</v>
      </c>
      <c r="B15" s="64" t="s">
        <v>144</v>
      </c>
      <c r="C15" s="46" t="s">
        <v>128</v>
      </c>
      <c r="D15" s="46"/>
      <c r="E15" s="46"/>
      <c r="F15" s="65">
        <v>242300000</v>
      </c>
      <c r="G15" s="66">
        <v>1371672449</v>
      </c>
      <c r="H15" s="47">
        <f t="shared" si="0"/>
        <v>242300000</v>
      </c>
      <c r="I15" s="67">
        <f>G15+H15</f>
        <v>1613972449</v>
      </c>
      <c r="J15" s="279"/>
      <c r="K15" s="280"/>
      <c r="L15" s="281"/>
    </row>
    <row r="16" spans="1:14" ht="30" customHeight="1">
      <c r="A16" s="63" t="s">
        <v>145</v>
      </c>
      <c r="B16" s="78" t="s">
        <v>146</v>
      </c>
      <c r="C16" s="46" t="s">
        <v>147</v>
      </c>
      <c r="D16" s="46"/>
      <c r="E16" s="46"/>
      <c r="F16" s="65"/>
      <c r="G16" s="66"/>
      <c r="H16" s="47">
        <f t="shared" si="0"/>
        <v>0</v>
      </c>
      <c r="I16" s="67">
        <f t="shared" ref="I16:I17" si="5">G16+H16</f>
        <v>0</v>
      </c>
      <c r="J16" s="279"/>
      <c r="K16" s="280"/>
      <c r="L16" s="281"/>
      <c r="N16" s="245"/>
    </row>
    <row r="17" spans="1:14" ht="30" customHeight="1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 t="shared" si="0"/>
        <v>0</v>
      </c>
      <c r="I17" s="67">
        <f t="shared" si="5"/>
        <v>0</v>
      </c>
      <c r="J17" s="279"/>
      <c r="K17" s="280"/>
      <c r="L17" s="281"/>
    </row>
    <row r="18" spans="1:14" ht="30" customHeight="1">
      <c r="A18" s="71" t="s">
        <v>151</v>
      </c>
      <c r="B18" s="287" t="s">
        <v>152</v>
      </c>
      <c r="C18" s="288"/>
      <c r="D18" s="72"/>
      <c r="E18" s="72"/>
      <c r="F18" s="73">
        <f>F14-F15-F16-F17</f>
        <v>300048569.36751604</v>
      </c>
      <c r="G18" s="74">
        <f>G14-G15-G16-G17</f>
        <v>520085741</v>
      </c>
      <c r="H18" s="75">
        <f t="shared" si="0"/>
        <v>300048569.36751604</v>
      </c>
      <c r="I18" s="76">
        <f>G18+H18</f>
        <v>820134310.36751604</v>
      </c>
      <c r="J18" s="289"/>
      <c r="K18" s="290"/>
      <c r="L18" s="291"/>
      <c r="N18" s="177"/>
    </row>
    <row r="19" spans="1:14" ht="30" customHeight="1">
      <c r="A19" s="296" t="s">
        <v>153</v>
      </c>
      <c r="B19" s="64" t="s">
        <v>154</v>
      </c>
      <c r="C19" s="46" t="s">
        <v>147</v>
      </c>
      <c r="D19" s="46"/>
      <c r="E19" s="46"/>
      <c r="F19" s="65"/>
      <c r="G19" s="66">
        <v>0</v>
      </c>
      <c r="H19" s="47">
        <f t="shared" si="0"/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4" ht="30" customHeight="1">
      <c r="A20" s="296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158</v>
      </c>
      <c r="K20" s="297">
        <v>0</v>
      </c>
      <c r="L20" s="300">
        <f>K20-I20</f>
        <v>0</v>
      </c>
    </row>
    <row r="21" spans="1:14" ht="30" customHeight="1">
      <c r="A21" s="303" t="s">
        <v>159</v>
      </c>
      <c r="B21" s="304"/>
      <c r="C21" s="305"/>
      <c r="D21" s="81"/>
      <c r="E21" s="81"/>
      <c r="F21" s="82">
        <f>F18-F20</f>
        <v>300048569.36751604</v>
      </c>
      <c r="G21" s="83">
        <f>G18-G19</f>
        <v>520085741</v>
      </c>
      <c r="H21" s="84">
        <f t="shared" si="0"/>
        <v>300048569.36751604</v>
      </c>
      <c r="I21" s="85">
        <f>G21+H21</f>
        <v>820134310.36751604</v>
      </c>
      <c r="J21" s="81"/>
      <c r="K21" s="298"/>
      <c r="L21" s="301"/>
    </row>
    <row r="22" spans="1:14" ht="30" customHeight="1">
      <c r="A22" s="303" t="s">
        <v>160</v>
      </c>
      <c r="B22" s="304"/>
      <c r="C22" s="305"/>
      <c r="D22" s="81"/>
      <c r="E22" s="81"/>
      <c r="F22" s="82">
        <f>ROUNDDOWN(F21,-5)</f>
        <v>300000000</v>
      </c>
      <c r="G22" s="83">
        <f>ROUNDDOWN(G21,-5)</f>
        <v>520000000</v>
      </c>
      <c r="H22" s="84">
        <f t="shared" si="0"/>
        <v>300000000</v>
      </c>
      <c r="I22" s="85">
        <f>G22+H22</f>
        <v>820000000</v>
      </c>
      <c r="J22" s="86" t="s">
        <v>161</v>
      </c>
      <c r="K22" s="299"/>
      <c r="L22" s="302"/>
    </row>
    <row r="23" spans="1:14" ht="30" customHeight="1">
      <c r="A23" s="292" t="s">
        <v>162</v>
      </c>
      <c r="B23" s="293"/>
      <c r="C23" s="294"/>
      <c r="D23" s="293" t="s">
        <v>163</v>
      </c>
      <c r="E23" s="293"/>
      <c r="F23" s="293"/>
      <c r="G23" s="293"/>
      <c r="H23" s="293"/>
      <c r="I23" s="293"/>
      <c r="J23" s="293"/>
      <c r="K23" s="293"/>
      <c r="L23" s="295"/>
    </row>
    <row r="24" spans="1:14" ht="21" customHeight="1">
      <c r="A24" s="87" t="s">
        <v>164</v>
      </c>
      <c r="L24" s="88"/>
    </row>
    <row r="25" spans="1:14" ht="21" customHeight="1">
      <c r="A25" s="87" t="s">
        <v>165</v>
      </c>
      <c r="L25" s="88"/>
    </row>
    <row r="26" spans="1:14" ht="21" customHeight="1" thickBot="1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4" ht="17.25" thickTop="1"/>
  </sheetData>
  <mergeCells count="28"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6" fitToHeight="0" orientation="landscape" r:id="rId1"/>
  <headerFoot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Q55"/>
  <sheetViews>
    <sheetView view="pageBreakPreview" zoomScaleNormal="70" zoomScaleSheetLayoutView="100" workbookViewId="0">
      <pane ySplit="4" topLeftCell="A37" activePane="bottomLeft" state="frozen"/>
      <selection activeCell="B31" sqref="B31"/>
      <selection pane="bottomLeft" activeCell="B31" sqref="B31"/>
    </sheetView>
  </sheetViews>
  <sheetFormatPr defaultRowHeight="16.5"/>
  <cols>
    <col min="1" max="1" width="2.625" customWidth="1"/>
    <col min="2" max="2" width="25.625" customWidth="1"/>
    <col min="3" max="3" width="20.625" customWidth="1"/>
    <col min="4" max="5" width="8.625" customWidth="1"/>
    <col min="6" max="6" width="15.625" customWidth="1"/>
    <col min="7" max="7" width="12.625" customWidth="1"/>
    <col min="8" max="8" width="20.625" customWidth="1"/>
    <col min="9" max="9" width="12.625" customWidth="1"/>
    <col min="10" max="10" width="20.625" customWidth="1"/>
    <col min="11" max="11" width="12.625" customWidth="1"/>
    <col min="12" max="12" width="20.625" customWidth="1"/>
    <col min="13" max="13" width="12.625" customWidth="1"/>
    <col min="14" max="14" width="20.625" customWidth="1"/>
    <col min="15" max="15" width="2.625" customWidth="1"/>
    <col min="16" max="16" width="12.375" bestFit="1" customWidth="1"/>
  </cols>
  <sheetData>
    <row r="1" spans="2:17" ht="37.5">
      <c r="B1" s="309" t="s">
        <v>323</v>
      </c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</row>
    <row r="2" spans="2:17" ht="17.25">
      <c r="B2" s="92" t="str">
        <f>'용역청구서 표지'!$B$7</f>
        <v>P4 Ph4 GAS 1공구 마감공사</v>
      </c>
      <c r="N2" s="42" t="s">
        <v>167</v>
      </c>
    </row>
    <row r="3" spans="2:17" ht="27.95" customHeight="1">
      <c r="B3" s="310" t="s">
        <v>168</v>
      </c>
      <c r="C3" s="310" t="s">
        <v>169</v>
      </c>
      <c r="D3" s="310" t="s">
        <v>170</v>
      </c>
      <c r="E3" s="311" t="s">
        <v>171</v>
      </c>
      <c r="F3" s="310" t="s">
        <v>172</v>
      </c>
      <c r="G3" s="310" t="s">
        <v>173</v>
      </c>
      <c r="H3" s="310"/>
      <c r="I3" s="310" t="s">
        <v>174</v>
      </c>
      <c r="J3" s="310"/>
      <c r="K3" s="310" t="s">
        <v>175</v>
      </c>
      <c r="L3" s="310"/>
      <c r="M3" s="310" t="s">
        <v>176</v>
      </c>
      <c r="N3" s="310"/>
    </row>
    <row r="4" spans="2:17" ht="27.95" customHeight="1">
      <c r="B4" s="310"/>
      <c r="C4" s="310"/>
      <c r="D4" s="310"/>
      <c r="E4" s="311"/>
      <c r="F4" s="310"/>
      <c r="G4" s="93" t="s">
        <v>177</v>
      </c>
      <c r="H4" s="93" t="s">
        <v>178</v>
      </c>
      <c r="I4" s="93" t="s">
        <v>177</v>
      </c>
      <c r="J4" s="93" t="s">
        <v>178</v>
      </c>
      <c r="K4" s="93" t="s">
        <v>177</v>
      </c>
      <c r="L4" s="93" t="s">
        <v>179</v>
      </c>
      <c r="M4" s="93" t="s">
        <v>177</v>
      </c>
      <c r="N4" s="93" t="s">
        <v>179</v>
      </c>
    </row>
    <row r="5" spans="2:17" ht="27.95" hidden="1" customHeight="1">
      <c r="B5" s="251" t="s">
        <v>180</v>
      </c>
      <c r="C5" s="38" t="s">
        <v>181</v>
      </c>
      <c r="D5" s="38" t="s">
        <v>182</v>
      </c>
      <c r="E5" s="95">
        <v>0</v>
      </c>
      <c r="F5" s="96">
        <v>437000</v>
      </c>
      <c r="G5" s="99">
        <f>M5</f>
        <v>0</v>
      </c>
      <c r="H5" s="97">
        <f>N5</f>
        <v>0</v>
      </c>
      <c r="I5" s="99">
        <v>0</v>
      </c>
      <c r="J5" s="94">
        <v>0</v>
      </c>
      <c r="K5" s="99">
        <f>$E5*'DIA-INCH'!$C5</f>
        <v>0</v>
      </c>
      <c r="L5" s="97">
        <f>$F5*$K5</f>
        <v>0</v>
      </c>
      <c r="M5" s="99">
        <f>I5+K5</f>
        <v>0</v>
      </c>
      <c r="N5" s="97">
        <f>J5+L5</f>
        <v>0</v>
      </c>
    </row>
    <row r="6" spans="2:17" ht="27.95" hidden="1" customHeight="1">
      <c r="B6" s="251" t="s">
        <v>183</v>
      </c>
      <c r="C6" s="38" t="s">
        <v>184</v>
      </c>
      <c r="D6" s="38" t="s">
        <v>185</v>
      </c>
      <c r="E6" s="95">
        <v>0</v>
      </c>
      <c r="F6" s="96">
        <v>437000</v>
      </c>
      <c r="G6" s="99">
        <f t="shared" ref="G6:H50" si="0">M6</f>
        <v>0</v>
      </c>
      <c r="H6" s="97">
        <f t="shared" si="0"/>
        <v>0</v>
      </c>
      <c r="I6" s="99">
        <v>0</v>
      </c>
      <c r="J6" s="94">
        <v>0</v>
      </c>
      <c r="K6" s="99">
        <f>$E6*'DIA-INCH'!$C6</f>
        <v>0</v>
      </c>
      <c r="L6" s="97">
        <f t="shared" ref="L6:L27" si="1">$F6*$K6</f>
        <v>0</v>
      </c>
      <c r="M6" s="99">
        <f t="shared" ref="M6:N50" si="2">I6+K6</f>
        <v>0</v>
      </c>
      <c r="N6" s="97">
        <f t="shared" si="2"/>
        <v>0</v>
      </c>
    </row>
    <row r="7" spans="2:17" ht="27.95" hidden="1" customHeight="1">
      <c r="B7" s="251" t="s">
        <v>180</v>
      </c>
      <c r="C7" s="38" t="s">
        <v>186</v>
      </c>
      <c r="D7" s="38" t="s">
        <v>182</v>
      </c>
      <c r="E7" s="95">
        <v>0</v>
      </c>
      <c r="F7" s="96">
        <v>437000</v>
      </c>
      <c r="G7" s="99">
        <f t="shared" si="0"/>
        <v>0</v>
      </c>
      <c r="H7" s="97">
        <f t="shared" si="0"/>
        <v>0</v>
      </c>
      <c r="I7" s="99">
        <v>0</v>
      </c>
      <c r="J7" s="94">
        <v>0</v>
      </c>
      <c r="K7" s="99">
        <f>$E7*'DIA-INCH'!$C7</f>
        <v>0</v>
      </c>
      <c r="L7" s="97">
        <f t="shared" si="1"/>
        <v>0</v>
      </c>
      <c r="M7" s="99">
        <f t="shared" si="2"/>
        <v>0</v>
      </c>
      <c r="N7" s="97">
        <f t="shared" si="2"/>
        <v>0</v>
      </c>
    </row>
    <row r="8" spans="2:17" ht="27.95" customHeight="1">
      <c r="B8" s="251" t="s">
        <v>180</v>
      </c>
      <c r="C8" s="38" t="s">
        <v>187</v>
      </c>
      <c r="D8" s="38" t="s">
        <v>182</v>
      </c>
      <c r="E8" s="95">
        <v>219</v>
      </c>
      <c r="F8" s="96">
        <v>437000</v>
      </c>
      <c r="G8" s="99">
        <f>M8</f>
        <v>904</v>
      </c>
      <c r="H8" s="97">
        <f t="shared" si="0"/>
        <v>395048000</v>
      </c>
      <c r="I8" s="99">
        <f>696-11</f>
        <v>685</v>
      </c>
      <c r="J8" s="246">
        <v>299345000</v>
      </c>
      <c r="K8" s="99">
        <f>$E8*'DIA-INCH'!$C8</f>
        <v>219</v>
      </c>
      <c r="L8" s="97">
        <f t="shared" si="1"/>
        <v>95703000</v>
      </c>
      <c r="M8" s="99">
        <f t="shared" si="2"/>
        <v>904</v>
      </c>
      <c r="N8" s="97">
        <f t="shared" si="2"/>
        <v>395048000</v>
      </c>
      <c r="P8" s="177"/>
      <c r="Q8" s="187"/>
    </row>
    <row r="9" spans="2:17" ht="27.95" hidden="1" customHeight="1">
      <c r="B9" s="251" t="s">
        <v>180</v>
      </c>
      <c r="C9" s="38" t="s">
        <v>188</v>
      </c>
      <c r="D9" s="38" t="s">
        <v>182</v>
      </c>
      <c r="E9" s="95">
        <v>0</v>
      </c>
      <c r="F9" s="96">
        <v>437000</v>
      </c>
      <c r="G9" s="99">
        <f t="shared" si="0"/>
        <v>0</v>
      </c>
      <c r="H9" s="97">
        <f t="shared" si="0"/>
        <v>0</v>
      </c>
      <c r="I9" s="99">
        <v>0</v>
      </c>
      <c r="J9" s="94">
        <v>0</v>
      </c>
      <c r="K9" s="99">
        <f>$E9*'DIA-INCH'!$C9</f>
        <v>0</v>
      </c>
      <c r="L9" s="97">
        <f t="shared" si="1"/>
        <v>0</v>
      </c>
      <c r="M9" s="99">
        <f t="shared" si="2"/>
        <v>0</v>
      </c>
      <c r="N9" s="97">
        <f t="shared" si="2"/>
        <v>0</v>
      </c>
      <c r="Q9" s="187"/>
    </row>
    <row r="10" spans="2:17" ht="27.95" customHeight="1">
      <c r="B10" s="251" t="s">
        <v>180</v>
      </c>
      <c r="C10" s="38" t="s">
        <v>189</v>
      </c>
      <c r="D10" s="38" t="s">
        <v>185</v>
      </c>
      <c r="E10" s="95">
        <v>58</v>
      </c>
      <c r="F10" s="96">
        <v>437000</v>
      </c>
      <c r="G10" s="99">
        <f t="shared" si="0"/>
        <v>385.5</v>
      </c>
      <c r="H10" s="97">
        <f t="shared" si="0"/>
        <v>168463500</v>
      </c>
      <c r="I10" s="99">
        <v>298.5</v>
      </c>
      <c r="J10" s="94">
        <v>130444500</v>
      </c>
      <c r="K10" s="99">
        <f>$E10*'DIA-INCH'!$C10</f>
        <v>87</v>
      </c>
      <c r="L10" s="97">
        <f t="shared" si="1"/>
        <v>38019000</v>
      </c>
      <c r="M10" s="99">
        <f t="shared" si="2"/>
        <v>385.5</v>
      </c>
      <c r="N10" s="97">
        <f t="shared" si="2"/>
        <v>168463500</v>
      </c>
      <c r="Q10" s="187"/>
    </row>
    <row r="11" spans="2:17" ht="27.95" customHeight="1">
      <c r="B11" s="251" t="s">
        <v>180</v>
      </c>
      <c r="C11" s="38" t="s">
        <v>190</v>
      </c>
      <c r="D11" s="38" t="s">
        <v>185</v>
      </c>
      <c r="E11" s="95">
        <v>121</v>
      </c>
      <c r="F11" s="96">
        <v>437000</v>
      </c>
      <c r="G11" s="99">
        <f t="shared" si="0"/>
        <v>900</v>
      </c>
      <c r="H11" s="97">
        <f t="shared" si="0"/>
        <v>393300000</v>
      </c>
      <c r="I11" s="99">
        <v>658</v>
      </c>
      <c r="J11" s="94">
        <v>287546000</v>
      </c>
      <c r="K11" s="99">
        <f>$E11*'DIA-INCH'!$C11</f>
        <v>242</v>
      </c>
      <c r="L11" s="97">
        <f t="shared" si="1"/>
        <v>105754000</v>
      </c>
      <c r="M11" s="99">
        <f t="shared" si="2"/>
        <v>900</v>
      </c>
      <c r="N11" s="97">
        <f t="shared" si="2"/>
        <v>393300000</v>
      </c>
      <c r="Q11" s="187"/>
    </row>
    <row r="12" spans="2:17" ht="27.95" customHeight="1">
      <c r="B12" s="251" t="s">
        <v>183</v>
      </c>
      <c r="C12" s="38" t="s">
        <v>191</v>
      </c>
      <c r="D12" s="38" t="s">
        <v>182</v>
      </c>
      <c r="E12" s="95">
        <v>61</v>
      </c>
      <c r="F12" s="96">
        <v>437000</v>
      </c>
      <c r="G12" s="99">
        <f t="shared" si="0"/>
        <v>690</v>
      </c>
      <c r="H12" s="97">
        <f t="shared" si="0"/>
        <v>301530000</v>
      </c>
      <c r="I12" s="99">
        <v>537.5</v>
      </c>
      <c r="J12" s="94">
        <v>234887500</v>
      </c>
      <c r="K12" s="99">
        <f>$E12*'DIA-INCH'!$C12</f>
        <v>152.5</v>
      </c>
      <c r="L12" s="97">
        <f t="shared" si="1"/>
        <v>66642500</v>
      </c>
      <c r="M12" s="99">
        <f t="shared" si="2"/>
        <v>690</v>
      </c>
      <c r="N12" s="97">
        <f t="shared" si="2"/>
        <v>301530000</v>
      </c>
      <c r="Q12" s="187"/>
    </row>
    <row r="13" spans="2:17" ht="27.95" customHeight="1">
      <c r="B13" s="251" t="s">
        <v>180</v>
      </c>
      <c r="C13" s="38" t="s">
        <v>192</v>
      </c>
      <c r="D13" s="38" t="s">
        <v>182</v>
      </c>
      <c r="E13" s="95">
        <v>59</v>
      </c>
      <c r="F13" s="96">
        <v>437000</v>
      </c>
      <c r="G13" s="99">
        <f t="shared" si="0"/>
        <v>624</v>
      </c>
      <c r="H13" s="97">
        <f t="shared" si="0"/>
        <v>272688000</v>
      </c>
      <c r="I13" s="99">
        <v>447</v>
      </c>
      <c r="J13" s="94">
        <v>195339000</v>
      </c>
      <c r="K13" s="99">
        <f>$E13*'DIA-INCH'!$C13</f>
        <v>177</v>
      </c>
      <c r="L13" s="97">
        <f t="shared" si="1"/>
        <v>77349000</v>
      </c>
      <c r="M13" s="99">
        <f t="shared" si="2"/>
        <v>624</v>
      </c>
      <c r="N13" s="97">
        <f t="shared" si="2"/>
        <v>272688000</v>
      </c>
      <c r="Q13" s="187"/>
    </row>
    <row r="14" spans="2:17" ht="27.95" customHeight="1">
      <c r="B14" s="251" t="s">
        <v>193</v>
      </c>
      <c r="C14" s="38" t="s">
        <v>194</v>
      </c>
      <c r="D14" s="38" t="s">
        <v>182</v>
      </c>
      <c r="E14" s="95">
        <v>80</v>
      </c>
      <c r="F14" s="96">
        <v>437000</v>
      </c>
      <c r="G14" s="99">
        <f t="shared" si="0"/>
        <v>1292</v>
      </c>
      <c r="H14" s="97">
        <f t="shared" si="0"/>
        <v>564604000</v>
      </c>
      <c r="I14" s="99">
        <v>972</v>
      </c>
      <c r="J14" s="94">
        <v>424764000</v>
      </c>
      <c r="K14" s="99">
        <f>$E14*'DIA-INCH'!$C14</f>
        <v>320</v>
      </c>
      <c r="L14" s="97">
        <f t="shared" si="1"/>
        <v>139840000</v>
      </c>
      <c r="M14" s="99">
        <f t="shared" si="2"/>
        <v>1292</v>
      </c>
      <c r="N14" s="97">
        <f t="shared" si="2"/>
        <v>564604000</v>
      </c>
      <c r="Q14" s="187"/>
    </row>
    <row r="15" spans="2:17" ht="27.95" hidden="1" customHeight="1">
      <c r="B15" s="251" t="s">
        <v>180</v>
      </c>
      <c r="C15" s="38" t="s">
        <v>195</v>
      </c>
      <c r="D15" s="38" t="s">
        <v>185</v>
      </c>
      <c r="E15" s="95">
        <v>0</v>
      </c>
      <c r="F15" s="96">
        <v>437000</v>
      </c>
      <c r="G15" s="99">
        <f t="shared" si="0"/>
        <v>0</v>
      </c>
      <c r="H15" s="97">
        <f t="shared" si="0"/>
        <v>0</v>
      </c>
      <c r="I15" s="99">
        <v>0</v>
      </c>
      <c r="J15" s="94">
        <v>0</v>
      </c>
      <c r="K15" s="99">
        <f>$E15*'DIA-INCH'!$C15</f>
        <v>0</v>
      </c>
      <c r="L15" s="97">
        <f t="shared" si="1"/>
        <v>0</v>
      </c>
      <c r="M15" s="99">
        <f t="shared" si="2"/>
        <v>0</v>
      </c>
      <c r="N15" s="97">
        <f t="shared" si="2"/>
        <v>0</v>
      </c>
      <c r="Q15" s="187"/>
    </row>
    <row r="16" spans="2:17" ht="27.95" customHeight="1">
      <c r="B16" s="251" t="s">
        <v>183</v>
      </c>
      <c r="C16" s="38" t="s">
        <v>196</v>
      </c>
      <c r="D16" s="38" t="s">
        <v>182</v>
      </c>
      <c r="E16" s="95">
        <v>102</v>
      </c>
      <c r="F16" s="96">
        <v>437000</v>
      </c>
      <c r="G16" s="99">
        <f t="shared" si="0"/>
        <v>2740</v>
      </c>
      <c r="H16" s="97">
        <f t="shared" si="0"/>
        <v>1197380000</v>
      </c>
      <c r="I16" s="99">
        <v>2230</v>
      </c>
      <c r="J16" s="94">
        <v>974510000</v>
      </c>
      <c r="K16" s="99">
        <f>$E16*'DIA-INCH'!$C16</f>
        <v>510</v>
      </c>
      <c r="L16" s="97">
        <f t="shared" si="1"/>
        <v>222870000</v>
      </c>
      <c r="M16" s="99">
        <f t="shared" si="2"/>
        <v>2740</v>
      </c>
      <c r="N16" s="97">
        <f t="shared" si="2"/>
        <v>1197380000</v>
      </c>
      <c r="Q16" s="187"/>
    </row>
    <row r="17" spans="2:17" ht="27.95" customHeight="1">
      <c r="B17" s="251" t="s">
        <v>183</v>
      </c>
      <c r="C17" s="38" t="s">
        <v>197</v>
      </c>
      <c r="D17" s="38" t="s">
        <v>182</v>
      </c>
      <c r="E17" s="95">
        <v>0</v>
      </c>
      <c r="F17" s="96">
        <v>437000</v>
      </c>
      <c r="G17" s="99">
        <f t="shared" si="0"/>
        <v>138</v>
      </c>
      <c r="H17" s="97">
        <f t="shared" si="0"/>
        <v>60306000</v>
      </c>
      <c r="I17" s="99">
        <v>138</v>
      </c>
      <c r="J17" s="94">
        <v>60306000</v>
      </c>
      <c r="K17" s="99">
        <f>$E17*'DIA-INCH'!$C17</f>
        <v>0</v>
      </c>
      <c r="L17" s="97">
        <f t="shared" si="1"/>
        <v>0</v>
      </c>
      <c r="M17" s="99">
        <f t="shared" si="2"/>
        <v>138</v>
      </c>
      <c r="N17" s="97">
        <f t="shared" si="2"/>
        <v>60306000</v>
      </c>
      <c r="Q17" s="187"/>
    </row>
    <row r="18" spans="2:17" ht="27.95" hidden="1" customHeight="1">
      <c r="B18" s="251" t="s">
        <v>183</v>
      </c>
      <c r="C18" s="38" t="s">
        <v>198</v>
      </c>
      <c r="D18" s="38" t="s">
        <v>182</v>
      </c>
      <c r="E18" s="95">
        <v>0</v>
      </c>
      <c r="F18" s="96">
        <v>437000</v>
      </c>
      <c r="G18" s="99">
        <f t="shared" si="0"/>
        <v>0</v>
      </c>
      <c r="H18" s="97">
        <f t="shared" si="0"/>
        <v>0</v>
      </c>
      <c r="I18" s="99">
        <v>0</v>
      </c>
      <c r="J18" s="94">
        <v>0</v>
      </c>
      <c r="K18" s="99">
        <f>$E18*'DIA-INCH'!$C18</f>
        <v>0</v>
      </c>
      <c r="L18" s="97">
        <f t="shared" si="1"/>
        <v>0</v>
      </c>
      <c r="M18" s="99">
        <f t="shared" si="2"/>
        <v>0</v>
      </c>
      <c r="N18" s="97">
        <f t="shared" si="2"/>
        <v>0</v>
      </c>
      <c r="Q18" s="187"/>
    </row>
    <row r="19" spans="2:17" ht="27.95" customHeight="1">
      <c r="B19" s="251" t="s">
        <v>183</v>
      </c>
      <c r="C19" s="38" t="s">
        <v>199</v>
      </c>
      <c r="D19" s="38" t="s">
        <v>182</v>
      </c>
      <c r="E19" s="95">
        <v>18</v>
      </c>
      <c r="F19" s="96">
        <v>437000</v>
      </c>
      <c r="G19" s="99">
        <f t="shared" si="0"/>
        <v>888</v>
      </c>
      <c r="H19" s="97">
        <f t="shared" si="0"/>
        <v>388056000</v>
      </c>
      <c r="I19" s="99">
        <v>744</v>
      </c>
      <c r="J19" s="94">
        <v>325128000</v>
      </c>
      <c r="K19" s="99">
        <f>$E19*'DIA-INCH'!$C19</f>
        <v>144</v>
      </c>
      <c r="L19" s="97">
        <f t="shared" si="1"/>
        <v>62928000</v>
      </c>
      <c r="M19" s="99">
        <f t="shared" si="2"/>
        <v>888</v>
      </c>
      <c r="N19" s="97">
        <f t="shared" si="2"/>
        <v>388056000</v>
      </c>
      <c r="Q19" s="187"/>
    </row>
    <row r="20" spans="2:17" ht="27.95" hidden="1" customHeight="1">
      <c r="B20" s="251" t="s">
        <v>180</v>
      </c>
      <c r="C20" s="38" t="s">
        <v>200</v>
      </c>
      <c r="D20" s="38" t="s">
        <v>185</v>
      </c>
      <c r="E20" s="95">
        <v>0</v>
      </c>
      <c r="F20" s="96">
        <v>437000</v>
      </c>
      <c r="G20" s="99">
        <f t="shared" si="0"/>
        <v>0</v>
      </c>
      <c r="H20" s="97">
        <f t="shared" si="0"/>
        <v>0</v>
      </c>
      <c r="I20" s="99">
        <v>0</v>
      </c>
      <c r="J20" s="94">
        <v>0</v>
      </c>
      <c r="K20" s="99">
        <f>$E20*'DIA-INCH'!$C20</f>
        <v>0</v>
      </c>
      <c r="L20" s="97">
        <f t="shared" si="1"/>
        <v>0</v>
      </c>
      <c r="M20" s="99">
        <f t="shared" si="2"/>
        <v>0</v>
      </c>
      <c r="N20" s="97">
        <f t="shared" si="2"/>
        <v>0</v>
      </c>
      <c r="Q20" s="187"/>
    </row>
    <row r="21" spans="2:17" ht="27.95" customHeight="1">
      <c r="B21" s="251" t="s">
        <v>180</v>
      </c>
      <c r="C21" s="38" t="s">
        <v>201</v>
      </c>
      <c r="D21" s="38" t="s">
        <v>202</v>
      </c>
      <c r="E21" s="95">
        <v>14</v>
      </c>
      <c r="F21" s="96">
        <v>437000</v>
      </c>
      <c r="G21" s="99">
        <f t="shared" si="0"/>
        <v>1030</v>
      </c>
      <c r="H21" s="97">
        <f t="shared" si="0"/>
        <v>450110000</v>
      </c>
      <c r="I21" s="99">
        <v>890</v>
      </c>
      <c r="J21" s="94">
        <v>388930000</v>
      </c>
      <c r="K21" s="99">
        <f>$E21*'DIA-INCH'!$C21</f>
        <v>140</v>
      </c>
      <c r="L21" s="97">
        <f t="shared" si="1"/>
        <v>61180000</v>
      </c>
      <c r="M21" s="99">
        <f t="shared" si="2"/>
        <v>1030</v>
      </c>
      <c r="N21" s="97">
        <f t="shared" si="2"/>
        <v>450110000</v>
      </c>
      <c r="Q21" s="187"/>
    </row>
    <row r="22" spans="2:17" ht="27.95" customHeight="1">
      <c r="B22" s="251" t="s">
        <v>183</v>
      </c>
      <c r="C22" s="38" t="s">
        <v>203</v>
      </c>
      <c r="D22" s="38" t="s">
        <v>204</v>
      </c>
      <c r="E22" s="95">
        <v>28</v>
      </c>
      <c r="F22" s="96">
        <v>437000</v>
      </c>
      <c r="G22" s="99">
        <f t="shared" si="0"/>
        <v>2172</v>
      </c>
      <c r="H22" s="97">
        <f t="shared" si="0"/>
        <v>949164000</v>
      </c>
      <c r="I22" s="99">
        <v>1836</v>
      </c>
      <c r="J22" s="94">
        <v>802332000</v>
      </c>
      <c r="K22" s="99">
        <f>$E22*'DIA-INCH'!$C22</f>
        <v>336</v>
      </c>
      <c r="L22" s="97">
        <f t="shared" si="1"/>
        <v>146832000</v>
      </c>
      <c r="M22" s="99">
        <f t="shared" si="2"/>
        <v>2172</v>
      </c>
      <c r="N22" s="97">
        <f t="shared" si="2"/>
        <v>949164000</v>
      </c>
      <c r="Q22" s="187"/>
    </row>
    <row r="23" spans="2:17" ht="27.95" hidden="1" customHeight="1">
      <c r="B23" s="251" t="s">
        <v>205</v>
      </c>
      <c r="C23" s="38" t="s">
        <v>206</v>
      </c>
      <c r="D23" s="38" t="s">
        <v>182</v>
      </c>
      <c r="E23" s="95">
        <v>0</v>
      </c>
      <c r="F23" s="96">
        <v>437000</v>
      </c>
      <c r="G23" s="99">
        <f t="shared" si="0"/>
        <v>0</v>
      </c>
      <c r="H23" s="97">
        <f t="shared" si="0"/>
        <v>0</v>
      </c>
      <c r="I23" s="99">
        <v>0</v>
      </c>
      <c r="J23" s="94">
        <v>0</v>
      </c>
      <c r="K23" s="99">
        <f>$E23*'DIA-INCH'!$C23</f>
        <v>0</v>
      </c>
      <c r="L23" s="97">
        <f t="shared" si="1"/>
        <v>0</v>
      </c>
      <c r="M23" s="99">
        <f t="shared" si="2"/>
        <v>0</v>
      </c>
      <c r="N23" s="97">
        <f t="shared" si="2"/>
        <v>0</v>
      </c>
    </row>
    <row r="24" spans="2:17" ht="27.95" hidden="1" customHeight="1">
      <c r="B24" s="251" t="s">
        <v>180</v>
      </c>
      <c r="C24" s="38" t="s">
        <v>207</v>
      </c>
      <c r="D24" s="38" t="s">
        <v>185</v>
      </c>
      <c r="E24" s="95">
        <v>0</v>
      </c>
      <c r="F24" s="96">
        <v>437000</v>
      </c>
      <c r="G24" s="99">
        <f t="shared" si="0"/>
        <v>0</v>
      </c>
      <c r="H24" s="97">
        <f t="shared" si="0"/>
        <v>0</v>
      </c>
      <c r="I24" s="99">
        <v>0</v>
      </c>
      <c r="J24" s="94">
        <v>0</v>
      </c>
      <c r="K24" s="99">
        <f>$E24*'DIA-INCH'!$C24</f>
        <v>0</v>
      </c>
      <c r="L24" s="97">
        <f t="shared" si="1"/>
        <v>0</v>
      </c>
      <c r="M24" s="99">
        <f t="shared" si="2"/>
        <v>0</v>
      </c>
      <c r="N24" s="97">
        <f t="shared" si="2"/>
        <v>0</v>
      </c>
    </row>
    <row r="25" spans="2:17" ht="27.95" hidden="1" customHeight="1">
      <c r="B25" s="251" t="s">
        <v>193</v>
      </c>
      <c r="C25" s="38" t="s">
        <v>208</v>
      </c>
      <c r="D25" s="38" t="s">
        <v>209</v>
      </c>
      <c r="E25" s="95">
        <v>0</v>
      </c>
      <c r="F25" s="96">
        <v>437000</v>
      </c>
      <c r="G25" s="99">
        <f t="shared" si="0"/>
        <v>0</v>
      </c>
      <c r="H25" s="97">
        <f t="shared" si="0"/>
        <v>0</v>
      </c>
      <c r="I25" s="99">
        <v>0</v>
      </c>
      <c r="J25" s="94">
        <v>0</v>
      </c>
      <c r="K25" s="99">
        <f>$E25*'DIA-INCH'!$C25</f>
        <v>0</v>
      </c>
      <c r="L25" s="97">
        <f t="shared" si="1"/>
        <v>0</v>
      </c>
      <c r="M25" s="99">
        <f t="shared" si="2"/>
        <v>0</v>
      </c>
      <c r="N25" s="97">
        <f t="shared" si="2"/>
        <v>0</v>
      </c>
    </row>
    <row r="26" spans="2:17" ht="27.95" hidden="1" customHeight="1">
      <c r="B26" s="251" t="s">
        <v>183</v>
      </c>
      <c r="C26" s="38" t="s">
        <v>210</v>
      </c>
      <c r="D26" s="38" t="s">
        <v>182</v>
      </c>
      <c r="E26" s="95">
        <v>0</v>
      </c>
      <c r="F26" s="96">
        <v>437000</v>
      </c>
      <c r="G26" s="99">
        <f t="shared" si="0"/>
        <v>0</v>
      </c>
      <c r="H26" s="97">
        <f t="shared" si="0"/>
        <v>0</v>
      </c>
      <c r="I26" s="99">
        <v>0</v>
      </c>
      <c r="J26" s="94">
        <v>0</v>
      </c>
      <c r="K26" s="99">
        <f>$E26*'DIA-INCH'!$C26</f>
        <v>0</v>
      </c>
      <c r="L26" s="97">
        <f t="shared" si="1"/>
        <v>0</v>
      </c>
      <c r="M26" s="99">
        <f t="shared" si="2"/>
        <v>0</v>
      </c>
      <c r="N26" s="97">
        <f t="shared" si="2"/>
        <v>0</v>
      </c>
    </row>
    <row r="27" spans="2:17" ht="27.95" hidden="1" customHeight="1">
      <c r="B27" s="251" t="s">
        <v>193</v>
      </c>
      <c r="C27" s="38" t="s">
        <v>211</v>
      </c>
      <c r="D27" s="38" t="s">
        <v>182</v>
      </c>
      <c r="E27" s="95">
        <v>0</v>
      </c>
      <c r="F27" s="96">
        <v>437000</v>
      </c>
      <c r="G27" s="99">
        <f t="shared" si="0"/>
        <v>0</v>
      </c>
      <c r="H27" s="97">
        <f t="shared" si="0"/>
        <v>0</v>
      </c>
      <c r="I27" s="99">
        <v>0</v>
      </c>
      <c r="J27" s="94">
        <v>0</v>
      </c>
      <c r="K27" s="99">
        <f>$E27*'DIA-INCH'!$C27</f>
        <v>0</v>
      </c>
      <c r="L27" s="97">
        <f t="shared" si="1"/>
        <v>0</v>
      </c>
      <c r="M27" s="99">
        <f t="shared" si="2"/>
        <v>0</v>
      </c>
      <c r="N27" s="97">
        <f t="shared" si="2"/>
        <v>0</v>
      </c>
    </row>
    <row r="28" spans="2:17" ht="27.95" hidden="1" customHeight="1">
      <c r="B28" s="251" t="s">
        <v>212</v>
      </c>
      <c r="C28" s="38" t="s">
        <v>181</v>
      </c>
      <c r="D28" s="38" t="s">
        <v>213</v>
      </c>
      <c r="E28" s="95">
        <v>0</v>
      </c>
      <c r="F28" s="96">
        <f>$F$31*'DIA-INCH'!$C5</f>
        <v>21875</v>
      </c>
      <c r="G28" s="97">
        <f t="shared" si="0"/>
        <v>0</v>
      </c>
      <c r="H28" s="97">
        <f t="shared" si="0"/>
        <v>0</v>
      </c>
      <c r="I28" s="94">
        <v>0</v>
      </c>
      <c r="J28" s="94">
        <v>0</v>
      </c>
      <c r="K28" s="97">
        <f>E28</f>
        <v>0</v>
      </c>
      <c r="L28" s="97">
        <f>$K28*$F28</f>
        <v>0</v>
      </c>
      <c r="M28" s="97">
        <f t="shared" si="2"/>
        <v>0</v>
      </c>
      <c r="N28" s="97">
        <f t="shared" si="2"/>
        <v>0</v>
      </c>
    </row>
    <row r="29" spans="2:17" ht="27.95" hidden="1" customHeight="1">
      <c r="B29" s="251" t="s">
        <v>214</v>
      </c>
      <c r="C29" s="38" t="s">
        <v>184</v>
      </c>
      <c r="D29" s="38" t="s">
        <v>213</v>
      </c>
      <c r="E29" s="95">
        <v>0</v>
      </c>
      <c r="F29" s="96">
        <f>$F$31*'DIA-INCH'!$C6</f>
        <v>43750</v>
      </c>
      <c r="G29" s="97">
        <f t="shared" si="0"/>
        <v>0</v>
      </c>
      <c r="H29" s="97">
        <f t="shared" si="0"/>
        <v>0</v>
      </c>
      <c r="I29" s="94">
        <v>0</v>
      </c>
      <c r="J29" s="94">
        <v>0</v>
      </c>
      <c r="K29" s="97">
        <f t="shared" ref="K29:K50" si="3">E29</f>
        <v>0</v>
      </c>
      <c r="L29" s="97">
        <f t="shared" ref="L29:L50" si="4">$K29*$F29</f>
        <v>0</v>
      </c>
      <c r="M29" s="97">
        <f t="shared" si="2"/>
        <v>0</v>
      </c>
      <c r="N29" s="97">
        <f t="shared" si="2"/>
        <v>0</v>
      </c>
    </row>
    <row r="30" spans="2:17" ht="27.95" hidden="1" customHeight="1">
      <c r="B30" s="251" t="s">
        <v>215</v>
      </c>
      <c r="C30" s="38" t="s">
        <v>186</v>
      </c>
      <c r="D30" s="38" t="s">
        <v>213</v>
      </c>
      <c r="E30" s="95">
        <v>0</v>
      </c>
      <c r="F30" s="96">
        <f>$F$31*'DIA-INCH'!$C7</f>
        <v>65625</v>
      </c>
      <c r="G30" s="97">
        <f t="shared" si="0"/>
        <v>0</v>
      </c>
      <c r="H30" s="97">
        <f t="shared" si="0"/>
        <v>0</v>
      </c>
      <c r="I30" s="94">
        <v>0</v>
      </c>
      <c r="J30" s="94">
        <v>0</v>
      </c>
      <c r="K30" s="97">
        <f t="shared" si="3"/>
        <v>0</v>
      </c>
      <c r="L30" s="97">
        <f t="shared" si="4"/>
        <v>0</v>
      </c>
      <c r="M30" s="97">
        <f t="shared" si="2"/>
        <v>0</v>
      </c>
      <c r="N30" s="97">
        <f t="shared" si="2"/>
        <v>0</v>
      </c>
    </row>
    <row r="31" spans="2:17" ht="27.95" customHeight="1">
      <c r="B31" s="251" t="s">
        <v>216</v>
      </c>
      <c r="C31" s="38" t="s">
        <v>187</v>
      </c>
      <c r="D31" s="38" t="s">
        <v>217</v>
      </c>
      <c r="E31" s="95">
        <v>8</v>
      </c>
      <c r="F31" s="96">
        <v>87500</v>
      </c>
      <c r="G31" s="97">
        <f t="shared" si="0"/>
        <v>130</v>
      </c>
      <c r="H31" s="97">
        <f t="shared" si="0"/>
        <v>11375000</v>
      </c>
      <c r="I31" s="94">
        <v>122</v>
      </c>
      <c r="J31" s="94">
        <v>10675000</v>
      </c>
      <c r="K31" s="97">
        <f t="shared" si="3"/>
        <v>8</v>
      </c>
      <c r="L31" s="97">
        <f t="shared" si="4"/>
        <v>700000</v>
      </c>
      <c r="M31" s="97">
        <f t="shared" si="2"/>
        <v>130</v>
      </c>
      <c r="N31" s="97">
        <f t="shared" si="2"/>
        <v>11375000</v>
      </c>
    </row>
    <row r="32" spans="2:17" ht="27.95" customHeight="1">
      <c r="B32" s="251" t="s">
        <v>216</v>
      </c>
      <c r="C32" s="38" t="s">
        <v>188</v>
      </c>
      <c r="D32" s="38" t="s">
        <v>213</v>
      </c>
      <c r="E32" s="95">
        <v>0</v>
      </c>
      <c r="F32" s="96">
        <f>$F$31*'DIA-INCH'!$C9</f>
        <v>109375</v>
      </c>
      <c r="G32" s="97">
        <f t="shared" si="0"/>
        <v>84</v>
      </c>
      <c r="H32" s="97">
        <f t="shared" si="0"/>
        <v>9187500</v>
      </c>
      <c r="I32" s="94">
        <v>84</v>
      </c>
      <c r="J32" s="94">
        <v>9187500</v>
      </c>
      <c r="K32" s="97">
        <f t="shared" si="3"/>
        <v>0</v>
      </c>
      <c r="L32" s="97">
        <f t="shared" si="4"/>
        <v>0</v>
      </c>
      <c r="M32" s="97">
        <f t="shared" si="2"/>
        <v>84</v>
      </c>
      <c r="N32" s="97">
        <f t="shared" si="2"/>
        <v>9187500</v>
      </c>
    </row>
    <row r="33" spans="2:14" ht="27.95" customHeight="1">
      <c r="B33" s="251" t="s">
        <v>216</v>
      </c>
      <c r="C33" s="38" t="s">
        <v>189</v>
      </c>
      <c r="D33" s="38" t="s">
        <v>124</v>
      </c>
      <c r="E33" s="95">
        <v>2</v>
      </c>
      <c r="F33" s="96">
        <f>$F$31*'DIA-INCH'!$C10</f>
        <v>131250</v>
      </c>
      <c r="G33" s="97">
        <f t="shared" si="0"/>
        <v>22</v>
      </c>
      <c r="H33" s="97">
        <f t="shared" si="0"/>
        <v>2887500</v>
      </c>
      <c r="I33" s="94">
        <v>20</v>
      </c>
      <c r="J33" s="94">
        <v>2625000</v>
      </c>
      <c r="K33" s="97">
        <f t="shared" si="3"/>
        <v>2</v>
      </c>
      <c r="L33" s="97">
        <f t="shared" si="4"/>
        <v>262500</v>
      </c>
      <c r="M33" s="97">
        <f t="shared" si="2"/>
        <v>22</v>
      </c>
      <c r="N33" s="97">
        <f t="shared" si="2"/>
        <v>2887500</v>
      </c>
    </row>
    <row r="34" spans="2:14" ht="27.95" customHeight="1">
      <c r="B34" s="251" t="s">
        <v>216</v>
      </c>
      <c r="C34" s="38" t="s">
        <v>190</v>
      </c>
      <c r="D34" s="38" t="s">
        <v>213</v>
      </c>
      <c r="E34" s="95">
        <v>2</v>
      </c>
      <c r="F34" s="96">
        <f>$F$31*'DIA-INCH'!$C11</f>
        <v>175000</v>
      </c>
      <c r="G34" s="97">
        <f t="shared" si="0"/>
        <v>13</v>
      </c>
      <c r="H34" s="97">
        <f t="shared" si="0"/>
        <v>2275000</v>
      </c>
      <c r="I34" s="94">
        <v>11</v>
      </c>
      <c r="J34" s="94">
        <v>1925000</v>
      </c>
      <c r="K34" s="97">
        <f t="shared" si="3"/>
        <v>2</v>
      </c>
      <c r="L34" s="97">
        <f t="shared" si="4"/>
        <v>350000</v>
      </c>
      <c r="M34" s="97">
        <f t="shared" si="2"/>
        <v>13</v>
      </c>
      <c r="N34" s="97">
        <f t="shared" si="2"/>
        <v>2275000</v>
      </c>
    </row>
    <row r="35" spans="2:14" ht="27.95" customHeight="1">
      <c r="B35" s="251" t="s">
        <v>212</v>
      </c>
      <c r="C35" s="38" t="s">
        <v>191</v>
      </c>
      <c r="D35" s="38" t="s">
        <v>124</v>
      </c>
      <c r="E35" s="95">
        <v>0</v>
      </c>
      <c r="F35" s="96">
        <f>$F$31*'DIA-INCH'!$C12</f>
        <v>218750</v>
      </c>
      <c r="G35" s="97">
        <f t="shared" si="0"/>
        <v>9</v>
      </c>
      <c r="H35" s="97">
        <f t="shared" si="0"/>
        <v>1968750</v>
      </c>
      <c r="I35" s="94">
        <v>9</v>
      </c>
      <c r="J35" s="94">
        <v>1968750</v>
      </c>
      <c r="K35" s="97">
        <f t="shared" si="3"/>
        <v>0</v>
      </c>
      <c r="L35" s="97">
        <f t="shared" si="4"/>
        <v>0</v>
      </c>
      <c r="M35" s="97">
        <f t="shared" si="2"/>
        <v>9</v>
      </c>
      <c r="N35" s="97">
        <f t="shared" si="2"/>
        <v>1968750</v>
      </c>
    </row>
    <row r="36" spans="2:14" ht="27.95" customHeight="1">
      <c r="B36" s="251" t="s">
        <v>212</v>
      </c>
      <c r="C36" s="38" t="s">
        <v>192</v>
      </c>
      <c r="D36" s="38" t="s">
        <v>213</v>
      </c>
      <c r="E36" s="95">
        <v>4</v>
      </c>
      <c r="F36" s="96">
        <f>$F$31*'DIA-INCH'!$C13</f>
        <v>262500</v>
      </c>
      <c r="G36" s="97">
        <f t="shared" si="0"/>
        <v>7</v>
      </c>
      <c r="H36" s="97">
        <f t="shared" si="0"/>
        <v>1837500</v>
      </c>
      <c r="I36" s="94">
        <v>3</v>
      </c>
      <c r="J36" s="94">
        <v>787500</v>
      </c>
      <c r="K36" s="97">
        <f t="shared" si="3"/>
        <v>4</v>
      </c>
      <c r="L36" s="97">
        <f t="shared" si="4"/>
        <v>1050000</v>
      </c>
      <c r="M36" s="97">
        <f t="shared" si="2"/>
        <v>7</v>
      </c>
      <c r="N36" s="97">
        <f t="shared" si="2"/>
        <v>1837500</v>
      </c>
    </row>
    <row r="37" spans="2:14" ht="27.95" customHeight="1">
      <c r="B37" s="251" t="s">
        <v>214</v>
      </c>
      <c r="C37" s="38" t="s">
        <v>194</v>
      </c>
      <c r="D37" s="38" t="s">
        <v>213</v>
      </c>
      <c r="E37" s="95">
        <v>1</v>
      </c>
      <c r="F37" s="96">
        <f>$F$31*'DIA-INCH'!$C14</f>
        <v>350000</v>
      </c>
      <c r="G37" s="97">
        <f t="shared" si="0"/>
        <v>1</v>
      </c>
      <c r="H37" s="97">
        <f t="shared" si="0"/>
        <v>350000</v>
      </c>
      <c r="I37" s="94">
        <v>0</v>
      </c>
      <c r="J37" s="94">
        <v>0</v>
      </c>
      <c r="K37" s="97">
        <f t="shared" si="3"/>
        <v>1</v>
      </c>
      <c r="L37" s="97">
        <f t="shared" si="4"/>
        <v>350000</v>
      </c>
      <c r="M37" s="97">
        <f t="shared" si="2"/>
        <v>1</v>
      </c>
      <c r="N37" s="97">
        <f t="shared" si="2"/>
        <v>350000</v>
      </c>
    </row>
    <row r="38" spans="2:14" ht="27.95" hidden="1" customHeight="1">
      <c r="B38" s="251" t="s">
        <v>212</v>
      </c>
      <c r="C38" s="38" t="s">
        <v>195</v>
      </c>
      <c r="D38" s="38" t="s">
        <v>218</v>
      </c>
      <c r="E38" s="95">
        <v>0</v>
      </c>
      <c r="F38" s="96">
        <f>$F$31*'DIA-INCH'!$C15</f>
        <v>350000</v>
      </c>
      <c r="G38" s="97">
        <f t="shared" si="0"/>
        <v>0</v>
      </c>
      <c r="H38" s="97">
        <f t="shared" si="0"/>
        <v>0</v>
      </c>
      <c r="I38" s="94">
        <v>0</v>
      </c>
      <c r="J38" s="94">
        <v>0</v>
      </c>
      <c r="K38" s="97">
        <f t="shared" si="3"/>
        <v>0</v>
      </c>
      <c r="L38" s="97">
        <f t="shared" si="4"/>
        <v>0</v>
      </c>
      <c r="M38" s="97">
        <f t="shared" si="2"/>
        <v>0</v>
      </c>
      <c r="N38" s="97">
        <f t="shared" si="2"/>
        <v>0</v>
      </c>
    </row>
    <row r="39" spans="2:14" ht="27.95" customHeight="1">
      <c r="B39" s="251" t="s">
        <v>212</v>
      </c>
      <c r="C39" s="38" t="s">
        <v>196</v>
      </c>
      <c r="D39" s="38" t="s">
        <v>219</v>
      </c>
      <c r="E39" s="95">
        <v>4</v>
      </c>
      <c r="F39" s="96">
        <f>$F$31*'DIA-INCH'!$C16</f>
        <v>437500</v>
      </c>
      <c r="G39" s="97">
        <f t="shared" si="0"/>
        <v>28</v>
      </c>
      <c r="H39" s="97">
        <f t="shared" si="0"/>
        <v>12250000</v>
      </c>
      <c r="I39" s="94">
        <v>24</v>
      </c>
      <c r="J39" s="94">
        <v>10500000</v>
      </c>
      <c r="K39" s="97">
        <f t="shared" si="3"/>
        <v>4</v>
      </c>
      <c r="L39" s="97">
        <f t="shared" si="4"/>
        <v>1750000</v>
      </c>
      <c r="M39" s="97">
        <f t="shared" si="2"/>
        <v>28</v>
      </c>
      <c r="N39" s="97">
        <f t="shared" si="2"/>
        <v>12250000</v>
      </c>
    </row>
    <row r="40" spans="2:14" ht="27.95" customHeight="1">
      <c r="B40" s="251" t="s">
        <v>212</v>
      </c>
      <c r="C40" s="38" t="s">
        <v>197</v>
      </c>
      <c r="D40" s="38" t="s">
        <v>213</v>
      </c>
      <c r="E40" s="95">
        <v>1</v>
      </c>
      <c r="F40" s="96">
        <f>$F$31*'DIA-INCH'!$C17</f>
        <v>525000</v>
      </c>
      <c r="G40" s="97">
        <f t="shared" si="0"/>
        <v>1</v>
      </c>
      <c r="H40" s="97">
        <f t="shared" si="0"/>
        <v>525000</v>
      </c>
      <c r="I40" s="94">
        <v>0</v>
      </c>
      <c r="J40" s="94">
        <v>0</v>
      </c>
      <c r="K40" s="97">
        <f t="shared" si="3"/>
        <v>1</v>
      </c>
      <c r="L40" s="97">
        <f t="shared" si="4"/>
        <v>525000</v>
      </c>
      <c r="M40" s="97">
        <f t="shared" si="2"/>
        <v>1</v>
      </c>
      <c r="N40" s="97">
        <f t="shared" si="2"/>
        <v>525000</v>
      </c>
    </row>
    <row r="41" spans="2:14" ht="27.95" hidden="1" customHeight="1">
      <c r="B41" s="251" t="s">
        <v>212</v>
      </c>
      <c r="C41" s="38" t="s">
        <v>198</v>
      </c>
      <c r="D41" s="38" t="s">
        <v>124</v>
      </c>
      <c r="E41" s="95">
        <v>0</v>
      </c>
      <c r="F41" s="96">
        <f>$F$31*'DIA-INCH'!$C18</f>
        <v>612500</v>
      </c>
      <c r="G41" s="97">
        <f t="shared" si="0"/>
        <v>0</v>
      </c>
      <c r="H41" s="97">
        <f t="shared" si="0"/>
        <v>0</v>
      </c>
      <c r="I41" s="94">
        <v>0</v>
      </c>
      <c r="J41" s="94">
        <v>0</v>
      </c>
      <c r="K41" s="97">
        <f t="shared" si="3"/>
        <v>0</v>
      </c>
      <c r="L41" s="97">
        <f t="shared" si="4"/>
        <v>0</v>
      </c>
      <c r="M41" s="97">
        <f t="shared" si="2"/>
        <v>0</v>
      </c>
      <c r="N41" s="97">
        <f t="shared" si="2"/>
        <v>0</v>
      </c>
    </row>
    <row r="42" spans="2:14" ht="27.95" customHeight="1">
      <c r="B42" s="251" t="s">
        <v>212</v>
      </c>
      <c r="C42" s="38" t="s">
        <v>199</v>
      </c>
      <c r="D42" s="38" t="s">
        <v>213</v>
      </c>
      <c r="E42" s="95">
        <v>0</v>
      </c>
      <c r="F42" s="96">
        <f>$F$31*'DIA-INCH'!$C19</f>
        <v>700000</v>
      </c>
      <c r="G42" s="97">
        <f t="shared" si="0"/>
        <v>1</v>
      </c>
      <c r="H42" s="97">
        <f t="shared" si="0"/>
        <v>700000</v>
      </c>
      <c r="I42" s="94">
        <v>1</v>
      </c>
      <c r="J42" s="94">
        <v>700000</v>
      </c>
      <c r="K42" s="97">
        <f t="shared" si="3"/>
        <v>0</v>
      </c>
      <c r="L42" s="97">
        <f t="shared" si="4"/>
        <v>0</v>
      </c>
      <c r="M42" s="97">
        <f t="shared" si="2"/>
        <v>1</v>
      </c>
      <c r="N42" s="97">
        <f t="shared" si="2"/>
        <v>700000</v>
      </c>
    </row>
    <row r="43" spans="2:14" ht="27.95" hidden="1" customHeight="1">
      <c r="B43" s="251" t="s">
        <v>212</v>
      </c>
      <c r="C43" s="38" t="s">
        <v>200</v>
      </c>
      <c r="D43" s="38" t="s">
        <v>213</v>
      </c>
      <c r="E43" s="95">
        <v>0</v>
      </c>
      <c r="F43" s="96">
        <f>$F$31*'DIA-INCH'!$C20</f>
        <v>787500</v>
      </c>
      <c r="G43" s="97">
        <f t="shared" si="0"/>
        <v>0</v>
      </c>
      <c r="H43" s="97">
        <f t="shared" si="0"/>
        <v>0</v>
      </c>
      <c r="I43" s="94">
        <v>0</v>
      </c>
      <c r="J43" s="94">
        <v>0</v>
      </c>
      <c r="K43" s="97">
        <f t="shared" si="3"/>
        <v>0</v>
      </c>
      <c r="L43" s="97">
        <f t="shared" si="4"/>
        <v>0</v>
      </c>
      <c r="M43" s="97">
        <f t="shared" si="2"/>
        <v>0</v>
      </c>
      <c r="N43" s="97">
        <f t="shared" si="2"/>
        <v>0</v>
      </c>
    </row>
    <row r="44" spans="2:14" ht="27.95" customHeight="1">
      <c r="B44" s="251" t="s">
        <v>212</v>
      </c>
      <c r="C44" s="38" t="s">
        <v>201</v>
      </c>
      <c r="D44" s="38" t="s">
        <v>124</v>
      </c>
      <c r="E44" s="95">
        <v>0</v>
      </c>
      <c r="F44" s="96">
        <f>$F$31*'DIA-INCH'!$C21</f>
        <v>875000</v>
      </c>
      <c r="G44" s="97">
        <f t="shared" si="0"/>
        <v>1</v>
      </c>
      <c r="H44" s="97">
        <f t="shared" si="0"/>
        <v>875000</v>
      </c>
      <c r="I44" s="94">
        <v>1</v>
      </c>
      <c r="J44" s="94">
        <v>875000</v>
      </c>
      <c r="K44" s="97">
        <f t="shared" si="3"/>
        <v>0</v>
      </c>
      <c r="L44" s="97">
        <f t="shared" si="4"/>
        <v>0</v>
      </c>
      <c r="M44" s="97">
        <f t="shared" si="2"/>
        <v>1</v>
      </c>
      <c r="N44" s="97">
        <f t="shared" si="2"/>
        <v>875000</v>
      </c>
    </row>
    <row r="45" spans="2:14" ht="27.95" hidden="1" customHeight="1">
      <c r="B45" s="251" t="s">
        <v>214</v>
      </c>
      <c r="C45" s="38" t="s">
        <v>203</v>
      </c>
      <c r="D45" s="38" t="s">
        <v>124</v>
      </c>
      <c r="E45" s="95">
        <v>0</v>
      </c>
      <c r="F45" s="96">
        <f>$F$31*'DIA-INCH'!$C22</f>
        <v>1050000</v>
      </c>
      <c r="G45" s="97">
        <f t="shared" si="0"/>
        <v>0</v>
      </c>
      <c r="H45" s="97">
        <f t="shared" si="0"/>
        <v>0</v>
      </c>
      <c r="I45" s="94">
        <v>0</v>
      </c>
      <c r="J45" s="94">
        <v>0</v>
      </c>
      <c r="K45" s="97">
        <f t="shared" si="3"/>
        <v>0</v>
      </c>
      <c r="L45" s="97">
        <f t="shared" si="4"/>
        <v>0</v>
      </c>
      <c r="M45" s="97">
        <f t="shared" si="2"/>
        <v>0</v>
      </c>
      <c r="N45" s="97">
        <f t="shared" si="2"/>
        <v>0</v>
      </c>
    </row>
    <row r="46" spans="2:14" ht="27.95" hidden="1" customHeight="1">
      <c r="B46" s="251" t="s">
        <v>212</v>
      </c>
      <c r="C46" s="38" t="s">
        <v>206</v>
      </c>
      <c r="D46" s="38" t="s">
        <v>213</v>
      </c>
      <c r="E46" s="95">
        <v>0</v>
      </c>
      <c r="F46" s="96">
        <f>$F$31*'DIA-INCH'!$C23</f>
        <v>1225000</v>
      </c>
      <c r="G46" s="97">
        <f t="shared" si="0"/>
        <v>0</v>
      </c>
      <c r="H46" s="97">
        <f t="shared" si="0"/>
        <v>0</v>
      </c>
      <c r="I46" s="94">
        <v>0</v>
      </c>
      <c r="J46" s="94">
        <v>0</v>
      </c>
      <c r="K46" s="97">
        <f t="shared" si="3"/>
        <v>0</v>
      </c>
      <c r="L46" s="97">
        <f t="shared" si="4"/>
        <v>0</v>
      </c>
      <c r="M46" s="97">
        <f t="shared" si="2"/>
        <v>0</v>
      </c>
      <c r="N46" s="97">
        <f t="shared" si="2"/>
        <v>0</v>
      </c>
    </row>
    <row r="47" spans="2:14" ht="27.95" hidden="1" customHeight="1">
      <c r="B47" s="251" t="s">
        <v>212</v>
      </c>
      <c r="C47" s="38" t="s">
        <v>207</v>
      </c>
      <c r="D47" s="38" t="s">
        <v>218</v>
      </c>
      <c r="E47" s="95">
        <v>0</v>
      </c>
      <c r="F47" s="96">
        <f>$F$31*'DIA-INCH'!$C24</f>
        <v>1400000</v>
      </c>
      <c r="G47" s="97">
        <f t="shared" si="0"/>
        <v>0</v>
      </c>
      <c r="H47" s="97">
        <f t="shared" si="0"/>
        <v>0</v>
      </c>
      <c r="I47" s="94">
        <v>0</v>
      </c>
      <c r="J47" s="94">
        <v>0</v>
      </c>
      <c r="K47" s="97">
        <f t="shared" si="3"/>
        <v>0</v>
      </c>
      <c r="L47" s="97">
        <f t="shared" si="4"/>
        <v>0</v>
      </c>
      <c r="M47" s="97">
        <f t="shared" si="2"/>
        <v>0</v>
      </c>
      <c r="N47" s="97">
        <f t="shared" si="2"/>
        <v>0</v>
      </c>
    </row>
    <row r="48" spans="2:14" ht="27.95" hidden="1" customHeight="1">
      <c r="B48" s="251" t="s">
        <v>215</v>
      </c>
      <c r="C48" s="38" t="s">
        <v>208</v>
      </c>
      <c r="D48" s="38" t="s">
        <v>213</v>
      </c>
      <c r="E48" s="95">
        <v>0</v>
      </c>
      <c r="F48" s="96">
        <f>$F$31*'DIA-INCH'!$C25</f>
        <v>1575000</v>
      </c>
      <c r="G48" s="97">
        <f t="shared" si="0"/>
        <v>0</v>
      </c>
      <c r="H48" s="97">
        <f t="shared" si="0"/>
        <v>0</v>
      </c>
      <c r="I48" s="94">
        <v>0</v>
      </c>
      <c r="J48" s="94">
        <v>0</v>
      </c>
      <c r="K48" s="97">
        <f t="shared" si="3"/>
        <v>0</v>
      </c>
      <c r="L48" s="97">
        <f t="shared" si="4"/>
        <v>0</v>
      </c>
      <c r="M48" s="97">
        <f t="shared" si="2"/>
        <v>0</v>
      </c>
      <c r="N48" s="97">
        <f t="shared" si="2"/>
        <v>0</v>
      </c>
    </row>
    <row r="49" spans="2:14" ht="27.95" hidden="1" customHeight="1">
      <c r="B49" s="251" t="s">
        <v>212</v>
      </c>
      <c r="C49" s="38" t="s">
        <v>210</v>
      </c>
      <c r="D49" s="38" t="s">
        <v>213</v>
      </c>
      <c r="E49" s="95">
        <v>0</v>
      </c>
      <c r="F49" s="96">
        <f>$F$31*'DIA-INCH'!$C26</f>
        <v>1750000</v>
      </c>
      <c r="G49" s="97">
        <f t="shared" si="0"/>
        <v>0</v>
      </c>
      <c r="H49" s="97">
        <f t="shared" si="0"/>
        <v>0</v>
      </c>
      <c r="I49" s="94">
        <v>0</v>
      </c>
      <c r="J49" s="94">
        <v>0</v>
      </c>
      <c r="K49" s="97">
        <f t="shared" si="3"/>
        <v>0</v>
      </c>
      <c r="L49" s="97">
        <f t="shared" si="4"/>
        <v>0</v>
      </c>
      <c r="M49" s="97">
        <f t="shared" si="2"/>
        <v>0</v>
      </c>
      <c r="N49" s="97">
        <f t="shared" si="2"/>
        <v>0</v>
      </c>
    </row>
    <row r="50" spans="2:14" ht="27.95" hidden="1" customHeight="1">
      <c r="B50" s="251" t="s">
        <v>215</v>
      </c>
      <c r="C50" s="38" t="s">
        <v>211</v>
      </c>
      <c r="D50" s="38" t="s">
        <v>218</v>
      </c>
      <c r="E50" s="95">
        <v>0</v>
      </c>
      <c r="F50" s="96">
        <f>$F$31*'DIA-INCH'!$C27</f>
        <v>1925000</v>
      </c>
      <c r="G50" s="97">
        <f t="shared" si="0"/>
        <v>0</v>
      </c>
      <c r="H50" s="97">
        <f t="shared" si="0"/>
        <v>0</v>
      </c>
      <c r="I50" s="94">
        <v>0</v>
      </c>
      <c r="J50" s="94">
        <v>0</v>
      </c>
      <c r="K50" s="97">
        <f t="shared" si="3"/>
        <v>0</v>
      </c>
      <c r="L50" s="97">
        <f t="shared" si="4"/>
        <v>0</v>
      </c>
      <c r="M50" s="97">
        <f t="shared" si="2"/>
        <v>0</v>
      </c>
      <c r="N50" s="97">
        <f t="shared" si="2"/>
        <v>0</v>
      </c>
    </row>
    <row r="51" spans="2:14" ht="27.95" customHeight="1">
      <c r="B51" s="306" t="s">
        <v>220</v>
      </c>
      <c r="C51" s="307"/>
      <c r="D51" s="307"/>
      <c r="E51" s="307"/>
      <c r="F51" s="308"/>
      <c r="G51" s="152">
        <f>SUM(G5:G50)</f>
        <v>12060.5</v>
      </c>
      <c r="H51" s="98">
        <f t="shared" ref="H51:N51" si="5">SUM(H5:H50)</f>
        <v>5184880750</v>
      </c>
      <c r="I51" s="152">
        <f t="shared" si="5"/>
        <v>9711</v>
      </c>
      <c r="J51" s="98">
        <f t="shared" si="5"/>
        <v>4162775750</v>
      </c>
      <c r="K51" s="152">
        <f t="shared" si="5"/>
        <v>2349.5</v>
      </c>
      <c r="L51" s="98">
        <f t="shared" si="5"/>
        <v>1022105000</v>
      </c>
      <c r="M51" s="152">
        <f t="shared" si="5"/>
        <v>12060.5</v>
      </c>
      <c r="N51" s="98">
        <f t="shared" si="5"/>
        <v>5184880750</v>
      </c>
    </row>
    <row r="55" spans="2:14">
      <c r="H55" s="177"/>
    </row>
  </sheetData>
  <mergeCells count="11">
    <mergeCell ref="B51:F51"/>
    <mergeCell ref="B1:N1"/>
    <mergeCell ref="B3:B4"/>
    <mergeCell ref="C3:C4"/>
    <mergeCell ref="D3:D4"/>
    <mergeCell ref="E3:E4"/>
    <mergeCell ref="F3:F4"/>
    <mergeCell ref="G3:H3"/>
    <mergeCell ref="I3:J3"/>
    <mergeCell ref="K3:L3"/>
    <mergeCell ref="M3:N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59" fitToHeight="0" orientation="landscape" r:id="rId1"/>
  <headerFooter>
    <oddFooter>&amp;C&amp;P/&amp;N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87"/>
  <sheetViews>
    <sheetView view="pageBreakPreview" zoomScale="60" zoomScaleNormal="70" workbookViewId="0">
      <selection activeCell="T92" sqref="T92"/>
    </sheetView>
  </sheetViews>
  <sheetFormatPr defaultRowHeight="16.5"/>
  <cols>
    <col min="1" max="1" width="6.375" style="100" bestFit="1" customWidth="1"/>
    <col min="2" max="2" width="9.25" style="100" customWidth="1"/>
    <col min="3" max="3" width="18.125" style="100" customWidth="1"/>
    <col min="4" max="4" width="11.25" style="100" customWidth="1"/>
    <col min="5" max="5" width="18.125" style="100" customWidth="1"/>
    <col min="6" max="6" width="11.125" style="100" customWidth="1"/>
    <col min="7" max="7" width="9.375" style="101" customWidth="1"/>
    <col min="8" max="8" width="21.625" style="101" customWidth="1"/>
    <col min="9" max="39" width="7.625" style="100" customWidth="1"/>
    <col min="40" max="40" width="11.875" style="100" customWidth="1"/>
    <col min="41" max="41" width="15.875" style="139" bestFit="1" customWidth="1"/>
    <col min="42" max="42" width="18.25" style="141" bestFit="1" customWidth="1"/>
  </cols>
  <sheetData>
    <row r="1" spans="1:42" ht="32.1" customHeight="1">
      <c r="A1" s="324" t="s">
        <v>720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6"/>
      <c r="AH1" s="315" t="s">
        <v>221</v>
      </c>
      <c r="AI1" s="316"/>
      <c r="AJ1" s="316"/>
      <c r="AK1" s="316"/>
      <c r="AL1" s="317"/>
      <c r="AM1" s="312" t="str">
        <f>'용역청구서 표지'!$B$7</f>
        <v>P4 Ph4 GAS 1공구 마감공사</v>
      </c>
      <c r="AN1" s="313"/>
      <c r="AO1" s="313"/>
      <c r="AP1" s="314"/>
    </row>
    <row r="2" spans="1:42" ht="32.1" customHeight="1">
      <c r="A2" s="327"/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9"/>
      <c r="AH2" s="315" t="s">
        <v>222</v>
      </c>
      <c r="AI2" s="316"/>
      <c r="AJ2" s="316"/>
      <c r="AK2" s="316"/>
      <c r="AL2" s="317"/>
      <c r="AM2" s="312" t="s">
        <v>302</v>
      </c>
      <c r="AN2" s="313"/>
      <c r="AO2" s="313"/>
      <c r="AP2" s="314"/>
    </row>
    <row r="3" spans="1:42" ht="32.1" customHeight="1">
      <c r="A3" s="330"/>
      <c r="B3" s="331"/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F3" s="331"/>
      <c r="AG3" s="332"/>
      <c r="AH3" s="315" t="s">
        <v>223</v>
      </c>
      <c r="AI3" s="316"/>
      <c r="AJ3" s="316"/>
      <c r="AK3" s="316"/>
      <c r="AL3" s="317"/>
      <c r="AM3" s="312" t="str">
        <f>'용역청구서 표지'!$C$8</f>
        <v>S25-004</v>
      </c>
      <c r="AN3" s="313"/>
      <c r="AO3" s="313"/>
      <c r="AP3" s="314"/>
    </row>
    <row r="4" spans="1:42" ht="24.95" customHeight="1" thickBot="1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5" customHeight="1" thickBot="1">
      <c r="A5" s="105" t="s">
        <v>224</v>
      </c>
      <c r="B5" s="106" t="s">
        <v>225</v>
      </c>
      <c r="C5" s="106" t="s">
        <v>226</v>
      </c>
      <c r="D5" s="106" t="s">
        <v>227</v>
      </c>
      <c r="E5" s="106" t="s">
        <v>228</v>
      </c>
      <c r="F5" s="106" t="s">
        <v>229</v>
      </c>
      <c r="G5" s="107" t="s">
        <v>230</v>
      </c>
      <c r="H5" s="108" t="s">
        <v>231</v>
      </c>
      <c r="I5" s="189">
        <v>1</v>
      </c>
      <c r="J5" s="188">
        <v>2</v>
      </c>
      <c r="K5" s="188">
        <v>3</v>
      </c>
      <c r="L5" s="188">
        <v>4</v>
      </c>
      <c r="M5" s="188">
        <v>5</v>
      </c>
      <c r="N5" s="188">
        <v>6</v>
      </c>
      <c r="O5" s="110">
        <v>7</v>
      </c>
      <c r="P5" s="111">
        <v>8</v>
      </c>
      <c r="Q5" s="188">
        <v>9</v>
      </c>
      <c r="R5" s="188">
        <v>10</v>
      </c>
      <c r="S5" s="188">
        <v>11</v>
      </c>
      <c r="T5" s="188">
        <v>12</v>
      </c>
      <c r="U5" s="188">
        <v>13</v>
      </c>
      <c r="V5" s="110">
        <v>14</v>
      </c>
      <c r="W5" s="111">
        <v>15</v>
      </c>
      <c r="X5" s="111">
        <v>16</v>
      </c>
      <c r="Y5" s="111">
        <v>17</v>
      </c>
      <c r="Z5" s="111">
        <v>18</v>
      </c>
      <c r="AA5" s="188">
        <v>19</v>
      </c>
      <c r="AB5" s="188">
        <v>20</v>
      </c>
      <c r="AC5" s="110">
        <v>21</v>
      </c>
      <c r="AD5" s="111">
        <v>22</v>
      </c>
      <c r="AE5" s="188">
        <v>23</v>
      </c>
      <c r="AF5" s="188">
        <v>24</v>
      </c>
      <c r="AG5" s="188">
        <v>25</v>
      </c>
      <c r="AH5" s="188">
        <v>26</v>
      </c>
      <c r="AI5" s="188">
        <v>27</v>
      </c>
      <c r="AJ5" s="188">
        <v>28</v>
      </c>
      <c r="AK5" s="188">
        <v>29</v>
      </c>
      <c r="AL5" s="109">
        <v>30</v>
      </c>
      <c r="AM5" s="112"/>
      <c r="AN5" s="113" t="s">
        <v>232</v>
      </c>
      <c r="AO5" s="106" t="s">
        <v>233</v>
      </c>
      <c r="AP5" s="114" t="s">
        <v>234</v>
      </c>
    </row>
    <row r="6" spans="1:42" ht="24.95" customHeight="1">
      <c r="A6" s="115">
        <v>1</v>
      </c>
      <c r="B6" s="116" t="s">
        <v>327</v>
      </c>
      <c r="C6" s="117" t="s">
        <v>419</v>
      </c>
      <c r="D6" s="117" t="s">
        <v>717</v>
      </c>
      <c r="E6" s="117" t="s">
        <v>571</v>
      </c>
      <c r="F6" s="118" t="s">
        <v>528</v>
      </c>
      <c r="G6" s="119" t="s">
        <v>327</v>
      </c>
      <c r="H6" s="120" t="s">
        <v>572</v>
      </c>
      <c r="I6" s="121"/>
      <c r="J6" s="121"/>
      <c r="K6" s="121"/>
      <c r="L6" s="121"/>
      <c r="M6" s="121">
        <v>2</v>
      </c>
      <c r="N6" s="121">
        <v>2</v>
      </c>
      <c r="O6" s="121">
        <v>2</v>
      </c>
      <c r="P6" s="121">
        <v>2</v>
      </c>
      <c r="Q6" s="121"/>
      <c r="R6" s="121"/>
      <c r="S6" s="121">
        <v>2</v>
      </c>
      <c r="T6" s="121">
        <v>2</v>
      </c>
      <c r="U6" s="121">
        <v>2</v>
      </c>
      <c r="V6" s="121">
        <v>2</v>
      </c>
      <c r="W6" s="121">
        <v>2</v>
      </c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2">
        <f>SUM(I6:AM6)</f>
        <v>18</v>
      </c>
      <c r="AO6" s="118">
        <v>230000</v>
      </c>
      <c r="AP6" s="123">
        <f>AN6*AO6</f>
        <v>4140000</v>
      </c>
    </row>
    <row r="7" spans="1:42" ht="24.95" customHeight="1">
      <c r="A7" s="124">
        <v>2</v>
      </c>
      <c r="B7" s="116" t="s">
        <v>328</v>
      </c>
      <c r="C7" s="117" t="s">
        <v>420</v>
      </c>
      <c r="D7" s="125" t="s">
        <v>519</v>
      </c>
      <c r="E7" s="117" t="s">
        <v>573</v>
      </c>
      <c r="F7" s="126" t="s">
        <v>517</v>
      </c>
      <c r="G7" s="119" t="s">
        <v>328</v>
      </c>
      <c r="H7" s="120" t="s">
        <v>574</v>
      </c>
      <c r="I7" s="121"/>
      <c r="J7" s="121"/>
      <c r="K7" s="121"/>
      <c r="L7" s="121"/>
      <c r="M7" s="121"/>
      <c r="N7" s="121">
        <v>1.5</v>
      </c>
      <c r="O7" s="121"/>
      <c r="P7" s="121">
        <v>1.5</v>
      </c>
      <c r="Q7" s="121"/>
      <c r="R7" s="121"/>
      <c r="S7" s="121"/>
      <c r="T7" s="121">
        <v>1.5</v>
      </c>
      <c r="U7" s="121">
        <v>1.5</v>
      </c>
      <c r="V7" s="121">
        <v>2</v>
      </c>
      <c r="W7" s="121">
        <v>0.5</v>
      </c>
      <c r="X7" s="121"/>
      <c r="Y7" s="121"/>
      <c r="Z7" s="121">
        <v>1</v>
      </c>
      <c r="AA7" s="121">
        <v>1</v>
      </c>
      <c r="AB7" s="121">
        <v>1</v>
      </c>
      <c r="AC7" s="121"/>
      <c r="AD7" s="121">
        <v>2</v>
      </c>
      <c r="AE7" s="121"/>
      <c r="AF7" s="121"/>
      <c r="AG7" s="121">
        <v>1.5</v>
      </c>
      <c r="AH7" s="121">
        <v>2</v>
      </c>
      <c r="AI7" s="121">
        <v>2</v>
      </c>
      <c r="AJ7" s="121"/>
      <c r="AK7" s="121">
        <v>2</v>
      </c>
      <c r="AL7" s="121"/>
      <c r="AM7" s="121"/>
      <c r="AN7" s="122">
        <f t="shared" ref="AN7:AN11" si="0">SUM(I7:AM7)</f>
        <v>21</v>
      </c>
      <c r="AO7" s="118">
        <v>150000</v>
      </c>
      <c r="AP7" s="123">
        <f t="shared" ref="AP7:AP11" si="1">AN7*AO7</f>
        <v>3150000</v>
      </c>
    </row>
    <row r="8" spans="1:42" ht="24.95" customHeight="1">
      <c r="A8" s="124">
        <v>3</v>
      </c>
      <c r="B8" s="116" t="s">
        <v>329</v>
      </c>
      <c r="C8" s="117" t="s">
        <v>421</v>
      </c>
      <c r="D8" s="127" t="s">
        <v>519</v>
      </c>
      <c r="E8" s="117" t="s">
        <v>575</v>
      </c>
      <c r="F8" s="126" t="s">
        <v>576</v>
      </c>
      <c r="G8" s="119" t="s">
        <v>329</v>
      </c>
      <c r="H8" s="120" t="s">
        <v>577</v>
      </c>
      <c r="I8" s="121"/>
      <c r="J8" s="121"/>
      <c r="K8" s="121"/>
      <c r="L8" s="121"/>
      <c r="M8" s="121"/>
      <c r="N8" s="121">
        <v>1.5</v>
      </c>
      <c r="O8" s="121">
        <v>1.5</v>
      </c>
      <c r="P8" s="121">
        <v>1.5</v>
      </c>
      <c r="Q8" s="121"/>
      <c r="R8" s="121"/>
      <c r="S8" s="121">
        <v>1.5</v>
      </c>
      <c r="T8" s="121">
        <v>1.5</v>
      </c>
      <c r="U8" s="121">
        <v>0.5</v>
      </c>
      <c r="V8" s="121">
        <v>2</v>
      </c>
      <c r="W8" s="121"/>
      <c r="X8" s="121">
        <v>1</v>
      </c>
      <c r="Y8" s="121"/>
      <c r="Z8" s="121">
        <v>1</v>
      </c>
      <c r="AA8" s="121">
        <v>0.625</v>
      </c>
      <c r="AB8" s="121">
        <v>1</v>
      </c>
      <c r="AC8" s="121">
        <v>2</v>
      </c>
      <c r="AD8" s="121">
        <v>2</v>
      </c>
      <c r="AE8" s="121"/>
      <c r="AF8" s="121"/>
      <c r="AG8" s="121"/>
      <c r="AH8" s="121">
        <v>2</v>
      </c>
      <c r="AI8" s="121"/>
      <c r="AJ8" s="121">
        <v>2</v>
      </c>
      <c r="AK8" s="121">
        <v>2</v>
      </c>
      <c r="AL8" s="121"/>
      <c r="AM8" s="121"/>
      <c r="AN8" s="122">
        <f t="shared" si="0"/>
        <v>23.625</v>
      </c>
      <c r="AO8" s="118">
        <v>150000</v>
      </c>
      <c r="AP8" s="123">
        <f t="shared" si="1"/>
        <v>3543750</v>
      </c>
    </row>
    <row r="9" spans="1:42" ht="24.95" customHeight="1">
      <c r="A9" s="124">
        <v>4</v>
      </c>
      <c r="B9" s="116" t="s">
        <v>330</v>
      </c>
      <c r="C9" s="117" t="s">
        <v>422</v>
      </c>
      <c r="D9" s="125" t="s">
        <v>519</v>
      </c>
      <c r="E9" s="117" t="s">
        <v>578</v>
      </c>
      <c r="F9" s="126" t="s">
        <v>514</v>
      </c>
      <c r="G9" s="119" t="s">
        <v>330</v>
      </c>
      <c r="H9" s="120" t="s">
        <v>579</v>
      </c>
      <c r="I9" s="121"/>
      <c r="J9" s="121"/>
      <c r="K9" s="121"/>
      <c r="L9" s="121">
        <v>1.5</v>
      </c>
      <c r="M9" s="121"/>
      <c r="N9" s="121">
        <v>1.5</v>
      </c>
      <c r="O9" s="121">
        <v>1.5</v>
      </c>
      <c r="P9" s="121">
        <v>1.5</v>
      </c>
      <c r="Q9" s="121"/>
      <c r="R9" s="121"/>
      <c r="S9" s="121">
        <v>1.5</v>
      </c>
      <c r="T9" s="121">
        <v>1.5</v>
      </c>
      <c r="U9" s="121">
        <v>1.5</v>
      </c>
      <c r="V9" s="121">
        <v>2</v>
      </c>
      <c r="W9" s="121">
        <v>2</v>
      </c>
      <c r="X9" s="121">
        <v>1</v>
      </c>
      <c r="Y9" s="121"/>
      <c r="Z9" s="121">
        <v>1</v>
      </c>
      <c r="AA9" s="121">
        <v>1</v>
      </c>
      <c r="AB9" s="121">
        <v>1</v>
      </c>
      <c r="AC9" s="121">
        <v>2</v>
      </c>
      <c r="AD9" s="121">
        <v>2</v>
      </c>
      <c r="AE9" s="121">
        <v>1</v>
      </c>
      <c r="AF9" s="121"/>
      <c r="AG9" s="121"/>
      <c r="AH9" s="121">
        <v>1.875</v>
      </c>
      <c r="AI9" s="121">
        <v>2</v>
      </c>
      <c r="AJ9" s="121">
        <v>2</v>
      </c>
      <c r="AK9" s="121">
        <v>2</v>
      </c>
      <c r="AL9" s="121">
        <v>1</v>
      </c>
      <c r="AM9" s="121"/>
      <c r="AN9" s="122">
        <f t="shared" si="0"/>
        <v>32.375</v>
      </c>
      <c r="AO9" s="118">
        <v>160000</v>
      </c>
      <c r="AP9" s="123">
        <f t="shared" si="1"/>
        <v>5180000</v>
      </c>
    </row>
    <row r="10" spans="1:42" ht="24.95" customHeight="1">
      <c r="A10" s="124">
        <v>5</v>
      </c>
      <c r="B10" s="116" t="s">
        <v>331</v>
      </c>
      <c r="C10" s="117" t="s">
        <v>423</v>
      </c>
      <c r="D10" s="125" t="s">
        <v>717</v>
      </c>
      <c r="E10" s="117" t="s">
        <v>580</v>
      </c>
      <c r="F10" s="126" t="s">
        <v>517</v>
      </c>
      <c r="G10" s="119" t="s">
        <v>331</v>
      </c>
      <c r="H10" s="120" t="s">
        <v>581</v>
      </c>
      <c r="I10" s="121"/>
      <c r="J10" s="121"/>
      <c r="K10" s="121"/>
      <c r="L10" s="121">
        <v>1.5</v>
      </c>
      <c r="M10" s="121"/>
      <c r="N10" s="121">
        <v>1.5</v>
      </c>
      <c r="O10" s="121">
        <v>1.5</v>
      </c>
      <c r="P10" s="121">
        <v>1.5</v>
      </c>
      <c r="Q10" s="121">
        <v>1</v>
      </c>
      <c r="R10" s="121"/>
      <c r="S10" s="121">
        <v>1.5</v>
      </c>
      <c r="T10" s="121">
        <v>1.5</v>
      </c>
      <c r="U10" s="121">
        <v>1.5</v>
      </c>
      <c r="V10" s="121">
        <v>2</v>
      </c>
      <c r="W10" s="121">
        <v>2</v>
      </c>
      <c r="X10" s="121">
        <v>1</v>
      </c>
      <c r="Y10" s="121"/>
      <c r="Z10" s="121">
        <v>1</v>
      </c>
      <c r="AA10" s="121">
        <v>1</v>
      </c>
      <c r="AB10" s="121">
        <v>1</v>
      </c>
      <c r="AC10" s="121">
        <v>2</v>
      </c>
      <c r="AD10" s="121">
        <v>2</v>
      </c>
      <c r="AE10" s="121">
        <v>1</v>
      </c>
      <c r="AF10" s="121"/>
      <c r="AG10" s="121">
        <v>1.5</v>
      </c>
      <c r="AH10" s="121">
        <v>2</v>
      </c>
      <c r="AI10" s="121">
        <v>2</v>
      </c>
      <c r="AJ10" s="121">
        <v>2</v>
      </c>
      <c r="AK10" s="121">
        <v>2</v>
      </c>
      <c r="AL10" s="121">
        <v>1</v>
      </c>
      <c r="AM10" s="121"/>
      <c r="AN10" s="122">
        <f t="shared" si="0"/>
        <v>35</v>
      </c>
      <c r="AO10" s="118">
        <v>230000</v>
      </c>
      <c r="AP10" s="123">
        <f t="shared" si="1"/>
        <v>8050000</v>
      </c>
    </row>
    <row r="11" spans="1:42" ht="24.95" customHeight="1">
      <c r="A11" s="124">
        <v>6</v>
      </c>
      <c r="B11" s="116" t="s">
        <v>332</v>
      </c>
      <c r="C11" s="117" t="s">
        <v>424</v>
      </c>
      <c r="D11" s="127" t="s">
        <v>512</v>
      </c>
      <c r="E11" s="117" t="s">
        <v>582</v>
      </c>
      <c r="F11" s="126" t="s">
        <v>528</v>
      </c>
      <c r="G11" s="119" t="s">
        <v>332</v>
      </c>
      <c r="H11" s="120" t="s">
        <v>583</v>
      </c>
      <c r="I11" s="121"/>
      <c r="J11" s="121"/>
      <c r="K11" s="121"/>
      <c r="L11" s="121">
        <v>2.5</v>
      </c>
      <c r="M11" s="121">
        <v>2</v>
      </c>
      <c r="N11" s="121">
        <v>2</v>
      </c>
      <c r="O11" s="121">
        <v>2</v>
      </c>
      <c r="P11" s="121">
        <v>2</v>
      </c>
      <c r="Q11" s="121"/>
      <c r="R11" s="121"/>
      <c r="S11" s="121">
        <v>2</v>
      </c>
      <c r="T11" s="121">
        <v>2</v>
      </c>
      <c r="U11" s="121">
        <v>2</v>
      </c>
      <c r="V11" s="121">
        <v>2</v>
      </c>
      <c r="W11" s="121">
        <v>1.75</v>
      </c>
      <c r="X11" s="121"/>
      <c r="Y11" s="121"/>
      <c r="Z11" s="121"/>
      <c r="AA11" s="121">
        <v>1</v>
      </c>
      <c r="AB11" s="121">
        <v>1</v>
      </c>
      <c r="AC11" s="121">
        <v>2</v>
      </c>
      <c r="AD11" s="121">
        <v>2</v>
      </c>
      <c r="AE11" s="121">
        <v>1</v>
      </c>
      <c r="AF11" s="121"/>
      <c r="AG11" s="121">
        <v>1.5</v>
      </c>
      <c r="AH11" s="121">
        <v>2</v>
      </c>
      <c r="AI11" s="121">
        <v>2</v>
      </c>
      <c r="AJ11" s="121">
        <v>2</v>
      </c>
      <c r="AK11" s="121">
        <v>2</v>
      </c>
      <c r="AL11" s="121">
        <v>0.5</v>
      </c>
      <c r="AM11" s="121"/>
      <c r="AN11" s="122">
        <f t="shared" si="0"/>
        <v>37.25</v>
      </c>
      <c r="AO11" s="118">
        <v>240000</v>
      </c>
      <c r="AP11" s="123">
        <f t="shared" si="1"/>
        <v>8940000</v>
      </c>
    </row>
    <row r="12" spans="1:42" ht="24.95" customHeight="1">
      <c r="A12" s="124">
        <v>7</v>
      </c>
      <c r="B12" s="116" t="s">
        <v>333</v>
      </c>
      <c r="C12" s="117" t="s">
        <v>425</v>
      </c>
      <c r="D12" s="125" t="s">
        <v>519</v>
      </c>
      <c r="E12" s="117" t="s">
        <v>584</v>
      </c>
      <c r="F12" s="126" t="s">
        <v>517</v>
      </c>
      <c r="G12" s="119" t="s">
        <v>333</v>
      </c>
      <c r="H12" s="120" t="s">
        <v>585</v>
      </c>
      <c r="I12" s="121"/>
      <c r="J12" s="121"/>
      <c r="K12" s="121"/>
      <c r="L12" s="121">
        <v>1.5</v>
      </c>
      <c r="M12" s="121"/>
      <c r="N12" s="121">
        <v>1.5</v>
      </c>
      <c r="O12" s="121">
        <v>1.5</v>
      </c>
      <c r="P12" s="121">
        <v>1.5</v>
      </c>
      <c r="Q12" s="121">
        <v>1</v>
      </c>
      <c r="R12" s="121"/>
      <c r="S12" s="121">
        <v>1.5</v>
      </c>
      <c r="T12" s="121">
        <v>1.5</v>
      </c>
      <c r="U12" s="121">
        <v>1.5</v>
      </c>
      <c r="V12" s="121">
        <v>2</v>
      </c>
      <c r="W12" s="121">
        <v>2</v>
      </c>
      <c r="X12" s="121">
        <v>1</v>
      </c>
      <c r="Y12" s="121"/>
      <c r="Z12" s="121">
        <v>1</v>
      </c>
      <c r="AA12" s="121">
        <v>1</v>
      </c>
      <c r="AB12" s="121">
        <v>1</v>
      </c>
      <c r="AC12" s="121">
        <v>2</v>
      </c>
      <c r="AD12" s="121">
        <v>2</v>
      </c>
      <c r="AE12" s="121">
        <v>1</v>
      </c>
      <c r="AF12" s="121"/>
      <c r="AG12" s="121">
        <v>1.5</v>
      </c>
      <c r="AH12" s="121">
        <v>2</v>
      </c>
      <c r="AI12" s="121">
        <v>2</v>
      </c>
      <c r="AJ12" s="121">
        <v>2</v>
      </c>
      <c r="AK12" s="121">
        <v>2</v>
      </c>
      <c r="AL12" s="121">
        <v>1</v>
      </c>
      <c r="AM12" s="121"/>
      <c r="AN12" s="122">
        <f t="shared" ref="AN12:AN28" si="2">SUM(I12:AM12)</f>
        <v>35</v>
      </c>
      <c r="AO12" s="118">
        <v>190000</v>
      </c>
      <c r="AP12" s="123">
        <f t="shared" ref="AP12:AP28" si="3">AN12*AO12</f>
        <v>6650000</v>
      </c>
    </row>
    <row r="13" spans="1:42" ht="24.95" customHeight="1">
      <c r="A13" s="124">
        <v>8</v>
      </c>
      <c r="B13" s="116" t="s">
        <v>334</v>
      </c>
      <c r="C13" s="117" t="s">
        <v>426</v>
      </c>
      <c r="D13" s="127" t="s">
        <v>519</v>
      </c>
      <c r="E13" s="117" t="s">
        <v>586</v>
      </c>
      <c r="F13" s="126" t="s">
        <v>531</v>
      </c>
      <c r="G13" s="119" t="s">
        <v>334</v>
      </c>
      <c r="H13" s="120" t="s">
        <v>587</v>
      </c>
      <c r="I13" s="121"/>
      <c r="J13" s="121"/>
      <c r="K13" s="121"/>
      <c r="L13" s="121">
        <v>2.5</v>
      </c>
      <c r="M13" s="121">
        <v>2</v>
      </c>
      <c r="N13" s="121">
        <v>2</v>
      </c>
      <c r="O13" s="121">
        <v>2</v>
      </c>
      <c r="P13" s="121">
        <v>2</v>
      </c>
      <c r="Q13" s="121"/>
      <c r="R13" s="121"/>
      <c r="S13" s="121">
        <v>2</v>
      </c>
      <c r="T13" s="121">
        <v>2</v>
      </c>
      <c r="U13" s="121">
        <v>2</v>
      </c>
      <c r="V13" s="121">
        <v>2</v>
      </c>
      <c r="W13" s="121">
        <v>2</v>
      </c>
      <c r="X13" s="121"/>
      <c r="Y13" s="121"/>
      <c r="Z13" s="121">
        <v>1</v>
      </c>
      <c r="AA13" s="121">
        <v>1</v>
      </c>
      <c r="AB13" s="121">
        <v>1</v>
      </c>
      <c r="AC13" s="121">
        <v>2</v>
      </c>
      <c r="AD13" s="121">
        <v>2</v>
      </c>
      <c r="AE13" s="121">
        <v>1</v>
      </c>
      <c r="AF13" s="121"/>
      <c r="AG13" s="121">
        <v>1.5</v>
      </c>
      <c r="AH13" s="121">
        <v>2</v>
      </c>
      <c r="AI13" s="121">
        <v>2</v>
      </c>
      <c r="AJ13" s="121">
        <v>2</v>
      </c>
      <c r="AK13" s="121">
        <v>2</v>
      </c>
      <c r="AL13" s="121">
        <v>1</v>
      </c>
      <c r="AM13" s="121"/>
      <c r="AN13" s="122">
        <f t="shared" si="2"/>
        <v>39</v>
      </c>
      <c r="AO13" s="118">
        <v>140000</v>
      </c>
      <c r="AP13" s="123">
        <f t="shared" si="3"/>
        <v>5460000</v>
      </c>
    </row>
    <row r="14" spans="1:42" ht="24.95" customHeight="1">
      <c r="A14" s="124">
        <v>9</v>
      </c>
      <c r="B14" s="116" t="s">
        <v>335</v>
      </c>
      <c r="C14" s="117" t="s">
        <v>427</v>
      </c>
      <c r="D14" s="127" t="s">
        <v>519</v>
      </c>
      <c r="E14" s="117" t="s">
        <v>588</v>
      </c>
      <c r="F14" s="126" t="s">
        <v>531</v>
      </c>
      <c r="G14" s="119" t="s">
        <v>335</v>
      </c>
      <c r="H14" s="120" t="s">
        <v>589</v>
      </c>
      <c r="I14" s="121"/>
      <c r="J14" s="121"/>
      <c r="K14" s="121"/>
      <c r="L14" s="121">
        <v>1.5</v>
      </c>
      <c r="M14" s="121"/>
      <c r="N14" s="121">
        <v>1.5</v>
      </c>
      <c r="O14" s="121">
        <v>1.5</v>
      </c>
      <c r="P14" s="121">
        <v>1.5</v>
      </c>
      <c r="Q14" s="121">
        <v>1</v>
      </c>
      <c r="R14" s="121"/>
      <c r="S14" s="121">
        <v>1.5</v>
      </c>
      <c r="T14" s="121">
        <v>1.5</v>
      </c>
      <c r="U14" s="121">
        <v>1.5</v>
      </c>
      <c r="V14" s="121">
        <v>2</v>
      </c>
      <c r="W14" s="121">
        <v>2</v>
      </c>
      <c r="X14" s="121">
        <v>1</v>
      </c>
      <c r="Y14" s="121"/>
      <c r="Z14" s="121">
        <v>1</v>
      </c>
      <c r="AA14" s="121">
        <v>1</v>
      </c>
      <c r="AB14" s="121">
        <v>1</v>
      </c>
      <c r="AC14" s="121">
        <v>2</v>
      </c>
      <c r="AD14" s="121">
        <v>2</v>
      </c>
      <c r="AE14" s="121"/>
      <c r="AF14" s="121"/>
      <c r="AG14" s="121">
        <v>1.5</v>
      </c>
      <c r="AH14" s="121">
        <v>2</v>
      </c>
      <c r="AI14" s="121">
        <v>2</v>
      </c>
      <c r="AJ14" s="121">
        <v>2</v>
      </c>
      <c r="AK14" s="121">
        <v>2</v>
      </c>
      <c r="AL14" s="121">
        <v>1</v>
      </c>
      <c r="AM14" s="121"/>
      <c r="AN14" s="122">
        <f t="shared" si="2"/>
        <v>34</v>
      </c>
      <c r="AO14" s="118">
        <v>150000</v>
      </c>
      <c r="AP14" s="123">
        <f t="shared" si="3"/>
        <v>5100000</v>
      </c>
    </row>
    <row r="15" spans="1:42" ht="24.95" customHeight="1">
      <c r="A15" s="124">
        <v>10</v>
      </c>
      <c r="B15" s="116" t="s">
        <v>336</v>
      </c>
      <c r="C15" s="117" t="s">
        <v>428</v>
      </c>
      <c r="D15" s="127" t="s">
        <v>519</v>
      </c>
      <c r="E15" s="117" t="s">
        <v>590</v>
      </c>
      <c r="F15" s="126" t="s">
        <v>528</v>
      </c>
      <c r="G15" s="119" t="s">
        <v>336</v>
      </c>
      <c r="H15" s="120" t="s">
        <v>591</v>
      </c>
      <c r="I15" s="121"/>
      <c r="J15" s="121"/>
      <c r="K15" s="121"/>
      <c r="L15" s="121">
        <v>2.5</v>
      </c>
      <c r="M15" s="121">
        <v>2</v>
      </c>
      <c r="N15" s="121">
        <v>2</v>
      </c>
      <c r="O15" s="121">
        <v>2</v>
      </c>
      <c r="P15" s="121">
        <v>2</v>
      </c>
      <c r="Q15" s="121"/>
      <c r="R15" s="121"/>
      <c r="S15" s="121">
        <v>2</v>
      </c>
      <c r="T15" s="121">
        <v>2</v>
      </c>
      <c r="U15" s="121">
        <v>2</v>
      </c>
      <c r="V15" s="121">
        <v>2</v>
      </c>
      <c r="W15" s="121">
        <v>2</v>
      </c>
      <c r="X15" s="121"/>
      <c r="Y15" s="121"/>
      <c r="Z15" s="121">
        <v>1</v>
      </c>
      <c r="AA15" s="121">
        <v>1</v>
      </c>
      <c r="AB15" s="121">
        <v>1</v>
      </c>
      <c r="AC15" s="121">
        <v>2</v>
      </c>
      <c r="AD15" s="121">
        <v>2</v>
      </c>
      <c r="AE15" s="121"/>
      <c r="AF15" s="121"/>
      <c r="AG15" s="121">
        <v>1.5</v>
      </c>
      <c r="AH15" s="121">
        <v>2</v>
      </c>
      <c r="AI15" s="121">
        <v>2</v>
      </c>
      <c r="AJ15" s="121">
        <v>2</v>
      </c>
      <c r="AK15" s="121">
        <v>2</v>
      </c>
      <c r="AL15" s="121">
        <v>1</v>
      </c>
      <c r="AM15" s="121"/>
      <c r="AN15" s="122">
        <f t="shared" si="2"/>
        <v>38</v>
      </c>
      <c r="AO15" s="118">
        <v>160000</v>
      </c>
      <c r="AP15" s="123">
        <f t="shared" si="3"/>
        <v>6080000</v>
      </c>
    </row>
    <row r="16" spans="1:42" ht="24.95" customHeight="1">
      <c r="A16" s="124">
        <v>11</v>
      </c>
      <c r="B16" s="116" t="s">
        <v>337</v>
      </c>
      <c r="C16" s="117" t="s">
        <v>429</v>
      </c>
      <c r="D16" s="125" t="s">
        <v>512</v>
      </c>
      <c r="E16" s="117" t="s">
        <v>592</v>
      </c>
      <c r="F16" s="126" t="s">
        <v>517</v>
      </c>
      <c r="G16" s="119" t="s">
        <v>337</v>
      </c>
      <c r="H16" s="120" t="s">
        <v>593</v>
      </c>
      <c r="I16" s="121"/>
      <c r="J16" s="121"/>
      <c r="K16" s="121"/>
      <c r="L16" s="121">
        <v>1.5</v>
      </c>
      <c r="M16" s="121"/>
      <c r="N16" s="121">
        <v>1.5</v>
      </c>
      <c r="O16" s="121">
        <v>1.375</v>
      </c>
      <c r="P16" s="121">
        <v>1.5</v>
      </c>
      <c r="Q16" s="121">
        <v>1</v>
      </c>
      <c r="R16" s="121"/>
      <c r="S16" s="121">
        <v>2</v>
      </c>
      <c r="T16" s="121">
        <v>2</v>
      </c>
      <c r="U16" s="121">
        <v>2</v>
      </c>
      <c r="V16" s="121">
        <v>2</v>
      </c>
      <c r="W16" s="121">
        <v>2</v>
      </c>
      <c r="X16" s="121"/>
      <c r="Y16" s="121"/>
      <c r="Z16" s="121">
        <v>1</v>
      </c>
      <c r="AA16" s="121">
        <v>1</v>
      </c>
      <c r="AB16" s="121">
        <v>1</v>
      </c>
      <c r="AC16" s="121">
        <v>2</v>
      </c>
      <c r="AD16" s="121">
        <v>2</v>
      </c>
      <c r="AE16" s="121"/>
      <c r="AF16" s="121"/>
      <c r="AG16" s="121">
        <v>1.5</v>
      </c>
      <c r="AH16" s="121">
        <v>2</v>
      </c>
      <c r="AI16" s="121">
        <v>1.875</v>
      </c>
      <c r="AJ16" s="121">
        <v>2</v>
      </c>
      <c r="AK16" s="121">
        <v>2</v>
      </c>
      <c r="AL16" s="121">
        <v>1</v>
      </c>
      <c r="AM16" s="121"/>
      <c r="AN16" s="122">
        <f t="shared" si="2"/>
        <v>34.25</v>
      </c>
      <c r="AO16" s="118">
        <v>240000</v>
      </c>
      <c r="AP16" s="123">
        <f t="shared" si="3"/>
        <v>8220000</v>
      </c>
    </row>
    <row r="17" spans="1:42" ht="24.95" customHeight="1">
      <c r="A17" s="124">
        <v>12</v>
      </c>
      <c r="B17" s="116" t="s">
        <v>338</v>
      </c>
      <c r="C17" s="117" t="s">
        <v>430</v>
      </c>
      <c r="D17" s="125" t="s">
        <v>718</v>
      </c>
      <c r="E17" s="117" t="s">
        <v>594</v>
      </c>
      <c r="F17" s="126" t="s">
        <v>550</v>
      </c>
      <c r="G17" s="119" t="s">
        <v>338</v>
      </c>
      <c r="H17" s="120" t="s">
        <v>595</v>
      </c>
      <c r="I17" s="121"/>
      <c r="J17" s="121"/>
      <c r="K17" s="121"/>
      <c r="L17" s="121">
        <v>1.5</v>
      </c>
      <c r="M17" s="121"/>
      <c r="N17" s="121">
        <v>1.5</v>
      </c>
      <c r="O17" s="121">
        <v>1.5</v>
      </c>
      <c r="P17" s="121">
        <v>0.5</v>
      </c>
      <c r="Q17" s="121"/>
      <c r="R17" s="121"/>
      <c r="S17" s="121">
        <v>1.5</v>
      </c>
      <c r="T17" s="121">
        <v>1.5</v>
      </c>
      <c r="U17" s="121">
        <v>1.5</v>
      </c>
      <c r="V17" s="121">
        <v>2</v>
      </c>
      <c r="W17" s="121">
        <v>2</v>
      </c>
      <c r="X17" s="121">
        <v>1</v>
      </c>
      <c r="Y17" s="121"/>
      <c r="Z17" s="121">
        <v>1</v>
      </c>
      <c r="AA17" s="121">
        <v>1</v>
      </c>
      <c r="AB17" s="121">
        <v>1</v>
      </c>
      <c r="AC17" s="121">
        <v>2</v>
      </c>
      <c r="AD17" s="121">
        <v>2</v>
      </c>
      <c r="AE17" s="121"/>
      <c r="AF17" s="121"/>
      <c r="AG17" s="121"/>
      <c r="AH17" s="121">
        <v>2</v>
      </c>
      <c r="AI17" s="121">
        <v>1</v>
      </c>
      <c r="AJ17" s="121">
        <v>2</v>
      </c>
      <c r="AK17" s="121">
        <v>2</v>
      </c>
      <c r="AL17" s="121">
        <v>1</v>
      </c>
      <c r="AM17" s="121"/>
      <c r="AN17" s="122">
        <f t="shared" si="2"/>
        <v>29.5</v>
      </c>
      <c r="AO17" s="118">
        <v>210000</v>
      </c>
      <c r="AP17" s="123">
        <f t="shared" si="3"/>
        <v>6195000</v>
      </c>
    </row>
    <row r="18" spans="1:42" ht="24.95" customHeight="1">
      <c r="A18" s="124">
        <v>13</v>
      </c>
      <c r="B18" s="116" t="s">
        <v>339</v>
      </c>
      <c r="C18" s="117" t="s">
        <v>431</v>
      </c>
      <c r="D18" s="127" t="s">
        <v>519</v>
      </c>
      <c r="E18" s="117" t="s">
        <v>596</v>
      </c>
      <c r="F18" s="126" t="s">
        <v>531</v>
      </c>
      <c r="G18" s="119" t="s">
        <v>339</v>
      </c>
      <c r="H18" s="120" t="s">
        <v>597</v>
      </c>
      <c r="I18" s="121"/>
      <c r="J18" s="121">
        <v>1</v>
      </c>
      <c r="K18" s="121"/>
      <c r="L18" s="121">
        <v>1.5</v>
      </c>
      <c r="M18" s="121"/>
      <c r="N18" s="121">
        <v>1.5</v>
      </c>
      <c r="O18" s="121">
        <v>1.5</v>
      </c>
      <c r="P18" s="121">
        <v>1.5</v>
      </c>
      <c r="Q18" s="121"/>
      <c r="R18" s="121"/>
      <c r="S18" s="121">
        <v>1.5</v>
      </c>
      <c r="T18" s="121">
        <v>1.375</v>
      </c>
      <c r="U18" s="121">
        <v>1.5</v>
      </c>
      <c r="V18" s="121">
        <v>2</v>
      </c>
      <c r="W18" s="121">
        <v>2</v>
      </c>
      <c r="X18" s="121"/>
      <c r="Y18" s="121"/>
      <c r="Z18" s="121">
        <v>1</v>
      </c>
      <c r="AA18" s="121">
        <v>1</v>
      </c>
      <c r="AB18" s="121">
        <v>1</v>
      </c>
      <c r="AC18" s="121">
        <v>2</v>
      </c>
      <c r="AD18" s="121">
        <v>2</v>
      </c>
      <c r="AE18" s="121"/>
      <c r="AF18" s="121"/>
      <c r="AG18" s="121"/>
      <c r="AH18" s="121"/>
      <c r="AI18" s="121">
        <v>2</v>
      </c>
      <c r="AJ18" s="121">
        <v>2</v>
      </c>
      <c r="AK18" s="121">
        <v>2</v>
      </c>
      <c r="AL18" s="121">
        <v>1</v>
      </c>
      <c r="AM18" s="121"/>
      <c r="AN18" s="122">
        <f t="shared" si="2"/>
        <v>29.375</v>
      </c>
      <c r="AO18" s="118">
        <v>150000</v>
      </c>
      <c r="AP18" s="123">
        <f t="shared" si="3"/>
        <v>4406250</v>
      </c>
    </row>
    <row r="19" spans="1:42" ht="24.95" customHeight="1">
      <c r="A19" s="124">
        <v>14</v>
      </c>
      <c r="B19" s="116" t="s">
        <v>340</v>
      </c>
      <c r="C19" s="117" t="s">
        <v>432</v>
      </c>
      <c r="D19" s="125" t="s">
        <v>533</v>
      </c>
      <c r="E19" s="117" t="s">
        <v>598</v>
      </c>
      <c r="F19" s="126" t="s">
        <v>599</v>
      </c>
      <c r="G19" s="119" t="s">
        <v>340</v>
      </c>
      <c r="H19" s="120" t="s">
        <v>600</v>
      </c>
      <c r="I19" s="121"/>
      <c r="J19" s="121"/>
      <c r="K19" s="121"/>
      <c r="L19" s="121">
        <v>2.5</v>
      </c>
      <c r="M19" s="121"/>
      <c r="N19" s="121">
        <v>2</v>
      </c>
      <c r="O19" s="121">
        <v>2</v>
      </c>
      <c r="P19" s="121">
        <v>2</v>
      </c>
      <c r="Q19" s="121"/>
      <c r="R19" s="121"/>
      <c r="S19" s="121">
        <v>2</v>
      </c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2">
        <f t="shared" si="2"/>
        <v>10.5</v>
      </c>
      <c r="AO19" s="118">
        <v>230000</v>
      </c>
      <c r="AP19" s="123">
        <f t="shared" si="3"/>
        <v>2415000</v>
      </c>
    </row>
    <row r="20" spans="1:42" ht="24.95" customHeight="1">
      <c r="A20" s="124">
        <v>15</v>
      </c>
      <c r="B20" s="116" t="s">
        <v>341</v>
      </c>
      <c r="C20" s="117" t="s">
        <v>433</v>
      </c>
      <c r="D20" s="127" t="s">
        <v>519</v>
      </c>
      <c r="E20" s="117" t="s">
        <v>601</v>
      </c>
      <c r="F20" s="126" t="s">
        <v>514</v>
      </c>
      <c r="G20" s="119" t="s">
        <v>341</v>
      </c>
      <c r="H20" s="120" t="s">
        <v>602</v>
      </c>
      <c r="I20" s="121"/>
      <c r="J20" s="121"/>
      <c r="K20" s="121"/>
      <c r="L20" s="121">
        <v>1.5</v>
      </c>
      <c r="M20" s="121"/>
      <c r="N20" s="121"/>
      <c r="O20" s="121">
        <v>1.5</v>
      </c>
      <c r="P20" s="121">
        <v>1.5</v>
      </c>
      <c r="Q20" s="121">
        <v>1</v>
      </c>
      <c r="R20" s="121"/>
      <c r="S20" s="121">
        <v>1.5</v>
      </c>
      <c r="T20" s="121">
        <v>1.5</v>
      </c>
      <c r="U20" s="121">
        <v>1.5</v>
      </c>
      <c r="V20" s="121">
        <v>2</v>
      </c>
      <c r="W20" s="121">
        <v>2</v>
      </c>
      <c r="X20" s="121">
        <v>1</v>
      </c>
      <c r="Y20" s="121"/>
      <c r="Z20" s="121">
        <v>1</v>
      </c>
      <c r="AA20" s="121">
        <v>1</v>
      </c>
      <c r="AB20" s="121">
        <v>1</v>
      </c>
      <c r="AC20" s="121">
        <v>2</v>
      </c>
      <c r="AD20" s="121">
        <v>2</v>
      </c>
      <c r="AE20" s="121">
        <v>1</v>
      </c>
      <c r="AF20" s="121"/>
      <c r="AG20" s="121">
        <v>1.5</v>
      </c>
      <c r="AH20" s="121">
        <v>2</v>
      </c>
      <c r="AI20" s="121">
        <v>2</v>
      </c>
      <c r="AJ20" s="121">
        <v>2</v>
      </c>
      <c r="AK20" s="121">
        <v>1.875</v>
      </c>
      <c r="AL20" s="121">
        <v>1</v>
      </c>
      <c r="AM20" s="121"/>
      <c r="AN20" s="122">
        <f t="shared" si="2"/>
        <v>33.375</v>
      </c>
      <c r="AO20" s="118">
        <v>150000</v>
      </c>
      <c r="AP20" s="123">
        <f t="shared" si="3"/>
        <v>5006250</v>
      </c>
    </row>
    <row r="21" spans="1:42" ht="24.95" customHeight="1">
      <c r="A21" s="124">
        <v>16</v>
      </c>
      <c r="B21" s="116" t="s">
        <v>342</v>
      </c>
      <c r="C21" s="117" t="s">
        <v>434</v>
      </c>
      <c r="D21" s="127" t="s">
        <v>718</v>
      </c>
      <c r="E21" s="117" t="s">
        <v>603</v>
      </c>
      <c r="F21" s="126" t="s">
        <v>517</v>
      </c>
      <c r="G21" s="119" t="s">
        <v>342</v>
      </c>
      <c r="H21" s="120" t="s">
        <v>604</v>
      </c>
      <c r="I21" s="121"/>
      <c r="J21" s="121"/>
      <c r="K21" s="121"/>
      <c r="L21" s="121">
        <v>1.5</v>
      </c>
      <c r="M21" s="121"/>
      <c r="N21" s="121">
        <v>1.5</v>
      </c>
      <c r="O21" s="121">
        <v>1.5</v>
      </c>
      <c r="P21" s="121">
        <v>1.5</v>
      </c>
      <c r="Q21" s="121">
        <v>1</v>
      </c>
      <c r="R21" s="121"/>
      <c r="S21" s="121">
        <v>1.5</v>
      </c>
      <c r="T21" s="121">
        <v>1.5</v>
      </c>
      <c r="U21" s="121">
        <v>1.5</v>
      </c>
      <c r="V21" s="121">
        <v>2</v>
      </c>
      <c r="W21" s="121">
        <v>2</v>
      </c>
      <c r="X21" s="121">
        <v>1</v>
      </c>
      <c r="Y21" s="121"/>
      <c r="Z21" s="121">
        <v>1</v>
      </c>
      <c r="AA21" s="121">
        <v>1</v>
      </c>
      <c r="AB21" s="121">
        <v>1</v>
      </c>
      <c r="AC21" s="121">
        <v>2</v>
      </c>
      <c r="AD21" s="121">
        <v>2</v>
      </c>
      <c r="AE21" s="121">
        <v>1</v>
      </c>
      <c r="AF21" s="121"/>
      <c r="AG21" s="121">
        <v>1.5</v>
      </c>
      <c r="AH21" s="121">
        <v>2</v>
      </c>
      <c r="AI21" s="121">
        <v>2</v>
      </c>
      <c r="AJ21" s="121">
        <v>2</v>
      </c>
      <c r="AK21" s="121">
        <v>2</v>
      </c>
      <c r="AL21" s="121">
        <v>1</v>
      </c>
      <c r="AM21" s="121"/>
      <c r="AN21" s="122">
        <f t="shared" si="2"/>
        <v>35</v>
      </c>
      <c r="AO21" s="118">
        <v>270000</v>
      </c>
      <c r="AP21" s="123">
        <f t="shared" si="3"/>
        <v>9450000</v>
      </c>
    </row>
    <row r="22" spans="1:42" ht="24.95" customHeight="1">
      <c r="A22" s="124">
        <v>17</v>
      </c>
      <c r="B22" s="116" t="s">
        <v>343</v>
      </c>
      <c r="C22" s="117" t="s">
        <v>435</v>
      </c>
      <c r="D22" s="127" t="s">
        <v>512</v>
      </c>
      <c r="E22" s="117" t="s">
        <v>605</v>
      </c>
      <c r="F22" s="126" t="s">
        <v>517</v>
      </c>
      <c r="G22" s="119" t="s">
        <v>343</v>
      </c>
      <c r="H22" s="120" t="s">
        <v>606</v>
      </c>
      <c r="I22" s="121"/>
      <c r="J22" s="121"/>
      <c r="K22" s="121"/>
      <c r="L22" s="121">
        <v>1.5</v>
      </c>
      <c r="M22" s="121"/>
      <c r="N22" s="121">
        <v>1.5</v>
      </c>
      <c r="O22" s="121">
        <v>1.5</v>
      </c>
      <c r="P22" s="121">
        <v>1.5</v>
      </c>
      <c r="Q22" s="121"/>
      <c r="R22" s="121"/>
      <c r="S22" s="121"/>
      <c r="T22" s="121">
        <v>1.5</v>
      </c>
      <c r="U22" s="121">
        <v>1.5</v>
      </c>
      <c r="V22" s="121">
        <v>2</v>
      </c>
      <c r="W22" s="121">
        <v>2</v>
      </c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2">
        <f t="shared" si="2"/>
        <v>13</v>
      </c>
      <c r="AO22" s="118">
        <v>240000</v>
      </c>
      <c r="AP22" s="123">
        <f t="shared" si="3"/>
        <v>3120000</v>
      </c>
    </row>
    <row r="23" spans="1:42" ht="24.95" customHeight="1">
      <c r="A23" s="124">
        <v>18</v>
      </c>
      <c r="B23" s="116" t="s">
        <v>344</v>
      </c>
      <c r="C23" s="117" t="s">
        <v>436</v>
      </c>
      <c r="D23" s="125" t="s">
        <v>719</v>
      </c>
      <c r="E23" s="117" t="s">
        <v>607</v>
      </c>
      <c r="F23" s="126" t="s">
        <v>514</v>
      </c>
      <c r="G23" s="119" t="s">
        <v>344</v>
      </c>
      <c r="H23" s="120" t="s">
        <v>608</v>
      </c>
      <c r="I23" s="121"/>
      <c r="J23" s="121"/>
      <c r="K23" s="121"/>
      <c r="L23" s="121">
        <v>1.5</v>
      </c>
      <c r="M23" s="121"/>
      <c r="N23" s="121">
        <v>1.5</v>
      </c>
      <c r="O23" s="121">
        <v>1.5</v>
      </c>
      <c r="P23" s="121">
        <v>1.5</v>
      </c>
      <c r="Q23" s="121">
        <v>0.625</v>
      </c>
      <c r="R23" s="121"/>
      <c r="S23" s="121">
        <v>1.5</v>
      </c>
      <c r="T23" s="121">
        <v>1.5</v>
      </c>
      <c r="U23" s="121">
        <v>1.5</v>
      </c>
      <c r="V23" s="121">
        <v>1.875</v>
      </c>
      <c r="W23" s="121">
        <v>2</v>
      </c>
      <c r="X23" s="121">
        <v>0.75</v>
      </c>
      <c r="Y23" s="121"/>
      <c r="Z23" s="121">
        <v>1</v>
      </c>
      <c r="AA23" s="121">
        <v>1</v>
      </c>
      <c r="AB23" s="121">
        <v>1</v>
      </c>
      <c r="AC23" s="121">
        <v>2</v>
      </c>
      <c r="AD23" s="121">
        <v>1.5</v>
      </c>
      <c r="AE23" s="121">
        <v>0.875</v>
      </c>
      <c r="AF23" s="121"/>
      <c r="AG23" s="121">
        <v>1.5</v>
      </c>
      <c r="AH23" s="121">
        <v>2</v>
      </c>
      <c r="AI23" s="121">
        <v>2</v>
      </c>
      <c r="AJ23" s="121">
        <v>1.875</v>
      </c>
      <c r="AK23" s="121">
        <v>2</v>
      </c>
      <c r="AL23" s="121">
        <v>1</v>
      </c>
      <c r="AM23" s="121"/>
      <c r="AN23" s="122">
        <f t="shared" si="2"/>
        <v>33.5</v>
      </c>
      <c r="AO23" s="118">
        <v>200000</v>
      </c>
      <c r="AP23" s="123">
        <f t="shared" si="3"/>
        <v>6700000</v>
      </c>
    </row>
    <row r="24" spans="1:42" ht="24.95" customHeight="1">
      <c r="A24" s="124">
        <v>19</v>
      </c>
      <c r="B24" s="116" t="s">
        <v>345</v>
      </c>
      <c r="C24" s="117" t="s">
        <v>437</v>
      </c>
      <c r="D24" s="125" t="s">
        <v>533</v>
      </c>
      <c r="E24" s="117" t="s">
        <v>609</v>
      </c>
      <c r="F24" s="126" t="s">
        <v>550</v>
      </c>
      <c r="G24" s="119" t="s">
        <v>345</v>
      </c>
      <c r="H24" s="120" t="s">
        <v>610</v>
      </c>
      <c r="I24" s="121"/>
      <c r="J24" s="121">
        <v>1</v>
      </c>
      <c r="K24" s="121"/>
      <c r="L24" s="121">
        <v>1.5</v>
      </c>
      <c r="M24" s="121"/>
      <c r="N24" s="121">
        <v>1.5</v>
      </c>
      <c r="O24" s="121">
        <v>1.5</v>
      </c>
      <c r="P24" s="121">
        <v>1.5</v>
      </c>
      <c r="Q24" s="121">
        <v>1</v>
      </c>
      <c r="R24" s="121"/>
      <c r="S24" s="121">
        <v>1.5</v>
      </c>
      <c r="T24" s="121">
        <v>1.5</v>
      </c>
      <c r="U24" s="121">
        <v>1.5</v>
      </c>
      <c r="V24" s="121">
        <v>2</v>
      </c>
      <c r="W24" s="121">
        <v>1</v>
      </c>
      <c r="X24" s="121"/>
      <c r="Y24" s="121"/>
      <c r="Z24" s="121"/>
      <c r="AA24" s="121">
        <v>1</v>
      </c>
      <c r="AB24" s="121">
        <v>1</v>
      </c>
      <c r="AC24" s="121">
        <v>2</v>
      </c>
      <c r="AD24" s="121">
        <v>2</v>
      </c>
      <c r="AE24" s="121">
        <v>1</v>
      </c>
      <c r="AF24" s="121"/>
      <c r="AG24" s="121">
        <v>1.5</v>
      </c>
      <c r="AH24" s="121">
        <v>2</v>
      </c>
      <c r="AI24" s="121">
        <v>2</v>
      </c>
      <c r="AJ24" s="121">
        <v>2</v>
      </c>
      <c r="AK24" s="121">
        <v>2</v>
      </c>
      <c r="AL24" s="121">
        <v>1</v>
      </c>
      <c r="AM24" s="121"/>
      <c r="AN24" s="122">
        <f t="shared" si="2"/>
        <v>33</v>
      </c>
      <c r="AO24" s="118">
        <v>210000</v>
      </c>
      <c r="AP24" s="123">
        <f t="shared" si="3"/>
        <v>6930000</v>
      </c>
    </row>
    <row r="25" spans="1:42" ht="24.95" customHeight="1">
      <c r="A25" s="124">
        <v>20</v>
      </c>
      <c r="B25" s="116" t="s">
        <v>346</v>
      </c>
      <c r="C25" s="117" t="s">
        <v>438</v>
      </c>
      <c r="D25" s="127" t="s">
        <v>533</v>
      </c>
      <c r="E25" s="117" t="s">
        <v>611</v>
      </c>
      <c r="F25" s="126" t="s">
        <v>531</v>
      </c>
      <c r="G25" s="119" t="s">
        <v>346</v>
      </c>
      <c r="H25" s="120" t="s">
        <v>612</v>
      </c>
      <c r="I25" s="121"/>
      <c r="J25" s="121"/>
      <c r="K25" s="121"/>
      <c r="L25" s="121"/>
      <c r="M25" s="121"/>
      <c r="N25" s="121">
        <v>1.5</v>
      </c>
      <c r="O25" s="121">
        <v>1.5</v>
      </c>
      <c r="P25" s="121">
        <v>1.5</v>
      </c>
      <c r="Q25" s="121">
        <v>1</v>
      </c>
      <c r="R25" s="121"/>
      <c r="S25" s="121">
        <v>1.5</v>
      </c>
      <c r="T25" s="121">
        <v>1.5</v>
      </c>
      <c r="U25" s="121">
        <v>1.5</v>
      </c>
      <c r="V25" s="121">
        <v>2</v>
      </c>
      <c r="W25" s="121">
        <v>2</v>
      </c>
      <c r="X25" s="121">
        <v>1</v>
      </c>
      <c r="Y25" s="121"/>
      <c r="Z25" s="121">
        <v>1</v>
      </c>
      <c r="AA25" s="121">
        <v>1</v>
      </c>
      <c r="AB25" s="121">
        <v>1</v>
      </c>
      <c r="AC25" s="121">
        <v>2</v>
      </c>
      <c r="AD25" s="121">
        <v>2</v>
      </c>
      <c r="AE25" s="121">
        <v>1</v>
      </c>
      <c r="AF25" s="121"/>
      <c r="AG25" s="121"/>
      <c r="AH25" s="121">
        <v>2</v>
      </c>
      <c r="AI25" s="121">
        <v>2</v>
      </c>
      <c r="AJ25" s="121">
        <v>2</v>
      </c>
      <c r="AK25" s="121">
        <v>2</v>
      </c>
      <c r="AL25" s="121">
        <v>1</v>
      </c>
      <c r="AM25" s="121"/>
      <c r="AN25" s="122">
        <f t="shared" si="2"/>
        <v>32</v>
      </c>
      <c r="AO25" s="118">
        <v>210000</v>
      </c>
      <c r="AP25" s="123">
        <f t="shared" si="3"/>
        <v>6720000</v>
      </c>
    </row>
    <row r="26" spans="1:42" ht="24.95" customHeight="1">
      <c r="A26" s="124">
        <v>21</v>
      </c>
      <c r="B26" s="116" t="s">
        <v>347</v>
      </c>
      <c r="C26" s="117" t="s">
        <v>439</v>
      </c>
      <c r="D26" s="125" t="s">
        <v>533</v>
      </c>
      <c r="E26" s="117" t="s">
        <v>613</v>
      </c>
      <c r="F26" s="126" t="s">
        <v>614</v>
      </c>
      <c r="G26" s="119" t="s">
        <v>347</v>
      </c>
      <c r="H26" s="120" t="s">
        <v>615</v>
      </c>
      <c r="I26" s="121"/>
      <c r="J26" s="121"/>
      <c r="K26" s="121"/>
      <c r="L26" s="121">
        <v>1.5</v>
      </c>
      <c r="M26" s="121"/>
      <c r="N26" s="121">
        <v>1.5</v>
      </c>
      <c r="O26" s="121">
        <v>1.5</v>
      </c>
      <c r="P26" s="121">
        <v>1.5</v>
      </c>
      <c r="Q26" s="121">
        <v>1</v>
      </c>
      <c r="R26" s="121"/>
      <c r="S26" s="121">
        <v>1.5</v>
      </c>
      <c r="T26" s="121">
        <v>1.5</v>
      </c>
      <c r="U26" s="121">
        <v>1.5</v>
      </c>
      <c r="V26" s="121">
        <v>2</v>
      </c>
      <c r="W26" s="121">
        <v>2</v>
      </c>
      <c r="X26" s="121"/>
      <c r="Y26" s="121"/>
      <c r="Z26" s="121">
        <v>1</v>
      </c>
      <c r="AA26" s="121">
        <v>1</v>
      </c>
      <c r="AB26" s="121">
        <v>1</v>
      </c>
      <c r="AC26" s="121">
        <v>2</v>
      </c>
      <c r="AD26" s="121">
        <v>2</v>
      </c>
      <c r="AE26" s="121"/>
      <c r="AF26" s="121"/>
      <c r="AG26" s="121">
        <v>1.5</v>
      </c>
      <c r="AH26" s="121">
        <v>2</v>
      </c>
      <c r="AI26" s="121">
        <v>2</v>
      </c>
      <c r="AJ26" s="121">
        <v>2</v>
      </c>
      <c r="AK26" s="121">
        <v>2</v>
      </c>
      <c r="AL26" s="121">
        <v>1</v>
      </c>
      <c r="AM26" s="121"/>
      <c r="AN26" s="122">
        <f t="shared" si="2"/>
        <v>33</v>
      </c>
      <c r="AO26" s="118">
        <v>230000</v>
      </c>
      <c r="AP26" s="123">
        <f t="shared" si="3"/>
        <v>7590000</v>
      </c>
    </row>
    <row r="27" spans="1:42" ht="24.95" customHeight="1">
      <c r="A27" s="124">
        <v>22</v>
      </c>
      <c r="B27" s="116" t="s">
        <v>348</v>
      </c>
      <c r="C27" s="117" t="s">
        <v>440</v>
      </c>
      <c r="D27" s="127" t="s">
        <v>519</v>
      </c>
      <c r="E27" s="117" t="s">
        <v>616</v>
      </c>
      <c r="F27" s="126" t="s">
        <v>539</v>
      </c>
      <c r="G27" s="119" t="s">
        <v>348</v>
      </c>
      <c r="H27" s="120" t="s">
        <v>617</v>
      </c>
      <c r="I27" s="121"/>
      <c r="J27" s="121">
        <v>1</v>
      </c>
      <c r="K27" s="121"/>
      <c r="L27" s="121">
        <v>1.5</v>
      </c>
      <c r="M27" s="121"/>
      <c r="N27" s="121">
        <v>1.5</v>
      </c>
      <c r="O27" s="121">
        <v>1.5</v>
      </c>
      <c r="P27" s="121">
        <v>1.5</v>
      </c>
      <c r="Q27" s="121">
        <v>0.875</v>
      </c>
      <c r="R27" s="121"/>
      <c r="S27" s="121">
        <v>1.5</v>
      </c>
      <c r="T27" s="121">
        <v>1.5</v>
      </c>
      <c r="U27" s="121">
        <v>1.5</v>
      </c>
      <c r="V27" s="121">
        <v>2</v>
      </c>
      <c r="W27" s="121">
        <v>1.375</v>
      </c>
      <c r="X27" s="121">
        <v>0.75</v>
      </c>
      <c r="Y27" s="121"/>
      <c r="Z27" s="121">
        <v>1</v>
      </c>
      <c r="AA27" s="121">
        <v>1</v>
      </c>
      <c r="AB27" s="121">
        <v>1</v>
      </c>
      <c r="AC27" s="121">
        <v>2</v>
      </c>
      <c r="AD27" s="121">
        <v>2</v>
      </c>
      <c r="AE27" s="121">
        <v>1</v>
      </c>
      <c r="AF27" s="121"/>
      <c r="AG27" s="121">
        <v>1.5</v>
      </c>
      <c r="AH27" s="121">
        <v>2</v>
      </c>
      <c r="AI27" s="121">
        <v>2</v>
      </c>
      <c r="AJ27" s="121">
        <v>2</v>
      </c>
      <c r="AK27" s="121">
        <v>2</v>
      </c>
      <c r="AL27" s="121">
        <v>1</v>
      </c>
      <c r="AM27" s="121"/>
      <c r="AN27" s="122">
        <f t="shared" si="2"/>
        <v>35</v>
      </c>
      <c r="AO27" s="118">
        <v>150000</v>
      </c>
      <c r="AP27" s="123">
        <f t="shared" si="3"/>
        <v>5250000</v>
      </c>
    </row>
    <row r="28" spans="1:42" ht="24.95" customHeight="1">
      <c r="A28" s="124">
        <v>23</v>
      </c>
      <c r="B28" s="116" t="s">
        <v>349</v>
      </c>
      <c r="C28" s="117" t="s">
        <v>441</v>
      </c>
      <c r="D28" s="127" t="s">
        <v>519</v>
      </c>
      <c r="E28" s="117" t="s">
        <v>618</v>
      </c>
      <c r="F28" s="126" t="s">
        <v>528</v>
      </c>
      <c r="G28" s="119" t="s">
        <v>349</v>
      </c>
      <c r="H28" s="120" t="s">
        <v>619</v>
      </c>
      <c r="I28" s="121"/>
      <c r="J28" s="121"/>
      <c r="K28" s="121"/>
      <c r="L28" s="121">
        <v>1.5</v>
      </c>
      <c r="M28" s="121"/>
      <c r="N28" s="121">
        <v>1.5</v>
      </c>
      <c r="O28" s="121">
        <v>1.5</v>
      </c>
      <c r="P28" s="121">
        <v>1.5</v>
      </c>
      <c r="Q28" s="121"/>
      <c r="R28" s="121"/>
      <c r="S28" s="121">
        <v>1.5</v>
      </c>
      <c r="T28" s="121">
        <v>1.5</v>
      </c>
      <c r="U28" s="121">
        <v>1.5</v>
      </c>
      <c r="V28" s="121">
        <v>2</v>
      </c>
      <c r="W28" s="121">
        <v>2</v>
      </c>
      <c r="X28" s="121">
        <v>1</v>
      </c>
      <c r="Y28" s="121"/>
      <c r="Z28" s="121">
        <v>1</v>
      </c>
      <c r="AA28" s="121">
        <v>1</v>
      </c>
      <c r="AB28" s="121">
        <v>1</v>
      </c>
      <c r="AC28" s="121">
        <v>2</v>
      </c>
      <c r="AD28" s="121">
        <v>2</v>
      </c>
      <c r="AE28" s="121"/>
      <c r="AF28" s="121"/>
      <c r="AG28" s="121">
        <v>1.5</v>
      </c>
      <c r="AH28" s="121">
        <v>2</v>
      </c>
      <c r="AI28" s="121">
        <v>2</v>
      </c>
      <c r="AJ28" s="121">
        <v>2</v>
      </c>
      <c r="AK28" s="121">
        <v>2</v>
      </c>
      <c r="AL28" s="121">
        <v>1</v>
      </c>
      <c r="AM28" s="121"/>
      <c r="AN28" s="122">
        <f t="shared" si="2"/>
        <v>33</v>
      </c>
      <c r="AO28" s="118">
        <v>150000</v>
      </c>
      <c r="AP28" s="123">
        <f t="shared" si="3"/>
        <v>4950000</v>
      </c>
    </row>
    <row r="29" spans="1:42" ht="24.95" customHeight="1">
      <c r="A29" s="124">
        <v>24</v>
      </c>
      <c r="B29" s="116" t="s">
        <v>350</v>
      </c>
      <c r="C29" s="117" t="s">
        <v>442</v>
      </c>
      <c r="D29" s="127" t="s">
        <v>717</v>
      </c>
      <c r="E29" s="117" t="s">
        <v>620</v>
      </c>
      <c r="F29" s="126" t="s">
        <v>531</v>
      </c>
      <c r="G29" s="119" t="s">
        <v>350</v>
      </c>
      <c r="H29" s="120" t="s">
        <v>621</v>
      </c>
      <c r="I29" s="121"/>
      <c r="J29" s="121">
        <v>1</v>
      </c>
      <c r="K29" s="121"/>
      <c r="L29" s="121">
        <v>1.5</v>
      </c>
      <c r="M29" s="121"/>
      <c r="N29" s="121">
        <v>1.5</v>
      </c>
      <c r="O29" s="121">
        <v>1.5</v>
      </c>
      <c r="P29" s="121"/>
      <c r="Q29" s="121"/>
      <c r="R29" s="121"/>
      <c r="S29" s="121">
        <v>1.5</v>
      </c>
      <c r="T29" s="121">
        <v>1.5</v>
      </c>
      <c r="U29" s="121">
        <v>1.5</v>
      </c>
      <c r="V29" s="121">
        <v>2</v>
      </c>
      <c r="W29" s="121">
        <v>2</v>
      </c>
      <c r="X29" s="121">
        <v>1</v>
      </c>
      <c r="Y29" s="121"/>
      <c r="Z29" s="121">
        <v>1</v>
      </c>
      <c r="AA29" s="121">
        <v>1</v>
      </c>
      <c r="AB29" s="121">
        <v>1</v>
      </c>
      <c r="AC29" s="121">
        <v>2</v>
      </c>
      <c r="AD29" s="121">
        <v>2</v>
      </c>
      <c r="AE29" s="121">
        <v>1</v>
      </c>
      <c r="AF29" s="121"/>
      <c r="AG29" s="121">
        <v>1.5</v>
      </c>
      <c r="AH29" s="121">
        <v>2</v>
      </c>
      <c r="AI29" s="121">
        <v>2</v>
      </c>
      <c r="AJ29" s="121">
        <v>2</v>
      </c>
      <c r="AK29" s="121">
        <v>2</v>
      </c>
      <c r="AL29" s="121">
        <v>1</v>
      </c>
      <c r="AM29" s="121"/>
      <c r="AN29" s="122">
        <f t="shared" ref="AN29:AN98" si="4">SUM(I29:AM29)</f>
        <v>33.5</v>
      </c>
      <c r="AO29" s="118">
        <v>170000</v>
      </c>
      <c r="AP29" s="123">
        <f t="shared" ref="AP29:AP98" si="5">AN29*AO29</f>
        <v>5695000</v>
      </c>
    </row>
    <row r="30" spans="1:42" ht="24.95" customHeight="1">
      <c r="A30" s="124">
        <v>25</v>
      </c>
      <c r="B30" s="116" t="s">
        <v>351</v>
      </c>
      <c r="C30" s="117" t="s">
        <v>443</v>
      </c>
      <c r="D30" s="125" t="s">
        <v>519</v>
      </c>
      <c r="E30" s="117" t="s">
        <v>622</v>
      </c>
      <c r="F30" s="126" t="s">
        <v>623</v>
      </c>
      <c r="G30" s="119" t="s">
        <v>351</v>
      </c>
      <c r="H30" s="120" t="s">
        <v>624</v>
      </c>
      <c r="I30" s="121"/>
      <c r="J30" s="121"/>
      <c r="K30" s="121"/>
      <c r="L30" s="121"/>
      <c r="M30" s="121"/>
      <c r="N30" s="121">
        <v>1.5</v>
      </c>
      <c r="O30" s="121">
        <v>1.5</v>
      </c>
      <c r="P30" s="121">
        <v>1.5</v>
      </c>
      <c r="Q30" s="121">
        <v>1</v>
      </c>
      <c r="R30" s="121"/>
      <c r="S30" s="121">
        <v>1.375</v>
      </c>
      <c r="T30" s="121">
        <v>1.5</v>
      </c>
      <c r="U30" s="121">
        <v>2</v>
      </c>
      <c r="V30" s="121">
        <v>2</v>
      </c>
      <c r="W30" s="121">
        <v>2</v>
      </c>
      <c r="X30" s="121"/>
      <c r="Y30" s="121"/>
      <c r="Z30" s="121"/>
      <c r="AA30" s="121">
        <v>1</v>
      </c>
      <c r="AB30" s="121">
        <v>1</v>
      </c>
      <c r="AC30" s="121">
        <v>2</v>
      </c>
      <c r="AD30" s="121">
        <v>2</v>
      </c>
      <c r="AE30" s="121">
        <v>1</v>
      </c>
      <c r="AF30" s="121"/>
      <c r="AG30" s="121">
        <v>1.5</v>
      </c>
      <c r="AH30" s="121">
        <v>2</v>
      </c>
      <c r="AI30" s="121">
        <v>2</v>
      </c>
      <c r="AJ30" s="121">
        <v>2</v>
      </c>
      <c r="AK30" s="121">
        <v>2</v>
      </c>
      <c r="AL30" s="121">
        <v>0.5</v>
      </c>
      <c r="AM30" s="121"/>
      <c r="AN30" s="122">
        <f t="shared" si="4"/>
        <v>31.375</v>
      </c>
      <c r="AO30" s="118">
        <v>160000</v>
      </c>
      <c r="AP30" s="123">
        <f t="shared" si="5"/>
        <v>5020000</v>
      </c>
    </row>
    <row r="31" spans="1:42" ht="24.95" customHeight="1">
      <c r="A31" s="124">
        <v>26</v>
      </c>
      <c r="B31" s="116" t="s">
        <v>352</v>
      </c>
      <c r="C31" s="117" t="s">
        <v>444</v>
      </c>
      <c r="D31" s="125" t="s">
        <v>519</v>
      </c>
      <c r="E31" s="117" t="s">
        <v>625</v>
      </c>
      <c r="F31" s="126" t="s">
        <v>531</v>
      </c>
      <c r="G31" s="119" t="s">
        <v>352</v>
      </c>
      <c r="H31" s="120" t="s">
        <v>626</v>
      </c>
      <c r="I31" s="121"/>
      <c r="J31" s="121"/>
      <c r="K31" s="121"/>
      <c r="L31" s="121">
        <v>1.5</v>
      </c>
      <c r="M31" s="121"/>
      <c r="N31" s="121">
        <v>1.5</v>
      </c>
      <c r="O31" s="121">
        <v>1.5</v>
      </c>
      <c r="P31" s="121">
        <v>1.5</v>
      </c>
      <c r="Q31" s="121">
        <v>0.5</v>
      </c>
      <c r="R31" s="121"/>
      <c r="S31" s="121">
        <v>1.5</v>
      </c>
      <c r="T31" s="121">
        <v>1.5</v>
      </c>
      <c r="U31" s="121">
        <v>1.5</v>
      </c>
      <c r="V31" s="121">
        <v>2</v>
      </c>
      <c r="W31" s="121">
        <v>2</v>
      </c>
      <c r="X31" s="121"/>
      <c r="Y31" s="121"/>
      <c r="Z31" s="121">
        <v>1</v>
      </c>
      <c r="AA31" s="121">
        <v>1</v>
      </c>
      <c r="AB31" s="121">
        <v>1</v>
      </c>
      <c r="AC31" s="121">
        <v>2</v>
      </c>
      <c r="AD31" s="121">
        <v>2</v>
      </c>
      <c r="AE31" s="121"/>
      <c r="AF31" s="121"/>
      <c r="AG31" s="121">
        <v>1.5</v>
      </c>
      <c r="AH31" s="121">
        <v>2</v>
      </c>
      <c r="AI31" s="121">
        <v>2</v>
      </c>
      <c r="AJ31" s="121">
        <v>2</v>
      </c>
      <c r="AK31" s="121">
        <v>0.5</v>
      </c>
      <c r="AL31" s="121">
        <v>1</v>
      </c>
      <c r="AM31" s="121"/>
      <c r="AN31" s="122">
        <f t="shared" si="4"/>
        <v>31</v>
      </c>
      <c r="AO31" s="118">
        <v>160000</v>
      </c>
      <c r="AP31" s="123">
        <f t="shared" si="5"/>
        <v>4960000</v>
      </c>
    </row>
    <row r="32" spans="1:42" ht="24.95" customHeight="1">
      <c r="A32" s="124">
        <v>27</v>
      </c>
      <c r="B32" s="116" t="s">
        <v>353</v>
      </c>
      <c r="C32" s="117" t="s">
        <v>445</v>
      </c>
      <c r="D32" s="127" t="s">
        <v>519</v>
      </c>
      <c r="E32" s="117" t="s">
        <v>627</v>
      </c>
      <c r="F32" s="126" t="s">
        <v>514</v>
      </c>
      <c r="G32" s="119" t="s">
        <v>353</v>
      </c>
      <c r="H32" s="120" t="s">
        <v>628</v>
      </c>
      <c r="I32" s="121"/>
      <c r="J32" s="121"/>
      <c r="K32" s="121"/>
      <c r="L32" s="121">
        <v>1.5</v>
      </c>
      <c r="M32" s="121"/>
      <c r="N32" s="121">
        <v>1.5</v>
      </c>
      <c r="O32" s="121">
        <v>1.5</v>
      </c>
      <c r="P32" s="121"/>
      <c r="Q32" s="121"/>
      <c r="R32" s="121"/>
      <c r="S32" s="121">
        <v>1.5</v>
      </c>
      <c r="T32" s="121">
        <v>1.5</v>
      </c>
      <c r="U32" s="121">
        <v>1.5</v>
      </c>
      <c r="V32" s="121">
        <v>0.5</v>
      </c>
      <c r="W32" s="121"/>
      <c r="X32" s="121"/>
      <c r="Y32" s="121"/>
      <c r="Z32" s="121">
        <v>1</v>
      </c>
      <c r="AA32" s="121"/>
      <c r="AB32" s="121">
        <v>1</v>
      </c>
      <c r="AC32" s="121">
        <v>2</v>
      </c>
      <c r="AD32" s="121"/>
      <c r="AE32" s="121"/>
      <c r="AF32" s="121"/>
      <c r="AG32" s="121">
        <v>1.5</v>
      </c>
      <c r="AH32" s="121">
        <v>1.5</v>
      </c>
      <c r="AI32" s="121">
        <v>2</v>
      </c>
      <c r="AJ32" s="121"/>
      <c r="AK32" s="121"/>
      <c r="AL32" s="121"/>
      <c r="AM32" s="121"/>
      <c r="AN32" s="122">
        <f t="shared" si="4"/>
        <v>18.5</v>
      </c>
      <c r="AO32" s="118">
        <v>150000</v>
      </c>
      <c r="AP32" s="123">
        <f t="shared" si="5"/>
        <v>2775000</v>
      </c>
    </row>
    <row r="33" spans="1:42" ht="24.95" customHeight="1">
      <c r="A33" s="124">
        <v>28</v>
      </c>
      <c r="B33" s="116" t="s">
        <v>354</v>
      </c>
      <c r="C33" s="117" t="s">
        <v>446</v>
      </c>
      <c r="D33" s="125" t="s">
        <v>519</v>
      </c>
      <c r="E33" s="117" t="s">
        <v>629</v>
      </c>
      <c r="F33" s="126" t="s">
        <v>531</v>
      </c>
      <c r="G33" s="119" t="s">
        <v>354</v>
      </c>
      <c r="H33" s="120" t="s">
        <v>630</v>
      </c>
      <c r="I33" s="121"/>
      <c r="J33" s="121"/>
      <c r="K33" s="121"/>
      <c r="L33" s="121"/>
      <c r="M33" s="121"/>
      <c r="N33" s="121">
        <v>1.5</v>
      </c>
      <c r="O33" s="121">
        <v>1.5</v>
      </c>
      <c r="P33" s="121">
        <v>1.5</v>
      </c>
      <c r="Q33" s="121"/>
      <c r="R33" s="121"/>
      <c r="S33" s="121">
        <v>1.5</v>
      </c>
      <c r="T33" s="121">
        <v>1.5</v>
      </c>
      <c r="U33" s="121">
        <v>1.5</v>
      </c>
      <c r="V33" s="121">
        <v>2</v>
      </c>
      <c r="W33" s="121">
        <v>2</v>
      </c>
      <c r="X33" s="121">
        <v>1</v>
      </c>
      <c r="Y33" s="121"/>
      <c r="Z33" s="121">
        <v>1</v>
      </c>
      <c r="AA33" s="121">
        <v>1</v>
      </c>
      <c r="AB33" s="121">
        <v>1</v>
      </c>
      <c r="AC33" s="121">
        <v>2</v>
      </c>
      <c r="AD33" s="121">
        <v>2</v>
      </c>
      <c r="AE33" s="121">
        <v>1</v>
      </c>
      <c r="AF33" s="121"/>
      <c r="AG33" s="121">
        <v>1.5</v>
      </c>
      <c r="AH33" s="121">
        <v>2</v>
      </c>
      <c r="AI33" s="121">
        <v>2</v>
      </c>
      <c r="AJ33" s="121">
        <v>2</v>
      </c>
      <c r="AK33" s="121">
        <v>2</v>
      </c>
      <c r="AL33" s="121">
        <v>1</v>
      </c>
      <c r="AM33" s="121"/>
      <c r="AN33" s="122">
        <f t="shared" si="4"/>
        <v>32.5</v>
      </c>
      <c r="AO33" s="118">
        <v>160000</v>
      </c>
      <c r="AP33" s="123">
        <f t="shared" si="5"/>
        <v>5200000</v>
      </c>
    </row>
    <row r="34" spans="1:42" ht="24.95" customHeight="1">
      <c r="A34" s="124">
        <v>29</v>
      </c>
      <c r="B34" s="116" t="s">
        <v>355</v>
      </c>
      <c r="C34" s="117" t="s">
        <v>447</v>
      </c>
      <c r="D34" s="127" t="s">
        <v>519</v>
      </c>
      <c r="E34" s="117" t="s">
        <v>631</v>
      </c>
      <c r="F34" s="126" t="s">
        <v>550</v>
      </c>
      <c r="G34" s="119" t="s">
        <v>355</v>
      </c>
      <c r="H34" s="120" t="s">
        <v>632</v>
      </c>
      <c r="I34" s="121"/>
      <c r="J34" s="121">
        <v>1</v>
      </c>
      <c r="K34" s="121"/>
      <c r="L34" s="121">
        <v>1.5</v>
      </c>
      <c r="M34" s="121"/>
      <c r="N34" s="121">
        <v>1.5</v>
      </c>
      <c r="O34" s="121">
        <v>1.5</v>
      </c>
      <c r="P34" s="121">
        <v>1.5</v>
      </c>
      <c r="Q34" s="121">
        <v>1</v>
      </c>
      <c r="R34" s="121"/>
      <c r="S34" s="121">
        <v>1.5</v>
      </c>
      <c r="T34" s="121">
        <v>1.5</v>
      </c>
      <c r="U34" s="121">
        <v>1.5</v>
      </c>
      <c r="V34" s="121">
        <v>2</v>
      </c>
      <c r="W34" s="121">
        <v>2</v>
      </c>
      <c r="X34" s="121">
        <v>1</v>
      </c>
      <c r="Y34" s="121"/>
      <c r="Z34" s="121"/>
      <c r="AA34" s="121">
        <v>1</v>
      </c>
      <c r="AB34" s="121">
        <v>1</v>
      </c>
      <c r="AC34" s="121">
        <v>2</v>
      </c>
      <c r="AD34" s="121">
        <v>2</v>
      </c>
      <c r="AE34" s="121">
        <v>1</v>
      </c>
      <c r="AF34" s="121"/>
      <c r="AG34" s="121">
        <v>1.5</v>
      </c>
      <c r="AH34" s="121">
        <v>2</v>
      </c>
      <c r="AI34" s="121">
        <v>2</v>
      </c>
      <c r="AJ34" s="121">
        <v>2</v>
      </c>
      <c r="AK34" s="121">
        <v>2</v>
      </c>
      <c r="AL34" s="121">
        <v>1</v>
      </c>
      <c r="AM34" s="121"/>
      <c r="AN34" s="122">
        <f t="shared" si="4"/>
        <v>35</v>
      </c>
      <c r="AO34" s="118">
        <v>150000</v>
      </c>
      <c r="AP34" s="123">
        <f t="shared" si="5"/>
        <v>5250000</v>
      </c>
    </row>
    <row r="35" spans="1:42" ht="24.95" customHeight="1">
      <c r="A35" s="124">
        <v>30</v>
      </c>
      <c r="B35" s="116" t="s">
        <v>356</v>
      </c>
      <c r="C35" s="117" t="s">
        <v>448</v>
      </c>
      <c r="D35" s="127" t="s">
        <v>519</v>
      </c>
      <c r="E35" s="117" t="s">
        <v>633</v>
      </c>
      <c r="F35" s="126" t="s">
        <v>528</v>
      </c>
      <c r="G35" s="119" t="s">
        <v>356</v>
      </c>
      <c r="H35" s="120" t="s">
        <v>634</v>
      </c>
      <c r="I35" s="121"/>
      <c r="J35" s="121"/>
      <c r="K35" s="121"/>
      <c r="L35" s="121">
        <v>1.5</v>
      </c>
      <c r="M35" s="121"/>
      <c r="N35" s="121">
        <v>1.5</v>
      </c>
      <c r="O35" s="121">
        <v>1.5</v>
      </c>
      <c r="P35" s="121">
        <v>1.5</v>
      </c>
      <c r="Q35" s="121">
        <v>1</v>
      </c>
      <c r="R35" s="121"/>
      <c r="S35" s="121">
        <v>1.5</v>
      </c>
      <c r="T35" s="121">
        <v>1.5</v>
      </c>
      <c r="U35" s="121">
        <v>1.5</v>
      </c>
      <c r="V35" s="121">
        <v>2</v>
      </c>
      <c r="W35" s="121">
        <v>2</v>
      </c>
      <c r="X35" s="121">
        <v>1</v>
      </c>
      <c r="Y35" s="121"/>
      <c r="Z35" s="121">
        <v>1</v>
      </c>
      <c r="AA35" s="121">
        <v>1</v>
      </c>
      <c r="AB35" s="121">
        <v>1</v>
      </c>
      <c r="AC35" s="121">
        <v>2</v>
      </c>
      <c r="AD35" s="121">
        <v>2</v>
      </c>
      <c r="AE35" s="121">
        <v>1</v>
      </c>
      <c r="AF35" s="121"/>
      <c r="AG35" s="121">
        <v>1.5</v>
      </c>
      <c r="AH35" s="121">
        <v>2</v>
      </c>
      <c r="AI35" s="121">
        <v>2</v>
      </c>
      <c r="AJ35" s="121">
        <v>2</v>
      </c>
      <c r="AK35" s="121">
        <v>2</v>
      </c>
      <c r="AL35" s="121">
        <v>1</v>
      </c>
      <c r="AM35" s="121"/>
      <c r="AN35" s="122">
        <f t="shared" si="4"/>
        <v>35</v>
      </c>
      <c r="AO35" s="118">
        <v>180000</v>
      </c>
      <c r="AP35" s="123">
        <f t="shared" si="5"/>
        <v>6300000</v>
      </c>
    </row>
    <row r="36" spans="1:42" ht="24.95" customHeight="1">
      <c r="A36" s="124">
        <v>31</v>
      </c>
      <c r="B36" s="116" t="s">
        <v>357</v>
      </c>
      <c r="C36" s="117" t="s">
        <v>449</v>
      </c>
      <c r="D36" s="127" t="s">
        <v>533</v>
      </c>
      <c r="E36" s="117" t="s">
        <v>635</v>
      </c>
      <c r="F36" s="126" t="s">
        <v>531</v>
      </c>
      <c r="G36" s="119" t="s">
        <v>357</v>
      </c>
      <c r="H36" s="120" t="s">
        <v>636</v>
      </c>
      <c r="I36" s="121"/>
      <c r="J36" s="121"/>
      <c r="K36" s="121"/>
      <c r="L36" s="121"/>
      <c r="M36" s="121"/>
      <c r="N36" s="121">
        <v>1.5</v>
      </c>
      <c r="O36" s="121">
        <v>1.5</v>
      </c>
      <c r="P36" s="121">
        <v>1.5</v>
      </c>
      <c r="Q36" s="121"/>
      <c r="R36" s="121"/>
      <c r="S36" s="121">
        <v>1.5</v>
      </c>
      <c r="T36" s="121">
        <v>1.5</v>
      </c>
      <c r="U36" s="121">
        <v>2</v>
      </c>
      <c r="V36" s="121">
        <v>2</v>
      </c>
      <c r="W36" s="121">
        <v>2</v>
      </c>
      <c r="X36" s="121"/>
      <c r="Y36" s="121"/>
      <c r="Z36" s="121"/>
      <c r="AA36" s="121">
        <v>1</v>
      </c>
      <c r="AB36" s="121">
        <v>1</v>
      </c>
      <c r="AC36" s="121">
        <v>2</v>
      </c>
      <c r="AD36" s="121">
        <v>2</v>
      </c>
      <c r="AE36" s="121"/>
      <c r="AF36" s="121"/>
      <c r="AG36" s="121"/>
      <c r="AH36" s="121">
        <v>2</v>
      </c>
      <c r="AI36" s="121">
        <v>2</v>
      </c>
      <c r="AJ36" s="121">
        <v>2</v>
      </c>
      <c r="AK36" s="121">
        <v>2</v>
      </c>
      <c r="AL36" s="121"/>
      <c r="AM36" s="121"/>
      <c r="AN36" s="122">
        <f t="shared" si="4"/>
        <v>27.5</v>
      </c>
      <c r="AO36" s="118">
        <v>220000</v>
      </c>
      <c r="AP36" s="123">
        <f t="shared" si="5"/>
        <v>6050000</v>
      </c>
    </row>
    <row r="37" spans="1:42" ht="24.95" customHeight="1">
      <c r="A37" s="124">
        <v>32</v>
      </c>
      <c r="B37" s="116" t="s">
        <v>358</v>
      </c>
      <c r="C37" s="117" t="s">
        <v>450</v>
      </c>
      <c r="D37" s="125" t="s">
        <v>533</v>
      </c>
      <c r="E37" s="117" t="s">
        <v>637</v>
      </c>
      <c r="F37" s="126" t="s">
        <v>528</v>
      </c>
      <c r="G37" s="119" t="s">
        <v>358</v>
      </c>
      <c r="H37" s="120" t="s">
        <v>638</v>
      </c>
      <c r="I37" s="121"/>
      <c r="J37" s="121"/>
      <c r="K37" s="121"/>
      <c r="L37" s="121">
        <v>2.5</v>
      </c>
      <c r="M37" s="121">
        <v>2</v>
      </c>
      <c r="N37" s="121">
        <v>2</v>
      </c>
      <c r="O37" s="121">
        <v>2</v>
      </c>
      <c r="P37" s="121">
        <v>2</v>
      </c>
      <c r="Q37" s="121"/>
      <c r="R37" s="121"/>
      <c r="S37" s="121">
        <v>2</v>
      </c>
      <c r="T37" s="121">
        <v>2</v>
      </c>
      <c r="U37" s="121">
        <v>2</v>
      </c>
      <c r="V37" s="121">
        <v>2</v>
      </c>
      <c r="W37" s="121">
        <v>2</v>
      </c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2">
        <f t="shared" si="4"/>
        <v>20.5</v>
      </c>
      <c r="AO37" s="118">
        <v>220000</v>
      </c>
      <c r="AP37" s="123">
        <f t="shared" si="5"/>
        <v>4510000</v>
      </c>
    </row>
    <row r="38" spans="1:42" ht="24.95" customHeight="1">
      <c r="A38" s="124">
        <v>33</v>
      </c>
      <c r="B38" s="116" t="s">
        <v>359</v>
      </c>
      <c r="C38" s="117" t="s">
        <v>451</v>
      </c>
      <c r="D38" s="125" t="s">
        <v>533</v>
      </c>
      <c r="E38" s="117" t="s">
        <v>639</v>
      </c>
      <c r="F38" s="126" t="s">
        <v>514</v>
      </c>
      <c r="G38" s="119" t="s">
        <v>359</v>
      </c>
      <c r="H38" s="120" t="s">
        <v>640</v>
      </c>
      <c r="I38" s="121"/>
      <c r="J38" s="121"/>
      <c r="K38" s="121"/>
      <c r="L38" s="121">
        <v>1.5</v>
      </c>
      <c r="M38" s="121"/>
      <c r="N38" s="121">
        <v>1.5</v>
      </c>
      <c r="O38" s="121">
        <v>1.5</v>
      </c>
      <c r="P38" s="121">
        <v>1.5</v>
      </c>
      <c r="Q38" s="121"/>
      <c r="R38" s="121"/>
      <c r="S38" s="121">
        <v>1.5</v>
      </c>
      <c r="T38" s="121">
        <v>1.5</v>
      </c>
      <c r="U38" s="121">
        <v>1.5</v>
      </c>
      <c r="V38" s="121">
        <v>2</v>
      </c>
      <c r="W38" s="121">
        <v>2</v>
      </c>
      <c r="X38" s="121"/>
      <c r="Y38" s="121"/>
      <c r="Z38" s="121">
        <v>1</v>
      </c>
      <c r="AA38" s="121">
        <v>1</v>
      </c>
      <c r="AB38" s="121">
        <v>1</v>
      </c>
      <c r="AC38" s="121">
        <v>2</v>
      </c>
      <c r="AD38" s="121">
        <v>2</v>
      </c>
      <c r="AE38" s="121">
        <v>1</v>
      </c>
      <c r="AF38" s="121"/>
      <c r="AG38" s="121">
        <v>1.5</v>
      </c>
      <c r="AH38" s="121">
        <v>2</v>
      </c>
      <c r="AI38" s="121">
        <v>2</v>
      </c>
      <c r="AJ38" s="121">
        <v>2</v>
      </c>
      <c r="AK38" s="121">
        <v>2</v>
      </c>
      <c r="AL38" s="121">
        <v>0.5</v>
      </c>
      <c r="AM38" s="121"/>
      <c r="AN38" s="122">
        <f t="shared" si="4"/>
        <v>32.5</v>
      </c>
      <c r="AO38" s="118">
        <v>180000</v>
      </c>
      <c r="AP38" s="123">
        <f t="shared" si="5"/>
        <v>5850000</v>
      </c>
    </row>
    <row r="39" spans="1:42" ht="24.95" customHeight="1">
      <c r="A39" s="124">
        <v>34</v>
      </c>
      <c r="B39" s="116" t="s">
        <v>360</v>
      </c>
      <c r="C39" s="117" t="s">
        <v>452</v>
      </c>
      <c r="D39" s="127" t="s">
        <v>512</v>
      </c>
      <c r="E39" s="117" t="s">
        <v>641</v>
      </c>
      <c r="F39" s="126" t="s">
        <v>539</v>
      </c>
      <c r="G39" s="119" t="s">
        <v>360</v>
      </c>
      <c r="H39" s="120" t="s">
        <v>642</v>
      </c>
      <c r="I39" s="121"/>
      <c r="J39" s="121"/>
      <c r="K39" s="121"/>
      <c r="L39" s="121">
        <v>1.5</v>
      </c>
      <c r="M39" s="121"/>
      <c r="N39" s="121">
        <v>1.5</v>
      </c>
      <c r="O39" s="121">
        <v>1.5</v>
      </c>
      <c r="P39" s="121">
        <v>1.5</v>
      </c>
      <c r="Q39" s="121">
        <v>1</v>
      </c>
      <c r="R39" s="121"/>
      <c r="S39" s="121">
        <v>1.5</v>
      </c>
      <c r="T39" s="121">
        <v>1.5</v>
      </c>
      <c r="U39" s="121">
        <v>1.5</v>
      </c>
      <c r="V39" s="121">
        <v>2</v>
      </c>
      <c r="W39" s="121">
        <v>2</v>
      </c>
      <c r="X39" s="121">
        <v>1</v>
      </c>
      <c r="Y39" s="121"/>
      <c r="Z39" s="121">
        <v>1</v>
      </c>
      <c r="AA39" s="121">
        <v>1</v>
      </c>
      <c r="AB39" s="121">
        <v>1</v>
      </c>
      <c r="AC39" s="121">
        <v>2</v>
      </c>
      <c r="AD39" s="121">
        <v>2</v>
      </c>
      <c r="AE39" s="121"/>
      <c r="AF39" s="121"/>
      <c r="AG39" s="121">
        <v>1.5</v>
      </c>
      <c r="AH39" s="121">
        <v>2</v>
      </c>
      <c r="AI39" s="121">
        <v>2</v>
      </c>
      <c r="AJ39" s="121">
        <v>2</v>
      </c>
      <c r="AK39" s="121">
        <v>2</v>
      </c>
      <c r="AL39" s="121">
        <v>1</v>
      </c>
      <c r="AM39" s="121"/>
      <c r="AN39" s="122">
        <f t="shared" si="4"/>
        <v>34</v>
      </c>
      <c r="AO39" s="118">
        <v>240000</v>
      </c>
      <c r="AP39" s="123">
        <f t="shared" si="5"/>
        <v>8160000</v>
      </c>
    </row>
    <row r="40" spans="1:42" ht="24.95" customHeight="1">
      <c r="A40" s="124">
        <v>35</v>
      </c>
      <c r="B40" s="116" t="s">
        <v>361</v>
      </c>
      <c r="C40" s="117" t="s">
        <v>453</v>
      </c>
      <c r="D40" s="125" t="s">
        <v>519</v>
      </c>
      <c r="E40" s="117" t="s">
        <v>643</v>
      </c>
      <c r="F40" s="126" t="s">
        <v>528</v>
      </c>
      <c r="G40" s="119" t="s">
        <v>361</v>
      </c>
      <c r="H40" s="120" t="s">
        <v>644</v>
      </c>
      <c r="I40" s="121"/>
      <c r="J40" s="121"/>
      <c r="K40" s="121"/>
      <c r="L40" s="121">
        <v>1.5</v>
      </c>
      <c r="M40" s="121"/>
      <c r="N40" s="121">
        <v>1.5</v>
      </c>
      <c r="O40" s="121">
        <v>1.5</v>
      </c>
      <c r="P40" s="121">
        <v>1.5</v>
      </c>
      <c r="Q40" s="121"/>
      <c r="R40" s="121"/>
      <c r="S40" s="121">
        <v>1.5</v>
      </c>
      <c r="T40" s="121">
        <v>1.5</v>
      </c>
      <c r="U40" s="121">
        <v>1.5</v>
      </c>
      <c r="V40" s="121">
        <v>2</v>
      </c>
      <c r="W40" s="121">
        <v>2</v>
      </c>
      <c r="X40" s="121"/>
      <c r="Y40" s="121"/>
      <c r="Z40" s="121">
        <v>1</v>
      </c>
      <c r="AA40" s="121">
        <v>1</v>
      </c>
      <c r="AB40" s="121">
        <v>1</v>
      </c>
      <c r="AC40" s="121">
        <v>2</v>
      </c>
      <c r="AD40" s="121">
        <v>2</v>
      </c>
      <c r="AE40" s="121">
        <v>1</v>
      </c>
      <c r="AF40" s="121"/>
      <c r="AG40" s="121">
        <v>1.5</v>
      </c>
      <c r="AH40" s="121">
        <v>2</v>
      </c>
      <c r="AI40" s="121">
        <v>2</v>
      </c>
      <c r="AJ40" s="121">
        <v>2</v>
      </c>
      <c r="AK40" s="121">
        <v>2</v>
      </c>
      <c r="AL40" s="121">
        <v>1</v>
      </c>
      <c r="AM40" s="121"/>
      <c r="AN40" s="122">
        <f t="shared" si="4"/>
        <v>33</v>
      </c>
      <c r="AO40" s="118">
        <v>150000</v>
      </c>
      <c r="AP40" s="123">
        <f t="shared" si="5"/>
        <v>4950000</v>
      </c>
    </row>
    <row r="41" spans="1:42" ht="24.95" customHeight="1">
      <c r="A41" s="124">
        <v>36</v>
      </c>
      <c r="B41" s="116" t="s">
        <v>362</v>
      </c>
      <c r="C41" s="117" t="s">
        <v>454</v>
      </c>
      <c r="D41" s="127" t="s">
        <v>512</v>
      </c>
      <c r="E41" s="117" t="s">
        <v>645</v>
      </c>
      <c r="F41" s="126" t="s">
        <v>545</v>
      </c>
      <c r="G41" s="119" t="s">
        <v>362</v>
      </c>
      <c r="H41" s="120" t="s">
        <v>646</v>
      </c>
      <c r="I41" s="121"/>
      <c r="J41" s="121"/>
      <c r="K41" s="121"/>
      <c r="L41" s="121"/>
      <c r="M41" s="121"/>
      <c r="N41" s="121">
        <v>1.5</v>
      </c>
      <c r="O41" s="121">
        <v>1.5</v>
      </c>
      <c r="P41" s="121"/>
      <c r="Q41" s="121">
        <v>1</v>
      </c>
      <c r="R41" s="121"/>
      <c r="S41" s="121">
        <v>1.5</v>
      </c>
      <c r="T41" s="121"/>
      <c r="U41" s="121">
        <v>1.5</v>
      </c>
      <c r="V41" s="121">
        <v>2</v>
      </c>
      <c r="W41" s="121">
        <v>2</v>
      </c>
      <c r="X41" s="121">
        <v>1</v>
      </c>
      <c r="Y41" s="121"/>
      <c r="Z41" s="121">
        <v>1</v>
      </c>
      <c r="AA41" s="121">
        <v>1</v>
      </c>
      <c r="AB41" s="121">
        <v>1</v>
      </c>
      <c r="AC41" s="121">
        <v>2</v>
      </c>
      <c r="AD41" s="121">
        <v>2</v>
      </c>
      <c r="AE41" s="121">
        <v>1</v>
      </c>
      <c r="AF41" s="121"/>
      <c r="AG41" s="121">
        <v>1.5</v>
      </c>
      <c r="AH41" s="121">
        <v>2</v>
      </c>
      <c r="AI41" s="121">
        <v>2</v>
      </c>
      <c r="AJ41" s="121">
        <v>2</v>
      </c>
      <c r="AK41" s="121">
        <v>2</v>
      </c>
      <c r="AL41" s="121"/>
      <c r="AM41" s="121"/>
      <c r="AN41" s="122">
        <f t="shared" si="4"/>
        <v>29.5</v>
      </c>
      <c r="AO41" s="118">
        <v>240000</v>
      </c>
      <c r="AP41" s="123">
        <f t="shared" si="5"/>
        <v>7080000</v>
      </c>
    </row>
    <row r="42" spans="1:42" ht="24.95" customHeight="1">
      <c r="A42" s="124">
        <v>37</v>
      </c>
      <c r="B42" s="116" t="s">
        <v>363</v>
      </c>
      <c r="C42" s="117" t="s">
        <v>455</v>
      </c>
      <c r="D42" s="127" t="s">
        <v>533</v>
      </c>
      <c r="E42" s="117" t="s">
        <v>647</v>
      </c>
      <c r="F42" s="126" t="s">
        <v>525</v>
      </c>
      <c r="G42" s="119" t="s">
        <v>363</v>
      </c>
      <c r="H42" s="120" t="s">
        <v>648</v>
      </c>
      <c r="I42" s="121"/>
      <c r="J42" s="121"/>
      <c r="K42" s="121"/>
      <c r="L42" s="121"/>
      <c r="M42" s="121"/>
      <c r="N42" s="121">
        <v>1.5</v>
      </c>
      <c r="O42" s="121">
        <v>1.5</v>
      </c>
      <c r="P42" s="121">
        <v>1.5</v>
      </c>
      <c r="Q42" s="121"/>
      <c r="R42" s="121"/>
      <c r="S42" s="121"/>
      <c r="T42" s="121">
        <v>1.5</v>
      </c>
      <c r="U42" s="121">
        <v>1.5</v>
      </c>
      <c r="V42" s="121">
        <v>2</v>
      </c>
      <c r="W42" s="121">
        <v>2</v>
      </c>
      <c r="X42" s="121"/>
      <c r="Y42" s="121"/>
      <c r="Z42" s="121">
        <v>1</v>
      </c>
      <c r="AA42" s="121">
        <v>1</v>
      </c>
      <c r="AB42" s="121">
        <v>1</v>
      </c>
      <c r="AC42" s="121">
        <v>2</v>
      </c>
      <c r="AD42" s="121">
        <v>2</v>
      </c>
      <c r="AE42" s="121">
        <v>1</v>
      </c>
      <c r="AF42" s="121"/>
      <c r="AG42" s="121">
        <v>1.5</v>
      </c>
      <c r="AH42" s="121">
        <v>2</v>
      </c>
      <c r="AI42" s="121">
        <v>2</v>
      </c>
      <c r="AJ42" s="121">
        <v>2</v>
      </c>
      <c r="AK42" s="121">
        <v>1.875</v>
      </c>
      <c r="AL42" s="121"/>
      <c r="AM42" s="121"/>
      <c r="AN42" s="122">
        <f t="shared" si="4"/>
        <v>28.875</v>
      </c>
      <c r="AO42" s="118">
        <v>210000</v>
      </c>
      <c r="AP42" s="123">
        <f t="shared" si="5"/>
        <v>6063750</v>
      </c>
    </row>
    <row r="43" spans="1:42" ht="24.95" customHeight="1">
      <c r="A43" s="124">
        <v>38</v>
      </c>
      <c r="B43" s="116" t="s">
        <v>364</v>
      </c>
      <c r="C43" s="117" t="s">
        <v>456</v>
      </c>
      <c r="D43" s="127" t="s">
        <v>519</v>
      </c>
      <c r="E43" s="117" t="s">
        <v>649</v>
      </c>
      <c r="F43" s="126" t="s">
        <v>528</v>
      </c>
      <c r="G43" s="119" t="s">
        <v>364</v>
      </c>
      <c r="H43" s="120" t="s">
        <v>650</v>
      </c>
      <c r="I43" s="121"/>
      <c r="J43" s="121"/>
      <c r="K43" s="121"/>
      <c r="L43" s="121"/>
      <c r="M43" s="121"/>
      <c r="N43" s="121">
        <v>1.5</v>
      </c>
      <c r="O43" s="121">
        <v>1.5</v>
      </c>
      <c r="P43" s="121">
        <v>1.5</v>
      </c>
      <c r="Q43" s="121">
        <v>1</v>
      </c>
      <c r="R43" s="121"/>
      <c r="S43" s="121">
        <v>1.5</v>
      </c>
      <c r="T43" s="121">
        <v>1.5</v>
      </c>
      <c r="U43" s="121">
        <v>1.5</v>
      </c>
      <c r="V43" s="121">
        <v>2</v>
      </c>
      <c r="W43" s="121">
        <v>2</v>
      </c>
      <c r="X43" s="121">
        <v>1</v>
      </c>
      <c r="Y43" s="121"/>
      <c r="Z43" s="121">
        <v>1</v>
      </c>
      <c r="AA43" s="121">
        <v>1</v>
      </c>
      <c r="AB43" s="121">
        <v>1</v>
      </c>
      <c r="AC43" s="121">
        <v>2</v>
      </c>
      <c r="AD43" s="121">
        <v>2</v>
      </c>
      <c r="AE43" s="121">
        <v>1</v>
      </c>
      <c r="AF43" s="121"/>
      <c r="AG43" s="121">
        <v>1.5</v>
      </c>
      <c r="AH43" s="121">
        <v>2</v>
      </c>
      <c r="AI43" s="121">
        <v>2</v>
      </c>
      <c r="AJ43" s="121">
        <v>2</v>
      </c>
      <c r="AK43" s="121">
        <v>2</v>
      </c>
      <c r="AL43" s="121">
        <v>0.5</v>
      </c>
      <c r="AM43" s="121"/>
      <c r="AN43" s="122">
        <f t="shared" si="4"/>
        <v>33</v>
      </c>
      <c r="AO43" s="118">
        <v>150000</v>
      </c>
      <c r="AP43" s="123">
        <f t="shared" si="5"/>
        <v>4950000</v>
      </c>
    </row>
    <row r="44" spans="1:42" ht="24.95" customHeight="1">
      <c r="A44" s="124">
        <v>39</v>
      </c>
      <c r="B44" s="116" t="s">
        <v>365</v>
      </c>
      <c r="C44" s="117" t="s">
        <v>457</v>
      </c>
      <c r="D44" s="125" t="s">
        <v>533</v>
      </c>
      <c r="E44" s="117" t="s">
        <v>651</v>
      </c>
      <c r="F44" s="126" t="s">
        <v>599</v>
      </c>
      <c r="G44" s="119" t="s">
        <v>365</v>
      </c>
      <c r="H44" s="120" t="s">
        <v>652</v>
      </c>
      <c r="I44" s="121"/>
      <c r="J44" s="121">
        <v>1</v>
      </c>
      <c r="K44" s="121"/>
      <c r="L44" s="121">
        <v>1.5</v>
      </c>
      <c r="M44" s="121"/>
      <c r="N44" s="121">
        <v>1.5</v>
      </c>
      <c r="O44" s="121">
        <v>1.5</v>
      </c>
      <c r="P44" s="121">
        <v>1.5</v>
      </c>
      <c r="Q44" s="121">
        <v>1</v>
      </c>
      <c r="R44" s="121"/>
      <c r="S44" s="121">
        <v>1.5</v>
      </c>
      <c r="T44" s="121">
        <v>1.5</v>
      </c>
      <c r="U44" s="121">
        <v>1.5</v>
      </c>
      <c r="V44" s="121">
        <v>2</v>
      </c>
      <c r="W44" s="121">
        <v>2</v>
      </c>
      <c r="X44" s="121">
        <v>1</v>
      </c>
      <c r="Y44" s="121"/>
      <c r="Z44" s="121">
        <v>1</v>
      </c>
      <c r="AA44" s="121">
        <v>1</v>
      </c>
      <c r="AB44" s="121">
        <v>1</v>
      </c>
      <c r="AC44" s="121">
        <v>2</v>
      </c>
      <c r="AD44" s="121">
        <v>2</v>
      </c>
      <c r="AE44" s="121">
        <v>1</v>
      </c>
      <c r="AF44" s="121"/>
      <c r="AG44" s="121">
        <v>1.5</v>
      </c>
      <c r="AH44" s="121">
        <v>2</v>
      </c>
      <c r="AI44" s="121">
        <v>2</v>
      </c>
      <c r="AJ44" s="121">
        <v>2</v>
      </c>
      <c r="AK44" s="121">
        <v>2</v>
      </c>
      <c r="AL44" s="121">
        <v>1</v>
      </c>
      <c r="AM44" s="121"/>
      <c r="AN44" s="122">
        <f t="shared" si="4"/>
        <v>36</v>
      </c>
      <c r="AO44" s="118">
        <v>220000</v>
      </c>
      <c r="AP44" s="123">
        <f t="shared" si="5"/>
        <v>7920000</v>
      </c>
    </row>
    <row r="45" spans="1:42" ht="24.95" customHeight="1">
      <c r="A45" s="124">
        <v>40</v>
      </c>
      <c r="B45" s="116" t="s">
        <v>366</v>
      </c>
      <c r="C45" s="117" t="s">
        <v>458</v>
      </c>
      <c r="D45" s="125" t="s">
        <v>717</v>
      </c>
      <c r="E45" s="117" t="s">
        <v>653</v>
      </c>
      <c r="F45" s="126" t="s">
        <v>599</v>
      </c>
      <c r="G45" s="119" t="s">
        <v>366</v>
      </c>
      <c r="H45" s="120" t="s">
        <v>654</v>
      </c>
      <c r="I45" s="121"/>
      <c r="J45" s="121"/>
      <c r="K45" s="121"/>
      <c r="L45" s="121">
        <v>1.5</v>
      </c>
      <c r="M45" s="121"/>
      <c r="N45" s="121">
        <v>1.5</v>
      </c>
      <c r="O45" s="121">
        <v>1.5</v>
      </c>
      <c r="P45" s="121"/>
      <c r="Q45" s="121"/>
      <c r="R45" s="121"/>
      <c r="S45" s="121">
        <v>1.5</v>
      </c>
      <c r="T45" s="121">
        <v>1.5</v>
      </c>
      <c r="U45" s="121">
        <v>1.5</v>
      </c>
      <c r="V45" s="121">
        <v>2</v>
      </c>
      <c r="W45" s="121">
        <v>2</v>
      </c>
      <c r="X45" s="121">
        <v>1</v>
      </c>
      <c r="Y45" s="121"/>
      <c r="Z45" s="121">
        <v>1</v>
      </c>
      <c r="AA45" s="121">
        <v>1</v>
      </c>
      <c r="AB45" s="121">
        <v>1</v>
      </c>
      <c r="AC45" s="121">
        <v>2</v>
      </c>
      <c r="AD45" s="121">
        <v>2</v>
      </c>
      <c r="AE45" s="121">
        <v>1</v>
      </c>
      <c r="AF45" s="121"/>
      <c r="AG45" s="121">
        <v>1.5</v>
      </c>
      <c r="AH45" s="121">
        <v>2</v>
      </c>
      <c r="AI45" s="121">
        <v>1.5</v>
      </c>
      <c r="AJ45" s="121">
        <v>2</v>
      </c>
      <c r="AK45" s="121"/>
      <c r="AL45" s="121">
        <v>1</v>
      </c>
      <c r="AM45" s="121"/>
      <c r="AN45" s="122">
        <f t="shared" si="4"/>
        <v>30</v>
      </c>
      <c r="AO45" s="118">
        <v>190000</v>
      </c>
      <c r="AP45" s="123">
        <f t="shared" si="5"/>
        <v>5700000</v>
      </c>
    </row>
    <row r="46" spans="1:42" ht="24.95" customHeight="1">
      <c r="A46" s="124">
        <v>41</v>
      </c>
      <c r="B46" s="116" t="s">
        <v>367</v>
      </c>
      <c r="C46" s="117" t="s">
        <v>459</v>
      </c>
      <c r="D46" s="127" t="s">
        <v>519</v>
      </c>
      <c r="E46" s="117" t="s">
        <v>655</v>
      </c>
      <c r="F46" s="126" t="s">
        <v>542</v>
      </c>
      <c r="G46" s="119" t="s">
        <v>367</v>
      </c>
      <c r="H46" s="120" t="s">
        <v>656</v>
      </c>
      <c r="I46" s="121"/>
      <c r="J46" s="121"/>
      <c r="K46" s="121"/>
      <c r="L46" s="121">
        <v>2.5</v>
      </c>
      <c r="M46" s="121">
        <v>2</v>
      </c>
      <c r="N46" s="121">
        <v>2</v>
      </c>
      <c r="O46" s="121">
        <v>2</v>
      </c>
      <c r="P46" s="121">
        <v>2</v>
      </c>
      <c r="Q46" s="121"/>
      <c r="R46" s="121"/>
      <c r="S46" s="121">
        <v>2</v>
      </c>
      <c r="T46" s="121">
        <v>2</v>
      </c>
      <c r="U46" s="121">
        <v>1.75</v>
      </c>
      <c r="V46" s="121">
        <v>2</v>
      </c>
      <c r="W46" s="121">
        <v>2</v>
      </c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2">
        <f t="shared" si="4"/>
        <v>20.25</v>
      </c>
      <c r="AO46" s="118">
        <v>150000</v>
      </c>
      <c r="AP46" s="123">
        <f t="shared" si="5"/>
        <v>3037500</v>
      </c>
    </row>
    <row r="47" spans="1:42" ht="24.95" customHeight="1">
      <c r="A47" s="124">
        <v>42</v>
      </c>
      <c r="B47" s="116" t="s">
        <v>368</v>
      </c>
      <c r="C47" s="117" t="s">
        <v>460</v>
      </c>
      <c r="D47" s="125" t="s">
        <v>519</v>
      </c>
      <c r="E47" s="117" t="s">
        <v>657</v>
      </c>
      <c r="F47" s="126" t="s">
        <v>528</v>
      </c>
      <c r="G47" s="119" t="s">
        <v>368</v>
      </c>
      <c r="H47" s="120" t="s">
        <v>658</v>
      </c>
      <c r="I47" s="121"/>
      <c r="J47" s="121"/>
      <c r="K47" s="121"/>
      <c r="L47" s="121">
        <v>2.5</v>
      </c>
      <c r="M47" s="121">
        <v>2</v>
      </c>
      <c r="N47" s="121">
        <v>2</v>
      </c>
      <c r="O47" s="121">
        <v>2</v>
      </c>
      <c r="P47" s="121">
        <v>2</v>
      </c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2">
        <f t="shared" si="4"/>
        <v>10.5</v>
      </c>
      <c r="AO47" s="118">
        <v>160000</v>
      </c>
      <c r="AP47" s="123">
        <f t="shared" si="5"/>
        <v>1680000</v>
      </c>
    </row>
    <row r="48" spans="1:42" ht="24.95" customHeight="1">
      <c r="A48" s="124">
        <v>43</v>
      </c>
      <c r="B48" s="116" t="s">
        <v>369</v>
      </c>
      <c r="C48" s="117" t="s">
        <v>461</v>
      </c>
      <c r="D48" s="127" t="s">
        <v>519</v>
      </c>
      <c r="E48" s="117" t="s">
        <v>659</v>
      </c>
      <c r="F48" s="126" t="s">
        <v>525</v>
      </c>
      <c r="G48" s="119" t="s">
        <v>369</v>
      </c>
      <c r="H48" s="120" t="s">
        <v>660</v>
      </c>
      <c r="I48" s="121"/>
      <c r="J48" s="121"/>
      <c r="K48" s="121"/>
      <c r="L48" s="121"/>
      <c r="M48" s="121"/>
      <c r="N48" s="121">
        <v>1.5</v>
      </c>
      <c r="O48" s="121">
        <v>1.5</v>
      </c>
      <c r="P48" s="121">
        <v>1.5</v>
      </c>
      <c r="Q48" s="121"/>
      <c r="R48" s="121"/>
      <c r="S48" s="121">
        <v>1.5</v>
      </c>
      <c r="T48" s="121">
        <v>1.5</v>
      </c>
      <c r="U48" s="121">
        <v>1.5</v>
      </c>
      <c r="V48" s="121">
        <v>2</v>
      </c>
      <c r="W48" s="121">
        <v>0.5</v>
      </c>
      <c r="X48" s="121"/>
      <c r="Y48" s="121"/>
      <c r="Z48" s="121">
        <v>1</v>
      </c>
      <c r="AA48" s="121">
        <v>1</v>
      </c>
      <c r="AB48" s="121">
        <v>1</v>
      </c>
      <c r="AC48" s="121">
        <v>2</v>
      </c>
      <c r="AD48" s="121">
        <v>2</v>
      </c>
      <c r="AE48" s="121">
        <v>1</v>
      </c>
      <c r="AF48" s="121"/>
      <c r="AG48" s="121">
        <v>1.5</v>
      </c>
      <c r="AH48" s="121">
        <v>2</v>
      </c>
      <c r="AI48" s="121">
        <v>2</v>
      </c>
      <c r="AJ48" s="121"/>
      <c r="AK48" s="121">
        <v>1.5</v>
      </c>
      <c r="AL48" s="121"/>
      <c r="AM48" s="121"/>
      <c r="AN48" s="122">
        <f t="shared" si="4"/>
        <v>26.5</v>
      </c>
      <c r="AO48" s="118">
        <v>150000</v>
      </c>
      <c r="AP48" s="123">
        <f t="shared" si="5"/>
        <v>3975000</v>
      </c>
    </row>
    <row r="49" spans="1:42" ht="24.95" customHeight="1">
      <c r="A49" s="124">
        <v>44</v>
      </c>
      <c r="B49" s="116" t="s">
        <v>370</v>
      </c>
      <c r="C49" s="117" t="s">
        <v>462</v>
      </c>
      <c r="D49" s="127" t="s">
        <v>533</v>
      </c>
      <c r="E49" s="117" t="s">
        <v>661</v>
      </c>
      <c r="F49" s="126" t="s">
        <v>662</v>
      </c>
      <c r="G49" s="119" t="s">
        <v>370</v>
      </c>
      <c r="H49" s="120" t="s">
        <v>663</v>
      </c>
      <c r="I49" s="121"/>
      <c r="J49" s="121"/>
      <c r="K49" s="121"/>
      <c r="L49" s="121"/>
      <c r="M49" s="121"/>
      <c r="N49" s="121">
        <v>1.5</v>
      </c>
      <c r="O49" s="121">
        <v>1.5</v>
      </c>
      <c r="P49" s="121">
        <v>1.5</v>
      </c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2">
        <f t="shared" si="4"/>
        <v>4.5</v>
      </c>
      <c r="AO49" s="118">
        <v>200000</v>
      </c>
      <c r="AP49" s="123">
        <f t="shared" si="5"/>
        <v>900000</v>
      </c>
    </row>
    <row r="50" spans="1:42" ht="24.95" customHeight="1">
      <c r="A50" s="124">
        <v>45</v>
      </c>
      <c r="B50" s="116" t="s">
        <v>371</v>
      </c>
      <c r="C50" s="117" t="s">
        <v>463</v>
      </c>
      <c r="D50" s="127" t="s">
        <v>519</v>
      </c>
      <c r="E50" s="117" t="s">
        <v>664</v>
      </c>
      <c r="F50" s="126" t="s">
        <v>525</v>
      </c>
      <c r="G50" s="119" t="s">
        <v>371</v>
      </c>
      <c r="H50" s="120" t="s">
        <v>665</v>
      </c>
      <c r="I50" s="121"/>
      <c r="J50" s="121"/>
      <c r="K50" s="121"/>
      <c r="L50" s="121">
        <v>1.5</v>
      </c>
      <c r="M50" s="121"/>
      <c r="N50" s="121">
        <v>1.5</v>
      </c>
      <c r="O50" s="121">
        <v>1.5</v>
      </c>
      <c r="P50" s="121">
        <v>1.5</v>
      </c>
      <c r="Q50" s="121"/>
      <c r="R50" s="121"/>
      <c r="S50" s="121">
        <v>1.5</v>
      </c>
      <c r="T50" s="121">
        <v>1.5</v>
      </c>
      <c r="U50" s="121">
        <v>1.5</v>
      </c>
      <c r="V50" s="121">
        <v>2</v>
      </c>
      <c r="W50" s="121">
        <v>1</v>
      </c>
      <c r="X50" s="121"/>
      <c r="Y50" s="121"/>
      <c r="Z50" s="121">
        <v>1</v>
      </c>
      <c r="AA50" s="121">
        <v>1</v>
      </c>
      <c r="AB50" s="121">
        <v>1</v>
      </c>
      <c r="AC50" s="121">
        <v>2</v>
      </c>
      <c r="AD50" s="121">
        <v>2</v>
      </c>
      <c r="AE50" s="121">
        <v>1</v>
      </c>
      <c r="AF50" s="121"/>
      <c r="AG50" s="121">
        <v>1.5</v>
      </c>
      <c r="AH50" s="121">
        <v>2</v>
      </c>
      <c r="AI50" s="121">
        <v>2</v>
      </c>
      <c r="AJ50" s="121">
        <v>2</v>
      </c>
      <c r="AK50" s="121"/>
      <c r="AL50" s="121"/>
      <c r="AM50" s="121"/>
      <c r="AN50" s="122">
        <f t="shared" si="4"/>
        <v>29</v>
      </c>
      <c r="AO50" s="118">
        <v>200000</v>
      </c>
      <c r="AP50" s="123">
        <f t="shared" si="5"/>
        <v>5800000</v>
      </c>
    </row>
    <row r="51" spans="1:42" ht="24.95" customHeight="1">
      <c r="A51" s="124">
        <v>46</v>
      </c>
      <c r="B51" s="116" t="s">
        <v>372</v>
      </c>
      <c r="C51" s="117" t="s">
        <v>464</v>
      </c>
      <c r="D51" s="125" t="s">
        <v>519</v>
      </c>
      <c r="E51" s="117" t="s">
        <v>666</v>
      </c>
      <c r="F51" s="126" t="s">
        <v>528</v>
      </c>
      <c r="G51" s="119" t="s">
        <v>372</v>
      </c>
      <c r="H51" s="120" t="s">
        <v>667</v>
      </c>
      <c r="I51" s="121"/>
      <c r="J51" s="121"/>
      <c r="K51" s="121"/>
      <c r="L51" s="121"/>
      <c r="M51" s="121"/>
      <c r="N51" s="121">
        <v>1.5</v>
      </c>
      <c r="O51" s="121">
        <v>1.5</v>
      </c>
      <c r="P51" s="121">
        <v>1.5</v>
      </c>
      <c r="Q51" s="121">
        <v>1</v>
      </c>
      <c r="R51" s="121"/>
      <c r="S51" s="121">
        <v>1.5</v>
      </c>
      <c r="T51" s="121">
        <v>1.5</v>
      </c>
      <c r="U51" s="121">
        <v>1.5</v>
      </c>
      <c r="V51" s="121">
        <v>2</v>
      </c>
      <c r="W51" s="121">
        <v>2</v>
      </c>
      <c r="X51" s="121">
        <v>1</v>
      </c>
      <c r="Y51" s="121"/>
      <c r="Z51" s="121">
        <v>1</v>
      </c>
      <c r="AA51" s="121">
        <v>1</v>
      </c>
      <c r="AB51" s="121">
        <v>1</v>
      </c>
      <c r="AC51" s="121">
        <v>2</v>
      </c>
      <c r="AD51" s="121">
        <v>2</v>
      </c>
      <c r="AE51" s="121"/>
      <c r="AF51" s="121"/>
      <c r="AG51" s="121">
        <v>1.5</v>
      </c>
      <c r="AH51" s="121">
        <v>2</v>
      </c>
      <c r="AI51" s="121">
        <v>2</v>
      </c>
      <c r="AJ51" s="121">
        <v>2</v>
      </c>
      <c r="AK51" s="121">
        <v>2</v>
      </c>
      <c r="AL51" s="121">
        <v>1</v>
      </c>
      <c r="AM51" s="121"/>
      <c r="AN51" s="122">
        <f t="shared" si="4"/>
        <v>32.5</v>
      </c>
      <c r="AO51" s="118">
        <v>150000</v>
      </c>
      <c r="AP51" s="123">
        <f t="shared" si="5"/>
        <v>4875000</v>
      </c>
    </row>
    <row r="52" spans="1:42" ht="24.95" customHeight="1">
      <c r="A52" s="124">
        <v>47</v>
      </c>
      <c r="B52" s="116" t="s">
        <v>373</v>
      </c>
      <c r="C52" s="117" t="s">
        <v>465</v>
      </c>
      <c r="D52" s="125" t="s">
        <v>519</v>
      </c>
      <c r="E52" s="117" t="s">
        <v>668</v>
      </c>
      <c r="F52" s="126" t="s">
        <v>528</v>
      </c>
      <c r="G52" s="119" t="s">
        <v>373</v>
      </c>
      <c r="H52" s="120" t="s">
        <v>669</v>
      </c>
      <c r="I52" s="121"/>
      <c r="J52" s="121"/>
      <c r="K52" s="121"/>
      <c r="L52" s="121">
        <v>2.5</v>
      </c>
      <c r="M52" s="121">
        <v>2</v>
      </c>
      <c r="N52" s="121">
        <v>2</v>
      </c>
      <c r="O52" s="121">
        <v>2</v>
      </c>
      <c r="P52" s="121">
        <v>2</v>
      </c>
      <c r="Q52" s="121"/>
      <c r="R52" s="121"/>
      <c r="S52" s="121">
        <v>2</v>
      </c>
      <c r="T52" s="121">
        <v>2</v>
      </c>
      <c r="U52" s="121">
        <v>2</v>
      </c>
      <c r="V52" s="121">
        <v>2</v>
      </c>
      <c r="W52" s="121">
        <v>2</v>
      </c>
      <c r="X52" s="121"/>
      <c r="Y52" s="121"/>
      <c r="Z52" s="121">
        <v>1</v>
      </c>
      <c r="AA52" s="121">
        <v>1</v>
      </c>
      <c r="AB52" s="121">
        <v>1</v>
      </c>
      <c r="AC52" s="121">
        <v>2</v>
      </c>
      <c r="AD52" s="121">
        <v>2</v>
      </c>
      <c r="AE52" s="121">
        <v>1</v>
      </c>
      <c r="AF52" s="121"/>
      <c r="AG52" s="121">
        <v>1.5</v>
      </c>
      <c r="AH52" s="121">
        <v>2</v>
      </c>
      <c r="AI52" s="121">
        <v>2</v>
      </c>
      <c r="AJ52" s="121">
        <v>2</v>
      </c>
      <c r="AK52" s="121">
        <v>2</v>
      </c>
      <c r="AL52" s="121">
        <v>1</v>
      </c>
      <c r="AM52" s="121"/>
      <c r="AN52" s="122">
        <f t="shared" si="4"/>
        <v>39</v>
      </c>
      <c r="AO52" s="118">
        <v>150000</v>
      </c>
      <c r="AP52" s="123">
        <f t="shared" si="5"/>
        <v>5850000</v>
      </c>
    </row>
    <row r="53" spans="1:42" ht="24.95" customHeight="1">
      <c r="A53" s="124">
        <v>48</v>
      </c>
      <c r="B53" s="116" t="s">
        <v>374</v>
      </c>
      <c r="C53" s="117" t="s">
        <v>466</v>
      </c>
      <c r="D53" s="127" t="s">
        <v>519</v>
      </c>
      <c r="E53" s="117" t="s">
        <v>670</v>
      </c>
      <c r="F53" s="126" t="s">
        <v>539</v>
      </c>
      <c r="G53" s="119" t="s">
        <v>374</v>
      </c>
      <c r="H53" s="120" t="s">
        <v>671</v>
      </c>
      <c r="I53" s="121"/>
      <c r="J53" s="121"/>
      <c r="K53" s="121"/>
      <c r="L53" s="121">
        <v>1.5</v>
      </c>
      <c r="M53" s="121"/>
      <c r="N53" s="121">
        <v>1.5</v>
      </c>
      <c r="O53" s="121">
        <v>1.5</v>
      </c>
      <c r="P53" s="121">
        <v>1.5</v>
      </c>
      <c r="Q53" s="121">
        <v>1</v>
      </c>
      <c r="R53" s="121"/>
      <c r="S53" s="121">
        <v>1.5</v>
      </c>
      <c r="T53" s="121">
        <v>1.5</v>
      </c>
      <c r="U53" s="121">
        <v>1.5</v>
      </c>
      <c r="V53" s="121">
        <v>2</v>
      </c>
      <c r="W53" s="121">
        <v>2</v>
      </c>
      <c r="X53" s="121">
        <v>1</v>
      </c>
      <c r="Y53" s="121"/>
      <c r="Z53" s="121">
        <v>1</v>
      </c>
      <c r="AA53" s="121">
        <v>1</v>
      </c>
      <c r="AB53" s="121">
        <v>1</v>
      </c>
      <c r="AC53" s="121">
        <v>2</v>
      </c>
      <c r="AD53" s="121">
        <v>2</v>
      </c>
      <c r="AE53" s="121">
        <v>1</v>
      </c>
      <c r="AF53" s="121"/>
      <c r="AG53" s="121">
        <v>1.5</v>
      </c>
      <c r="AH53" s="121">
        <v>2</v>
      </c>
      <c r="AI53" s="121">
        <v>2</v>
      </c>
      <c r="AJ53" s="121">
        <v>2</v>
      </c>
      <c r="AK53" s="121">
        <v>2</v>
      </c>
      <c r="AL53" s="121">
        <v>1</v>
      </c>
      <c r="AM53" s="121"/>
      <c r="AN53" s="122">
        <f t="shared" si="4"/>
        <v>35</v>
      </c>
      <c r="AO53" s="118">
        <v>150000</v>
      </c>
      <c r="AP53" s="123">
        <f t="shared" si="5"/>
        <v>5250000</v>
      </c>
    </row>
    <row r="54" spans="1:42" ht="24.95" customHeight="1">
      <c r="A54" s="124">
        <v>49</v>
      </c>
      <c r="B54" s="116" t="s">
        <v>375</v>
      </c>
      <c r="C54" s="117" t="s">
        <v>467</v>
      </c>
      <c r="D54" s="125" t="s">
        <v>519</v>
      </c>
      <c r="E54" s="117" t="s">
        <v>672</v>
      </c>
      <c r="F54" s="126" t="s">
        <v>517</v>
      </c>
      <c r="G54" s="119" t="s">
        <v>375</v>
      </c>
      <c r="H54" s="120" t="s">
        <v>673</v>
      </c>
      <c r="I54" s="121"/>
      <c r="J54" s="121"/>
      <c r="K54" s="121"/>
      <c r="L54" s="121">
        <v>1.5</v>
      </c>
      <c r="M54" s="121"/>
      <c r="N54" s="121">
        <v>1.5</v>
      </c>
      <c r="O54" s="121">
        <v>1.5</v>
      </c>
      <c r="P54" s="121">
        <v>1.5</v>
      </c>
      <c r="Q54" s="121">
        <v>1</v>
      </c>
      <c r="R54" s="121"/>
      <c r="S54" s="121">
        <v>1.5</v>
      </c>
      <c r="T54" s="121">
        <v>1.5</v>
      </c>
      <c r="U54" s="121">
        <v>1.5</v>
      </c>
      <c r="V54" s="121">
        <v>2</v>
      </c>
      <c r="W54" s="121">
        <v>2</v>
      </c>
      <c r="X54" s="121">
        <v>1</v>
      </c>
      <c r="Y54" s="121"/>
      <c r="Z54" s="121">
        <v>1</v>
      </c>
      <c r="AA54" s="121">
        <v>1</v>
      </c>
      <c r="AB54" s="121">
        <v>1</v>
      </c>
      <c r="AC54" s="121">
        <v>2</v>
      </c>
      <c r="AD54" s="121">
        <v>2</v>
      </c>
      <c r="AE54" s="121"/>
      <c r="AF54" s="121"/>
      <c r="AG54" s="121">
        <v>1.5</v>
      </c>
      <c r="AH54" s="121">
        <v>2</v>
      </c>
      <c r="AI54" s="121">
        <v>2</v>
      </c>
      <c r="AJ54" s="121">
        <v>2</v>
      </c>
      <c r="AK54" s="121">
        <v>1.875</v>
      </c>
      <c r="AL54" s="121">
        <v>1</v>
      </c>
      <c r="AM54" s="121"/>
      <c r="AN54" s="122">
        <f t="shared" si="4"/>
        <v>33.875</v>
      </c>
      <c r="AO54" s="118">
        <v>190000</v>
      </c>
      <c r="AP54" s="123">
        <f t="shared" si="5"/>
        <v>6436250</v>
      </c>
    </row>
    <row r="55" spans="1:42" ht="24.95" customHeight="1">
      <c r="A55" s="124">
        <v>50</v>
      </c>
      <c r="B55" s="116" t="s">
        <v>376</v>
      </c>
      <c r="C55" s="117" t="s">
        <v>468</v>
      </c>
      <c r="D55" s="125" t="s">
        <v>519</v>
      </c>
      <c r="E55" s="117" t="s">
        <v>674</v>
      </c>
      <c r="F55" s="126" t="s">
        <v>545</v>
      </c>
      <c r="G55" s="119" t="s">
        <v>376</v>
      </c>
      <c r="H55" s="120" t="s">
        <v>675</v>
      </c>
      <c r="I55" s="121"/>
      <c r="J55" s="121"/>
      <c r="K55" s="121"/>
      <c r="L55" s="121">
        <v>2.5</v>
      </c>
      <c r="M55" s="121">
        <v>2</v>
      </c>
      <c r="N55" s="121">
        <v>2</v>
      </c>
      <c r="O55" s="121">
        <v>2</v>
      </c>
      <c r="P55" s="121">
        <v>2</v>
      </c>
      <c r="Q55" s="121"/>
      <c r="R55" s="121"/>
      <c r="S55" s="121">
        <v>2</v>
      </c>
      <c r="T55" s="121">
        <v>2</v>
      </c>
      <c r="U55" s="121">
        <v>2</v>
      </c>
      <c r="V55" s="121">
        <v>2</v>
      </c>
      <c r="W55" s="121">
        <v>2</v>
      </c>
      <c r="X55" s="121"/>
      <c r="Y55" s="121"/>
      <c r="Z55" s="121"/>
      <c r="AA55" s="121">
        <v>1</v>
      </c>
      <c r="AB55" s="121">
        <v>1</v>
      </c>
      <c r="AC55" s="121">
        <v>2</v>
      </c>
      <c r="AD55" s="121">
        <v>2</v>
      </c>
      <c r="AE55" s="121">
        <v>1</v>
      </c>
      <c r="AF55" s="121"/>
      <c r="AG55" s="121">
        <v>1.5</v>
      </c>
      <c r="AH55" s="121">
        <v>2</v>
      </c>
      <c r="AI55" s="121">
        <v>2</v>
      </c>
      <c r="AJ55" s="121">
        <v>2</v>
      </c>
      <c r="AK55" s="121">
        <v>2</v>
      </c>
      <c r="AL55" s="121"/>
      <c r="AM55" s="121"/>
      <c r="AN55" s="122">
        <f t="shared" si="4"/>
        <v>37</v>
      </c>
      <c r="AO55" s="118">
        <v>150000</v>
      </c>
      <c r="AP55" s="123">
        <f t="shared" si="5"/>
        <v>5550000</v>
      </c>
    </row>
    <row r="56" spans="1:42" ht="24.95" customHeight="1">
      <c r="A56" s="124">
        <v>51</v>
      </c>
      <c r="B56" s="116" t="s">
        <v>377</v>
      </c>
      <c r="C56" s="117" t="s">
        <v>469</v>
      </c>
      <c r="D56" s="127" t="s">
        <v>519</v>
      </c>
      <c r="E56" s="117" t="s">
        <v>676</v>
      </c>
      <c r="F56" s="126" t="s">
        <v>550</v>
      </c>
      <c r="G56" s="119" t="s">
        <v>377</v>
      </c>
      <c r="H56" s="120" t="s">
        <v>677</v>
      </c>
      <c r="I56" s="121"/>
      <c r="J56" s="121"/>
      <c r="K56" s="121"/>
      <c r="L56" s="121"/>
      <c r="M56" s="121"/>
      <c r="N56" s="121">
        <v>1.5</v>
      </c>
      <c r="O56" s="121">
        <v>1.5</v>
      </c>
      <c r="P56" s="121">
        <v>1.5</v>
      </c>
      <c r="Q56" s="121">
        <v>1</v>
      </c>
      <c r="R56" s="121"/>
      <c r="S56" s="121">
        <v>1.5</v>
      </c>
      <c r="T56" s="121">
        <v>1.5</v>
      </c>
      <c r="U56" s="121">
        <v>1.5</v>
      </c>
      <c r="V56" s="121">
        <v>2</v>
      </c>
      <c r="W56" s="121">
        <v>2</v>
      </c>
      <c r="X56" s="121"/>
      <c r="Y56" s="121"/>
      <c r="Z56" s="121">
        <v>1</v>
      </c>
      <c r="AA56" s="121">
        <v>1</v>
      </c>
      <c r="AB56" s="121">
        <v>0.25</v>
      </c>
      <c r="AC56" s="121">
        <v>2</v>
      </c>
      <c r="AD56" s="121">
        <v>2</v>
      </c>
      <c r="AE56" s="121"/>
      <c r="AF56" s="121"/>
      <c r="AG56" s="121">
        <v>1.5</v>
      </c>
      <c r="AH56" s="121">
        <v>2</v>
      </c>
      <c r="AI56" s="121">
        <v>2</v>
      </c>
      <c r="AJ56" s="121"/>
      <c r="AK56" s="121">
        <v>2</v>
      </c>
      <c r="AL56" s="121">
        <v>1</v>
      </c>
      <c r="AM56" s="121"/>
      <c r="AN56" s="122">
        <f t="shared" si="4"/>
        <v>28.75</v>
      </c>
      <c r="AO56" s="118">
        <v>170000</v>
      </c>
      <c r="AP56" s="123">
        <f t="shared" si="5"/>
        <v>4887500</v>
      </c>
    </row>
    <row r="57" spans="1:42" ht="24.95" customHeight="1">
      <c r="A57" s="124">
        <v>52</v>
      </c>
      <c r="B57" s="116" t="s">
        <v>378</v>
      </c>
      <c r="C57" s="117" t="s">
        <v>470</v>
      </c>
      <c r="D57" s="127" t="s">
        <v>519</v>
      </c>
      <c r="E57" s="117" t="s">
        <v>678</v>
      </c>
      <c r="F57" s="126" t="s">
        <v>550</v>
      </c>
      <c r="G57" s="119" t="s">
        <v>378</v>
      </c>
      <c r="H57" s="120" t="s">
        <v>679</v>
      </c>
      <c r="I57" s="121"/>
      <c r="J57" s="121"/>
      <c r="K57" s="121"/>
      <c r="L57" s="121"/>
      <c r="M57" s="121"/>
      <c r="N57" s="121">
        <v>1.5</v>
      </c>
      <c r="O57" s="121">
        <v>1.5</v>
      </c>
      <c r="P57" s="121">
        <v>1.5</v>
      </c>
      <c r="Q57" s="121"/>
      <c r="R57" s="121"/>
      <c r="S57" s="121"/>
      <c r="T57" s="121">
        <v>0.875</v>
      </c>
      <c r="U57" s="121">
        <v>1.5</v>
      </c>
      <c r="V57" s="121">
        <v>2</v>
      </c>
      <c r="W57" s="121">
        <v>2</v>
      </c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2">
        <f t="shared" si="4"/>
        <v>10.875</v>
      </c>
      <c r="AO57" s="118">
        <v>150000</v>
      </c>
      <c r="AP57" s="123">
        <f t="shared" si="5"/>
        <v>1631250</v>
      </c>
    </row>
    <row r="58" spans="1:42" ht="24.95" customHeight="1">
      <c r="A58" s="124">
        <v>53</v>
      </c>
      <c r="B58" s="116" t="s">
        <v>379</v>
      </c>
      <c r="C58" s="117" t="s">
        <v>471</v>
      </c>
      <c r="D58" s="127" t="s">
        <v>519</v>
      </c>
      <c r="E58" s="117" t="s">
        <v>680</v>
      </c>
      <c r="F58" s="126" t="s">
        <v>531</v>
      </c>
      <c r="G58" s="119" t="s">
        <v>379</v>
      </c>
      <c r="H58" s="120" t="s">
        <v>681</v>
      </c>
      <c r="I58" s="121"/>
      <c r="J58" s="121"/>
      <c r="K58" s="121"/>
      <c r="L58" s="121">
        <v>1.5</v>
      </c>
      <c r="M58" s="121"/>
      <c r="N58" s="121">
        <v>1.5</v>
      </c>
      <c r="O58" s="121">
        <v>1.5</v>
      </c>
      <c r="P58" s="121">
        <v>1.5</v>
      </c>
      <c r="Q58" s="121"/>
      <c r="R58" s="121"/>
      <c r="S58" s="121">
        <v>1.5</v>
      </c>
      <c r="T58" s="121">
        <v>1.5</v>
      </c>
      <c r="U58" s="121">
        <v>1.5</v>
      </c>
      <c r="V58" s="121">
        <v>2</v>
      </c>
      <c r="W58" s="121">
        <v>2</v>
      </c>
      <c r="X58" s="121">
        <v>1</v>
      </c>
      <c r="Y58" s="121"/>
      <c r="Z58" s="121">
        <v>1</v>
      </c>
      <c r="AA58" s="121">
        <v>1</v>
      </c>
      <c r="AB58" s="121">
        <v>1</v>
      </c>
      <c r="AC58" s="121">
        <v>2</v>
      </c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2">
        <f t="shared" si="4"/>
        <v>20.5</v>
      </c>
      <c r="AO58" s="118">
        <v>160000</v>
      </c>
      <c r="AP58" s="123">
        <f t="shared" si="5"/>
        <v>3280000</v>
      </c>
    </row>
    <row r="59" spans="1:42" ht="24.95" customHeight="1">
      <c r="A59" s="124">
        <v>54</v>
      </c>
      <c r="B59" s="116" t="s">
        <v>380</v>
      </c>
      <c r="C59" s="117" t="s">
        <v>472</v>
      </c>
      <c r="D59" s="125" t="s">
        <v>519</v>
      </c>
      <c r="E59" s="117" t="s">
        <v>682</v>
      </c>
      <c r="F59" s="126" t="s">
        <v>545</v>
      </c>
      <c r="G59" s="119" t="s">
        <v>380</v>
      </c>
      <c r="H59" s="120" t="s">
        <v>683</v>
      </c>
      <c r="I59" s="121"/>
      <c r="J59" s="121"/>
      <c r="K59" s="121"/>
      <c r="L59" s="121">
        <v>2.5</v>
      </c>
      <c r="M59" s="121">
        <v>2</v>
      </c>
      <c r="N59" s="121">
        <v>2</v>
      </c>
      <c r="O59" s="121"/>
      <c r="P59" s="121">
        <v>2</v>
      </c>
      <c r="Q59" s="121"/>
      <c r="R59" s="121"/>
      <c r="S59" s="121">
        <v>2</v>
      </c>
      <c r="T59" s="121">
        <v>2</v>
      </c>
      <c r="U59" s="121">
        <v>2</v>
      </c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2">
        <f t="shared" si="4"/>
        <v>14.5</v>
      </c>
      <c r="AO59" s="118">
        <v>150000</v>
      </c>
      <c r="AP59" s="123">
        <f t="shared" si="5"/>
        <v>2175000</v>
      </c>
    </row>
    <row r="60" spans="1:42" ht="24.95" customHeight="1">
      <c r="A60" s="124">
        <v>55</v>
      </c>
      <c r="B60" s="116" t="s">
        <v>381</v>
      </c>
      <c r="C60" s="117" t="s">
        <v>473</v>
      </c>
      <c r="D60" s="125" t="s">
        <v>519</v>
      </c>
      <c r="E60" s="117" t="s">
        <v>684</v>
      </c>
      <c r="F60" s="126" t="s">
        <v>539</v>
      </c>
      <c r="G60" s="119" t="s">
        <v>381</v>
      </c>
      <c r="H60" s="120" t="s">
        <v>685</v>
      </c>
      <c r="I60" s="121"/>
      <c r="J60" s="121"/>
      <c r="K60" s="121"/>
      <c r="L60" s="121"/>
      <c r="M60" s="121"/>
      <c r="N60" s="121">
        <v>1.5</v>
      </c>
      <c r="O60" s="121">
        <v>1.5</v>
      </c>
      <c r="P60" s="121">
        <v>1.5</v>
      </c>
      <c r="Q60" s="121">
        <v>1</v>
      </c>
      <c r="R60" s="121"/>
      <c r="S60" s="121">
        <v>1.5</v>
      </c>
      <c r="T60" s="121">
        <v>1.5</v>
      </c>
      <c r="U60" s="121">
        <v>1.5</v>
      </c>
      <c r="V60" s="121">
        <v>2</v>
      </c>
      <c r="W60" s="121">
        <v>2</v>
      </c>
      <c r="X60" s="121">
        <v>1</v>
      </c>
      <c r="Y60" s="121"/>
      <c r="Z60" s="121">
        <v>1</v>
      </c>
      <c r="AA60" s="121">
        <v>1</v>
      </c>
      <c r="AB60" s="121">
        <v>1</v>
      </c>
      <c r="AC60" s="121">
        <v>2</v>
      </c>
      <c r="AD60" s="121">
        <v>2</v>
      </c>
      <c r="AE60" s="121">
        <v>1</v>
      </c>
      <c r="AF60" s="121"/>
      <c r="AG60" s="121">
        <v>1.5</v>
      </c>
      <c r="AH60" s="121">
        <v>2</v>
      </c>
      <c r="AI60" s="121">
        <v>2</v>
      </c>
      <c r="AJ60" s="121">
        <v>2</v>
      </c>
      <c r="AK60" s="121">
        <v>2</v>
      </c>
      <c r="AL60" s="121">
        <v>1</v>
      </c>
      <c r="AM60" s="121"/>
      <c r="AN60" s="122">
        <f t="shared" si="4"/>
        <v>33.5</v>
      </c>
      <c r="AO60" s="118">
        <v>150000</v>
      </c>
      <c r="AP60" s="123">
        <f t="shared" si="5"/>
        <v>5025000</v>
      </c>
    </row>
    <row r="61" spans="1:42" ht="24.95" customHeight="1">
      <c r="A61" s="124">
        <v>56</v>
      </c>
      <c r="B61" s="116" t="s">
        <v>382</v>
      </c>
      <c r="C61" s="117" t="s">
        <v>474</v>
      </c>
      <c r="D61" s="127" t="s">
        <v>519</v>
      </c>
      <c r="E61" s="117" t="s">
        <v>686</v>
      </c>
      <c r="F61" s="126" t="s">
        <v>517</v>
      </c>
      <c r="G61" s="119" t="s">
        <v>382</v>
      </c>
      <c r="H61" s="120" t="s">
        <v>687</v>
      </c>
      <c r="I61" s="121"/>
      <c r="J61" s="121">
        <v>0.875</v>
      </c>
      <c r="K61" s="121"/>
      <c r="L61" s="121">
        <v>1.5</v>
      </c>
      <c r="M61" s="121"/>
      <c r="N61" s="121">
        <v>1.5</v>
      </c>
      <c r="O61" s="121">
        <v>1.5</v>
      </c>
      <c r="P61" s="121">
        <v>1.5</v>
      </c>
      <c r="Q61" s="121">
        <v>1</v>
      </c>
      <c r="R61" s="121"/>
      <c r="S61" s="121">
        <v>1.5</v>
      </c>
      <c r="T61" s="121">
        <v>1.5</v>
      </c>
      <c r="U61" s="121">
        <v>1.5</v>
      </c>
      <c r="V61" s="121">
        <v>2</v>
      </c>
      <c r="W61" s="121">
        <v>2</v>
      </c>
      <c r="X61" s="121">
        <v>1</v>
      </c>
      <c r="Y61" s="121"/>
      <c r="Z61" s="121">
        <v>1</v>
      </c>
      <c r="AA61" s="121">
        <v>1</v>
      </c>
      <c r="AB61" s="121">
        <v>1</v>
      </c>
      <c r="AC61" s="121">
        <v>2</v>
      </c>
      <c r="AD61" s="121">
        <v>2</v>
      </c>
      <c r="AE61" s="121">
        <v>1</v>
      </c>
      <c r="AF61" s="121"/>
      <c r="AG61" s="121">
        <v>1.5</v>
      </c>
      <c r="AH61" s="121">
        <v>2</v>
      </c>
      <c r="AI61" s="121">
        <v>2</v>
      </c>
      <c r="AJ61" s="121">
        <v>2</v>
      </c>
      <c r="AK61" s="121">
        <v>2</v>
      </c>
      <c r="AL61" s="121">
        <v>1</v>
      </c>
      <c r="AM61" s="121"/>
      <c r="AN61" s="122">
        <f t="shared" si="4"/>
        <v>35.875</v>
      </c>
      <c r="AO61" s="118">
        <v>150000</v>
      </c>
      <c r="AP61" s="123">
        <f t="shared" si="5"/>
        <v>5381250</v>
      </c>
    </row>
    <row r="62" spans="1:42" ht="24.95" customHeight="1">
      <c r="A62" s="124">
        <v>57</v>
      </c>
      <c r="B62" s="116" t="s">
        <v>383</v>
      </c>
      <c r="C62" s="117" t="s">
        <v>475</v>
      </c>
      <c r="D62" s="125" t="s">
        <v>519</v>
      </c>
      <c r="E62" s="117" t="s">
        <v>688</v>
      </c>
      <c r="F62" s="126" t="s">
        <v>517</v>
      </c>
      <c r="G62" s="119" t="s">
        <v>383</v>
      </c>
      <c r="H62" s="120" t="s">
        <v>689</v>
      </c>
      <c r="I62" s="121"/>
      <c r="J62" s="121"/>
      <c r="K62" s="121"/>
      <c r="L62" s="121"/>
      <c r="M62" s="121"/>
      <c r="N62" s="121"/>
      <c r="O62" s="121">
        <v>1.5</v>
      </c>
      <c r="P62" s="121">
        <v>1.5</v>
      </c>
      <c r="Q62" s="121">
        <v>1</v>
      </c>
      <c r="R62" s="121"/>
      <c r="S62" s="121">
        <v>1.5</v>
      </c>
      <c r="T62" s="121">
        <v>1.5</v>
      </c>
      <c r="U62" s="121">
        <v>1.5</v>
      </c>
      <c r="V62" s="121">
        <v>2</v>
      </c>
      <c r="W62" s="121">
        <v>2</v>
      </c>
      <c r="X62" s="121"/>
      <c r="Y62" s="121"/>
      <c r="Z62" s="121">
        <v>1</v>
      </c>
      <c r="AA62" s="121">
        <v>1</v>
      </c>
      <c r="AB62" s="121">
        <v>1</v>
      </c>
      <c r="AC62" s="121">
        <v>2</v>
      </c>
      <c r="AD62" s="121">
        <v>2</v>
      </c>
      <c r="AE62" s="121"/>
      <c r="AF62" s="121"/>
      <c r="AG62" s="121">
        <v>1.5</v>
      </c>
      <c r="AH62" s="121">
        <v>2</v>
      </c>
      <c r="AI62" s="121">
        <v>2</v>
      </c>
      <c r="AJ62" s="121">
        <v>2</v>
      </c>
      <c r="AK62" s="121">
        <v>2</v>
      </c>
      <c r="AL62" s="121"/>
      <c r="AM62" s="121"/>
      <c r="AN62" s="122">
        <f t="shared" si="4"/>
        <v>29</v>
      </c>
      <c r="AO62" s="118">
        <v>150000</v>
      </c>
      <c r="AP62" s="123">
        <f t="shared" si="5"/>
        <v>4350000</v>
      </c>
    </row>
    <row r="63" spans="1:42" ht="24.95" customHeight="1">
      <c r="A63" s="124">
        <v>58</v>
      </c>
      <c r="B63" s="116" t="s">
        <v>384</v>
      </c>
      <c r="C63" s="117" t="s">
        <v>476</v>
      </c>
      <c r="D63" s="127" t="s">
        <v>717</v>
      </c>
      <c r="E63" s="117" t="s">
        <v>690</v>
      </c>
      <c r="F63" s="126" t="s">
        <v>691</v>
      </c>
      <c r="G63" s="119" t="s">
        <v>384</v>
      </c>
      <c r="H63" s="120" t="s">
        <v>692</v>
      </c>
      <c r="I63" s="121"/>
      <c r="J63" s="121"/>
      <c r="K63" s="121"/>
      <c r="L63" s="121">
        <v>1.5</v>
      </c>
      <c r="M63" s="121"/>
      <c r="N63" s="121">
        <v>1.5</v>
      </c>
      <c r="O63" s="121">
        <v>1.5</v>
      </c>
      <c r="P63" s="121">
        <v>1.5</v>
      </c>
      <c r="Q63" s="121">
        <v>1</v>
      </c>
      <c r="R63" s="121"/>
      <c r="S63" s="121">
        <v>1.5</v>
      </c>
      <c r="T63" s="121">
        <v>1.5</v>
      </c>
      <c r="U63" s="121">
        <v>1.5</v>
      </c>
      <c r="V63" s="121">
        <v>2</v>
      </c>
      <c r="W63" s="121">
        <v>2</v>
      </c>
      <c r="X63" s="121">
        <v>1</v>
      </c>
      <c r="Y63" s="121"/>
      <c r="Z63" s="121">
        <v>1</v>
      </c>
      <c r="AA63" s="121">
        <v>0.5</v>
      </c>
      <c r="AB63" s="121">
        <v>1</v>
      </c>
      <c r="AC63" s="121">
        <v>2</v>
      </c>
      <c r="AD63" s="121">
        <v>2</v>
      </c>
      <c r="AE63" s="121">
        <v>1</v>
      </c>
      <c r="AF63" s="121"/>
      <c r="AG63" s="121"/>
      <c r="AH63" s="121">
        <v>2</v>
      </c>
      <c r="AI63" s="121">
        <v>2</v>
      </c>
      <c r="AJ63" s="121">
        <v>2</v>
      </c>
      <c r="AK63" s="121">
        <v>2</v>
      </c>
      <c r="AL63" s="121">
        <v>1</v>
      </c>
      <c r="AM63" s="121"/>
      <c r="AN63" s="122">
        <f t="shared" si="4"/>
        <v>33</v>
      </c>
      <c r="AO63" s="118">
        <v>230000</v>
      </c>
      <c r="AP63" s="123">
        <f t="shared" si="5"/>
        <v>7590000</v>
      </c>
    </row>
    <row r="64" spans="1:42" ht="24.95" customHeight="1">
      <c r="A64" s="124">
        <v>59</v>
      </c>
      <c r="B64" s="116" t="s">
        <v>385</v>
      </c>
      <c r="C64" s="117" t="s">
        <v>477</v>
      </c>
      <c r="D64" s="127" t="s">
        <v>519</v>
      </c>
      <c r="E64" s="117" t="s">
        <v>693</v>
      </c>
      <c r="F64" s="126" t="s">
        <v>528</v>
      </c>
      <c r="G64" s="119" t="s">
        <v>385</v>
      </c>
      <c r="H64" s="120" t="s">
        <v>694</v>
      </c>
      <c r="I64" s="121"/>
      <c r="J64" s="121"/>
      <c r="K64" s="121"/>
      <c r="L64" s="121">
        <v>2.5</v>
      </c>
      <c r="M64" s="121">
        <v>2</v>
      </c>
      <c r="N64" s="121">
        <v>2</v>
      </c>
      <c r="O64" s="121">
        <v>2</v>
      </c>
      <c r="P64" s="121">
        <v>2</v>
      </c>
      <c r="Q64" s="121"/>
      <c r="R64" s="121"/>
      <c r="S64" s="121">
        <v>2</v>
      </c>
      <c r="T64" s="121">
        <v>2</v>
      </c>
      <c r="U64" s="121">
        <v>2</v>
      </c>
      <c r="V64" s="121">
        <v>2</v>
      </c>
      <c r="W64" s="121">
        <v>2</v>
      </c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2">
        <f t="shared" si="4"/>
        <v>20.5</v>
      </c>
      <c r="AO64" s="118">
        <v>160000</v>
      </c>
      <c r="AP64" s="123">
        <f t="shared" si="5"/>
        <v>3280000</v>
      </c>
    </row>
    <row r="65" spans="1:42" ht="24.95" customHeight="1">
      <c r="A65" s="124">
        <v>60</v>
      </c>
      <c r="B65" s="116" t="s">
        <v>386</v>
      </c>
      <c r="C65" s="117" t="s">
        <v>478</v>
      </c>
      <c r="D65" s="127" t="s">
        <v>533</v>
      </c>
      <c r="E65" s="117" t="s">
        <v>695</v>
      </c>
      <c r="F65" s="126" t="s">
        <v>517</v>
      </c>
      <c r="G65" s="119" t="s">
        <v>386</v>
      </c>
      <c r="H65" s="120" t="s">
        <v>696</v>
      </c>
      <c r="I65" s="121"/>
      <c r="J65" s="121"/>
      <c r="K65" s="121"/>
      <c r="L65" s="121">
        <v>1.5</v>
      </c>
      <c r="M65" s="121"/>
      <c r="N65" s="121">
        <v>1.5</v>
      </c>
      <c r="O65" s="121">
        <v>1.5</v>
      </c>
      <c r="P65" s="121">
        <v>1.5</v>
      </c>
      <c r="Q65" s="121">
        <v>1</v>
      </c>
      <c r="R65" s="121"/>
      <c r="S65" s="121">
        <v>1.5</v>
      </c>
      <c r="T65" s="121">
        <v>1.5</v>
      </c>
      <c r="U65" s="121">
        <v>1.5</v>
      </c>
      <c r="V65" s="121">
        <v>2</v>
      </c>
      <c r="W65" s="121">
        <v>2</v>
      </c>
      <c r="X65" s="121">
        <v>1</v>
      </c>
      <c r="Y65" s="121"/>
      <c r="Z65" s="121">
        <v>1</v>
      </c>
      <c r="AA65" s="121">
        <v>1</v>
      </c>
      <c r="AB65" s="121">
        <v>1</v>
      </c>
      <c r="AC65" s="121">
        <v>2</v>
      </c>
      <c r="AD65" s="121">
        <v>2</v>
      </c>
      <c r="AE65" s="121">
        <v>0.5</v>
      </c>
      <c r="AF65" s="121"/>
      <c r="AG65" s="121">
        <v>1.5</v>
      </c>
      <c r="AH65" s="121">
        <v>2</v>
      </c>
      <c r="AI65" s="121">
        <v>2</v>
      </c>
      <c r="AJ65" s="121">
        <v>2</v>
      </c>
      <c r="AK65" s="121">
        <v>2</v>
      </c>
      <c r="AL65" s="121">
        <v>1</v>
      </c>
      <c r="AM65" s="121"/>
      <c r="AN65" s="122">
        <f t="shared" si="4"/>
        <v>34.5</v>
      </c>
      <c r="AO65" s="118">
        <v>200000</v>
      </c>
      <c r="AP65" s="123">
        <f t="shared" si="5"/>
        <v>6900000</v>
      </c>
    </row>
    <row r="66" spans="1:42" ht="24.95" customHeight="1">
      <c r="A66" s="124">
        <v>61</v>
      </c>
      <c r="B66" s="116" t="s">
        <v>387</v>
      </c>
      <c r="C66" s="117" t="s">
        <v>479</v>
      </c>
      <c r="D66" s="125" t="s">
        <v>533</v>
      </c>
      <c r="E66" s="117" t="s">
        <v>697</v>
      </c>
      <c r="F66" s="126" t="s">
        <v>528</v>
      </c>
      <c r="G66" s="119" t="s">
        <v>387</v>
      </c>
      <c r="H66" s="120" t="s">
        <v>698</v>
      </c>
      <c r="I66" s="121"/>
      <c r="J66" s="121"/>
      <c r="K66" s="121"/>
      <c r="L66" s="121">
        <v>2.5</v>
      </c>
      <c r="M66" s="121">
        <v>2</v>
      </c>
      <c r="N66" s="121">
        <v>2</v>
      </c>
      <c r="O66" s="121">
        <v>2</v>
      </c>
      <c r="P66" s="121">
        <v>2</v>
      </c>
      <c r="Q66" s="121"/>
      <c r="R66" s="121"/>
      <c r="S66" s="121">
        <v>2</v>
      </c>
      <c r="T66" s="121">
        <v>2</v>
      </c>
      <c r="U66" s="121">
        <v>2</v>
      </c>
      <c r="V66" s="121">
        <v>2</v>
      </c>
      <c r="W66" s="121">
        <v>2</v>
      </c>
      <c r="X66" s="121"/>
      <c r="Y66" s="121"/>
      <c r="Z66" s="121">
        <v>1</v>
      </c>
      <c r="AA66" s="121">
        <v>1</v>
      </c>
      <c r="AB66" s="121">
        <v>1</v>
      </c>
      <c r="AC66" s="121">
        <v>2</v>
      </c>
      <c r="AD66" s="121">
        <v>2</v>
      </c>
      <c r="AE66" s="121">
        <v>1</v>
      </c>
      <c r="AF66" s="121"/>
      <c r="AG66" s="121">
        <v>1.5</v>
      </c>
      <c r="AH66" s="121">
        <v>2</v>
      </c>
      <c r="AI66" s="121">
        <v>2</v>
      </c>
      <c r="AJ66" s="121">
        <v>2</v>
      </c>
      <c r="AK66" s="121">
        <v>2</v>
      </c>
      <c r="AL66" s="121">
        <v>1</v>
      </c>
      <c r="AM66" s="121"/>
      <c r="AN66" s="122">
        <f t="shared" si="4"/>
        <v>39</v>
      </c>
      <c r="AO66" s="118">
        <v>230000</v>
      </c>
      <c r="AP66" s="123">
        <f t="shared" si="5"/>
        <v>8970000</v>
      </c>
    </row>
    <row r="67" spans="1:42" ht="24.95" customHeight="1">
      <c r="A67" s="124">
        <v>62</v>
      </c>
      <c r="B67" s="116" t="s">
        <v>388</v>
      </c>
      <c r="C67" s="117" t="s">
        <v>480</v>
      </c>
      <c r="D67" s="125" t="s">
        <v>519</v>
      </c>
      <c r="E67" s="117" t="s">
        <v>699</v>
      </c>
      <c r="F67" s="126" t="s">
        <v>545</v>
      </c>
      <c r="G67" s="119" t="s">
        <v>388</v>
      </c>
      <c r="H67" s="120" t="s">
        <v>700</v>
      </c>
      <c r="I67" s="121"/>
      <c r="J67" s="121"/>
      <c r="K67" s="121"/>
      <c r="L67" s="121"/>
      <c r="M67" s="121"/>
      <c r="N67" s="121"/>
      <c r="O67" s="121">
        <v>1.5</v>
      </c>
      <c r="P67" s="121">
        <v>1.5</v>
      </c>
      <c r="Q67" s="121">
        <v>1</v>
      </c>
      <c r="R67" s="121"/>
      <c r="S67" s="121"/>
      <c r="T67" s="121">
        <v>1.5</v>
      </c>
      <c r="U67" s="121">
        <v>1.5</v>
      </c>
      <c r="V67" s="121">
        <v>2</v>
      </c>
      <c r="W67" s="121">
        <v>2</v>
      </c>
      <c r="X67" s="121"/>
      <c r="Y67" s="121"/>
      <c r="Z67" s="121">
        <v>1</v>
      </c>
      <c r="AA67" s="121">
        <v>1</v>
      </c>
      <c r="AB67" s="121">
        <v>1</v>
      </c>
      <c r="AC67" s="121">
        <v>2</v>
      </c>
      <c r="AD67" s="121">
        <v>2</v>
      </c>
      <c r="AE67" s="121">
        <v>1</v>
      </c>
      <c r="AF67" s="121"/>
      <c r="AG67" s="121">
        <v>1.5</v>
      </c>
      <c r="AH67" s="121">
        <v>2</v>
      </c>
      <c r="AI67" s="121">
        <v>2</v>
      </c>
      <c r="AJ67" s="121">
        <v>2</v>
      </c>
      <c r="AK67" s="121">
        <v>2</v>
      </c>
      <c r="AL67" s="121"/>
      <c r="AM67" s="121"/>
      <c r="AN67" s="122">
        <f t="shared" si="4"/>
        <v>28.5</v>
      </c>
      <c r="AO67" s="118">
        <v>150000</v>
      </c>
      <c r="AP67" s="123">
        <f t="shared" si="5"/>
        <v>4275000</v>
      </c>
    </row>
    <row r="68" spans="1:42" ht="24.95" customHeight="1">
      <c r="A68" s="124">
        <v>63</v>
      </c>
      <c r="B68" s="116" t="s">
        <v>388</v>
      </c>
      <c r="C68" s="117" t="s">
        <v>481</v>
      </c>
      <c r="D68" s="127" t="s">
        <v>512</v>
      </c>
      <c r="E68" s="117" t="s">
        <v>701</v>
      </c>
      <c r="F68" s="126" t="s">
        <v>514</v>
      </c>
      <c r="G68" s="119" t="s">
        <v>388</v>
      </c>
      <c r="H68" s="120" t="s">
        <v>702</v>
      </c>
      <c r="I68" s="121"/>
      <c r="J68" s="121"/>
      <c r="K68" s="121"/>
      <c r="L68" s="121"/>
      <c r="M68" s="121"/>
      <c r="N68" s="121"/>
      <c r="O68" s="121">
        <v>1.5</v>
      </c>
      <c r="P68" s="121">
        <v>1.5</v>
      </c>
      <c r="Q68" s="121">
        <v>1</v>
      </c>
      <c r="R68" s="121"/>
      <c r="S68" s="121">
        <v>1.5</v>
      </c>
      <c r="T68" s="121">
        <v>1.5</v>
      </c>
      <c r="U68" s="121">
        <v>1.5</v>
      </c>
      <c r="V68" s="121">
        <v>2</v>
      </c>
      <c r="W68" s="121">
        <v>2</v>
      </c>
      <c r="X68" s="121">
        <v>1</v>
      </c>
      <c r="Y68" s="121"/>
      <c r="Z68" s="121">
        <v>1</v>
      </c>
      <c r="AA68" s="121">
        <v>1</v>
      </c>
      <c r="AB68" s="121">
        <v>1</v>
      </c>
      <c r="AC68" s="121">
        <v>2</v>
      </c>
      <c r="AD68" s="121">
        <v>2</v>
      </c>
      <c r="AE68" s="121">
        <v>1</v>
      </c>
      <c r="AF68" s="121"/>
      <c r="AG68" s="121">
        <v>1.5</v>
      </c>
      <c r="AH68" s="121">
        <v>2</v>
      </c>
      <c r="AI68" s="121">
        <v>2</v>
      </c>
      <c r="AJ68" s="121">
        <v>2</v>
      </c>
      <c r="AK68" s="121">
        <v>2</v>
      </c>
      <c r="AL68" s="121">
        <v>1</v>
      </c>
      <c r="AM68" s="121"/>
      <c r="AN68" s="122">
        <f t="shared" si="4"/>
        <v>32</v>
      </c>
      <c r="AO68" s="118">
        <v>240000</v>
      </c>
      <c r="AP68" s="123">
        <f t="shared" si="5"/>
        <v>7680000</v>
      </c>
    </row>
    <row r="69" spans="1:42" ht="24.95" customHeight="1">
      <c r="A69" s="124">
        <v>64</v>
      </c>
      <c r="B69" s="116" t="s">
        <v>389</v>
      </c>
      <c r="C69" s="117" t="s">
        <v>482</v>
      </c>
      <c r="D69" s="125" t="s">
        <v>519</v>
      </c>
      <c r="E69" s="117" t="s">
        <v>703</v>
      </c>
      <c r="F69" s="126" t="s">
        <v>539</v>
      </c>
      <c r="G69" s="119" t="s">
        <v>389</v>
      </c>
      <c r="H69" s="120" t="s">
        <v>704</v>
      </c>
      <c r="I69" s="121"/>
      <c r="J69" s="121"/>
      <c r="K69" s="121"/>
      <c r="L69" s="121"/>
      <c r="M69" s="121"/>
      <c r="N69" s="121">
        <v>1.5</v>
      </c>
      <c r="O69" s="121">
        <v>1.5</v>
      </c>
      <c r="P69" s="121">
        <v>1.5</v>
      </c>
      <c r="Q69" s="121"/>
      <c r="R69" s="121"/>
      <c r="S69" s="121">
        <v>1.5</v>
      </c>
      <c r="T69" s="121">
        <v>1.5</v>
      </c>
      <c r="U69" s="121">
        <v>1.5</v>
      </c>
      <c r="V69" s="121">
        <v>2</v>
      </c>
      <c r="W69" s="121">
        <v>2</v>
      </c>
      <c r="X69" s="121">
        <v>1</v>
      </c>
      <c r="Y69" s="121"/>
      <c r="Z69" s="121">
        <v>1</v>
      </c>
      <c r="AA69" s="121">
        <v>1</v>
      </c>
      <c r="AB69" s="121">
        <v>1</v>
      </c>
      <c r="AC69" s="121">
        <v>2</v>
      </c>
      <c r="AD69" s="121">
        <v>2</v>
      </c>
      <c r="AE69" s="121">
        <v>1</v>
      </c>
      <c r="AF69" s="121"/>
      <c r="AG69" s="121">
        <v>1.5</v>
      </c>
      <c r="AH69" s="121">
        <v>2</v>
      </c>
      <c r="AI69" s="121">
        <v>2</v>
      </c>
      <c r="AJ69" s="121">
        <v>2</v>
      </c>
      <c r="AK69" s="121">
        <v>2</v>
      </c>
      <c r="AL69" s="121">
        <v>1</v>
      </c>
      <c r="AM69" s="121"/>
      <c r="AN69" s="122">
        <f t="shared" si="4"/>
        <v>32.5</v>
      </c>
      <c r="AO69" s="118">
        <v>150000</v>
      </c>
      <c r="AP69" s="123">
        <f t="shared" si="5"/>
        <v>4875000</v>
      </c>
    </row>
    <row r="70" spans="1:42" ht="24.95" customHeight="1">
      <c r="A70" s="124">
        <v>65</v>
      </c>
      <c r="B70" s="116" t="s">
        <v>390</v>
      </c>
      <c r="C70" s="117" t="s">
        <v>483</v>
      </c>
      <c r="D70" s="127" t="s">
        <v>519</v>
      </c>
      <c r="E70" s="117" t="s">
        <v>705</v>
      </c>
      <c r="F70" s="126" t="s">
        <v>525</v>
      </c>
      <c r="G70" s="119" t="s">
        <v>390</v>
      </c>
      <c r="H70" s="120" t="s">
        <v>706</v>
      </c>
      <c r="I70" s="121"/>
      <c r="J70" s="121"/>
      <c r="K70" s="121"/>
      <c r="L70" s="121"/>
      <c r="M70" s="121"/>
      <c r="N70" s="121">
        <v>1.5</v>
      </c>
      <c r="O70" s="121">
        <v>1.5</v>
      </c>
      <c r="P70" s="121">
        <v>1.5</v>
      </c>
      <c r="Q70" s="121"/>
      <c r="R70" s="121"/>
      <c r="S70" s="121">
        <v>1.5</v>
      </c>
      <c r="T70" s="121">
        <v>1.5</v>
      </c>
      <c r="U70" s="121">
        <v>1.5</v>
      </c>
      <c r="V70" s="121">
        <v>2</v>
      </c>
      <c r="W70" s="121">
        <v>2</v>
      </c>
      <c r="X70" s="121"/>
      <c r="Y70" s="121"/>
      <c r="Z70" s="121">
        <v>1</v>
      </c>
      <c r="AA70" s="121"/>
      <c r="AB70" s="121">
        <v>1</v>
      </c>
      <c r="AC70" s="121">
        <v>2</v>
      </c>
      <c r="AD70" s="121">
        <v>2</v>
      </c>
      <c r="AE70" s="121"/>
      <c r="AF70" s="121"/>
      <c r="AG70" s="121">
        <v>1.5</v>
      </c>
      <c r="AH70" s="121">
        <v>2</v>
      </c>
      <c r="AI70" s="121">
        <v>2</v>
      </c>
      <c r="AJ70" s="121">
        <v>2</v>
      </c>
      <c r="AK70" s="121">
        <v>2</v>
      </c>
      <c r="AL70" s="121">
        <v>1</v>
      </c>
      <c r="AM70" s="121"/>
      <c r="AN70" s="122">
        <f t="shared" si="4"/>
        <v>29.5</v>
      </c>
      <c r="AO70" s="118">
        <v>160000</v>
      </c>
      <c r="AP70" s="123">
        <f t="shared" si="5"/>
        <v>4720000</v>
      </c>
    </row>
    <row r="71" spans="1:42" ht="24.95" customHeight="1">
      <c r="A71" s="124">
        <v>66</v>
      </c>
      <c r="B71" s="116" t="s">
        <v>391</v>
      </c>
      <c r="C71" s="117" t="s">
        <v>484</v>
      </c>
      <c r="D71" s="127" t="s">
        <v>519</v>
      </c>
      <c r="E71" s="117" t="s">
        <v>707</v>
      </c>
      <c r="F71" s="126" t="s">
        <v>528</v>
      </c>
      <c r="G71" s="119" t="s">
        <v>391</v>
      </c>
      <c r="H71" s="120" t="s">
        <v>708</v>
      </c>
      <c r="I71" s="121"/>
      <c r="J71" s="121"/>
      <c r="K71" s="121"/>
      <c r="L71" s="121">
        <v>1.5</v>
      </c>
      <c r="M71" s="121"/>
      <c r="N71" s="121">
        <v>1.5</v>
      </c>
      <c r="O71" s="121">
        <v>1.5</v>
      </c>
      <c r="P71" s="121">
        <v>1.5</v>
      </c>
      <c r="Q71" s="121">
        <v>1</v>
      </c>
      <c r="R71" s="121"/>
      <c r="S71" s="121">
        <v>1.5</v>
      </c>
      <c r="T71" s="121">
        <v>1.5</v>
      </c>
      <c r="U71" s="121">
        <v>1.5</v>
      </c>
      <c r="V71" s="121">
        <v>2</v>
      </c>
      <c r="W71" s="121">
        <v>2</v>
      </c>
      <c r="X71" s="121">
        <v>1</v>
      </c>
      <c r="Y71" s="121"/>
      <c r="Z71" s="121">
        <v>1</v>
      </c>
      <c r="AA71" s="121">
        <v>1</v>
      </c>
      <c r="AB71" s="121">
        <v>1</v>
      </c>
      <c r="AC71" s="121">
        <v>2</v>
      </c>
      <c r="AD71" s="121">
        <v>1.875</v>
      </c>
      <c r="AE71" s="121">
        <v>1</v>
      </c>
      <c r="AF71" s="121"/>
      <c r="AG71" s="121">
        <v>1.5</v>
      </c>
      <c r="AH71" s="121">
        <v>2</v>
      </c>
      <c r="AI71" s="121">
        <v>2</v>
      </c>
      <c r="AJ71" s="121">
        <v>2</v>
      </c>
      <c r="AK71" s="121">
        <v>2</v>
      </c>
      <c r="AL71" s="121">
        <v>1</v>
      </c>
      <c r="AM71" s="121"/>
      <c r="AN71" s="122">
        <f t="shared" si="4"/>
        <v>34.875</v>
      </c>
      <c r="AO71" s="118">
        <v>150000</v>
      </c>
      <c r="AP71" s="123">
        <f t="shared" si="5"/>
        <v>5231250</v>
      </c>
    </row>
    <row r="72" spans="1:42" ht="24.95" customHeight="1">
      <c r="A72" s="124">
        <v>67</v>
      </c>
      <c r="B72" s="116" t="s">
        <v>392</v>
      </c>
      <c r="C72" s="117" t="s">
        <v>485</v>
      </c>
      <c r="D72" s="127" t="s">
        <v>519</v>
      </c>
      <c r="E72" s="117" t="s">
        <v>709</v>
      </c>
      <c r="F72" s="126" t="s">
        <v>539</v>
      </c>
      <c r="G72" s="119" t="s">
        <v>392</v>
      </c>
      <c r="H72" s="120" t="s">
        <v>710</v>
      </c>
      <c r="I72" s="121"/>
      <c r="J72" s="121"/>
      <c r="K72" s="121"/>
      <c r="L72" s="121"/>
      <c r="M72" s="121"/>
      <c r="N72" s="121">
        <v>1.5</v>
      </c>
      <c r="O72" s="121">
        <v>1.5</v>
      </c>
      <c r="P72" s="121">
        <v>1.5</v>
      </c>
      <c r="Q72" s="121"/>
      <c r="R72" s="121"/>
      <c r="S72" s="121">
        <v>1.5</v>
      </c>
      <c r="T72" s="121">
        <v>1.5</v>
      </c>
      <c r="U72" s="121">
        <v>1.5</v>
      </c>
      <c r="V72" s="121">
        <v>2</v>
      </c>
      <c r="W72" s="121">
        <v>2</v>
      </c>
      <c r="X72" s="121">
        <v>1</v>
      </c>
      <c r="Y72" s="121"/>
      <c r="Z72" s="121">
        <v>1</v>
      </c>
      <c r="AA72" s="121">
        <v>1</v>
      </c>
      <c r="AB72" s="121">
        <v>1</v>
      </c>
      <c r="AC72" s="121">
        <v>2</v>
      </c>
      <c r="AD72" s="121">
        <v>2</v>
      </c>
      <c r="AE72" s="121"/>
      <c r="AF72" s="121"/>
      <c r="AG72" s="121">
        <v>1.5</v>
      </c>
      <c r="AH72" s="121">
        <v>2</v>
      </c>
      <c r="AI72" s="121">
        <v>2</v>
      </c>
      <c r="AJ72" s="121">
        <v>2</v>
      </c>
      <c r="AK72" s="121">
        <v>2</v>
      </c>
      <c r="AL72" s="121">
        <v>1</v>
      </c>
      <c r="AM72" s="121"/>
      <c r="AN72" s="122">
        <f t="shared" si="4"/>
        <v>31.5</v>
      </c>
      <c r="AO72" s="118">
        <v>150000</v>
      </c>
      <c r="AP72" s="123">
        <f t="shared" si="5"/>
        <v>4725000</v>
      </c>
    </row>
    <row r="73" spans="1:42" ht="24.95" customHeight="1">
      <c r="A73" s="124">
        <v>68</v>
      </c>
      <c r="B73" s="116" t="s">
        <v>393</v>
      </c>
      <c r="C73" s="117" t="s">
        <v>486</v>
      </c>
      <c r="D73" s="125" t="s">
        <v>519</v>
      </c>
      <c r="E73" s="117" t="s">
        <v>711</v>
      </c>
      <c r="F73" s="126" t="s">
        <v>514</v>
      </c>
      <c r="G73" s="119" t="s">
        <v>393</v>
      </c>
      <c r="H73" s="120" t="s">
        <v>712</v>
      </c>
      <c r="I73" s="121"/>
      <c r="J73" s="121"/>
      <c r="K73" s="121"/>
      <c r="L73" s="121">
        <v>1.5</v>
      </c>
      <c r="M73" s="121"/>
      <c r="N73" s="121">
        <v>1.5</v>
      </c>
      <c r="O73" s="121">
        <v>1.5</v>
      </c>
      <c r="P73" s="121">
        <v>1.5</v>
      </c>
      <c r="Q73" s="121">
        <v>1</v>
      </c>
      <c r="R73" s="121"/>
      <c r="S73" s="121">
        <v>1.5</v>
      </c>
      <c r="T73" s="121">
        <v>1.5</v>
      </c>
      <c r="U73" s="121">
        <v>2</v>
      </c>
      <c r="V73" s="121">
        <v>2</v>
      </c>
      <c r="W73" s="121">
        <v>2</v>
      </c>
      <c r="X73" s="121"/>
      <c r="Y73" s="121"/>
      <c r="Z73" s="121">
        <v>1</v>
      </c>
      <c r="AA73" s="121">
        <v>1</v>
      </c>
      <c r="AB73" s="121">
        <v>1</v>
      </c>
      <c r="AC73" s="121">
        <v>2</v>
      </c>
      <c r="AD73" s="121">
        <v>2</v>
      </c>
      <c r="AE73" s="121">
        <v>1</v>
      </c>
      <c r="AF73" s="121"/>
      <c r="AG73" s="121">
        <v>1.5</v>
      </c>
      <c r="AH73" s="121">
        <v>2</v>
      </c>
      <c r="AI73" s="121">
        <v>2</v>
      </c>
      <c r="AJ73" s="121">
        <v>2</v>
      </c>
      <c r="AK73" s="121">
        <v>2</v>
      </c>
      <c r="AL73" s="121">
        <v>1</v>
      </c>
      <c r="AM73" s="121"/>
      <c r="AN73" s="122">
        <f t="shared" si="4"/>
        <v>34.5</v>
      </c>
      <c r="AO73" s="118">
        <v>160000</v>
      </c>
      <c r="AP73" s="123">
        <f t="shared" si="5"/>
        <v>5520000</v>
      </c>
    </row>
    <row r="74" spans="1:42" ht="24.95" customHeight="1">
      <c r="A74" s="124">
        <v>69</v>
      </c>
      <c r="B74" s="116" t="s">
        <v>394</v>
      </c>
      <c r="C74" s="117" t="s">
        <v>487</v>
      </c>
      <c r="D74" s="125" t="s">
        <v>512</v>
      </c>
      <c r="E74" s="117" t="s">
        <v>713</v>
      </c>
      <c r="F74" s="126" t="s">
        <v>517</v>
      </c>
      <c r="G74" s="119" t="s">
        <v>394</v>
      </c>
      <c r="H74" s="120" t="s">
        <v>714</v>
      </c>
      <c r="I74" s="121"/>
      <c r="J74" s="121"/>
      <c r="K74" s="121"/>
      <c r="L74" s="121"/>
      <c r="M74" s="121"/>
      <c r="N74" s="121">
        <v>1.5</v>
      </c>
      <c r="O74" s="121">
        <v>1.5</v>
      </c>
      <c r="P74" s="121">
        <v>1.5</v>
      </c>
      <c r="Q74" s="121">
        <v>0.5</v>
      </c>
      <c r="R74" s="121"/>
      <c r="S74" s="121">
        <v>1.5</v>
      </c>
      <c r="T74" s="121">
        <v>1.5</v>
      </c>
      <c r="U74" s="121">
        <v>1.5</v>
      </c>
      <c r="V74" s="121">
        <v>2</v>
      </c>
      <c r="W74" s="121">
        <v>2</v>
      </c>
      <c r="X74" s="121">
        <v>1</v>
      </c>
      <c r="Y74" s="121"/>
      <c r="Z74" s="121">
        <v>1</v>
      </c>
      <c r="AA74" s="121">
        <v>1</v>
      </c>
      <c r="AB74" s="121">
        <v>1</v>
      </c>
      <c r="AC74" s="121">
        <v>2</v>
      </c>
      <c r="AD74" s="121">
        <v>2</v>
      </c>
      <c r="AE74" s="121">
        <v>1</v>
      </c>
      <c r="AF74" s="121"/>
      <c r="AG74" s="121">
        <v>1.5</v>
      </c>
      <c r="AH74" s="121">
        <v>2</v>
      </c>
      <c r="AI74" s="121">
        <v>2</v>
      </c>
      <c r="AJ74" s="121">
        <v>2</v>
      </c>
      <c r="AK74" s="121">
        <v>2</v>
      </c>
      <c r="AL74" s="121"/>
      <c r="AM74" s="121"/>
      <c r="AN74" s="122">
        <f t="shared" si="4"/>
        <v>32</v>
      </c>
      <c r="AO74" s="118">
        <v>240000</v>
      </c>
      <c r="AP74" s="123">
        <f t="shared" si="5"/>
        <v>7680000</v>
      </c>
    </row>
    <row r="75" spans="1:42" ht="24.95" customHeight="1">
      <c r="A75" s="124">
        <v>70</v>
      </c>
      <c r="B75" s="116" t="s">
        <v>395</v>
      </c>
      <c r="C75" s="117" t="s">
        <v>488</v>
      </c>
      <c r="D75" s="127" t="s">
        <v>519</v>
      </c>
      <c r="E75" s="117" t="s">
        <v>715</v>
      </c>
      <c r="F75" s="126" t="s">
        <v>528</v>
      </c>
      <c r="G75" s="119" t="s">
        <v>395</v>
      </c>
      <c r="H75" s="120" t="s">
        <v>716</v>
      </c>
      <c r="I75" s="121"/>
      <c r="J75" s="121"/>
      <c r="K75" s="121"/>
      <c r="L75" s="121">
        <v>2.5</v>
      </c>
      <c r="M75" s="121">
        <v>2</v>
      </c>
      <c r="N75" s="121">
        <v>2</v>
      </c>
      <c r="O75" s="121">
        <v>2</v>
      </c>
      <c r="P75" s="121">
        <v>2</v>
      </c>
      <c r="Q75" s="121"/>
      <c r="R75" s="121"/>
      <c r="S75" s="121">
        <v>2</v>
      </c>
      <c r="T75" s="121">
        <v>2</v>
      </c>
      <c r="U75" s="121">
        <v>2</v>
      </c>
      <c r="V75" s="121">
        <v>2</v>
      </c>
      <c r="W75" s="121">
        <v>2</v>
      </c>
      <c r="X75" s="121"/>
      <c r="Y75" s="121"/>
      <c r="Z75" s="121">
        <v>1</v>
      </c>
      <c r="AA75" s="121">
        <v>1</v>
      </c>
      <c r="AB75" s="121">
        <v>1</v>
      </c>
      <c r="AC75" s="121">
        <v>2</v>
      </c>
      <c r="AD75" s="121">
        <v>2</v>
      </c>
      <c r="AE75" s="121">
        <v>1</v>
      </c>
      <c r="AF75" s="121"/>
      <c r="AG75" s="121">
        <v>1.5</v>
      </c>
      <c r="AH75" s="121">
        <v>2</v>
      </c>
      <c r="AI75" s="121">
        <v>2</v>
      </c>
      <c r="AJ75" s="121">
        <v>2</v>
      </c>
      <c r="AK75" s="121">
        <v>2</v>
      </c>
      <c r="AL75" s="121">
        <v>1</v>
      </c>
      <c r="AM75" s="121"/>
      <c r="AN75" s="122">
        <f t="shared" si="4"/>
        <v>39</v>
      </c>
      <c r="AO75" s="118">
        <v>160000</v>
      </c>
      <c r="AP75" s="123">
        <f t="shared" si="5"/>
        <v>6240000</v>
      </c>
    </row>
    <row r="76" spans="1:42" ht="24.95" customHeight="1">
      <c r="A76" s="124">
        <v>71</v>
      </c>
      <c r="B76" s="116" t="s">
        <v>396</v>
      </c>
      <c r="C76" s="117" t="s">
        <v>489</v>
      </c>
      <c r="D76" s="125" t="s">
        <v>512</v>
      </c>
      <c r="E76" s="117" t="s">
        <v>513</v>
      </c>
      <c r="F76" s="126" t="s">
        <v>514</v>
      </c>
      <c r="G76" s="119" t="s">
        <v>396</v>
      </c>
      <c r="H76" s="120" t="s">
        <v>515</v>
      </c>
      <c r="I76" s="121"/>
      <c r="J76" s="121"/>
      <c r="K76" s="121"/>
      <c r="L76" s="121">
        <v>1.5</v>
      </c>
      <c r="M76" s="121"/>
      <c r="N76" s="121">
        <v>1.5</v>
      </c>
      <c r="O76" s="121">
        <v>1.5</v>
      </c>
      <c r="P76" s="121">
        <v>1.5</v>
      </c>
      <c r="Q76" s="121">
        <v>1</v>
      </c>
      <c r="R76" s="121"/>
      <c r="S76" s="121">
        <v>1.5</v>
      </c>
      <c r="T76" s="121">
        <v>1.5</v>
      </c>
      <c r="U76" s="121">
        <v>1.5</v>
      </c>
      <c r="V76" s="121">
        <v>2</v>
      </c>
      <c r="W76" s="121">
        <v>2</v>
      </c>
      <c r="X76" s="121">
        <v>1</v>
      </c>
      <c r="Y76" s="121"/>
      <c r="Z76" s="121">
        <v>1</v>
      </c>
      <c r="AA76" s="121">
        <v>0.5</v>
      </c>
      <c r="AB76" s="121">
        <v>1</v>
      </c>
      <c r="AC76" s="121">
        <v>2</v>
      </c>
      <c r="AD76" s="121">
        <v>2</v>
      </c>
      <c r="AE76" s="121">
        <v>1</v>
      </c>
      <c r="AF76" s="121"/>
      <c r="AG76" s="121">
        <v>1.5</v>
      </c>
      <c r="AH76" s="121">
        <v>2</v>
      </c>
      <c r="AI76" s="121">
        <v>2</v>
      </c>
      <c r="AJ76" s="121">
        <v>2</v>
      </c>
      <c r="AK76" s="121">
        <v>2</v>
      </c>
      <c r="AL76" s="121">
        <v>1</v>
      </c>
      <c r="AM76" s="121"/>
      <c r="AN76" s="122">
        <f t="shared" si="4"/>
        <v>34.5</v>
      </c>
      <c r="AO76" s="118">
        <v>240000</v>
      </c>
      <c r="AP76" s="123">
        <f t="shared" si="5"/>
        <v>8280000</v>
      </c>
    </row>
    <row r="77" spans="1:42" ht="24.95" customHeight="1">
      <c r="A77" s="124">
        <v>72</v>
      </c>
      <c r="B77" s="116" t="s">
        <v>397</v>
      </c>
      <c r="C77" s="117" t="s">
        <v>490</v>
      </c>
      <c r="D77" s="127" t="s">
        <v>717</v>
      </c>
      <c r="E77" s="117" t="s">
        <v>516</v>
      </c>
      <c r="F77" s="126" t="s">
        <v>517</v>
      </c>
      <c r="G77" s="119" t="s">
        <v>397</v>
      </c>
      <c r="H77" s="120" t="s">
        <v>518</v>
      </c>
      <c r="I77" s="121"/>
      <c r="J77" s="121"/>
      <c r="K77" s="121"/>
      <c r="L77" s="121">
        <v>1.5</v>
      </c>
      <c r="M77" s="121"/>
      <c r="N77" s="121">
        <v>1.5</v>
      </c>
      <c r="O77" s="121">
        <v>1.5</v>
      </c>
      <c r="P77" s="121">
        <v>1.5</v>
      </c>
      <c r="Q77" s="121">
        <v>1</v>
      </c>
      <c r="R77" s="121"/>
      <c r="S77" s="121">
        <v>1.5</v>
      </c>
      <c r="T77" s="121">
        <v>1.5</v>
      </c>
      <c r="U77" s="121">
        <v>1.5</v>
      </c>
      <c r="V77" s="121">
        <v>2</v>
      </c>
      <c r="W77" s="121">
        <v>2</v>
      </c>
      <c r="X77" s="121">
        <v>1</v>
      </c>
      <c r="Y77" s="121"/>
      <c r="Z77" s="121">
        <v>1</v>
      </c>
      <c r="AA77" s="121">
        <v>1</v>
      </c>
      <c r="AB77" s="121">
        <v>1</v>
      </c>
      <c r="AC77" s="121">
        <v>2</v>
      </c>
      <c r="AD77" s="121">
        <v>2</v>
      </c>
      <c r="AE77" s="121">
        <v>1</v>
      </c>
      <c r="AF77" s="121"/>
      <c r="AG77" s="121">
        <v>1.5</v>
      </c>
      <c r="AH77" s="121">
        <v>2</v>
      </c>
      <c r="AI77" s="121">
        <v>2</v>
      </c>
      <c r="AJ77" s="121">
        <v>2</v>
      </c>
      <c r="AK77" s="121">
        <v>2</v>
      </c>
      <c r="AL77" s="121">
        <v>1</v>
      </c>
      <c r="AM77" s="121"/>
      <c r="AN77" s="122">
        <f t="shared" si="4"/>
        <v>35</v>
      </c>
      <c r="AO77" s="118">
        <v>210000</v>
      </c>
      <c r="AP77" s="123">
        <f t="shared" si="5"/>
        <v>7350000</v>
      </c>
    </row>
    <row r="78" spans="1:42" ht="24.95" customHeight="1">
      <c r="A78" s="124">
        <v>73</v>
      </c>
      <c r="B78" s="116" t="s">
        <v>398</v>
      </c>
      <c r="C78" s="117" t="s">
        <v>491</v>
      </c>
      <c r="D78" s="127" t="s">
        <v>519</v>
      </c>
      <c r="E78" s="117" t="s">
        <v>520</v>
      </c>
      <c r="F78" s="126" t="s">
        <v>514</v>
      </c>
      <c r="G78" s="119" t="s">
        <v>398</v>
      </c>
      <c r="H78" s="120" t="s">
        <v>521</v>
      </c>
      <c r="I78" s="121"/>
      <c r="J78" s="121"/>
      <c r="K78" s="121"/>
      <c r="L78" s="121">
        <v>1.5</v>
      </c>
      <c r="M78" s="121"/>
      <c r="N78" s="121"/>
      <c r="O78" s="121">
        <v>1.5</v>
      </c>
      <c r="P78" s="121">
        <v>1.5</v>
      </c>
      <c r="Q78" s="121">
        <v>1</v>
      </c>
      <c r="R78" s="121"/>
      <c r="S78" s="121">
        <v>1.5</v>
      </c>
      <c r="T78" s="121">
        <v>1.5</v>
      </c>
      <c r="U78" s="121">
        <v>0.5</v>
      </c>
      <c r="V78" s="121">
        <v>2</v>
      </c>
      <c r="W78" s="121">
        <v>2</v>
      </c>
      <c r="X78" s="121"/>
      <c r="Y78" s="121"/>
      <c r="Z78" s="121">
        <v>1</v>
      </c>
      <c r="AA78" s="121">
        <v>1</v>
      </c>
      <c r="AB78" s="121">
        <v>1</v>
      </c>
      <c r="AC78" s="121">
        <v>2</v>
      </c>
      <c r="AD78" s="121">
        <v>2</v>
      </c>
      <c r="AE78" s="121">
        <v>1</v>
      </c>
      <c r="AF78" s="121"/>
      <c r="AG78" s="121">
        <v>1.5</v>
      </c>
      <c r="AH78" s="121"/>
      <c r="AI78" s="121">
        <v>2</v>
      </c>
      <c r="AJ78" s="121">
        <v>2</v>
      </c>
      <c r="AK78" s="121">
        <v>2</v>
      </c>
      <c r="AL78" s="121"/>
      <c r="AM78" s="121"/>
      <c r="AN78" s="122">
        <f t="shared" si="4"/>
        <v>28.5</v>
      </c>
      <c r="AO78" s="118">
        <v>150000</v>
      </c>
      <c r="AP78" s="123">
        <f t="shared" si="5"/>
        <v>4275000</v>
      </c>
    </row>
    <row r="79" spans="1:42" ht="24.95" customHeight="1">
      <c r="A79" s="124">
        <v>74</v>
      </c>
      <c r="B79" s="116" t="s">
        <v>399</v>
      </c>
      <c r="C79" s="117" t="s">
        <v>492</v>
      </c>
      <c r="D79" s="127" t="s">
        <v>519</v>
      </c>
      <c r="E79" s="117" t="s">
        <v>522</v>
      </c>
      <c r="F79" s="126" t="s">
        <v>517</v>
      </c>
      <c r="G79" s="119" t="s">
        <v>399</v>
      </c>
      <c r="H79" s="120" t="s">
        <v>523</v>
      </c>
      <c r="I79" s="121"/>
      <c r="J79" s="121"/>
      <c r="K79" s="121"/>
      <c r="L79" s="121">
        <v>1.5</v>
      </c>
      <c r="M79" s="121"/>
      <c r="N79" s="121">
        <v>1.5</v>
      </c>
      <c r="O79" s="121">
        <v>1.5</v>
      </c>
      <c r="P79" s="121">
        <v>1.5</v>
      </c>
      <c r="Q79" s="121"/>
      <c r="R79" s="121"/>
      <c r="S79" s="121"/>
      <c r="T79" s="121">
        <v>1.5</v>
      </c>
      <c r="U79" s="121">
        <v>1.5</v>
      </c>
      <c r="V79" s="121">
        <v>2</v>
      </c>
      <c r="W79" s="121">
        <v>2</v>
      </c>
      <c r="X79" s="121">
        <v>1</v>
      </c>
      <c r="Y79" s="121"/>
      <c r="Z79" s="121">
        <v>1</v>
      </c>
      <c r="AA79" s="121">
        <v>1</v>
      </c>
      <c r="AB79" s="121">
        <v>1</v>
      </c>
      <c r="AC79" s="121">
        <v>2</v>
      </c>
      <c r="AD79" s="121">
        <v>2</v>
      </c>
      <c r="AE79" s="121">
        <v>1</v>
      </c>
      <c r="AF79" s="121"/>
      <c r="AG79" s="121">
        <v>1.5</v>
      </c>
      <c r="AH79" s="121">
        <v>2</v>
      </c>
      <c r="AI79" s="121">
        <v>2</v>
      </c>
      <c r="AJ79" s="121">
        <v>2</v>
      </c>
      <c r="AK79" s="121">
        <v>2</v>
      </c>
      <c r="AL79" s="121">
        <v>0.5</v>
      </c>
      <c r="AM79" s="121"/>
      <c r="AN79" s="122">
        <f t="shared" si="4"/>
        <v>32</v>
      </c>
      <c r="AO79" s="118">
        <v>210000</v>
      </c>
      <c r="AP79" s="123">
        <f t="shared" si="5"/>
        <v>6720000</v>
      </c>
    </row>
    <row r="80" spans="1:42" ht="24.95" customHeight="1">
      <c r="A80" s="124">
        <v>75</v>
      </c>
      <c r="B80" s="116" t="s">
        <v>400</v>
      </c>
      <c r="C80" s="117" t="s">
        <v>493</v>
      </c>
      <c r="D80" s="125" t="s">
        <v>519</v>
      </c>
      <c r="E80" s="117" t="s">
        <v>524</v>
      </c>
      <c r="F80" s="126" t="s">
        <v>525</v>
      </c>
      <c r="G80" s="119" t="s">
        <v>400</v>
      </c>
      <c r="H80" s="120" t="s">
        <v>526</v>
      </c>
      <c r="I80" s="121"/>
      <c r="J80" s="121"/>
      <c r="K80" s="121"/>
      <c r="L80" s="121">
        <v>2.5</v>
      </c>
      <c r="M80" s="121">
        <v>2</v>
      </c>
      <c r="N80" s="121">
        <v>2</v>
      </c>
      <c r="O80" s="121">
        <v>2</v>
      </c>
      <c r="P80" s="121">
        <v>2</v>
      </c>
      <c r="Q80" s="121"/>
      <c r="R80" s="121"/>
      <c r="S80" s="121">
        <v>2</v>
      </c>
      <c r="T80" s="121">
        <v>2</v>
      </c>
      <c r="U80" s="121">
        <v>2</v>
      </c>
      <c r="V80" s="121">
        <v>2</v>
      </c>
      <c r="W80" s="121">
        <v>2</v>
      </c>
      <c r="X80" s="121"/>
      <c r="Y80" s="121"/>
      <c r="Z80" s="121">
        <v>1</v>
      </c>
      <c r="AA80" s="121">
        <v>1</v>
      </c>
      <c r="AB80" s="121">
        <v>1</v>
      </c>
      <c r="AC80" s="121">
        <v>2</v>
      </c>
      <c r="AD80" s="121">
        <v>2</v>
      </c>
      <c r="AE80" s="121">
        <v>1</v>
      </c>
      <c r="AF80" s="121"/>
      <c r="AG80" s="121">
        <v>1.5</v>
      </c>
      <c r="AH80" s="121">
        <v>2</v>
      </c>
      <c r="AI80" s="121">
        <v>2</v>
      </c>
      <c r="AJ80" s="121">
        <v>2</v>
      </c>
      <c r="AK80" s="121">
        <v>2</v>
      </c>
      <c r="AL80" s="121"/>
      <c r="AM80" s="121"/>
      <c r="AN80" s="122">
        <f t="shared" si="4"/>
        <v>38</v>
      </c>
      <c r="AO80" s="118">
        <v>160000</v>
      </c>
      <c r="AP80" s="123">
        <f t="shared" si="5"/>
        <v>6080000</v>
      </c>
    </row>
    <row r="81" spans="1:42" ht="24.95" customHeight="1">
      <c r="A81" s="124">
        <v>76</v>
      </c>
      <c r="B81" s="116" t="s">
        <v>401</v>
      </c>
      <c r="C81" s="117" t="s">
        <v>494</v>
      </c>
      <c r="D81" s="125" t="s">
        <v>512</v>
      </c>
      <c r="E81" s="117" t="s">
        <v>527</v>
      </c>
      <c r="F81" s="126" t="s">
        <v>528</v>
      </c>
      <c r="G81" s="119" t="s">
        <v>401</v>
      </c>
      <c r="H81" s="120" t="s">
        <v>529</v>
      </c>
      <c r="I81" s="121"/>
      <c r="J81" s="121"/>
      <c r="K81" s="121"/>
      <c r="L81" s="121">
        <v>1.5</v>
      </c>
      <c r="M81" s="121"/>
      <c r="N81" s="121">
        <v>1.5</v>
      </c>
      <c r="O81" s="121">
        <v>1.5</v>
      </c>
      <c r="P81" s="121">
        <v>1.5</v>
      </c>
      <c r="Q81" s="121">
        <v>1</v>
      </c>
      <c r="R81" s="121"/>
      <c r="S81" s="121">
        <v>1.5</v>
      </c>
      <c r="T81" s="121">
        <v>1.5</v>
      </c>
      <c r="U81" s="121">
        <v>1.5</v>
      </c>
      <c r="V81" s="121">
        <v>2</v>
      </c>
      <c r="W81" s="121">
        <v>2</v>
      </c>
      <c r="X81" s="121">
        <v>0.875</v>
      </c>
      <c r="Y81" s="121"/>
      <c r="Z81" s="121">
        <v>1</v>
      </c>
      <c r="AA81" s="121">
        <v>1</v>
      </c>
      <c r="AB81" s="121">
        <v>1</v>
      </c>
      <c r="AC81" s="121">
        <v>2</v>
      </c>
      <c r="AD81" s="121">
        <v>2</v>
      </c>
      <c r="AE81" s="121">
        <v>0.875</v>
      </c>
      <c r="AF81" s="121"/>
      <c r="AG81" s="121">
        <v>1.5</v>
      </c>
      <c r="AH81" s="121">
        <v>2</v>
      </c>
      <c r="AI81" s="121">
        <v>2</v>
      </c>
      <c r="AJ81" s="121">
        <v>2</v>
      </c>
      <c r="AK81" s="121">
        <v>1.5</v>
      </c>
      <c r="AL81" s="121">
        <v>1</v>
      </c>
      <c r="AM81" s="121"/>
      <c r="AN81" s="122">
        <f t="shared" si="4"/>
        <v>34.25</v>
      </c>
      <c r="AO81" s="118">
        <v>240000</v>
      </c>
      <c r="AP81" s="123">
        <f t="shared" si="5"/>
        <v>8220000</v>
      </c>
    </row>
    <row r="82" spans="1:42" ht="24.95" customHeight="1">
      <c r="A82" s="124">
        <v>77</v>
      </c>
      <c r="B82" s="116" t="s">
        <v>402</v>
      </c>
      <c r="C82" s="117" t="s">
        <v>495</v>
      </c>
      <c r="D82" s="127" t="s">
        <v>512</v>
      </c>
      <c r="E82" s="117" t="s">
        <v>530</v>
      </c>
      <c r="F82" s="126" t="s">
        <v>531</v>
      </c>
      <c r="G82" s="119" t="s">
        <v>402</v>
      </c>
      <c r="H82" s="120" t="s">
        <v>532</v>
      </c>
      <c r="I82" s="121"/>
      <c r="J82" s="121"/>
      <c r="K82" s="121"/>
      <c r="L82" s="121">
        <v>2.5</v>
      </c>
      <c r="M82" s="121">
        <v>2</v>
      </c>
      <c r="N82" s="121">
        <v>2</v>
      </c>
      <c r="O82" s="121">
        <v>2</v>
      </c>
      <c r="P82" s="121">
        <v>2</v>
      </c>
      <c r="Q82" s="121"/>
      <c r="R82" s="121"/>
      <c r="S82" s="121">
        <v>2</v>
      </c>
      <c r="T82" s="121">
        <v>2</v>
      </c>
      <c r="U82" s="121">
        <v>2</v>
      </c>
      <c r="V82" s="121">
        <v>2</v>
      </c>
      <c r="W82" s="121">
        <v>2</v>
      </c>
      <c r="X82" s="121"/>
      <c r="Y82" s="121"/>
      <c r="Z82" s="121">
        <v>1</v>
      </c>
      <c r="AA82" s="121">
        <v>1</v>
      </c>
      <c r="AB82" s="121">
        <v>1</v>
      </c>
      <c r="AC82" s="121">
        <v>2</v>
      </c>
      <c r="AD82" s="121">
        <v>2</v>
      </c>
      <c r="AE82" s="121">
        <v>1</v>
      </c>
      <c r="AF82" s="121"/>
      <c r="AG82" s="121">
        <v>1.5</v>
      </c>
      <c r="AH82" s="121">
        <v>2</v>
      </c>
      <c r="AI82" s="121">
        <v>2</v>
      </c>
      <c r="AJ82" s="121">
        <v>2</v>
      </c>
      <c r="AK82" s="121">
        <v>2</v>
      </c>
      <c r="AL82" s="121">
        <v>1</v>
      </c>
      <c r="AM82" s="121"/>
      <c r="AN82" s="122">
        <f t="shared" si="4"/>
        <v>39</v>
      </c>
      <c r="AO82" s="118">
        <v>240000</v>
      </c>
      <c r="AP82" s="123">
        <f t="shared" si="5"/>
        <v>9360000</v>
      </c>
    </row>
    <row r="83" spans="1:42" ht="24.95" customHeight="1">
      <c r="A83" s="124">
        <v>78</v>
      </c>
      <c r="B83" s="116" t="s">
        <v>403</v>
      </c>
      <c r="C83" s="117" t="s">
        <v>496</v>
      </c>
      <c r="D83" s="125" t="s">
        <v>533</v>
      </c>
      <c r="E83" s="117" t="s">
        <v>534</v>
      </c>
      <c r="F83" s="126" t="s">
        <v>517</v>
      </c>
      <c r="G83" s="119" t="s">
        <v>403</v>
      </c>
      <c r="H83" s="120" t="s">
        <v>535</v>
      </c>
      <c r="I83" s="121"/>
      <c r="J83" s="121"/>
      <c r="K83" s="121"/>
      <c r="L83" s="121">
        <v>1.5</v>
      </c>
      <c r="M83" s="121"/>
      <c r="N83" s="121">
        <v>1.5</v>
      </c>
      <c r="O83" s="121">
        <v>1.5</v>
      </c>
      <c r="P83" s="121">
        <v>1.5</v>
      </c>
      <c r="Q83" s="121">
        <v>1</v>
      </c>
      <c r="R83" s="121"/>
      <c r="S83" s="121">
        <v>1.5</v>
      </c>
      <c r="T83" s="121">
        <v>1.5</v>
      </c>
      <c r="U83" s="121">
        <v>1.5</v>
      </c>
      <c r="V83" s="121">
        <v>2</v>
      </c>
      <c r="W83" s="121">
        <v>2</v>
      </c>
      <c r="X83" s="121">
        <v>1</v>
      </c>
      <c r="Y83" s="121"/>
      <c r="Z83" s="121">
        <v>1</v>
      </c>
      <c r="AA83" s="121">
        <v>1</v>
      </c>
      <c r="AB83" s="121">
        <v>1</v>
      </c>
      <c r="AC83" s="121">
        <v>2</v>
      </c>
      <c r="AD83" s="121">
        <v>2</v>
      </c>
      <c r="AE83" s="121">
        <v>1</v>
      </c>
      <c r="AF83" s="121"/>
      <c r="AG83" s="121">
        <v>1.5</v>
      </c>
      <c r="AH83" s="121">
        <v>2</v>
      </c>
      <c r="AI83" s="121">
        <v>2</v>
      </c>
      <c r="AJ83" s="121">
        <v>2</v>
      </c>
      <c r="AK83" s="121">
        <v>2</v>
      </c>
      <c r="AL83" s="121">
        <v>1</v>
      </c>
      <c r="AM83" s="121"/>
      <c r="AN83" s="122">
        <f t="shared" si="4"/>
        <v>35</v>
      </c>
      <c r="AO83" s="118">
        <v>220000</v>
      </c>
      <c r="AP83" s="123">
        <f t="shared" si="5"/>
        <v>7700000</v>
      </c>
    </row>
    <row r="84" spans="1:42" ht="24.95" customHeight="1">
      <c r="A84" s="124">
        <v>79</v>
      </c>
      <c r="B84" s="116" t="s">
        <v>404</v>
      </c>
      <c r="C84" s="117" t="s">
        <v>497</v>
      </c>
      <c r="D84" s="127" t="s">
        <v>519</v>
      </c>
      <c r="E84" s="117" t="s">
        <v>536</v>
      </c>
      <c r="F84" s="126" t="s">
        <v>517</v>
      </c>
      <c r="G84" s="119" t="s">
        <v>404</v>
      </c>
      <c r="H84" s="120" t="s">
        <v>537</v>
      </c>
      <c r="I84" s="121"/>
      <c r="J84" s="121"/>
      <c r="K84" s="121"/>
      <c r="L84" s="121">
        <v>1.5</v>
      </c>
      <c r="M84" s="121"/>
      <c r="N84" s="121">
        <v>1.5</v>
      </c>
      <c r="O84" s="121">
        <v>1.5</v>
      </c>
      <c r="P84" s="121">
        <v>1.5</v>
      </c>
      <c r="Q84" s="121"/>
      <c r="R84" s="121"/>
      <c r="S84" s="121">
        <v>0.5</v>
      </c>
      <c r="T84" s="121">
        <v>1.5</v>
      </c>
      <c r="U84" s="121">
        <v>1.5</v>
      </c>
      <c r="V84" s="121">
        <v>2</v>
      </c>
      <c r="W84" s="121">
        <v>2</v>
      </c>
      <c r="X84" s="121">
        <v>1</v>
      </c>
      <c r="Y84" s="121"/>
      <c r="Z84" s="121"/>
      <c r="AA84" s="121">
        <v>1</v>
      </c>
      <c r="AB84" s="121">
        <v>1</v>
      </c>
      <c r="AC84" s="121">
        <v>2</v>
      </c>
      <c r="AD84" s="121">
        <v>2</v>
      </c>
      <c r="AE84" s="121">
        <v>1</v>
      </c>
      <c r="AF84" s="121"/>
      <c r="AG84" s="121">
        <v>1.5</v>
      </c>
      <c r="AH84" s="121">
        <v>2</v>
      </c>
      <c r="AI84" s="121">
        <v>2</v>
      </c>
      <c r="AJ84" s="121">
        <v>2</v>
      </c>
      <c r="AK84" s="121">
        <v>2</v>
      </c>
      <c r="AL84" s="121"/>
      <c r="AM84" s="121"/>
      <c r="AN84" s="122">
        <f t="shared" si="4"/>
        <v>31</v>
      </c>
      <c r="AO84" s="118">
        <v>160000</v>
      </c>
      <c r="AP84" s="123">
        <f t="shared" si="5"/>
        <v>4960000</v>
      </c>
    </row>
    <row r="85" spans="1:42" ht="24.95" customHeight="1">
      <c r="A85" s="124">
        <v>80</v>
      </c>
      <c r="B85" s="116" t="s">
        <v>405</v>
      </c>
      <c r="C85" s="117" t="s">
        <v>498</v>
      </c>
      <c r="D85" s="127" t="s">
        <v>533</v>
      </c>
      <c r="E85" s="117" t="s">
        <v>538</v>
      </c>
      <c r="F85" s="126" t="s">
        <v>539</v>
      </c>
      <c r="G85" s="119" t="s">
        <v>405</v>
      </c>
      <c r="H85" s="120" t="s">
        <v>540</v>
      </c>
      <c r="I85" s="121"/>
      <c r="J85" s="121"/>
      <c r="K85" s="121"/>
      <c r="L85" s="121">
        <v>2.5</v>
      </c>
      <c r="M85" s="121">
        <v>2</v>
      </c>
      <c r="N85" s="121">
        <v>2</v>
      </c>
      <c r="O85" s="121">
        <v>2</v>
      </c>
      <c r="P85" s="121">
        <v>2</v>
      </c>
      <c r="Q85" s="121"/>
      <c r="R85" s="121"/>
      <c r="S85" s="121">
        <v>1.75</v>
      </c>
      <c r="T85" s="121">
        <v>2</v>
      </c>
      <c r="U85" s="121">
        <v>2</v>
      </c>
      <c r="V85" s="121">
        <v>2</v>
      </c>
      <c r="W85" s="121">
        <v>2</v>
      </c>
      <c r="X85" s="121"/>
      <c r="Y85" s="121"/>
      <c r="Z85" s="121">
        <v>1</v>
      </c>
      <c r="AA85" s="121">
        <v>1</v>
      </c>
      <c r="AB85" s="121">
        <v>1</v>
      </c>
      <c r="AC85" s="121">
        <v>2</v>
      </c>
      <c r="AD85" s="121">
        <v>2</v>
      </c>
      <c r="AE85" s="121">
        <v>1</v>
      </c>
      <c r="AF85" s="121"/>
      <c r="AG85" s="121">
        <v>1.5</v>
      </c>
      <c r="AH85" s="121">
        <v>2</v>
      </c>
      <c r="AI85" s="121">
        <v>2</v>
      </c>
      <c r="AJ85" s="121">
        <v>2</v>
      </c>
      <c r="AK85" s="121">
        <v>2</v>
      </c>
      <c r="AL85" s="121">
        <v>1</v>
      </c>
      <c r="AM85" s="121"/>
      <c r="AN85" s="122">
        <f t="shared" si="4"/>
        <v>38.75</v>
      </c>
      <c r="AO85" s="118">
        <v>220000</v>
      </c>
      <c r="AP85" s="123">
        <f t="shared" si="5"/>
        <v>8525000</v>
      </c>
    </row>
    <row r="86" spans="1:42" ht="24.95" customHeight="1">
      <c r="A86" s="124">
        <v>81</v>
      </c>
      <c r="B86" s="116" t="s">
        <v>406</v>
      </c>
      <c r="C86" s="117" t="s">
        <v>499</v>
      </c>
      <c r="D86" s="127" t="s">
        <v>519</v>
      </c>
      <c r="E86" s="117" t="s">
        <v>541</v>
      </c>
      <c r="F86" s="126" t="s">
        <v>542</v>
      </c>
      <c r="G86" s="119" t="s">
        <v>406</v>
      </c>
      <c r="H86" s="120" t="s">
        <v>543</v>
      </c>
      <c r="I86" s="121"/>
      <c r="J86" s="121"/>
      <c r="K86" s="121"/>
      <c r="L86" s="121"/>
      <c r="M86" s="121"/>
      <c r="N86" s="121">
        <v>1.5</v>
      </c>
      <c r="O86" s="121">
        <v>1.5</v>
      </c>
      <c r="P86" s="121">
        <v>1.5</v>
      </c>
      <c r="Q86" s="121">
        <v>1</v>
      </c>
      <c r="R86" s="121"/>
      <c r="S86" s="121">
        <v>1.5</v>
      </c>
      <c r="T86" s="121">
        <v>1.5</v>
      </c>
      <c r="U86" s="121">
        <v>1.5</v>
      </c>
      <c r="V86" s="121">
        <v>2</v>
      </c>
      <c r="W86" s="121">
        <v>2</v>
      </c>
      <c r="X86" s="121">
        <v>1</v>
      </c>
      <c r="Y86" s="121"/>
      <c r="Z86" s="121">
        <v>1</v>
      </c>
      <c r="AA86" s="121">
        <v>1</v>
      </c>
      <c r="AB86" s="121">
        <v>1</v>
      </c>
      <c r="AC86" s="121">
        <v>2</v>
      </c>
      <c r="AD86" s="121">
        <v>2</v>
      </c>
      <c r="AE86" s="121">
        <v>1</v>
      </c>
      <c r="AF86" s="121"/>
      <c r="AG86" s="121">
        <v>1.5</v>
      </c>
      <c r="AH86" s="121">
        <v>2</v>
      </c>
      <c r="AI86" s="121">
        <v>2</v>
      </c>
      <c r="AJ86" s="121">
        <v>2</v>
      </c>
      <c r="AK86" s="121">
        <v>2</v>
      </c>
      <c r="AL86" s="121"/>
      <c r="AM86" s="121"/>
      <c r="AN86" s="122">
        <f t="shared" si="4"/>
        <v>32.5</v>
      </c>
      <c r="AO86" s="118">
        <v>160000</v>
      </c>
      <c r="AP86" s="123">
        <f t="shared" si="5"/>
        <v>5200000</v>
      </c>
    </row>
    <row r="87" spans="1:42" ht="24.95" customHeight="1">
      <c r="A87" s="124">
        <v>82</v>
      </c>
      <c r="B87" s="116" t="s">
        <v>407</v>
      </c>
      <c r="C87" s="117" t="s">
        <v>500</v>
      </c>
      <c r="D87" s="125" t="s">
        <v>519</v>
      </c>
      <c r="E87" s="117" t="s">
        <v>544</v>
      </c>
      <c r="F87" s="126" t="s">
        <v>545</v>
      </c>
      <c r="G87" s="119" t="s">
        <v>407</v>
      </c>
      <c r="H87" s="120" t="s">
        <v>546</v>
      </c>
      <c r="I87" s="121"/>
      <c r="J87" s="121"/>
      <c r="K87" s="121"/>
      <c r="L87" s="121"/>
      <c r="M87" s="121"/>
      <c r="N87" s="121">
        <v>1.5</v>
      </c>
      <c r="O87" s="121">
        <v>1.5</v>
      </c>
      <c r="P87" s="121">
        <v>1.5</v>
      </c>
      <c r="Q87" s="121">
        <v>1</v>
      </c>
      <c r="R87" s="121"/>
      <c r="S87" s="121">
        <v>1.5</v>
      </c>
      <c r="T87" s="121">
        <v>1.5</v>
      </c>
      <c r="U87" s="121">
        <v>1.5</v>
      </c>
      <c r="V87" s="121">
        <v>2</v>
      </c>
      <c r="W87" s="121">
        <v>2</v>
      </c>
      <c r="X87" s="121">
        <v>1</v>
      </c>
      <c r="Y87" s="121"/>
      <c r="Z87" s="121">
        <v>1</v>
      </c>
      <c r="AA87" s="121">
        <v>1</v>
      </c>
      <c r="AB87" s="121">
        <v>1</v>
      </c>
      <c r="AC87" s="121">
        <v>2</v>
      </c>
      <c r="AD87" s="121">
        <v>2</v>
      </c>
      <c r="AE87" s="121">
        <v>1</v>
      </c>
      <c r="AF87" s="121"/>
      <c r="AG87" s="121">
        <v>1.5</v>
      </c>
      <c r="AH87" s="121">
        <v>2</v>
      </c>
      <c r="AI87" s="121">
        <v>2</v>
      </c>
      <c r="AJ87" s="121">
        <v>2</v>
      </c>
      <c r="AK87" s="121">
        <v>2</v>
      </c>
      <c r="AL87" s="121"/>
      <c r="AM87" s="121"/>
      <c r="AN87" s="122">
        <f t="shared" si="4"/>
        <v>32.5</v>
      </c>
      <c r="AO87" s="118">
        <v>160000</v>
      </c>
      <c r="AP87" s="123">
        <f t="shared" si="5"/>
        <v>5200000</v>
      </c>
    </row>
    <row r="88" spans="1:42" ht="24.95" customHeight="1">
      <c r="A88" s="124">
        <v>83</v>
      </c>
      <c r="B88" s="116" t="s">
        <v>408</v>
      </c>
      <c r="C88" s="117" t="s">
        <v>501</v>
      </c>
      <c r="D88" s="125" t="s">
        <v>533</v>
      </c>
      <c r="E88" s="117" t="s">
        <v>547</v>
      </c>
      <c r="F88" s="126" t="s">
        <v>528</v>
      </c>
      <c r="G88" s="119" t="s">
        <v>408</v>
      </c>
      <c r="H88" s="120" t="s">
        <v>548</v>
      </c>
      <c r="I88" s="121"/>
      <c r="J88" s="121"/>
      <c r="K88" s="121"/>
      <c r="L88" s="121">
        <v>1.5</v>
      </c>
      <c r="M88" s="121"/>
      <c r="N88" s="121">
        <v>1.5</v>
      </c>
      <c r="O88" s="121">
        <v>1.5</v>
      </c>
      <c r="P88" s="121">
        <v>0.5</v>
      </c>
      <c r="Q88" s="121"/>
      <c r="R88" s="121"/>
      <c r="S88" s="121">
        <v>1.5</v>
      </c>
      <c r="T88" s="121">
        <v>1.5</v>
      </c>
      <c r="U88" s="121">
        <v>1</v>
      </c>
      <c r="V88" s="121">
        <v>2</v>
      </c>
      <c r="W88" s="121">
        <v>2</v>
      </c>
      <c r="X88" s="121">
        <v>1</v>
      </c>
      <c r="Y88" s="121"/>
      <c r="Z88" s="121"/>
      <c r="AA88" s="121">
        <v>1</v>
      </c>
      <c r="AB88" s="121">
        <v>1</v>
      </c>
      <c r="AC88" s="121">
        <v>2</v>
      </c>
      <c r="AD88" s="121"/>
      <c r="AE88" s="121"/>
      <c r="AF88" s="121"/>
      <c r="AG88" s="121">
        <v>1.5</v>
      </c>
      <c r="AH88" s="121">
        <v>2</v>
      </c>
      <c r="AI88" s="121">
        <v>2</v>
      </c>
      <c r="AJ88" s="121">
        <v>2</v>
      </c>
      <c r="AK88" s="121">
        <v>2</v>
      </c>
      <c r="AL88" s="121"/>
      <c r="AM88" s="121"/>
      <c r="AN88" s="122">
        <f t="shared" si="4"/>
        <v>27.5</v>
      </c>
      <c r="AO88" s="118">
        <v>220000</v>
      </c>
      <c r="AP88" s="123">
        <f t="shared" si="5"/>
        <v>6050000</v>
      </c>
    </row>
    <row r="89" spans="1:42" ht="24.95" customHeight="1">
      <c r="A89" s="124">
        <v>84</v>
      </c>
      <c r="B89" s="116" t="s">
        <v>409</v>
      </c>
      <c r="C89" s="117" t="s">
        <v>502</v>
      </c>
      <c r="D89" s="127" t="s">
        <v>533</v>
      </c>
      <c r="E89" s="117" t="s">
        <v>549</v>
      </c>
      <c r="F89" s="126" t="s">
        <v>550</v>
      </c>
      <c r="G89" s="119" t="s">
        <v>409</v>
      </c>
      <c r="H89" s="120" t="s">
        <v>551</v>
      </c>
      <c r="I89" s="121"/>
      <c r="J89" s="121"/>
      <c r="K89" s="121"/>
      <c r="L89" s="121">
        <v>1.5</v>
      </c>
      <c r="M89" s="121"/>
      <c r="N89" s="121">
        <v>1.5</v>
      </c>
      <c r="O89" s="121">
        <v>1.5</v>
      </c>
      <c r="P89" s="121">
        <v>1.5</v>
      </c>
      <c r="Q89" s="121">
        <v>1</v>
      </c>
      <c r="R89" s="121"/>
      <c r="S89" s="121">
        <v>1.5</v>
      </c>
      <c r="T89" s="121">
        <v>1.5</v>
      </c>
      <c r="U89" s="121">
        <v>1.5</v>
      </c>
      <c r="V89" s="121">
        <v>2</v>
      </c>
      <c r="W89" s="121">
        <v>2</v>
      </c>
      <c r="X89" s="121">
        <v>1</v>
      </c>
      <c r="Y89" s="121"/>
      <c r="Z89" s="121">
        <v>1</v>
      </c>
      <c r="AA89" s="121">
        <v>1</v>
      </c>
      <c r="AB89" s="121">
        <v>1</v>
      </c>
      <c r="AC89" s="121">
        <v>2</v>
      </c>
      <c r="AD89" s="121">
        <v>2</v>
      </c>
      <c r="AE89" s="121">
        <v>1</v>
      </c>
      <c r="AF89" s="121"/>
      <c r="AG89" s="121">
        <v>1.5</v>
      </c>
      <c r="AH89" s="121">
        <v>2</v>
      </c>
      <c r="AI89" s="121">
        <v>2</v>
      </c>
      <c r="AJ89" s="121">
        <v>2</v>
      </c>
      <c r="AK89" s="121">
        <v>2</v>
      </c>
      <c r="AL89" s="121">
        <v>1</v>
      </c>
      <c r="AM89" s="121"/>
      <c r="AN89" s="122">
        <f t="shared" si="4"/>
        <v>35</v>
      </c>
      <c r="AO89" s="118">
        <v>230000</v>
      </c>
      <c r="AP89" s="123">
        <f t="shared" si="5"/>
        <v>8050000</v>
      </c>
    </row>
    <row r="90" spans="1:42" ht="24.95" customHeight="1">
      <c r="A90" s="124">
        <v>85</v>
      </c>
      <c r="B90" s="116" t="s">
        <v>410</v>
      </c>
      <c r="C90" s="117" t="s">
        <v>503</v>
      </c>
      <c r="D90" s="125" t="s">
        <v>519</v>
      </c>
      <c r="E90" s="117" t="s">
        <v>552</v>
      </c>
      <c r="F90" s="126" t="s">
        <v>517</v>
      </c>
      <c r="G90" s="119" t="s">
        <v>410</v>
      </c>
      <c r="H90" s="120" t="s">
        <v>553</v>
      </c>
      <c r="I90" s="121"/>
      <c r="J90" s="121"/>
      <c r="K90" s="121"/>
      <c r="L90" s="121"/>
      <c r="M90" s="121"/>
      <c r="N90" s="121">
        <v>1.5</v>
      </c>
      <c r="O90" s="121">
        <v>1.5</v>
      </c>
      <c r="P90" s="121">
        <v>1.5</v>
      </c>
      <c r="Q90" s="121">
        <v>1</v>
      </c>
      <c r="R90" s="121"/>
      <c r="S90" s="121">
        <v>1.5</v>
      </c>
      <c r="T90" s="121">
        <v>1.5</v>
      </c>
      <c r="U90" s="121">
        <v>1.5</v>
      </c>
      <c r="V90" s="121">
        <v>2</v>
      </c>
      <c r="W90" s="121">
        <v>2</v>
      </c>
      <c r="X90" s="121">
        <v>1</v>
      </c>
      <c r="Y90" s="121"/>
      <c r="Z90" s="121">
        <v>1</v>
      </c>
      <c r="AA90" s="121">
        <v>1</v>
      </c>
      <c r="AB90" s="121">
        <v>1</v>
      </c>
      <c r="AC90" s="121">
        <v>2</v>
      </c>
      <c r="AD90" s="121">
        <v>2</v>
      </c>
      <c r="AE90" s="121"/>
      <c r="AF90" s="121"/>
      <c r="AG90" s="121"/>
      <c r="AH90" s="121">
        <v>2</v>
      </c>
      <c r="AI90" s="121">
        <v>2</v>
      </c>
      <c r="AJ90" s="121">
        <v>2</v>
      </c>
      <c r="AK90" s="121">
        <v>2</v>
      </c>
      <c r="AL90" s="121">
        <v>1</v>
      </c>
      <c r="AM90" s="121"/>
      <c r="AN90" s="122">
        <f t="shared" si="4"/>
        <v>31</v>
      </c>
      <c r="AO90" s="118">
        <v>160000</v>
      </c>
      <c r="AP90" s="123">
        <f t="shared" si="5"/>
        <v>4960000</v>
      </c>
    </row>
    <row r="91" spans="1:42" ht="24.95" customHeight="1">
      <c r="A91" s="124">
        <v>86</v>
      </c>
      <c r="B91" s="116" t="s">
        <v>411</v>
      </c>
      <c r="C91" s="117" t="s">
        <v>504</v>
      </c>
      <c r="D91" s="127" t="s">
        <v>519</v>
      </c>
      <c r="E91" s="117" t="s">
        <v>554</v>
      </c>
      <c r="F91" s="126" t="s">
        <v>545</v>
      </c>
      <c r="G91" s="119" t="s">
        <v>411</v>
      </c>
      <c r="H91" s="120" t="s">
        <v>555</v>
      </c>
      <c r="I91" s="121"/>
      <c r="J91" s="121"/>
      <c r="K91" s="121"/>
      <c r="L91" s="121">
        <v>1.5</v>
      </c>
      <c r="M91" s="121"/>
      <c r="N91" s="121">
        <v>1.5</v>
      </c>
      <c r="O91" s="121">
        <v>1.5</v>
      </c>
      <c r="P91" s="121">
        <v>1.5</v>
      </c>
      <c r="Q91" s="121">
        <v>1</v>
      </c>
      <c r="R91" s="121"/>
      <c r="S91" s="121">
        <v>1.5</v>
      </c>
      <c r="T91" s="121">
        <v>1.5</v>
      </c>
      <c r="U91" s="121">
        <v>1.5</v>
      </c>
      <c r="V91" s="121">
        <v>2</v>
      </c>
      <c r="W91" s="121">
        <v>2</v>
      </c>
      <c r="X91" s="121">
        <v>1</v>
      </c>
      <c r="Y91" s="121"/>
      <c r="Z91" s="121"/>
      <c r="AA91" s="121"/>
      <c r="AB91" s="121">
        <v>1</v>
      </c>
      <c r="AC91" s="121">
        <v>2</v>
      </c>
      <c r="AD91" s="121">
        <v>2</v>
      </c>
      <c r="AE91" s="121">
        <v>1</v>
      </c>
      <c r="AF91" s="121"/>
      <c r="AG91" s="121">
        <v>1.5</v>
      </c>
      <c r="AH91" s="121">
        <v>2</v>
      </c>
      <c r="AI91" s="121">
        <v>2</v>
      </c>
      <c r="AJ91" s="121">
        <v>2</v>
      </c>
      <c r="AK91" s="121">
        <v>2</v>
      </c>
      <c r="AL91" s="121">
        <v>1</v>
      </c>
      <c r="AM91" s="121"/>
      <c r="AN91" s="122">
        <f t="shared" si="4"/>
        <v>33</v>
      </c>
      <c r="AO91" s="118">
        <v>160000</v>
      </c>
      <c r="AP91" s="123">
        <f t="shared" si="5"/>
        <v>5280000</v>
      </c>
    </row>
    <row r="92" spans="1:42" ht="24.95" customHeight="1">
      <c r="A92" s="124">
        <v>87</v>
      </c>
      <c r="B92" s="116" t="s">
        <v>412</v>
      </c>
      <c r="C92" s="117" t="s">
        <v>505</v>
      </c>
      <c r="D92" s="127" t="s">
        <v>717</v>
      </c>
      <c r="E92" s="117" t="s">
        <v>556</v>
      </c>
      <c r="F92" s="126" t="s">
        <v>517</v>
      </c>
      <c r="G92" s="119" t="s">
        <v>412</v>
      </c>
      <c r="H92" s="120" t="s">
        <v>557</v>
      </c>
      <c r="I92" s="121"/>
      <c r="J92" s="121"/>
      <c r="K92" s="121"/>
      <c r="L92" s="121">
        <v>1.5</v>
      </c>
      <c r="M92" s="121"/>
      <c r="N92" s="121">
        <v>1.5</v>
      </c>
      <c r="O92" s="121">
        <v>1.5</v>
      </c>
      <c r="P92" s="121">
        <v>1.5</v>
      </c>
      <c r="Q92" s="121">
        <v>1</v>
      </c>
      <c r="R92" s="121"/>
      <c r="S92" s="121">
        <v>1.5</v>
      </c>
      <c r="T92" s="121">
        <v>1.5</v>
      </c>
      <c r="U92" s="121">
        <v>1.5</v>
      </c>
      <c r="V92" s="121">
        <v>2</v>
      </c>
      <c r="W92" s="121">
        <v>2</v>
      </c>
      <c r="X92" s="121">
        <v>1</v>
      </c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2">
        <f t="shared" si="4"/>
        <v>16.5</v>
      </c>
      <c r="AO92" s="118">
        <v>240000</v>
      </c>
      <c r="AP92" s="123">
        <f t="shared" si="5"/>
        <v>3960000</v>
      </c>
    </row>
    <row r="93" spans="1:42" ht="24.95" customHeight="1">
      <c r="A93" s="124">
        <v>88</v>
      </c>
      <c r="B93" s="116" t="s">
        <v>413</v>
      </c>
      <c r="C93" s="117" t="s">
        <v>506</v>
      </c>
      <c r="D93" s="127" t="s">
        <v>718</v>
      </c>
      <c r="E93" s="117" t="s">
        <v>558</v>
      </c>
      <c r="F93" s="126" t="s">
        <v>559</v>
      </c>
      <c r="G93" s="119" t="s">
        <v>413</v>
      </c>
      <c r="H93" s="120" t="s">
        <v>560</v>
      </c>
      <c r="I93" s="121"/>
      <c r="J93" s="121"/>
      <c r="K93" s="121"/>
      <c r="L93" s="121">
        <v>1.5</v>
      </c>
      <c r="M93" s="121"/>
      <c r="N93" s="121">
        <v>1.5</v>
      </c>
      <c r="O93" s="121">
        <v>1.5</v>
      </c>
      <c r="P93" s="121">
        <v>1.5</v>
      </c>
      <c r="Q93" s="121">
        <v>0.875</v>
      </c>
      <c r="R93" s="121"/>
      <c r="S93" s="121">
        <v>1.5</v>
      </c>
      <c r="T93" s="121">
        <v>1.5</v>
      </c>
      <c r="U93" s="121">
        <v>1.5</v>
      </c>
      <c r="V93" s="121">
        <v>2</v>
      </c>
      <c r="W93" s="121">
        <v>2</v>
      </c>
      <c r="X93" s="121">
        <v>1</v>
      </c>
      <c r="Y93" s="121"/>
      <c r="Z93" s="121">
        <v>1</v>
      </c>
      <c r="AA93" s="121">
        <v>1</v>
      </c>
      <c r="AB93" s="121">
        <v>1</v>
      </c>
      <c r="AC93" s="121">
        <v>2</v>
      </c>
      <c r="AD93" s="121">
        <v>2</v>
      </c>
      <c r="AE93" s="121">
        <v>1</v>
      </c>
      <c r="AF93" s="121"/>
      <c r="AG93" s="121">
        <v>1.5</v>
      </c>
      <c r="AH93" s="121">
        <v>1.875</v>
      </c>
      <c r="AI93" s="121">
        <v>2</v>
      </c>
      <c r="AJ93" s="121">
        <v>2</v>
      </c>
      <c r="AK93" s="121">
        <v>2</v>
      </c>
      <c r="AL93" s="121">
        <v>0.875</v>
      </c>
      <c r="AM93" s="121"/>
      <c r="AN93" s="122">
        <f t="shared" si="4"/>
        <v>34.625</v>
      </c>
      <c r="AO93" s="118">
        <v>160000</v>
      </c>
      <c r="AP93" s="123">
        <f t="shared" si="5"/>
        <v>5540000</v>
      </c>
    </row>
    <row r="94" spans="1:42" ht="24.95" customHeight="1">
      <c r="A94" s="124">
        <v>89</v>
      </c>
      <c r="B94" s="116" t="s">
        <v>414</v>
      </c>
      <c r="C94" s="117" t="s">
        <v>507</v>
      </c>
      <c r="D94" s="125" t="s">
        <v>519</v>
      </c>
      <c r="E94" s="117" t="s">
        <v>561</v>
      </c>
      <c r="F94" s="126" t="s">
        <v>525</v>
      </c>
      <c r="G94" s="119" t="s">
        <v>414</v>
      </c>
      <c r="H94" s="120" t="s">
        <v>562</v>
      </c>
      <c r="I94" s="121"/>
      <c r="J94" s="121"/>
      <c r="K94" s="121"/>
      <c r="L94" s="121">
        <v>1.5</v>
      </c>
      <c r="M94" s="121"/>
      <c r="N94" s="121">
        <v>1.5</v>
      </c>
      <c r="O94" s="121">
        <v>1.5</v>
      </c>
      <c r="P94" s="121">
        <v>1.5</v>
      </c>
      <c r="Q94" s="121">
        <v>1</v>
      </c>
      <c r="R94" s="121"/>
      <c r="S94" s="121">
        <v>1.5</v>
      </c>
      <c r="T94" s="121">
        <v>1.5</v>
      </c>
      <c r="U94" s="121">
        <v>1.5</v>
      </c>
      <c r="V94" s="121">
        <v>2</v>
      </c>
      <c r="W94" s="121">
        <v>2</v>
      </c>
      <c r="X94" s="121">
        <v>1</v>
      </c>
      <c r="Y94" s="121"/>
      <c r="Z94" s="121">
        <v>1</v>
      </c>
      <c r="AA94" s="121">
        <v>1</v>
      </c>
      <c r="AB94" s="121">
        <v>1</v>
      </c>
      <c r="AC94" s="121">
        <v>2</v>
      </c>
      <c r="AD94" s="121">
        <v>2</v>
      </c>
      <c r="AE94" s="121"/>
      <c r="AF94" s="121"/>
      <c r="AG94" s="121">
        <v>1.5</v>
      </c>
      <c r="AH94" s="121">
        <v>2</v>
      </c>
      <c r="AI94" s="121">
        <v>2</v>
      </c>
      <c r="AJ94" s="121">
        <v>2</v>
      </c>
      <c r="AK94" s="121">
        <v>2</v>
      </c>
      <c r="AL94" s="121">
        <v>1</v>
      </c>
      <c r="AM94" s="121"/>
      <c r="AN94" s="122">
        <f t="shared" si="4"/>
        <v>34</v>
      </c>
      <c r="AO94" s="118">
        <v>170000</v>
      </c>
      <c r="AP94" s="123">
        <f t="shared" si="5"/>
        <v>5780000</v>
      </c>
    </row>
    <row r="95" spans="1:42" ht="24.95" customHeight="1">
      <c r="A95" s="124">
        <v>90</v>
      </c>
      <c r="B95" s="116" t="s">
        <v>415</v>
      </c>
      <c r="C95" s="117" t="s">
        <v>508</v>
      </c>
      <c r="D95" s="125" t="s">
        <v>512</v>
      </c>
      <c r="E95" s="117" t="s">
        <v>563</v>
      </c>
      <c r="F95" s="126" t="s">
        <v>545</v>
      </c>
      <c r="G95" s="119" t="s">
        <v>415</v>
      </c>
      <c r="H95" s="120" t="s">
        <v>564</v>
      </c>
      <c r="I95" s="121"/>
      <c r="J95" s="121"/>
      <c r="K95" s="121"/>
      <c r="L95" s="121">
        <v>2.5</v>
      </c>
      <c r="M95" s="121">
        <v>2</v>
      </c>
      <c r="N95" s="121">
        <v>2</v>
      </c>
      <c r="O95" s="121">
        <v>2</v>
      </c>
      <c r="P95" s="121">
        <v>2</v>
      </c>
      <c r="Q95" s="121"/>
      <c r="R95" s="121"/>
      <c r="S95" s="121">
        <v>1.5</v>
      </c>
      <c r="T95" s="121">
        <v>2</v>
      </c>
      <c r="U95" s="121">
        <v>2</v>
      </c>
      <c r="V95" s="121">
        <v>2</v>
      </c>
      <c r="W95" s="121">
        <v>2</v>
      </c>
      <c r="X95" s="121"/>
      <c r="Y95" s="121"/>
      <c r="Z95" s="121">
        <v>1</v>
      </c>
      <c r="AA95" s="121">
        <v>1</v>
      </c>
      <c r="AB95" s="121">
        <v>1</v>
      </c>
      <c r="AC95" s="121">
        <v>2</v>
      </c>
      <c r="AD95" s="121">
        <v>2</v>
      </c>
      <c r="AE95" s="121">
        <v>1</v>
      </c>
      <c r="AF95" s="121"/>
      <c r="AG95" s="121">
        <v>1.5</v>
      </c>
      <c r="AH95" s="121">
        <v>2</v>
      </c>
      <c r="AI95" s="121">
        <v>2</v>
      </c>
      <c r="AJ95" s="121">
        <v>2</v>
      </c>
      <c r="AK95" s="121">
        <v>2</v>
      </c>
      <c r="AL95" s="121">
        <v>1</v>
      </c>
      <c r="AM95" s="121"/>
      <c r="AN95" s="122">
        <f t="shared" si="4"/>
        <v>38.5</v>
      </c>
      <c r="AO95" s="118">
        <v>240000</v>
      </c>
      <c r="AP95" s="123">
        <f t="shared" si="5"/>
        <v>9240000</v>
      </c>
    </row>
    <row r="96" spans="1:42" ht="24.95" customHeight="1">
      <c r="A96" s="124">
        <v>91</v>
      </c>
      <c r="B96" s="116" t="s">
        <v>416</v>
      </c>
      <c r="C96" s="117" t="s">
        <v>509</v>
      </c>
      <c r="D96" s="127" t="s">
        <v>519</v>
      </c>
      <c r="E96" s="117" t="s">
        <v>565</v>
      </c>
      <c r="F96" s="126" t="s">
        <v>550</v>
      </c>
      <c r="G96" s="119" t="s">
        <v>416</v>
      </c>
      <c r="H96" s="120" t="s">
        <v>566</v>
      </c>
      <c r="I96" s="121"/>
      <c r="J96" s="121"/>
      <c r="K96" s="121"/>
      <c r="L96" s="121">
        <v>2.5</v>
      </c>
      <c r="M96" s="121">
        <v>2</v>
      </c>
      <c r="N96" s="121">
        <v>2</v>
      </c>
      <c r="O96" s="121">
        <v>2</v>
      </c>
      <c r="P96" s="121">
        <v>2</v>
      </c>
      <c r="Q96" s="121"/>
      <c r="R96" s="121"/>
      <c r="S96" s="121">
        <v>2</v>
      </c>
      <c r="T96" s="121">
        <v>2</v>
      </c>
      <c r="U96" s="121">
        <v>2</v>
      </c>
      <c r="V96" s="121">
        <v>2</v>
      </c>
      <c r="W96" s="121">
        <v>2</v>
      </c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2">
        <f t="shared" si="4"/>
        <v>20.5</v>
      </c>
      <c r="AO96" s="118">
        <v>200000</v>
      </c>
      <c r="AP96" s="123">
        <f t="shared" si="5"/>
        <v>4100000</v>
      </c>
    </row>
    <row r="97" spans="1:42" ht="24.95" customHeight="1">
      <c r="A97" s="124">
        <v>92</v>
      </c>
      <c r="B97" s="116" t="s">
        <v>417</v>
      </c>
      <c r="C97" s="117" t="s">
        <v>510</v>
      </c>
      <c r="D97" s="125" t="s">
        <v>519</v>
      </c>
      <c r="E97" s="117" t="s">
        <v>567</v>
      </c>
      <c r="F97" s="126" t="s">
        <v>531</v>
      </c>
      <c r="G97" s="119" t="s">
        <v>417</v>
      </c>
      <c r="H97" s="120" t="s">
        <v>568</v>
      </c>
      <c r="I97" s="121"/>
      <c r="J97" s="121"/>
      <c r="K97" s="121"/>
      <c r="L97" s="121">
        <v>1.5</v>
      </c>
      <c r="M97" s="121"/>
      <c r="N97" s="121">
        <v>1.5</v>
      </c>
      <c r="O97" s="121">
        <v>1.5</v>
      </c>
      <c r="P97" s="121">
        <v>1.5</v>
      </c>
      <c r="Q97" s="121">
        <v>1</v>
      </c>
      <c r="R97" s="121"/>
      <c r="S97" s="121">
        <v>1.5</v>
      </c>
      <c r="T97" s="121">
        <v>1.5</v>
      </c>
      <c r="U97" s="121">
        <v>1.5</v>
      </c>
      <c r="V97" s="121">
        <v>2</v>
      </c>
      <c r="W97" s="121">
        <v>2</v>
      </c>
      <c r="X97" s="121">
        <v>1</v>
      </c>
      <c r="Y97" s="121"/>
      <c r="Z97" s="121">
        <v>1</v>
      </c>
      <c r="AA97" s="121">
        <v>1</v>
      </c>
      <c r="AB97" s="121">
        <v>1</v>
      </c>
      <c r="AC97" s="121">
        <v>2</v>
      </c>
      <c r="AD97" s="121">
        <v>2</v>
      </c>
      <c r="AE97" s="121">
        <v>1</v>
      </c>
      <c r="AF97" s="121"/>
      <c r="AG97" s="121">
        <v>1.5</v>
      </c>
      <c r="AH97" s="121">
        <v>2</v>
      </c>
      <c r="AI97" s="121">
        <v>2</v>
      </c>
      <c r="AJ97" s="121">
        <v>2</v>
      </c>
      <c r="AK97" s="121">
        <v>2</v>
      </c>
      <c r="AL97" s="121">
        <v>1</v>
      </c>
      <c r="AM97" s="121"/>
      <c r="AN97" s="122">
        <f t="shared" si="4"/>
        <v>35</v>
      </c>
      <c r="AO97" s="118">
        <v>180000</v>
      </c>
      <c r="AP97" s="123">
        <f t="shared" si="5"/>
        <v>6300000</v>
      </c>
    </row>
    <row r="98" spans="1:42" ht="24.95" customHeight="1" thickBot="1">
      <c r="A98" s="124">
        <v>93</v>
      </c>
      <c r="B98" s="116" t="s">
        <v>418</v>
      </c>
      <c r="C98" s="117" t="s">
        <v>511</v>
      </c>
      <c r="D98" s="127" t="s">
        <v>519</v>
      </c>
      <c r="E98" s="117" t="s">
        <v>569</v>
      </c>
      <c r="F98" s="126" t="s">
        <v>528</v>
      </c>
      <c r="G98" s="119" t="s">
        <v>418</v>
      </c>
      <c r="H98" s="120" t="s">
        <v>570</v>
      </c>
      <c r="I98" s="121"/>
      <c r="J98" s="121"/>
      <c r="K98" s="121"/>
      <c r="L98" s="121">
        <v>1.5</v>
      </c>
      <c r="M98" s="121"/>
      <c r="N98" s="121">
        <v>1.5</v>
      </c>
      <c r="O98" s="121">
        <v>1.5</v>
      </c>
      <c r="P98" s="121">
        <v>1.5</v>
      </c>
      <c r="Q98" s="121">
        <v>1</v>
      </c>
      <c r="R98" s="121"/>
      <c r="S98" s="121">
        <v>1.5</v>
      </c>
      <c r="T98" s="121">
        <v>1.5</v>
      </c>
      <c r="U98" s="121">
        <v>1.5</v>
      </c>
      <c r="V98" s="121">
        <v>2</v>
      </c>
      <c r="W98" s="121">
        <v>2</v>
      </c>
      <c r="X98" s="121">
        <v>1</v>
      </c>
      <c r="Y98" s="121"/>
      <c r="Z98" s="121">
        <v>1</v>
      </c>
      <c r="AA98" s="121">
        <v>1</v>
      </c>
      <c r="AB98" s="121">
        <v>1</v>
      </c>
      <c r="AC98" s="121">
        <v>2</v>
      </c>
      <c r="AD98" s="121">
        <v>2</v>
      </c>
      <c r="AE98" s="121">
        <v>1</v>
      </c>
      <c r="AF98" s="121"/>
      <c r="AG98" s="121">
        <v>1.5</v>
      </c>
      <c r="AH98" s="121">
        <v>2</v>
      </c>
      <c r="AI98" s="121">
        <v>2</v>
      </c>
      <c r="AJ98" s="121">
        <v>2</v>
      </c>
      <c r="AK98" s="121">
        <v>2</v>
      </c>
      <c r="AL98" s="121">
        <v>1</v>
      </c>
      <c r="AM98" s="121"/>
      <c r="AN98" s="122">
        <f t="shared" si="4"/>
        <v>35</v>
      </c>
      <c r="AO98" s="118">
        <v>180000</v>
      </c>
      <c r="AP98" s="123">
        <f t="shared" si="5"/>
        <v>6300000</v>
      </c>
    </row>
    <row r="99" spans="1:42" ht="30" customHeight="1" thickBot="1">
      <c r="A99" s="318" t="s">
        <v>220</v>
      </c>
      <c r="B99" s="319"/>
      <c r="C99" s="319"/>
      <c r="D99" s="319"/>
      <c r="E99" s="319"/>
      <c r="F99" s="319"/>
      <c r="G99" s="319"/>
      <c r="H99" s="320"/>
      <c r="I99" s="128">
        <f t="shared" ref="I99:AN99" si="6">SUM(I6:I98)</f>
        <v>0</v>
      </c>
      <c r="J99" s="129">
        <f t="shared" si="6"/>
        <v>6.875</v>
      </c>
      <c r="K99" s="129">
        <f t="shared" si="6"/>
        <v>0</v>
      </c>
      <c r="L99" s="129">
        <f t="shared" si="6"/>
        <v>118.5</v>
      </c>
      <c r="M99" s="129">
        <f t="shared" si="6"/>
        <v>36</v>
      </c>
      <c r="N99" s="129">
        <f t="shared" si="6"/>
        <v>141.5</v>
      </c>
      <c r="O99" s="129">
        <f t="shared" si="6"/>
        <v>145.375</v>
      </c>
      <c r="P99" s="129">
        <f t="shared" si="6"/>
        <v>141</v>
      </c>
      <c r="Q99" s="129">
        <f t="shared" si="6"/>
        <v>46.375</v>
      </c>
      <c r="R99" s="129">
        <f t="shared" si="6"/>
        <v>0</v>
      </c>
      <c r="S99" s="129">
        <f t="shared" si="6"/>
        <v>135.125</v>
      </c>
      <c r="T99" s="129">
        <f t="shared" si="6"/>
        <v>141.75</v>
      </c>
      <c r="U99" s="129">
        <f t="shared" si="6"/>
        <v>142.75</v>
      </c>
      <c r="V99" s="129">
        <f t="shared" si="6"/>
        <v>176.375</v>
      </c>
      <c r="W99" s="129">
        <f t="shared" si="6"/>
        <v>168.125</v>
      </c>
      <c r="X99" s="129">
        <f t="shared" si="6"/>
        <v>50.375</v>
      </c>
      <c r="Y99" s="129">
        <f t="shared" si="6"/>
        <v>0</v>
      </c>
      <c r="Z99" s="129">
        <f t="shared" si="6"/>
        <v>72</v>
      </c>
      <c r="AA99" s="129">
        <f t="shared" si="6"/>
        <v>76.625</v>
      </c>
      <c r="AB99" s="129">
        <f t="shared" si="6"/>
        <v>80.25</v>
      </c>
      <c r="AC99" s="129">
        <f t="shared" si="6"/>
        <v>160</v>
      </c>
      <c r="AD99" s="129">
        <f t="shared" si="6"/>
        <v>155.375</v>
      </c>
      <c r="AE99" s="129">
        <f t="shared" si="6"/>
        <v>57.25</v>
      </c>
      <c r="AF99" s="129">
        <f t="shared" si="6"/>
        <v>0</v>
      </c>
      <c r="AG99" s="129">
        <f t="shared" si="6"/>
        <v>108</v>
      </c>
      <c r="AH99" s="129">
        <f t="shared" si="6"/>
        <v>155.25</v>
      </c>
      <c r="AI99" s="129">
        <f t="shared" si="6"/>
        <v>156.375</v>
      </c>
      <c r="AJ99" s="129">
        <f t="shared" si="6"/>
        <v>151.875</v>
      </c>
      <c r="AK99" s="129">
        <f t="shared" si="6"/>
        <v>151.125</v>
      </c>
      <c r="AL99" s="129">
        <f t="shared" si="6"/>
        <v>59.375</v>
      </c>
      <c r="AM99" s="130">
        <f t="shared" si="6"/>
        <v>0</v>
      </c>
      <c r="AN99" s="131">
        <f t="shared" si="6"/>
        <v>2833.625</v>
      </c>
      <c r="AO99" s="132">
        <f>AP99/AN99</f>
        <v>185232.69663417002</v>
      </c>
      <c r="AP99" s="133">
        <f>SUM(AP6:AP98)</f>
        <v>524880000</v>
      </c>
    </row>
    <row r="100" spans="1:42" ht="24.95" customHeight="1">
      <c r="A100" s="115">
        <v>1</v>
      </c>
      <c r="B100" s="116"/>
      <c r="C100" s="117"/>
      <c r="D100" s="117"/>
      <c r="E100" s="117"/>
      <c r="F100" s="118"/>
      <c r="G100" s="119"/>
      <c r="H100" s="120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2">
        <f>SUM(I100:AM100)</f>
        <v>0</v>
      </c>
      <c r="AO100" s="118"/>
      <c r="AP100" s="123">
        <f>AN100*AO100</f>
        <v>0</v>
      </c>
    </row>
    <row r="101" spans="1:42" ht="24.95" customHeight="1">
      <c r="A101" s="124">
        <v>2</v>
      </c>
      <c r="B101" s="116"/>
      <c r="C101" s="117"/>
      <c r="D101" s="125"/>
      <c r="E101" s="117"/>
      <c r="F101" s="126"/>
      <c r="G101" s="119"/>
      <c r="H101" s="120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2">
        <f t="shared" ref="AN101:AN104" si="7">SUM(I101:AM101)</f>
        <v>0</v>
      </c>
      <c r="AO101" s="118"/>
      <c r="AP101" s="123">
        <f t="shared" ref="AP101:AP104" si="8">AN101*AO101</f>
        <v>0</v>
      </c>
    </row>
    <row r="102" spans="1:42" ht="24.95" customHeight="1">
      <c r="A102" s="124">
        <v>3</v>
      </c>
      <c r="B102" s="116"/>
      <c r="C102" s="117"/>
      <c r="D102" s="127"/>
      <c r="E102" s="117"/>
      <c r="F102" s="126"/>
      <c r="G102" s="119"/>
      <c r="H102" s="120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2">
        <f t="shared" si="7"/>
        <v>0</v>
      </c>
      <c r="AO102" s="118"/>
      <c r="AP102" s="123">
        <f t="shared" si="8"/>
        <v>0</v>
      </c>
    </row>
    <row r="103" spans="1:42" ht="24.95" customHeight="1">
      <c r="A103" s="124">
        <v>4</v>
      </c>
      <c r="B103" s="116"/>
      <c r="C103" s="117"/>
      <c r="D103" s="125"/>
      <c r="E103" s="117"/>
      <c r="F103" s="126"/>
      <c r="G103" s="119"/>
      <c r="H103" s="120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2">
        <f t="shared" si="7"/>
        <v>0</v>
      </c>
      <c r="AO103" s="118"/>
      <c r="AP103" s="123">
        <f t="shared" si="8"/>
        <v>0</v>
      </c>
    </row>
    <row r="104" spans="1:42" ht="24.95" customHeight="1" thickBot="1">
      <c r="A104" s="124">
        <v>5</v>
      </c>
      <c r="B104" s="116"/>
      <c r="C104" s="117"/>
      <c r="D104" s="125"/>
      <c r="E104" s="117"/>
      <c r="F104" s="126"/>
      <c r="G104" s="119"/>
      <c r="H104" s="120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2">
        <f t="shared" si="7"/>
        <v>0</v>
      </c>
      <c r="AO104" s="118"/>
      <c r="AP104" s="123">
        <f t="shared" si="8"/>
        <v>0</v>
      </c>
    </row>
    <row r="105" spans="1:42" ht="30" customHeight="1" thickBot="1">
      <c r="A105" s="318" t="s">
        <v>235</v>
      </c>
      <c r="B105" s="319"/>
      <c r="C105" s="319"/>
      <c r="D105" s="319"/>
      <c r="E105" s="319"/>
      <c r="F105" s="319"/>
      <c r="G105" s="319"/>
      <c r="H105" s="320"/>
      <c r="I105" s="128">
        <f t="shared" ref="I105:AN105" si="9">SUM(I100:I104)</f>
        <v>0</v>
      </c>
      <c r="J105" s="129">
        <f t="shared" si="9"/>
        <v>0</v>
      </c>
      <c r="K105" s="129">
        <f t="shared" si="9"/>
        <v>0</v>
      </c>
      <c r="L105" s="129">
        <f t="shared" si="9"/>
        <v>0</v>
      </c>
      <c r="M105" s="129">
        <f t="shared" si="9"/>
        <v>0</v>
      </c>
      <c r="N105" s="129">
        <f t="shared" si="9"/>
        <v>0</v>
      </c>
      <c r="O105" s="129">
        <f t="shared" si="9"/>
        <v>0</v>
      </c>
      <c r="P105" s="129">
        <f t="shared" si="9"/>
        <v>0</v>
      </c>
      <c r="Q105" s="129">
        <f t="shared" si="9"/>
        <v>0</v>
      </c>
      <c r="R105" s="129">
        <f t="shared" si="9"/>
        <v>0</v>
      </c>
      <c r="S105" s="129">
        <f t="shared" si="9"/>
        <v>0</v>
      </c>
      <c r="T105" s="129">
        <f t="shared" si="9"/>
        <v>0</v>
      </c>
      <c r="U105" s="129">
        <f t="shared" si="9"/>
        <v>0</v>
      </c>
      <c r="V105" s="129">
        <f t="shared" si="9"/>
        <v>0</v>
      </c>
      <c r="W105" s="129">
        <f t="shared" si="9"/>
        <v>0</v>
      </c>
      <c r="X105" s="129">
        <f t="shared" si="9"/>
        <v>0</v>
      </c>
      <c r="Y105" s="129">
        <f t="shared" si="9"/>
        <v>0</v>
      </c>
      <c r="Z105" s="129">
        <f t="shared" si="9"/>
        <v>0</v>
      </c>
      <c r="AA105" s="129">
        <f t="shared" si="9"/>
        <v>0</v>
      </c>
      <c r="AB105" s="129">
        <f t="shared" si="9"/>
        <v>0</v>
      </c>
      <c r="AC105" s="129">
        <f t="shared" si="9"/>
        <v>0</v>
      </c>
      <c r="AD105" s="129">
        <f t="shared" si="9"/>
        <v>0</v>
      </c>
      <c r="AE105" s="129">
        <f t="shared" si="9"/>
        <v>0</v>
      </c>
      <c r="AF105" s="129">
        <f t="shared" si="9"/>
        <v>0</v>
      </c>
      <c r="AG105" s="129">
        <f t="shared" si="9"/>
        <v>0</v>
      </c>
      <c r="AH105" s="129">
        <f t="shared" si="9"/>
        <v>0</v>
      </c>
      <c r="AI105" s="129">
        <f t="shared" si="9"/>
        <v>0</v>
      </c>
      <c r="AJ105" s="129">
        <f t="shared" si="9"/>
        <v>0</v>
      </c>
      <c r="AK105" s="129">
        <f t="shared" si="9"/>
        <v>0</v>
      </c>
      <c r="AL105" s="129">
        <f t="shared" si="9"/>
        <v>0</v>
      </c>
      <c r="AM105" s="130">
        <f t="shared" si="9"/>
        <v>0</v>
      </c>
      <c r="AN105" s="131">
        <f t="shared" si="9"/>
        <v>0</v>
      </c>
      <c r="AO105" s="132"/>
      <c r="AP105" s="133">
        <f>SUM(AP100:AP104)</f>
        <v>0</v>
      </c>
    </row>
    <row r="106" spans="1:42" ht="35.1" customHeight="1" thickBot="1">
      <c r="A106" s="321" t="s">
        <v>236</v>
      </c>
      <c r="B106" s="322"/>
      <c r="C106" s="322"/>
      <c r="D106" s="322"/>
      <c r="E106" s="322"/>
      <c r="F106" s="322"/>
      <c r="G106" s="322"/>
      <c r="H106" s="323"/>
      <c r="I106" s="134">
        <f t="shared" ref="I106:AN106" si="10">I99+I105</f>
        <v>0</v>
      </c>
      <c r="J106" s="135">
        <f t="shared" si="10"/>
        <v>6.875</v>
      </c>
      <c r="K106" s="135">
        <f t="shared" si="10"/>
        <v>0</v>
      </c>
      <c r="L106" s="135">
        <f t="shared" si="10"/>
        <v>118.5</v>
      </c>
      <c r="M106" s="135">
        <f t="shared" si="10"/>
        <v>36</v>
      </c>
      <c r="N106" s="135">
        <f t="shared" si="10"/>
        <v>141.5</v>
      </c>
      <c r="O106" s="135">
        <f t="shared" si="10"/>
        <v>145.375</v>
      </c>
      <c r="P106" s="135">
        <f t="shared" si="10"/>
        <v>141</v>
      </c>
      <c r="Q106" s="135">
        <f t="shared" si="10"/>
        <v>46.375</v>
      </c>
      <c r="R106" s="135">
        <f t="shared" si="10"/>
        <v>0</v>
      </c>
      <c r="S106" s="135">
        <f t="shared" si="10"/>
        <v>135.125</v>
      </c>
      <c r="T106" s="135">
        <f t="shared" si="10"/>
        <v>141.75</v>
      </c>
      <c r="U106" s="135">
        <f t="shared" si="10"/>
        <v>142.75</v>
      </c>
      <c r="V106" s="135">
        <f t="shared" si="10"/>
        <v>176.375</v>
      </c>
      <c r="W106" s="135">
        <f t="shared" si="10"/>
        <v>168.125</v>
      </c>
      <c r="X106" s="135">
        <f t="shared" si="10"/>
        <v>50.375</v>
      </c>
      <c r="Y106" s="135">
        <f t="shared" si="10"/>
        <v>0</v>
      </c>
      <c r="Z106" s="135">
        <f t="shared" si="10"/>
        <v>72</v>
      </c>
      <c r="AA106" s="135">
        <f t="shared" si="10"/>
        <v>76.625</v>
      </c>
      <c r="AB106" s="135">
        <f t="shared" si="10"/>
        <v>80.25</v>
      </c>
      <c r="AC106" s="135">
        <f t="shared" si="10"/>
        <v>160</v>
      </c>
      <c r="AD106" s="135">
        <f t="shared" si="10"/>
        <v>155.375</v>
      </c>
      <c r="AE106" s="135">
        <f t="shared" si="10"/>
        <v>57.25</v>
      </c>
      <c r="AF106" s="135">
        <f t="shared" si="10"/>
        <v>0</v>
      </c>
      <c r="AG106" s="135">
        <f t="shared" si="10"/>
        <v>108</v>
      </c>
      <c r="AH106" s="135">
        <f t="shared" si="10"/>
        <v>155.25</v>
      </c>
      <c r="AI106" s="135">
        <f t="shared" si="10"/>
        <v>156.375</v>
      </c>
      <c r="AJ106" s="135">
        <f t="shared" si="10"/>
        <v>151.875</v>
      </c>
      <c r="AK106" s="135">
        <f t="shared" si="10"/>
        <v>151.125</v>
      </c>
      <c r="AL106" s="135">
        <f t="shared" si="10"/>
        <v>59.375</v>
      </c>
      <c r="AM106" s="135">
        <f t="shared" si="10"/>
        <v>0</v>
      </c>
      <c r="AN106" s="136">
        <f t="shared" si="10"/>
        <v>2833.625</v>
      </c>
      <c r="AO106" s="137">
        <f>AP106/AN106</f>
        <v>185232.69663417002</v>
      </c>
      <c r="AP106" s="138">
        <f>AP99+AP105</f>
        <v>524880000</v>
      </c>
    </row>
    <row r="107" spans="1:42">
      <c r="G107" s="100"/>
      <c r="H107" s="100"/>
      <c r="AG107" s="139"/>
      <c r="AI107" s="140"/>
      <c r="AO107" s="100"/>
    </row>
    <row r="108" spans="1:42">
      <c r="G108" s="100"/>
      <c r="H108" s="100"/>
      <c r="AG108" s="139"/>
      <c r="AI108" s="140"/>
      <c r="AO108" s="100"/>
    </row>
    <row r="109" spans="1:42">
      <c r="G109" s="100"/>
      <c r="H109" s="100"/>
      <c r="AG109" s="139"/>
      <c r="AI109" s="140"/>
      <c r="AO109" s="100"/>
    </row>
    <row r="110" spans="1:42">
      <c r="G110" s="100"/>
      <c r="H110" s="100"/>
      <c r="AG110" s="139"/>
      <c r="AI110" s="140"/>
      <c r="AO110" s="100"/>
    </row>
    <row r="111" spans="1:42">
      <c r="G111" s="100"/>
      <c r="H111" s="100"/>
      <c r="AI111" s="139"/>
      <c r="AM111" s="140"/>
      <c r="AO111" s="100"/>
    </row>
    <row r="112" spans="1:42">
      <c r="G112" s="100"/>
      <c r="H112" s="100"/>
      <c r="AI112" s="139"/>
      <c r="AJ112" s="139"/>
      <c r="AM112" s="140"/>
      <c r="AO112" s="100"/>
    </row>
    <row r="113" spans="3:41">
      <c r="G113" s="100"/>
      <c r="H113" s="100"/>
      <c r="AJ113" s="139"/>
      <c r="AK113" s="139"/>
      <c r="AL113" s="139"/>
      <c r="AO113" s="100"/>
    </row>
    <row r="114" spans="3:41">
      <c r="G114" s="100"/>
      <c r="H114" s="100"/>
      <c r="AJ114" s="139"/>
      <c r="AK114" s="139"/>
      <c r="AL114" s="139"/>
      <c r="AO114" s="100"/>
    </row>
    <row r="115" spans="3:41">
      <c r="G115" s="100"/>
      <c r="H115" s="100"/>
      <c r="AJ115" s="139"/>
      <c r="AK115" s="139"/>
      <c r="AL115" s="139"/>
      <c r="AO115" s="100"/>
    </row>
    <row r="116" spans="3:41">
      <c r="G116" s="100"/>
      <c r="H116" s="100"/>
      <c r="AK116" s="139"/>
      <c r="AL116" s="139"/>
      <c r="AO116" s="100"/>
    </row>
    <row r="117" spans="3:41">
      <c r="C117" s="101"/>
      <c r="D117" s="101"/>
      <c r="E117" s="101"/>
      <c r="G117" s="100"/>
      <c r="H117" s="100"/>
      <c r="AN117" s="140"/>
      <c r="AO117" s="100"/>
    </row>
    <row r="118" spans="3:41">
      <c r="C118" s="101"/>
      <c r="D118" s="101"/>
      <c r="E118" s="101"/>
      <c r="G118" s="100"/>
      <c r="H118" s="100"/>
      <c r="AN118" s="140"/>
      <c r="AO118" s="100"/>
    </row>
    <row r="119" spans="3:41">
      <c r="C119" s="101"/>
      <c r="D119" s="101"/>
      <c r="E119" s="101"/>
      <c r="G119" s="100"/>
      <c r="H119" s="100"/>
      <c r="AN119" s="140"/>
      <c r="AO119" s="100"/>
    </row>
    <row r="120" spans="3:41">
      <c r="C120" s="101"/>
      <c r="D120" s="101"/>
      <c r="E120" s="101"/>
      <c r="G120" s="100"/>
      <c r="H120" s="100"/>
      <c r="AN120" s="140"/>
      <c r="AO120" s="100"/>
    </row>
    <row r="121" spans="3:41">
      <c r="C121" s="101"/>
      <c r="D121" s="101"/>
      <c r="E121" s="101"/>
      <c r="G121" s="100"/>
      <c r="H121" s="100"/>
      <c r="AN121" s="140"/>
      <c r="AO121" s="100"/>
    </row>
    <row r="122" spans="3:41">
      <c r="E122" s="101"/>
      <c r="F122" s="101"/>
      <c r="G122" s="100"/>
      <c r="H122" s="100"/>
      <c r="AO122" s="140"/>
    </row>
    <row r="123" spans="3:41">
      <c r="E123" s="101"/>
      <c r="F123" s="101"/>
      <c r="G123" s="100"/>
      <c r="H123" s="100"/>
      <c r="AO123" s="140"/>
    </row>
    <row r="124" spans="3:41">
      <c r="E124" s="101"/>
      <c r="F124" s="101"/>
      <c r="G124" s="100"/>
      <c r="H124" s="100"/>
      <c r="AO124" s="140"/>
    </row>
    <row r="125" spans="3:41">
      <c r="E125" s="101"/>
      <c r="F125" s="101"/>
      <c r="G125" s="100"/>
      <c r="H125" s="100"/>
      <c r="AO125" s="140"/>
    </row>
    <row r="126" spans="3:41">
      <c r="E126" s="101"/>
      <c r="F126" s="101"/>
      <c r="G126" s="100"/>
      <c r="H126" s="100"/>
      <c r="AO126" s="140"/>
    </row>
    <row r="127" spans="3:41">
      <c r="E127" s="101"/>
      <c r="F127" s="101"/>
      <c r="G127" s="100"/>
      <c r="H127" s="100"/>
      <c r="AO127" s="140"/>
    </row>
    <row r="128" spans="3:41">
      <c r="E128" s="101"/>
      <c r="F128" s="101"/>
      <c r="G128" s="100"/>
      <c r="H128" s="100"/>
      <c r="AO128" s="140"/>
    </row>
    <row r="129" spans="5:41">
      <c r="E129" s="101"/>
      <c r="F129" s="101"/>
      <c r="G129" s="100"/>
      <c r="H129" s="100"/>
      <c r="AO129" s="140"/>
    </row>
    <row r="130" spans="5:41">
      <c r="E130" s="101"/>
      <c r="F130" s="101"/>
      <c r="G130" s="100"/>
      <c r="H130" s="100"/>
      <c r="AO130" s="140"/>
    </row>
    <row r="131" spans="5:41">
      <c r="E131" s="101"/>
      <c r="F131" s="101"/>
      <c r="G131" s="100"/>
      <c r="H131" s="100"/>
      <c r="AO131" s="140"/>
    </row>
    <row r="132" spans="5:41">
      <c r="E132" s="101"/>
      <c r="F132" s="101"/>
      <c r="G132" s="100"/>
      <c r="H132" s="100"/>
      <c r="AO132" s="140"/>
    </row>
    <row r="133" spans="5:41">
      <c r="E133" s="101"/>
      <c r="F133" s="101"/>
      <c r="G133" s="100"/>
      <c r="H133" s="100"/>
      <c r="AO133" s="140"/>
    </row>
    <row r="134" spans="5:41">
      <c r="E134" s="101"/>
      <c r="F134" s="101"/>
      <c r="G134" s="100"/>
      <c r="H134" s="100"/>
      <c r="AO134" s="140"/>
    </row>
    <row r="135" spans="5:41">
      <c r="E135" s="101"/>
      <c r="F135" s="101"/>
      <c r="G135" s="100"/>
      <c r="H135" s="100"/>
      <c r="AO135" s="140"/>
    </row>
    <row r="136" spans="5:41">
      <c r="E136" s="101"/>
      <c r="F136" s="101"/>
      <c r="G136" s="100"/>
      <c r="H136" s="100"/>
      <c r="AO136" s="140"/>
    </row>
    <row r="137" spans="5:41">
      <c r="E137" s="101"/>
      <c r="F137" s="101"/>
      <c r="G137" s="100"/>
      <c r="H137" s="100"/>
      <c r="AO137" s="140"/>
    </row>
    <row r="138" spans="5:41">
      <c r="E138" s="101"/>
      <c r="F138" s="101"/>
      <c r="G138" s="100"/>
      <c r="H138" s="100"/>
      <c r="AO138" s="140"/>
    </row>
    <row r="139" spans="5:41">
      <c r="E139" s="101"/>
      <c r="F139" s="101"/>
      <c r="G139" s="100"/>
      <c r="H139" s="100"/>
      <c r="AO139" s="140"/>
    </row>
    <row r="140" spans="5:41">
      <c r="E140" s="101"/>
      <c r="F140" s="101"/>
      <c r="G140" s="100"/>
      <c r="H140" s="100"/>
      <c r="AO140" s="140"/>
    </row>
    <row r="141" spans="5:41">
      <c r="E141" s="101"/>
      <c r="F141" s="101"/>
      <c r="G141" s="100"/>
      <c r="H141" s="100"/>
      <c r="AO141" s="140"/>
    </row>
    <row r="142" spans="5:41">
      <c r="E142" s="101"/>
      <c r="F142" s="101"/>
      <c r="G142" s="100"/>
      <c r="H142" s="100"/>
      <c r="AO142" s="140"/>
    </row>
    <row r="143" spans="5:41">
      <c r="E143" s="101"/>
      <c r="F143" s="101"/>
      <c r="G143" s="100"/>
      <c r="H143" s="100"/>
      <c r="AO143" s="140"/>
    </row>
    <row r="144" spans="5:41">
      <c r="E144" s="101"/>
      <c r="F144" s="101"/>
      <c r="G144" s="100"/>
      <c r="H144" s="100"/>
      <c r="AO144" s="140"/>
    </row>
    <row r="145" spans="5:42">
      <c r="E145" s="101"/>
      <c r="F145" s="101"/>
      <c r="G145" s="100"/>
      <c r="H145" s="100"/>
      <c r="AO145" s="140"/>
    </row>
    <row r="146" spans="5:42">
      <c r="F146" s="101"/>
      <c r="H146" s="100"/>
      <c r="AN146" s="139"/>
      <c r="AO146" s="100"/>
      <c r="AP146" s="142"/>
    </row>
    <row r="147" spans="5:42">
      <c r="F147" s="101"/>
      <c r="H147" s="100"/>
      <c r="AN147" s="139"/>
      <c r="AO147" s="100"/>
      <c r="AP147" s="142"/>
    </row>
    <row r="148" spans="5:42">
      <c r="F148" s="101"/>
      <c r="H148" s="100"/>
      <c r="AN148" s="139"/>
      <c r="AO148" s="100"/>
      <c r="AP148" s="142"/>
    </row>
    <row r="149" spans="5:42">
      <c r="F149" s="101"/>
      <c r="H149" s="100"/>
      <c r="AN149" s="139"/>
      <c r="AO149" s="100"/>
      <c r="AP149" s="142"/>
    </row>
    <row r="150" spans="5:42">
      <c r="F150" s="101"/>
      <c r="H150" s="100"/>
      <c r="AN150" s="139"/>
      <c r="AO150" s="100"/>
      <c r="AP150" s="142"/>
    </row>
    <row r="151" spans="5:42">
      <c r="F151" s="101"/>
      <c r="H151" s="100"/>
      <c r="AN151" s="139"/>
      <c r="AO151" s="100"/>
      <c r="AP151" s="142"/>
    </row>
    <row r="152" spans="5:42">
      <c r="F152" s="101"/>
      <c r="H152" s="100"/>
      <c r="AN152" s="139"/>
      <c r="AO152" s="100"/>
      <c r="AP152" s="142"/>
    </row>
    <row r="153" spans="5:42">
      <c r="F153" s="101"/>
      <c r="H153" s="100"/>
      <c r="AN153" s="139"/>
      <c r="AO153" s="100"/>
      <c r="AP153" s="142"/>
    </row>
    <row r="154" spans="5:42">
      <c r="F154" s="101"/>
      <c r="H154" s="100"/>
      <c r="AN154" s="139"/>
      <c r="AO154" s="100"/>
      <c r="AP154" s="142"/>
    </row>
    <row r="155" spans="5:42">
      <c r="F155" s="101"/>
      <c r="H155" s="100"/>
      <c r="AN155" s="139"/>
      <c r="AO155" s="100"/>
      <c r="AP155" s="142"/>
    </row>
    <row r="156" spans="5:42">
      <c r="F156" s="101"/>
      <c r="H156" s="100"/>
      <c r="AN156" s="139"/>
      <c r="AO156" s="100"/>
      <c r="AP156" s="142"/>
    </row>
    <row r="157" spans="5:42">
      <c r="F157" s="101"/>
      <c r="H157" s="100"/>
      <c r="AN157" s="139"/>
      <c r="AO157" s="100"/>
      <c r="AP157" s="142"/>
    </row>
    <row r="158" spans="5:42">
      <c r="F158" s="101"/>
      <c r="H158" s="100"/>
      <c r="AN158" s="139"/>
      <c r="AO158" s="100"/>
      <c r="AP158" s="142"/>
    </row>
    <row r="159" spans="5:42">
      <c r="F159" s="101"/>
      <c r="H159" s="100"/>
      <c r="AN159" s="139"/>
      <c r="AO159" s="100"/>
      <c r="AP159" s="142"/>
    </row>
    <row r="160" spans="5:42">
      <c r="F160" s="101"/>
      <c r="H160" s="100"/>
      <c r="AN160" s="139"/>
      <c r="AO160" s="100"/>
      <c r="AP160" s="142"/>
    </row>
    <row r="161" spans="6:42">
      <c r="F161" s="101"/>
      <c r="H161" s="100"/>
      <c r="AN161" s="139"/>
      <c r="AO161" s="100"/>
      <c r="AP161" s="142"/>
    </row>
    <row r="162" spans="6:42">
      <c r="F162" s="101"/>
      <c r="H162" s="100"/>
      <c r="AN162" s="139"/>
      <c r="AO162" s="100"/>
      <c r="AP162" s="142"/>
    </row>
    <row r="163" spans="6:42">
      <c r="F163" s="101"/>
      <c r="H163" s="100"/>
      <c r="AN163" s="139"/>
      <c r="AO163" s="100"/>
      <c r="AP163" s="142"/>
    </row>
    <row r="164" spans="6:42">
      <c r="F164" s="101"/>
      <c r="H164" s="100"/>
      <c r="AN164" s="139"/>
      <c r="AO164" s="100"/>
      <c r="AP164" s="142"/>
    </row>
    <row r="165" spans="6:42">
      <c r="F165" s="101"/>
      <c r="H165" s="100"/>
      <c r="AN165" s="139"/>
      <c r="AO165" s="100"/>
      <c r="AP165" s="142"/>
    </row>
    <row r="166" spans="6:42">
      <c r="F166" s="101"/>
      <c r="H166" s="100"/>
      <c r="AN166" s="139"/>
      <c r="AO166" s="100"/>
      <c r="AP166" s="142"/>
    </row>
    <row r="167" spans="6:42">
      <c r="F167" s="101"/>
      <c r="H167" s="100"/>
      <c r="AN167" s="139"/>
      <c r="AO167" s="100"/>
      <c r="AP167" s="142"/>
    </row>
    <row r="168" spans="6:42">
      <c r="F168" s="101"/>
      <c r="H168" s="100"/>
      <c r="AN168" s="139"/>
      <c r="AO168" s="100"/>
      <c r="AP168" s="142"/>
    </row>
    <row r="169" spans="6:42">
      <c r="F169" s="101"/>
      <c r="H169" s="100"/>
      <c r="AN169" s="139"/>
      <c r="AO169" s="100"/>
      <c r="AP169" s="142"/>
    </row>
    <row r="170" spans="6:42">
      <c r="F170" s="101"/>
      <c r="H170" s="100"/>
      <c r="AN170" s="139"/>
      <c r="AO170" s="100"/>
      <c r="AP170" s="142"/>
    </row>
    <row r="171" spans="6:42">
      <c r="F171" s="101"/>
      <c r="H171" s="100"/>
      <c r="AN171" s="139"/>
      <c r="AO171" s="100"/>
      <c r="AP171" s="142"/>
    </row>
    <row r="172" spans="6:42">
      <c r="F172" s="101"/>
      <c r="H172" s="100"/>
      <c r="AN172" s="139"/>
      <c r="AO172" s="100"/>
      <c r="AP172" s="142"/>
    </row>
    <row r="173" spans="6:42">
      <c r="F173" s="101"/>
      <c r="H173" s="100"/>
      <c r="AN173" s="139"/>
      <c r="AO173" s="100"/>
      <c r="AP173" s="142"/>
    </row>
    <row r="174" spans="6:42">
      <c r="F174" s="101"/>
      <c r="H174" s="100"/>
      <c r="AN174" s="139"/>
      <c r="AO174" s="100"/>
      <c r="AP174" s="142"/>
    </row>
    <row r="175" spans="6:42">
      <c r="F175" s="101"/>
      <c r="H175" s="100"/>
      <c r="AN175" s="139"/>
      <c r="AO175" s="100"/>
      <c r="AP175" s="142"/>
    </row>
    <row r="176" spans="6:42">
      <c r="F176" s="101"/>
      <c r="H176" s="100"/>
      <c r="AN176" s="139"/>
      <c r="AO176" s="100"/>
      <c r="AP176" s="142"/>
    </row>
    <row r="177" spans="6:42">
      <c r="F177" s="101"/>
      <c r="H177" s="100"/>
      <c r="AN177" s="139"/>
      <c r="AO177" s="100"/>
      <c r="AP177" s="142"/>
    </row>
    <row r="178" spans="6:42">
      <c r="F178" s="101"/>
      <c r="H178" s="100"/>
      <c r="AN178" s="139"/>
      <c r="AO178" s="100"/>
      <c r="AP178" s="142"/>
    </row>
    <row r="179" spans="6:42">
      <c r="F179" s="101"/>
      <c r="H179" s="100"/>
      <c r="AN179" s="139"/>
      <c r="AO179" s="100"/>
      <c r="AP179" s="142"/>
    </row>
    <row r="180" spans="6:42">
      <c r="F180" s="101"/>
      <c r="H180" s="100"/>
      <c r="AN180" s="139"/>
      <c r="AO180" s="100"/>
      <c r="AP180" s="142"/>
    </row>
    <row r="181" spans="6:42">
      <c r="F181" s="101"/>
      <c r="H181" s="100"/>
      <c r="AN181" s="139"/>
      <c r="AO181" s="100"/>
      <c r="AP181" s="142"/>
    </row>
    <row r="182" spans="6:42">
      <c r="F182" s="101"/>
      <c r="H182" s="100"/>
      <c r="AN182" s="139"/>
      <c r="AO182" s="100"/>
      <c r="AP182" s="142"/>
    </row>
    <row r="183" spans="6:42">
      <c r="F183" s="101"/>
      <c r="H183" s="100"/>
      <c r="AN183" s="139"/>
      <c r="AO183" s="100"/>
      <c r="AP183" s="142"/>
    </row>
    <row r="184" spans="6:42">
      <c r="F184" s="101"/>
      <c r="H184" s="100"/>
      <c r="AN184" s="139"/>
      <c r="AO184" s="100"/>
      <c r="AP184" s="142"/>
    </row>
    <row r="185" spans="6:42">
      <c r="F185" s="101"/>
      <c r="H185" s="100"/>
      <c r="AN185" s="139"/>
      <c r="AO185" s="100"/>
      <c r="AP185" s="142"/>
    </row>
    <row r="186" spans="6:42">
      <c r="F186" s="101"/>
      <c r="H186" s="100"/>
      <c r="AN186" s="139"/>
      <c r="AO186" s="100"/>
      <c r="AP186" s="142"/>
    </row>
    <row r="187" spans="6:42">
      <c r="F187" s="101"/>
      <c r="H187" s="100"/>
      <c r="AN187" s="139"/>
      <c r="AO187" s="100"/>
      <c r="AP187" s="142"/>
    </row>
  </sheetData>
  <mergeCells count="10">
    <mergeCell ref="A99:H99"/>
    <mergeCell ref="A105:H105"/>
    <mergeCell ref="A106:H106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6:B98">
    <cfRule type="duplicateValues" dxfId="56" priority="269"/>
  </conditionalFormatting>
  <conditionalFormatting sqref="B100:B104">
    <cfRule type="duplicateValues" dxfId="55" priority="105"/>
  </conditionalFormatting>
  <conditionalFormatting sqref="B107:B1048576 B1:B5">
    <cfRule type="duplicateValues" dxfId="54" priority="33"/>
  </conditionalFormatting>
  <conditionalFormatting sqref="B6:C98">
    <cfRule type="duplicateValues" dxfId="53" priority="271"/>
  </conditionalFormatting>
  <conditionalFormatting sqref="B100:C104">
    <cfRule type="duplicateValues" dxfId="52" priority="107"/>
  </conditionalFormatting>
  <conditionalFormatting sqref="B107:C1048576 B1:C5">
    <cfRule type="duplicateValues" dxfId="51" priority="57"/>
  </conditionalFormatting>
  <conditionalFormatting sqref="C5">
    <cfRule type="duplicateValues" dxfId="50" priority="50"/>
    <cfRule type="duplicateValues" dxfId="49" priority="51"/>
    <cfRule type="duplicateValues" dxfId="48" priority="52"/>
  </conditionalFormatting>
  <conditionalFormatting sqref="C6:C98 E6:E98">
    <cfRule type="duplicateValues" dxfId="47" priority="273"/>
  </conditionalFormatting>
  <conditionalFormatting sqref="C6:C98">
    <cfRule type="duplicateValues" dxfId="46" priority="275"/>
    <cfRule type="duplicateValues" dxfId="45" priority="276"/>
    <cfRule type="duplicateValues" dxfId="44" priority="277"/>
  </conditionalFormatting>
  <conditionalFormatting sqref="C100:C104 E100:E104">
    <cfRule type="duplicateValues" dxfId="43" priority="109"/>
  </conditionalFormatting>
  <conditionalFormatting sqref="C100:C104">
    <cfRule type="duplicateValues" dxfId="42" priority="111"/>
    <cfRule type="duplicateValues" dxfId="41" priority="112"/>
    <cfRule type="duplicateValues" dxfId="40" priority="113"/>
  </conditionalFormatting>
  <conditionalFormatting sqref="C107:C1048576 C1:C5">
    <cfRule type="duplicateValues" dxfId="39" priority="34"/>
  </conditionalFormatting>
  <conditionalFormatting sqref="C107:C1048576 C4">
    <cfRule type="duplicateValues" dxfId="38" priority="49"/>
  </conditionalFormatting>
  <conditionalFormatting sqref="C107:C1048576 C4:C5">
    <cfRule type="duplicateValues" dxfId="37" priority="39"/>
    <cfRule type="duplicateValues" dxfId="36" priority="42"/>
    <cfRule type="duplicateValues" dxfId="35" priority="47"/>
  </conditionalFormatting>
  <conditionalFormatting sqref="C107:C1048576">
    <cfRule type="duplicateValues" dxfId="34" priority="43"/>
  </conditionalFormatting>
  <conditionalFormatting sqref="E5">
    <cfRule type="duplicateValues" dxfId="33" priority="53"/>
    <cfRule type="duplicateValues" dxfId="32" priority="54"/>
  </conditionalFormatting>
  <conditionalFormatting sqref="E6:E98">
    <cfRule type="duplicateValues" dxfId="31" priority="284"/>
    <cfRule type="duplicateValues" dxfId="30" priority="285"/>
    <cfRule type="duplicateValues" dxfId="29" priority="286"/>
  </conditionalFormatting>
  <conditionalFormatting sqref="E100:E104">
    <cfRule type="duplicateValues" dxfId="28" priority="119"/>
    <cfRule type="duplicateValues" dxfId="27" priority="120"/>
    <cfRule type="duplicateValues" dxfId="26" priority="121"/>
  </conditionalFormatting>
  <conditionalFormatting sqref="E107:E1048576 C4:C5 E4:E5 C107:C1048576">
    <cfRule type="duplicateValues" dxfId="25" priority="44"/>
  </conditionalFormatting>
  <conditionalFormatting sqref="E107:E1048576 E1:E5">
    <cfRule type="duplicateValues" dxfId="24" priority="36"/>
  </conditionalFormatting>
  <conditionalFormatting sqref="E107:E1048576 E4:E5">
    <cfRule type="duplicateValues" dxfId="23" priority="38"/>
    <cfRule type="duplicateValues" dxfId="22" priority="41"/>
    <cfRule type="duplicateValues" dxfId="21" priority="46"/>
  </conditionalFormatting>
  <conditionalFormatting sqref="G6:H98">
    <cfRule type="duplicateValues" dxfId="20" priority="294"/>
  </conditionalFormatting>
  <conditionalFormatting sqref="G100:H104">
    <cfRule type="duplicateValues" dxfId="19" priority="129"/>
  </conditionalFormatting>
  <conditionalFormatting sqref="G107:H1048576 G1:H5">
    <cfRule type="duplicateValues" dxfId="18" priority="35"/>
  </conditionalFormatting>
  <conditionalFormatting sqref="H5">
    <cfRule type="duplicateValues" dxfId="17" priority="55"/>
    <cfRule type="duplicateValues" dxfId="16" priority="56"/>
  </conditionalFormatting>
  <conditionalFormatting sqref="H6:H98">
    <cfRule type="duplicateValues" dxfId="15" priority="296"/>
    <cfRule type="duplicateValues" dxfId="14" priority="297"/>
    <cfRule type="duplicateValues" dxfId="13" priority="298"/>
    <cfRule type="duplicateValues" dxfId="12" priority="299"/>
    <cfRule type="duplicateValues" dxfId="11" priority="300"/>
    <cfRule type="duplicateValues" dxfId="10" priority="301"/>
  </conditionalFormatting>
  <conditionalFormatting sqref="H100:H104">
    <cfRule type="duplicateValues" dxfId="9" priority="131"/>
    <cfRule type="duplicateValues" dxfId="8" priority="132"/>
    <cfRule type="duplicateValues" dxfId="7" priority="133"/>
    <cfRule type="duplicateValues" dxfId="6" priority="134"/>
    <cfRule type="duplicateValues" dxfId="5" priority="135"/>
    <cfRule type="duplicateValues" dxfId="4" priority="136"/>
  </conditionalFormatting>
  <conditionalFormatting sqref="H107:H1048576 H4">
    <cfRule type="duplicateValues" dxfId="3" priority="48"/>
  </conditionalFormatting>
  <conditionalFormatting sqref="H107:H1048576 H4:H5">
    <cfRule type="duplicateValues" dxfId="2" priority="37"/>
    <cfRule type="duplicateValues" dxfId="1" priority="40"/>
    <cfRule type="duplicateValues" dxfId="0" priority="45"/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33" fitToHeight="0" orientation="landscape" r:id="rId1"/>
  <headerFooter>
    <oddFooter>&amp;C&amp;P/&amp;N</oddFooter>
  </headerFooter>
  <rowBreaks count="2" manualBreakCount="2">
    <brk id="63" max="41" man="1"/>
    <brk id="99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03D-303A-4A18-8667-D6B882C32923}">
  <sheetPr>
    <pageSetUpPr fitToPage="1"/>
  </sheetPr>
  <dimension ref="A1:L14"/>
  <sheetViews>
    <sheetView view="pageBreakPreview" zoomScale="85" zoomScaleNormal="115" zoomScaleSheetLayoutView="85" workbookViewId="0">
      <selection activeCell="F21" sqref="F21"/>
    </sheetView>
  </sheetViews>
  <sheetFormatPr defaultRowHeight="15"/>
  <cols>
    <col min="1" max="1" width="9.375" style="163" customWidth="1"/>
    <col min="2" max="2" width="21.625" style="164" bestFit="1" customWidth="1"/>
    <col min="3" max="3" width="13.375" style="163" customWidth="1"/>
    <col min="4" max="4" width="41.25" style="164" bestFit="1" customWidth="1"/>
    <col min="5" max="5" width="41.125" style="164" bestFit="1" customWidth="1"/>
    <col min="6" max="6" width="20.125" style="164" bestFit="1" customWidth="1"/>
    <col min="7" max="7" width="8" style="165" customWidth="1"/>
    <col min="8" max="8" width="14.25" style="166" customWidth="1"/>
    <col min="9" max="9" width="15.125" style="166" bestFit="1" customWidth="1"/>
    <col min="10" max="10" width="23.375" style="164" customWidth="1"/>
    <col min="11" max="256" width="9" style="17"/>
    <col min="257" max="257" width="9.375" style="17" customWidth="1"/>
    <col min="258" max="258" width="21.625" style="17" bestFit="1" customWidth="1"/>
    <col min="259" max="259" width="13.375" style="17" customWidth="1"/>
    <col min="260" max="260" width="41.25" style="17" bestFit="1" customWidth="1"/>
    <col min="261" max="261" width="41.125" style="17" bestFit="1" customWidth="1"/>
    <col min="262" max="262" width="20.125" style="17" bestFit="1" customWidth="1"/>
    <col min="263" max="263" width="8" style="17" customWidth="1"/>
    <col min="264" max="264" width="14.25" style="17" customWidth="1"/>
    <col min="265" max="265" width="15.125" style="17" bestFit="1" customWidth="1"/>
    <col min="266" max="266" width="23.375" style="17" customWidth="1"/>
    <col min="267" max="512" width="9" style="17"/>
    <col min="513" max="513" width="9.375" style="17" customWidth="1"/>
    <col min="514" max="514" width="21.625" style="17" bestFit="1" customWidth="1"/>
    <col min="515" max="515" width="13.375" style="17" customWidth="1"/>
    <col min="516" max="516" width="41.25" style="17" bestFit="1" customWidth="1"/>
    <col min="517" max="517" width="41.125" style="17" bestFit="1" customWidth="1"/>
    <col min="518" max="518" width="20.125" style="17" bestFit="1" customWidth="1"/>
    <col min="519" max="519" width="8" style="17" customWidth="1"/>
    <col min="520" max="520" width="14.25" style="17" customWidth="1"/>
    <col min="521" max="521" width="15.125" style="17" bestFit="1" customWidth="1"/>
    <col min="522" max="522" width="23.375" style="17" customWidth="1"/>
    <col min="523" max="768" width="9" style="17"/>
    <col min="769" max="769" width="9.375" style="17" customWidth="1"/>
    <col min="770" max="770" width="21.625" style="17" bestFit="1" customWidth="1"/>
    <col min="771" max="771" width="13.375" style="17" customWidth="1"/>
    <col min="772" max="772" width="41.25" style="17" bestFit="1" customWidth="1"/>
    <col min="773" max="773" width="41.125" style="17" bestFit="1" customWidth="1"/>
    <col min="774" max="774" width="20.125" style="17" bestFit="1" customWidth="1"/>
    <col min="775" max="775" width="8" style="17" customWidth="1"/>
    <col min="776" max="776" width="14.25" style="17" customWidth="1"/>
    <col min="777" max="777" width="15.125" style="17" bestFit="1" customWidth="1"/>
    <col min="778" max="778" width="23.375" style="17" customWidth="1"/>
    <col min="779" max="1024" width="9" style="17"/>
    <col min="1025" max="1025" width="9.375" style="17" customWidth="1"/>
    <col min="1026" max="1026" width="21.625" style="17" bestFit="1" customWidth="1"/>
    <col min="1027" max="1027" width="13.375" style="17" customWidth="1"/>
    <col min="1028" max="1028" width="41.25" style="17" bestFit="1" customWidth="1"/>
    <col min="1029" max="1029" width="41.125" style="17" bestFit="1" customWidth="1"/>
    <col min="1030" max="1030" width="20.125" style="17" bestFit="1" customWidth="1"/>
    <col min="1031" max="1031" width="8" style="17" customWidth="1"/>
    <col min="1032" max="1032" width="14.25" style="17" customWidth="1"/>
    <col min="1033" max="1033" width="15.125" style="17" bestFit="1" customWidth="1"/>
    <col min="1034" max="1034" width="23.375" style="17" customWidth="1"/>
    <col min="1035" max="1280" width="9" style="17"/>
    <col min="1281" max="1281" width="9.375" style="17" customWidth="1"/>
    <col min="1282" max="1282" width="21.625" style="17" bestFit="1" customWidth="1"/>
    <col min="1283" max="1283" width="13.375" style="17" customWidth="1"/>
    <col min="1284" max="1284" width="41.25" style="17" bestFit="1" customWidth="1"/>
    <col min="1285" max="1285" width="41.125" style="17" bestFit="1" customWidth="1"/>
    <col min="1286" max="1286" width="20.125" style="17" bestFit="1" customWidth="1"/>
    <col min="1287" max="1287" width="8" style="17" customWidth="1"/>
    <col min="1288" max="1288" width="14.25" style="17" customWidth="1"/>
    <col min="1289" max="1289" width="15.125" style="17" bestFit="1" customWidth="1"/>
    <col min="1290" max="1290" width="23.375" style="17" customWidth="1"/>
    <col min="1291" max="1536" width="9" style="17"/>
    <col min="1537" max="1537" width="9.375" style="17" customWidth="1"/>
    <col min="1538" max="1538" width="21.625" style="17" bestFit="1" customWidth="1"/>
    <col min="1539" max="1539" width="13.375" style="17" customWidth="1"/>
    <col min="1540" max="1540" width="41.25" style="17" bestFit="1" customWidth="1"/>
    <col min="1541" max="1541" width="41.125" style="17" bestFit="1" customWidth="1"/>
    <col min="1542" max="1542" width="20.125" style="17" bestFit="1" customWidth="1"/>
    <col min="1543" max="1543" width="8" style="17" customWidth="1"/>
    <col min="1544" max="1544" width="14.25" style="17" customWidth="1"/>
    <col min="1545" max="1545" width="15.125" style="17" bestFit="1" customWidth="1"/>
    <col min="1546" max="1546" width="23.375" style="17" customWidth="1"/>
    <col min="1547" max="1792" width="9" style="17"/>
    <col min="1793" max="1793" width="9.375" style="17" customWidth="1"/>
    <col min="1794" max="1794" width="21.625" style="17" bestFit="1" customWidth="1"/>
    <col min="1795" max="1795" width="13.375" style="17" customWidth="1"/>
    <col min="1796" max="1796" width="41.25" style="17" bestFit="1" customWidth="1"/>
    <col min="1797" max="1797" width="41.125" style="17" bestFit="1" customWidth="1"/>
    <col min="1798" max="1798" width="20.125" style="17" bestFit="1" customWidth="1"/>
    <col min="1799" max="1799" width="8" style="17" customWidth="1"/>
    <col min="1800" max="1800" width="14.25" style="17" customWidth="1"/>
    <col min="1801" max="1801" width="15.125" style="17" bestFit="1" customWidth="1"/>
    <col min="1802" max="1802" width="23.375" style="17" customWidth="1"/>
    <col min="1803" max="2048" width="9" style="17"/>
    <col min="2049" max="2049" width="9.375" style="17" customWidth="1"/>
    <col min="2050" max="2050" width="21.625" style="17" bestFit="1" customWidth="1"/>
    <col min="2051" max="2051" width="13.375" style="17" customWidth="1"/>
    <col min="2052" max="2052" width="41.25" style="17" bestFit="1" customWidth="1"/>
    <col min="2053" max="2053" width="41.125" style="17" bestFit="1" customWidth="1"/>
    <col min="2054" max="2054" width="20.125" style="17" bestFit="1" customWidth="1"/>
    <col min="2055" max="2055" width="8" style="17" customWidth="1"/>
    <col min="2056" max="2056" width="14.25" style="17" customWidth="1"/>
    <col min="2057" max="2057" width="15.125" style="17" bestFit="1" customWidth="1"/>
    <col min="2058" max="2058" width="23.375" style="17" customWidth="1"/>
    <col min="2059" max="2304" width="9" style="17"/>
    <col min="2305" max="2305" width="9.375" style="17" customWidth="1"/>
    <col min="2306" max="2306" width="21.625" style="17" bestFit="1" customWidth="1"/>
    <col min="2307" max="2307" width="13.375" style="17" customWidth="1"/>
    <col min="2308" max="2308" width="41.25" style="17" bestFit="1" customWidth="1"/>
    <col min="2309" max="2309" width="41.125" style="17" bestFit="1" customWidth="1"/>
    <col min="2310" max="2310" width="20.125" style="17" bestFit="1" customWidth="1"/>
    <col min="2311" max="2311" width="8" style="17" customWidth="1"/>
    <col min="2312" max="2312" width="14.25" style="17" customWidth="1"/>
    <col min="2313" max="2313" width="15.125" style="17" bestFit="1" customWidth="1"/>
    <col min="2314" max="2314" width="23.375" style="17" customWidth="1"/>
    <col min="2315" max="2560" width="9" style="17"/>
    <col min="2561" max="2561" width="9.375" style="17" customWidth="1"/>
    <col min="2562" max="2562" width="21.625" style="17" bestFit="1" customWidth="1"/>
    <col min="2563" max="2563" width="13.375" style="17" customWidth="1"/>
    <col min="2564" max="2564" width="41.25" style="17" bestFit="1" customWidth="1"/>
    <col min="2565" max="2565" width="41.125" style="17" bestFit="1" customWidth="1"/>
    <col min="2566" max="2566" width="20.125" style="17" bestFit="1" customWidth="1"/>
    <col min="2567" max="2567" width="8" style="17" customWidth="1"/>
    <col min="2568" max="2568" width="14.25" style="17" customWidth="1"/>
    <col min="2569" max="2569" width="15.125" style="17" bestFit="1" customWidth="1"/>
    <col min="2570" max="2570" width="23.375" style="17" customWidth="1"/>
    <col min="2571" max="2816" width="9" style="17"/>
    <col min="2817" max="2817" width="9.375" style="17" customWidth="1"/>
    <col min="2818" max="2818" width="21.625" style="17" bestFit="1" customWidth="1"/>
    <col min="2819" max="2819" width="13.375" style="17" customWidth="1"/>
    <col min="2820" max="2820" width="41.25" style="17" bestFit="1" customWidth="1"/>
    <col min="2821" max="2821" width="41.125" style="17" bestFit="1" customWidth="1"/>
    <col min="2822" max="2822" width="20.125" style="17" bestFit="1" customWidth="1"/>
    <col min="2823" max="2823" width="8" style="17" customWidth="1"/>
    <col min="2824" max="2824" width="14.25" style="17" customWidth="1"/>
    <col min="2825" max="2825" width="15.125" style="17" bestFit="1" customWidth="1"/>
    <col min="2826" max="2826" width="23.375" style="17" customWidth="1"/>
    <col min="2827" max="3072" width="9" style="17"/>
    <col min="3073" max="3073" width="9.375" style="17" customWidth="1"/>
    <col min="3074" max="3074" width="21.625" style="17" bestFit="1" customWidth="1"/>
    <col min="3075" max="3075" width="13.375" style="17" customWidth="1"/>
    <col min="3076" max="3076" width="41.25" style="17" bestFit="1" customWidth="1"/>
    <col min="3077" max="3077" width="41.125" style="17" bestFit="1" customWidth="1"/>
    <col min="3078" max="3078" width="20.125" style="17" bestFit="1" customWidth="1"/>
    <col min="3079" max="3079" width="8" style="17" customWidth="1"/>
    <col min="3080" max="3080" width="14.25" style="17" customWidth="1"/>
    <col min="3081" max="3081" width="15.125" style="17" bestFit="1" customWidth="1"/>
    <col min="3082" max="3082" width="23.375" style="17" customWidth="1"/>
    <col min="3083" max="3328" width="9" style="17"/>
    <col min="3329" max="3329" width="9.375" style="17" customWidth="1"/>
    <col min="3330" max="3330" width="21.625" style="17" bestFit="1" customWidth="1"/>
    <col min="3331" max="3331" width="13.375" style="17" customWidth="1"/>
    <col min="3332" max="3332" width="41.25" style="17" bestFit="1" customWidth="1"/>
    <col min="3333" max="3333" width="41.125" style="17" bestFit="1" customWidth="1"/>
    <col min="3334" max="3334" width="20.125" style="17" bestFit="1" customWidth="1"/>
    <col min="3335" max="3335" width="8" style="17" customWidth="1"/>
    <col min="3336" max="3336" width="14.25" style="17" customWidth="1"/>
    <col min="3337" max="3337" width="15.125" style="17" bestFit="1" customWidth="1"/>
    <col min="3338" max="3338" width="23.375" style="17" customWidth="1"/>
    <col min="3339" max="3584" width="9" style="17"/>
    <col min="3585" max="3585" width="9.375" style="17" customWidth="1"/>
    <col min="3586" max="3586" width="21.625" style="17" bestFit="1" customWidth="1"/>
    <col min="3587" max="3587" width="13.375" style="17" customWidth="1"/>
    <col min="3588" max="3588" width="41.25" style="17" bestFit="1" customWidth="1"/>
    <col min="3589" max="3589" width="41.125" style="17" bestFit="1" customWidth="1"/>
    <col min="3590" max="3590" width="20.125" style="17" bestFit="1" customWidth="1"/>
    <col min="3591" max="3591" width="8" style="17" customWidth="1"/>
    <col min="3592" max="3592" width="14.25" style="17" customWidth="1"/>
    <col min="3593" max="3593" width="15.125" style="17" bestFit="1" customWidth="1"/>
    <col min="3594" max="3594" width="23.375" style="17" customWidth="1"/>
    <col min="3595" max="3840" width="9" style="17"/>
    <col min="3841" max="3841" width="9.375" style="17" customWidth="1"/>
    <col min="3842" max="3842" width="21.625" style="17" bestFit="1" customWidth="1"/>
    <col min="3843" max="3843" width="13.375" style="17" customWidth="1"/>
    <col min="3844" max="3844" width="41.25" style="17" bestFit="1" customWidth="1"/>
    <col min="3845" max="3845" width="41.125" style="17" bestFit="1" customWidth="1"/>
    <col min="3846" max="3846" width="20.125" style="17" bestFit="1" customWidth="1"/>
    <col min="3847" max="3847" width="8" style="17" customWidth="1"/>
    <col min="3848" max="3848" width="14.25" style="17" customWidth="1"/>
    <col min="3849" max="3849" width="15.125" style="17" bestFit="1" customWidth="1"/>
    <col min="3850" max="3850" width="23.375" style="17" customWidth="1"/>
    <col min="3851" max="4096" width="9" style="17"/>
    <col min="4097" max="4097" width="9.375" style="17" customWidth="1"/>
    <col min="4098" max="4098" width="21.625" style="17" bestFit="1" customWidth="1"/>
    <col min="4099" max="4099" width="13.375" style="17" customWidth="1"/>
    <col min="4100" max="4100" width="41.25" style="17" bestFit="1" customWidth="1"/>
    <col min="4101" max="4101" width="41.125" style="17" bestFit="1" customWidth="1"/>
    <col min="4102" max="4102" width="20.125" style="17" bestFit="1" customWidth="1"/>
    <col min="4103" max="4103" width="8" style="17" customWidth="1"/>
    <col min="4104" max="4104" width="14.25" style="17" customWidth="1"/>
    <col min="4105" max="4105" width="15.125" style="17" bestFit="1" customWidth="1"/>
    <col min="4106" max="4106" width="23.375" style="17" customWidth="1"/>
    <col min="4107" max="4352" width="9" style="17"/>
    <col min="4353" max="4353" width="9.375" style="17" customWidth="1"/>
    <col min="4354" max="4354" width="21.625" style="17" bestFit="1" customWidth="1"/>
    <col min="4355" max="4355" width="13.375" style="17" customWidth="1"/>
    <col min="4356" max="4356" width="41.25" style="17" bestFit="1" customWidth="1"/>
    <col min="4357" max="4357" width="41.125" style="17" bestFit="1" customWidth="1"/>
    <col min="4358" max="4358" width="20.125" style="17" bestFit="1" customWidth="1"/>
    <col min="4359" max="4359" width="8" style="17" customWidth="1"/>
    <col min="4360" max="4360" width="14.25" style="17" customWidth="1"/>
    <col min="4361" max="4361" width="15.125" style="17" bestFit="1" customWidth="1"/>
    <col min="4362" max="4362" width="23.375" style="17" customWidth="1"/>
    <col min="4363" max="4608" width="9" style="17"/>
    <col min="4609" max="4609" width="9.375" style="17" customWidth="1"/>
    <col min="4610" max="4610" width="21.625" style="17" bestFit="1" customWidth="1"/>
    <col min="4611" max="4611" width="13.375" style="17" customWidth="1"/>
    <col min="4612" max="4612" width="41.25" style="17" bestFit="1" customWidth="1"/>
    <col min="4613" max="4613" width="41.125" style="17" bestFit="1" customWidth="1"/>
    <col min="4614" max="4614" width="20.125" style="17" bestFit="1" customWidth="1"/>
    <col min="4615" max="4615" width="8" style="17" customWidth="1"/>
    <col min="4616" max="4616" width="14.25" style="17" customWidth="1"/>
    <col min="4617" max="4617" width="15.125" style="17" bestFit="1" customWidth="1"/>
    <col min="4618" max="4618" width="23.375" style="17" customWidth="1"/>
    <col min="4619" max="4864" width="9" style="17"/>
    <col min="4865" max="4865" width="9.375" style="17" customWidth="1"/>
    <col min="4866" max="4866" width="21.625" style="17" bestFit="1" customWidth="1"/>
    <col min="4867" max="4867" width="13.375" style="17" customWidth="1"/>
    <col min="4868" max="4868" width="41.25" style="17" bestFit="1" customWidth="1"/>
    <col min="4869" max="4869" width="41.125" style="17" bestFit="1" customWidth="1"/>
    <col min="4870" max="4870" width="20.125" style="17" bestFit="1" customWidth="1"/>
    <col min="4871" max="4871" width="8" style="17" customWidth="1"/>
    <col min="4872" max="4872" width="14.25" style="17" customWidth="1"/>
    <col min="4873" max="4873" width="15.125" style="17" bestFit="1" customWidth="1"/>
    <col min="4874" max="4874" width="23.375" style="17" customWidth="1"/>
    <col min="4875" max="5120" width="9" style="17"/>
    <col min="5121" max="5121" width="9.375" style="17" customWidth="1"/>
    <col min="5122" max="5122" width="21.625" style="17" bestFit="1" customWidth="1"/>
    <col min="5123" max="5123" width="13.375" style="17" customWidth="1"/>
    <col min="5124" max="5124" width="41.25" style="17" bestFit="1" customWidth="1"/>
    <col min="5125" max="5125" width="41.125" style="17" bestFit="1" customWidth="1"/>
    <col min="5126" max="5126" width="20.125" style="17" bestFit="1" customWidth="1"/>
    <col min="5127" max="5127" width="8" style="17" customWidth="1"/>
    <col min="5128" max="5128" width="14.25" style="17" customWidth="1"/>
    <col min="5129" max="5129" width="15.125" style="17" bestFit="1" customWidth="1"/>
    <col min="5130" max="5130" width="23.375" style="17" customWidth="1"/>
    <col min="5131" max="5376" width="9" style="17"/>
    <col min="5377" max="5377" width="9.375" style="17" customWidth="1"/>
    <col min="5378" max="5378" width="21.625" style="17" bestFit="1" customWidth="1"/>
    <col min="5379" max="5379" width="13.375" style="17" customWidth="1"/>
    <col min="5380" max="5380" width="41.25" style="17" bestFit="1" customWidth="1"/>
    <col min="5381" max="5381" width="41.125" style="17" bestFit="1" customWidth="1"/>
    <col min="5382" max="5382" width="20.125" style="17" bestFit="1" customWidth="1"/>
    <col min="5383" max="5383" width="8" style="17" customWidth="1"/>
    <col min="5384" max="5384" width="14.25" style="17" customWidth="1"/>
    <col min="5385" max="5385" width="15.125" style="17" bestFit="1" customWidth="1"/>
    <col min="5386" max="5386" width="23.375" style="17" customWidth="1"/>
    <col min="5387" max="5632" width="9" style="17"/>
    <col min="5633" max="5633" width="9.375" style="17" customWidth="1"/>
    <col min="5634" max="5634" width="21.625" style="17" bestFit="1" customWidth="1"/>
    <col min="5635" max="5635" width="13.375" style="17" customWidth="1"/>
    <col min="5636" max="5636" width="41.25" style="17" bestFit="1" customWidth="1"/>
    <col min="5637" max="5637" width="41.125" style="17" bestFit="1" customWidth="1"/>
    <col min="5638" max="5638" width="20.125" style="17" bestFit="1" customWidth="1"/>
    <col min="5639" max="5639" width="8" style="17" customWidth="1"/>
    <col min="5640" max="5640" width="14.25" style="17" customWidth="1"/>
    <col min="5641" max="5641" width="15.125" style="17" bestFit="1" customWidth="1"/>
    <col min="5642" max="5642" width="23.375" style="17" customWidth="1"/>
    <col min="5643" max="5888" width="9" style="17"/>
    <col min="5889" max="5889" width="9.375" style="17" customWidth="1"/>
    <col min="5890" max="5890" width="21.625" style="17" bestFit="1" customWidth="1"/>
    <col min="5891" max="5891" width="13.375" style="17" customWidth="1"/>
    <col min="5892" max="5892" width="41.25" style="17" bestFit="1" customWidth="1"/>
    <col min="5893" max="5893" width="41.125" style="17" bestFit="1" customWidth="1"/>
    <col min="5894" max="5894" width="20.125" style="17" bestFit="1" customWidth="1"/>
    <col min="5895" max="5895" width="8" style="17" customWidth="1"/>
    <col min="5896" max="5896" width="14.25" style="17" customWidth="1"/>
    <col min="5897" max="5897" width="15.125" style="17" bestFit="1" customWidth="1"/>
    <col min="5898" max="5898" width="23.375" style="17" customWidth="1"/>
    <col min="5899" max="6144" width="9" style="17"/>
    <col min="6145" max="6145" width="9.375" style="17" customWidth="1"/>
    <col min="6146" max="6146" width="21.625" style="17" bestFit="1" customWidth="1"/>
    <col min="6147" max="6147" width="13.375" style="17" customWidth="1"/>
    <col min="6148" max="6148" width="41.25" style="17" bestFit="1" customWidth="1"/>
    <col min="6149" max="6149" width="41.125" style="17" bestFit="1" customWidth="1"/>
    <col min="6150" max="6150" width="20.125" style="17" bestFit="1" customWidth="1"/>
    <col min="6151" max="6151" width="8" style="17" customWidth="1"/>
    <col min="6152" max="6152" width="14.25" style="17" customWidth="1"/>
    <col min="6153" max="6153" width="15.125" style="17" bestFit="1" customWidth="1"/>
    <col min="6154" max="6154" width="23.375" style="17" customWidth="1"/>
    <col min="6155" max="6400" width="9" style="17"/>
    <col min="6401" max="6401" width="9.375" style="17" customWidth="1"/>
    <col min="6402" max="6402" width="21.625" style="17" bestFit="1" customWidth="1"/>
    <col min="6403" max="6403" width="13.375" style="17" customWidth="1"/>
    <col min="6404" max="6404" width="41.25" style="17" bestFit="1" customWidth="1"/>
    <col min="6405" max="6405" width="41.125" style="17" bestFit="1" customWidth="1"/>
    <col min="6406" max="6406" width="20.125" style="17" bestFit="1" customWidth="1"/>
    <col min="6407" max="6407" width="8" style="17" customWidth="1"/>
    <col min="6408" max="6408" width="14.25" style="17" customWidth="1"/>
    <col min="6409" max="6409" width="15.125" style="17" bestFit="1" customWidth="1"/>
    <col min="6410" max="6410" width="23.375" style="17" customWidth="1"/>
    <col min="6411" max="6656" width="9" style="17"/>
    <col min="6657" max="6657" width="9.375" style="17" customWidth="1"/>
    <col min="6658" max="6658" width="21.625" style="17" bestFit="1" customWidth="1"/>
    <col min="6659" max="6659" width="13.375" style="17" customWidth="1"/>
    <col min="6660" max="6660" width="41.25" style="17" bestFit="1" customWidth="1"/>
    <col min="6661" max="6661" width="41.125" style="17" bestFit="1" customWidth="1"/>
    <col min="6662" max="6662" width="20.125" style="17" bestFit="1" customWidth="1"/>
    <col min="6663" max="6663" width="8" style="17" customWidth="1"/>
    <col min="6664" max="6664" width="14.25" style="17" customWidth="1"/>
    <col min="6665" max="6665" width="15.125" style="17" bestFit="1" customWidth="1"/>
    <col min="6666" max="6666" width="23.375" style="17" customWidth="1"/>
    <col min="6667" max="6912" width="9" style="17"/>
    <col min="6913" max="6913" width="9.375" style="17" customWidth="1"/>
    <col min="6914" max="6914" width="21.625" style="17" bestFit="1" customWidth="1"/>
    <col min="6915" max="6915" width="13.375" style="17" customWidth="1"/>
    <col min="6916" max="6916" width="41.25" style="17" bestFit="1" customWidth="1"/>
    <col min="6917" max="6917" width="41.125" style="17" bestFit="1" customWidth="1"/>
    <col min="6918" max="6918" width="20.125" style="17" bestFit="1" customWidth="1"/>
    <col min="6919" max="6919" width="8" style="17" customWidth="1"/>
    <col min="6920" max="6920" width="14.25" style="17" customWidth="1"/>
    <col min="6921" max="6921" width="15.125" style="17" bestFit="1" customWidth="1"/>
    <col min="6922" max="6922" width="23.375" style="17" customWidth="1"/>
    <col min="6923" max="7168" width="9" style="17"/>
    <col min="7169" max="7169" width="9.375" style="17" customWidth="1"/>
    <col min="7170" max="7170" width="21.625" style="17" bestFit="1" customWidth="1"/>
    <col min="7171" max="7171" width="13.375" style="17" customWidth="1"/>
    <col min="7172" max="7172" width="41.25" style="17" bestFit="1" customWidth="1"/>
    <col min="7173" max="7173" width="41.125" style="17" bestFit="1" customWidth="1"/>
    <col min="7174" max="7174" width="20.125" style="17" bestFit="1" customWidth="1"/>
    <col min="7175" max="7175" width="8" style="17" customWidth="1"/>
    <col min="7176" max="7176" width="14.25" style="17" customWidth="1"/>
    <col min="7177" max="7177" width="15.125" style="17" bestFit="1" customWidth="1"/>
    <col min="7178" max="7178" width="23.375" style="17" customWidth="1"/>
    <col min="7179" max="7424" width="9" style="17"/>
    <col min="7425" max="7425" width="9.375" style="17" customWidth="1"/>
    <col min="7426" max="7426" width="21.625" style="17" bestFit="1" customWidth="1"/>
    <col min="7427" max="7427" width="13.375" style="17" customWidth="1"/>
    <col min="7428" max="7428" width="41.25" style="17" bestFit="1" customWidth="1"/>
    <col min="7429" max="7429" width="41.125" style="17" bestFit="1" customWidth="1"/>
    <col min="7430" max="7430" width="20.125" style="17" bestFit="1" customWidth="1"/>
    <col min="7431" max="7431" width="8" style="17" customWidth="1"/>
    <col min="7432" max="7432" width="14.25" style="17" customWidth="1"/>
    <col min="7433" max="7433" width="15.125" style="17" bestFit="1" customWidth="1"/>
    <col min="7434" max="7434" width="23.375" style="17" customWidth="1"/>
    <col min="7435" max="7680" width="9" style="17"/>
    <col min="7681" max="7681" width="9.375" style="17" customWidth="1"/>
    <col min="7682" max="7682" width="21.625" style="17" bestFit="1" customWidth="1"/>
    <col min="7683" max="7683" width="13.375" style="17" customWidth="1"/>
    <col min="7684" max="7684" width="41.25" style="17" bestFit="1" customWidth="1"/>
    <col min="7685" max="7685" width="41.125" style="17" bestFit="1" customWidth="1"/>
    <col min="7686" max="7686" width="20.125" style="17" bestFit="1" customWidth="1"/>
    <col min="7687" max="7687" width="8" style="17" customWidth="1"/>
    <col min="7688" max="7688" width="14.25" style="17" customWidth="1"/>
    <col min="7689" max="7689" width="15.125" style="17" bestFit="1" customWidth="1"/>
    <col min="7690" max="7690" width="23.375" style="17" customWidth="1"/>
    <col min="7691" max="7936" width="9" style="17"/>
    <col min="7937" max="7937" width="9.375" style="17" customWidth="1"/>
    <col min="7938" max="7938" width="21.625" style="17" bestFit="1" customWidth="1"/>
    <col min="7939" max="7939" width="13.375" style="17" customWidth="1"/>
    <col min="7940" max="7940" width="41.25" style="17" bestFit="1" customWidth="1"/>
    <col min="7941" max="7941" width="41.125" style="17" bestFit="1" customWidth="1"/>
    <col min="7942" max="7942" width="20.125" style="17" bestFit="1" customWidth="1"/>
    <col min="7943" max="7943" width="8" style="17" customWidth="1"/>
    <col min="7944" max="7944" width="14.25" style="17" customWidth="1"/>
    <col min="7945" max="7945" width="15.125" style="17" bestFit="1" customWidth="1"/>
    <col min="7946" max="7946" width="23.375" style="17" customWidth="1"/>
    <col min="7947" max="8192" width="9" style="17"/>
    <col min="8193" max="8193" width="9.375" style="17" customWidth="1"/>
    <col min="8194" max="8194" width="21.625" style="17" bestFit="1" customWidth="1"/>
    <col min="8195" max="8195" width="13.375" style="17" customWidth="1"/>
    <col min="8196" max="8196" width="41.25" style="17" bestFit="1" customWidth="1"/>
    <col min="8197" max="8197" width="41.125" style="17" bestFit="1" customWidth="1"/>
    <col min="8198" max="8198" width="20.125" style="17" bestFit="1" customWidth="1"/>
    <col min="8199" max="8199" width="8" style="17" customWidth="1"/>
    <col min="8200" max="8200" width="14.25" style="17" customWidth="1"/>
    <col min="8201" max="8201" width="15.125" style="17" bestFit="1" customWidth="1"/>
    <col min="8202" max="8202" width="23.375" style="17" customWidth="1"/>
    <col min="8203" max="8448" width="9" style="17"/>
    <col min="8449" max="8449" width="9.375" style="17" customWidth="1"/>
    <col min="8450" max="8450" width="21.625" style="17" bestFit="1" customWidth="1"/>
    <col min="8451" max="8451" width="13.375" style="17" customWidth="1"/>
    <col min="8452" max="8452" width="41.25" style="17" bestFit="1" customWidth="1"/>
    <col min="8453" max="8453" width="41.125" style="17" bestFit="1" customWidth="1"/>
    <col min="8454" max="8454" width="20.125" style="17" bestFit="1" customWidth="1"/>
    <col min="8455" max="8455" width="8" style="17" customWidth="1"/>
    <col min="8456" max="8456" width="14.25" style="17" customWidth="1"/>
    <col min="8457" max="8457" width="15.125" style="17" bestFit="1" customWidth="1"/>
    <col min="8458" max="8458" width="23.375" style="17" customWidth="1"/>
    <col min="8459" max="8704" width="9" style="17"/>
    <col min="8705" max="8705" width="9.375" style="17" customWidth="1"/>
    <col min="8706" max="8706" width="21.625" style="17" bestFit="1" customWidth="1"/>
    <col min="8707" max="8707" width="13.375" style="17" customWidth="1"/>
    <col min="8708" max="8708" width="41.25" style="17" bestFit="1" customWidth="1"/>
    <col min="8709" max="8709" width="41.125" style="17" bestFit="1" customWidth="1"/>
    <col min="8710" max="8710" width="20.125" style="17" bestFit="1" customWidth="1"/>
    <col min="8711" max="8711" width="8" style="17" customWidth="1"/>
    <col min="8712" max="8712" width="14.25" style="17" customWidth="1"/>
    <col min="8713" max="8713" width="15.125" style="17" bestFit="1" customWidth="1"/>
    <col min="8714" max="8714" width="23.375" style="17" customWidth="1"/>
    <col min="8715" max="8960" width="9" style="17"/>
    <col min="8961" max="8961" width="9.375" style="17" customWidth="1"/>
    <col min="8962" max="8962" width="21.625" style="17" bestFit="1" customWidth="1"/>
    <col min="8963" max="8963" width="13.375" style="17" customWidth="1"/>
    <col min="8964" max="8964" width="41.25" style="17" bestFit="1" customWidth="1"/>
    <col min="8965" max="8965" width="41.125" style="17" bestFit="1" customWidth="1"/>
    <col min="8966" max="8966" width="20.125" style="17" bestFit="1" customWidth="1"/>
    <col min="8967" max="8967" width="8" style="17" customWidth="1"/>
    <col min="8968" max="8968" width="14.25" style="17" customWidth="1"/>
    <col min="8969" max="8969" width="15.125" style="17" bestFit="1" customWidth="1"/>
    <col min="8970" max="8970" width="23.375" style="17" customWidth="1"/>
    <col min="8971" max="9216" width="9" style="17"/>
    <col min="9217" max="9217" width="9.375" style="17" customWidth="1"/>
    <col min="9218" max="9218" width="21.625" style="17" bestFit="1" customWidth="1"/>
    <col min="9219" max="9219" width="13.375" style="17" customWidth="1"/>
    <col min="9220" max="9220" width="41.25" style="17" bestFit="1" customWidth="1"/>
    <col min="9221" max="9221" width="41.125" style="17" bestFit="1" customWidth="1"/>
    <col min="9222" max="9222" width="20.125" style="17" bestFit="1" customWidth="1"/>
    <col min="9223" max="9223" width="8" style="17" customWidth="1"/>
    <col min="9224" max="9224" width="14.25" style="17" customWidth="1"/>
    <col min="9225" max="9225" width="15.125" style="17" bestFit="1" customWidth="1"/>
    <col min="9226" max="9226" width="23.375" style="17" customWidth="1"/>
    <col min="9227" max="9472" width="9" style="17"/>
    <col min="9473" max="9473" width="9.375" style="17" customWidth="1"/>
    <col min="9474" max="9474" width="21.625" style="17" bestFit="1" customWidth="1"/>
    <col min="9475" max="9475" width="13.375" style="17" customWidth="1"/>
    <col min="9476" max="9476" width="41.25" style="17" bestFit="1" customWidth="1"/>
    <col min="9477" max="9477" width="41.125" style="17" bestFit="1" customWidth="1"/>
    <col min="9478" max="9478" width="20.125" style="17" bestFit="1" customWidth="1"/>
    <col min="9479" max="9479" width="8" style="17" customWidth="1"/>
    <col min="9480" max="9480" width="14.25" style="17" customWidth="1"/>
    <col min="9481" max="9481" width="15.125" style="17" bestFit="1" customWidth="1"/>
    <col min="9482" max="9482" width="23.375" style="17" customWidth="1"/>
    <col min="9483" max="9728" width="9" style="17"/>
    <col min="9729" max="9729" width="9.375" style="17" customWidth="1"/>
    <col min="9730" max="9730" width="21.625" style="17" bestFit="1" customWidth="1"/>
    <col min="9731" max="9731" width="13.375" style="17" customWidth="1"/>
    <col min="9732" max="9732" width="41.25" style="17" bestFit="1" customWidth="1"/>
    <col min="9733" max="9733" width="41.125" style="17" bestFit="1" customWidth="1"/>
    <col min="9734" max="9734" width="20.125" style="17" bestFit="1" customWidth="1"/>
    <col min="9735" max="9735" width="8" style="17" customWidth="1"/>
    <col min="9736" max="9736" width="14.25" style="17" customWidth="1"/>
    <col min="9737" max="9737" width="15.125" style="17" bestFit="1" customWidth="1"/>
    <col min="9738" max="9738" width="23.375" style="17" customWidth="1"/>
    <col min="9739" max="9984" width="9" style="17"/>
    <col min="9985" max="9985" width="9.375" style="17" customWidth="1"/>
    <col min="9986" max="9986" width="21.625" style="17" bestFit="1" customWidth="1"/>
    <col min="9987" max="9987" width="13.375" style="17" customWidth="1"/>
    <col min="9988" max="9988" width="41.25" style="17" bestFit="1" customWidth="1"/>
    <col min="9989" max="9989" width="41.125" style="17" bestFit="1" customWidth="1"/>
    <col min="9990" max="9990" width="20.125" style="17" bestFit="1" customWidth="1"/>
    <col min="9991" max="9991" width="8" style="17" customWidth="1"/>
    <col min="9992" max="9992" width="14.25" style="17" customWidth="1"/>
    <col min="9993" max="9993" width="15.125" style="17" bestFit="1" customWidth="1"/>
    <col min="9994" max="9994" width="23.375" style="17" customWidth="1"/>
    <col min="9995" max="10240" width="9" style="17"/>
    <col min="10241" max="10241" width="9.375" style="17" customWidth="1"/>
    <col min="10242" max="10242" width="21.625" style="17" bestFit="1" customWidth="1"/>
    <col min="10243" max="10243" width="13.375" style="17" customWidth="1"/>
    <col min="10244" max="10244" width="41.25" style="17" bestFit="1" customWidth="1"/>
    <col min="10245" max="10245" width="41.125" style="17" bestFit="1" customWidth="1"/>
    <col min="10246" max="10246" width="20.125" style="17" bestFit="1" customWidth="1"/>
    <col min="10247" max="10247" width="8" style="17" customWidth="1"/>
    <col min="10248" max="10248" width="14.25" style="17" customWidth="1"/>
    <col min="10249" max="10249" width="15.125" style="17" bestFit="1" customWidth="1"/>
    <col min="10250" max="10250" width="23.375" style="17" customWidth="1"/>
    <col min="10251" max="10496" width="9" style="17"/>
    <col min="10497" max="10497" width="9.375" style="17" customWidth="1"/>
    <col min="10498" max="10498" width="21.625" style="17" bestFit="1" customWidth="1"/>
    <col min="10499" max="10499" width="13.375" style="17" customWidth="1"/>
    <col min="10500" max="10500" width="41.25" style="17" bestFit="1" customWidth="1"/>
    <col min="10501" max="10501" width="41.125" style="17" bestFit="1" customWidth="1"/>
    <col min="10502" max="10502" width="20.125" style="17" bestFit="1" customWidth="1"/>
    <col min="10503" max="10503" width="8" style="17" customWidth="1"/>
    <col min="10504" max="10504" width="14.25" style="17" customWidth="1"/>
    <col min="10505" max="10505" width="15.125" style="17" bestFit="1" customWidth="1"/>
    <col min="10506" max="10506" width="23.375" style="17" customWidth="1"/>
    <col min="10507" max="10752" width="9" style="17"/>
    <col min="10753" max="10753" width="9.375" style="17" customWidth="1"/>
    <col min="10754" max="10754" width="21.625" style="17" bestFit="1" customWidth="1"/>
    <col min="10755" max="10755" width="13.375" style="17" customWidth="1"/>
    <col min="10756" max="10756" width="41.25" style="17" bestFit="1" customWidth="1"/>
    <col min="10757" max="10757" width="41.125" style="17" bestFit="1" customWidth="1"/>
    <col min="10758" max="10758" width="20.125" style="17" bestFit="1" customWidth="1"/>
    <col min="10759" max="10759" width="8" style="17" customWidth="1"/>
    <col min="10760" max="10760" width="14.25" style="17" customWidth="1"/>
    <col min="10761" max="10761" width="15.125" style="17" bestFit="1" customWidth="1"/>
    <col min="10762" max="10762" width="23.375" style="17" customWidth="1"/>
    <col min="10763" max="11008" width="9" style="17"/>
    <col min="11009" max="11009" width="9.375" style="17" customWidth="1"/>
    <col min="11010" max="11010" width="21.625" style="17" bestFit="1" customWidth="1"/>
    <col min="11011" max="11011" width="13.375" style="17" customWidth="1"/>
    <col min="11012" max="11012" width="41.25" style="17" bestFit="1" customWidth="1"/>
    <col min="11013" max="11013" width="41.125" style="17" bestFit="1" customWidth="1"/>
    <col min="11014" max="11014" width="20.125" style="17" bestFit="1" customWidth="1"/>
    <col min="11015" max="11015" width="8" style="17" customWidth="1"/>
    <col min="11016" max="11016" width="14.25" style="17" customWidth="1"/>
    <col min="11017" max="11017" width="15.125" style="17" bestFit="1" customWidth="1"/>
    <col min="11018" max="11018" width="23.375" style="17" customWidth="1"/>
    <col min="11019" max="11264" width="9" style="17"/>
    <col min="11265" max="11265" width="9.375" style="17" customWidth="1"/>
    <col min="11266" max="11266" width="21.625" style="17" bestFit="1" customWidth="1"/>
    <col min="11267" max="11267" width="13.375" style="17" customWidth="1"/>
    <col min="11268" max="11268" width="41.25" style="17" bestFit="1" customWidth="1"/>
    <col min="11269" max="11269" width="41.125" style="17" bestFit="1" customWidth="1"/>
    <col min="11270" max="11270" width="20.125" style="17" bestFit="1" customWidth="1"/>
    <col min="11271" max="11271" width="8" style="17" customWidth="1"/>
    <col min="11272" max="11272" width="14.25" style="17" customWidth="1"/>
    <col min="11273" max="11273" width="15.125" style="17" bestFit="1" customWidth="1"/>
    <col min="11274" max="11274" width="23.375" style="17" customWidth="1"/>
    <col min="11275" max="11520" width="9" style="17"/>
    <col min="11521" max="11521" width="9.375" style="17" customWidth="1"/>
    <col min="11522" max="11522" width="21.625" style="17" bestFit="1" customWidth="1"/>
    <col min="11523" max="11523" width="13.375" style="17" customWidth="1"/>
    <col min="11524" max="11524" width="41.25" style="17" bestFit="1" customWidth="1"/>
    <col min="11525" max="11525" width="41.125" style="17" bestFit="1" customWidth="1"/>
    <col min="11526" max="11526" width="20.125" style="17" bestFit="1" customWidth="1"/>
    <col min="11527" max="11527" width="8" style="17" customWidth="1"/>
    <col min="11528" max="11528" width="14.25" style="17" customWidth="1"/>
    <col min="11529" max="11529" width="15.125" style="17" bestFit="1" customWidth="1"/>
    <col min="11530" max="11530" width="23.375" style="17" customWidth="1"/>
    <col min="11531" max="11776" width="9" style="17"/>
    <col min="11777" max="11777" width="9.375" style="17" customWidth="1"/>
    <col min="11778" max="11778" width="21.625" style="17" bestFit="1" customWidth="1"/>
    <col min="11779" max="11779" width="13.375" style="17" customWidth="1"/>
    <col min="11780" max="11780" width="41.25" style="17" bestFit="1" customWidth="1"/>
    <col min="11781" max="11781" width="41.125" style="17" bestFit="1" customWidth="1"/>
    <col min="11782" max="11782" width="20.125" style="17" bestFit="1" customWidth="1"/>
    <col min="11783" max="11783" width="8" style="17" customWidth="1"/>
    <col min="11784" max="11784" width="14.25" style="17" customWidth="1"/>
    <col min="11785" max="11785" width="15.125" style="17" bestFit="1" customWidth="1"/>
    <col min="11786" max="11786" width="23.375" style="17" customWidth="1"/>
    <col min="11787" max="12032" width="9" style="17"/>
    <col min="12033" max="12033" width="9.375" style="17" customWidth="1"/>
    <col min="12034" max="12034" width="21.625" style="17" bestFit="1" customWidth="1"/>
    <col min="12035" max="12035" width="13.375" style="17" customWidth="1"/>
    <col min="12036" max="12036" width="41.25" style="17" bestFit="1" customWidth="1"/>
    <col min="12037" max="12037" width="41.125" style="17" bestFit="1" customWidth="1"/>
    <col min="12038" max="12038" width="20.125" style="17" bestFit="1" customWidth="1"/>
    <col min="12039" max="12039" width="8" style="17" customWidth="1"/>
    <col min="12040" max="12040" width="14.25" style="17" customWidth="1"/>
    <col min="12041" max="12041" width="15.125" style="17" bestFit="1" customWidth="1"/>
    <col min="12042" max="12042" width="23.375" style="17" customWidth="1"/>
    <col min="12043" max="12288" width="9" style="17"/>
    <col min="12289" max="12289" width="9.375" style="17" customWidth="1"/>
    <col min="12290" max="12290" width="21.625" style="17" bestFit="1" customWidth="1"/>
    <col min="12291" max="12291" width="13.375" style="17" customWidth="1"/>
    <col min="12292" max="12292" width="41.25" style="17" bestFit="1" customWidth="1"/>
    <col min="12293" max="12293" width="41.125" style="17" bestFit="1" customWidth="1"/>
    <col min="12294" max="12294" width="20.125" style="17" bestFit="1" customWidth="1"/>
    <col min="12295" max="12295" width="8" style="17" customWidth="1"/>
    <col min="12296" max="12296" width="14.25" style="17" customWidth="1"/>
    <col min="12297" max="12297" width="15.125" style="17" bestFit="1" customWidth="1"/>
    <col min="12298" max="12298" width="23.375" style="17" customWidth="1"/>
    <col min="12299" max="12544" width="9" style="17"/>
    <col min="12545" max="12545" width="9.375" style="17" customWidth="1"/>
    <col min="12546" max="12546" width="21.625" style="17" bestFit="1" customWidth="1"/>
    <col min="12547" max="12547" width="13.375" style="17" customWidth="1"/>
    <col min="12548" max="12548" width="41.25" style="17" bestFit="1" customWidth="1"/>
    <col min="12549" max="12549" width="41.125" style="17" bestFit="1" customWidth="1"/>
    <col min="12550" max="12550" width="20.125" style="17" bestFit="1" customWidth="1"/>
    <col min="12551" max="12551" width="8" style="17" customWidth="1"/>
    <col min="12552" max="12552" width="14.25" style="17" customWidth="1"/>
    <col min="12553" max="12553" width="15.125" style="17" bestFit="1" customWidth="1"/>
    <col min="12554" max="12554" width="23.375" style="17" customWidth="1"/>
    <col min="12555" max="12800" width="9" style="17"/>
    <col min="12801" max="12801" width="9.375" style="17" customWidth="1"/>
    <col min="12802" max="12802" width="21.625" style="17" bestFit="1" customWidth="1"/>
    <col min="12803" max="12803" width="13.375" style="17" customWidth="1"/>
    <col min="12804" max="12804" width="41.25" style="17" bestFit="1" customWidth="1"/>
    <col min="12805" max="12805" width="41.125" style="17" bestFit="1" customWidth="1"/>
    <col min="12806" max="12806" width="20.125" style="17" bestFit="1" customWidth="1"/>
    <col min="12807" max="12807" width="8" style="17" customWidth="1"/>
    <col min="12808" max="12808" width="14.25" style="17" customWidth="1"/>
    <col min="12809" max="12809" width="15.125" style="17" bestFit="1" customWidth="1"/>
    <col min="12810" max="12810" width="23.375" style="17" customWidth="1"/>
    <col min="12811" max="13056" width="9" style="17"/>
    <col min="13057" max="13057" width="9.375" style="17" customWidth="1"/>
    <col min="13058" max="13058" width="21.625" style="17" bestFit="1" customWidth="1"/>
    <col min="13059" max="13059" width="13.375" style="17" customWidth="1"/>
    <col min="13060" max="13060" width="41.25" style="17" bestFit="1" customWidth="1"/>
    <col min="13061" max="13061" width="41.125" style="17" bestFit="1" customWidth="1"/>
    <col min="13062" max="13062" width="20.125" style="17" bestFit="1" customWidth="1"/>
    <col min="13063" max="13063" width="8" style="17" customWidth="1"/>
    <col min="13064" max="13064" width="14.25" style="17" customWidth="1"/>
    <col min="13065" max="13065" width="15.125" style="17" bestFit="1" customWidth="1"/>
    <col min="13066" max="13066" width="23.375" style="17" customWidth="1"/>
    <col min="13067" max="13312" width="9" style="17"/>
    <col min="13313" max="13313" width="9.375" style="17" customWidth="1"/>
    <col min="13314" max="13314" width="21.625" style="17" bestFit="1" customWidth="1"/>
    <col min="13315" max="13315" width="13.375" style="17" customWidth="1"/>
    <col min="13316" max="13316" width="41.25" style="17" bestFit="1" customWidth="1"/>
    <col min="13317" max="13317" width="41.125" style="17" bestFit="1" customWidth="1"/>
    <col min="13318" max="13318" width="20.125" style="17" bestFit="1" customWidth="1"/>
    <col min="13319" max="13319" width="8" style="17" customWidth="1"/>
    <col min="13320" max="13320" width="14.25" style="17" customWidth="1"/>
    <col min="13321" max="13321" width="15.125" style="17" bestFit="1" customWidth="1"/>
    <col min="13322" max="13322" width="23.375" style="17" customWidth="1"/>
    <col min="13323" max="13568" width="9" style="17"/>
    <col min="13569" max="13569" width="9.375" style="17" customWidth="1"/>
    <col min="13570" max="13570" width="21.625" style="17" bestFit="1" customWidth="1"/>
    <col min="13571" max="13571" width="13.375" style="17" customWidth="1"/>
    <col min="13572" max="13572" width="41.25" style="17" bestFit="1" customWidth="1"/>
    <col min="13573" max="13573" width="41.125" style="17" bestFit="1" customWidth="1"/>
    <col min="13574" max="13574" width="20.125" style="17" bestFit="1" customWidth="1"/>
    <col min="13575" max="13575" width="8" style="17" customWidth="1"/>
    <col min="13576" max="13576" width="14.25" style="17" customWidth="1"/>
    <col min="13577" max="13577" width="15.125" style="17" bestFit="1" customWidth="1"/>
    <col min="13578" max="13578" width="23.375" style="17" customWidth="1"/>
    <col min="13579" max="13824" width="9" style="17"/>
    <col min="13825" max="13825" width="9.375" style="17" customWidth="1"/>
    <col min="13826" max="13826" width="21.625" style="17" bestFit="1" customWidth="1"/>
    <col min="13827" max="13827" width="13.375" style="17" customWidth="1"/>
    <col min="13828" max="13828" width="41.25" style="17" bestFit="1" customWidth="1"/>
    <col min="13829" max="13829" width="41.125" style="17" bestFit="1" customWidth="1"/>
    <col min="13830" max="13830" width="20.125" style="17" bestFit="1" customWidth="1"/>
    <col min="13831" max="13831" width="8" style="17" customWidth="1"/>
    <col min="13832" max="13832" width="14.25" style="17" customWidth="1"/>
    <col min="13833" max="13833" width="15.125" style="17" bestFit="1" customWidth="1"/>
    <col min="13834" max="13834" width="23.375" style="17" customWidth="1"/>
    <col min="13835" max="14080" width="9" style="17"/>
    <col min="14081" max="14081" width="9.375" style="17" customWidth="1"/>
    <col min="14082" max="14082" width="21.625" style="17" bestFit="1" customWidth="1"/>
    <col min="14083" max="14083" width="13.375" style="17" customWidth="1"/>
    <col min="14084" max="14084" width="41.25" style="17" bestFit="1" customWidth="1"/>
    <col min="14085" max="14085" width="41.125" style="17" bestFit="1" customWidth="1"/>
    <col min="14086" max="14086" width="20.125" style="17" bestFit="1" customWidth="1"/>
    <col min="14087" max="14087" width="8" style="17" customWidth="1"/>
    <col min="14088" max="14088" width="14.25" style="17" customWidth="1"/>
    <col min="14089" max="14089" width="15.125" style="17" bestFit="1" customWidth="1"/>
    <col min="14090" max="14090" width="23.375" style="17" customWidth="1"/>
    <col min="14091" max="14336" width="9" style="17"/>
    <col min="14337" max="14337" width="9.375" style="17" customWidth="1"/>
    <col min="14338" max="14338" width="21.625" style="17" bestFit="1" customWidth="1"/>
    <col min="14339" max="14339" width="13.375" style="17" customWidth="1"/>
    <col min="14340" max="14340" width="41.25" style="17" bestFit="1" customWidth="1"/>
    <col min="14341" max="14341" width="41.125" style="17" bestFit="1" customWidth="1"/>
    <col min="14342" max="14342" width="20.125" style="17" bestFit="1" customWidth="1"/>
    <col min="14343" max="14343" width="8" style="17" customWidth="1"/>
    <col min="14344" max="14344" width="14.25" style="17" customWidth="1"/>
    <col min="14345" max="14345" width="15.125" style="17" bestFit="1" customWidth="1"/>
    <col min="14346" max="14346" width="23.375" style="17" customWidth="1"/>
    <col min="14347" max="14592" width="9" style="17"/>
    <col min="14593" max="14593" width="9.375" style="17" customWidth="1"/>
    <col min="14594" max="14594" width="21.625" style="17" bestFit="1" customWidth="1"/>
    <col min="14595" max="14595" width="13.375" style="17" customWidth="1"/>
    <col min="14596" max="14596" width="41.25" style="17" bestFit="1" customWidth="1"/>
    <col min="14597" max="14597" width="41.125" style="17" bestFit="1" customWidth="1"/>
    <col min="14598" max="14598" width="20.125" style="17" bestFit="1" customWidth="1"/>
    <col min="14599" max="14599" width="8" style="17" customWidth="1"/>
    <col min="14600" max="14600" width="14.25" style="17" customWidth="1"/>
    <col min="14601" max="14601" width="15.125" style="17" bestFit="1" customWidth="1"/>
    <col min="14602" max="14602" width="23.375" style="17" customWidth="1"/>
    <col min="14603" max="14848" width="9" style="17"/>
    <col min="14849" max="14849" width="9.375" style="17" customWidth="1"/>
    <col min="14850" max="14850" width="21.625" style="17" bestFit="1" customWidth="1"/>
    <col min="14851" max="14851" width="13.375" style="17" customWidth="1"/>
    <col min="14852" max="14852" width="41.25" style="17" bestFit="1" customWidth="1"/>
    <col min="14853" max="14853" width="41.125" style="17" bestFit="1" customWidth="1"/>
    <col min="14854" max="14854" width="20.125" style="17" bestFit="1" customWidth="1"/>
    <col min="14855" max="14855" width="8" style="17" customWidth="1"/>
    <col min="14856" max="14856" width="14.25" style="17" customWidth="1"/>
    <col min="14857" max="14857" width="15.125" style="17" bestFit="1" customWidth="1"/>
    <col min="14858" max="14858" width="23.375" style="17" customWidth="1"/>
    <col min="14859" max="15104" width="9" style="17"/>
    <col min="15105" max="15105" width="9.375" style="17" customWidth="1"/>
    <col min="15106" max="15106" width="21.625" style="17" bestFit="1" customWidth="1"/>
    <col min="15107" max="15107" width="13.375" style="17" customWidth="1"/>
    <col min="15108" max="15108" width="41.25" style="17" bestFit="1" customWidth="1"/>
    <col min="15109" max="15109" width="41.125" style="17" bestFit="1" customWidth="1"/>
    <col min="15110" max="15110" width="20.125" style="17" bestFit="1" customWidth="1"/>
    <col min="15111" max="15111" width="8" style="17" customWidth="1"/>
    <col min="15112" max="15112" width="14.25" style="17" customWidth="1"/>
    <col min="15113" max="15113" width="15.125" style="17" bestFit="1" customWidth="1"/>
    <col min="15114" max="15114" width="23.375" style="17" customWidth="1"/>
    <col min="15115" max="15360" width="9" style="17"/>
    <col min="15361" max="15361" width="9.375" style="17" customWidth="1"/>
    <col min="15362" max="15362" width="21.625" style="17" bestFit="1" customWidth="1"/>
    <col min="15363" max="15363" width="13.375" style="17" customWidth="1"/>
    <col min="15364" max="15364" width="41.25" style="17" bestFit="1" customWidth="1"/>
    <col min="15365" max="15365" width="41.125" style="17" bestFit="1" customWidth="1"/>
    <col min="15366" max="15366" width="20.125" style="17" bestFit="1" customWidth="1"/>
    <col min="15367" max="15367" width="8" style="17" customWidth="1"/>
    <col min="15368" max="15368" width="14.25" style="17" customWidth="1"/>
    <col min="15369" max="15369" width="15.125" style="17" bestFit="1" customWidth="1"/>
    <col min="15370" max="15370" width="23.375" style="17" customWidth="1"/>
    <col min="15371" max="15616" width="9" style="17"/>
    <col min="15617" max="15617" width="9.375" style="17" customWidth="1"/>
    <col min="15618" max="15618" width="21.625" style="17" bestFit="1" customWidth="1"/>
    <col min="15619" max="15619" width="13.375" style="17" customWidth="1"/>
    <col min="15620" max="15620" width="41.25" style="17" bestFit="1" customWidth="1"/>
    <col min="15621" max="15621" width="41.125" style="17" bestFit="1" customWidth="1"/>
    <col min="15622" max="15622" width="20.125" style="17" bestFit="1" customWidth="1"/>
    <col min="15623" max="15623" width="8" style="17" customWidth="1"/>
    <col min="15624" max="15624" width="14.25" style="17" customWidth="1"/>
    <col min="15625" max="15625" width="15.125" style="17" bestFit="1" customWidth="1"/>
    <col min="15626" max="15626" width="23.375" style="17" customWidth="1"/>
    <col min="15627" max="15872" width="9" style="17"/>
    <col min="15873" max="15873" width="9.375" style="17" customWidth="1"/>
    <col min="15874" max="15874" width="21.625" style="17" bestFit="1" customWidth="1"/>
    <col min="15875" max="15875" width="13.375" style="17" customWidth="1"/>
    <col min="15876" max="15876" width="41.25" style="17" bestFit="1" customWidth="1"/>
    <col min="15877" max="15877" width="41.125" style="17" bestFit="1" customWidth="1"/>
    <col min="15878" max="15878" width="20.125" style="17" bestFit="1" customWidth="1"/>
    <col min="15879" max="15879" width="8" style="17" customWidth="1"/>
    <col min="15880" max="15880" width="14.25" style="17" customWidth="1"/>
    <col min="15881" max="15881" width="15.125" style="17" bestFit="1" customWidth="1"/>
    <col min="15882" max="15882" width="23.375" style="17" customWidth="1"/>
    <col min="15883" max="16128" width="9" style="17"/>
    <col min="16129" max="16129" width="9.375" style="17" customWidth="1"/>
    <col min="16130" max="16130" width="21.625" style="17" bestFit="1" customWidth="1"/>
    <col min="16131" max="16131" width="13.375" style="17" customWidth="1"/>
    <col min="16132" max="16132" width="41.25" style="17" bestFit="1" customWidth="1"/>
    <col min="16133" max="16133" width="41.125" style="17" bestFit="1" customWidth="1"/>
    <col min="16134" max="16134" width="20.125" style="17" bestFit="1" customWidth="1"/>
    <col min="16135" max="16135" width="8" style="17" customWidth="1"/>
    <col min="16136" max="16136" width="14.25" style="17" customWidth="1"/>
    <col min="16137" max="16137" width="15.125" style="17" bestFit="1" customWidth="1"/>
    <col min="16138" max="16138" width="23.375" style="17" customWidth="1"/>
    <col min="16139" max="16384" width="9" style="17"/>
  </cols>
  <sheetData>
    <row r="1" spans="1:12" ht="33.75" customHeight="1">
      <c r="A1" s="333" t="s">
        <v>293</v>
      </c>
      <c r="B1" s="334"/>
      <c r="C1" s="334"/>
      <c r="D1" s="334"/>
      <c r="E1" s="334"/>
      <c r="F1" s="334"/>
      <c r="G1" s="334"/>
      <c r="H1" s="334"/>
      <c r="I1" s="334"/>
      <c r="J1" s="335"/>
    </row>
    <row r="2" spans="1:12" s="154" customFormat="1" ht="19.5" customHeight="1">
      <c r="A2" s="336" t="s">
        <v>294</v>
      </c>
      <c r="B2" s="337" t="s">
        <v>287</v>
      </c>
      <c r="C2" s="336" t="s">
        <v>251</v>
      </c>
      <c r="D2" s="336" t="s">
        <v>252</v>
      </c>
      <c r="E2" s="339" t="s">
        <v>295</v>
      </c>
      <c r="F2" s="336" t="s">
        <v>280</v>
      </c>
      <c r="G2" s="340" t="s">
        <v>296</v>
      </c>
      <c r="H2" s="341" t="s">
        <v>289</v>
      </c>
      <c r="I2" s="153" t="s">
        <v>290</v>
      </c>
      <c r="J2" s="336" t="s">
        <v>291</v>
      </c>
    </row>
    <row r="3" spans="1:12" s="154" customFormat="1" ht="19.5" customHeight="1">
      <c r="A3" s="336"/>
      <c r="B3" s="338"/>
      <c r="C3" s="336"/>
      <c r="D3" s="336"/>
      <c r="E3" s="339"/>
      <c r="F3" s="336"/>
      <c r="G3" s="340"/>
      <c r="H3" s="341"/>
      <c r="I3" s="149">
        <f>ROUND(SUM(I4:I82),)</f>
        <v>269800</v>
      </c>
      <c r="J3" s="336"/>
    </row>
    <row r="4" spans="1:12" s="160" customFormat="1" ht="15" customHeight="1">
      <c r="A4" s="156">
        <f t="shared" ref="A4:A9" si="0">ROW()-3</f>
        <v>1</v>
      </c>
      <c r="B4" s="157">
        <v>46148</v>
      </c>
      <c r="C4" s="156" t="s">
        <v>813</v>
      </c>
      <c r="D4" s="247" t="s">
        <v>721</v>
      </c>
      <c r="E4" s="156" t="s">
        <v>722</v>
      </c>
      <c r="F4" s="156" t="s">
        <v>723</v>
      </c>
      <c r="G4" s="158">
        <v>1</v>
      </c>
      <c r="H4" s="159">
        <v>23400</v>
      </c>
      <c r="I4" s="159">
        <v>23400</v>
      </c>
      <c r="J4" s="156"/>
      <c r="L4" s="161" t="s">
        <v>248</v>
      </c>
    </row>
    <row r="5" spans="1:12" s="160" customFormat="1" ht="15" customHeight="1">
      <c r="A5" s="156">
        <f t="shared" si="0"/>
        <v>2</v>
      </c>
      <c r="B5" s="157">
        <v>46148</v>
      </c>
      <c r="C5" s="156" t="s">
        <v>813</v>
      </c>
      <c r="D5" s="247" t="s">
        <v>721</v>
      </c>
      <c r="E5" s="156" t="s">
        <v>724</v>
      </c>
      <c r="F5" s="156" t="s">
        <v>723</v>
      </c>
      <c r="G5" s="158">
        <v>1</v>
      </c>
      <c r="H5" s="159">
        <v>23400</v>
      </c>
      <c r="I5" s="159">
        <v>23400</v>
      </c>
      <c r="J5" s="156"/>
      <c r="L5" s="161" t="s">
        <v>297</v>
      </c>
    </row>
    <row r="6" spans="1:12" s="160" customFormat="1" ht="15" customHeight="1">
      <c r="A6" s="156">
        <f t="shared" si="0"/>
        <v>3</v>
      </c>
      <c r="B6" s="157">
        <v>46148</v>
      </c>
      <c r="C6" s="156" t="s">
        <v>813</v>
      </c>
      <c r="D6" s="247" t="s">
        <v>725</v>
      </c>
      <c r="E6" s="156" t="s">
        <v>726</v>
      </c>
      <c r="F6" s="156" t="s">
        <v>723</v>
      </c>
      <c r="G6" s="158">
        <v>10</v>
      </c>
      <c r="H6" s="159">
        <v>2500</v>
      </c>
      <c r="I6" s="159">
        <v>25000</v>
      </c>
      <c r="J6" s="156"/>
      <c r="L6" s="161" t="s">
        <v>287</v>
      </c>
    </row>
    <row r="7" spans="1:12" s="160" customFormat="1" ht="15" customHeight="1">
      <c r="A7" s="156">
        <f t="shared" si="0"/>
        <v>4</v>
      </c>
      <c r="B7" s="157">
        <v>46154</v>
      </c>
      <c r="C7" s="156" t="s">
        <v>813</v>
      </c>
      <c r="D7" s="247" t="s">
        <v>721</v>
      </c>
      <c r="E7" s="156" t="s">
        <v>727</v>
      </c>
      <c r="F7" s="156" t="s">
        <v>723</v>
      </c>
      <c r="G7" s="158">
        <v>2</v>
      </c>
      <c r="H7" s="159">
        <v>71500</v>
      </c>
      <c r="I7" s="159">
        <v>143000</v>
      </c>
      <c r="J7" s="156"/>
      <c r="L7" s="161" t="s">
        <v>251</v>
      </c>
    </row>
    <row r="8" spans="1:12" s="160" customFormat="1" ht="15" customHeight="1">
      <c r="A8" s="156">
        <f t="shared" si="0"/>
        <v>5</v>
      </c>
      <c r="B8" s="157">
        <v>46155</v>
      </c>
      <c r="C8" s="156" t="s">
        <v>813</v>
      </c>
      <c r="D8" s="247" t="s">
        <v>728</v>
      </c>
      <c r="E8" s="156" t="s">
        <v>729</v>
      </c>
      <c r="F8" s="156" t="s">
        <v>723</v>
      </c>
      <c r="G8" s="158">
        <v>10</v>
      </c>
      <c r="H8" s="159">
        <v>600</v>
      </c>
      <c r="I8" s="159">
        <v>6000</v>
      </c>
      <c r="J8" s="156"/>
      <c r="L8" s="161" t="s">
        <v>252</v>
      </c>
    </row>
    <row r="9" spans="1:12" s="160" customFormat="1" ht="15" customHeight="1">
      <c r="A9" s="156">
        <f t="shared" si="0"/>
        <v>6</v>
      </c>
      <c r="B9" s="157">
        <v>46168</v>
      </c>
      <c r="C9" s="156" t="s">
        <v>813</v>
      </c>
      <c r="D9" s="247" t="s">
        <v>730</v>
      </c>
      <c r="E9" s="156" t="s">
        <v>731</v>
      </c>
      <c r="F9" s="156" t="s">
        <v>723</v>
      </c>
      <c r="G9" s="158">
        <v>5</v>
      </c>
      <c r="H9" s="159">
        <v>9800</v>
      </c>
      <c r="I9" s="159">
        <v>49000</v>
      </c>
      <c r="J9" s="156"/>
      <c r="L9" s="161" t="s">
        <v>295</v>
      </c>
    </row>
    <row r="10" spans="1:12" s="160" customFormat="1" ht="15" customHeight="1">
      <c r="A10" s="164"/>
      <c r="B10" s="164"/>
      <c r="C10" s="164"/>
      <c r="D10" s="164"/>
      <c r="E10" s="164"/>
      <c r="F10" s="164"/>
      <c r="G10" s="164"/>
      <c r="H10" s="164"/>
      <c r="I10" s="164"/>
      <c r="J10" s="164"/>
      <c r="L10" s="161" t="s">
        <v>298</v>
      </c>
    </row>
    <row r="11" spans="1:12" s="160" customFormat="1" ht="15" customHeight="1">
      <c r="A11" s="164"/>
      <c r="B11" s="164"/>
      <c r="C11" s="164"/>
      <c r="D11" s="164"/>
      <c r="E11" s="164"/>
      <c r="F11" s="164"/>
      <c r="G11" s="164"/>
      <c r="H11" s="164"/>
      <c r="I11" s="164"/>
      <c r="J11" s="164"/>
      <c r="L11" s="161" t="s">
        <v>299</v>
      </c>
    </row>
    <row r="12" spans="1:12" ht="13.5" customHeight="1">
      <c r="L12" s="160" t="s">
        <v>289</v>
      </c>
    </row>
    <row r="13" spans="1:12">
      <c r="L13" s="160"/>
    </row>
    <row r="14" spans="1:12" ht="16.5">
      <c r="L14" s="162" t="s">
        <v>300</v>
      </c>
    </row>
  </sheetData>
  <autoFilter ref="A2:J19" xr:uid="{2E421254-DD27-4148-AC38-C00782AEA3D1}">
    <sortState ref="A5:J19">
      <sortCondition ref="F2:F12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2" fitToHeight="0" orientation="landscape" r:id="rId1"/>
  <headerFooter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AD13-2728-4954-97E1-8D3BBE13E608}">
  <sheetPr>
    <pageSetUpPr fitToPage="1"/>
  </sheetPr>
  <dimension ref="A1:N66"/>
  <sheetViews>
    <sheetView view="pageBreakPreview" topLeftCell="A32" zoomScaleNormal="115" zoomScaleSheetLayoutView="100" workbookViewId="0">
      <selection activeCell="E52" sqref="E52"/>
    </sheetView>
  </sheetViews>
  <sheetFormatPr defaultRowHeight="15"/>
  <cols>
    <col min="1" max="1" width="9.375" style="163" customWidth="1"/>
    <col min="2" max="2" width="21.625" style="164" bestFit="1" customWidth="1"/>
    <col min="3" max="3" width="13.375" style="163" customWidth="1"/>
    <col min="4" max="4" width="55" style="164" customWidth="1"/>
    <col min="5" max="5" width="41.125" style="164" bestFit="1" customWidth="1"/>
    <col min="6" max="6" width="20.125" style="164" bestFit="1" customWidth="1"/>
    <col min="7" max="7" width="8" style="165" customWidth="1"/>
    <col min="8" max="8" width="14.25" style="166" customWidth="1"/>
    <col min="9" max="9" width="15.125" style="166" bestFit="1" customWidth="1"/>
    <col min="10" max="10" width="23.375" style="164" customWidth="1"/>
    <col min="11" max="11" width="9" style="17" customWidth="1"/>
    <col min="12" max="256" width="9" style="17"/>
    <col min="257" max="257" width="9.375" style="17" customWidth="1"/>
    <col min="258" max="258" width="21.625" style="17" bestFit="1" customWidth="1"/>
    <col min="259" max="259" width="13.375" style="17" customWidth="1"/>
    <col min="260" max="260" width="41.25" style="17" bestFit="1" customWidth="1"/>
    <col min="261" max="261" width="41.125" style="17" bestFit="1" customWidth="1"/>
    <col min="262" max="262" width="20.125" style="17" bestFit="1" customWidth="1"/>
    <col min="263" max="263" width="8" style="17" customWidth="1"/>
    <col min="264" max="264" width="14.25" style="17" customWidth="1"/>
    <col min="265" max="265" width="15.125" style="17" bestFit="1" customWidth="1"/>
    <col min="266" max="266" width="23.375" style="17" customWidth="1"/>
    <col min="267" max="512" width="9" style="17"/>
    <col min="513" max="513" width="9.375" style="17" customWidth="1"/>
    <col min="514" max="514" width="21.625" style="17" bestFit="1" customWidth="1"/>
    <col min="515" max="515" width="13.375" style="17" customWidth="1"/>
    <col min="516" max="516" width="41.25" style="17" bestFit="1" customWidth="1"/>
    <col min="517" max="517" width="41.125" style="17" bestFit="1" customWidth="1"/>
    <col min="518" max="518" width="20.125" style="17" bestFit="1" customWidth="1"/>
    <col min="519" max="519" width="8" style="17" customWidth="1"/>
    <col min="520" max="520" width="14.25" style="17" customWidth="1"/>
    <col min="521" max="521" width="15.125" style="17" bestFit="1" customWidth="1"/>
    <col min="522" max="522" width="23.375" style="17" customWidth="1"/>
    <col min="523" max="768" width="9" style="17"/>
    <col min="769" max="769" width="9.375" style="17" customWidth="1"/>
    <col min="770" max="770" width="21.625" style="17" bestFit="1" customWidth="1"/>
    <col min="771" max="771" width="13.375" style="17" customWidth="1"/>
    <col min="772" max="772" width="41.25" style="17" bestFit="1" customWidth="1"/>
    <col min="773" max="773" width="41.125" style="17" bestFit="1" customWidth="1"/>
    <col min="774" max="774" width="20.125" style="17" bestFit="1" customWidth="1"/>
    <col min="775" max="775" width="8" style="17" customWidth="1"/>
    <col min="776" max="776" width="14.25" style="17" customWidth="1"/>
    <col min="777" max="777" width="15.125" style="17" bestFit="1" customWidth="1"/>
    <col min="778" max="778" width="23.375" style="17" customWidth="1"/>
    <col min="779" max="1024" width="9" style="17"/>
    <col min="1025" max="1025" width="9.375" style="17" customWidth="1"/>
    <col min="1026" max="1026" width="21.625" style="17" bestFit="1" customWidth="1"/>
    <col min="1027" max="1027" width="13.375" style="17" customWidth="1"/>
    <col min="1028" max="1028" width="41.25" style="17" bestFit="1" customWidth="1"/>
    <col min="1029" max="1029" width="41.125" style="17" bestFit="1" customWidth="1"/>
    <col min="1030" max="1030" width="20.125" style="17" bestFit="1" customWidth="1"/>
    <col min="1031" max="1031" width="8" style="17" customWidth="1"/>
    <col min="1032" max="1032" width="14.25" style="17" customWidth="1"/>
    <col min="1033" max="1033" width="15.125" style="17" bestFit="1" customWidth="1"/>
    <col min="1034" max="1034" width="23.375" style="17" customWidth="1"/>
    <col min="1035" max="1280" width="9" style="17"/>
    <col min="1281" max="1281" width="9.375" style="17" customWidth="1"/>
    <col min="1282" max="1282" width="21.625" style="17" bestFit="1" customWidth="1"/>
    <col min="1283" max="1283" width="13.375" style="17" customWidth="1"/>
    <col min="1284" max="1284" width="41.25" style="17" bestFit="1" customWidth="1"/>
    <col min="1285" max="1285" width="41.125" style="17" bestFit="1" customWidth="1"/>
    <col min="1286" max="1286" width="20.125" style="17" bestFit="1" customWidth="1"/>
    <col min="1287" max="1287" width="8" style="17" customWidth="1"/>
    <col min="1288" max="1288" width="14.25" style="17" customWidth="1"/>
    <col min="1289" max="1289" width="15.125" style="17" bestFit="1" customWidth="1"/>
    <col min="1290" max="1290" width="23.375" style="17" customWidth="1"/>
    <col min="1291" max="1536" width="9" style="17"/>
    <col min="1537" max="1537" width="9.375" style="17" customWidth="1"/>
    <col min="1538" max="1538" width="21.625" style="17" bestFit="1" customWidth="1"/>
    <col min="1539" max="1539" width="13.375" style="17" customWidth="1"/>
    <col min="1540" max="1540" width="41.25" style="17" bestFit="1" customWidth="1"/>
    <col min="1541" max="1541" width="41.125" style="17" bestFit="1" customWidth="1"/>
    <col min="1542" max="1542" width="20.125" style="17" bestFit="1" customWidth="1"/>
    <col min="1543" max="1543" width="8" style="17" customWidth="1"/>
    <col min="1544" max="1544" width="14.25" style="17" customWidth="1"/>
    <col min="1545" max="1545" width="15.125" style="17" bestFit="1" customWidth="1"/>
    <col min="1546" max="1546" width="23.375" style="17" customWidth="1"/>
    <col min="1547" max="1792" width="9" style="17"/>
    <col min="1793" max="1793" width="9.375" style="17" customWidth="1"/>
    <col min="1794" max="1794" width="21.625" style="17" bestFit="1" customWidth="1"/>
    <col min="1795" max="1795" width="13.375" style="17" customWidth="1"/>
    <col min="1796" max="1796" width="41.25" style="17" bestFit="1" customWidth="1"/>
    <col min="1797" max="1797" width="41.125" style="17" bestFit="1" customWidth="1"/>
    <col min="1798" max="1798" width="20.125" style="17" bestFit="1" customWidth="1"/>
    <col min="1799" max="1799" width="8" style="17" customWidth="1"/>
    <col min="1800" max="1800" width="14.25" style="17" customWidth="1"/>
    <col min="1801" max="1801" width="15.125" style="17" bestFit="1" customWidth="1"/>
    <col min="1802" max="1802" width="23.375" style="17" customWidth="1"/>
    <col min="1803" max="2048" width="9" style="17"/>
    <col min="2049" max="2049" width="9.375" style="17" customWidth="1"/>
    <col min="2050" max="2050" width="21.625" style="17" bestFit="1" customWidth="1"/>
    <col min="2051" max="2051" width="13.375" style="17" customWidth="1"/>
    <col min="2052" max="2052" width="41.25" style="17" bestFit="1" customWidth="1"/>
    <col min="2053" max="2053" width="41.125" style="17" bestFit="1" customWidth="1"/>
    <col min="2054" max="2054" width="20.125" style="17" bestFit="1" customWidth="1"/>
    <col min="2055" max="2055" width="8" style="17" customWidth="1"/>
    <col min="2056" max="2056" width="14.25" style="17" customWidth="1"/>
    <col min="2057" max="2057" width="15.125" style="17" bestFit="1" customWidth="1"/>
    <col min="2058" max="2058" width="23.375" style="17" customWidth="1"/>
    <col min="2059" max="2304" width="9" style="17"/>
    <col min="2305" max="2305" width="9.375" style="17" customWidth="1"/>
    <col min="2306" max="2306" width="21.625" style="17" bestFit="1" customWidth="1"/>
    <col min="2307" max="2307" width="13.375" style="17" customWidth="1"/>
    <col min="2308" max="2308" width="41.25" style="17" bestFit="1" customWidth="1"/>
    <col min="2309" max="2309" width="41.125" style="17" bestFit="1" customWidth="1"/>
    <col min="2310" max="2310" width="20.125" style="17" bestFit="1" customWidth="1"/>
    <col min="2311" max="2311" width="8" style="17" customWidth="1"/>
    <col min="2312" max="2312" width="14.25" style="17" customWidth="1"/>
    <col min="2313" max="2313" width="15.125" style="17" bestFit="1" customWidth="1"/>
    <col min="2314" max="2314" width="23.375" style="17" customWidth="1"/>
    <col min="2315" max="2560" width="9" style="17"/>
    <col min="2561" max="2561" width="9.375" style="17" customWidth="1"/>
    <col min="2562" max="2562" width="21.625" style="17" bestFit="1" customWidth="1"/>
    <col min="2563" max="2563" width="13.375" style="17" customWidth="1"/>
    <col min="2564" max="2564" width="41.25" style="17" bestFit="1" customWidth="1"/>
    <col min="2565" max="2565" width="41.125" style="17" bestFit="1" customWidth="1"/>
    <col min="2566" max="2566" width="20.125" style="17" bestFit="1" customWidth="1"/>
    <col min="2567" max="2567" width="8" style="17" customWidth="1"/>
    <col min="2568" max="2568" width="14.25" style="17" customWidth="1"/>
    <col min="2569" max="2569" width="15.125" style="17" bestFit="1" customWidth="1"/>
    <col min="2570" max="2570" width="23.375" style="17" customWidth="1"/>
    <col min="2571" max="2816" width="9" style="17"/>
    <col min="2817" max="2817" width="9.375" style="17" customWidth="1"/>
    <col min="2818" max="2818" width="21.625" style="17" bestFit="1" customWidth="1"/>
    <col min="2819" max="2819" width="13.375" style="17" customWidth="1"/>
    <col min="2820" max="2820" width="41.25" style="17" bestFit="1" customWidth="1"/>
    <col min="2821" max="2821" width="41.125" style="17" bestFit="1" customWidth="1"/>
    <col min="2822" max="2822" width="20.125" style="17" bestFit="1" customWidth="1"/>
    <col min="2823" max="2823" width="8" style="17" customWidth="1"/>
    <col min="2824" max="2824" width="14.25" style="17" customWidth="1"/>
    <col min="2825" max="2825" width="15.125" style="17" bestFit="1" customWidth="1"/>
    <col min="2826" max="2826" width="23.375" style="17" customWidth="1"/>
    <col min="2827" max="3072" width="9" style="17"/>
    <col min="3073" max="3073" width="9.375" style="17" customWidth="1"/>
    <col min="3074" max="3074" width="21.625" style="17" bestFit="1" customWidth="1"/>
    <col min="3075" max="3075" width="13.375" style="17" customWidth="1"/>
    <col min="3076" max="3076" width="41.25" style="17" bestFit="1" customWidth="1"/>
    <col min="3077" max="3077" width="41.125" style="17" bestFit="1" customWidth="1"/>
    <col min="3078" max="3078" width="20.125" style="17" bestFit="1" customWidth="1"/>
    <col min="3079" max="3079" width="8" style="17" customWidth="1"/>
    <col min="3080" max="3080" width="14.25" style="17" customWidth="1"/>
    <col min="3081" max="3081" width="15.125" style="17" bestFit="1" customWidth="1"/>
    <col min="3082" max="3082" width="23.375" style="17" customWidth="1"/>
    <col min="3083" max="3328" width="9" style="17"/>
    <col min="3329" max="3329" width="9.375" style="17" customWidth="1"/>
    <col min="3330" max="3330" width="21.625" style="17" bestFit="1" customWidth="1"/>
    <col min="3331" max="3331" width="13.375" style="17" customWidth="1"/>
    <col min="3332" max="3332" width="41.25" style="17" bestFit="1" customWidth="1"/>
    <col min="3333" max="3333" width="41.125" style="17" bestFit="1" customWidth="1"/>
    <col min="3334" max="3334" width="20.125" style="17" bestFit="1" customWidth="1"/>
    <col min="3335" max="3335" width="8" style="17" customWidth="1"/>
    <col min="3336" max="3336" width="14.25" style="17" customWidth="1"/>
    <col min="3337" max="3337" width="15.125" style="17" bestFit="1" customWidth="1"/>
    <col min="3338" max="3338" width="23.375" style="17" customWidth="1"/>
    <col min="3339" max="3584" width="9" style="17"/>
    <col min="3585" max="3585" width="9.375" style="17" customWidth="1"/>
    <col min="3586" max="3586" width="21.625" style="17" bestFit="1" customWidth="1"/>
    <col min="3587" max="3587" width="13.375" style="17" customWidth="1"/>
    <col min="3588" max="3588" width="41.25" style="17" bestFit="1" customWidth="1"/>
    <col min="3589" max="3589" width="41.125" style="17" bestFit="1" customWidth="1"/>
    <col min="3590" max="3590" width="20.125" style="17" bestFit="1" customWidth="1"/>
    <col min="3591" max="3591" width="8" style="17" customWidth="1"/>
    <col min="3592" max="3592" width="14.25" style="17" customWidth="1"/>
    <col min="3593" max="3593" width="15.125" style="17" bestFit="1" customWidth="1"/>
    <col min="3594" max="3594" width="23.375" style="17" customWidth="1"/>
    <col min="3595" max="3840" width="9" style="17"/>
    <col min="3841" max="3841" width="9.375" style="17" customWidth="1"/>
    <col min="3842" max="3842" width="21.625" style="17" bestFit="1" customWidth="1"/>
    <col min="3843" max="3843" width="13.375" style="17" customWidth="1"/>
    <col min="3844" max="3844" width="41.25" style="17" bestFit="1" customWidth="1"/>
    <col min="3845" max="3845" width="41.125" style="17" bestFit="1" customWidth="1"/>
    <col min="3846" max="3846" width="20.125" style="17" bestFit="1" customWidth="1"/>
    <col min="3847" max="3847" width="8" style="17" customWidth="1"/>
    <col min="3848" max="3848" width="14.25" style="17" customWidth="1"/>
    <col min="3849" max="3849" width="15.125" style="17" bestFit="1" customWidth="1"/>
    <col min="3850" max="3850" width="23.375" style="17" customWidth="1"/>
    <col min="3851" max="4096" width="9" style="17"/>
    <col min="4097" max="4097" width="9.375" style="17" customWidth="1"/>
    <col min="4098" max="4098" width="21.625" style="17" bestFit="1" customWidth="1"/>
    <col min="4099" max="4099" width="13.375" style="17" customWidth="1"/>
    <col min="4100" max="4100" width="41.25" style="17" bestFit="1" customWidth="1"/>
    <col min="4101" max="4101" width="41.125" style="17" bestFit="1" customWidth="1"/>
    <col min="4102" max="4102" width="20.125" style="17" bestFit="1" customWidth="1"/>
    <col min="4103" max="4103" width="8" style="17" customWidth="1"/>
    <col min="4104" max="4104" width="14.25" style="17" customWidth="1"/>
    <col min="4105" max="4105" width="15.125" style="17" bestFit="1" customWidth="1"/>
    <col min="4106" max="4106" width="23.375" style="17" customWidth="1"/>
    <col min="4107" max="4352" width="9" style="17"/>
    <col min="4353" max="4353" width="9.375" style="17" customWidth="1"/>
    <col min="4354" max="4354" width="21.625" style="17" bestFit="1" customWidth="1"/>
    <col min="4355" max="4355" width="13.375" style="17" customWidth="1"/>
    <col min="4356" max="4356" width="41.25" style="17" bestFit="1" customWidth="1"/>
    <col min="4357" max="4357" width="41.125" style="17" bestFit="1" customWidth="1"/>
    <col min="4358" max="4358" width="20.125" style="17" bestFit="1" customWidth="1"/>
    <col min="4359" max="4359" width="8" style="17" customWidth="1"/>
    <col min="4360" max="4360" width="14.25" style="17" customWidth="1"/>
    <col min="4361" max="4361" width="15.125" style="17" bestFit="1" customWidth="1"/>
    <col min="4362" max="4362" width="23.375" style="17" customWidth="1"/>
    <col min="4363" max="4608" width="9" style="17"/>
    <col min="4609" max="4609" width="9.375" style="17" customWidth="1"/>
    <col min="4610" max="4610" width="21.625" style="17" bestFit="1" customWidth="1"/>
    <col min="4611" max="4611" width="13.375" style="17" customWidth="1"/>
    <col min="4612" max="4612" width="41.25" style="17" bestFit="1" customWidth="1"/>
    <col min="4613" max="4613" width="41.125" style="17" bestFit="1" customWidth="1"/>
    <col min="4614" max="4614" width="20.125" style="17" bestFit="1" customWidth="1"/>
    <col min="4615" max="4615" width="8" style="17" customWidth="1"/>
    <col min="4616" max="4616" width="14.25" style="17" customWidth="1"/>
    <col min="4617" max="4617" width="15.125" style="17" bestFit="1" customWidth="1"/>
    <col min="4618" max="4618" width="23.375" style="17" customWidth="1"/>
    <col min="4619" max="4864" width="9" style="17"/>
    <col min="4865" max="4865" width="9.375" style="17" customWidth="1"/>
    <col min="4866" max="4866" width="21.625" style="17" bestFit="1" customWidth="1"/>
    <col min="4867" max="4867" width="13.375" style="17" customWidth="1"/>
    <col min="4868" max="4868" width="41.25" style="17" bestFit="1" customWidth="1"/>
    <col min="4869" max="4869" width="41.125" style="17" bestFit="1" customWidth="1"/>
    <col min="4870" max="4870" width="20.125" style="17" bestFit="1" customWidth="1"/>
    <col min="4871" max="4871" width="8" style="17" customWidth="1"/>
    <col min="4872" max="4872" width="14.25" style="17" customWidth="1"/>
    <col min="4873" max="4873" width="15.125" style="17" bestFit="1" customWidth="1"/>
    <col min="4874" max="4874" width="23.375" style="17" customWidth="1"/>
    <col min="4875" max="5120" width="9" style="17"/>
    <col min="5121" max="5121" width="9.375" style="17" customWidth="1"/>
    <col min="5122" max="5122" width="21.625" style="17" bestFit="1" customWidth="1"/>
    <col min="5123" max="5123" width="13.375" style="17" customWidth="1"/>
    <col min="5124" max="5124" width="41.25" style="17" bestFit="1" customWidth="1"/>
    <col min="5125" max="5125" width="41.125" style="17" bestFit="1" customWidth="1"/>
    <col min="5126" max="5126" width="20.125" style="17" bestFit="1" customWidth="1"/>
    <col min="5127" max="5127" width="8" style="17" customWidth="1"/>
    <col min="5128" max="5128" width="14.25" style="17" customWidth="1"/>
    <col min="5129" max="5129" width="15.125" style="17" bestFit="1" customWidth="1"/>
    <col min="5130" max="5130" width="23.375" style="17" customWidth="1"/>
    <col min="5131" max="5376" width="9" style="17"/>
    <col min="5377" max="5377" width="9.375" style="17" customWidth="1"/>
    <col min="5378" max="5378" width="21.625" style="17" bestFit="1" customWidth="1"/>
    <col min="5379" max="5379" width="13.375" style="17" customWidth="1"/>
    <col min="5380" max="5380" width="41.25" style="17" bestFit="1" customWidth="1"/>
    <col min="5381" max="5381" width="41.125" style="17" bestFit="1" customWidth="1"/>
    <col min="5382" max="5382" width="20.125" style="17" bestFit="1" customWidth="1"/>
    <col min="5383" max="5383" width="8" style="17" customWidth="1"/>
    <col min="5384" max="5384" width="14.25" style="17" customWidth="1"/>
    <col min="5385" max="5385" width="15.125" style="17" bestFit="1" customWidth="1"/>
    <col min="5386" max="5386" width="23.375" style="17" customWidth="1"/>
    <col min="5387" max="5632" width="9" style="17"/>
    <col min="5633" max="5633" width="9.375" style="17" customWidth="1"/>
    <col min="5634" max="5634" width="21.625" style="17" bestFit="1" customWidth="1"/>
    <col min="5635" max="5635" width="13.375" style="17" customWidth="1"/>
    <col min="5636" max="5636" width="41.25" style="17" bestFit="1" customWidth="1"/>
    <col min="5637" max="5637" width="41.125" style="17" bestFit="1" customWidth="1"/>
    <col min="5638" max="5638" width="20.125" style="17" bestFit="1" customWidth="1"/>
    <col min="5639" max="5639" width="8" style="17" customWidth="1"/>
    <col min="5640" max="5640" width="14.25" style="17" customWidth="1"/>
    <col min="5641" max="5641" width="15.125" style="17" bestFit="1" customWidth="1"/>
    <col min="5642" max="5642" width="23.375" style="17" customWidth="1"/>
    <col min="5643" max="5888" width="9" style="17"/>
    <col min="5889" max="5889" width="9.375" style="17" customWidth="1"/>
    <col min="5890" max="5890" width="21.625" style="17" bestFit="1" customWidth="1"/>
    <col min="5891" max="5891" width="13.375" style="17" customWidth="1"/>
    <col min="5892" max="5892" width="41.25" style="17" bestFit="1" customWidth="1"/>
    <col min="5893" max="5893" width="41.125" style="17" bestFit="1" customWidth="1"/>
    <col min="5894" max="5894" width="20.125" style="17" bestFit="1" customWidth="1"/>
    <col min="5895" max="5895" width="8" style="17" customWidth="1"/>
    <col min="5896" max="5896" width="14.25" style="17" customWidth="1"/>
    <col min="5897" max="5897" width="15.125" style="17" bestFit="1" customWidth="1"/>
    <col min="5898" max="5898" width="23.375" style="17" customWidth="1"/>
    <col min="5899" max="6144" width="9" style="17"/>
    <col min="6145" max="6145" width="9.375" style="17" customWidth="1"/>
    <col min="6146" max="6146" width="21.625" style="17" bestFit="1" customWidth="1"/>
    <col min="6147" max="6147" width="13.375" style="17" customWidth="1"/>
    <col min="6148" max="6148" width="41.25" style="17" bestFit="1" customWidth="1"/>
    <col min="6149" max="6149" width="41.125" style="17" bestFit="1" customWidth="1"/>
    <col min="6150" max="6150" width="20.125" style="17" bestFit="1" customWidth="1"/>
    <col min="6151" max="6151" width="8" style="17" customWidth="1"/>
    <col min="6152" max="6152" width="14.25" style="17" customWidth="1"/>
    <col min="6153" max="6153" width="15.125" style="17" bestFit="1" customWidth="1"/>
    <col min="6154" max="6154" width="23.375" style="17" customWidth="1"/>
    <col min="6155" max="6400" width="9" style="17"/>
    <col min="6401" max="6401" width="9.375" style="17" customWidth="1"/>
    <col min="6402" max="6402" width="21.625" style="17" bestFit="1" customWidth="1"/>
    <col min="6403" max="6403" width="13.375" style="17" customWidth="1"/>
    <col min="6404" max="6404" width="41.25" style="17" bestFit="1" customWidth="1"/>
    <col min="6405" max="6405" width="41.125" style="17" bestFit="1" customWidth="1"/>
    <col min="6406" max="6406" width="20.125" style="17" bestFit="1" customWidth="1"/>
    <col min="6407" max="6407" width="8" style="17" customWidth="1"/>
    <col min="6408" max="6408" width="14.25" style="17" customWidth="1"/>
    <col min="6409" max="6409" width="15.125" style="17" bestFit="1" customWidth="1"/>
    <col min="6410" max="6410" width="23.375" style="17" customWidth="1"/>
    <col min="6411" max="6656" width="9" style="17"/>
    <col min="6657" max="6657" width="9.375" style="17" customWidth="1"/>
    <col min="6658" max="6658" width="21.625" style="17" bestFit="1" customWidth="1"/>
    <col min="6659" max="6659" width="13.375" style="17" customWidth="1"/>
    <col min="6660" max="6660" width="41.25" style="17" bestFit="1" customWidth="1"/>
    <col min="6661" max="6661" width="41.125" style="17" bestFit="1" customWidth="1"/>
    <col min="6662" max="6662" width="20.125" style="17" bestFit="1" customWidth="1"/>
    <col min="6663" max="6663" width="8" style="17" customWidth="1"/>
    <col min="6664" max="6664" width="14.25" style="17" customWidth="1"/>
    <col min="6665" max="6665" width="15.125" style="17" bestFit="1" customWidth="1"/>
    <col min="6666" max="6666" width="23.375" style="17" customWidth="1"/>
    <col min="6667" max="6912" width="9" style="17"/>
    <col min="6913" max="6913" width="9.375" style="17" customWidth="1"/>
    <col min="6914" max="6914" width="21.625" style="17" bestFit="1" customWidth="1"/>
    <col min="6915" max="6915" width="13.375" style="17" customWidth="1"/>
    <col min="6916" max="6916" width="41.25" style="17" bestFit="1" customWidth="1"/>
    <col min="6917" max="6917" width="41.125" style="17" bestFit="1" customWidth="1"/>
    <col min="6918" max="6918" width="20.125" style="17" bestFit="1" customWidth="1"/>
    <col min="6919" max="6919" width="8" style="17" customWidth="1"/>
    <col min="6920" max="6920" width="14.25" style="17" customWidth="1"/>
    <col min="6921" max="6921" width="15.125" style="17" bestFit="1" customWidth="1"/>
    <col min="6922" max="6922" width="23.375" style="17" customWidth="1"/>
    <col min="6923" max="7168" width="9" style="17"/>
    <col min="7169" max="7169" width="9.375" style="17" customWidth="1"/>
    <col min="7170" max="7170" width="21.625" style="17" bestFit="1" customWidth="1"/>
    <col min="7171" max="7171" width="13.375" style="17" customWidth="1"/>
    <col min="7172" max="7172" width="41.25" style="17" bestFit="1" customWidth="1"/>
    <col min="7173" max="7173" width="41.125" style="17" bestFit="1" customWidth="1"/>
    <col min="7174" max="7174" width="20.125" style="17" bestFit="1" customWidth="1"/>
    <col min="7175" max="7175" width="8" style="17" customWidth="1"/>
    <col min="7176" max="7176" width="14.25" style="17" customWidth="1"/>
    <col min="7177" max="7177" width="15.125" style="17" bestFit="1" customWidth="1"/>
    <col min="7178" max="7178" width="23.375" style="17" customWidth="1"/>
    <col min="7179" max="7424" width="9" style="17"/>
    <col min="7425" max="7425" width="9.375" style="17" customWidth="1"/>
    <col min="7426" max="7426" width="21.625" style="17" bestFit="1" customWidth="1"/>
    <col min="7427" max="7427" width="13.375" style="17" customWidth="1"/>
    <col min="7428" max="7428" width="41.25" style="17" bestFit="1" customWidth="1"/>
    <col min="7429" max="7429" width="41.125" style="17" bestFit="1" customWidth="1"/>
    <col min="7430" max="7430" width="20.125" style="17" bestFit="1" customWidth="1"/>
    <col min="7431" max="7431" width="8" style="17" customWidth="1"/>
    <col min="7432" max="7432" width="14.25" style="17" customWidth="1"/>
    <col min="7433" max="7433" width="15.125" style="17" bestFit="1" customWidth="1"/>
    <col min="7434" max="7434" width="23.375" style="17" customWidth="1"/>
    <col min="7435" max="7680" width="9" style="17"/>
    <col min="7681" max="7681" width="9.375" style="17" customWidth="1"/>
    <col min="7682" max="7682" width="21.625" style="17" bestFit="1" customWidth="1"/>
    <col min="7683" max="7683" width="13.375" style="17" customWidth="1"/>
    <col min="7684" max="7684" width="41.25" style="17" bestFit="1" customWidth="1"/>
    <col min="7685" max="7685" width="41.125" style="17" bestFit="1" customWidth="1"/>
    <col min="7686" max="7686" width="20.125" style="17" bestFit="1" customWidth="1"/>
    <col min="7687" max="7687" width="8" style="17" customWidth="1"/>
    <col min="7688" max="7688" width="14.25" style="17" customWidth="1"/>
    <col min="7689" max="7689" width="15.125" style="17" bestFit="1" customWidth="1"/>
    <col min="7690" max="7690" width="23.375" style="17" customWidth="1"/>
    <col min="7691" max="7936" width="9" style="17"/>
    <col min="7937" max="7937" width="9.375" style="17" customWidth="1"/>
    <col min="7938" max="7938" width="21.625" style="17" bestFit="1" customWidth="1"/>
    <col min="7939" max="7939" width="13.375" style="17" customWidth="1"/>
    <col min="7940" max="7940" width="41.25" style="17" bestFit="1" customWidth="1"/>
    <col min="7941" max="7941" width="41.125" style="17" bestFit="1" customWidth="1"/>
    <col min="7942" max="7942" width="20.125" style="17" bestFit="1" customWidth="1"/>
    <col min="7943" max="7943" width="8" style="17" customWidth="1"/>
    <col min="7944" max="7944" width="14.25" style="17" customWidth="1"/>
    <col min="7945" max="7945" width="15.125" style="17" bestFit="1" customWidth="1"/>
    <col min="7946" max="7946" width="23.375" style="17" customWidth="1"/>
    <col min="7947" max="8192" width="9" style="17"/>
    <col min="8193" max="8193" width="9.375" style="17" customWidth="1"/>
    <col min="8194" max="8194" width="21.625" style="17" bestFit="1" customWidth="1"/>
    <col min="8195" max="8195" width="13.375" style="17" customWidth="1"/>
    <col min="8196" max="8196" width="41.25" style="17" bestFit="1" customWidth="1"/>
    <col min="8197" max="8197" width="41.125" style="17" bestFit="1" customWidth="1"/>
    <col min="8198" max="8198" width="20.125" style="17" bestFit="1" customWidth="1"/>
    <col min="8199" max="8199" width="8" style="17" customWidth="1"/>
    <col min="8200" max="8200" width="14.25" style="17" customWidth="1"/>
    <col min="8201" max="8201" width="15.125" style="17" bestFit="1" customWidth="1"/>
    <col min="8202" max="8202" width="23.375" style="17" customWidth="1"/>
    <col min="8203" max="8448" width="9" style="17"/>
    <col min="8449" max="8449" width="9.375" style="17" customWidth="1"/>
    <col min="8450" max="8450" width="21.625" style="17" bestFit="1" customWidth="1"/>
    <col min="8451" max="8451" width="13.375" style="17" customWidth="1"/>
    <col min="8452" max="8452" width="41.25" style="17" bestFit="1" customWidth="1"/>
    <col min="8453" max="8453" width="41.125" style="17" bestFit="1" customWidth="1"/>
    <col min="8454" max="8454" width="20.125" style="17" bestFit="1" customWidth="1"/>
    <col min="8455" max="8455" width="8" style="17" customWidth="1"/>
    <col min="8456" max="8456" width="14.25" style="17" customWidth="1"/>
    <col min="8457" max="8457" width="15.125" style="17" bestFit="1" customWidth="1"/>
    <col min="8458" max="8458" width="23.375" style="17" customWidth="1"/>
    <col min="8459" max="8704" width="9" style="17"/>
    <col min="8705" max="8705" width="9.375" style="17" customWidth="1"/>
    <col min="8706" max="8706" width="21.625" style="17" bestFit="1" customWidth="1"/>
    <col min="8707" max="8707" width="13.375" style="17" customWidth="1"/>
    <col min="8708" max="8708" width="41.25" style="17" bestFit="1" customWidth="1"/>
    <col min="8709" max="8709" width="41.125" style="17" bestFit="1" customWidth="1"/>
    <col min="8710" max="8710" width="20.125" style="17" bestFit="1" customWidth="1"/>
    <col min="8711" max="8711" width="8" style="17" customWidth="1"/>
    <col min="8712" max="8712" width="14.25" style="17" customWidth="1"/>
    <col min="8713" max="8713" width="15.125" style="17" bestFit="1" customWidth="1"/>
    <col min="8714" max="8714" width="23.375" style="17" customWidth="1"/>
    <col min="8715" max="8960" width="9" style="17"/>
    <col min="8961" max="8961" width="9.375" style="17" customWidth="1"/>
    <col min="8962" max="8962" width="21.625" style="17" bestFit="1" customWidth="1"/>
    <col min="8963" max="8963" width="13.375" style="17" customWidth="1"/>
    <col min="8964" max="8964" width="41.25" style="17" bestFit="1" customWidth="1"/>
    <col min="8965" max="8965" width="41.125" style="17" bestFit="1" customWidth="1"/>
    <col min="8966" max="8966" width="20.125" style="17" bestFit="1" customWidth="1"/>
    <col min="8967" max="8967" width="8" style="17" customWidth="1"/>
    <col min="8968" max="8968" width="14.25" style="17" customWidth="1"/>
    <col min="8969" max="8969" width="15.125" style="17" bestFit="1" customWidth="1"/>
    <col min="8970" max="8970" width="23.375" style="17" customWidth="1"/>
    <col min="8971" max="9216" width="9" style="17"/>
    <col min="9217" max="9217" width="9.375" style="17" customWidth="1"/>
    <col min="9218" max="9218" width="21.625" style="17" bestFit="1" customWidth="1"/>
    <col min="9219" max="9219" width="13.375" style="17" customWidth="1"/>
    <col min="9220" max="9220" width="41.25" style="17" bestFit="1" customWidth="1"/>
    <col min="9221" max="9221" width="41.125" style="17" bestFit="1" customWidth="1"/>
    <col min="9222" max="9222" width="20.125" style="17" bestFit="1" customWidth="1"/>
    <col min="9223" max="9223" width="8" style="17" customWidth="1"/>
    <col min="9224" max="9224" width="14.25" style="17" customWidth="1"/>
    <col min="9225" max="9225" width="15.125" style="17" bestFit="1" customWidth="1"/>
    <col min="9226" max="9226" width="23.375" style="17" customWidth="1"/>
    <col min="9227" max="9472" width="9" style="17"/>
    <col min="9473" max="9473" width="9.375" style="17" customWidth="1"/>
    <col min="9474" max="9474" width="21.625" style="17" bestFit="1" customWidth="1"/>
    <col min="9475" max="9475" width="13.375" style="17" customWidth="1"/>
    <col min="9476" max="9476" width="41.25" style="17" bestFit="1" customWidth="1"/>
    <col min="9477" max="9477" width="41.125" style="17" bestFit="1" customWidth="1"/>
    <col min="9478" max="9478" width="20.125" style="17" bestFit="1" customWidth="1"/>
    <col min="9479" max="9479" width="8" style="17" customWidth="1"/>
    <col min="9480" max="9480" width="14.25" style="17" customWidth="1"/>
    <col min="9481" max="9481" width="15.125" style="17" bestFit="1" customWidth="1"/>
    <col min="9482" max="9482" width="23.375" style="17" customWidth="1"/>
    <col min="9483" max="9728" width="9" style="17"/>
    <col min="9729" max="9729" width="9.375" style="17" customWidth="1"/>
    <col min="9730" max="9730" width="21.625" style="17" bestFit="1" customWidth="1"/>
    <col min="9731" max="9731" width="13.375" style="17" customWidth="1"/>
    <col min="9732" max="9732" width="41.25" style="17" bestFit="1" customWidth="1"/>
    <col min="9733" max="9733" width="41.125" style="17" bestFit="1" customWidth="1"/>
    <col min="9734" max="9734" width="20.125" style="17" bestFit="1" customWidth="1"/>
    <col min="9735" max="9735" width="8" style="17" customWidth="1"/>
    <col min="9736" max="9736" width="14.25" style="17" customWidth="1"/>
    <col min="9737" max="9737" width="15.125" style="17" bestFit="1" customWidth="1"/>
    <col min="9738" max="9738" width="23.375" style="17" customWidth="1"/>
    <col min="9739" max="9984" width="9" style="17"/>
    <col min="9985" max="9985" width="9.375" style="17" customWidth="1"/>
    <col min="9986" max="9986" width="21.625" style="17" bestFit="1" customWidth="1"/>
    <col min="9987" max="9987" width="13.375" style="17" customWidth="1"/>
    <col min="9988" max="9988" width="41.25" style="17" bestFit="1" customWidth="1"/>
    <col min="9989" max="9989" width="41.125" style="17" bestFit="1" customWidth="1"/>
    <col min="9990" max="9990" width="20.125" style="17" bestFit="1" customWidth="1"/>
    <col min="9991" max="9991" width="8" style="17" customWidth="1"/>
    <col min="9992" max="9992" width="14.25" style="17" customWidth="1"/>
    <col min="9993" max="9993" width="15.125" style="17" bestFit="1" customWidth="1"/>
    <col min="9994" max="9994" width="23.375" style="17" customWidth="1"/>
    <col min="9995" max="10240" width="9" style="17"/>
    <col min="10241" max="10241" width="9.375" style="17" customWidth="1"/>
    <col min="10242" max="10242" width="21.625" style="17" bestFit="1" customWidth="1"/>
    <col min="10243" max="10243" width="13.375" style="17" customWidth="1"/>
    <col min="10244" max="10244" width="41.25" style="17" bestFit="1" customWidth="1"/>
    <col min="10245" max="10245" width="41.125" style="17" bestFit="1" customWidth="1"/>
    <col min="10246" max="10246" width="20.125" style="17" bestFit="1" customWidth="1"/>
    <col min="10247" max="10247" width="8" style="17" customWidth="1"/>
    <col min="10248" max="10248" width="14.25" style="17" customWidth="1"/>
    <col min="10249" max="10249" width="15.125" style="17" bestFit="1" customWidth="1"/>
    <col min="10250" max="10250" width="23.375" style="17" customWidth="1"/>
    <col min="10251" max="10496" width="9" style="17"/>
    <col min="10497" max="10497" width="9.375" style="17" customWidth="1"/>
    <col min="10498" max="10498" width="21.625" style="17" bestFit="1" customWidth="1"/>
    <col min="10499" max="10499" width="13.375" style="17" customWidth="1"/>
    <col min="10500" max="10500" width="41.25" style="17" bestFit="1" customWidth="1"/>
    <col min="10501" max="10501" width="41.125" style="17" bestFit="1" customWidth="1"/>
    <col min="10502" max="10502" width="20.125" style="17" bestFit="1" customWidth="1"/>
    <col min="10503" max="10503" width="8" style="17" customWidth="1"/>
    <col min="10504" max="10504" width="14.25" style="17" customWidth="1"/>
    <col min="10505" max="10505" width="15.125" style="17" bestFit="1" customWidth="1"/>
    <col min="10506" max="10506" width="23.375" style="17" customWidth="1"/>
    <col min="10507" max="10752" width="9" style="17"/>
    <col min="10753" max="10753" width="9.375" style="17" customWidth="1"/>
    <col min="10754" max="10754" width="21.625" style="17" bestFit="1" customWidth="1"/>
    <col min="10755" max="10755" width="13.375" style="17" customWidth="1"/>
    <col min="10756" max="10756" width="41.25" style="17" bestFit="1" customWidth="1"/>
    <col min="10757" max="10757" width="41.125" style="17" bestFit="1" customWidth="1"/>
    <col min="10758" max="10758" width="20.125" style="17" bestFit="1" customWidth="1"/>
    <col min="10759" max="10759" width="8" style="17" customWidth="1"/>
    <col min="10760" max="10760" width="14.25" style="17" customWidth="1"/>
    <col min="10761" max="10761" width="15.125" style="17" bestFit="1" customWidth="1"/>
    <col min="10762" max="10762" width="23.375" style="17" customWidth="1"/>
    <col min="10763" max="11008" width="9" style="17"/>
    <col min="11009" max="11009" width="9.375" style="17" customWidth="1"/>
    <col min="11010" max="11010" width="21.625" style="17" bestFit="1" customWidth="1"/>
    <col min="11011" max="11011" width="13.375" style="17" customWidth="1"/>
    <col min="11012" max="11012" width="41.25" style="17" bestFit="1" customWidth="1"/>
    <col min="11013" max="11013" width="41.125" style="17" bestFit="1" customWidth="1"/>
    <col min="11014" max="11014" width="20.125" style="17" bestFit="1" customWidth="1"/>
    <col min="11015" max="11015" width="8" style="17" customWidth="1"/>
    <col min="11016" max="11016" width="14.25" style="17" customWidth="1"/>
    <col min="11017" max="11017" width="15.125" style="17" bestFit="1" customWidth="1"/>
    <col min="11018" max="11018" width="23.375" style="17" customWidth="1"/>
    <col min="11019" max="11264" width="9" style="17"/>
    <col min="11265" max="11265" width="9.375" style="17" customWidth="1"/>
    <col min="11266" max="11266" width="21.625" style="17" bestFit="1" customWidth="1"/>
    <col min="11267" max="11267" width="13.375" style="17" customWidth="1"/>
    <col min="11268" max="11268" width="41.25" style="17" bestFit="1" customWidth="1"/>
    <col min="11269" max="11269" width="41.125" style="17" bestFit="1" customWidth="1"/>
    <col min="11270" max="11270" width="20.125" style="17" bestFit="1" customWidth="1"/>
    <col min="11271" max="11271" width="8" style="17" customWidth="1"/>
    <col min="11272" max="11272" width="14.25" style="17" customWidth="1"/>
    <col min="11273" max="11273" width="15.125" style="17" bestFit="1" customWidth="1"/>
    <col min="11274" max="11274" width="23.375" style="17" customWidth="1"/>
    <col min="11275" max="11520" width="9" style="17"/>
    <col min="11521" max="11521" width="9.375" style="17" customWidth="1"/>
    <col min="11522" max="11522" width="21.625" style="17" bestFit="1" customWidth="1"/>
    <col min="11523" max="11523" width="13.375" style="17" customWidth="1"/>
    <col min="11524" max="11524" width="41.25" style="17" bestFit="1" customWidth="1"/>
    <col min="11525" max="11525" width="41.125" style="17" bestFit="1" customWidth="1"/>
    <col min="11526" max="11526" width="20.125" style="17" bestFit="1" customWidth="1"/>
    <col min="11527" max="11527" width="8" style="17" customWidth="1"/>
    <col min="11528" max="11528" width="14.25" style="17" customWidth="1"/>
    <col min="11529" max="11529" width="15.125" style="17" bestFit="1" customWidth="1"/>
    <col min="11530" max="11530" width="23.375" style="17" customWidth="1"/>
    <col min="11531" max="11776" width="9" style="17"/>
    <col min="11777" max="11777" width="9.375" style="17" customWidth="1"/>
    <col min="11778" max="11778" width="21.625" style="17" bestFit="1" customWidth="1"/>
    <col min="11779" max="11779" width="13.375" style="17" customWidth="1"/>
    <col min="11780" max="11780" width="41.25" style="17" bestFit="1" customWidth="1"/>
    <col min="11781" max="11781" width="41.125" style="17" bestFit="1" customWidth="1"/>
    <col min="11782" max="11782" width="20.125" style="17" bestFit="1" customWidth="1"/>
    <col min="11783" max="11783" width="8" style="17" customWidth="1"/>
    <col min="11784" max="11784" width="14.25" style="17" customWidth="1"/>
    <col min="11785" max="11785" width="15.125" style="17" bestFit="1" customWidth="1"/>
    <col min="11786" max="11786" width="23.375" style="17" customWidth="1"/>
    <col min="11787" max="12032" width="9" style="17"/>
    <col min="12033" max="12033" width="9.375" style="17" customWidth="1"/>
    <col min="12034" max="12034" width="21.625" style="17" bestFit="1" customWidth="1"/>
    <col min="12035" max="12035" width="13.375" style="17" customWidth="1"/>
    <col min="12036" max="12036" width="41.25" style="17" bestFit="1" customWidth="1"/>
    <col min="12037" max="12037" width="41.125" style="17" bestFit="1" customWidth="1"/>
    <col min="12038" max="12038" width="20.125" style="17" bestFit="1" customWidth="1"/>
    <col min="12039" max="12039" width="8" style="17" customWidth="1"/>
    <col min="12040" max="12040" width="14.25" style="17" customWidth="1"/>
    <col min="12041" max="12041" width="15.125" style="17" bestFit="1" customWidth="1"/>
    <col min="12042" max="12042" width="23.375" style="17" customWidth="1"/>
    <col min="12043" max="12288" width="9" style="17"/>
    <col min="12289" max="12289" width="9.375" style="17" customWidth="1"/>
    <col min="12290" max="12290" width="21.625" style="17" bestFit="1" customWidth="1"/>
    <col min="12291" max="12291" width="13.375" style="17" customWidth="1"/>
    <col min="12292" max="12292" width="41.25" style="17" bestFit="1" customWidth="1"/>
    <col min="12293" max="12293" width="41.125" style="17" bestFit="1" customWidth="1"/>
    <col min="12294" max="12294" width="20.125" style="17" bestFit="1" customWidth="1"/>
    <col min="12295" max="12295" width="8" style="17" customWidth="1"/>
    <col min="12296" max="12296" width="14.25" style="17" customWidth="1"/>
    <col min="12297" max="12297" width="15.125" style="17" bestFit="1" customWidth="1"/>
    <col min="12298" max="12298" width="23.375" style="17" customWidth="1"/>
    <col min="12299" max="12544" width="9" style="17"/>
    <col min="12545" max="12545" width="9.375" style="17" customWidth="1"/>
    <col min="12546" max="12546" width="21.625" style="17" bestFit="1" customWidth="1"/>
    <col min="12547" max="12547" width="13.375" style="17" customWidth="1"/>
    <col min="12548" max="12548" width="41.25" style="17" bestFit="1" customWidth="1"/>
    <col min="12549" max="12549" width="41.125" style="17" bestFit="1" customWidth="1"/>
    <col min="12550" max="12550" width="20.125" style="17" bestFit="1" customWidth="1"/>
    <col min="12551" max="12551" width="8" style="17" customWidth="1"/>
    <col min="12552" max="12552" width="14.25" style="17" customWidth="1"/>
    <col min="12553" max="12553" width="15.125" style="17" bestFit="1" customWidth="1"/>
    <col min="12554" max="12554" width="23.375" style="17" customWidth="1"/>
    <col min="12555" max="12800" width="9" style="17"/>
    <col min="12801" max="12801" width="9.375" style="17" customWidth="1"/>
    <col min="12802" max="12802" width="21.625" style="17" bestFit="1" customWidth="1"/>
    <col min="12803" max="12803" width="13.375" style="17" customWidth="1"/>
    <col min="12804" max="12804" width="41.25" style="17" bestFit="1" customWidth="1"/>
    <col min="12805" max="12805" width="41.125" style="17" bestFit="1" customWidth="1"/>
    <col min="12806" max="12806" width="20.125" style="17" bestFit="1" customWidth="1"/>
    <col min="12807" max="12807" width="8" style="17" customWidth="1"/>
    <col min="12808" max="12808" width="14.25" style="17" customWidth="1"/>
    <col min="12809" max="12809" width="15.125" style="17" bestFit="1" customWidth="1"/>
    <col min="12810" max="12810" width="23.375" style="17" customWidth="1"/>
    <col min="12811" max="13056" width="9" style="17"/>
    <col min="13057" max="13057" width="9.375" style="17" customWidth="1"/>
    <col min="13058" max="13058" width="21.625" style="17" bestFit="1" customWidth="1"/>
    <col min="13059" max="13059" width="13.375" style="17" customWidth="1"/>
    <col min="13060" max="13060" width="41.25" style="17" bestFit="1" customWidth="1"/>
    <col min="13061" max="13061" width="41.125" style="17" bestFit="1" customWidth="1"/>
    <col min="13062" max="13062" width="20.125" style="17" bestFit="1" customWidth="1"/>
    <col min="13063" max="13063" width="8" style="17" customWidth="1"/>
    <col min="13064" max="13064" width="14.25" style="17" customWidth="1"/>
    <col min="13065" max="13065" width="15.125" style="17" bestFit="1" customWidth="1"/>
    <col min="13066" max="13066" width="23.375" style="17" customWidth="1"/>
    <col min="13067" max="13312" width="9" style="17"/>
    <col min="13313" max="13313" width="9.375" style="17" customWidth="1"/>
    <col min="13314" max="13314" width="21.625" style="17" bestFit="1" customWidth="1"/>
    <col min="13315" max="13315" width="13.375" style="17" customWidth="1"/>
    <col min="13316" max="13316" width="41.25" style="17" bestFit="1" customWidth="1"/>
    <col min="13317" max="13317" width="41.125" style="17" bestFit="1" customWidth="1"/>
    <col min="13318" max="13318" width="20.125" style="17" bestFit="1" customWidth="1"/>
    <col min="13319" max="13319" width="8" style="17" customWidth="1"/>
    <col min="13320" max="13320" width="14.25" style="17" customWidth="1"/>
    <col min="13321" max="13321" width="15.125" style="17" bestFit="1" customWidth="1"/>
    <col min="13322" max="13322" width="23.375" style="17" customWidth="1"/>
    <col min="13323" max="13568" width="9" style="17"/>
    <col min="13569" max="13569" width="9.375" style="17" customWidth="1"/>
    <col min="13570" max="13570" width="21.625" style="17" bestFit="1" customWidth="1"/>
    <col min="13571" max="13571" width="13.375" style="17" customWidth="1"/>
    <col min="13572" max="13572" width="41.25" style="17" bestFit="1" customWidth="1"/>
    <col min="13573" max="13573" width="41.125" style="17" bestFit="1" customWidth="1"/>
    <col min="13574" max="13574" width="20.125" style="17" bestFit="1" customWidth="1"/>
    <col min="13575" max="13575" width="8" style="17" customWidth="1"/>
    <col min="13576" max="13576" width="14.25" style="17" customWidth="1"/>
    <col min="13577" max="13577" width="15.125" style="17" bestFit="1" customWidth="1"/>
    <col min="13578" max="13578" width="23.375" style="17" customWidth="1"/>
    <col min="13579" max="13824" width="9" style="17"/>
    <col min="13825" max="13825" width="9.375" style="17" customWidth="1"/>
    <col min="13826" max="13826" width="21.625" style="17" bestFit="1" customWidth="1"/>
    <col min="13827" max="13827" width="13.375" style="17" customWidth="1"/>
    <col min="13828" max="13828" width="41.25" style="17" bestFit="1" customWidth="1"/>
    <col min="13829" max="13829" width="41.125" style="17" bestFit="1" customWidth="1"/>
    <col min="13830" max="13830" width="20.125" style="17" bestFit="1" customWidth="1"/>
    <col min="13831" max="13831" width="8" style="17" customWidth="1"/>
    <col min="13832" max="13832" width="14.25" style="17" customWidth="1"/>
    <col min="13833" max="13833" width="15.125" style="17" bestFit="1" customWidth="1"/>
    <col min="13834" max="13834" width="23.375" style="17" customWidth="1"/>
    <col min="13835" max="14080" width="9" style="17"/>
    <col min="14081" max="14081" width="9.375" style="17" customWidth="1"/>
    <col min="14082" max="14082" width="21.625" style="17" bestFit="1" customWidth="1"/>
    <col min="14083" max="14083" width="13.375" style="17" customWidth="1"/>
    <col min="14084" max="14084" width="41.25" style="17" bestFit="1" customWidth="1"/>
    <col min="14085" max="14085" width="41.125" style="17" bestFit="1" customWidth="1"/>
    <col min="14086" max="14086" width="20.125" style="17" bestFit="1" customWidth="1"/>
    <col min="14087" max="14087" width="8" style="17" customWidth="1"/>
    <col min="14088" max="14088" width="14.25" style="17" customWidth="1"/>
    <col min="14089" max="14089" width="15.125" style="17" bestFit="1" customWidth="1"/>
    <col min="14090" max="14090" width="23.375" style="17" customWidth="1"/>
    <col min="14091" max="14336" width="9" style="17"/>
    <col min="14337" max="14337" width="9.375" style="17" customWidth="1"/>
    <col min="14338" max="14338" width="21.625" style="17" bestFit="1" customWidth="1"/>
    <col min="14339" max="14339" width="13.375" style="17" customWidth="1"/>
    <col min="14340" max="14340" width="41.25" style="17" bestFit="1" customWidth="1"/>
    <col min="14341" max="14341" width="41.125" style="17" bestFit="1" customWidth="1"/>
    <col min="14342" max="14342" width="20.125" style="17" bestFit="1" customWidth="1"/>
    <col min="14343" max="14343" width="8" style="17" customWidth="1"/>
    <col min="14344" max="14344" width="14.25" style="17" customWidth="1"/>
    <col min="14345" max="14345" width="15.125" style="17" bestFit="1" customWidth="1"/>
    <col min="14346" max="14346" width="23.375" style="17" customWidth="1"/>
    <col min="14347" max="14592" width="9" style="17"/>
    <col min="14593" max="14593" width="9.375" style="17" customWidth="1"/>
    <col min="14594" max="14594" width="21.625" style="17" bestFit="1" customWidth="1"/>
    <col min="14595" max="14595" width="13.375" style="17" customWidth="1"/>
    <col min="14596" max="14596" width="41.25" style="17" bestFit="1" customWidth="1"/>
    <col min="14597" max="14597" width="41.125" style="17" bestFit="1" customWidth="1"/>
    <col min="14598" max="14598" width="20.125" style="17" bestFit="1" customWidth="1"/>
    <col min="14599" max="14599" width="8" style="17" customWidth="1"/>
    <col min="14600" max="14600" width="14.25" style="17" customWidth="1"/>
    <col min="14601" max="14601" width="15.125" style="17" bestFit="1" customWidth="1"/>
    <col min="14602" max="14602" width="23.375" style="17" customWidth="1"/>
    <col min="14603" max="14848" width="9" style="17"/>
    <col min="14849" max="14849" width="9.375" style="17" customWidth="1"/>
    <col min="14850" max="14850" width="21.625" style="17" bestFit="1" customWidth="1"/>
    <col min="14851" max="14851" width="13.375" style="17" customWidth="1"/>
    <col min="14852" max="14852" width="41.25" style="17" bestFit="1" customWidth="1"/>
    <col min="14853" max="14853" width="41.125" style="17" bestFit="1" customWidth="1"/>
    <col min="14854" max="14854" width="20.125" style="17" bestFit="1" customWidth="1"/>
    <col min="14855" max="14855" width="8" style="17" customWidth="1"/>
    <col min="14856" max="14856" width="14.25" style="17" customWidth="1"/>
    <col min="14857" max="14857" width="15.125" style="17" bestFit="1" customWidth="1"/>
    <col min="14858" max="14858" width="23.375" style="17" customWidth="1"/>
    <col min="14859" max="15104" width="9" style="17"/>
    <col min="15105" max="15105" width="9.375" style="17" customWidth="1"/>
    <col min="15106" max="15106" width="21.625" style="17" bestFit="1" customWidth="1"/>
    <col min="15107" max="15107" width="13.375" style="17" customWidth="1"/>
    <col min="15108" max="15108" width="41.25" style="17" bestFit="1" customWidth="1"/>
    <col min="15109" max="15109" width="41.125" style="17" bestFit="1" customWidth="1"/>
    <col min="15110" max="15110" width="20.125" style="17" bestFit="1" customWidth="1"/>
    <col min="15111" max="15111" width="8" style="17" customWidth="1"/>
    <col min="15112" max="15112" width="14.25" style="17" customWidth="1"/>
    <col min="15113" max="15113" width="15.125" style="17" bestFit="1" customWidth="1"/>
    <col min="15114" max="15114" width="23.375" style="17" customWidth="1"/>
    <col min="15115" max="15360" width="9" style="17"/>
    <col min="15361" max="15361" width="9.375" style="17" customWidth="1"/>
    <col min="15362" max="15362" width="21.625" style="17" bestFit="1" customWidth="1"/>
    <col min="15363" max="15363" width="13.375" style="17" customWidth="1"/>
    <col min="15364" max="15364" width="41.25" style="17" bestFit="1" customWidth="1"/>
    <col min="15365" max="15365" width="41.125" style="17" bestFit="1" customWidth="1"/>
    <col min="15366" max="15366" width="20.125" style="17" bestFit="1" customWidth="1"/>
    <col min="15367" max="15367" width="8" style="17" customWidth="1"/>
    <col min="15368" max="15368" width="14.25" style="17" customWidth="1"/>
    <col min="15369" max="15369" width="15.125" style="17" bestFit="1" customWidth="1"/>
    <col min="15370" max="15370" width="23.375" style="17" customWidth="1"/>
    <col min="15371" max="15616" width="9" style="17"/>
    <col min="15617" max="15617" width="9.375" style="17" customWidth="1"/>
    <col min="15618" max="15618" width="21.625" style="17" bestFit="1" customWidth="1"/>
    <col min="15619" max="15619" width="13.375" style="17" customWidth="1"/>
    <col min="15620" max="15620" width="41.25" style="17" bestFit="1" customWidth="1"/>
    <col min="15621" max="15621" width="41.125" style="17" bestFit="1" customWidth="1"/>
    <col min="15622" max="15622" width="20.125" style="17" bestFit="1" customWidth="1"/>
    <col min="15623" max="15623" width="8" style="17" customWidth="1"/>
    <col min="15624" max="15624" width="14.25" style="17" customWidth="1"/>
    <col min="15625" max="15625" width="15.125" style="17" bestFit="1" customWidth="1"/>
    <col min="15626" max="15626" width="23.375" style="17" customWidth="1"/>
    <col min="15627" max="15872" width="9" style="17"/>
    <col min="15873" max="15873" width="9.375" style="17" customWidth="1"/>
    <col min="15874" max="15874" width="21.625" style="17" bestFit="1" customWidth="1"/>
    <col min="15875" max="15875" width="13.375" style="17" customWidth="1"/>
    <col min="15876" max="15876" width="41.25" style="17" bestFit="1" customWidth="1"/>
    <col min="15877" max="15877" width="41.125" style="17" bestFit="1" customWidth="1"/>
    <col min="15878" max="15878" width="20.125" style="17" bestFit="1" customWidth="1"/>
    <col min="15879" max="15879" width="8" style="17" customWidth="1"/>
    <col min="15880" max="15880" width="14.25" style="17" customWidth="1"/>
    <col min="15881" max="15881" width="15.125" style="17" bestFit="1" customWidth="1"/>
    <col min="15882" max="15882" width="23.375" style="17" customWidth="1"/>
    <col min="15883" max="16128" width="9" style="17"/>
    <col min="16129" max="16129" width="9.375" style="17" customWidth="1"/>
    <col min="16130" max="16130" width="21.625" style="17" bestFit="1" customWidth="1"/>
    <col min="16131" max="16131" width="13.375" style="17" customWidth="1"/>
    <col min="16132" max="16132" width="41.25" style="17" bestFit="1" customWidth="1"/>
    <col min="16133" max="16133" width="41.125" style="17" bestFit="1" customWidth="1"/>
    <col min="16134" max="16134" width="20.125" style="17" bestFit="1" customWidth="1"/>
    <col min="16135" max="16135" width="8" style="17" customWidth="1"/>
    <col min="16136" max="16136" width="14.25" style="17" customWidth="1"/>
    <col min="16137" max="16137" width="15.125" style="17" bestFit="1" customWidth="1"/>
    <col min="16138" max="16138" width="23.375" style="17" customWidth="1"/>
    <col min="16139" max="16384" width="9" style="17"/>
  </cols>
  <sheetData>
    <row r="1" spans="1:14" ht="33.75" customHeight="1">
      <c r="A1" s="333" t="s">
        <v>301</v>
      </c>
      <c r="B1" s="334"/>
      <c r="C1" s="334"/>
      <c r="D1" s="334"/>
      <c r="E1" s="334"/>
      <c r="F1" s="334"/>
      <c r="G1" s="334"/>
      <c r="H1" s="334"/>
      <c r="I1" s="334"/>
      <c r="J1" s="335"/>
    </row>
    <row r="2" spans="1:14" s="154" customFormat="1" ht="19.5" customHeight="1">
      <c r="A2" s="336" t="s">
        <v>294</v>
      </c>
      <c r="B2" s="337" t="s">
        <v>287</v>
      </c>
      <c r="C2" s="336" t="s">
        <v>251</v>
      </c>
      <c r="D2" s="336" t="s">
        <v>252</v>
      </c>
      <c r="E2" s="339" t="s">
        <v>295</v>
      </c>
      <c r="F2" s="336" t="s">
        <v>280</v>
      </c>
      <c r="G2" s="340" t="s">
        <v>296</v>
      </c>
      <c r="H2" s="341" t="s">
        <v>289</v>
      </c>
      <c r="I2" s="153" t="s">
        <v>290</v>
      </c>
      <c r="J2" s="336" t="s">
        <v>291</v>
      </c>
    </row>
    <row r="3" spans="1:14" s="154" customFormat="1" ht="19.5" customHeight="1">
      <c r="A3" s="336"/>
      <c r="B3" s="338"/>
      <c r="C3" s="336"/>
      <c r="D3" s="336"/>
      <c r="E3" s="339"/>
      <c r="F3" s="336"/>
      <c r="G3" s="340"/>
      <c r="H3" s="341"/>
      <c r="I3" s="149">
        <f>ROUND(SUM(I4:I66),)</f>
        <v>2325791</v>
      </c>
      <c r="J3" s="336"/>
      <c r="L3" s="155" t="s">
        <v>248</v>
      </c>
    </row>
    <row r="4" spans="1:14" s="160" customFormat="1" ht="15" customHeight="1">
      <c r="A4" s="156">
        <f t="shared" ref="A4:A56" si="0">ROW()-3</f>
        <v>1</v>
      </c>
      <c r="B4" s="157">
        <v>46155</v>
      </c>
      <c r="C4" s="156" t="s">
        <v>813</v>
      </c>
      <c r="D4" s="156" t="s">
        <v>732</v>
      </c>
      <c r="E4" s="156" t="s">
        <v>733</v>
      </c>
      <c r="F4" s="156" t="s">
        <v>734</v>
      </c>
      <c r="G4" s="158">
        <v>10</v>
      </c>
      <c r="H4" s="159">
        <v>8000</v>
      </c>
      <c r="I4" s="159">
        <v>80000</v>
      </c>
      <c r="J4" s="156"/>
      <c r="L4" s="161" t="s">
        <v>297</v>
      </c>
    </row>
    <row r="5" spans="1:14" s="160" customFormat="1" ht="15" customHeight="1">
      <c r="A5" s="156">
        <f t="shared" si="0"/>
        <v>2</v>
      </c>
      <c r="B5" s="157">
        <v>46155</v>
      </c>
      <c r="C5" s="156" t="s">
        <v>813</v>
      </c>
      <c r="D5" s="156" t="s">
        <v>732</v>
      </c>
      <c r="E5" s="156" t="s">
        <v>735</v>
      </c>
      <c r="F5" s="156" t="s">
        <v>734</v>
      </c>
      <c r="G5" s="158">
        <v>5</v>
      </c>
      <c r="H5" s="159">
        <v>12272.727272727272</v>
      </c>
      <c r="I5" s="159">
        <v>61363.63636363636</v>
      </c>
      <c r="J5" s="156"/>
      <c r="L5" s="161" t="s">
        <v>287</v>
      </c>
    </row>
    <row r="6" spans="1:14" s="160" customFormat="1" ht="15" customHeight="1">
      <c r="A6" s="156">
        <f t="shared" si="0"/>
        <v>3</v>
      </c>
      <c r="B6" s="157">
        <v>46164</v>
      </c>
      <c r="C6" s="156" t="s">
        <v>813</v>
      </c>
      <c r="D6" s="156" t="s">
        <v>736</v>
      </c>
      <c r="E6" s="156" t="s">
        <v>737</v>
      </c>
      <c r="F6" s="156" t="s">
        <v>734</v>
      </c>
      <c r="G6" s="158">
        <v>3</v>
      </c>
      <c r="H6" s="159">
        <v>9090.9090909090901</v>
      </c>
      <c r="I6" s="159">
        <v>27272.727272727272</v>
      </c>
      <c r="J6" s="156"/>
      <c r="L6" s="161" t="s">
        <v>251</v>
      </c>
    </row>
    <row r="7" spans="1:14" s="160" customFormat="1" ht="15" customHeight="1">
      <c r="A7" s="156">
        <f t="shared" si="0"/>
        <v>4</v>
      </c>
      <c r="B7" s="157">
        <v>46170</v>
      </c>
      <c r="C7" s="156" t="s">
        <v>813</v>
      </c>
      <c r="D7" s="156" t="s">
        <v>736</v>
      </c>
      <c r="E7" s="156" t="s">
        <v>737</v>
      </c>
      <c r="F7" s="156" t="s">
        <v>734</v>
      </c>
      <c r="G7" s="158">
        <v>2</v>
      </c>
      <c r="H7" s="159">
        <v>9545.4545454545441</v>
      </c>
      <c r="I7" s="159">
        <v>19090.909090909088</v>
      </c>
      <c r="J7" s="248"/>
      <c r="L7" s="161" t="s">
        <v>252</v>
      </c>
    </row>
    <row r="8" spans="1:14" s="160" customFormat="1" ht="15" customHeight="1">
      <c r="A8" s="156">
        <f t="shared" si="0"/>
        <v>5</v>
      </c>
      <c r="B8" s="157">
        <v>46170</v>
      </c>
      <c r="C8" s="156" t="s">
        <v>813</v>
      </c>
      <c r="D8" s="156" t="s">
        <v>738</v>
      </c>
      <c r="E8" s="156" t="s">
        <v>739</v>
      </c>
      <c r="F8" s="156" t="s">
        <v>740</v>
      </c>
      <c r="G8" s="158">
        <v>50</v>
      </c>
      <c r="H8" s="159">
        <v>1800</v>
      </c>
      <c r="I8" s="159">
        <v>90000</v>
      </c>
      <c r="J8" s="248"/>
      <c r="L8" s="161" t="s">
        <v>295</v>
      </c>
    </row>
    <row r="9" spans="1:14" s="160" customFormat="1" ht="15" customHeight="1">
      <c r="A9" s="156">
        <f t="shared" si="0"/>
        <v>6</v>
      </c>
      <c r="B9" s="157">
        <v>46148</v>
      </c>
      <c r="C9" s="156" t="s">
        <v>813</v>
      </c>
      <c r="D9" s="156" t="s">
        <v>741</v>
      </c>
      <c r="E9" s="156" t="s">
        <v>742</v>
      </c>
      <c r="F9" s="156" t="s">
        <v>723</v>
      </c>
      <c r="G9" s="158">
        <v>5</v>
      </c>
      <c r="H9" s="159">
        <v>1400</v>
      </c>
      <c r="I9" s="159">
        <v>7000</v>
      </c>
      <c r="J9" s="156"/>
      <c r="L9" s="161" t="s">
        <v>298</v>
      </c>
    </row>
    <row r="10" spans="1:14" s="160" customFormat="1" ht="15" customHeight="1">
      <c r="A10" s="156">
        <f t="shared" si="0"/>
        <v>7</v>
      </c>
      <c r="B10" s="157">
        <v>46148</v>
      </c>
      <c r="C10" s="156" t="s">
        <v>813</v>
      </c>
      <c r="D10" s="156" t="s">
        <v>741</v>
      </c>
      <c r="E10" s="156" t="s">
        <v>743</v>
      </c>
      <c r="F10" s="156" t="s">
        <v>723</v>
      </c>
      <c r="G10" s="158">
        <v>5</v>
      </c>
      <c r="H10" s="159">
        <v>1400</v>
      </c>
      <c r="I10" s="159">
        <v>7000</v>
      </c>
      <c r="J10" s="156"/>
      <c r="L10" s="161" t="s">
        <v>299</v>
      </c>
    </row>
    <row r="11" spans="1:14" s="160" customFormat="1" ht="15" customHeight="1">
      <c r="A11" s="156">
        <f t="shared" si="0"/>
        <v>8</v>
      </c>
      <c r="B11" s="157">
        <v>46149</v>
      </c>
      <c r="C11" s="156" t="s">
        <v>814</v>
      </c>
      <c r="D11" s="156" t="s">
        <v>744</v>
      </c>
      <c r="E11" s="156" t="s">
        <v>745</v>
      </c>
      <c r="F11" s="156" t="s">
        <v>723</v>
      </c>
      <c r="G11" s="158">
        <v>2</v>
      </c>
      <c r="H11" s="159">
        <v>6000</v>
      </c>
      <c r="I11" s="159">
        <v>12000</v>
      </c>
      <c r="J11" s="156"/>
      <c r="L11" s="161" t="s">
        <v>289</v>
      </c>
    </row>
    <row r="12" spans="1:14" s="160" customFormat="1" ht="15" customHeight="1">
      <c r="A12" s="156">
        <f t="shared" si="0"/>
        <v>9</v>
      </c>
      <c r="B12" s="157">
        <v>46149</v>
      </c>
      <c r="C12" s="156" t="s">
        <v>814</v>
      </c>
      <c r="D12" s="156" t="s">
        <v>746</v>
      </c>
      <c r="E12" s="156" t="s">
        <v>747</v>
      </c>
      <c r="F12" s="156" t="s">
        <v>723</v>
      </c>
      <c r="G12" s="158">
        <v>2</v>
      </c>
      <c r="H12" s="159">
        <v>3500</v>
      </c>
      <c r="I12" s="159">
        <v>7000</v>
      </c>
      <c r="J12" s="156"/>
      <c r="L12" s="161"/>
    </row>
    <row r="13" spans="1:14" s="160" customFormat="1" ht="15" customHeight="1">
      <c r="A13" s="156">
        <f t="shared" si="0"/>
        <v>10</v>
      </c>
      <c r="B13" s="157">
        <v>46149</v>
      </c>
      <c r="C13" s="156" t="s">
        <v>813</v>
      </c>
      <c r="D13" s="156" t="s">
        <v>748</v>
      </c>
      <c r="E13" s="156" t="s">
        <v>749</v>
      </c>
      <c r="F13" s="156" t="s">
        <v>723</v>
      </c>
      <c r="G13" s="158">
        <v>30</v>
      </c>
      <c r="H13" s="159">
        <v>500</v>
      </c>
      <c r="I13" s="159">
        <v>15000</v>
      </c>
      <c r="J13" s="156"/>
      <c r="N13" s="161" t="s">
        <v>300</v>
      </c>
    </row>
    <row r="14" spans="1:14" s="160" customFormat="1" ht="15" customHeight="1">
      <c r="A14" s="156">
        <f t="shared" si="0"/>
        <v>11</v>
      </c>
      <c r="B14" s="157">
        <v>46149</v>
      </c>
      <c r="C14" s="156" t="s">
        <v>813</v>
      </c>
      <c r="D14" s="156" t="s">
        <v>750</v>
      </c>
      <c r="E14" s="156" t="s">
        <v>751</v>
      </c>
      <c r="F14" s="156" t="s">
        <v>723</v>
      </c>
      <c r="G14" s="158">
        <v>1</v>
      </c>
      <c r="H14" s="159">
        <v>30000</v>
      </c>
      <c r="I14" s="159">
        <v>30000</v>
      </c>
      <c r="J14" s="156"/>
      <c r="L14" s="161"/>
    </row>
    <row r="15" spans="1:14" s="160" customFormat="1" ht="15" customHeight="1">
      <c r="A15" s="156">
        <f t="shared" si="0"/>
        <v>12</v>
      </c>
      <c r="B15" s="157">
        <v>46153</v>
      </c>
      <c r="C15" s="156" t="s">
        <v>813</v>
      </c>
      <c r="D15" s="156" t="s">
        <v>752</v>
      </c>
      <c r="E15" s="156" t="s">
        <v>753</v>
      </c>
      <c r="F15" s="156" t="s">
        <v>723</v>
      </c>
      <c r="G15" s="158">
        <v>3</v>
      </c>
      <c r="H15" s="159">
        <v>24400</v>
      </c>
      <c r="I15" s="159">
        <v>73200</v>
      </c>
      <c r="J15" s="156"/>
      <c r="L15" s="161"/>
    </row>
    <row r="16" spans="1:14" s="160" customFormat="1" ht="15" customHeight="1">
      <c r="A16" s="156">
        <f t="shared" si="0"/>
        <v>13</v>
      </c>
      <c r="B16" s="157">
        <v>46153</v>
      </c>
      <c r="C16" s="156" t="s">
        <v>813</v>
      </c>
      <c r="D16" s="156" t="s">
        <v>754</v>
      </c>
      <c r="E16" s="156" t="s">
        <v>755</v>
      </c>
      <c r="F16" s="156" t="s">
        <v>723</v>
      </c>
      <c r="G16" s="158">
        <v>8</v>
      </c>
      <c r="H16" s="159">
        <v>2700</v>
      </c>
      <c r="I16" s="159">
        <v>21600</v>
      </c>
      <c r="J16" s="156"/>
      <c r="L16" s="161"/>
    </row>
    <row r="17" spans="1:12" s="160" customFormat="1" ht="15" customHeight="1">
      <c r="A17" s="156">
        <f t="shared" si="0"/>
        <v>14</v>
      </c>
      <c r="B17" s="157">
        <v>46153</v>
      </c>
      <c r="C17" s="156" t="s">
        <v>813</v>
      </c>
      <c r="D17" s="156" t="s">
        <v>756</v>
      </c>
      <c r="E17" s="156" t="s">
        <v>757</v>
      </c>
      <c r="F17" s="156" t="s">
        <v>723</v>
      </c>
      <c r="G17" s="158">
        <v>2</v>
      </c>
      <c r="H17" s="159">
        <v>8700</v>
      </c>
      <c r="I17" s="159">
        <v>17400</v>
      </c>
      <c r="J17" s="156"/>
      <c r="L17" s="161"/>
    </row>
    <row r="18" spans="1:12" s="160" customFormat="1" ht="15" customHeight="1">
      <c r="A18" s="156">
        <f t="shared" si="0"/>
        <v>15</v>
      </c>
      <c r="B18" s="157">
        <v>46154</v>
      </c>
      <c r="C18" s="156" t="s">
        <v>813</v>
      </c>
      <c r="D18" s="156" t="s">
        <v>758</v>
      </c>
      <c r="E18" s="156" t="s">
        <v>759</v>
      </c>
      <c r="F18" s="156" t="s">
        <v>723</v>
      </c>
      <c r="G18" s="158">
        <v>3</v>
      </c>
      <c r="H18" s="159">
        <v>10000</v>
      </c>
      <c r="I18" s="159">
        <v>30000</v>
      </c>
      <c r="J18" s="156"/>
      <c r="L18" s="161"/>
    </row>
    <row r="19" spans="1:12" s="160" customFormat="1" ht="15" customHeight="1">
      <c r="A19" s="156">
        <f t="shared" si="0"/>
        <v>16</v>
      </c>
      <c r="B19" s="157">
        <v>46154</v>
      </c>
      <c r="C19" s="156" t="s">
        <v>813</v>
      </c>
      <c r="D19" s="156" t="s">
        <v>758</v>
      </c>
      <c r="E19" s="156" t="s">
        <v>760</v>
      </c>
      <c r="F19" s="156" t="s">
        <v>723</v>
      </c>
      <c r="G19" s="158">
        <v>6</v>
      </c>
      <c r="H19" s="159">
        <v>8400</v>
      </c>
      <c r="I19" s="159">
        <v>50400</v>
      </c>
      <c r="J19" s="156"/>
      <c r="L19" s="161"/>
    </row>
    <row r="20" spans="1:12" s="160" customFormat="1" ht="15" customHeight="1">
      <c r="A20" s="156">
        <f t="shared" si="0"/>
        <v>17</v>
      </c>
      <c r="B20" s="157">
        <v>46155</v>
      </c>
      <c r="C20" s="156" t="s">
        <v>813</v>
      </c>
      <c r="D20" s="156" t="s">
        <v>761</v>
      </c>
      <c r="E20" s="156" t="s">
        <v>762</v>
      </c>
      <c r="F20" s="156" t="s">
        <v>723</v>
      </c>
      <c r="G20" s="158">
        <v>100</v>
      </c>
      <c r="H20" s="159">
        <v>100</v>
      </c>
      <c r="I20" s="159">
        <v>10000</v>
      </c>
      <c r="J20" s="156"/>
      <c r="L20" s="161"/>
    </row>
    <row r="21" spans="1:12" s="160" customFormat="1" ht="15" customHeight="1">
      <c r="A21" s="156">
        <f t="shared" si="0"/>
        <v>18</v>
      </c>
      <c r="B21" s="157">
        <v>46155</v>
      </c>
      <c r="C21" s="156" t="s">
        <v>813</v>
      </c>
      <c r="D21" s="156" t="s">
        <v>763</v>
      </c>
      <c r="E21" s="156" t="s">
        <v>764</v>
      </c>
      <c r="F21" s="156" t="s">
        <v>723</v>
      </c>
      <c r="G21" s="158">
        <v>4</v>
      </c>
      <c r="H21" s="159">
        <v>4400</v>
      </c>
      <c r="I21" s="159">
        <v>17600</v>
      </c>
      <c r="J21" s="156"/>
      <c r="L21" s="161"/>
    </row>
    <row r="22" spans="1:12" s="160" customFormat="1" ht="15" customHeight="1">
      <c r="A22" s="156">
        <f t="shared" si="0"/>
        <v>19</v>
      </c>
      <c r="B22" s="157">
        <v>46155</v>
      </c>
      <c r="C22" s="156" t="s">
        <v>813</v>
      </c>
      <c r="D22" s="156" t="s">
        <v>765</v>
      </c>
      <c r="E22" s="156" t="s">
        <v>766</v>
      </c>
      <c r="F22" s="156" t="s">
        <v>723</v>
      </c>
      <c r="G22" s="158">
        <v>30</v>
      </c>
      <c r="H22" s="159">
        <v>800</v>
      </c>
      <c r="I22" s="159">
        <v>24000</v>
      </c>
      <c r="J22" s="156"/>
      <c r="L22" s="161"/>
    </row>
    <row r="23" spans="1:12" s="160" customFormat="1" ht="15" customHeight="1">
      <c r="A23" s="156">
        <f t="shared" si="0"/>
        <v>20</v>
      </c>
      <c r="B23" s="157">
        <v>46156</v>
      </c>
      <c r="C23" s="156" t="s">
        <v>813</v>
      </c>
      <c r="D23" s="156" t="s">
        <v>750</v>
      </c>
      <c r="E23" s="156" t="s">
        <v>767</v>
      </c>
      <c r="F23" s="156" t="s">
        <v>723</v>
      </c>
      <c r="G23" s="158">
        <v>3</v>
      </c>
      <c r="H23" s="159">
        <v>19000</v>
      </c>
      <c r="I23" s="159">
        <v>57000</v>
      </c>
      <c r="J23" s="156"/>
      <c r="L23" s="161"/>
    </row>
    <row r="24" spans="1:12" s="160" customFormat="1" ht="15" customHeight="1">
      <c r="A24" s="156">
        <f t="shared" si="0"/>
        <v>21</v>
      </c>
      <c r="B24" s="157">
        <v>46156</v>
      </c>
      <c r="C24" s="156" t="s">
        <v>813</v>
      </c>
      <c r="D24" s="156" t="s">
        <v>768</v>
      </c>
      <c r="E24" s="156" t="s">
        <v>769</v>
      </c>
      <c r="F24" s="156" t="s">
        <v>723</v>
      </c>
      <c r="G24" s="158">
        <v>10</v>
      </c>
      <c r="H24" s="159">
        <v>9500</v>
      </c>
      <c r="I24" s="159">
        <v>95000</v>
      </c>
      <c r="J24" s="156"/>
      <c r="L24" s="161"/>
    </row>
    <row r="25" spans="1:12" s="160" customFormat="1" ht="15" customHeight="1">
      <c r="A25" s="156">
        <f t="shared" si="0"/>
        <v>22</v>
      </c>
      <c r="B25" s="157">
        <v>46157</v>
      </c>
      <c r="C25" s="156" t="s">
        <v>813</v>
      </c>
      <c r="D25" s="156" t="s">
        <v>754</v>
      </c>
      <c r="E25" s="156" t="s">
        <v>755</v>
      </c>
      <c r="F25" s="156" t="s">
        <v>723</v>
      </c>
      <c r="G25" s="158">
        <v>10</v>
      </c>
      <c r="H25" s="159">
        <v>2500</v>
      </c>
      <c r="I25" s="159">
        <v>25000</v>
      </c>
      <c r="J25" s="156"/>
      <c r="L25" s="161"/>
    </row>
    <row r="26" spans="1:12" s="160" customFormat="1" ht="15" customHeight="1">
      <c r="A26" s="156">
        <f t="shared" si="0"/>
        <v>23</v>
      </c>
      <c r="B26" s="157">
        <v>46157</v>
      </c>
      <c r="C26" s="156" t="s">
        <v>813</v>
      </c>
      <c r="D26" s="156" t="s">
        <v>750</v>
      </c>
      <c r="E26" s="156" t="s">
        <v>770</v>
      </c>
      <c r="F26" s="156" t="s">
        <v>723</v>
      </c>
      <c r="G26" s="158">
        <v>5</v>
      </c>
      <c r="H26" s="159">
        <v>14500</v>
      </c>
      <c r="I26" s="159">
        <v>72500</v>
      </c>
      <c r="J26" s="156"/>
      <c r="L26" s="161"/>
    </row>
    <row r="27" spans="1:12" s="160" customFormat="1" ht="15" customHeight="1">
      <c r="A27" s="156">
        <f t="shared" si="0"/>
        <v>24</v>
      </c>
      <c r="B27" s="157">
        <v>46157</v>
      </c>
      <c r="C27" s="156" t="s">
        <v>813</v>
      </c>
      <c r="D27" s="156" t="s">
        <v>750</v>
      </c>
      <c r="E27" s="156" t="s">
        <v>767</v>
      </c>
      <c r="F27" s="156" t="s">
        <v>723</v>
      </c>
      <c r="G27" s="158">
        <v>10</v>
      </c>
      <c r="H27" s="159">
        <v>19000</v>
      </c>
      <c r="I27" s="159">
        <v>190000</v>
      </c>
      <c r="J27" s="156"/>
      <c r="L27" s="161"/>
    </row>
    <row r="28" spans="1:12" s="160" customFormat="1" ht="15" customHeight="1">
      <c r="A28" s="156">
        <f t="shared" si="0"/>
        <v>25</v>
      </c>
      <c r="B28" s="157">
        <v>46157</v>
      </c>
      <c r="C28" s="156" t="s">
        <v>813</v>
      </c>
      <c r="D28" s="156" t="s">
        <v>771</v>
      </c>
      <c r="E28" s="156" t="s">
        <v>772</v>
      </c>
      <c r="F28" s="156" t="s">
        <v>723</v>
      </c>
      <c r="G28" s="158">
        <v>1</v>
      </c>
      <c r="H28" s="159">
        <v>10700</v>
      </c>
      <c r="I28" s="159">
        <v>10700</v>
      </c>
      <c r="J28" s="156"/>
      <c r="L28" s="161"/>
    </row>
    <row r="29" spans="1:12" s="160" customFormat="1" ht="15" customHeight="1">
      <c r="A29" s="156">
        <f t="shared" si="0"/>
        <v>26</v>
      </c>
      <c r="B29" s="157">
        <v>46160</v>
      </c>
      <c r="C29" s="156" t="s">
        <v>813</v>
      </c>
      <c r="D29" s="156" t="s">
        <v>773</v>
      </c>
      <c r="E29" s="156" t="s">
        <v>774</v>
      </c>
      <c r="F29" s="156" t="s">
        <v>723</v>
      </c>
      <c r="G29" s="158">
        <v>5</v>
      </c>
      <c r="H29" s="159">
        <v>3600</v>
      </c>
      <c r="I29" s="159">
        <v>18000</v>
      </c>
      <c r="J29" s="156"/>
      <c r="L29" s="161"/>
    </row>
    <row r="30" spans="1:12" s="160" customFormat="1" ht="15" customHeight="1">
      <c r="A30" s="156">
        <f t="shared" si="0"/>
        <v>27</v>
      </c>
      <c r="B30" s="157">
        <v>46160</v>
      </c>
      <c r="C30" s="156" t="s">
        <v>813</v>
      </c>
      <c r="D30" s="156" t="s">
        <v>758</v>
      </c>
      <c r="E30" s="156" t="s">
        <v>775</v>
      </c>
      <c r="F30" s="156" t="s">
        <v>723</v>
      </c>
      <c r="G30" s="158">
        <v>2</v>
      </c>
      <c r="H30" s="159">
        <v>45000</v>
      </c>
      <c r="I30" s="159">
        <v>90000</v>
      </c>
      <c r="J30" s="156"/>
      <c r="L30" s="161"/>
    </row>
    <row r="31" spans="1:12" s="160" customFormat="1" ht="15" customHeight="1">
      <c r="A31" s="156">
        <f t="shared" si="0"/>
        <v>28</v>
      </c>
      <c r="B31" s="157">
        <v>46160</v>
      </c>
      <c r="C31" s="156" t="s">
        <v>813</v>
      </c>
      <c r="D31" s="156" t="s">
        <v>758</v>
      </c>
      <c r="E31" s="156" t="s">
        <v>776</v>
      </c>
      <c r="F31" s="156" t="s">
        <v>723</v>
      </c>
      <c r="G31" s="158">
        <v>3</v>
      </c>
      <c r="H31" s="159">
        <v>22800</v>
      </c>
      <c r="I31" s="159">
        <v>68400</v>
      </c>
      <c r="J31" s="156"/>
      <c r="L31" s="161"/>
    </row>
    <row r="32" spans="1:12" s="160" customFormat="1" ht="15" customHeight="1">
      <c r="A32" s="156">
        <f t="shared" si="0"/>
        <v>29</v>
      </c>
      <c r="B32" s="157">
        <v>46160</v>
      </c>
      <c r="C32" s="156" t="s">
        <v>813</v>
      </c>
      <c r="D32" s="156" t="s">
        <v>758</v>
      </c>
      <c r="E32" s="156" t="s">
        <v>777</v>
      </c>
      <c r="F32" s="156" t="s">
        <v>723</v>
      </c>
      <c r="G32" s="158">
        <v>2</v>
      </c>
      <c r="H32" s="159">
        <v>34200</v>
      </c>
      <c r="I32" s="159">
        <v>68400</v>
      </c>
      <c r="J32" s="156"/>
      <c r="L32" s="161"/>
    </row>
    <row r="33" spans="1:12" s="160" customFormat="1" ht="15" customHeight="1">
      <c r="A33" s="156">
        <f t="shared" si="0"/>
        <v>30</v>
      </c>
      <c r="B33" s="157">
        <v>46161</v>
      </c>
      <c r="C33" s="156" t="s">
        <v>813</v>
      </c>
      <c r="D33" s="156" t="s">
        <v>778</v>
      </c>
      <c r="E33" s="156" t="s">
        <v>779</v>
      </c>
      <c r="F33" s="156" t="s">
        <v>723</v>
      </c>
      <c r="G33" s="158">
        <v>20</v>
      </c>
      <c r="H33" s="159">
        <v>4000</v>
      </c>
      <c r="I33" s="159">
        <v>80000</v>
      </c>
      <c r="J33" s="156"/>
      <c r="L33" s="161"/>
    </row>
    <row r="34" spans="1:12" s="160" customFormat="1" ht="15" customHeight="1">
      <c r="A34" s="156">
        <f t="shared" si="0"/>
        <v>31</v>
      </c>
      <c r="B34" s="157">
        <v>46161</v>
      </c>
      <c r="C34" s="156" t="s">
        <v>813</v>
      </c>
      <c r="D34" s="156" t="s">
        <v>780</v>
      </c>
      <c r="E34" s="156" t="s">
        <v>781</v>
      </c>
      <c r="F34" s="156" t="s">
        <v>723</v>
      </c>
      <c r="G34" s="158">
        <v>20</v>
      </c>
      <c r="H34" s="159">
        <v>2700</v>
      </c>
      <c r="I34" s="159">
        <v>54000</v>
      </c>
      <c r="J34" s="156"/>
      <c r="L34" s="161"/>
    </row>
    <row r="35" spans="1:12" s="160" customFormat="1" ht="15" customHeight="1">
      <c r="A35" s="156">
        <f t="shared" si="0"/>
        <v>32</v>
      </c>
      <c r="B35" s="157">
        <v>46161</v>
      </c>
      <c r="C35" s="156" t="s">
        <v>813</v>
      </c>
      <c r="D35" s="156" t="s">
        <v>782</v>
      </c>
      <c r="E35" s="156" t="s">
        <v>783</v>
      </c>
      <c r="F35" s="156" t="s">
        <v>723</v>
      </c>
      <c r="G35" s="158">
        <v>10</v>
      </c>
      <c r="H35" s="159">
        <v>1300</v>
      </c>
      <c r="I35" s="159">
        <v>13000</v>
      </c>
      <c r="J35" s="156"/>
      <c r="L35" s="161"/>
    </row>
    <row r="36" spans="1:12" s="160" customFormat="1" ht="15" customHeight="1">
      <c r="A36" s="156">
        <f t="shared" si="0"/>
        <v>33</v>
      </c>
      <c r="B36" s="157">
        <v>46161</v>
      </c>
      <c r="C36" s="156" t="s">
        <v>813</v>
      </c>
      <c r="D36" s="156" t="s">
        <v>782</v>
      </c>
      <c r="E36" s="156" t="s">
        <v>784</v>
      </c>
      <c r="F36" s="156" t="s">
        <v>723</v>
      </c>
      <c r="G36" s="158">
        <v>10</v>
      </c>
      <c r="H36" s="159">
        <v>1300</v>
      </c>
      <c r="I36" s="159">
        <v>13000</v>
      </c>
      <c r="J36" s="156"/>
      <c r="L36" s="161"/>
    </row>
    <row r="37" spans="1:12" s="160" customFormat="1" ht="15" customHeight="1">
      <c r="A37" s="156">
        <f t="shared" si="0"/>
        <v>34</v>
      </c>
      <c r="B37" s="157">
        <v>46161</v>
      </c>
      <c r="C37" s="156" t="s">
        <v>813</v>
      </c>
      <c r="D37" s="156" t="s">
        <v>785</v>
      </c>
      <c r="E37" s="156" t="s">
        <v>786</v>
      </c>
      <c r="F37" s="156" t="s">
        <v>723</v>
      </c>
      <c r="G37" s="158">
        <v>1</v>
      </c>
      <c r="H37" s="159">
        <v>4700</v>
      </c>
      <c r="I37" s="159">
        <v>4700</v>
      </c>
      <c r="J37" s="156"/>
      <c r="L37" s="161"/>
    </row>
    <row r="38" spans="1:12" s="160" customFormat="1" ht="15" customHeight="1">
      <c r="A38" s="156">
        <f t="shared" si="0"/>
        <v>35</v>
      </c>
      <c r="B38" s="157">
        <v>46162</v>
      </c>
      <c r="C38" s="156" t="s">
        <v>813</v>
      </c>
      <c r="D38" s="156" t="s">
        <v>787</v>
      </c>
      <c r="E38" s="156" t="s">
        <v>788</v>
      </c>
      <c r="F38" s="156" t="s">
        <v>723</v>
      </c>
      <c r="G38" s="158">
        <v>1</v>
      </c>
      <c r="H38" s="159">
        <v>24400</v>
      </c>
      <c r="I38" s="159">
        <v>24400</v>
      </c>
      <c r="J38" s="156"/>
      <c r="L38" s="161"/>
    </row>
    <row r="39" spans="1:12" s="160" customFormat="1" ht="15" customHeight="1">
      <c r="A39" s="156">
        <f t="shared" si="0"/>
        <v>36</v>
      </c>
      <c r="B39" s="157">
        <v>46168</v>
      </c>
      <c r="C39" s="156" t="s">
        <v>813</v>
      </c>
      <c r="D39" s="156" t="s">
        <v>761</v>
      </c>
      <c r="E39" s="156" t="s">
        <v>762</v>
      </c>
      <c r="F39" s="156" t="s">
        <v>723</v>
      </c>
      <c r="G39" s="158">
        <v>200</v>
      </c>
      <c r="H39" s="159">
        <v>100</v>
      </c>
      <c r="I39" s="159">
        <v>20000</v>
      </c>
      <c r="J39" s="156"/>
      <c r="L39" s="161"/>
    </row>
    <row r="40" spans="1:12" s="160" customFormat="1" ht="15" customHeight="1">
      <c r="A40" s="156">
        <f t="shared" si="0"/>
        <v>37</v>
      </c>
      <c r="B40" s="157">
        <v>46168</v>
      </c>
      <c r="C40" s="156" t="s">
        <v>813</v>
      </c>
      <c r="D40" s="156" t="s">
        <v>789</v>
      </c>
      <c r="E40" s="156" t="s">
        <v>790</v>
      </c>
      <c r="F40" s="156" t="s">
        <v>723</v>
      </c>
      <c r="G40" s="158">
        <v>20</v>
      </c>
      <c r="H40" s="159">
        <v>400</v>
      </c>
      <c r="I40" s="159">
        <v>8000</v>
      </c>
      <c r="J40" s="156"/>
      <c r="L40" s="161"/>
    </row>
    <row r="41" spans="1:12" s="160" customFormat="1" ht="15" customHeight="1">
      <c r="A41" s="156">
        <f t="shared" si="0"/>
        <v>38</v>
      </c>
      <c r="B41" s="157">
        <v>46168</v>
      </c>
      <c r="C41" s="156" t="s">
        <v>813</v>
      </c>
      <c r="D41" s="156" t="s">
        <v>750</v>
      </c>
      <c r="E41" s="156" t="s">
        <v>767</v>
      </c>
      <c r="F41" s="156" t="s">
        <v>723</v>
      </c>
      <c r="G41" s="158">
        <v>4</v>
      </c>
      <c r="H41" s="159">
        <v>19000</v>
      </c>
      <c r="I41" s="159">
        <v>76000</v>
      </c>
      <c r="J41" s="156"/>
      <c r="L41" s="161"/>
    </row>
    <row r="42" spans="1:12" s="160" customFormat="1" ht="15" customHeight="1">
      <c r="A42" s="156">
        <f t="shared" si="0"/>
        <v>39</v>
      </c>
      <c r="B42" s="157">
        <v>46168</v>
      </c>
      <c r="C42" s="156" t="s">
        <v>813</v>
      </c>
      <c r="D42" s="156" t="s">
        <v>750</v>
      </c>
      <c r="E42" s="156" t="s">
        <v>770</v>
      </c>
      <c r="F42" s="156" t="s">
        <v>723</v>
      </c>
      <c r="G42" s="158">
        <v>4</v>
      </c>
      <c r="H42" s="159">
        <v>14500</v>
      </c>
      <c r="I42" s="159">
        <v>58000</v>
      </c>
      <c r="J42" s="156"/>
      <c r="L42" s="161"/>
    </row>
    <row r="43" spans="1:12" s="160" customFormat="1" ht="15" customHeight="1">
      <c r="A43" s="156">
        <f t="shared" si="0"/>
        <v>40</v>
      </c>
      <c r="B43" s="157">
        <v>46168</v>
      </c>
      <c r="C43" s="156" t="s">
        <v>813</v>
      </c>
      <c r="D43" s="156" t="s">
        <v>791</v>
      </c>
      <c r="E43" s="156" t="s">
        <v>792</v>
      </c>
      <c r="F43" s="156" t="s">
        <v>723</v>
      </c>
      <c r="G43" s="158">
        <v>2</v>
      </c>
      <c r="H43" s="159">
        <v>3000</v>
      </c>
      <c r="I43" s="159">
        <v>6000</v>
      </c>
      <c r="J43" s="156"/>
      <c r="L43" s="161"/>
    </row>
    <row r="44" spans="1:12" s="160" customFormat="1" ht="15" customHeight="1">
      <c r="A44" s="156">
        <f t="shared" si="0"/>
        <v>41</v>
      </c>
      <c r="B44" s="157">
        <v>46168</v>
      </c>
      <c r="C44" s="156" t="s">
        <v>813</v>
      </c>
      <c r="D44" s="156" t="s">
        <v>793</v>
      </c>
      <c r="E44" s="156" t="s">
        <v>794</v>
      </c>
      <c r="F44" s="156" t="s">
        <v>723</v>
      </c>
      <c r="G44" s="158">
        <v>2</v>
      </c>
      <c r="H44" s="159">
        <v>4200</v>
      </c>
      <c r="I44" s="159">
        <v>8400</v>
      </c>
      <c r="J44" s="156"/>
      <c r="L44" s="161"/>
    </row>
    <row r="45" spans="1:12" s="160" customFormat="1" ht="15" customHeight="1">
      <c r="A45" s="156">
        <f t="shared" si="0"/>
        <v>42</v>
      </c>
      <c r="B45" s="157">
        <v>46168</v>
      </c>
      <c r="C45" s="156" t="s">
        <v>813</v>
      </c>
      <c r="D45" s="156" t="s">
        <v>748</v>
      </c>
      <c r="E45" s="156" t="s">
        <v>795</v>
      </c>
      <c r="F45" s="156" t="s">
        <v>723</v>
      </c>
      <c r="G45" s="158">
        <v>200</v>
      </c>
      <c r="H45" s="159">
        <v>300</v>
      </c>
      <c r="I45" s="159">
        <v>60000</v>
      </c>
      <c r="J45" s="156"/>
      <c r="L45" s="161"/>
    </row>
    <row r="46" spans="1:12" s="160" customFormat="1" ht="15" customHeight="1">
      <c r="A46" s="156">
        <f t="shared" si="0"/>
        <v>43</v>
      </c>
      <c r="B46" s="157">
        <v>46170</v>
      </c>
      <c r="C46" s="156" t="s">
        <v>813</v>
      </c>
      <c r="D46" s="156" t="s">
        <v>796</v>
      </c>
      <c r="E46" s="156" t="s">
        <v>797</v>
      </c>
      <c r="F46" s="156" t="s">
        <v>723</v>
      </c>
      <c r="G46" s="158">
        <v>3</v>
      </c>
      <c r="H46" s="159">
        <v>40000</v>
      </c>
      <c r="I46" s="159">
        <v>120000</v>
      </c>
      <c r="J46" s="248"/>
      <c r="L46" s="161"/>
    </row>
    <row r="47" spans="1:12" s="160" customFormat="1" ht="15" customHeight="1">
      <c r="A47" s="156">
        <f t="shared" si="0"/>
        <v>44</v>
      </c>
      <c r="B47" s="157">
        <v>46171</v>
      </c>
      <c r="C47" s="156" t="s">
        <v>813</v>
      </c>
      <c r="D47" s="156" t="s">
        <v>798</v>
      </c>
      <c r="E47" s="156" t="s">
        <v>799</v>
      </c>
      <c r="F47" s="156" t="s">
        <v>723</v>
      </c>
      <c r="G47" s="158">
        <v>1</v>
      </c>
      <c r="H47" s="159">
        <v>75000</v>
      </c>
      <c r="I47" s="159">
        <v>75000</v>
      </c>
      <c r="J47" s="248"/>
      <c r="L47" s="161"/>
    </row>
    <row r="48" spans="1:12" s="160" customFormat="1" ht="15" customHeight="1">
      <c r="A48" s="156">
        <f t="shared" si="0"/>
        <v>45</v>
      </c>
      <c r="B48" s="157">
        <v>46171</v>
      </c>
      <c r="C48" s="156" t="s">
        <v>813</v>
      </c>
      <c r="D48" s="156" t="s">
        <v>800</v>
      </c>
      <c r="E48" s="156" t="s">
        <v>801</v>
      </c>
      <c r="F48" s="156" t="s">
        <v>723</v>
      </c>
      <c r="G48" s="158">
        <v>1</v>
      </c>
      <c r="H48" s="159">
        <v>59000</v>
      </c>
      <c r="I48" s="159">
        <v>59000</v>
      </c>
      <c r="J48" s="248"/>
      <c r="L48" s="161"/>
    </row>
    <row r="49" spans="1:12" s="160" customFormat="1" ht="15" customHeight="1">
      <c r="A49" s="156">
        <f t="shared" si="0"/>
        <v>46</v>
      </c>
      <c r="B49" s="157">
        <v>46171</v>
      </c>
      <c r="C49" s="156" t="s">
        <v>813</v>
      </c>
      <c r="D49" s="156" t="s">
        <v>802</v>
      </c>
      <c r="E49" s="156" t="s">
        <v>803</v>
      </c>
      <c r="F49" s="156" t="s">
        <v>723</v>
      </c>
      <c r="G49" s="158">
        <v>10</v>
      </c>
      <c r="H49" s="159">
        <v>800</v>
      </c>
      <c r="I49" s="159">
        <v>8000</v>
      </c>
      <c r="J49" s="248"/>
      <c r="L49" s="161"/>
    </row>
    <row r="50" spans="1:12" s="160" customFormat="1" ht="15" customHeight="1">
      <c r="A50" s="156">
        <f t="shared" si="0"/>
        <v>47</v>
      </c>
      <c r="B50" s="157">
        <v>46171</v>
      </c>
      <c r="C50" s="156" t="s">
        <v>813</v>
      </c>
      <c r="D50" s="156" t="s">
        <v>750</v>
      </c>
      <c r="E50" s="156" t="s">
        <v>767</v>
      </c>
      <c r="F50" s="156" t="s">
        <v>723</v>
      </c>
      <c r="G50" s="158">
        <v>6</v>
      </c>
      <c r="H50" s="159">
        <v>19000</v>
      </c>
      <c r="I50" s="159">
        <v>114000</v>
      </c>
      <c r="J50" s="248"/>
      <c r="L50" s="161"/>
    </row>
    <row r="51" spans="1:12" s="160" customFormat="1" ht="15" customHeight="1">
      <c r="A51" s="156">
        <f t="shared" si="0"/>
        <v>48</v>
      </c>
      <c r="B51" s="157">
        <v>46149</v>
      </c>
      <c r="C51" s="156" t="s">
        <v>815</v>
      </c>
      <c r="D51" s="156" t="s">
        <v>804</v>
      </c>
      <c r="E51" s="156"/>
      <c r="F51" s="156" t="s">
        <v>805</v>
      </c>
      <c r="G51" s="158">
        <v>30</v>
      </c>
      <c r="H51" s="159">
        <v>909.09090909090912</v>
      </c>
      <c r="I51" s="159">
        <v>27272.727272727272</v>
      </c>
      <c r="J51" s="156"/>
      <c r="L51" s="161"/>
    </row>
    <row r="52" spans="1:12" s="160" customFormat="1" ht="15" customHeight="1">
      <c r="A52" s="156">
        <f t="shared" si="0"/>
        <v>49</v>
      </c>
      <c r="B52" s="157">
        <v>46156</v>
      </c>
      <c r="C52" s="156" t="s">
        <v>813</v>
      </c>
      <c r="D52" s="156" t="s">
        <v>806</v>
      </c>
      <c r="E52" s="156"/>
      <c r="F52" s="156" t="s">
        <v>807</v>
      </c>
      <c r="G52" s="158">
        <v>1</v>
      </c>
      <c r="H52" s="159">
        <v>54999.999999999993</v>
      </c>
      <c r="I52" s="159">
        <v>54999.999999999993</v>
      </c>
      <c r="J52" s="156"/>
      <c r="L52" s="161"/>
    </row>
    <row r="53" spans="1:12" s="160" customFormat="1" ht="15" customHeight="1">
      <c r="A53" s="156">
        <f t="shared" si="0"/>
        <v>50</v>
      </c>
      <c r="B53" s="157">
        <v>46170</v>
      </c>
      <c r="C53" s="156" t="s">
        <v>813</v>
      </c>
      <c r="D53" s="156" t="s">
        <v>808</v>
      </c>
      <c r="E53" s="156" t="s">
        <v>809</v>
      </c>
      <c r="F53" s="156" t="s">
        <v>807</v>
      </c>
      <c r="G53" s="158">
        <v>5</v>
      </c>
      <c r="H53" s="159">
        <v>11000</v>
      </c>
      <c r="I53" s="159">
        <v>54999.999999999993</v>
      </c>
      <c r="J53" s="248"/>
      <c r="L53" s="161"/>
    </row>
    <row r="54" spans="1:12" s="160" customFormat="1" ht="15" customHeight="1">
      <c r="A54" s="156">
        <f t="shared" si="0"/>
        <v>51</v>
      </c>
      <c r="B54" s="157">
        <v>46162</v>
      </c>
      <c r="C54" s="156" t="s">
        <v>813</v>
      </c>
      <c r="D54" s="156" t="s">
        <v>810</v>
      </c>
      <c r="E54" s="156"/>
      <c r="F54" s="156" t="s">
        <v>811</v>
      </c>
      <c r="G54" s="158">
        <v>1</v>
      </c>
      <c r="H54" s="159">
        <v>17000</v>
      </c>
      <c r="I54" s="159">
        <v>17000</v>
      </c>
      <c r="J54" s="156"/>
      <c r="L54" s="161"/>
    </row>
    <row r="55" spans="1:12" s="160" customFormat="1" ht="15" customHeight="1">
      <c r="A55" s="156">
        <f t="shared" si="0"/>
        <v>52</v>
      </c>
      <c r="B55" s="157">
        <v>46164</v>
      </c>
      <c r="C55" s="156" t="s">
        <v>813</v>
      </c>
      <c r="D55" s="156" t="s">
        <v>810</v>
      </c>
      <c r="E55" s="156"/>
      <c r="F55" s="156" t="s">
        <v>811</v>
      </c>
      <c r="G55" s="158">
        <v>3</v>
      </c>
      <c r="H55" s="159">
        <v>15181.818181818182</v>
      </c>
      <c r="I55" s="159">
        <v>45545.454545454544</v>
      </c>
      <c r="J55" s="156"/>
      <c r="L55" s="161"/>
    </row>
    <row r="56" spans="1:12" s="160" customFormat="1" ht="15" customHeight="1">
      <c r="A56" s="156">
        <f t="shared" si="0"/>
        <v>53</v>
      </c>
      <c r="B56" s="157">
        <v>46168</v>
      </c>
      <c r="C56" s="156" t="s">
        <v>815</v>
      </c>
      <c r="D56" s="156" t="s">
        <v>812</v>
      </c>
      <c r="E56" s="156"/>
      <c r="F56" s="156" t="s">
        <v>811</v>
      </c>
      <c r="G56" s="158">
        <v>1</v>
      </c>
      <c r="H56" s="159">
        <v>29545.454545454544</v>
      </c>
      <c r="I56" s="159">
        <v>29545.454545454544</v>
      </c>
      <c r="J56" s="248"/>
      <c r="L56" s="161"/>
    </row>
    <row r="57" spans="1:12" s="160" customFormat="1" ht="15" customHeight="1">
      <c r="A57" s="163"/>
      <c r="B57" s="164"/>
      <c r="C57" s="163"/>
      <c r="D57" s="164"/>
      <c r="E57" s="164"/>
      <c r="F57" s="164"/>
      <c r="G57" s="165"/>
      <c r="H57" s="166"/>
      <c r="I57" s="166"/>
      <c r="J57" s="164"/>
      <c r="L57" s="161"/>
    </row>
    <row r="58" spans="1:12" s="160" customFormat="1" ht="15" customHeight="1">
      <c r="A58" s="163"/>
      <c r="B58" s="164"/>
      <c r="C58" s="163"/>
      <c r="D58" s="164"/>
      <c r="E58" s="164"/>
      <c r="F58" s="164"/>
      <c r="G58" s="165"/>
      <c r="H58" s="166"/>
      <c r="I58" s="166"/>
      <c r="J58" s="164"/>
      <c r="L58" s="161"/>
    </row>
    <row r="59" spans="1:12" s="160" customFormat="1" ht="15" customHeight="1">
      <c r="A59" s="163"/>
      <c r="B59" s="164"/>
      <c r="C59" s="163"/>
      <c r="D59" s="164"/>
      <c r="E59" s="164"/>
      <c r="F59" s="164"/>
      <c r="G59" s="165"/>
      <c r="H59" s="166"/>
      <c r="I59" s="166"/>
      <c r="J59" s="164"/>
      <c r="L59" s="161"/>
    </row>
    <row r="60" spans="1:12" s="160" customFormat="1" ht="15" customHeight="1">
      <c r="A60" s="163"/>
      <c r="B60" s="164"/>
      <c r="C60" s="163"/>
      <c r="D60" s="164"/>
      <c r="E60" s="164"/>
      <c r="F60" s="164"/>
      <c r="G60" s="165"/>
      <c r="H60" s="166"/>
      <c r="I60" s="166"/>
      <c r="J60" s="164"/>
      <c r="L60" s="161"/>
    </row>
    <row r="61" spans="1:12" s="160" customFormat="1" ht="15" customHeight="1">
      <c r="A61" s="163"/>
      <c r="B61" s="164"/>
      <c r="C61" s="163"/>
      <c r="D61" s="164"/>
      <c r="E61" s="164"/>
      <c r="F61" s="164"/>
      <c r="G61" s="165"/>
      <c r="H61" s="166"/>
      <c r="I61" s="166"/>
      <c r="J61" s="164"/>
      <c r="L61" s="161"/>
    </row>
    <row r="62" spans="1:12" s="160" customFormat="1" ht="15" customHeight="1">
      <c r="A62" s="163"/>
      <c r="B62" s="164"/>
      <c r="C62" s="163"/>
      <c r="D62" s="164"/>
      <c r="E62" s="164"/>
      <c r="F62" s="164"/>
      <c r="G62" s="165"/>
      <c r="H62" s="166"/>
      <c r="I62" s="166"/>
      <c r="J62" s="164"/>
      <c r="L62" s="161"/>
    </row>
    <row r="63" spans="1:12" s="160" customFormat="1" ht="15" customHeight="1">
      <c r="A63" s="163"/>
      <c r="B63" s="164"/>
      <c r="C63" s="163"/>
      <c r="D63" s="164"/>
      <c r="E63" s="164"/>
      <c r="F63" s="164"/>
      <c r="G63" s="165"/>
      <c r="H63" s="166"/>
      <c r="I63" s="166"/>
      <c r="J63" s="164"/>
      <c r="L63" s="161"/>
    </row>
    <row r="64" spans="1:12" s="160" customFormat="1" ht="15" customHeight="1">
      <c r="A64" s="163"/>
      <c r="B64" s="164"/>
      <c r="C64" s="163"/>
      <c r="D64" s="164"/>
      <c r="E64" s="164"/>
      <c r="F64" s="164"/>
      <c r="G64" s="165"/>
      <c r="H64" s="166"/>
      <c r="I64" s="166"/>
      <c r="J64" s="164"/>
      <c r="L64" s="161"/>
    </row>
    <row r="65" spans="1:12" s="160" customFormat="1" ht="15" customHeight="1">
      <c r="A65" s="163"/>
      <c r="B65" s="164"/>
      <c r="C65" s="163"/>
      <c r="D65" s="164"/>
      <c r="E65" s="164"/>
      <c r="F65" s="164"/>
      <c r="G65" s="165"/>
      <c r="H65" s="166"/>
      <c r="I65" s="166"/>
      <c r="J65" s="164"/>
      <c r="L65" s="161"/>
    </row>
    <row r="66" spans="1:12" s="160" customFormat="1" ht="15" customHeight="1">
      <c r="A66" s="163"/>
      <c r="B66" s="164"/>
      <c r="C66" s="163"/>
      <c r="D66" s="164"/>
      <c r="E66" s="164"/>
      <c r="F66" s="164"/>
      <c r="G66" s="165"/>
      <c r="H66" s="166"/>
      <c r="I66" s="166"/>
      <c r="J66" s="164"/>
      <c r="L66" s="161"/>
    </row>
  </sheetData>
  <autoFilter ref="A2:J23" xr:uid="{2E421254-DD27-4148-AC38-C00782AEA3D1}">
    <sortState ref="A5:J55">
      <sortCondition ref="F2:F23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58" fitToHeight="0" orientation="landscape" r:id="rId1"/>
  <headerFoot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21"/>
  <sheetViews>
    <sheetView view="pageBreakPreview" zoomScaleNormal="100" zoomScaleSheetLayoutView="100" workbookViewId="0">
      <selection activeCell="J18" sqref="J18"/>
    </sheetView>
  </sheetViews>
  <sheetFormatPr defaultRowHeight="16.5"/>
  <cols>
    <col min="1" max="1" width="9" style="55"/>
    <col min="2" max="3" width="12.625" style="55" customWidth="1"/>
    <col min="4" max="4" width="16" style="55" bestFit="1" customWidth="1"/>
    <col min="5" max="5" width="31.375" style="55" bestFit="1" customWidth="1"/>
    <col min="6" max="6" width="10.625" style="55" customWidth="1"/>
    <col min="7" max="8" width="8.125" style="55" customWidth="1"/>
    <col min="9" max="9" width="13.625" style="55" customWidth="1"/>
    <col min="10" max="10" width="35.625" style="55" customWidth="1"/>
    <col min="11" max="12" width="9" style="55"/>
  </cols>
  <sheetData>
    <row r="1" spans="1:12" ht="35.1" customHeight="1">
      <c r="A1" s="342" t="s">
        <v>237</v>
      </c>
      <c r="B1" s="343"/>
      <c r="C1" s="343"/>
      <c r="D1" s="343"/>
      <c r="E1" s="343"/>
      <c r="F1" s="343"/>
      <c r="G1" s="343"/>
      <c r="H1" s="343"/>
      <c r="I1" s="343"/>
      <c r="J1" s="344"/>
    </row>
    <row r="2" spans="1:12" ht="20.100000000000001" customHeight="1">
      <c r="A2" s="345" t="s">
        <v>238</v>
      </c>
      <c r="B2" s="345" t="s">
        <v>239</v>
      </c>
      <c r="C2" s="345" t="s">
        <v>240</v>
      </c>
      <c r="D2" s="345" t="s">
        <v>241</v>
      </c>
      <c r="E2" s="345" t="s">
        <v>242</v>
      </c>
      <c r="F2" s="345" t="s">
        <v>243</v>
      </c>
      <c r="G2" s="345" t="s">
        <v>244</v>
      </c>
      <c r="H2" s="345" t="s">
        <v>245</v>
      </c>
      <c r="I2" s="143" t="s">
        <v>246</v>
      </c>
      <c r="J2" s="345" t="s">
        <v>247</v>
      </c>
    </row>
    <row r="3" spans="1:12" ht="20.100000000000001" customHeight="1">
      <c r="A3" s="345"/>
      <c r="B3" s="345"/>
      <c r="C3" s="345"/>
      <c r="D3" s="345"/>
      <c r="E3" s="345"/>
      <c r="F3" s="345"/>
      <c r="G3" s="345"/>
      <c r="H3" s="345"/>
      <c r="I3" s="144">
        <f>SUM(I4:I21)</f>
        <v>16867741.935483873</v>
      </c>
      <c r="J3" s="345"/>
      <c r="L3" s="145" t="s">
        <v>248</v>
      </c>
    </row>
    <row r="4" spans="1:12" ht="20.100000000000001" customHeight="1">
      <c r="A4" s="156">
        <f t="shared" ref="A4:A21" si="0">ROW()-3</f>
        <v>1</v>
      </c>
      <c r="B4" s="182">
        <v>46173</v>
      </c>
      <c r="C4" s="46" t="s">
        <v>816</v>
      </c>
      <c r="D4" s="46" t="s">
        <v>817</v>
      </c>
      <c r="E4" s="46" t="s">
        <v>818</v>
      </c>
      <c r="F4" s="46" t="s">
        <v>819</v>
      </c>
      <c r="G4" s="46">
        <v>1</v>
      </c>
      <c r="H4" s="46"/>
      <c r="I4" s="184">
        <f>800000</f>
        <v>800000</v>
      </c>
      <c r="J4" s="46" t="s">
        <v>249</v>
      </c>
      <c r="L4" s="146" t="s">
        <v>250</v>
      </c>
    </row>
    <row r="5" spans="1:12" ht="20.100000000000001" customHeight="1">
      <c r="A5" s="156">
        <f t="shared" si="0"/>
        <v>2</v>
      </c>
      <c r="B5" s="182">
        <v>46173</v>
      </c>
      <c r="C5" s="46" t="s">
        <v>816</v>
      </c>
      <c r="D5" s="46" t="s">
        <v>817</v>
      </c>
      <c r="E5" s="46" t="s">
        <v>820</v>
      </c>
      <c r="F5" s="46" t="s">
        <v>821</v>
      </c>
      <c r="G5" s="46">
        <v>1</v>
      </c>
      <c r="H5" s="46"/>
      <c r="I5" s="184">
        <f>800000/31*22</f>
        <v>567741.93548387103</v>
      </c>
      <c r="J5" s="46" t="s">
        <v>249</v>
      </c>
      <c r="L5" s="146" t="s">
        <v>251</v>
      </c>
    </row>
    <row r="6" spans="1:12" ht="20.100000000000001" customHeight="1">
      <c r="A6" s="156">
        <f t="shared" si="0"/>
        <v>3</v>
      </c>
      <c r="B6" s="182">
        <v>46173</v>
      </c>
      <c r="C6" s="46" t="s">
        <v>816</v>
      </c>
      <c r="D6" s="46" t="s">
        <v>817</v>
      </c>
      <c r="E6" s="46" t="s">
        <v>822</v>
      </c>
      <c r="F6" s="46" t="s">
        <v>823</v>
      </c>
      <c r="G6" s="46">
        <v>1</v>
      </c>
      <c r="H6" s="46"/>
      <c r="I6" s="184">
        <f>850000</f>
        <v>850000</v>
      </c>
      <c r="J6" s="46" t="s">
        <v>249</v>
      </c>
      <c r="L6" s="146" t="s">
        <v>252</v>
      </c>
    </row>
    <row r="7" spans="1:12" ht="20.100000000000001" customHeight="1">
      <c r="A7" s="156">
        <f t="shared" si="0"/>
        <v>4</v>
      </c>
      <c r="B7" s="182">
        <v>46173</v>
      </c>
      <c r="C7" s="46" t="s">
        <v>816</v>
      </c>
      <c r="D7" s="46" t="s">
        <v>817</v>
      </c>
      <c r="E7" s="46" t="s">
        <v>824</v>
      </c>
      <c r="F7" s="46" t="s">
        <v>825</v>
      </c>
      <c r="G7" s="46">
        <v>1</v>
      </c>
      <c r="H7" s="46"/>
      <c r="I7" s="184">
        <f>950000</f>
        <v>950000</v>
      </c>
      <c r="J7" s="46" t="s">
        <v>249</v>
      </c>
      <c r="L7" s="146" t="s">
        <v>253</v>
      </c>
    </row>
    <row r="8" spans="1:12" ht="20.100000000000001" customHeight="1">
      <c r="A8" s="156">
        <f t="shared" si="0"/>
        <v>5</v>
      </c>
      <c r="B8" s="182">
        <v>46173</v>
      </c>
      <c r="C8" s="46" t="s">
        <v>816</v>
      </c>
      <c r="D8" s="46" t="s">
        <v>817</v>
      </c>
      <c r="E8" s="46" t="s">
        <v>826</v>
      </c>
      <c r="F8" s="46" t="s">
        <v>823</v>
      </c>
      <c r="G8" s="46">
        <v>1</v>
      </c>
      <c r="H8" s="46"/>
      <c r="I8" s="184">
        <f>1000000</f>
        <v>1000000</v>
      </c>
      <c r="J8" s="46" t="s">
        <v>249</v>
      </c>
      <c r="L8" s="147" t="s">
        <v>254</v>
      </c>
    </row>
    <row r="9" spans="1:12" ht="20.100000000000001" customHeight="1">
      <c r="A9" s="156">
        <f t="shared" si="0"/>
        <v>6</v>
      </c>
      <c r="B9" s="182">
        <v>46173</v>
      </c>
      <c r="C9" s="46" t="s">
        <v>816</v>
      </c>
      <c r="D9" s="46" t="s">
        <v>817</v>
      </c>
      <c r="E9" s="46" t="s">
        <v>826</v>
      </c>
      <c r="F9" s="46" t="s">
        <v>825</v>
      </c>
      <c r="G9" s="46">
        <v>1</v>
      </c>
      <c r="H9" s="46"/>
      <c r="I9" s="184">
        <f>1000000</f>
        <v>1000000</v>
      </c>
      <c r="J9" s="46" t="s">
        <v>249</v>
      </c>
      <c r="L9" s="147" t="s">
        <v>255</v>
      </c>
    </row>
    <row r="10" spans="1:12" ht="20.100000000000001" customHeight="1">
      <c r="A10" s="156">
        <f t="shared" si="0"/>
        <v>7</v>
      </c>
      <c r="B10" s="182">
        <v>46173</v>
      </c>
      <c r="C10" s="46" t="s">
        <v>816</v>
      </c>
      <c r="D10" s="46" t="s">
        <v>817</v>
      </c>
      <c r="E10" s="46" t="s">
        <v>827</v>
      </c>
      <c r="F10" s="46" t="s">
        <v>828</v>
      </c>
      <c r="G10" s="46">
        <v>1</v>
      </c>
      <c r="H10" s="46"/>
      <c r="I10" s="184">
        <f>1000000</f>
        <v>1000000</v>
      </c>
      <c r="J10" s="46" t="s">
        <v>249</v>
      </c>
      <c r="L10" s="147" t="s">
        <v>256</v>
      </c>
    </row>
    <row r="11" spans="1:12" ht="20.100000000000001" customHeight="1">
      <c r="A11" s="156">
        <f t="shared" si="0"/>
        <v>8</v>
      </c>
      <c r="B11" s="182">
        <v>46173</v>
      </c>
      <c r="C11" s="46" t="s">
        <v>816</v>
      </c>
      <c r="D11" s="46" t="s">
        <v>817</v>
      </c>
      <c r="E11" s="46" t="s">
        <v>829</v>
      </c>
      <c r="F11" s="46" t="s">
        <v>830</v>
      </c>
      <c r="G11" s="46">
        <v>1</v>
      </c>
      <c r="H11" s="46"/>
      <c r="I11" s="184">
        <f>850000</f>
        <v>850000</v>
      </c>
      <c r="J11" s="46" t="s">
        <v>249</v>
      </c>
      <c r="L11" s="147"/>
    </row>
    <row r="12" spans="1:12" ht="20.100000000000001" customHeight="1">
      <c r="A12" s="156">
        <f t="shared" si="0"/>
        <v>9</v>
      </c>
      <c r="B12" s="182">
        <v>46173</v>
      </c>
      <c r="C12" s="46" t="s">
        <v>816</v>
      </c>
      <c r="D12" s="46" t="s">
        <v>817</v>
      </c>
      <c r="E12" s="46" t="s">
        <v>831</v>
      </c>
      <c r="F12" s="46" t="s">
        <v>832</v>
      </c>
      <c r="G12" s="46">
        <v>1</v>
      </c>
      <c r="H12" s="46"/>
      <c r="I12" s="184">
        <f>850000</f>
        <v>850000</v>
      </c>
      <c r="J12" s="46" t="s">
        <v>249</v>
      </c>
      <c r="L12" s="145" t="s">
        <v>257</v>
      </c>
    </row>
    <row r="13" spans="1:12" ht="20.100000000000001" customHeight="1">
      <c r="A13" s="156">
        <f t="shared" si="0"/>
        <v>10</v>
      </c>
      <c r="B13" s="182">
        <v>46173</v>
      </c>
      <c r="C13" s="46" t="s">
        <v>816</v>
      </c>
      <c r="D13" s="46" t="s">
        <v>817</v>
      </c>
      <c r="E13" s="46" t="s">
        <v>833</v>
      </c>
      <c r="F13" s="46" t="s">
        <v>832</v>
      </c>
      <c r="G13" s="46">
        <v>1</v>
      </c>
      <c r="H13" s="46"/>
      <c r="I13" s="190">
        <f>850000</f>
        <v>850000</v>
      </c>
      <c r="J13" s="46" t="s">
        <v>249</v>
      </c>
    </row>
    <row r="14" spans="1:12" ht="20.100000000000001" customHeight="1">
      <c r="A14" s="156">
        <f t="shared" si="0"/>
        <v>11</v>
      </c>
      <c r="B14" s="182">
        <v>46173</v>
      </c>
      <c r="C14" s="46" t="s">
        <v>816</v>
      </c>
      <c r="D14" s="46" t="s">
        <v>817</v>
      </c>
      <c r="E14" s="46" t="s">
        <v>834</v>
      </c>
      <c r="F14" s="46" t="s">
        <v>835</v>
      </c>
      <c r="G14" s="46">
        <v>1</v>
      </c>
      <c r="H14" s="46"/>
      <c r="I14" s="185">
        <f>1000000</f>
        <v>1000000</v>
      </c>
      <c r="J14" s="46" t="s">
        <v>249</v>
      </c>
      <c r="L14" s="147"/>
    </row>
    <row r="15" spans="1:12" ht="20.100000000000001" customHeight="1">
      <c r="A15" s="156">
        <f t="shared" si="0"/>
        <v>12</v>
      </c>
      <c r="B15" s="182">
        <v>46173</v>
      </c>
      <c r="C15" s="46" t="s">
        <v>816</v>
      </c>
      <c r="D15" s="46" t="s">
        <v>817</v>
      </c>
      <c r="E15" s="46" t="s">
        <v>834</v>
      </c>
      <c r="F15" s="46" t="s">
        <v>836</v>
      </c>
      <c r="G15" s="46">
        <v>1</v>
      </c>
      <c r="H15" s="46"/>
      <c r="I15" s="185">
        <f>1000000</f>
        <v>1000000</v>
      </c>
      <c r="J15" s="46" t="s">
        <v>249</v>
      </c>
      <c r="L15" s="147"/>
    </row>
    <row r="16" spans="1:12" ht="20.100000000000001" customHeight="1">
      <c r="A16" s="156">
        <f t="shared" si="0"/>
        <v>13</v>
      </c>
      <c r="B16" s="182">
        <v>46173</v>
      </c>
      <c r="C16" s="46" t="s">
        <v>816</v>
      </c>
      <c r="D16" s="46" t="s">
        <v>817</v>
      </c>
      <c r="E16" s="46" t="s">
        <v>834</v>
      </c>
      <c r="F16" s="46" t="s">
        <v>837</v>
      </c>
      <c r="G16" s="46">
        <v>1</v>
      </c>
      <c r="H16" s="46"/>
      <c r="I16" s="185">
        <f>1000000</f>
        <v>1000000</v>
      </c>
      <c r="J16" s="46" t="s">
        <v>249</v>
      </c>
      <c r="L16" s="147"/>
    </row>
    <row r="17" spans="1:12" ht="20.100000000000001" customHeight="1">
      <c r="A17" s="156">
        <f t="shared" si="0"/>
        <v>14</v>
      </c>
      <c r="B17" s="182">
        <v>46173</v>
      </c>
      <c r="C17" s="46" t="s">
        <v>816</v>
      </c>
      <c r="D17" s="46" t="s">
        <v>817</v>
      </c>
      <c r="E17" s="46" t="s">
        <v>838</v>
      </c>
      <c r="F17" s="46" t="s">
        <v>836</v>
      </c>
      <c r="G17" s="46">
        <v>1</v>
      </c>
      <c r="H17" s="46"/>
      <c r="I17" s="185">
        <f>950000</f>
        <v>950000</v>
      </c>
      <c r="J17" s="46" t="s">
        <v>249</v>
      </c>
      <c r="L17" s="147"/>
    </row>
    <row r="18" spans="1:12" ht="20.100000000000001" customHeight="1">
      <c r="A18" s="156">
        <f t="shared" si="0"/>
        <v>15</v>
      </c>
      <c r="B18" s="182">
        <v>46173</v>
      </c>
      <c r="C18" s="46" t="s">
        <v>816</v>
      </c>
      <c r="D18" s="46" t="s">
        <v>817</v>
      </c>
      <c r="E18" s="46" t="s">
        <v>839</v>
      </c>
      <c r="F18" s="46" t="s">
        <v>837</v>
      </c>
      <c r="G18" s="46">
        <v>1</v>
      </c>
      <c r="H18" s="46"/>
      <c r="I18" s="185">
        <f>1000000</f>
        <v>1000000</v>
      </c>
      <c r="J18" s="46" t="s">
        <v>249</v>
      </c>
      <c r="L18" s="147"/>
    </row>
    <row r="19" spans="1:12" ht="20.100000000000001" customHeight="1">
      <c r="A19" s="156">
        <f t="shared" si="0"/>
        <v>16</v>
      </c>
      <c r="B19" s="182">
        <v>46173</v>
      </c>
      <c r="C19" s="46" t="s">
        <v>816</v>
      </c>
      <c r="D19" s="46" t="s">
        <v>817</v>
      </c>
      <c r="E19" s="46" t="s">
        <v>840</v>
      </c>
      <c r="F19" s="46" t="s">
        <v>836</v>
      </c>
      <c r="G19" s="46">
        <v>1</v>
      </c>
      <c r="H19" s="46"/>
      <c r="I19" s="185">
        <f>1000000</f>
        <v>1000000</v>
      </c>
      <c r="J19" s="46" t="s">
        <v>249</v>
      </c>
      <c r="L19" s="147"/>
    </row>
    <row r="20" spans="1:12" ht="20.100000000000001" customHeight="1">
      <c r="A20" s="156">
        <f t="shared" si="0"/>
        <v>17</v>
      </c>
      <c r="B20" s="182">
        <v>46173</v>
      </c>
      <c r="C20" s="46" t="s">
        <v>816</v>
      </c>
      <c r="D20" s="46" t="s">
        <v>817</v>
      </c>
      <c r="E20" s="46" t="s">
        <v>841</v>
      </c>
      <c r="F20" s="46" t="s">
        <v>835</v>
      </c>
      <c r="G20" s="46">
        <v>1</v>
      </c>
      <c r="H20" s="46"/>
      <c r="I20" s="185">
        <f>1100000</f>
        <v>1100000</v>
      </c>
      <c r="J20" s="46" t="s">
        <v>249</v>
      </c>
      <c r="L20" s="147"/>
    </row>
    <row r="21" spans="1:12" ht="20.100000000000001" customHeight="1">
      <c r="A21" s="156">
        <f t="shared" si="0"/>
        <v>18</v>
      </c>
      <c r="B21" s="182">
        <v>46173</v>
      </c>
      <c r="C21" s="46" t="s">
        <v>816</v>
      </c>
      <c r="D21" s="46" t="s">
        <v>817</v>
      </c>
      <c r="E21" s="46" t="s">
        <v>842</v>
      </c>
      <c r="F21" s="46" t="s">
        <v>837</v>
      </c>
      <c r="G21" s="46">
        <v>1</v>
      </c>
      <c r="H21" s="46"/>
      <c r="I21" s="185">
        <f>1100000</f>
        <v>1100000</v>
      </c>
      <c r="J21" s="46" t="s">
        <v>249</v>
      </c>
      <c r="L21" s="147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conditionalFormatting sqref="E4">
    <cfRule type="expression" priority="2" stopIfTrue="1">
      <formula>AND(COUNTIF(#REF!, E4)+COUNTIF(#REF!, E4)+COUNTIF(#REF!, E4)&gt;1,NOT(ISBLANK(E4)))</formula>
    </cfRule>
  </conditionalFormatting>
  <conditionalFormatting sqref="E5">
    <cfRule type="duplicateValues" priority="1"/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82" fitToHeight="0" orientation="landscape" r:id="rId1"/>
  <headerFooter>
    <oddFooter>&amp;C&amp;P/&amp;N</oddFooter>
  </headerFooter>
  <colBreaks count="1" manualBreakCount="1">
    <brk id="10" max="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58"/>
  <sheetViews>
    <sheetView view="pageBreakPreview" topLeftCell="A3" zoomScaleNormal="100" zoomScaleSheetLayoutView="100" workbookViewId="0">
      <selection activeCell="I3" sqref="I3"/>
    </sheetView>
  </sheetViews>
  <sheetFormatPr defaultRowHeight="16.5"/>
  <cols>
    <col min="1" max="1" width="9" style="55"/>
    <col min="2" max="3" width="12.625" style="55" customWidth="1"/>
    <col min="4" max="4" width="16" style="55" bestFit="1" customWidth="1"/>
    <col min="5" max="5" width="31.375" style="55" bestFit="1" customWidth="1"/>
    <col min="6" max="6" width="10.625" style="55" customWidth="1"/>
    <col min="7" max="8" width="8.125" style="55" customWidth="1"/>
    <col min="9" max="9" width="13.625" style="55" customWidth="1"/>
    <col min="10" max="10" width="35.625" style="55" customWidth="1"/>
  </cols>
  <sheetData>
    <row r="1" spans="1:10" ht="35.1" customHeight="1">
      <c r="A1" s="342" t="s">
        <v>258</v>
      </c>
      <c r="B1" s="343"/>
      <c r="C1" s="343"/>
      <c r="D1" s="343"/>
      <c r="E1" s="343"/>
      <c r="F1" s="343"/>
      <c r="G1" s="343"/>
      <c r="H1" s="343"/>
      <c r="I1" s="343"/>
      <c r="J1" s="344"/>
    </row>
    <row r="2" spans="1:10" ht="20.100000000000001" customHeight="1">
      <c r="A2" s="345" t="s">
        <v>259</v>
      </c>
      <c r="B2" s="345" t="s">
        <v>239</v>
      </c>
      <c r="C2" s="345" t="s">
        <v>260</v>
      </c>
      <c r="D2" s="345" t="s">
        <v>241</v>
      </c>
      <c r="E2" s="345" t="s">
        <v>261</v>
      </c>
      <c r="F2" s="345" t="s">
        <v>243</v>
      </c>
      <c r="G2" s="345" t="s">
        <v>262</v>
      </c>
      <c r="H2" s="345" t="s">
        <v>263</v>
      </c>
      <c r="I2" s="143" t="s">
        <v>264</v>
      </c>
      <c r="J2" s="345" t="s">
        <v>265</v>
      </c>
    </row>
    <row r="3" spans="1:10" ht="20.100000000000001" customHeight="1">
      <c r="A3" s="345"/>
      <c r="B3" s="345"/>
      <c r="C3" s="345"/>
      <c r="D3" s="345"/>
      <c r="E3" s="345"/>
      <c r="F3" s="345"/>
      <c r="G3" s="345"/>
      <c r="H3" s="345"/>
      <c r="I3" s="144">
        <f>SUM(I4:I58)</f>
        <v>2704690</v>
      </c>
      <c r="J3" s="345"/>
    </row>
    <row r="4" spans="1:10" ht="20.100000000000001" customHeight="1">
      <c r="A4" s="167">
        <f t="shared" ref="A4:A58" si="0">ROW()-3</f>
        <v>1</v>
      </c>
      <c r="B4" s="168">
        <v>46173</v>
      </c>
      <c r="C4" s="169" t="s">
        <v>843</v>
      </c>
      <c r="D4" s="170" t="s">
        <v>844</v>
      </c>
      <c r="E4" s="46" t="s">
        <v>845</v>
      </c>
      <c r="F4" s="46" t="s">
        <v>819</v>
      </c>
      <c r="G4" s="171">
        <v>1</v>
      </c>
      <c r="H4" s="172"/>
      <c r="I4" s="173">
        <v>31460</v>
      </c>
      <c r="J4" s="174"/>
    </row>
    <row r="5" spans="1:10" ht="20.100000000000001" customHeight="1">
      <c r="A5" s="167">
        <f t="shared" si="0"/>
        <v>2</v>
      </c>
      <c r="B5" s="168">
        <v>46173</v>
      </c>
      <c r="C5" s="169" t="s">
        <v>843</v>
      </c>
      <c r="D5" s="170" t="s">
        <v>844</v>
      </c>
      <c r="E5" s="186" t="s">
        <v>846</v>
      </c>
      <c r="F5" s="46" t="s">
        <v>847</v>
      </c>
      <c r="G5" s="171">
        <v>1</v>
      </c>
      <c r="H5" s="172"/>
      <c r="I5" s="173">
        <v>26920</v>
      </c>
      <c r="J5" s="174"/>
    </row>
    <row r="6" spans="1:10" ht="20.100000000000001" customHeight="1">
      <c r="A6" s="167">
        <f t="shared" si="0"/>
        <v>3</v>
      </c>
      <c r="B6" s="168">
        <v>46173</v>
      </c>
      <c r="C6" s="169" t="s">
        <v>843</v>
      </c>
      <c r="D6" s="170" t="s">
        <v>844</v>
      </c>
      <c r="E6" s="46" t="s">
        <v>848</v>
      </c>
      <c r="F6" s="46" t="s">
        <v>819</v>
      </c>
      <c r="G6" s="171">
        <v>1</v>
      </c>
      <c r="H6" s="191"/>
      <c r="I6" s="173">
        <v>33720</v>
      </c>
      <c r="J6" s="174"/>
    </row>
    <row r="7" spans="1:10" ht="20.100000000000001" customHeight="1">
      <c r="A7" s="167">
        <f t="shared" si="0"/>
        <v>4</v>
      </c>
      <c r="B7" s="168">
        <v>46173</v>
      </c>
      <c r="C7" s="169" t="s">
        <v>843</v>
      </c>
      <c r="D7" s="170" t="s">
        <v>844</v>
      </c>
      <c r="E7" s="46" t="s">
        <v>849</v>
      </c>
      <c r="F7" s="46" t="s">
        <v>847</v>
      </c>
      <c r="G7" s="171">
        <v>1</v>
      </c>
      <c r="H7" s="172"/>
      <c r="I7" s="173">
        <v>12950</v>
      </c>
      <c r="J7" s="174"/>
    </row>
    <row r="8" spans="1:10" ht="20.100000000000001" customHeight="1">
      <c r="A8" s="167">
        <f t="shared" si="0"/>
        <v>5</v>
      </c>
      <c r="B8" s="168">
        <v>46173</v>
      </c>
      <c r="C8" s="169" t="s">
        <v>843</v>
      </c>
      <c r="D8" s="170" t="s">
        <v>844</v>
      </c>
      <c r="E8" s="186" t="s">
        <v>849</v>
      </c>
      <c r="F8" s="46" t="s">
        <v>819</v>
      </c>
      <c r="G8" s="171">
        <v>1</v>
      </c>
      <c r="H8" s="181"/>
      <c r="I8" s="185">
        <v>17180</v>
      </c>
      <c r="J8" s="181"/>
    </row>
    <row r="9" spans="1:10" ht="20.100000000000001" customHeight="1">
      <c r="A9" s="167">
        <f t="shared" si="0"/>
        <v>6</v>
      </c>
      <c r="B9" s="168">
        <v>46173</v>
      </c>
      <c r="C9" s="169" t="s">
        <v>843</v>
      </c>
      <c r="D9" s="170" t="s">
        <v>844</v>
      </c>
      <c r="E9" s="46" t="s">
        <v>850</v>
      </c>
      <c r="F9" s="46" t="s">
        <v>821</v>
      </c>
      <c r="G9" s="171">
        <v>1</v>
      </c>
      <c r="H9" s="181"/>
      <c r="I9" s="185">
        <v>39730</v>
      </c>
      <c r="J9" s="181"/>
    </row>
    <row r="10" spans="1:10" ht="20.100000000000001" customHeight="1">
      <c r="A10" s="167">
        <f t="shared" si="0"/>
        <v>7</v>
      </c>
      <c r="B10" s="168">
        <v>46173</v>
      </c>
      <c r="C10" s="169" t="s">
        <v>843</v>
      </c>
      <c r="D10" s="170" t="s">
        <v>844</v>
      </c>
      <c r="E10" s="46" t="s">
        <v>851</v>
      </c>
      <c r="F10" s="46" t="s">
        <v>852</v>
      </c>
      <c r="G10" s="171">
        <v>1</v>
      </c>
      <c r="H10" s="181"/>
      <c r="I10" s="185">
        <v>16200</v>
      </c>
      <c r="J10" s="181"/>
    </row>
    <row r="11" spans="1:10" ht="20.100000000000001" customHeight="1">
      <c r="A11" s="167">
        <f t="shared" si="0"/>
        <v>8</v>
      </c>
      <c r="B11" s="168">
        <v>46173</v>
      </c>
      <c r="C11" s="169" t="s">
        <v>843</v>
      </c>
      <c r="D11" s="170" t="s">
        <v>844</v>
      </c>
      <c r="E11" s="186" t="s">
        <v>853</v>
      </c>
      <c r="F11" s="46" t="s">
        <v>854</v>
      </c>
      <c r="G11" s="171">
        <v>1</v>
      </c>
      <c r="H11" s="181"/>
      <c r="I11" s="185">
        <v>14390</v>
      </c>
      <c r="J11" s="181"/>
    </row>
    <row r="12" spans="1:10" ht="20.100000000000001" customHeight="1">
      <c r="A12" s="167">
        <f t="shared" si="0"/>
        <v>9</v>
      </c>
      <c r="B12" s="168">
        <v>46173</v>
      </c>
      <c r="C12" s="169" t="s">
        <v>843</v>
      </c>
      <c r="D12" s="170" t="s">
        <v>844</v>
      </c>
      <c r="E12" s="186" t="s">
        <v>855</v>
      </c>
      <c r="F12" s="46" t="s">
        <v>854</v>
      </c>
      <c r="G12" s="171">
        <v>1</v>
      </c>
      <c r="H12" s="181"/>
      <c r="I12" s="185">
        <v>61040</v>
      </c>
      <c r="J12" s="181"/>
    </row>
    <row r="13" spans="1:10" ht="20.100000000000001" customHeight="1">
      <c r="A13" s="167">
        <f t="shared" si="0"/>
        <v>10</v>
      </c>
      <c r="B13" s="168">
        <v>46173</v>
      </c>
      <c r="C13" s="169" t="s">
        <v>843</v>
      </c>
      <c r="D13" s="170" t="s">
        <v>844</v>
      </c>
      <c r="E13" s="46" t="s">
        <v>834</v>
      </c>
      <c r="F13" s="46" t="s">
        <v>819</v>
      </c>
      <c r="G13" s="171">
        <v>1</v>
      </c>
      <c r="H13" s="191"/>
      <c r="I13" s="173">
        <v>26170</v>
      </c>
      <c r="J13" s="174"/>
    </row>
    <row r="14" spans="1:10" ht="20.100000000000001" customHeight="1">
      <c r="A14" s="167">
        <f t="shared" si="0"/>
        <v>11</v>
      </c>
      <c r="B14" s="168">
        <v>46173</v>
      </c>
      <c r="C14" s="169" t="s">
        <v>843</v>
      </c>
      <c r="D14" s="170" t="s">
        <v>844</v>
      </c>
      <c r="E14" s="46" t="s">
        <v>834</v>
      </c>
      <c r="F14" s="46" t="s">
        <v>847</v>
      </c>
      <c r="G14" s="171">
        <v>1</v>
      </c>
      <c r="H14" s="172"/>
      <c r="I14" s="173">
        <v>21180</v>
      </c>
      <c r="J14" s="174"/>
    </row>
    <row r="15" spans="1:10" ht="20.100000000000001" customHeight="1">
      <c r="A15" s="167">
        <f t="shared" si="0"/>
        <v>12</v>
      </c>
      <c r="B15" s="168">
        <v>46173</v>
      </c>
      <c r="C15" s="169" t="s">
        <v>843</v>
      </c>
      <c r="D15" s="170" t="s">
        <v>844</v>
      </c>
      <c r="E15" s="46" t="s">
        <v>834</v>
      </c>
      <c r="F15" s="46" t="s">
        <v>854</v>
      </c>
      <c r="G15" s="171">
        <v>1</v>
      </c>
      <c r="H15" s="181"/>
      <c r="I15" s="185">
        <v>20430</v>
      </c>
      <c r="J15" s="181"/>
    </row>
    <row r="16" spans="1:10" ht="20.100000000000001" customHeight="1">
      <c r="A16" s="167">
        <f t="shared" si="0"/>
        <v>13</v>
      </c>
      <c r="B16" s="168">
        <v>46173</v>
      </c>
      <c r="C16" s="169" t="s">
        <v>843</v>
      </c>
      <c r="D16" s="170" t="s">
        <v>844</v>
      </c>
      <c r="E16" s="46" t="s">
        <v>838</v>
      </c>
      <c r="F16" s="46" t="s">
        <v>847</v>
      </c>
      <c r="G16" s="171">
        <v>1</v>
      </c>
      <c r="H16" s="181"/>
      <c r="I16" s="185">
        <v>28280</v>
      </c>
      <c r="J16" s="181"/>
    </row>
    <row r="17" spans="1:10" ht="20.100000000000001" customHeight="1">
      <c r="A17" s="167">
        <f t="shared" si="0"/>
        <v>14</v>
      </c>
      <c r="B17" s="168">
        <v>46173</v>
      </c>
      <c r="C17" s="169" t="s">
        <v>843</v>
      </c>
      <c r="D17" s="170" t="s">
        <v>844</v>
      </c>
      <c r="E17" s="46" t="s">
        <v>839</v>
      </c>
      <c r="F17" s="46" t="s">
        <v>854</v>
      </c>
      <c r="G17" s="171">
        <v>1</v>
      </c>
      <c r="H17" s="181"/>
      <c r="I17" s="185">
        <v>21490</v>
      </c>
      <c r="J17" s="181"/>
    </row>
    <row r="18" spans="1:10" ht="20.100000000000001" customHeight="1">
      <c r="A18" s="167">
        <f t="shared" si="0"/>
        <v>15</v>
      </c>
      <c r="B18" s="168">
        <v>46173</v>
      </c>
      <c r="C18" s="169" t="s">
        <v>843</v>
      </c>
      <c r="D18" s="170" t="s">
        <v>844</v>
      </c>
      <c r="E18" s="46" t="s">
        <v>840</v>
      </c>
      <c r="F18" s="46" t="s">
        <v>847</v>
      </c>
      <c r="G18" s="171">
        <v>1</v>
      </c>
      <c r="H18" s="181"/>
      <c r="I18" s="185">
        <v>25570</v>
      </c>
      <c r="J18" s="181"/>
    </row>
    <row r="19" spans="1:10" ht="20.100000000000001" customHeight="1">
      <c r="A19" s="167">
        <f t="shared" si="0"/>
        <v>16</v>
      </c>
      <c r="B19" s="168">
        <v>46173</v>
      </c>
      <c r="C19" s="169" t="s">
        <v>843</v>
      </c>
      <c r="D19" s="170" t="s">
        <v>844</v>
      </c>
      <c r="E19" s="46" t="s">
        <v>841</v>
      </c>
      <c r="F19" s="46" t="s">
        <v>819</v>
      </c>
      <c r="G19" s="171">
        <v>1</v>
      </c>
      <c r="H19" s="181"/>
      <c r="I19" s="185">
        <v>23600</v>
      </c>
      <c r="J19" s="181"/>
    </row>
    <row r="20" spans="1:10" ht="20.100000000000001" customHeight="1">
      <c r="A20" s="167">
        <f t="shared" si="0"/>
        <v>17</v>
      </c>
      <c r="B20" s="168">
        <v>46173</v>
      </c>
      <c r="C20" s="169" t="s">
        <v>843</v>
      </c>
      <c r="D20" s="170" t="s">
        <v>844</v>
      </c>
      <c r="E20" s="46" t="s">
        <v>842</v>
      </c>
      <c r="F20" s="46" t="s">
        <v>854</v>
      </c>
      <c r="G20" s="171">
        <v>1</v>
      </c>
      <c r="H20" s="181"/>
      <c r="I20" s="185">
        <v>42740</v>
      </c>
      <c r="J20" s="181"/>
    </row>
    <row r="21" spans="1:10" ht="20.100000000000001" customHeight="1">
      <c r="A21" s="167">
        <f t="shared" si="0"/>
        <v>18</v>
      </c>
      <c r="B21" s="168">
        <v>46173</v>
      </c>
      <c r="C21" s="169" t="s">
        <v>843</v>
      </c>
      <c r="D21" s="170" t="s">
        <v>856</v>
      </c>
      <c r="E21" s="46" t="s">
        <v>845</v>
      </c>
      <c r="F21" s="46" t="s">
        <v>819</v>
      </c>
      <c r="G21" s="171">
        <v>1</v>
      </c>
      <c r="H21" s="181"/>
      <c r="I21" s="185">
        <v>47130</v>
      </c>
      <c r="J21" s="181"/>
    </row>
    <row r="22" spans="1:10" ht="20.100000000000001" customHeight="1">
      <c r="A22" s="167">
        <f t="shared" si="0"/>
        <v>19</v>
      </c>
      <c r="B22" s="168">
        <v>46173</v>
      </c>
      <c r="C22" s="169" t="s">
        <v>843</v>
      </c>
      <c r="D22" s="170" t="s">
        <v>856</v>
      </c>
      <c r="E22" s="186" t="s">
        <v>846</v>
      </c>
      <c r="F22" s="46" t="s">
        <v>847</v>
      </c>
      <c r="G22" s="171">
        <v>1</v>
      </c>
      <c r="H22" s="181"/>
      <c r="I22" s="185">
        <v>117820</v>
      </c>
      <c r="J22" s="181"/>
    </row>
    <row r="23" spans="1:10" ht="20.100000000000001" customHeight="1">
      <c r="A23" s="167">
        <f t="shared" si="0"/>
        <v>20</v>
      </c>
      <c r="B23" s="168">
        <v>46173</v>
      </c>
      <c r="C23" s="169" t="s">
        <v>843</v>
      </c>
      <c r="D23" s="170" t="s">
        <v>856</v>
      </c>
      <c r="E23" s="46" t="s">
        <v>848</v>
      </c>
      <c r="F23" s="46" t="s">
        <v>819</v>
      </c>
      <c r="G23" s="171">
        <v>1</v>
      </c>
      <c r="H23" s="181"/>
      <c r="I23" s="185">
        <v>111480</v>
      </c>
      <c r="J23" s="181"/>
    </row>
    <row r="24" spans="1:10" ht="20.100000000000001" customHeight="1">
      <c r="A24" s="167">
        <f t="shared" si="0"/>
        <v>21</v>
      </c>
      <c r="B24" s="168">
        <v>46173</v>
      </c>
      <c r="C24" s="169" t="s">
        <v>843</v>
      </c>
      <c r="D24" s="170" t="s">
        <v>856</v>
      </c>
      <c r="E24" s="46" t="s">
        <v>849</v>
      </c>
      <c r="F24" s="46" t="s">
        <v>847</v>
      </c>
      <c r="G24" s="171">
        <v>1</v>
      </c>
      <c r="H24" s="181"/>
      <c r="I24" s="185">
        <v>49220</v>
      </c>
      <c r="J24" s="181"/>
    </row>
    <row r="25" spans="1:10" ht="20.100000000000001" customHeight="1">
      <c r="A25" s="167">
        <f t="shared" si="0"/>
        <v>22</v>
      </c>
      <c r="B25" s="168">
        <v>46173</v>
      </c>
      <c r="C25" s="169" t="s">
        <v>843</v>
      </c>
      <c r="D25" s="170" t="s">
        <v>856</v>
      </c>
      <c r="E25" s="186" t="s">
        <v>849</v>
      </c>
      <c r="F25" s="46" t="s">
        <v>819</v>
      </c>
      <c r="G25" s="171">
        <v>1</v>
      </c>
      <c r="H25" s="181"/>
      <c r="I25" s="185">
        <v>126260</v>
      </c>
      <c r="J25" s="181"/>
    </row>
    <row r="26" spans="1:10" ht="20.100000000000001" customHeight="1">
      <c r="A26" s="167">
        <f t="shared" si="0"/>
        <v>23</v>
      </c>
      <c r="B26" s="168">
        <v>46173</v>
      </c>
      <c r="C26" s="169" t="s">
        <v>843</v>
      </c>
      <c r="D26" s="170" t="s">
        <v>856</v>
      </c>
      <c r="E26" s="46" t="s">
        <v>850</v>
      </c>
      <c r="F26" s="46" t="s">
        <v>821</v>
      </c>
      <c r="G26" s="171">
        <v>1</v>
      </c>
      <c r="H26" s="181"/>
      <c r="I26" s="185">
        <v>36630</v>
      </c>
      <c r="J26" s="181"/>
    </row>
    <row r="27" spans="1:10" ht="20.100000000000001" customHeight="1">
      <c r="A27" s="167">
        <f t="shared" si="0"/>
        <v>24</v>
      </c>
      <c r="B27" s="168">
        <v>46173</v>
      </c>
      <c r="C27" s="169" t="s">
        <v>843</v>
      </c>
      <c r="D27" s="170" t="s">
        <v>856</v>
      </c>
      <c r="E27" s="46" t="s">
        <v>851</v>
      </c>
      <c r="F27" s="46" t="s">
        <v>852</v>
      </c>
      <c r="G27" s="171">
        <v>1</v>
      </c>
      <c r="H27" s="181"/>
      <c r="I27" s="185">
        <v>58820</v>
      </c>
      <c r="J27" s="181"/>
    </row>
    <row r="28" spans="1:10" ht="20.100000000000001" customHeight="1">
      <c r="A28" s="167">
        <f t="shared" si="0"/>
        <v>25</v>
      </c>
      <c r="B28" s="168">
        <v>46173</v>
      </c>
      <c r="C28" s="169" t="s">
        <v>843</v>
      </c>
      <c r="D28" s="170" t="s">
        <v>856</v>
      </c>
      <c r="E28" s="186" t="s">
        <v>853</v>
      </c>
      <c r="F28" s="46" t="s">
        <v>854</v>
      </c>
      <c r="G28" s="171">
        <v>1</v>
      </c>
      <c r="H28" s="181"/>
      <c r="I28" s="185">
        <v>34500</v>
      </c>
      <c r="J28" s="181"/>
    </row>
    <row r="29" spans="1:10" ht="20.100000000000001" customHeight="1">
      <c r="A29" s="167">
        <f t="shared" si="0"/>
        <v>26</v>
      </c>
      <c r="B29" s="168">
        <v>46173</v>
      </c>
      <c r="C29" s="169" t="s">
        <v>843</v>
      </c>
      <c r="D29" s="170" t="s">
        <v>856</v>
      </c>
      <c r="E29" s="186" t="s">
        <v>855</v>
      </c>
      <c r="F29" s="46" t="s">
        <v>854</v>
      </c>
      <c r="G29" s="171">
        <v>1</v>
      </c>
      <c r="H29" s="181"/>
      <c r="I29" s="185">
        <v>14410</v>
      </c>
      <c r="J29" s="181"/>
    </row>
    <row r="30" spans="1:10" ht="20.100000000000001" customHeight="1">
      <c r="A30" s="167">
        <f t="shared" si="0"/>
        <v>27</v>
      </c>
      <c r="B30" s="168">
        <v>46173</v>
      </c>
      <c r="C30" s="169" t="s">
        <v>843</v>
      </c>
      <c r="D30" s="170" t="s">
        <v>856</v>
      </c>
      <c r="E30" s="46" t="s">
        <v>834</v>
      </c>
      <c r="F30" s="46" t="s">
        <v>819</v>
      </c>
      <c r="G30" s="171">
        <v>1</v>
      </c>
      <c r="H30" s="181"/>
      <c r="I30" s="185">
        <v>65160</v>
      </c>
      <c r="J30" s="181"/>
    </row>
    <row r="31" spans="1:10" ht="20.100000000000001" customHeight="1">
      <c r="A31" s="167">
        <f t="shared" si="0"/>
        <v>28</v>
      </c>
      <c r="B31" s="168">
        <v>46173</v>
      </c>
      <c r="C31" s="169" t="s">
        <v>843</v>
      </c>
      <c r="D31" s="170" t="s">
        <v>856</v>
      </c>
      <c r="E31" s="46" t="s">
        <v>834</v>
      </c>
      <c r="F31" s="46" t="s">
        <v>847</v>
      </c>
      <c r="G31" s="171">
        <v>1</v>
      </c>
      <c r="H31" s="181"/>
      <c r="I31" s="185">
        <v>69390</v>
      </c>
      <c r="J31" s="181"/>
    </row>
    <row r="32" spans="1:10" ht="20.100000000000001" customHeight="1">
      <c r="A32" s="167">
        <f t="shared" si="0"/>
        <v>29</v>
      </c>
      <c r="B32" s="168">
        <v>46173</v>
      </c>
      <c r="C32" s="169" t="s">
        <v>843</v>
      </c>
      <c r="D32" s="170" t="s">
        <v>856</v>
      </c>
      <c r="E32" s="46" t="s">
        <v>834</v>
      </c>
      <c r="F32" s="46" t="s">
        <v>854</v>
      </c>
      <c r="G32" s="171">
        <v>1</v>
      </c>
      <c r="H32" s="181"/>
      <c r="I32" s="185">
        <v>31330</v>
      </c>
      <c r="J32" s="181"/>
    </row>
    <row r="33" spans="1:10" ht="20.100000000000001" customHeight="1">
      <c r="A33" s="167">
        <f t="shared" si="0"/>
        <v>30</v>
      </c>
      <c r="B33" s="168">
        <v>46173</v>
      </c>
      <c r="C33" s="169" t="s">
        <v>843</v>
      </c>
      <c r="D33" s="170" t="s">
        <v>856</v>
      </c>
      <c r="E33" s="46" t="s">
        <v>838</v>
      </c>
      <c r="F33" s="46" t="s">
        <v>847</v>
      </c>
      <c r="G33" s="171">
        <v>1</v>
      </c>
      <c r="H33" s="181"/>
      <c r="I33" s="185">
        <v>99540</v>
      </c>
      <c r="J33" s="181"/>
    </row>
    <row r="34" spans="1:10" ht="20.100000000000001" customHeight="1">
      <c r="A34" s="167">
        <f t="shared" si="0"/>
        <v>31</v>
      </c>
      <c r="B34" s="168">
        <v>46173</v>
      </c>
      <c r="C34" s="169" t="s">
        <v>843</v>
      </c>
      <c r="D34" s="170" t="s">
        <v>856</v>
      </c>
      <c r="E34" s="46" t="s">
        <v>839</v>
      </c>
      <c r="F34" s="46" t="s">
        <v>854</v>
      </c>
      <c r="G34" s="171">
        <v>1</v>
      </c>
      <c r="H34" s="181"/>
      <c r="I34" s="185">
        <v>62960</v>
      </c>
      <c r="J34" s="181"/>
    </row>
    <row r="35" spans="1:10" ht="20.100000000000001" customHeight="1">
      <c r="A35" s="167">
        <f t="shared" si="0"/>
        <v>32</v>
      </c>
      <c r="B35" s="168">
        <v>46173</v>
      </c>
      <c r="C35" s="169" t="s">
        <v>843</v>
      </c>
      <c r="D35" s="170" t="s">
        <v>856</v>
      </c>
      <c r="E35" s="46" t="s">
        <v>840</v>
      </c>
      <c r="F35" s="46" t="s">
        <v>847</v>
      </c>
      <c r="G35" s="171">
        <v>1</v>
      </c>
      <c r="H35" s="181"/>
      <c r="I35" s="185">
        <v>80910</v>
      </c>
      <c r="J35" s="181"/>
    </row>
    <row r="36" spans="1:10" ht="20.100000000000001" customHeight="1">
      <c r="A36" s="167">
        <f t="shared" si="0"/>
        <v>33</v>
      </c>
      <c r="B36" s="168">
        <v>46173</v>
      </c>
      <c r="C36" s="169" t="s">
        <v>843</v>
      </c>
      <c r="D36" s="170" t="s">
        <v>856</v>
      </c>
      <c r="E36" s="46" t="s">
        <v>841</v>
      </c>
      <c r="F36" s="46" t="s">
        <v>819</v>
      </c>
      <c r="G36" s="171">
        <v>1</v>
      </c>
      <c r="H36" s="181"/>
      <c r="I36" s="185">
        <v>89330</v>
      </c>
      <c r="J36" s="181"/>
    </row>
    <row r="37" spans="1:10" ht="20.100000000000001" customHeight="1">
      <c r="A37" s="167">
        <f t="shared" si="0"/>
        <v>34</v>
      </c>
      <c r="B37" s="168">
        <v>46173</v>
      </c>
      <c r="C37" s="169" t="s">
        <v>843</v>
      </c>
      <c r="D37" s="170" t="s">
        <v>856</v>
      </c>
      <c r="E37" s="46" t="s">
        <v>842</v>
      </c>
      <c r="F37" s="46" t="s">
        <v>854</v>
      </c>
      <c r="G37" s="171">
        <v>1</v>
      </c>
      <c r="H37" s="181"/>
      <c r="I37" s="185">
        <v>123080</v>
      </c>
      <c r="J37" s="181"/>
    </row>
    <row r="38" spans="1:10" ht="20.100000000000001" customHeight="1">
      <c r="A38" s="167">
        <f t="shared" si="0"/>
        <v>35</v>
      </c>
      <c r="B38" s="168">
        <v>46173</v>
      </c>
      <c r="C38" s="169" t="s">
        <v>843</v>
      </c>
      <c r="D38" s="170" t="s">
        <v>857</v>
      </c>
      <c r="E38" s="46" t="s">
        <v>845</v>
      </c>
      <c r="F38" s="46" t="s">
        <v>819</v>
      </c>
      <c r="G38" s="171">
        <v>1</v>
      </c>
      <c r="H38" s="181"/>
      <c r="I38" s="185">
        <v>37500</v>
      </c>
      <c r="J38" s="181"/>
    </row>
    <row r="39" spans="1:10" ht="20.100000000000001" customHeight="1">
      <c r="A39" s="167">
        <f t="shared" si="0"/>
        <v>36</v>
      </c>
      <c r="B39" s="168">
        <v>46173</v>
      </c>
      <c r="C39" s="169" t="s">
        <v>843</v>
      </c>
      <c r="D39" s="170" t="s">
        <v>857</v>
      </c>
      <c r="E39" s="186" t="s">
        <v>846</v>
      </c>
      <c r="F39" s="46" t="s">
        <v>847</v>
      </c>
      <c r="G39" s="171">
        <v>1</v>
      </c>
      <c r="H39" s="181"/>
      <c r="I39" s="185">
        <v>34040</v>
      </c>
      <c r="J39" s="181"/>
    </row>
    <row r="40" spans="1:10" ht="20.100000000000001" customHeight="1">
      <c r="A40" s="167">
        <f t="shared" si="0"/>
        <v>37</v>
      </c>
      <c r="B40" s="168">
        <v>46173</v>
      </c>
      <c r="C40" s="169" t="s">
        <v>843</v>
      </c>
      <c r="D40" s="170" t="s">
        <v>857</v>
      </c>
      <c r="E40" s="46" t="s">
        <v>848</v>
      </c>
      <c r="F40" s="46" t="s">
        <v>819</v>
      </c>
      <c r="G40" s="171">
        <v>1</v>
      </c>
      <c r="H40" s="181"/>
      <c r="I40" s="185">
        <v>47870</v>
      </c>
      <c r="J40" s="181"/>
    </row>
    <row r="41" spans="1:10" ht="20.100000000000001" customHeight="1">
      <c r="A41" s="167">
        <f t="shared" si="0"/>
        <v>38</v>
      </c>
      <c r="B41" s="168">
        <v>46173</v>
      </c>
      <c r="C41" s="169" t="s">
        <v>843</v>
      </c>
      <c r="D41" s="170" t="s">
        <v>857</v>
      </c>
      <c r="E41" s="46" t="s">
        <v>849</v>
      </c>
      <c r="F41" s="46" t="s">
        <v>847</v>
      </c>
      <c r="G41" s="171">
        <v>1</v>
      </c>
      <c r="H41" s="181"/>
      <c r="I41" s="185">
        <v>30580</v>
      </c>
      <c r="J41" s="181"/>
    </row>
    <row r="42" spans="1:10" ht="20.100000000000001" customHeight="1">
      <c r="A42" s="167">
        <f t="shared" si="0"/>
        <v>39</v>
      </c>
      <c r="B42" s="168">
        <v>46173</v>
      </c>
      <c r="C42" s="169" t="s">
        <v>843</v>
      </c>
      <c r="D42" s="170" t="s">
        <v>857</v>
      </c>
      <c r="E42" s="186" t="s">
        <v>849</v>
      </c>
      <c r="F42" s="46" t="s">
        <v>819</v>
      </c>
      <c r="G42" s="171">
        <v>1</v>
      </c>
      <c r="H42" s="181"/>
      <c r="I42" s="185">
        <v>47870</v>
      </c>
      <c r="J42" s="181"/>
    </row>
    <row r="43" spans="1:10" ht="20.100000000000001" customHeight="1">
      <c r="A43" s="167">
        <f t="shared" si="0"/>
        <v>40</v>
      </c>
      <c r="B43" s="168">
        <v>46173</v>
      </c>
      <c r="C43" s="169" t="s">
        <v>843</v>
      </c>
      <c r="D43" s="170" t="s">
        <v>857</v>
      </c>
      <c r="E43" s="46" t="s">
        <v>850</v>
      </c>
      <c r="F43" s="46" t="s">
        <v>821</v>
      </c>
      <c r="G43" s="171">
        <v>1</v>
      </c>
      <c r="H43" s="181"/>
      <c r="I43" s="185">
        <v>30580</v>
      </c>
      <c r="J43" s="181"/>
    </row>
    <row r="44" spans="1:10" ht="20.100000000000001" customHeight="1">
      <c r="A44" s="167">
        <f t="shared" si="0"/>
        <v>41</v>
      </c>
      <c r="B44" s="168">
        <v>46173</v>
      </c>
      <c r="C44" s="169" t="s">
        <v>843</v>
      </c>
      <c r="D44" s="170" t="s">
        <v>857</v>
      </c>
      <c r="E44" s="46" t="s">
        <v>851</v>
      </c>
      <c r="F44" s="46" t="s">
        <v>852</v>
      </c>
      <c r="G44" s="171">
        <v>1</v>
      </c>
      <c r="H44" s="181"/>
      <c r="I44" s="185">
        <v>23660</v>
      </c>
      <c r="J44" s="181"/>
    </row>
    <row r="45" spans="1:10" ht="20.100000000000001" customHeight="1">
      <c r="A45" s="167">
        <f t="shared" si="0"/>
        <v>42</v>
      </c>
      <c r="B45" s="168">
        <v>46173</v>
      </c>
      <c r="C45" s="169" t="s">
        <v>843</v>
      </c>
      <c r="D45" s="170" t="s">
        <v>857</v>
      </c>
      <c r="E45" s="186" t="s">
        <v>853</v>
      </c>
      <c r="F45" s="46" t="s">
        <v>854</v>
      </c>
      <c r="G45" s="171">
        <v>1</v>
      </c>
      <c r="H45" s="181"/>
      <c r="I45" s="185">
        <v>13290</v>
      </c>
      <c r="J45" s="181"/>
    </row>
    <row r="46" spans="1:10" ht="20.100000000000001" customHeight="1">
      <c r="A46" s="167">
        <f t="shared" si="0"/>
        <v>43</v>
      </c>
      <c r="B46" s="168">
        <v>46173</v>
      </c>
      <c r="C46" s="169" t="s">
        <v>843</v>
      </c>
      <c r="D46" s="170" t="s">
        <v>857</v>
      </c>
      <c r="E46" s="186" t="s">
        <v>855</v>
      </c>
      <c r="F46" s="46" t="s">
        <v>854</v>
      </c>
      <c r="G46" s="171">
        <v>1</v>
      </c>
      <c r="H46" s="181"/>
      <c r="I46" s="185">
        <v>18480</v>
      </c>
      <c r="J46" s="181"/>
    </row>
    <row r="47" spans="1:10" ht="20.100000000000001" customHeight="1">
      <c r="A47" s="167">
        <f t="shared" si="0"/>
        <v>44</v>
      </c>
      <c r="B47" s="168">
        <v>46173</v>
      </c>
      <c r="C47" s="169" t="s">
        <v>843</v>
      </c>
      <c r="D47" s="170" t="s">
        <v>857</v>
      </c>
      <c r="E47" s="46" t="s">
        <v>834</v>
      </c>
      <c r="F47" s="46" t="s">
        <v>819</v>
      </c>
      <c r="G47" s="171">
        <v>1</v>
      </c>
      <c r="H47" s="181"/>
      <c r="I47" s="185">
        <v>42680</v>
      </c>
      <c r="J47" s="181"/>
    </row>
    <row r="48" spans="1:10" ht="20.100000000000001" customHeight="1">
      <c r="A48" s="167">
        <f t="shared" si="0"/>
        <v>45</v>
      </c>
      <c r="B48" s="168">
        <v>46173</v>
      </c>
      <c r="C48" s="169" t="s">
        <v>843</v>
      </c>
      <c r="D48" s="170" t="s">
        <v>857</v>
      </c>
      <c r="E48" s="46" t="s">
        <v>834</v>
      </c>
      <c r="F48" s="46" t="s">
        <v>847</v>
      </c>
      <c r="G48" s="171">
        <v>1</v>
      </c>
      <c r="H48" s="181"/>
      <c r="I48" s="185">
        <v>65160</v>
      </c>
      <c r="J48" s="181"/>
    </row>
    <row r="49" spans="1:10" ht="20.100000000000001" customHeight="1">
      <c r="A49" s="167">
        <f t="shared" si="0"/>
        <v>46</v>
      </c>
      <c r="B49" s="168">
        <v>46173</v>
      </c>
      <c r="C49" s="169" t="s">
        <v>843</v>
      </c>
      <c r="D49" s="170" t="s">
        <v>857</v>
      </c>
      <c r="E49" s="46" t="s">
        <v>834</v>
      </c>
      <c r="F49" s="46" t="s">
        <v>854</v>
      </c>
      <c r="G49" s="171">
        <v>1</v>
      </c>
      <c r="H49" s="181"/>
      <c r="I49" s="185">
        <v>25390</v>
      </c>
      <c r="J49" s="181"/>
    </row>
    <row r="50" spans="1:10" ht="20.100000000000001" customHeight="1">
      <c r="A50" s="167">
        <f t="shared" si="0"/>
        <v>47</v>
      </c>
      <c r="B50" s="168">
        <v>46173</v>
      </c>
      <c r="C50" s="169" t="s">
        <v>843</v>
      </c>
      <c r="D50" s="170" t="s">
        <v>857</v>
      </c>
      <c r="E50" s="46" t="s">
        <v>838</v>
      </c>
      <c r="F50" s="46" t="s">
        <v>847</v>
      </c>
      <c r="G50" s="171">
        <v>1</v>
      </c>
      <c r="H50" s="181"/>
      <c r="I50" s="185">
        <v>34040</v>
      </c>
      <c r="J50" s="181"/>
    </row>
    <row r="51" spans="1:10" ht="20.100000000000001" customHeight="1">
      <c r="A51" s="167">
        <f t="shared" si="0"/>
        <v>48</v>
      </c>
      <c r="B51" s="168">
        <v>46173</v>
      </c>
      <c r="C51" s="169" t="s">
        <v>843</v>
      </c>
      <c r="D51" s="170" t="s">
        <v>857</v>
      </c>
      <c r="E51" s="46" t="s">
        <v>839</v>
      </c>
      <c r="F51" s="46" t="s">
        <v>854</v>
      </c>
      <c r="G51" s="171">
        <v>1</v>
      </c>
      <c r="H51" s="181"/>
      <c r="I51" s="185">
        <v>37500</v>
      </c>
      <c r="J51" s="181"/>
    </row>
    <row r="52" spans="1:10" ht="20.100000000000001" customHeight="1">
      <c r="A52" s="167">
        <f t="shared" si="0"/>
        <v>49</v>
      </c>
      <c r="B52" s="168">
        <v>46173</v>
      </c>
      <c r="C52" s="169" t="s">
        <v>843</v>
      </c>
      <c r="D52" s="170" t="s">
        <v>857</v>
      </c>
      <c r="E52" s="46" t="s">
        <v>840</v>
      </c>
      <c r="F52" s="46" t="s">
        <v>847</v>
      </c>
      <c r="G52" s="171">
        <v>1</v>
      </c>
      <c r="H52" s="181"/>
      <c r="I52" s="185">
        <v>44420</v>
      </c>
      <c r="J52" s="181"/>
    </row>
    <row r="53" spans="1:10" ht="20.100000000000001" customHeight="1">
      <c r="A53" s="167">
        <f t="shared" si="0"/>
        <v>50</v>
      </c>
      <c r="B53" s="168">
        <v>46173</v>
      </c>
      <c r="C53" s="169" t="s">
        <v>843</v>
      </c>
      <c r="D53" s="170" t="s">
        <v>857</v>
      </c>
      <c r="E53" s="46" t="s">
        <v>841</v>
      </c>
      <c r="F53" s="46" t="s">
        <v>819</v>
      </c>
      <c r="G53" s="171">
        <v>1</v>
      </c>
      <c r="H53" s="181"/>
      <c r="I53" s="185">
        <v>40950</v>
      </c>
      <c r="J53" s="181"/>
    </row>
    <row r="54" spans="1:10" ht="20.100000000000001" customHeight="1">
      <c r="A54" s="167">
        <f t="shared" si="0"/>
        <v>51</v>
      </c>
      <c r="B54" s="168">
        <v>46173</v>
      </c>
      <c r="C54" s="169" t="s">
        <v>843</v>
      </c>
      <c r="D54" s="170" t="s">
        <v>857</v>
      </c>
      <c r="E54" s="46" t="s">
        <v>842</v>
      </c>
      <c r="F54" s="46" t="s">
        <v>854</v>
      </c>
      <c r="G54" s="171">
        <v>1</v>
      </c>
      <c r="H54" s="181"/>
      <c r="I54" s="185">
        <v>54790</v>
      </c>
      <c r="J54" s="181"/>
    </row>
    <row r="55" spans="1:10" ht="20.100000000000001" customHeight="1">
      <c r="A55" s="167">
        <f t="shared" si="0"/>
        <v>52</v>
      </c>
      <c r="B55" s="168">
        <v>46173</v>
      </c>
      <c r="C55" s="169" t="s">
        <v>843</v>
      </c>
      <c r="D55" s="170" t="s">
        <v>844</v>
      </c>
      <c r="E55" s="46" t="s">
        <v>858</v>
      </c>
      <c r="F55" s="46" t="s">
        <v>821</v>
      </c>
      <c r="G55" s="171">
        <v>1</v>
      </c>
      <c r="H55" s="191"/>
      <c r="I55" s="173">
        <v>22950</v>
      </c>
      <c r="J55" s="174"/>
    </row>
    <row r="56" spans="1:10" ht="20.100000000000001" customHeight="1">
      <c r="A56" s="167">
        <f t="shared" si="0"/>
        <v>53</v>
      </c>
      <c r="B56" s="168">
        <v>46173</v>
      </c>
      <c r="C56" s="169" t="s">
        <v>843</v>
      </c>
      <c r="D56" s="170" t="s">
        <v>856</v>
      </c>
      <c r="E56" s="46" t="s">
        <v>858</v>
      </c>
      <c r="F56" s="46" t="s">
        <v>821</v>
      </c>
      <c r="G56" s="171">
        <v>1</v>
      </c>
      <c r="H56" s="181"/>
      <c r="I56" s="185">
        <v>51570</v>
      </c>
      <c r="J56" s="181"/>
    </row>
    <row r="57" spans="1:10" ht="20.100000000000001" customHeight="1">
      <c r="A57" s="167">
        <f t="shared" si="0"/>
        <v>54</v>
      </c>
      <c r="B57" s="168">
        <v>46173</v>
      </c>
      <c r="C57" s="169" t="s">
        <v>843</v>
      </c>
      <c r="D57" s="170" t="s">
        <v>857</v>
      </c>
      <c r="E57" s="46" t="s">
        <v>858</v>
      </c>
      <c r="F57" s="46" t="s">
        <v>821</v>
      </c>
      <c r="G57" s="171">
        <v>1</v>
      </c>
      <c r="H57" s="181"/>
      <c r="I57" s="185">
        <v>70350</v>
      </c>
      <c r="J57" s="181"/>
    </row>
    <row r="58" spans="1:10" ht="20.100000000000001" customHeight="1">
      <c r="A58" s="167">
        <f t="shared" si="0"/>
        <v>55</v>
      </c>
      <c r="B58" s="168">
        <v>46173</v>
      </c>
      <c r="C58" s="169" t="s">
        <v>843</v>
      </c>
      <c r="D58" s="170" t="s">
        <v>859</v>
      </c>
      <c r="E58" s="46" t="s">
        <v>858</v>
      </c>
      <c r="F58" s="46" t="s">
        <v>821</v>
      </c>
      <c r="G58" s="171">
        <v>1</v>
      </c>
      <c r="H58" s="181"/>
      <c r="I58" s="185">
        <v>250000</v>
      </c>
      <c r="J58" s="181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4:E5">
    <cfRule type="expression" priority="17" stopIfTrue="1">
      <formula>AND(COUNTIF($E$5:$E$5, E4)+COUNTIF(#REF!, E4)+COUNTIF(#REF!, E4)&gt;1,NOT(ISBLANK(E4)))</formula>
    </cfRule>
  </conditionalFormatting>
  <conditionalFormatting sqref="E6">
    <cfRule type="duplicateValues" priority="18"/>
  </conditionalFormatting>
  <conditionalFormatting sqref="E7">
    <cfRule type="duplicateValues" priority="16"/>
  </conditionalFormatting>
  <conditionalFormatting sqref="E13">
    <cfRule type="duplicateValues" priority="15"/>
  </conditionalFormatting>
  <conditionalFormatting sqref="E14">
    <cfRule type="duplicateValues" priority="14"/>
  </conditionalFormatting>
  <conditionalFormatting sqref="E21:E22">
    <cfRule type="expression" priority="12" stopIfTrue="1">
      <formula>AND(COUNTIF($E$5:$E$5, E21)+COUNTIF(#REF!, E21)+COUNTIF(#REF!, E21)&gt;1,NOT(ISBLANK(E21)))</formula>
    </cfRule>
  </conditionalFormatting>
  <conditionalFormatting sqref="E23">
    <cfRule type="duplicateValues" priority="13"/>
  </conditionalFormatting>
  <conditionalFormatting sqref="E24">
    <cfRule type="duplicateValues" priority="11"/>
  </conditionalFormatting>
  <conditionalFormatting sqref="E30">
    <cfRule type="duplicateValues" priority="10"/>
  </conditionalFormatting>
  <conditionalFormatting sqref="E31">
    <cfRule type="duplicateValues" priority="9"/>
  </conditionalFormatting>
  <conditionalFormatting sqref="E38:E39">
    <cfRule type="expression" priority="7" stopIfTrue="1">
      <formula>AND(COUNTIF($E$5:$E$5, E38)+COUNTIF(#REF!, E38)+COUNTIF(#REF!, E38)&gt;1,NOT(ISBLANK(E38)))</formula>
    </cfRule>
  </conditionalFormatting>
  <conditionalFormatting sqref="E40">
    <cfRule type="duplicateValues" priority="8"/>
  </conditionalFormatting>
  <conditionalFormatting sqref="E41">
    <cfRule type="duplicateValues" priority="6"/>
  </conditionalFormatting>
  <conditionalFormatting sqref="E47">
    <cfRule type="duplicateValues" priority="5"/>
  </conditionalFormatting>
  <conditionalFormatting sqref="E48">
    <cfRule type="duplicateValues" priority="4"/>
  </conditionalFormatting>
  <conditionalFormatting sqref="E55">
    <cfRule type="duplicateValues" priority="3"/>
  </conditionalFormatting>
  <conditionalFormatting sqref="E56">
    <cfRule type="duplicateValues" priority="2"/>
  </conditionalFormatting>
  <conditionalFormatting sqref="E57:E58">
    <cfRule type="duplicateValues" priority="1"/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82" fitToHeight="0" orientation="landscape" r:id="rId1"/>
  <headerFooter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33"/>
  <sheetViews>
    <sheetView view="pageBreakPreview" zoomScale="115" zoomScaleNormal="100" zoomScaleSheetLayoutView="115" workbookViewId="0">
      <selection activeCell="I14" sqref="I14"/>
    </sheetView>
  </sheetViews>
  <sheetFormatPr defaultRowHeight="16.5"/>
  <cols>
    <col min="1" max="1" width="9" style="55"/>
    <col min="2" max="3" width="12.625" style="55" customWidth="1"/>
    <col min="4" max="4" width="22.875" style="55" bestFit="1" customWidth="1"/>
    <col min="5" max="5" width="31.375" style="55" bestFit="1" customWidth="1"/>
    <col min="6" max="6" width="10.625" style="55" customWidth="1"/>
    <col min="7" max="7" width="8.125" style="55" customWidth="1"/>
    <col min="8" max="8" width="10.5" style="55" bestFit="1" customWidth="1"/>
    <col min="9" max="9" width="13.625" style="55" customWidth="1"/>
    <col min="10" max="10" width="35.625" style="55" customWidth="1"/>
    <col min="11" max="12" width="9" style="55"/>
  </cols>
  <sheetData>
    <row r="1" spans="1:12" ht="35.1" customHeight="1">
      <c r="A1" s="342" t="s">
        <v>266</v>
      </c>
      <c r="B1" s="343"/>
      <c r="C1" s="343"/>
      <c r="D1" s="343"/>
      <c r="E1" s="343"/>
      <c r="F1" s="343"/>
      <c r="G1" s="343"/>
      <c r="H1" s="343"/>
      <c r="I1" s="343"/>
      <c r="J1" s="344"/>
    </row>
    <row r="2" spans="1:12" ht="24.95" customHeight="1">
      <c r="A2" s="345" t="s">
        <v>267</v>
      </c>
      <c r="B2" s="345" t="s">
        <v>268</v>
      </c>
      <c r="C2" s="345" t="s">
        <v>110</v>
      </c>
      <c r="D2" s="345" t="s">
        <v>269</v>
      </c>
      <c r="E2" s="345" t="s">
        <v>270</v>
      </c>
      <c r="F2" s="345" t="s">
        <v>271</v>
      </c>
      <c r="G2" s="345" t="s">
        <v>272</v>
      </c>
      <c r="H2" s="345" t="s">
        <v>273</v>
      </c>
      <c r="I2" s="143" t="s">
        <v>274</v>
      </c>
      <c r="J2" s="345" t="s">
        <v>247</v>
      </c>
    </row>
    <row r="3" spans="1:12" ht="24.95" customHeight="1">
      <c r="A3" s="345"/>
      <c r="B3" s="345"/>
      <c r="C3" s="345"/>
      <c r="D3" s="345"/>
      <c r="E3" s="345"/>
      <c r="F3" s="345"/>
      <c r="G3" s="345"/>
      <c r="H3" s="345"/>
      <c r="I3" s="144">
        <f>SUM(I4:I10)</f>
        <v>34475819</v>
      </c>
      <c r="J3" s="345"/>
      <c r="L3" s="145" t="s">
        <v>275</v>
      </c>
    </row>
    <row r="4" spans="1:12" ht="15" customHeight="1">
      <c r="A4" s="156">
        <f>ROW()-3</f>
        <v>1</v>
      </c>
      <c r="B4" s="182">
        <v>46167</v>
      </c>
      <c r="C4" s="46" t="s">
        <v>860</v>
      </c>
      <c r="D4" s="46" t="s">
        <v>861</v>
      </c>
      <c r="E4" s="46" t="s">
        <v>862</v>
      </c>
      <c r="F4" s="46">
        <v>1</v>
      </c>
      <c r="G4" s="46"/>
      <c r="H4" s="184">
        <v>1221818</v>
      </c>
      <c r="I4" s="184">
        <f>F4*H4</f>
        <v>1221818</v>
      </c>
      <c r="J4" s="46" t="s">
        <v>249</v>
      </c>
      <c r="L4" s="146" t="s">
        <v>276</v>
      </c>
    </row>
    <row r="5" spans="1:12" ht="15" customHeight="1">
      <c r="A5" s="156">
        <f>ROW()-3</f>
        <v>2</v>
      </c>
      <c r="B5" s="182">
        <v>46167</v>
      </c>
      <c r="C5" s="46" t="s">
        <v>860</v>
      </c>
      <c r="D5" s="46" t="s">
        <v>861</v>
      </c>
      <c r="E5" s="46" t="s">
        <v>863</v>
      </c>
      <c r="F5" s="46">
        <v>70</v>
      </c>
      <c r="G5" s="46"/>
      <c r="H5" s="184">
        <v>7000</v>
      </c>
      <c r="I5" s="184">
        <f t="shared" ref="I5:I11" si="0">F5*H5</f>
        <v>490000</v>
      </c>
      <c r="J5" s="46" t="s">
        <v>249</v>
      </c>
      <c r="L5" s="146" t="s">
        <v>277</v>
      </c>
    </row>
    <row r="6" spans="1:12" ht="15" customHeight="1">
      <c r="A6" s="156">
        <f t="shared" ref="A6:A11" si="1">ROW()-3</f>
        <v>3</v>
      </c>
      <c r="B6" s="182">
        <v>46167</v>
      </c>
      <c r="C6" s="46" t="s">
        <v>860</v>
      </c>
      <c r="D6" s="46" t="s">
        <v>861</v>
      </c>
      <c r="E6" s="46" t="s">
        <v>864</v>
      </c>
      <c r="F6" s="46">
        <v>1</v>
      </c>
      <c r="G6" s="46"/>
      <c r="H6" s="184">
        <v>1937273</v>
      </c>
      <c r="I6" s="184">
        <f t="shared" si="0"/>
        <v>1937273</v>
      </c>
      <c r="J6" s="46" t="s">
        <v>249</v>
      </c>
      <c r="L6" s="146" t="s">
        <v>278</v>
      </c>
    </row>
    <row r="7" spans="1:12" ht="15" customHeight="1">
      <c r="A7" s="156">
        <f t="shared" si="1"/>
        <v>4</v>
      </c>
      <c r="B7" s="182">
        <v>46167</v>
      </c>
      <c r="C7" s="46" t="s">
        <v>860</v>
      </c>
      <c r="D7" s="46" t="s">
        <v>861</v>
      </c>
      <c r="E7" s="46" t="s">
        <v>865</v>
      </c>
      <c r="F7" s="46">
        <v>4168</v>
      </c>
      <c r="G7" s="46"/>
      <c r="H7" s="184">
        <v>7000</v>
      </c>
      <c r="I7" s="184">
        <f t="shared" si="0"/>
        <v>29176000</v>
      </c>
      <c r="J7" s="46" t="s">
        <v>249</v>
      </c>
      <c r="L7" s="146" t="s">
        <v>279</v>
      </c>
    </row>
    <row r="8" spans="1:12" ht="15" customHeight="1">
      <c r="A8" s="156">
        <f t="shared" si="1"/>
        <v>5</v>
      </c>
      <c r="B8" s="182">
        <v>46167</v>
      </c>
      <c r="C8" s="46" t="s">
        <v>860</v>
      </c>
      <c r="D8" s="46" t="s">
        <v>861</v>
      </c>
      <c r="E8" s="46" t="s">
        <v>866</v>
      </c>
      <c r="F8" s="46">
        <v>65</v>
      </c>
      <c r="G8" s="46"/>
      <c r="H8" s="184">
        <v>7000</v>
      </c>
      <c r="I8" s="184">
        <f t="shared" si="0"/>
        <v>455000</v>
      </c>
      <c r="J8" s="46" t="s">
        <v>249</v>
      </c>
      <c r="L8" s="147" t="s">
        <v>280</v>
      </c>
    </row>
    <row r="9" spans="1:12" ht="15" customHeight="1">
      <c r="A9" s="156">
        <f t="shared" si="1"/>
        <v>6</v>
      </c>
      <c r="B9" s="182">
        <v>46167</v>
      </c>
      <c r="C9" s="46" t="s">
        <v>860</v>
      </c>
      <c r="D9" s="46" t="s">
        <v>861</v>
      </c>
      <c r="E9" s="46" t="s">
        <v>867</v>
      </c>
      <c r="F9" s="46">
        <v>1</v>
      </c>
      <c r="G9" s="46"/>
      <c r="H9" s="184">
        <v>1046273</v>
      </c>
      <c r="I9" s="184">
        <f t="shared" si="0"/>
        <v>1046273</v>
      </c>
      <c r="J9" s="46" t="s">
        <v>249</v>
      </c>
      <c r="L9" s="147" t="s">
        <v>281</v>
      </c>
    </row>
    <row r="10" spans="1:12" ht="15" customHeight="1">
      <c r="A10" s="156">
        <f t="shared" si="1"/>
        <v>7</v>
      </c>
      <c r="B10" s="182">
        <v>46167</v>
      </c>
      <c r="C10" s="46" t="s">
        <v>860</v>
      </c>
      <c r="D10" s="46" t="s">
        <v>861</v>
      </c>
      <c r="E10" s="46" t="s">
        <v>868</v>
      </c>
      <c r="F10" s="46">
        <v>1</v>
      </c>
      <c r="G10" s="46"/>
      <c r="H10" s="184">
        <v>149455</v>
      </c>
      <c r="I10" s="184">
        <f t="shared" si="0"/>
        <v>149455</v>
      </c>
      <c r="J10" s="46" t="s">
        <v>249</v>
      </c>
      <c r="L10" s="147" t="s">
        <v>282</v>
      </c>
    </row>
    <row r="11" spans="1:12" ht="15" customHeight="1">
      <c r="A11" s="156">
        <f t="shared" si="1"/>
        <v>8</v>
      </c>
      <c r="B11" s="182">
        <v>46173</v>
      </c>
      <c r="C11" s="46" t="s">
        <v>869</v>
      </c>
      <c r="D11" s="46"/>
      <c r="E11" s="46" t="s">
        <v>870</v>
      </c>
      <c r="F11" s="46">
        <v>1</v>
      </c>
      <c r="G11" s="46"/>
      <c r="H11" s="184">
        <v>2547636</v>
      </c>
      <c r="I11" s="184">
        <f t="shared" si="0"/>
        <v>2547636</v>
      </c>
      <c r="J11" s="46"/>
      <c r="L11" s="147" t="s">
        <v>283</v>
      </c>
    </row>
    <row r="12" spans="1:12" ht="15" customHeight="1">
      <c r="A12" s="183"/>
      <c r="B12" s="183"/>
      <c r="C12" s="183"/>
      <c r="D12" s="183"/>
      <c r="E12" s="183"/>
      <c r="F12" s="183"/>
      <c r="G12" s="183"/>
      <c r="H12" s="183"/>
      <c r="I12" s="183"/>
      <c r="J12" s="183"/>
      <c r="L12" s="147"/>
    </row>
    <row r="13" spans="1:12">
      <c r="A13" s="183"/>
      <c r="B13" s="183"/>
      <c r="C13" s="183"/>
      <c r="D13" s="183"/>
      <c r="E13" s="183"/>
      <c r="F13" s="183"/>
      <c r="G13" s="183"/>
      <c r="H13" s="183"/>
      <c r="I13" s="183"/>
      <c r="J13" s="183"/>
      <c r="L13" s="55" t="s">
        <v>284</v>
      </c>
    </row>
    <row r="14" spans="1:12">
      <c r="D14" s="183"/>
    </row>
    <row r="15" spans="1:12">
      <c r="D15" s="183"/>
    </row>
    <row r="16" spans="1:12">
      <c r="D16" s="183"/>
    </row>
    <row r="17" spans="4:9">
      <c r="D17" s="183"/>
      <c r="I17" s="178"/>
    </row>
    <row r="18" spans="4:9">
      <c r="D18" s="183"/>
      <c r="I18" s="178"/>
    </row>
    <row r="19" spans="4:9">
      <c r="D19" s="183"/>
    </row>
    <row r="20" spans="4:9">
      <c r="D20" s="183"/>
    </row>
    <row r="21" spans="4:9">
      <c r="D21" s="183"/>
    </row>
    <row r="22" spans="4:9">
      <c r="D22" s="183"/>
    </row>
    <row r="23" spans="4:9">
      <c r="D23" s="183"/>
    </row>
    <row r="24" spans="4:9">
      <c r="D24" s="183"/>
    </row>
    <row r="25" spans="4:9">
      <c r="D25" s="183"/>
    </row>
    <row r="26" spans="4:9">
      <c r="D26" s="183"/>
    </row>
    <row r="27" spans="4:9">
      <c r="D27" s="183"/>
    </row>
    <row r="28" spans="4:9">
      <c r="D28" s="183"/>
    </row>
    <row r="29" spans="4:9">
      <c r="D29" s="183"/>
    </row>
    <row r="30" spans="4:9">
      <c r="D30" s="183"/>
    </row>
    <row r="31" spans="4:9">
      <c r="D31" s="183"/>
    </row>
    <row r="32" spans="4:9">
      <c r="D32" s="183"/>
    </row>
    <row r="33" spans="4:4">
      <c r="D33" s="183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77" fitToHeight="0" orientation="landscape" r:id="rId1"/>
  <headerFooter>
    <oddFooter>&amp;C&amp;P/&amp;N</oddFooter>
  </headerFooter>
  <colBreaks count="1" manualBreakCount="1">
    <brk id="1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28"/>
  <sheetViews>
    <sheetView view="pageBreakPreview" zoomScale="85" zoomScaleNormal="100" zoomScaleSheetLayoutView="85" workbookViewId="0">
      <selection activeCell="O22" sqref="O22"/>
    </sheetView>
  </sheetViews>
  <sheetFormatPr defaultRowHeight="16.5"/>
  <cols>
    <col min="2" max="2" width="11.125" bestFit="1" customWidth="1"/>
    <col min="3" max="3" width="10.625" bestFit="1" customWidth="1"/>
    <col min="4" max="4" width="32.25" customWidth="1"/>
    <col min="5" max="5" width="19.875" style="37" bestFit="1" customWidth="1"/>
    <col min="6" max="6" width="9" style="37"/>
    <col min="7" max="7" width="10.5" style="37" bestFit="1" customWidth="1"/>
    <col min="8" max="8" width="10.5" style="37" customWidth="1"/>
    <col min="9" max="9" width="18" customWidth="1"/>
    <col min="12" max="12" width="10" bestFit="1" customWidth="1"/>
  </cols>
  <sheetData>
    <row r="1" spans="1:20" ht="35.1" customHeight="1">
      <c r="A1" s="346" t="s">
        <v>285</v>
      </c>
      <c r="B1" s="346"/>
      <c r="C1" s="346"/>
      <c r="D1" s="346"/>
      <c r="E1" s="346"/>
      <c r="F1" s="346"/>
      <c r="G1" s="346"/>
      <c r="H1" s="346"/>
      <c r="I1" s="346"/>
      <c r="J1" s="55"/>
      <c r="K1" s="55"/>
      <c r="L1" s="55"/>
    </row>
    <row r="2" spans="1:20" ht="24.95" customHeight="1">
      <c r="A2" s="345" t="s">
        <v>286</v>
      </c>
      <c r="B2" s="347" t="s">
        <v>287</v>
      </c>
      <c r="C2" s="347" t="s">
        <v>288</v>
      </c>
      <c r="D2" s="348" t="s">
        <v>279</v>
      </c>
      <c r="E2" s="347" t="s">
        <v>280</v>
      </c>
      <c r="F2" s="347" t="s">
        <v>255</v>
      </c>
      <c r="G2" s="349" t="s">
        <v>289</v>
      </c>
      <c r="H2" s="148" t="s">
        <v>290</v>
      </c>
      <c r="I2" s="347" t="s">
        <v>291</v>
      </c>
      <c r="J2" s="55"/>
      <c r="K2" s="55"/>
      <c r="L2" s="55"/>
    </row>
    <row r="3" spans="1:20" ht="24.95" customHeight="1">
      <c r="A3" s="345"/>
      <c r="B3" s="347"/>
      <c r="C3" s="347"/>
      <c r="D3" s="348"/>
      <c r="E3" s="347"/>
      <c r="F3" s="347"/>
      <c r="G3" s="349"/>
      <c r="H3" s="149">
        <f>SUM(H4:H28)</f>
        <v>953690.90909090894</v>
      </c>
      <c r="I3" s="347"/>
      <c r="J3" s="55"/>
      <c r="K3" s="179" t="s">
        <v>248</v>
      </c>
      <c r="L3" s="147"/>
      <c r="M3" s="147"/>
      <c r="N3" s="147"/>
      <c r="O3" s="147"/>
      <c r="P3" s="147"/>
      <c r="Q3" s="147"/>
      <c r="R3" s="147"/>
      <c r="S3" s="147"/>
      <c r="T3" s="147"/>
    </row>
    <row r="4" spans="1:20" ht="15" customHeight="1">
      <c r="A4" s="156">
        <f t="shared" ref="A4:A28" si="0">ROW()-3</f>
        <v>1</v>
      </c>
      <c r="B4" s="168">
        <v>46146</v>
      </c>
      <c r="C4" s="174" t="s">
        <v>871</v>
      </c>
      <c r="D4" s="174" t="s">
        <v>872</v>
      </c>
      <c r="E4" s="175" t="s">
        <v>873</v>
      </c>
      <c r="F4" s="174">
        <v>1</v>
      </c>
      <c r="G4" s="176">
        <v>63636.363636363632</v>
      </c>
      <c r="H4" s="176">
        <f>F4*G4</f>
        <v>63636.363636363632</v>
      </c>
      <c r="I4" s="184"/>
      <c r="J4" s="55"/>
      <c r="K4" s="146" t="s">
        <v>297</v>
      </c>
      <c r="L4" s="147"/>
      <c r="M4" s="147"/>
      <c r="N4" s="147"/>
      <c r="O4" s="147"/>
      <c r="P4" s="147"/>
      <c r="Q4" s="147"/>
      <c r="R4" s="147"/>
      <c r="S4" s="147"/>
      <c r="T4" s="147"/>
    </row>
    <row r="5" spans="1:20" ht="15" customHeight="1">
      <c r="A5" s="156">
        <f t="shared" si="0"/>
        <v>2</v>
      </c>
      <c r="B5" s="168">
        <v>46149</v>
      </c>
      <c r="C5" s="174" t="s">
        <v>871</v>
      </c>
      <c r="D5" s="174" t="s">
        <v>872</v>
      </c>
      <c r="E5" s="175" t="s">
        <v>874</v>
      </c>
      <c r="F5" s="174">
        <v>1</v>
      </c>
      <c r="G5" s="176">
        <v>63636.363636363632</v>
      </c>
      <c r="H5" s="176">
        <f t="shared" ref="H5:H15" si="1">F5*G5</f>
        <v>63636.363636363632</v>
      </c>
      <c r="I5" s="184"/>
      <c r="J5" s="55"/>
      <c r="K5" s="146" t="s">
        <v>287</v>
      </c>
      <c r="L5" s="147"/>
      <c r="M5" s="147"/>
      <c r="N5" s="147"/>
      <c r="O5" s="147"/>
      <c r="P5" s="147"/>
      <c r="Q5" s="147"/>
      <c r="R5" s="147"/>
      <c r="S5" s="147"/>
      <c r="T5" s="147"/>
    </row>
    <row r="6" spans="1:20" ht="15" customHeight="1">
      <c r="A6" s="156">
        <f t="shared" si="0"/>
        <v>3</v>
      </c>
      <c r="B6" s="168">
        <v>46153</v>
      </c>
      <c r="C6" s="174" t="s">
        <v>871</v>
      </c>
      <c r="D6" s="174" t="s">
        <v>872</v>
      </c>
      <c r="E6" s="175" t="s">
        <v>875</v>
      </c>
      <c r="F6" s="174">
        <v>1</v>
      </c>
      <c r="G6" s="176">
        <v>63636.363636363632</v>
      </c>
      <c r="H6" s="176">
        <f t="shared" si="1"/>
        <v>63636.363636363632</v>
      </c>
      <c r="I6" s="184"/>
      <c r="J6" s="55"/>
      <c r="K6" s="146" t="s">
        <v>251</v>
      </c>
      <c r="L6" s="147"/>
      <c r="M6" s="147"/>
      <c r="N6" s="147"/>
      <c r="O6" s="147"/>
      <c r="P6" s="147"/>
      <c r="Q6" s="147"/>
      <c r="R6" s="147"/>
      <c r="S6" s="147"/>
      <c r="T6" s="147"/>
    </row>
    <row r="7" spans="1:20" ht="15" customHeight="1">
      <c r="A7" s="156">
        <f t="shared" si="0"/>
        <v>4</v>
      </c>
      <c r="B7" s="168">
        <v>46154</v>
      </c>
      <c r="C7" s="174" t="s">
        <v>871</v>
      </c>
      <c r="D7" s="174" t="s">
        <v>872</v>
      </c>
      <c r="E7" s="175" t="s">
        <v>876</v>
      </c>
      <c r="F7" s="174">
        <v>1</v>
      </c>
      <c r="G7" s="176">
        <v>63636.363636363632</v>
      </c>
      <c r="H7" s="176">
        <f>F7*G7</f>
        <v>63636.363636363632</v>
      </c>
      <c r="I7" s="184"/>
      <c r="J7" s="55"/>
      <c r="K7" s="146" t="s">
        <v>252</v>
      </c>
      <c r="L7" s="147"/>
      <c r="M7" s="147"/>
      <c r="N7" s="147"/>
      <c r="O7" s="147"/>
      <c r="P7" s="147"/>
      <c r="Q7" s="147"/>
      <c r="R7" s="147"/>
      <c r="S7" s="147"/>
      <c r="T7" s="147"/>
    </row>
    <row r="8" spans="1:20" ht="15" customHeight="1">
      <c r="A8" s="156">
        <f t="shared" si="0"/>
        <v>5</v>
      </c>
      <c r="B8" s="168">
        <v>46154</v>
      </c>
      <c r="C8" s="174" t="s">
        <v>871</v>
      </c>
      <c r="D8" s="174" t="s">
        <v>872</v>
      </c>
      <c r="E8" s="175" t="s">
        <v>876</v>
      </c>
      <c r="F8" s="174">
        <v>1</v>
      </c>
      <c r="G8" s="176">
        <v>13636.363636363636</v>
      </c>
      <c r="H8" s="176">
        <f>F8*G8</f>
        <v>13636.363636363636</v>
      </c>
      <c r="I8" s="184" t="s">
        <v>877</v>
      </c>
      <c r="J8" s="55"/>
      <c r="K8" s="146" t="s">
        <v>298</v>
      </c>
      <c r="L8" s="147"/>
      <c r="M8" s="147"/>
      <c r="N8" s="147"/>
      <c r="O8" s="147"/>
      <c r="P8" s="147"/>
      <c r="Q8" s="147"/>
      <c r="R8" s="147"/>
      <c r="S8" s="147"/>
      <c r="T8" s="147"/>
    </row>
    <row r="9" spans="1:20" ht="15" customHeight="1">
      <c r="A9" s="156">
        <f t="shared" si="0"/>
        <v>6</v>
      </c>
      <c r="B9" s="168">
        <v>46156</v>
      </c>
      <c r="C9" s="174" t="s">
        <v>871</v>
      </c>
      <c r="D9" s="174" t="s">
        <v>872</v>
      </c>
      <c r="E9" s="175" t="s">
        <v>876</v>
      </c>
      <c r="F9" s="174">
        <v>1</v>
      </c>
      <c r="G9" s="176">
        <v>63636.363636363632</v>
      </c>
      <c r="H9" s="176">
        <f>F9*G9</f>
        <v>63636.363636363632</v>
      </c>
      <c r="I9" s="184"/>
      <c r="J9" s="55"/>
      <c r="K9" s="147" t="s">
        <v>255</v>
      </c>
      <c r="L9" s="147"/>
      <c r="M9" s="147"/>
      <c r="N9" s="147"/>
      <c r="O9" s="147"/>
      <c r="P9" s="147"/>
      <c r="Q9" s="147"/>
      <c r="R9" s="147"/>
      <c r="S9" s="147"/>
      <c r="T9" s="147"/>
    </row>
    <row r="10" spans="1:20" ht="15" customHeight="1">
      <c r="A10" s="156">
        <f t="shared" si="0"/>
        <v>7</v>
      </c>
      <c r="B10" s="168">
        <v>46157</v>
      </c>
      <c r="C10" s="174" t="s">
        <v>871</v>
      </c>
      <c r="D10" s="174" t="s">
        <v>872</v>
      </c>
      <c r="E10" s="175" t="s">
        <v>876</v>
      </c>
      <c r="F10" s="174">
        <v>1</v>
      </c>
      <c r="G10" s="176">
        <v>45454.545454545449</v>
      </c>
      <c r="H10" s="176">
        <f t="shared" si="1"/>
        <v>45454.545454545449</v>
      </c>
      <c r="I10" s="184"/>
      <c r="J10" s="55"/>
      <c r="K10" s="147" t="s">
        <v>289</v>
      </c>
      <c r="L10" s="180"/>
      <c r="M10" s="147"/>
      <c r="N10" s="147"/>
      <c r="O10" s="147"/>
      <c r="P10" s="147"/>
      <c r="Q10" s="147"/>
      <c r="R10" s="147"/>
      <c r="S10" s="147"/>
      <c r="T10" s="147"/>
    </row>
    <row r="11" spans="1:20" ht="15" customHeight="1">
      <c r="A11" s="156">
        <f t="shared" si="0"/>
        <v>8</v>
      </c>
      <c r="B11" s="168">
        <v>46161</v>
      </c>
      <c r="C11" s="174" t="s">
        <v>871</v>
      </c>
      <c r="D11" s="174" t="s">
        <v>872</v>
      </c>
      <c r="E11" s="175" t="s">
        <v>876</v>
      </c>
      <c r="F11" s="174">
        <v>1</v>
      </c>
      <c r="G11" s="176">
        <v>63636.363636363632</v>
      </c>
      <c r="H11" s="176">
        <f t="shared" si="1"/>
        <v>63636.363636363632</v>
      </c>
      <c r="I11" s="184"/>
      <c r="J11" s="55"/>
      <c r="K11" s="147"/>
      <c r="L11" s="180"/>
      <c r="M11" s="147"/>
      <c r="N11" s="147"/>
      <c r="O11" s="147"/>
      <c r="P11" s="147"/>
      <c r="Q11" s="147"/>
      <c r="R11" s="147"/>
      <c r="S11" s="147"/>
      <c r="T11" s="147"/>
    </row>
    <row r="12" spans="1:20" ht="15" customHeight="1">
      <c r="A12" s="156">
        <f t="shared" si="0"/>
        <v>9</v>
      </c>
      <c r="B12" s="168">
        <v>46163</v>
      </c>
      <c r="C12" s="174" t="s">
        <v>871</v>
      </c>
      <c r="D12" s="174" t="s">
        <v>872</v>
      </c>
      <c r="E12" s="175" t="s">
        <v>876</v>
      </c>
      <c r="F12" s="174">
        <v>1</v>
      </c>
      <c r="G12" s="176">
        <v>63636.363636363632</v>
      </c>
      <c r="H12" s="176">
        <f>F12*G12</f>
        <v>63636.363636363632</v>
      </c>
      <c r="I12" s="184"/>
      <c r="J12" s="55"/>
      <c r="K12" s="179" t="s">
        <v>308</v>
      </c>
      <c r="L12" s="180"/>
      <c r="M12" s="180"/>
      <c r="N12" s="180"/>
      <c r="O12" s="180"/>
      <c r="P12" s="180"/>
      <c r="Q12" s="180"/>
      <c r="R12" s="180"/>
      <c r="S12" s="180"/>
      <c r="T12" s="180"/>
    </row>
    <row r="13" spans="1:20" ht="15" customHeight="1">
      <c r="A13" s="156">
        <f t="shared" si="0"/>
        <v>10</v>
      </c>
      <c r="B13" s="168">
        <v>46164</v>
      </c>
      <c r="C13" s="174" t="s">
        <v>871</v>
      </c>
      <c r="D13" s="174" t="s">
        <v>872</v>
      </c>
      <c r="E13" s="175" t="s">
        <v>876</v>
      </c>
      <c r="F13" s="174">
        <v>1</v>
      </c>
      <c r="G13" s="176">
        <v>54545.454545454544</v>
      </c>
      <c r="H13" s="176">
        <f>F13*G13</f>
        <v>54545.454545454544</v>
      </c>
      <c r="I13" s="184"/>
      <c r="J13" s="55"/>
      <c r="K13" s="55"/>
      <c r="L13" s="55"/>
    </row>
    <row r="14" spans="1:20" ht="15" customHeight="1">
      <c r="A14" s="156">
        <f t="shared" si="0"/>
        <v>11</v>
      </c>
      <c r="B14" s="168">
        <v>46168</v>
      </c>
      <c r="C14" s="174" t="s">
        <v>871</v>
      </c>
      <c r="D14" s="174" t="s">
        <v>872</v>
      </c>
      <c r="E14" s="175" t="s">
        <v>876</v>
      </c>
      <c r="F14" s="174">
        <v>1</v>
      </c>
      <c r="G14" s="176">
        <v>63636.363636363632</v>
      </c>
      <c r="H14" s="176">
        <f t="shared" si="1"/>
        <v>63636.363636363632</v>
      </c>
      <c r="I14" s="184"/>
      <c r="J14" s="55"/>
      <c r="L14" s="55"/>
    </row>
    <row r="15" spans="1:20" ht="15" customHeight="1">
      <c r="A15" s="156">
        <f t="shared" si="0"/>
        <v>12</v>
      </c>
      <c r="B15" s="168">
        <v>46170</v>
      </c>
      <c r="C15" s="174" t="s">
        <v>871</v>
      </c>
      <c r="D15" s="174" t="s">
        <v>872</v>
      </c>
      <c r="E15" s="175" t="s">
        <v>876</v>
      </c>
      <c r="F15" s="174">
        <v>1</v>
      </c>
      <c r="G15" s="176">
        <v>63636.363636363632</v>
      </c>
      <c r="H15" s="176">
        <f t="shared" si="1"/>
        <v>63636.363636363632</v>
      </c>
      <c r="I15" s="184"/>
      <c r="J15" s="55"/>
      <c r="L15" s="55"/>
    </row>
    <row r="16" spans="1:20" ht="15" customHeight="1">
      <c r="A16" s="156">
        <f t="shared" si="0"/>
        <v>13</v>
      </c>
      <c r="B16" s="168">
        <v>46149</v>
      </c>
      <c r="C16" s="174" t="s">
        <v>878</v>
      </c>
      <c r="D16" s="174" t="s">
        <v>879</v>
      </c>
      <c r="E16" s="175" t="s">
        <v>811</v>
      </c>
      <c r="F16" s="174">
        <v>24</v>
      </c>
      <c r="G16" s="176">
        <v>493.93939393939394</v>
      </c>
      <c r="H16" s="176">
        <v>11854.545454545454</v>
      </c>
      <c r="I16" s="184"/>
      <c r="J16" s="55"/>
      <c r="L16" s="55"/>
    </row>
    <row r="17" spans="1:12" ht="15" customHeight="1">
      <c r="A17" s="156">
        <f t="shared" si="0"/>
        <v>14</v>
      </c>
      <c r="B17" s="168">
        <v>46149</v>
      </c>
      <c r="C17" s="174" t="s">
        <v>878</v>
      </c>
      <c r="D17" s="174" t="s">
        <v>879</v>
      </c>
      <c r="E17" s="175" t="s">
        <v>811</v>
      </c>
      <c r="F17" s="174">
        <v>24</v>
      </c>
      <c r="G17" s="176">
        <v>333.71212121212119</v>
      </c>
      <c r="H17" s="176">
        <v>8009.0909090909081</v>
      </c>
      <c r="I17" s="184"/>
      <c r="J17" s="55"/>
      <c r="L17" s="55"/>
    </row>
    <row r="18" spans="1:12" ht="15" customHeight="1">
      <c r="A18" s="156">
        <f t="shared" si="0"/>
        <v>15</v>
      </c>
      <c r="B18" s="168">
        <v>46149</v>
      </c>
      <c r="C18" s="174" t="s">
        <v>878</v>
      </c>
      <c r="D18" s="174" t="s">
        <v>880</v>
      </c>
      <c r="E18" s="175" t="s">
        <v>811</v>
      </c>
      <c r="F18" s="174">
        <v>24</v>
      </c>
      <c r="G18" s="176">
        <v>174.24242424242422</v>
      </c>
      <c r="H18" s="176">
        <v>4181.8181818181811</v>
      </c>
      <c r="I18" s="184"/>
      <c r="J18" s="55"/>
      <c r="L18" s="55"/>
    </row>
    <row r="19" spans="1:12" ht="15" customHeight="1">
      <c r="A19" s="156">
        <f t="shared" si="0"/>
        <v>16</v>
      </c>
      <c r="B19" s="168">
        <v>46150</v>
      </c>
      <c r="C19" s="174" t="s">
        <v>878</v>
      </c>
      <c r="D19" s="174" t="s">
        <v>881</v>
      </c>
      <c r="E19" s="175" t="s">
        <v>811</v>
      </c>
      <c r="F19" s="174">
        <v>12</v>
      </c>
      <c r="G19" s="176">
        <v>530.30303030303025</v>
      </c>
      <c r="H19" s="176">
        <v>6363.6363636363631</v>
      </c>
      <c r="I19" s="184"/>
      <c r="J19" s="55"/>
      <c r="L19" s="55"/>
    </row>
    <row r="20" spans="1:12" ht="15" customHeight="1">
      <c r="A20" s="156">
        <f t="shared" si="0"/>
        <v>17</v>
      </c>
      <c r="B20" s="168">
        <v>46153</v>
      </c>
      <c r="C20" s="174" t="s">
        <v>878</v>
      </c>
      <c r="D20" s="174" t="s">
        <v>882</v>
      </c>
      <c r="E20" s="175" t="s">
        <v>811</v>
      </c>
      <c r="F20" s="174">
        <v>4</v>
      </c>
      <c r="G20" s="176">
        <v>10272.727272727272</v>
      </c>
      <c r="H20" s="176">
        <v>41090.909090909088</v>
      </c>
      <c r="I20" s="184"/>
      <c r="J20" s="55"/>
      <c r="K20" s="177"/>
      <c r="L20" s="178"/>
    </row>
    <row r="21" spans="1:12" ht="15" customHeight="1">
      <c r="A21" s="156">
        <f t="shared" si="0"/>
        <v>18</v>
      </c>
      <c r="B21" s="168">
        <v>46153</v>
      </c>
      <c r="C21" s="174" t="s">
        <v>878</v>
      </c>
      <c r="D21" s="174" t="s">
        <v>883</v>
      </c>
      <c r="E21" s="175" t="s">
        <v>811</v>
      </c>
      <c r="F21" s="174">
        <v>3</v>
      </c>
      <c r="G21" s="176">
        <v>13454.545454545454</v>
      </c>
      <c r="H21" s="176">
        <v>40363.63636363636</v>
      </c>
      <c r="I21" s="184"/>
      <c r="K21" s="177"/>
      <c r="L21" s="178"/>
    </row>
    <row r="22" spans="1:12" ht="15" customHeight="1">
      <c r="A22" s="156">
        <f t="shared" si="0"/>
        <v>19</v>
      </c>
      <c r="B22" s="168">
        <v>46161</v>
      </c>
      <c r="C22" s="174" t="s">
        <v>878</v>
      </c>
      <c r="D22" s="174" t="s">
        <v>884</v>
      </c>
      <c r="E22" s="175" t="s">
        <v>811</v>
      </c>
      <c r="F22" s="174">
        <v>5</v>
      </c>
      <c r="G22" s="176">
        <v>6203.6363636363631</v>
      </c>
      <c r="H22" s="176">
        <v>31018.181818181816</v>
      </c>
      <c r="I22" s="184"/>
      <c r="K22" s="177"/>
      <c r="L22" s="178"/>
    </row>
    <row r="23" spans="1:12" ht="15" customHeight="1">
      <c r="A23" s="156">
        <f t="shared" si="0"/>
        <v>20</v>
      </c>
      <c r="B23" s="168">
        <v>46164</v>
      </c>
      <c r="C23" s="174" t="s">
        <v>885</v>
      </c>
      <c r="D23" s="174" t="s">
        <v>886</v>
      </c>
      <c r="E23" s="175" t="s">
        <v>811</v>
      </c>
      <c r="F23" s="174">
        <v>1</v>
      </c>
      <c r="G23" s="176">
        <v>36181.818181818177</v>
      </c>
      <c r="H23" s="176">
        <v>36181.818181818177</v>
      </c>
      <c r="I23" s="184"/>
      <c r="K23" s="177"/>
      <c r="L23" s="178"/>
    </row>
    <row r="24" spans="1:12">
      <c r="A24" s="156">
        <f t="shared" si="0"/>
        <v>21</v>
      </c>
      <c r="B24" s="168">
        <v>46168</v>
      </c>
      <c r="C24" s="174" t="s">
        <v>878</v>
      </c>
      <c r="D24" s="174" t="s">
        <v>882</v>
      </c>
      <c r="E24" s="175" t="s">
        <v>811</v>
      </c>
      <c r="F24" s="174">
        <v>3</v>
      </c>
      <c r="G24" s="249">
        <v>10818.181818181818</v>
      </c>
      <c r="H24" s="249">
        <v>32454.545454545452</v>
      </c>
      <c r="I24" s="184"/>
    </row>
    <row r="25" spans="1:12">
      <c r="A25" s="156">
        <f t="shared" si="0"/>
        <v>22</v>
      </c>
      <c r="B25" s="169">
        <v>46168</v>
      </c>
      <c r="C25" s="191" t="s">
        <v>878</v>
      </c>
      <c r="D25" s="191" t="s">
        <v>887</v>
      </c>
      <c r="E25" s="191" t="s">
        <v>811</v>
      </c>
      <c r="F25" s="191">
        <v>1</v>
      </c>
      <c r="G25" s="173">
        <v>28954.545454545452</v>
      </c>
      <c r="H25" s="173">
        <v>28954.545454545452</v>
      </c>
      <c r="I25" s="191"/>
    </row>
    <row r="26" spans="1:12">
      <c r="A26" s="156">
        <f t="shared" si="0"/>
        <v>23</v>
      </c>
      <c r="B26" s="169">
        <v>46168</v>
      </c>
      <c r="C26" s="191" t="s">
        <v>878</v>
      </c>
      <c r="D26" s="191" t="s">
        <v>880</v>
      </c>
      <c r="E26" s="191" t="s">
        <v>811</v>
      </c>
      <c r="F26" s="191">
        <v>1</v>
      </c>
      <c r="G26" s="173">
        <v>4272.7272727272721</v>
      </c>
      <c r="H26" s="173">
        <v>4272.7272727272721</v>
      </c>
      <c r="I26" s="191"/>
    </row>
    <row r="27" spans="1:12">
      <c r="A27" s="156">
        <f t="shared" si="0"/>
        <v>24</v>
      </c>
      <c r="B27" s="169">
        <v>46168</v>
      </c>
      <c r="C27" s="169" t="s">
        <v>878</v>
      </c>
      <c r="D27" s="250" t="s">
        <v>879</v>
      </c>
      <c r="E27" s="191" t="s">
        <v>811</v>
      </c>
      <c r="F27" s="191">
        <v>12</v>
      </c>
      <c r="G27" s="173">
        <v>493.93939393939394</v>
      </c>
      <c r="H27" s="173">
        <v>5927.272727272727</v>
      </c>
      <c r="I27" s="191"/>
    </row>
    <row r="28" spans="1:12">
      <c r="A28" s="156">
        <f t="shared" si="0"/>
        <v>25</v>
      </c>
      <c r="B28" s="169">
        <v>46170</v>
      </c>
      <c r="C28" s="169" t="s">
        <v>878</v>
      </c>
      <c r="D28" s="250" t="s">
        <v>888</v>
      </c>
      <c r="E28" s="191" t="s">
        <v>811</v>
      </c>
      <c r="F28" s="191">
        <v>12</v>
      </c>
      <c r="G28" s="173">
        <v>1387.8787878787878</v>
      </c>
      <c r="H28" s="173">
        <v>16654.545454545452</v>
      </c>
      <c r="I28" s="191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99" fitToHeight="0" orientation="landscape" r:id="rId1"/>
  <headerFooter>
    <oddFooter>&amp;C&amp;P/&amp;N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6.5"/>
  <cols>
    <col min="2" max="2" width="8.625" customWidth="1"/>
    <col min="3" max="3" width="9.625" customWidth="1"/>
    <col min="4" max="4" width="16.625" customWidth="1"/>
    <col min="5" max="5" width="9.625" customWidth="1"/>
    <col min="7" max="7" width="8.625" customWidth="1"/>
    <col min="8" max="10" width="14.625" customWidth="1"/>
    <col min="12" max="12" width="8.625" customWidth="1"/>
    <col min="13" max="15" width="11.625" customWidth="1"/>
    <col min="17" max="17" width="9.625" customWidth="1"/>
    <col min="18" max="18" width="15.625" customWidth="1"/>
  </cols>
  <sheetData>
    <row r="2" spans="2:18" ht="30" customHeight="1">
      <c r="B2" s="350" t="s">
        <v>41</v>
      </c>
      <c r="C2" s="38" t="s">
        <v>37</v>
      </c>
      <c r="D2" s="38"/>
      <c r="E2" s="38" t="s">
        <v>40</v>
      </c>
    </row>
    <row r="3" spans="2:18" ht="30" customHeight="1">
      <c r="B3" s="351"/>
      <c r="C3" s="38" t="s">
        <v>38</v>
      </c>
      <c r="D3" s="38"/>
      <c r="E3" s="38" t="s">
        <v>40</v>
      </c>
    </row>
    <row r="4" spans="2:18" ht="30" customHeight="1">
      <c r="B4" s="351"/>
      <c r="C4" s="38" t="s">
        <v>39</v>
      </c>
      <c r="D4" s="38"/>
      <c r="E4" s="38" t="s">
        <v>40</v>
      </c>
    </row>
    <row r="6" spans="2:18" ht="48.95" customHeight="1">
      <c r="G6" s="350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5" customHeight="1">
      <c r="G7" s="350"/>
      <c r="H7" s="38"/>
      <c r="I7" s="38"/>
      <c r="J7" s="38"/>
      <c r="K7" s="37"/>
      <c r="L7" s="37"/>
      <c r="M7" s="37"/>
      <c r="N7" s="37"/>
      <c r="O7" s="37"/>
    </row>
    <row r="8" spans="2:18" ht="24.95" customHeight="1">
      <c r="G8" s="37"/>
      <c r="H8" s="37"/>
      <c r="I8" s="37"/>
      <c r="J8" s="37"/>
      <c r="K8" s="37"/>
      <c r="L8" s="352" t="s">
        <v>48</v>
      </c>
      <c r="M8" s="38" t="s">
        <v>44</v>
      </c>
      <c r="N8" s="38" t="s">
        <v>45</v>
      </c>
      <c r="O8" s="38" t="s">
        <v>46</v>
      </c>
    </row>
    <row r="9" spans="2:18" ht="39.950000000000003" customHeight="1">
      <c r="G9" s="37"/>
      <c r="H9" s="37"/>
      <c r="I9" s="37"/>
      <c r="J9" s="37"/>
      <c r="K9" s="37"/>
      <c r="L9" s="353"/>
      <c r="M9" s="38"/>
      <c r="N9" s="38"/>
      <c r="O9" s="38"/>
    </row>
    <row r="11" spans="2:18" ht="24.95" customHeight="1">
      <c r="Q11" s="38" t="s">
        <v>50</v>
      </c>
      <c r="R11" s="38" t="s">
        <v>53</v>
      </c>
    </row>
    <row r="12" spans="2:18" ht="24.95" customHeight="1">
      <c r="Q12" s="38" t="s">
        <v>51</v>
      </c>
      <c r="R12" s="38" t="s">
        <v>54</v>
      </c>
    </row>
    <row r="13" spans="2:18" ht="24.95" customHeight="1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0" sqref="C10"/>
    </sheetView>
  </sheetViews>
  <sheetFormatPr defaultRowHeight="16.5"/>
  <sheetData>
    <row r="3" spans="2:3">
      <c r="B3" s="354" t="s">
        <v>55</v>
      </c>
      <c r="C3" s="355"/>
    </row>
    <row r="4" spans="2:3">
      <c r="B4" s="40" t="s">
        <v>56</v>
      </c>
      <c r="C4" s="40" t="s">
        <v>57</v>
      </c>
    </row>
    <row r="5" spans="2:3">
      <c r="B5" s="38" t="s">
        <v>58</v>
      </c>
      <c r="C5" s="38">
        <v>0.25</v>
      </c>
    </row>
    <row r="6" spans="2:3">
      <c r="B6" s="38" t="s">
        <v>59</v>
      </c>
      <c r="C6" s="38">
        <v>0.5</v>
      </c>
    </row>
    <row r="7" spans="2:3">
      <c r="B7" s="38" t="s">
        <v>60</v>
      </c>
      <c r="C7" s="38">
        <v>0.75</v>
      </c>
    </row>
    <row r="8" spans="2:3">
      <c r="B8" s="38" t="s">
        <v>61</v>
      </c>
      <c r="C8" s="38">
        <v>1</v>
      </c>
    </row>
    <row r="9" spans="2:3">
      <c r="B9" s="38" t="s">
        <v>62</v>
      </c>
      <c r="C9" s="38">
        <v>1.25</v>
      </c>
    </row>
    <row r="10" spans="2:3">
      <c r="B10" s="38" t="s">
        <v>63</v>
      </c>
      <c r="C10" s="38">
        <v>1.5</v>
      </c>
    </row>
    <row r="11" spans="2:3">
      <c r="B11" s="38" t="s">
        <v>64</v>
      </c>
      <c r="C11" s="38">
        <v>2</v>
      </c>
    </row>
    <row r="12" spans="2:3">
      <c r="B12" s="38" t="s">
        <v>65</v>
      </c>
      <c r="C12" s="38">
        <v>2.5</v>
      </c>
    </row>
    <row r="13" spans="2:3">
      <c r="B13" s="38" t="s">
        <v>66</v>
      </c>
      <c r="C13" s="38">
        <v>3</v>
      </c>
    </row>
    <row r="14" spans="2:3">
      <c r="B14" s="38" t="s">
        <v>67</v>
      </c>
      <c r="C14" s="38">
        <v>4</v>
      </c>
    </row>
    <row r="15" spans="2:3">
      <c r="B15" s="38" t="s">
        <v>68</v>
      </c>
      <c r="C15" s="38">
        <v>4</v>
      </c>
    </row>
    <row r="16" spans="2:3">
      <c r="B16" s="38" t="s">
        <v>69</v>
      </c>
      <c r="C16" s="38">
        <v>5</v>
      </c>
    </row>
    <row r="17" spans="2:3">
      <c r="B17" s="38" t="s">
        <v>70</v>
      </c>
      <c r="C17" s="38">
        <v>6</v>
      </c>
    </row>
    <row r="18" spans="2:3">
      <c r="B18" s="38" t="s">
        <v>71</v>
      </c>
      <c r="C18" s="38">
        <v>7</v>
      </c>
    </row>
    <row r="19" spans="2:3">
      <c r="B19" s="38" t="s">
        <v>72</v>
      </c>
      <c r="C19" s="38">
        <v>8</v>
      </c>
    </row>
    <row r="20" spans="2:3">
      <c r="B20" s="38" t="s">
        <v>73</v>
      </c>
      <c r="C20" s="38">
        <v>9</v>
      </c>
    </row>
    <row r="21" spans="2:3">
      <c r="B21" s="38" t="s">
        <v>74</v>
      </c>
      <c r="C21" s="38">
        <v>10</v>
      </c>
    </row>
    <row r="22" spans="2:3">
      <c r="B22" s="38" t="s">
        <v>75</v>
      </c>
      <c r="C22" s="38">
        <v>12</v>
      </c>
    </row>
    <row r="23" spans="2:3">
      <c r="B23" s="38" t="s">
        <v>76</v>
      </c>
      <c r="C23" s="38">
        <v>14</v>
      </c>
    </row>
    <row r="24" spans="2:3">
      <c r="B24" s="38" t="s">
        <v>77</v>
      </c>
      <c r="C24" s="38">
        <v>16</v>
      </c>
    </row>
    <row r="25" spans="2:3">
      <c r="B25" s="38" t="s">
        <v>78</v>
      </c>
      <c r="C25" s="38">
        <v>18</v>
      </c>
    </row>
    <row r="26" spans="2:3">
      <c r="B26" s="38" t="s">
        <v>79</v>
      </c>
      <c r="C26" s="38">
        <v>20</v>
      </c>
    </row>
    <row r="27" spans="2:3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12</vt:i4>
      </vt:variant>
    </vt:vector>
  </HeadingPairs>
  <TitlesOfParts>
    <vt:vector size="27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(05월)</vt:lpstr>
      <vt:lpstr>용접기자재</vt:lpstr>
      <vt:lpstr>배관기자재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'물량 내역서'!Print_Area</vt:lpstr>
      <vt:lpstr>배관기자재!Print_Area</vt:lpstr>
      <vt:lpstr>숙소관리비!Print_Area</vt:lpstr>
      <vt:lpstr>숙소임차료!Print_Area</vt:lpstr>
      <vt:lpstr>식대비용!Print_Area</vt:lpstr>
      <vt:lpstr>'용역 청구서(갑지)'!Print_Area</vt:lpstr>
      <vt:lpstr>용접기자재!Print_Area</vt:lpstr>
      <vt:lpstr>집계장!Print_Area</vt:lpstr>
      <vt:lpstr>'내역서(을지)'!Print_Titles</vt:lpstr>
      <vt:lpstr>배관기자재!Print_Titles</vt:lpstr>
      <vt:lpstr>용접기자재!Print_Titles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ENCP0856DT</cp:lastModifiedBy>
  <cp:lastPrinted>2026-06-08T00:07:42Z</cp:lastPrinted>
  <dcterms:created xsi:type="dcterms:W3CDTF">2025-09-12T00:04:15Z</dcterms:created>
  <dcterms:modified xsi:type="dcterms:W3CDTF">2026-06-08T00:07:47Z</dcterms:modified>
</cp:coreProperties>
</file>