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2. P4\04. Ph4\03. 대내업무\02. 외주기성\05.2026년 02월 외주기성\03. 리도시스템\"/>
    </mc:Choice>
  </mc:AlternateContent>
  <xr:revisionPtr revIDLastSave="0" documentId="13_ncr:1_{FE9A0430-780C-4FBE-9FCD-97EB1BABA05C}" xr6:coauthVersionLast="36" xr6:coauthVersionMax="36" xr10:uidLastSave="{00000000-0000-0000-0000-000000000000}"/>
  <bookViews>
    <workbookView xWindow="0" yWindow="0" windowWidth="28800" windowHeight="12165" tabRatio="744" activeTab="3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물량 내역서" sheetId="7" r:id="rId6"/>
    <sheet name="근로내역 (2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LOSS" sheetId="14" r:id="rId12"/>
    <sheet name="서명란" sheetId="3" state="hidden" r:id="rId13"/>
    <sheet name="DIA-INCH" sheetId="4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">#REF!</definedName>
    <definedName name="_??_??_?C?g??">#REF!</definedName>
    <definedName name="___DAT1">[1]원본!#REF!</definedName>
    <definedName name="___DAT10">[1]원본!#REF!</definedName>
    <definedName name="___DAT12">[1]원본!#REF!</definedName>
    <definedName name="___DAT13">[1]원본!#REF!</definedName>
    <definedName name="___DAT14">[1]원본!#REF!</definedName>
    <definedName name="___DAT15">[1]원본!#REF!</definedName>
    <definedName name="___DAT16">[1]원본!#REF!</definedName>
    <definedName name="___DAT17">[1]원본!#REF!</definedName>
    <definedName name="___DAT18">[1]원본!#REF!</definedName>
    <definedName name="___DAT19">[1]원본!#REF!</definedName>
    <definedName name="___DAT2">[1]원본!#REF!</definedName>
    <definedName name="___DAT20">[1]원본!#REF!</definedName>
    <definedName name="___DAT3">[1]원본!#REF!</definedName>
    <definedName name="___DAT4">[1]원본!#REF!</definedName>
    <definedName name="___DAT5">#REF!</definedName>
    <definedName name="___DAT6">[1]원본!#REF!</definedName>
    <definedName name="___DAT7">[1]원본!#REF!</definedName>
    <definedName name="___DAT8">[1]원본!#REF!</definedName>
    <definedName name="___DAT9">[1]원본!#REF!</definedName>
    <definedName name="___FAB4" hidden="1">'[2]F4-F7'!#REF!</definedName>
    <definedName name="___QQ123">#REF!</definedName>
    <definedName name="__123Graph_A" hidden="1">#N/A</definedName>
    <definedName name="__123Graph_ACHART1" hidden="1">'[3]입찰내역 발주처 양식'!#REF!</definedName>
    <definedName name="__123Graph_ACURRENT" hidden="1">'[3]입찰내역 발주처 양식'!#REF!</definedName>
    <definedName name="__123Graph_B" hidden="1">'[4]입찰내역 발주처 양식'!#REF!</definedName>
    <definedName name="__123Graph_D" hidden="1">'[5]0226'!#REF!</definedName>
    <definedName name="__123Graph_X" hidden="1">#N/A</definedName>
    <definedName name="__123Graph_XCHART1" hidden="1">'[3]입찰내역 발주처 양식'!#REF!</definedName>
    <definedName name="__123Graph_XCURRENT" hidden="1">'[3]입찰내역 발주처 양식'!#REF!</definedName>
    <definedName name="__72" hidden="1">'[3]입찰내역 발주처 양식'!#REF!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IntlFixup" hidden="1">TRUE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" hidden="1">'[3]입찰내역 발주처 양식'!#REF!</definedName>
    <definedName name="_0101__장비_설치공사">#REF!</definedName>
    <definedName name="_0201__소화_장비설치공사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">[6]고정1!$A$416:$L$458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1P7_">'[7]118.세금과공과'!$A$46:$H$60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>#REF!</definedName>
    <definedName name="_1p11_">#REF!</definedName>
    <definedName name="_2">#REF!</definedName>
    <definedName name="_2__123Graph_ACHART_1A" hidden="1">'[3]입찰내역 발주처 양식'!#REF!</definedName>
    <definedName name="_2_0__123Grap" hidden="1">#N/A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0__123Grap" hidden="1">#N/A</definedName>
    <definedName name="_3_3__Crite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">[6]고정1!$A$146:$L$188</definedName>
    <definedName name="_4__123Graph_XCHART_1A" hidden="1">'[3]입찰내역 발주처 양식'!#REF!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">[6]고정1!$A$191:$L$233</definedName>
    <definedName name="_5_401K">#REF!</definedName>
    <definedName name="_50">#N/A</definedName>
    <definedName name="_51">#N/A</definedName>
    <definedName name="_52">#N/A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">[6]고정1!$A$236:$L$278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">[6]고정1!$A$281:$L$323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[6]고정1!$A$326:$L$368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">[6]고정1!$A$371:$L$413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">[1]원본!#REF!</definedName>
    <definedName name="_DAT10">[1]원본!#REF!</definedName>
    <definedName name="_DAT11">#REF!</definedName>
    <definedName name="_DAT12">[1]원본!#REF!</definedName>
    <definedName name="_DAT13">[1]원본!#REF!</definedName>
    <definedName name="_DAT14">[1]원본!#REF!</definedName>
    <definedName name="_DAT15">[1]원본!#REF!</definedName>
    <definedName name="_DAT16">[1]원본!#REF!</definedName>
    <definedName name="_DAT17">[1]원본!#REF!</definedName>
    <definedName name="_DAT18">[1]원본!#REF!</definedName>
    <definedName name="_DAT19">[1]원본!#REF!</definedName>
    <definedName name="_DAT2">[1]원본!#REF!</definedName>
    <definedName name="_DAT20">[1]원본!#REF!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[1]원본!#REF!</definedName>
    <definedName name="_DAT4">[1]원본!#REF!</definedName>
    <definedName name="_DAT5">#REF!</definedName>
    <definedName name="_DAT6">[1]원본!#REF!</definedName>
    <definedName name="_DAT7">[1]원본!#REF!</definedName>
    <definedName name="_DAT8">[1]원본!#REF!</definedName>
    <definedName name="_DAT9">[1]원본!#REF!</definedName>
    <definedName name="_Dist_Bin" hidden="1">#N/A</definedName>
    <definedName name="_FAB4" hidden="1">'[8]F4-F7'!#REF!</definedName>
    <definedName name="_Fill" hidden="1">#N/A</definedName>
    <definedName name="_xlnm._FilterDatabase" localSheetId="11" hidden="1">LOSS!$A$7:$Z$10</definedName>
    <definedName name="_xlnm._FilterDatabase" hidden="1">#REF!</definedName>
    <definedName name="_k" hidden="1">[9]프랜트면허!#REF!</definedName>
    <definedName name="_Key1" hidden="1">#REF!</definedName>
    <definedName name="_Key2" hidden="1">#N/A</definedName>
    <definedName name="_LP1">#REF!</definedName>
    <definedName name="_LP2">#REF!</definedName>
    <definedName name="_Order1" hidden="1">255</definedName>
    <definedName name="_Order2" hidden="1">0</definedName>
    <definedName name="_p11">#REF!</definedName>
    <definedName name="_p2">#REF!</definedName>
    <definedName name="_P7">'[7]118.세금과공과'!$A$46:$H$60</definedName>
    <definedName name="_Parse_In" hidden="1">[10]PriceSummary!#REF!</definedName>
    <definedName name="_Parse_Out" hidden="1">#N/A</definedName>
    <definedName name="_PH1">#REF!</definedName>
    <definedName name="_PP1">#REF!</definedName>
    <definedName name="_QQ123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" hidden="1">[9]토목주소!#REF!</definedName>
    <definedName name="_Sort" hidden="1">#REF!</definedName>
    <definedName name="_ST1">#N/A</definedName>
    <definedName name="\0">#REF!</definedName>
    <definedName name="\a">#REF!</definedName>
    <definedName name="\b">#REF!</definedName>
    <definedName name="\C">#REF!</definedName>
    <definedName name="\e">#N/A</definedName>
    <definedName name="\F">#REF!</definedName>
    <definedName name="\g">#N/A</definedName>
    <definedName name="\H">#REF!</definedName>
    <definedName name="\j">#N/A</definedName>
    <definedName name="\k">#REF!</definedName>
    <definedName name="\l">#REF!</definedName>
    <definedName name="\m">[11]매출원가_회사제시!#REF!</definedName>
    <definedName name="\n">#REF!</definedName>
    <definedName name="\o">#REF!</definedName>
    <definedName name="\p">#N/A</definedName>
    <definedName name="\q">#REF!</definedName>
    <definedName name="\R">#REF!</definedName>
    <definedName name="\s">#N/A</definedName>
    <definedName name="\t">#REF!</definedName>
    <definedName name="\u">#N/A</definedName>
    <definedName name="\W">#REF!</definedName>
    <definedName name="\x">#REF!</definedName>
    <definedName name="\y">#N/A</definedName>
    <definedName name="\z">#REF!</definedName>
    <definedName name="\주수">#N/A</definedName>
    <definedName name="①">[12]현재!#REF!</definedName>
    <definedName name="Ⅱ" hidden="1">{#N/A,#N/A,FALSE,"정공"}</definedName>
    <definedName name="a">[13]뒤차축소!$G$380:$S$381</definedName>
    <definedName name="A1..A2_">#N/A</definedName>
    <definedName name="A1..A200_">#N/A</definedName>
    <definedName name="A12..A13_">#N/A</definedName>
    <definedName name="AA">[0]!BlankMacro1</definedName>
    <definedName name="AAA">[0]!BlankMacro1</definedName>
    <definedName name="AAAAA">[0]!BlankMacro1</definedName>
    <definedName name="AAAAAAAA">[0]!BlankMacro1</definedName>
    <definedName name="AAAAS" hidden="1">{#N/A,#N/A,FALSE,"정공"}</definedName>
    <definedName name="AAAWERT">[0]!BlankMacro1</definedName>
    <definedName name="abc">[0]!BlankMacro1</definedName>
    <definedName name="ABCDEF" hidden="1">{#N/A,#N/A,FALSE,"정공"}</definedName>
    <definedName name="ABCD관리" hidden="1">{#N/A,#N/A,FALSE,"정공"}</definedName>
    <definedName name="Access_Button" hidden="1">"남가내역_data작업_List"</definedName>
    <definedName name="AccessDatabase" hidden="1">"C:\My Documents\입고현황_류\장비입고현황2.mdb"</definedName>
    <definedName name="ACCT">[14]DATA!$J$1:$J$970</definedName>
    <definedName name="acct_deal">#REF!</definedName>
    <definedName name="acct_reg">#REF!</definedName>
    <definedName name="ACDA" hidden="1">#N/A</definedName>
    <definedName name="Acount">[14]Configuration!$M$3</definedName>
    <definedName name="ACPERD">[14]Configuration!#REF!</definedName>
    <definedName name="ADC" hidden="1">#N/A</definedName>
    <definedName name="adv">#REF!</definedName>
    <definedName name="adv_board">#REF!</definedName>
    <definedName name="all">#REF!</definedName>
    <definedName name="AOCNFTHSDLR" hidden="1">{#N/A,#N/A,FALSE,"정공"}</definedName>
    <definedName name="AREA0002" hidden="1">#N/A</definedName>
    <definedName name="as">[0]!BlankMacro1</definedName>
    <definedName name="AS2DocOpenMode">"AS2DocumentEdit"</definedName>
    <definedName name="AS2ReportLS">1</definedName>
    <definedName name="AS2SyncStepLS">0</definedName>
    <definedName name="AS2VersionLS">300</definedName>
    <definedName name="asdf" hidden="1">{#N/A,#N/A,FALSE,"정공"}</definedName>
    <definedName name="asdfg">[0]!BlankMacro1</definedName>
    <definedName name="ass" hidden="1">#N/A</definedName>
    <definedName name="aut">#REF!</definedName>
    <definedName name="AV">#REF!</definedName>
    <definedName name="Avg.__calls_per_user">[15]Assumptions!#REF!</definedName>
    <definedName name="AWLBSRTDK">#REF!</definedName>
    <definedName name="axcdf" hidden="1">{#N/A,#N/A,FALSE,"정공"}</definedName>
    <definedName name="Aㅁ1505">#REF!</definedName>
    <definedName name="B">[16]BM_NEW2!#REF!</definedName>
    <definedName name="BALWOL">[14]DATA!$BF$1:$BF$970</definedName>
    <definedName name="BASE">#REF!</definedName>
    <definedName name="BASE_열">#REF!</definedName>
    <definedName name="bb">[0]!BlankMacro1</definedName>
    <definedName name="bbb">[0]!BlankMacro1</definedName>
    <definedName name="Bcount">[14]Configuration!$M$4</definedName>
    <definedName name="bcrclcl100rt">'[17]9-1차이내역'!#REF!</definedName>
    <definedName name="bcrclcl100rtrkrk">'[17]9-1차이내역'!#REF!</definedName>
    <definedName name="benef_tot">#REF!</definedName>
    <definedName name="Benefit_sub">#REF!</definedName>
    <definedName name="beta">#REF!</definedName>
    <definedName name="betas">#REF!</definedName>
    <definedName name="BG_Del">15</definedName>
    <definedName name="BG_Ins">4</definedName>
    <definedName name="BG_Mod">6</definedName>
    <definedName name="BMI_CARD68926.">#REF!</definedName>
    <definedName name="BS차이내역" hidden="1">{#N/A,#N/A,FALSE,"정공"}</definedName>
    <definedName name="C_D">#REF!</definedName>
    <definedName name="C_S">#REF!</definedName>
    <definedName name="C_SECL">#REF!</definedName>
    <definedName name="Calls_per_Month__Actuals">[15]Assumptions!#REF!</definedName>
    <definedName name="Calls_per_Month__estimated">[15]Assumptions!#REF!</definedName>
    <definedName name="CC">#REF!</definedName>
    <definedName name="ccc" hidden="1">{#N/A,#N/A,FALSE,"정공"}</definedName>
    <definedName name="CCCC">[0]!BlankMacro1</definedName>
    <definedName name="CD">#REF!</definedName>
    <definedName name="Cday">[14]Configuration!$K$2</definedName>
    <definedName name="CHDDOR">#REF!</definedName>
    <definedName name="CHK">[14]JournalSummary!#REF!</definedName>
    <definedName name="cho">[0]!BlankMacro1</definedName>
    <definedName name="Churn_Rate_of_New_Users">[15]Assumptions!#REF!</definedName>
    <definedName name="CKFKFL">[0]!BlankMacro1</definedName>
    <definedName name="Client">#REF!</definedName>
    <definedName name="CLIENT_NAME">#REF!</definedName>
    <definedName name="CM">#REF!</definedName>
    <definedName name="CMO">[18]F9804!$A$3:$K$6641</definedName>
    <definedName name="Cmonth">[14]Configuration!$I$2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>#REF!</definedName>
    <definedName name="CONC">#N/A</definedName>
    <definedName name="COND_D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">[14]DATA!$AP$1:$AP$950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year">[14]Configuration!$H$2</definedName>
    <definedName name="d">[19]뒤차축소!$G$380:$S$381</definedName>
    <definedName name="DANGA">#REF!,#REF!</definedName>
    <definedName name="datab">[20]고정자산원본!$A$1:$S$236</definedName>
    <definedName name="DATABAS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>#REF!</definedName>
    <definedName name="DD">#REF!</definedName>
    <definedName name="ddd">#REF!</definedName>
    <definedName name="DDDD">[0]!BlankMacro1</definedName>
    <definedName name="DDDDFGH">[0]!BlankMacro1</definedName>
    <definedName name="dddfg" hidden="1">{#N/A,#N/A,FALSE,"정공"}</definedName>
    <definedName name="dek">#REF!</definedName>
    <definedName name="dfdfdfd">[0]!BlankMacro1</definedName>
    <definedName name="DJHD">BlankMacro1</definedName>
    <definedName name="DJQAN">[0]!BlankMacro1</definedName>
    <definedName name="DR">[14]DATA!$AA$1:$AA$950</definedName>
    <definedName name="drsg">#REF!</definedName>
    <definedName name="DWGL_AREA">#REF!</definedName>
    <definedName name="E">#REF!</definedName>
    <definedName name="E5625RTDK">#REF!</definedName>
    <definedName name="edgh">#REF!</definedName>
    <definedName name="edtgh">#REF!</definedName>
    <definedName name="EEEEEE">[0]!BlankMacro1</definedName>
    <definedName name="EK" hidden="1">#N/A</definedName>
    <definedName name="ENCOST">#N/A</definedName>
    <definedName name="EOCK">'[21]118.세금과공과'!#REF!</definedName>
    <definedName name="EQPT_Rate">#REF!</definedName>
    <definedName name="er">#REF!</definedName>
    <definedName name="Exchange_Rate">#REF!</definedName>
    <definedName name="EXE">#N/A</definedName>
    <definedName name="exp_assoc">#REF!</definedName>
    <definedName name="exp_partn">#REF!</definedName>
    <definedName name="exp_princ">#REF!</definedName>
    <definedName name="Exp_sub">#REF!</definedName>
    <definedName name="exp_tot">#REF!</definedName>
    <definedName name="EXPAC">[14]WorkFile!#REF!</definedName>
    <definedName name="_xlnm.Extract">#REF!</definedName>
    <definedName name="Extract_MI">#REF!</definedName>
    <definedName name="f">#REF!</definedName>
    <definedName name="F5TF" hidden="1">[2]FAB별!#REF!</definedName>
    <definedName name="fdgz">#REF!</definedName>
    <definedName name="FEEL">#REF!</definedName>
    <definedName name="ff">#REF!</definedName>
    <definedName name="fff">[0]!BlankMacro1</definedName>
    <definedName name="FFFFFWRRQW">#REF!</definedName>
    <definedName name="FG22TBTB3RTDKDKDK">[22]차수!#REF!</definedName>
    <definedName name="FG46TBTB4RTDKDK">#REF!</definedName>
    <definedName name="fgfgggg">[0]!BlankMacro1</definedName>
    <definedName name="FOR">#N/A</definedName>
    <definedName name="fy">#REF!</definedName>
    <definedName name="g">[0]!BlankMacro1</definedName>
    <definedName name="gbe">[0]!BlankMacro1</definedName>
    <definedName name="GCONS">#REF!</definedName>
    <definedName name="GEMCO" hidden="1">#REF!</definedName>
    <definedName name="GG">#REF!</definedName>
    <definedName name="GONGJONG">#REF!</definedName>
    <definedName name="GRDS">#REF!</definedName>
    <definedName name="greg">[0]!BlankMacro1</definedName>
    <definedName name="grg">[0]!BlankMacro1</definedName>
    <definedName name="gt">[0]!BlankMacro1</definedName>
    <definedName name="gtr">[0]!BlankMacro1</definedName>
    <definedName name="H">#REF!</definedName>
    <definedName name="h.sys">#REF!</definedName>
    <definedName name="han" hidden="1">#REF!</definedName>
    <definedName name="hardwar" hidden="1">#REF!</definedName>
    <definedName name="HEADER">#REF!</definedName>
    <definedName name="HIGH" hidden="1">[23]FAB별!#REF!</definedName>
    <definedName name="HIP6400KA___91428_53429">#REF!</definedName>
    <definedName name="hrg">[0]!BlankMacro1</definedName>
    <definedName name="HTML_CodePage" hidden="1">949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L">[11]매출원가_회사제시!#REF!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>#REF!</definedName>
    <definedName name="ir_d3">#REF!</definedName>
    <definedName name="it_new">#REF!</definedName>
    <definedName name="it_reg">#REF!</definedName>
    <definedName name="J">#REF!</definedName>
    <definedName name="jj">[0]!BlankMacro1</definedName>
    <definedName name="JJJ">#REF!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>[0]!BlankMacro1</definedName>
    <definedName name="labor_admin">#REF!</definedName>
    <definedName name="labor_jen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CONSOL" hidden="1">#N/A</definedName>
    <definedName name="misc">#REF!</definedName>
    <definedName name="mm">#REF!</definedName>
    <definedName name="MONEY">#REF!,#REF!</definedName>
    <definedName name="MOTOR">#REF!</definedName>
    <definedName name="MRB">[0]!BlankMacro1</definedName>
    <definedName name="MZ">#REF!</definedName>
    <definedName name="n">[0]!BlankMacro1</definedName>
    <definedName name="NAK">#N/A</definedName>
    <definedName name="NAME">#N/A</definedName>
    <definedName name="nbg">[0]!BlankMacro1</definedName>
    <definedName name="nego2">#REF!</definedName>
    <definedName name="New_Users">[15]Assumptions!#REF!</definedName>
    <definedName name="NUMBER">#REF!</definedName>
    <definedName name="OFFER" hidden="1">#N/A</definedName>
    <definedName name="ooo">#REF!</definedName>
    <definedName name="Other_sub">#REF!</definedName>
    <definedName name="other_tot">#REF!</definedName>
    <definedName name="Out_of_Scope">#REF!</definedName>
    <definedName name="OUTPUT">#REF!</definedName>
    <definedName name="P">[16]BM_NEW2!#REF!</definedName>
    <definedName name="Period_Const">#REF!</definedName>
    <definedName name="PERIOD_END">#REF!</definedName>
    <definedName name="PHOTO" hidden="1">[24]FAB별!#REF!</definedName>
    <definedName name="pihkj">#REF!</definedName>
    <definedName name="PIPE40">#REF!</definedName>
    <definedName name="PJT">#N/A</definedName>
    <definedName name="PL">[25]현재!#REF!</definedName>
    <definedName name="PPK" hidden="1">{#N/A,#N/A,FALSE,"96 3월물량표";#N/A,#N/A,FALSE,"96 4월물량표";#N/A,#N/A,FALSE,"96 5월물량표"}</definedName>
    <definedName name="PPP">#REF!</definedName>
    <definedName name="prcs1" hidden="1">{#N/A,#N/A,FALSE,"정공"}</definedName>
    <definedName name="PREPARED_BY">#REF!</definedName>
    <definedName name="PREPARED_DATE">#REF!</definedName>
    <definedName name="Print">#REF!</definedName>
    <definedName name="_xlnm.Print_Area" localSheetId="11">LOSS!$B$5:$P$11</definedName>
    <definedName name="_xlnm.Print_Area" localSheetId="10">기타비용!$A$1:$I$7</definedName>
    <definedName name="_xlnm.Print_Area" localSheetId="8">숙소관리비!$A$1:$J$22</definedName>
    <definedName name="_xlnm.Print_Area" localSheetId="7">숙소임차료!$A$1:$J$11</definedName>
    <definedName name="_xlnm.Print_Area" localSheetId="9">식대비용!$A$1:$J$9</definedName>
    <definedName name="_xlnm.Print_Area" localSheetId="1">'용역 청구서(갑지)'!$A$1:$L$26</definedName>
    <definedName name="_xlnm.Print_Area">#REF!</definedName>
    <definedName name="Print_Area_MI">#REF!</definedName>
    <definedName name="PRINT_AREA_MI1">#REF!</definedName>
    <definedName name="Print_Title">[26]소특!$B$4,[26]소특!$H$4,[26]소특!$I$4,[26]소특!$A$4,[26]소특!$G$4,[26]소특!$F$4,[26]소특!$C$4,[26]소특!$A$4:$IV$4</definedName>
    <definedName name="_xlnm.Print_Titles" localSheetId="11">LOSS!$5:$7</definedName>
    <definedName name="_xlnm.Print_Titles">#REF!</definedName>
    <definedName name="PRINT_TITLES_MI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">[27]부문손익!$D$7:$L$33</definedName>
    <definedName name="q1u">#REF!</definedName>
    <definedName name="QLQL">#REF!</definedName>
    <definedName name="qq" hidden="1">{#N/A,#N/A,FALSE,"정공"}</definedName>
    <definedName name="QQQ">[0]!BlankMacro1</definedName>
    <definedName name="Query3">'[28]10월상품입고'!$A$1:$D$55</definedName>
    <definedName name="qwe" hidden="1">#N/A</definedName>
    <definedName name="_xlnm.Recorder">#REF!</definedName>
    <definedName name="REFER_AREA">#REF!</definedName>
    <definedName name="reg">[0]!BlankMacro1</definedName>
    <definedName name="REM">#N/A</definedName>
    <definedName name="rent_early">#REF!</definedName>
    <definedName name="rent_new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HD">[29]BM_NEW2!#REF!</definedName>
    <definedName name="rkdjf">[0]!BlankMacro1</definedName>
    <definedName name="rkdrmsqo">[0]!BlankMacro1</definedName>
    <definedName name="rlr">#REF!</definedName>
    <definedName name="round">#REF!</definedName>
    <definedName name="rrr">[0]!BlankMacro1</definedName>
    <definedName name="RRRRRRR">[0]!BlankMacro1</definedName>
    <definedName name="s">[0]!BlankMacro1</definedName>
    <definedName name="SAC">[14]JournalSummary!$I$6:$I$394</definedName>
    <definedName name="SBL">[14]JournalSummary!$D$6:$D$394</definedName>
    <definedName name="SCODE">#REF!</definedName>
    <definedName name="SD">#REF!</definedName>
    <definedName name="SDASDASDA" hidden="1">#REF!</definedName>
    <definedName name="SDF" hidden="1">[30]CTEMCOST!#REF!</definedName>
    <definedName name="SEJIN">[0]!BlankMacro1</definedName>
    <definedName name="SEJINBS" hidden="1">{#N/A,#N/A,FALSE,"정공"}</definedName>
    <definedName name="SELECT">#N/A</definedName>
    <definedName name="SHEET" hidden="1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>#REF!</definedName>
    <definedName name="tel_LD">#REF!</definedName>
    <definedName name="tel_local">#REF!</definedName>
    <definedName name="tel_tot">#REF!</definedName>
    <definedName name="Tele_sub">#REF!</definedName>
    <definedName name="teleph">#REF!</definedName>
    <definedName name="temp" hidden="1">{"'Break down'!$A$4"}</definedName>
    <definedName name="TEST0">#REF!</definedName>
    <definedName name="TESTHKEY">[1]원본!#REF!</definedName>
    <definedName name="TESTKEYS">#REF!</definedName>
    <definedName name="TESTVKEY">[1]원본!#REF!</definedName>
    <definedName name="TextRefCopyRangeCount">1</definedName>
    <definedName name="THEME2" hidden="1">{#N/A,#N/A,FALSE,"96 3월물량표";#N/A,#N/A,FALSE,"96 4월물량표";#N/A,#N/A,FALSE,"96 5월물량표"}</definedName>
    <definedName name="TIT">#REF!</definedName>
    <definedName name="TK">[0]!BlankMacro1</definedName>
    <definedName name="TNSQJS">#REF!</definedName>
    <definedName name="TON_TRT_FR">#REF!</definedName>
    <definedName name="TOO">#N/A</definedName>
    <definedName name="total">[0]!BlankMacro1</definedName>
    <definedName name="Total_Floor_Area">#REF!</definedName>
    <definedName name="Total_sub">#REF!</definedName>
    <definedName name="Total_Users">[15]Assumptions!#REF!</definedName>
    <definedName name="travel_Int">#REF!</definedName>
    <definedName name="travel_local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>[0]!BlankMacro1</definedName>
    <definedName name="UPW할증">#REF!</definedName>
    <definedName name="VVV">#REF!</definedName>
    <definedName name="w">[0]!BlankMacro1</definedName>
    <definedName name="wc">'[31]시산표(매출조정전)'!#REF!</definedName>
    <definedName name="wd">#REF!</definedName>
    <definedName name="wessdd">#REF!</definedName>
    <definedName name="WKSEKFMZM">[0]!BlankMacro1</definedName>
    <definedName name="wl">#REF!</definedName>
    <definedName name="workcomp">#REF!</definedName>
    <definedName name="wrn.345." hidden="1">{#N/A,#N/A,FALSE,"96 3월물량표";#N/A,#N/A,FALSE,"96 4월물량표";#N/A,#N/A,FALSE,"96 5월물량표"}</definedName>
    <definedName name="wrn.test." hidden="1">{#N/A,#N/A,FALSE,"Tower &amp; Car Park"}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hidden="1">{#N/A,#N/A,FALSE,"사업총괄";#N/A,#N/A,FALSE,"장비사업";#N/A,#N/A,FALSE,"철구사업";#N/A,#N/A,FALSE,"준설사업"}</definedName>
    <definedName name="wrn.교육청." hidden="1">{#N/A,#N/A,FALSE,"전력간선"}</definedName>
    <definedName name="wrn.구조2." hidden="1">{#N/A,#N/A,FALSE,"구조2"}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hidden="1">{#N/A,#N/A,FALSE,"견적조건";#N/A,#N/A,FALSE,"산출근거"}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hidden="1">{#N/A,#N/A,FALSE,"이정표"}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W">#REF!</definedName>
    <definedName name="WWWW">[0]!BlankMacro1</definedName>
    <definedName name="XDDXX">[0]!BlankMacro1</definedName>
    <definedName name="xmrrlwhrjs" hidden="1">{#N/A,#N/A,FALSE,"현장 NCR 분석";#N/A,#N/A,FALSE,"현장품질감사";#N/A,#N/A,FALSE,"현장품질감사"}</definedName>
    <definedName name="XRefColumnsCount">3</definedName>
    <definedName name="XRefCopyRangeCount">13</definedName>
    <definedName name="XRefPasteRangeCount">23</definedName>
    <definedName name="xxx">#REF!</definedName>
    <definedName name="YE">#N/A</definedName>
    <definedName name="YEAREND">#REF!</definedName>
    <definedName name="YEKA">#N/A</definedName>
    <definedName name="YYYYYYYYY">[0]!BlankMacro1</definedName>
    <definedName name="z">#REF!</definedName>
    <definedName name="ZXCV">[0]!BlankMacro1</definedName>
    <definedName name="ㄱ" hidden="1">{#N/A,#N/A,FALSE,"현장 NCR 분석";#N/A,#N/A,FALSE,"현장품질감사";#N/A,#N/A,FALSE,"현장품질감사"}</definedName>
    <definedName name="ㄱㄱㄱ">#REF!</definedName>
    <definedName name="ㄱㄱㄱㄱ">#REF!</definedName>
    <definedName name="ㄱ홍" hidden="1">{#N/A,#N/A,FALSE,"현장 NCR 분석";#N/A,#N/A,FALSE,"현장품질감사";#N/A,#N/A,FALSE,"현장품질감사"}</definedName>
    <definedName name="가">#REF!</definedName>
    <definedName name="가1" hidden="1">{#N/A,#N/A,TRUE,"Y생산";#N/A,#N/A,TRUE,"Y판매";#N/A,#N/A,TRUE,"Y총물량";#N/A,#N/A,TRUE,"Y능력";#N/A,#N/A,TRUE,"YKD"}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>[0]!BlankMacro1</definedName>
    <definedName name="간지">BlankMacro1</definedName>
    <definedName name="감나무">#REF!</definedName>
    <definedName name="갑근세">#REF!</definedName>
    <definedName name="갑지">#REF!</definedName>
    <definedName name="강">[0]!BlankMacro1</definedName>
    <definedName name="강현구">#REF!</definedName>
    <definedName name="개나리">#REF!</definedName>
    <definedName name="개요" hidden="1">[32]기안!#REF!</definedName>
    <definedName name="개요1" hidden="1">[32]기안!#REF!</definedName>
    <definedName name="개요2" hidden="1">[33]개산공사비!#REF!</definedName>
    <definedName name="갤로" hidden="1">{#N/A,#N/A,FALSE,"정공"}</definedName>
    <definedName name="거리">#REF!</definedName>
    <definedName name="검ㄴ" hidden="1">{#N/A,#N/A,FALSE,"이정표"}</definedName>
    <definedName name="견적">#REF!</definedName>
    <definedName name="견적2">#REF!</definedName>
    <definedName name="견적2001">#REF!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>BlankMacro1</definedName>
    <definedName name="결사명세">#REF!</definedName>
    <definedName name="경리손익" hidden="1">{#N/A,#N/A,FALSE,"정공"}</definedName>
    <definedName name="경비">[34]수입2!#REF!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計定明細.書2.A">'[35]24.보증금(전신전화가입권)'!#REF!</definedName>
    <definedName name="計定明細.書2.B">'[35]24.보증금(전신전화가입권)'!#REF!</definedName>
    <definedName name="計定明細.書2.D">'[35]24.보증금(전신전화가입권)'!#REF!</definedName>
    <definedName name="계획" hidden="1">{#N/A,#N/A,FALSE,"정공"}</definedName>
    <definedName name="계획2" hidden="1">{#N/A,#N/A,FALSE,"정공"}</definedName>
    <definedName name="고">[0]!BlankMacro1</definedName>
    <definedName name="고용보험료율">#REF!</definedName>
    <definedName name="곤ㅇ" hidden="1">{#N/A,#N/A,FALSE,"전력간선"}</definedName>
    <definedName name="골조사이클" hidden="1">'[3]입찰내역 발주처 양식'!#REF!</definedName>
    <definedName name="곰" hidden="1">{#N/A,#N/A,FALSE,"구조1"}</definedName>
    <definedName name="공___종">#REF!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hidden="1">{#N/A,#N/A,FALSE,"정공"}</definedName>
    <definedName name="공용">#REF!</definedName>
    <definedName name="공일">#REF!</definedName>
    <definedName name="공정">[0]!BlankMacro1</definedName>
    <definedName name="공정1">[0]!BlankMacro1</definedName>
    <definedName name="공정2">[0]!BlankMacro1</definedName>
    <definedName name="공정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>BlankMacro1</definedName>
    <definedName name="구분1">BlankMacro1</definedName>
    <definedName name="구조물공" hidden="1">{#N/A,#N/A,FALSE,"이정표"}</definedName>
    <definedName name="국가명">#REF!</definedName>
    <definedName name="국내abs">#REF!</definedName>
    <definedName name="국어">#REF!</definedName>
    <definedName name="국퇴전">'[36]25.보증금(임차보증금외)'!$A$2:$D$30</definedName>
    <definedName name="권">[0]!BlankMacro1</definedName>
    <definedName name="궘규한">[0]!BlankMacro1</definedName>
    <definedName name="균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속서강" hidden="1">{"'별표'!$N$220"}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>BlankMacro1</definedName>
    <definedName name="기관명">#REF!</definedName>
    <definedName name="기명기">'[37]24.보증금(전신전화가입권)'!#REF!</definedName>
    <definedName name="기술">#REF!</definedName>
    <definedName name="기아모텍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" hidden="1">[38]대비!#REF!</definedName>
    <definedName name="김상구">[0]!BlankMacro1</definedName>
    <definedName name="꽃창포">#REF!</definedName>
    <definedName name="꽃향유">#REF!</definedName>
    <definedName name="ㄴ">[0]!BlankMacro1</definedName>
    <definedName name="ㄴㄴ">#REF!</definedName>
    <definedName name="ㄴㄴㄴ">#REF!</definedName>
    <definedName name="ㄴㄴㄴㄴㄴ" hidden="1">{"'별표'!$N$220"}</definedName>
    <definedName name="ㄴㄺㄷ" hidden="1">{#N/A,#N/A,FALSE,"현장 NCR 분석";#N/A,#N/A,FALSE,"현장품질감사";#N/A,#N/A,FALSE,"현장품질감사"}</definedName>
    <definedName name="ㄴㅁㅇㄻㄴㅇㄹ" hidden="1">[30]CTEMCOST!#REF!</definedName>
    <definedName name="ㄴㅇ">#REF!</definedName>
    <definedName name="ㄴㅇㄴㄹㅇㄴㅁ" hidden="1">#REF!</definedName>
    <definedName name="ㄴㅇㄹ" hidden="1">{#N/A,#N/A,FALSE,"전력간선"}</definedName>
    <definedName name="ㄴㅇ란ㅇ">[0]!BlankMacro1</definedName>
    <definedName name="ㄴㅇㅀㅁㅇㅎㄴㅇㅁㅀㅇㅀㄴㅇㅀ" hidden="1">{#N/A,#N/A,FALSE,"정공"}</definedName>
    <definedName name="ㄴㅇㅎ">[0]!BlankMacro1</definedName>
    <definedName name="나.">#REF!</definedName>
    <definedName name="나라사랑" hidden="1">{#N/A,#N/A,FALSE,"정공"}</definedName>
    <definedName name="나무라오" hidden="1">{#N/A,#N/A,FALSE,"정공"}</definedName>
    <definedName name="나오시오">[0]!BlankMacro1</definedName>
    <definedName name="난데어이">[0]!BlankMacro1</definedName>
    <definedName name="남덕">BlankMacro1</definedName>
    <definedName name="남덕1">BlankMacro1</definedName>
    <definedName name="남의나라" hidden="1">{#N/A,#N/A,FALSE,"정공"}</definedName>
    <definedName name="낭">[0]!BlankMacro1</definedName>
    <definedName name="내">#N/A</definedName>
    <definedName name="내맘">#REF!</definedName>
    <definedName name="내선">#REF!</definedName>
    <definedName name="내역">#REF!</definedName>
    <definedName name="내역서">#REF!</definedName>
    <definedName name="내장">#REF!</definedName>
    <definedName name="낵역4">#REF!</definedName>
    <definedName name="년___월___일_까지">[7]수선비!#REF!</definedName>
    <definedName name="노무">#REF!</definedName>
    <definedName name="노무단가할증">#REF!</definedName>
    <definedName name="노무비총액">#REF!</definedName>
    <definedName name="노무수량할증">#REF!</definedName>
    <definedName name="노임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>[0]!BlankMacro1</definedName>
    <definedName name="ㄷ">[0]!BlankMacro1</definedName>
    <definedName name="ㄷㄱ" hidden="1">{#N/A,#N/A,FALSE,"포장2"}</definedName>
    <definedName name="ㄷㄷ">BlankMacro1</definedName>
    <definedName name="ㄷㄷㄷㄷ">[0]!BlankMacro1</definedName>
    <definedName name="ㄷㄷㄷㄷㄷ">[0]!BlankMacro1</definedName>
    <definedName name="ㄷㅇ">#REF!</definedName>
    <definedName name="ㄷㅌㅇㅇ">[0]!BlankMacro1</definedName>
    <definedName name="다.">#REF!</definedName>
    <definedName name="다나가라" hidden="1">{#N/A,#N/A,FALSE,"정공"}</definedName>
    <definedName name="다니오오">[0]!BlankMacro1</definedName>
    <definedName name="다다" hidden="1">{#N/A,#N/A,FALSE,"정공"}</definedName>
    <definedName name="다다익선" hidden="1">{#N/A,#N/A,FALSE,"정공"}</definedName>
    <definedName name="다닫이">[0]!BlankMacro1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기대여금">[39]배서어음명세서!$A$2:$F$31</definedName>
    <definedName name="단말기" hidden="1">{#N/A,#N/A,FALSE,"정공"}</definedName>
    <definedName name="단말기번호" hidden="1">{#N/A,#N/A,FALSE,"정공"}</definedName>
    <definedName name="단아라">[0]!BlankMacro1</definedName>
    <definedName name="단아리다">[0]!BlankMacro1</definedName>
    <definedName name="단알기" hidden="1">{#N/A,#N/A,FALSE,"정공"}</definedName>
    <definedName name="당기매출액">[40]기초데이타!$D$12</definedName>
    <definedName name="당기부채총계">[40]기초데이타!$D$9</definedName>
    <definedName name="당기순이익">[40]기초데이타!$D$15</definedName>
    <definedName name="당기영업이익">[40]기초데이타!$D$13</definedName>
    <definedName name="당기영업현금흐름">[40]기초데이타!$D$17</definedName>
    <definedName name="당기유동부채">[40]기초데이타!$D$7</definedName>
    <definedName name="당기유동자산">[40]기초데이타!$D$5</definedName>
    <definedName name="당기이자비용">[40]기초데이타!$D$14</definedName>
    <definedName name="당기자기자본">[40]기초데이타!$D$10</definedName>
    <definedName name="당기차입금">[40]기초데이타!$D$8</definedName>
    <definedName name="당기총자산">[40]기초데이타!$D$6</definedName>
    <definedName name="당초구조물공계">#REF!</definedName>
    <definedName name="당초기준손이" hidden="1">{#N/A,#N/A,FALSE,"정공"}</definedName>
    <definedName name="당초부대공계">#REF!</definedName>
    <definedName name="당초손익표" hidden="1">{#N/A,#N/A,FALSE,"정공"}</definedName>
    <definedName name="당초토공계">#REF!</definedName>
    <definedName name="당초포장공계">#REF!</definedName>
    <definedName name="대" hidden="1">'[41]#REF'!$A$45:$A$73</definedName>
    <definedName name="대경갑지">#REF!</definedName>
    <definedName name="대나무">#REF!</definedName>
    <definedName name="대리님" hidden="1">{#N/A,#N/A,FALSE,"정공"}</definedName>
    <definedName name="대변합계">#REF!</definedName>
    <definedName name="대비">#REF!</definedName>
    <definedName name="대상시트" hidden="1">{#N/A,#N/A,FALSE,"정공"}</definedName>
    <definedName name="대표회의" hidden="1">{#N/A,#N/A,FALSE,"현장 NCR 분석";#N/A,#N/A,FALSE,"현장품질감사";#N/A,#N/A,FALSE,"현장품질감사"}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hidden="1">{#N/A,#N/A,FALSE,"정공"}</definedName>
    <definedName name="따">BlankMacro1</definedName>
    <definedName name="ㄹ">#REF!</definedName>
    <definedName name="ㄹ2">#REF!</definedName>
    <definedName name="ㄹㄹㄹ" hidden="1">#N/A</definedName>
    <definedName name="ㄹㅇㅎㄴㅇ">[0]!BlankMacro1</definedName>
    <definedName name="란다리아" hidden="1">{#N/A,#N/A,FALSE,"정공"}</definedName>
    <definedName name="레180">#REF!</definedName>
    <definedName name="레210">#REF!</definedName>
    <definedName name="로6">[0]!BlankMacro1</definedName>
    <definedName name="ㄻ" hidden="1">{#N/A,#N/A,FALSE,"포장2"}</definedName>
    <definedName name="ㅀ">#REF!</definedName>
    <definedName name="ㅀㅇ">[0]!BlankMacro1</definedName>
    <definedName name="ㅁ">[0]!BlankMacro1</definedName>
    <definedName name="ㅁ1">#REF!</definedName>
    <definedName name="ㅁ1180">#REF!</definedName>
    <definedName name="ㅁ139">#REF!</definedName>
    <definedName name="ㅁ1510.">#REF!</definedName>
    <definedName name="ㅁ169">[42]승용!#REF!</definedName>
    <definedName name="ㅁ2923">#REF!</definedName>
    <definedName name="ㅁㄴ">#REF!</definedName>
    <definedName name="ㅁㄴㄴ">[0]!BlankMacro1</definedName>
    <definedName name="ㅁㄴㅇㄻㄴ" hidden="1">[43]금융비용!#REF!</definedName>
    <definedName name="ㅁㅁㅁ">[0]!BlankMacro1</definedName>
    <definedName name="ㅁㅁㅁㅁ">[0]!BlankMacro1</definedName>
    <definedName name="ㅁㅁㅁㅁㅁ">[0]!BlankMacro1</definedName>
    <definedName name="ㅁㅁㅁㅁㅁㅁ" hidden="1">#REF!</definedName>
    <definedName name="ㅁㅈㄷ" hidden="1">{#N/A,#N/A,FALSE,"배수1"}</definedName>
    <definedName name="마감" hidden="1">{#N/A,#N/A,FALSE,"견적조건";#N/A,#N/A,FALSE,"산출근거"}</definedName>
    <definedName name="마나맘">[0]!BlankMacro1</definedName>
    <definedName name="마라앙">[0]!BlankMacro1</definedName>
    <definedName name="마마보이" hidden="1">{#N/A,#N/A,FALSE,"정공"}</definedName>
    <definedName name="만나리아">[0]!BlankMacro1</definedName>
    <definedName name="만다라">[0]!BlankMacro1</definedName>
    <definedName name="만아오오">[0]!BlankMacro1</definedName>
    <definedName name="맘모스">[0]!BlankMacro1</definedName>
    <definedName name="매출">#REF!</definedName>
    <definedName name="매출기준" hidden="1">{#N/A,#N/A,FALSE,"정공"}</definedName>
    <definedName name="매출손익" hidden="1">{#N/A,#N/A,FALSE,"정공"}</definedName>
    <definedName name="매출손익계산">[0]!BlankMacro1</definedName>
    <definedName name="매출이익율">[0]!BlankMacro1</definedName>
    <definedName name="매출전환손익" hidden="1">{#N/A,#N/A,FALSE,"정공"}</definedName>
    <definedName name="매출채권">#REF!</definedName>
    <definedName name="매출추1" hidden="1">{#N/A,#N/A,FALSE,"정공"}</definedName>
    <definedName name="매출추정" hidden="1">{#N/A,#N/A,FALSE,"정공"}</definedName>
    <definedName name="맥문동">#REF!</definedName>
    <definedName name="면제부다오">[0]!BlankMacro1</definedName>
    <definedName name="명칭">#REF!</definedName>
    <definedName name="모과나무">#REF!</definedName>
    <definedName name="모나리자아" hidden="1">{#N/A,#N/A,FALSE,"정공"}</definedName>
    <definedName name="목백합">#REF!</definedName>
    <definedName name="목적">[0]!BlankMacro1</definedName>
    <definedName name="목차도" hidden="1">{#N/A,#N/A,FALSE,"정공"}</definedName>
    <definedName name="몰라" hidden="1">{#N/A,#N/A,FALSE,"정공"}</definedName>
    <definedName name="무궁화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뭐야" hidden="1">#N/A</definedName>
    <definedName name="미미미아" hidden="1">{#N/A,#N/A,FALSE,"정공"}</definedName>
    <definedName name="미석" hidden="1">{#N/A,#N/A,FALSE,"정공"}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hidden="1">{#N/A,#N/A,TRUE,"Y생산";#N/A,#N/A,TRUE,"Y판매";#N/A,#N/A,TRUE,"Y총물량";#N/A,#N/A,TRUE,"Y능력";#N/A,#N/A,TRUE,"YKD"}</definedName>
    <definedName name="ㅂㅁ">#REF!</definedName>
    <definedName name="ㅂㅂ">[39]배서어음명세서!$A$34:$F$55</definedName>
    <definedName name="ㅂㅂㅂㅂ">[0]!BlankMacro1</definedName>
    <definedName name="ㅂㅈㄷㄱ" hidden="1">{#N/A,#N/A,FALSE,"현장 NCR 분석";#N/A,#N/A,FALSE,"현장품질감사";#N/A,#N/A,FALSE,"현장품질감사"}</definedName>
    <definedName name="바다나라">[0]!BlankMacro1</definedName>
    <definedName name="바랑라" hidden="1">{#N/A,#N/A,FALSE,"정공"}</definedName>
    <definedName name="바보" hidden="1">{#N/A,#N/A,FALSE,"정공"}</definedName>
    <definedName name="바보상자" hidden="1">{#N/A,#N/A,FALSE,"정공"}</definedName>
    <definedName name="박재규">[0]!BlankMacro1</definedName>
    <definedName name="박태기">#REF!</definedName>
    <definedName name="반출0507">[44]BM_NEW2!#REF!</definedName>
    <definedName name="방송">#REF!</definedName>
    <definedName name="방수">#REF!</definedName>
    <definedName name="방수시방1" hidden="1">{#N/A,#N/A,FALSE,"현장 NCR 분석";#N/A,#N/A,FALSE,"현장품질감사";#N/A,#N/A,FALSE,"현장품질감사"}</definedName>
    <definedName name="방진.도금">#REF!</definedName>
    <definedName name="배관">#REF!</definedName>
    <definedName name="배관공">#REF!</definedName>
    <definedName name="배롱나무">#REF!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hidden="1">{#N/A,#N/A,FALSE,"부대1"}</definedName>
    <definedName name="변간접노무비">#REF!</definedName>
    <definedName name="변경개요" hidden="1">[33]개산공사비!#REF!</definedName>
    <definedName name="변경개요1">#REF!</definedName>
    <definedName name="변경개요2">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경후개요" hidden="1">[45]개산공사비!#REF!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>#REF!</definedName>
    <definedName name="보통">#REF!</definedName>
    <definedName name="보통인부">#REF!</definedName>
    <definedName name="복ㅇ" hidden="1">{#N/A,#N/A,FALSE,"부대2"}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>#REF!</definedName>
    <definedName name="부가가치세">#REF!</definedName>
    <definedName name="부손익" hidden="1">{#N/A,#N/A,FALSE,"현장 NCR 분석";#N/A,#N/A,FALSE,"현장품질감사";#N/A,#N/A,FALSE,"현장품질감사"}</definedName>
    <definedName name="부자지">[0]!BlankMacro1</definedName>
    <definedName name="부자지간">[0]!BlankMacro1</definedName>
    <definedName name="부장님">[0]!BlankMacro1</definedName>
    <definedName name="분기">[46]뒤차축소!$G$380:$S$381</definedName>
    <definedName name="분당내역서" hidden="1">#REF!</definedName>
    <definedName name="분당아파트">#REF!</definedName>
    <definedName name="분석변경" hidden="1">{#N/A,#N/A,FALSE,"변경관리예산";#N/A,#N/A,FALSE,"변경장비예산";#N/A,#N/A,FALSE,"변경준설예산";#N/A,#N/A,FALSE,"변경철구예산"}</definedName>
    <definedName name="분전반">BlankMacro1</definedName>
    <definedName name="비">#REF!</definedName>
    <definedName name="비계">#REF!</definedName>
    <definedName name="비계공">#REF!</definedName>
    <definedName name="비교">#REF!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>[0]!BlankMacro1</definedName>
    <definedName name="ㅅㅅㅅ">[0]!BlankMacro1</definedName>
    <definedName name="사">[47]유형!$D$31:$D$32</definedName>
    <definedName name="사급">#REF!</definedName>
    <definedName name="사다함이" hidden="1">{#N/A,#N/A,FALSE,"정공"}</definedName>
    <definedName name="사라미이은">[0]!BlankMacro1</definedName>
    <definedName name="사람이름">[0]!BlankMacro1</definedName>
    <definedName name="사람이야" hidden="1">{#N/A,#N/A,FALSE,"정공"}</definedName>
    <definedName name="사랑하오" hidden="1">{#N/A,#N/A,FALSE,"정공"}</definedName>
    <definedName name="사본" hidden="1">{#N/A,#N/A,FALSE,"정공"}</definedName>
    <definedName name="사업렬">[0]!BlankMacro1</definedName>
    <definedName name="사업별">[0]!BlankMacro1</definedName>
    <definedName name="사업부문">#REF!</definedName>
    <definedName name="사업비교표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>BlankMacro1</definedName>
    <definedName name="산출내역">#REF!</definedName>
    <definedName name="산출냐역">#REF!</definedName>
    <definedName name="삼">[47]유형!$D$28:$D$30</definedName>
    <definedName name="삼성" hidden="1">{#N/A,#N/A,FALSE,"정공"}</definedName>
    <definedName name="삼성2" hidden="1">{#N/A,#N/A,FALSE,"정공"}</definedName>
    <definedName name="상">#REF!</definedName>
    <definedName name="상각">#REF!</definedName>
    <definedName name="상담">#REF!</definedName>
    <definedName name="상로허호" hidden="1">{#N/A,#N/A,FALSE,"정공"}</definedName>
    <definedName name="상수">#REF!</definedName>
    <definedName name="상용">[48]뒤차축소!$G$380:$S$381</definedName>
    <definedName name="새무형">#REF!</definedName>
    <definedName name="새파일편집" hidden="1">{#N/A,#N/A,FALSE,"정공"}</definedName>
    <definedName name="생계">#REF!</definedName>
    <definedName name="생산능력" hidden="1">{#N/A,#N/A,FALSE,"정공"}</definedName>
    <definedName name="생산손익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2" hidden="1">{"'별표'!$N$220"}</definedName>
    <definedName name="석공">#REF!</definedName>
    <definedName name="설계내역서" hidden="1">{"'별표'!$N$220"}</definedName>
    <definedName name="설계서r" hidden="1">#N/A</definedName>
    <definedName name="설공" comment="설비 공장검사">[47]정보!$F$2:$F$232</definedName>
    <definedName name="설비투자" hidden="1">{#N/A,#N/A,FALSE,"정공"}</definedName>
    <definedName name="설시" comment="설비 시공품질 관리">[47]정보!$H$2:$H$331</definedName>
    <definedName name="설입" comment="설비 입고검사">[47]정보!$G$2:$G$416</definedName>
    <definedName name="설집">#REF!</definedName>
    <definedName name="성과분석용">[0]!BlankMacro1</definedName>
    <definedName name="성적">#REF!</definedName>
    <definedName name="세보1_2" hidden="1">'[3]입찰내역 발주처 양식'!#REF!</definedName>
    <definedName name="세보2" hidden="1">'[5]0226'!#REF!</definedName>
    <definedName name="세부실적">[0]!BlankMacro1</definedName>
    <definedName name="세부자료">[49]부문손익!$D$7:$L$33</definedName>
    <definedName name="소계">#REF!</definedName>
    <definedName name="소공" comment="소방설비 공장검사">[47]정보!$I$2:$I$9</definedName>
    <definedName name="소나무">#REF!</definedName>
    <definedName name="소방">#REF!</definedName>
    <definedName name="소방시설공사">#REF!</definedName>
    <definedName name="소시" comment="소방설비 시공품질 관리">[47]정보!$I$38:$I$50</definedName>
    <definedName name="소요기간" hidden="1">{#N/A,#N/A,FALSE,"정공"}</definedName>
    <definedName name="소요약">[0]!BlankMacro1</definedName>
    <definedName name="소입" comment="소방설비 입고검사">[47]정보!$I$10:$I$37</definedName>
    <definedName name="소형차축부">#REF!</definedName>
    <definedName name="소ㅑ104" hidden="1">[50]FAB별!#REF!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" hidden="1">{#N/A,#N/A,FALSE,"포장1";#N/A,#N/A,FALSE,"포장1"}</definedName>
    <definedName name="쇼ㅓㄹ" hidden="1">{#N/A,#N/A,FALSE,"현장 NCR 분석";#N/A,#N/A,FALSE,"현장품질감사";#N/A,#N/A,FALSE,"현장품질감사"}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>BlankMacro1</definedName>
    <definedName name="수량산출2">BlankMacro1</definedName>
    <definedName name="수량산출5">BlankMacro1</definedName>
    <definedName name="수량추정" hidden="1">{#N/A,#N/A,FALSE,"정공"}</definedName>
    <definedName name="수목수량">#REF!</definedName>
    <definedName name="수수꽃다리">#REF!</definedName>
    <definedName name="수입금액조정며엣서">'[51]108.수선비'!#REF!</definedName>
    <definedName name="수정사항2">#REF!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수ㅠㅁ" hidden="1">{#N/A,#N/A,FALSE,"현장 NCR 분석";#N/A,#N/A,FALSE,"현장품질감사";#N/A,#N/A,FALSE,"현장품질감사"}</definedName>
    <definedName name="숙직">#REF!</definedName>
    <definedName name="순공사비">#REF!</definedName>
    <definedName name="순공사원가">#REF!</definedName>
    <definedName name="숱" hidden="1">{#N/A,#N/A,FALSE,"현장 NCR 분석";#N/A,#N/A,FALSE,"현장품질감사";#N/A,#N/A,FALSE,"현장품질감사"}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신상명세">'[52]신상기록(지우지 말것)'!$C$2:$F$35</definedName>
    <definedName name="신안" hidden="1">{#N/A,#N/A,FALSE,"현장 NCR 분석";#N/A,#N/A,FALSE,"현장품질감사";#N/A,#N/A,FALSE,"현장품질감사"}</definedName>
    <definedName name="실">BlankMacro1</definedName>
    <definedName name="실내">BlankMacro1</definedName>
    <definedName name="실비적용">#REF!</definedName>
    <definedName name="실행">#REF!</definedName>
    <definedName name="실행검토" hidden="1">#N/A</definedName>
    <definedName name="십이월">#REF!</definedName>
    <definedName name="ㅇ">#REF!</definedName>
    <definedName name="ㅇㄴㄹㄴㅁㄹ" hidden="1">0</definedName>
    <definedName name="ㅇㄴㄹㄴㅁㅇㄻ">#REF!</definedName>
    <definedName name="ㅇㄹ">#REF!</definedName>
    <definedName name="ㅇㄹㄹ" hidden="1">#N/A</definedName>
    <definedName name="ㅇㄹㅇㄹㅇ" hidden="1">{#N/A,#N/A,FALSE,"정공"}</definedName>
    <definedName name="ㅇㅀ">[0]!BlankMacro1</definedName>
    <definedName name="ㅇㅇ">#REF!</definedName>
    <definedName name="ㅇㅇㅇ" hidden="1">{#N/A,#N/A,FALSE,"정공"}</definedName>
    <definedName name="ㅇㅎ" hidden="1">{#N/A,#N/A,FALSE,"부대1"}</definedName>
    <definedName name="ㅇ호">[0]!BlankMacro1</definedName>
    <definedName name="아">#REF!</definedName>
    <definedName name="아나나" hidden="1">{#N/A,#N/A,FALSE,"정공"}</definedName>
    <definedName name="아나마오" hidden="1">{#N/A,#N/A,FALSE,"정공"}</definedName>
    <definedName name="아니면말고" hidden="1">{#N/A,#N/A,FALSE,"정공"}</definedName>
    <definedName name="아니오" hidden="1">{#N/A,#N/A,FALSE,"정공"}</definedName>
    <definedName name="아니오오오">[0]!BlankMacro1</definedName>
    <definedName name="아닙니다" hidden="1">{#N/A,#N/A,FALSE,"정공"}</definedName>
    <definedName name="아라리오">[0]!BlankMacro1</definedName>
    <definedName name="아리">[0]!BlankMacro1</definedName>
    <definedName name="아무거나" hidden="1">#N/A</definedName>
    <definedName name="아이">#REF!</definedName>
    <definedName name="안">#REF!</definedName>
    <definedName name="안녕">#REF!</definedName>
    <definedName name="안영ㅇㅇ">[0]!BlankMacro1</definedName>
    <definedName name="안전관리비기초액">#REF!</definedName>
    <definedName name="안전관리비율">#REF!</definedName>
    <definedName name="알">#REF!</definedName>
    <definedName name="알미뉴">#REF!</definedName>
    <definedName name="알미늄">#REF!</definedName>
    <definedName name="앗서" hidden="1">{#N/A,#N/A,FALSE,"정공"}</definedName>
    <definedName name="앙">[0]!BlankMacro1</definedName>
    <definedName name="약식손익" hidden="1">{#N/A,#N/A,FALSE,"정공"}</definedName>
    <definedName name="약정분임">[0]!BlankMacro1</definedName>
    <definedName name="약정이이자율">[0]!BlankMacro1</definedName>
    <definedName name="약정잉자" hidden="1">{#N/A,#N/A,FALSE,"정공"}</definedName>
    <definedName name="양식">[0]!BlankMacro1</definedName>
    <definedName name="양호">#REF!</definedName>
    <definedName name="어">[0]!BlankMacro1</definedName>
    <definedName name="어학">#REF!</definedName>
    <definedName name="어ㅏㄹ">BlankMacro1</definedName>
    <definedName name="업무">[0]!BlankMacro1</definedName>
    <definedName name="업무2">[0]!BlankMacro1</definedName>
    <definedName name="업무3">[0]!BlankMacro1</definedName>
    <definedName name="업무목표" hidden="1">{#N/A,#N/A,FALSE,"정공"}</definedName>
    <definedName name="업무보고용" hidden="1">{#N/A,#N/A,FALSE,"정공"}</definedName>
    <definedName name="업체" hidden="1">#REF!</definedName>
    <definedName name="에이비">[53]BM_NEW2!#REF!</definedName>
    <definedName name="에이씨">[53]BM_NEW2!#REF!</definedName>
    <definedName name="연결부하">#REF!</definedName>
    <definedName name="연도.도금">#REF!</definedName>
    <definedName name="연습">#REF!</definedName>
    <definedName name="연습2" hidden="1">[54]금융비용!#REF!</definedName>
    <definedName name="연주얀" hidden="1">{#N/A,#N/A,FALSE,"정공"}</definedName>
    <definedName name="영1팀">[0]!BlankMacro1</definedName>
    <definedName name="영산홍">#REF!</definedName>
    <definedName name="영어">#REF!</definedName>
    <definedName name="영업외비용">[0]!BlankMacro1</definedName>
    <definedName name="영역별매출">[55]영역별수주!#REF!</definedName>
    <definedName name="영역별수주">#REF!</definedName>
    <definedName name="예">[0]!BlankMacro1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절">#REF!</definedName>
    <definedName name="오">[47]유형!$D$33:$D$34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>#REF!</definedName>
    <definedName name="외화환차" hidden="1">{#N/A,#N/A,FALSE,"정공"}</definedName>
    <definedName name="외화환차1" hidden="1">{#N/A,#N/A,FALSE,"정공"}</definedName>
    <definedName name="요약" hidden="1">{#N/A,#N/A,FALSE,"정공"}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>BlankMacro1</definedName>
    <definedName name="원가개선">[0]!BlankMacro1</definedName>
    <definedName name="원가관리라" hidden="1">{#N/A,#N/A,FALSE,"정공"}</definedName>
    <definedName name="원가적용" hidden="1">{#N/A,#N/A,FALSE,"정공"}</definedName>
    <definedName name="원남내역" hidden="1">[56]실행철강하도!$A$1:$A$4</definedName>
    <definedName name="원천징수합계">#REF!</definedName>
    <definedName name="월별원가절감상세" hidden="1">{#N/A,#N/A,FALSE,"정공"}</definedName>
    <definedName name="위병면회소">#REF!</definedName>
    <definedName name="위생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월">[11]매출원가_회사제시!#REF!</definedName>
    <definedName name="이윤율">#REF!</definedName>
    <definedName name="인동덩쿨">#REF!</definedName>
    <definedName name="인소">[47]정보!$J$2:$J$16</definedName>
    <definedName name="인쇄영역">#REF!</definedName>
    <definedName name="인쇄제목">#REF!</definedName>
    <definedName name="인할">#REF!</definedName>
    <definedName name="일">[0]!BlankMacro1</definedName>
    <definedName name="일2">[47]유형!$F$3:$F$7</definedName>
    <definedName name="일3">[47]유형!$F$9:$F$13</definedName>
    <definedName name="일5">[47]유형!$F$16:$F$19</definedName>
    <definedName name="일6">[47]유형!$F$20:$F$21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>#REF!</definedName>
    <definedName name="ㅈㅈㅈㅈ">BlankMacro1</definedName>
    <definedName name="자귀나무">#REF!</definedName>
    <definedName name="자본금" hidden="1">{#N/A,#N/A,FALSE,"정공"}</definedName>
    <definedName name="자재">#REF!</definedName>
    <definedName name="자재단가할증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>[0]!BlankMacro1</definedName>
    <definedName name="잔다르크" hidden="1">{#N/A,#N/A,FALSE,"정공"}</definedName>
    <definedName name="잔디_평떼">#REF!</definedName>
    <definedName name="잔디구해">[0]!BlankMacro1</definedName>
    <definedName name="잣나무">#REF!</definedName>
    <definedName name="장비단가할증">#REF!</definedName>
    <definedName name="장비입고현황_품명별_List">#REF!</definedName>
    <definedName name="재량">#REF!</definedName>
    <definedName name="재료비">#REF!</definedName>
    <definedName name="저1" hidden="1">{#N/A,#N/A,FALSE,"정공"}</definedName>
    <definedName name="저2" hidden="1">{#N/A,#N/A,FALSE,"정공"}</definedName>
    <definedName name="전">[0]!BlankMacro1</definedName>
    <definedName name="전2" hidden="1">{#N/A,#N/A,FALSE,"정공"}</definedName>
    <definedName name="전기공사">#REF!</definedName>
    <definedName name="전기공사원가">BlankMacro1</definedName>
    <definedName name="전기공사원가내역">BlankMacro1</definedName>
    <definedName name="전기매출액">[40]기초데이타!$F$12</definedName>
    <definedName name="전기부채총계">[40]기초데이타!$F$9</definedName>
    <definedName name="전기순이익">[40]기초데이타!$F$15</definedName>
    <definedName name="전기영업이익">[40]기초데이타!$F$13</definedName>
    <definedName name="전기영업현금흐름">[40]기초데이타!$F$17</definedName>
    <definedName name="전기유동부채">[40]기초데이타!$F$7</definedName>
    <definedName name="전기유동자산">[40]기초데이타!$F$5</definedName>
    <definedName name="전기이자비용">[40]기초데이타!$F$14</definedName>
    <definedName name="전기자기자본">[40]기초데이타!$F$10</definedName>
    <definedName name="전기차입금">[40]기초데이타!$F$8</definedName>
    <definedName name="전기총자산">[40]기초데이타!$F$6</definedName>
    <definedName name="전기특기조건" hidden="1">{#N/A,#N/A,FALSE,"현장 NCR 분석";#N/A,#N/A,FALSE,"현장품질감사";#N/A,#N/A,FALSE,"현장품질감사"}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전기매출액">[40]기초데이타!$H$12</definedName>
    <definedName name="전전기순이익">[40]기초데이타!$H$15</definedName>
    <definedName name="전전기영업이익">[40]기초데이타!$H$13</definedName>
    <definedName name="전전기자기자본">[40]기초데이타!$H$10</definedName>
    <definedName name="전전기총자산">[40]기초데이타!$H$6</definedName>
    <definedName name="전체조직3">[0]!BlankMacro1</definedName>
    <definedName name="절">#REF!</definedName>
    <definedName name="절감">[0]!BlankMacro1</definedName>
    <definedName name="절감내역상세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리용" hidden="1">{#N/A,#N/A,FALSE,"Tower &amp; Car Park"}</definedName>
    <definedName name="정리용2" hidden="1">{#N/A,#N/A,FALSE,"Tower &amp; Car Park"}</definedName>
    <definedName name="정산액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정산표" hidden="1">{#N/A,#N/A,FALSE,"현장 NCR 분석";#N/A,#N/A,FALSE,"현장품질감사";#N/A,#N/A,FALSE,"현장품질감사"}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>[0]!BlankMacro1</definedName>
    <definedName name="조정후손익" hidden="1">{#N/A,#N/A,FALSE,"정공"}</definedName>
    <definedName name="조직">[0]!BlankMacro1</definedName>
    <definedName name="조직3" hidden="1">{#N/A,#N/A,FALSE,"정공"}</definedName>
    <definedName name="종가">[57]종가!$A$2:$C$25</definedName>
    <definedName name="종산총액">#REF!</definedName>
    <definedName name="종합2" hidden="1">{#N/A,#N/A,FALSE,"정공"}</definedName>
    <definedName name="종합미래2" hidden="1">{#N/A,#N/A,FALSE,"정공"}</definedName>
    <definedName name="종합추이">[0]!BlankMacro1</definedName>
    <definedName name="주목">#REF!</definedName>
    <definedName name="주민세율">#REF!</definedName>
    <definedName name="주방기구.도금">#REF!</definedName>
    <definedName name="주요">[0]!BlankMacro1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>[0]!BlankMacro1</definedName>
    <definedName name="줄사철">#REF!</definedName>
    <definedName name="중기" hidden="1">{#N/A,#N/A,FALSE,"정공"}</definedName>
    <definedName name="중기변속기">[0]!BlankMacro1</definedName>
    <definedName name="지급어음">#REF!</definedName>
    <definedName name="지급어음명세">[0]!BlankMacro1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ㅊㅇ" hidden="1">{#N/A,#N/A,FALSE,"현장 NCR 분석";#N/A,#N/A,FALSE,"현장품질감사";#N/A,#N/A,FALSE,"현장품질감사"}</definedName>
    <definedName name="차단기UP_DOWN">#REF!</definedName>
    <definedName name="차라리라">[0]!BlankMacro1</definedName>
    <definedName name="차라이">[0]!BlankMacro1</definedName>
    <definedName name="차명고래">[0]!BlankMacro1</definedName>
    <definedName name="차변합계">#REF!</definedName>
    <definedName name="차익거래">[0]!BlankMacro1</definedName>
    <definedName name="차트" hidden="1">{#N/A,#N/A,FALSE,"정공"}</definedName>
    <definedName name="참석자" hidden="1">{#N/A,#N/A,FALSE,"현장 NCR 분석";#N/A,#N/A,FALSE,"현장품질감사";#N/A,#N/A,FALSE,"현장품질감사"}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>#REF!</definedName>
    <definedName name="총토탈">#REF!</definedName>
    <definedName name="총토탈1">#REF!</definedName>
    <definedName name="총토탈2">#REF!</definedName>
    <definedName name="최영" hidden="1">{#N/A,#N/A,FALSE,"정공"}</definedName>
    <definedName name="추진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>[0]!BlankMacro1</definedName>
    <definedName name="치장벽돌공">#REF!</definedName>
    <definedName name="ㅋ">[0]!BlankMacro1</definedName>
    <definedName name="ㅋㅋ" hidden="1">{#N/A,#N/A,TRUE,"Y생산";#N/A,#N/A,TRUE,"Y판매";#N/A,#N/A,TRUE,"Y총물량";#N/A,#N/A,TRUE,"Y능력";#N/A,#N/A,TRUE,"YKD"}</definedName>
    <definedName name="ㅋㅌ" hidden="1">{#N/A,#N/A,FALSE,"구조1"}</definedName>
    <definedName name="컴">#REF!</definedName>
    <definedName name="컴퓨">#REF!</definedName>
    <definedName name="콩" hidden="1">{#N/A,#N/A,FALSE,"구조1"}</definedName>
    <definedName name="크레인">#REF!</definedName>
    <definedName name="ㅌㅍ" hidden="1">{#N/A,#N/A,FALSE,"부대2"}</definedName>
    <definedName name="탈의">#REF!</definedName>
    <definedName name="태양열.도금">#REF!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>[0]!BlankMacro1</definedName>
    <definedName name="템플리트모듈2">[0]!BlankMacro1</definedName>
    <definedName name="템플리트모듈3">[0]!BlankMacro1</definedName>
    <definedName name="템플리트모듈4">[0]!BlankMacro1</definedName>
    <definedName name="템플리트모듈5">[0]!BlankMacro1</definedName>
    <definedName name="템플리트모듈6">[0]!BlankMacro1</definedName>
    <definedName name="토" hidden="1">#REF!</definedName>
    <definedName name="토목내역">#REF!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찰가대비표현장" hidden="1">{#N/A,#N/A,FALSE,"현장 NCR 분석";#N/A,#N/A,FALSE,"현장품질감사";#N/A,#N/A,FALSE,"현장품질감사"}</definedName>
    <definedName name="투폐기물처리비">#REF!</definedName>
    <definedName name="특별">[58]집연95!#REF!</definedName>
    <definedName name="특수">#REF!</definedName>
    <definedName name="특수비계공">#REF!</definedName>
    <definedName name="파라이다">[0]!BlankMacro1</definedName>
    <definedName name="판다다">[0]!BlankMacro1</definedName>
    <definedName name="판도라상자" hidden="1">{#N/A,#N/A,FALSE,"정공"}</definedName>
    <definedName name="평당">#REF!</definedName>
    <definedName name="평당비교전체" hidden="1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품의서참조영역">[59]분개장·원장!#REF!</definedName>
    <definedName name="프">#REF!</definedName>
    <definedName name="ㅎ">#REF!</definedName>
    <definedName name="ㅎ384">#REF!</definedName>
    <definedName name="ㅎㄴㅇㅎㄹ">[0]!BlankMacro1</definedName>
    <definedName name="ㅎㅇㄴ">[0]!BlankMacro1</definedName>
    <definedName name="ㅎㅎ">[11]매출원가_회사제시!#REF!</definedName>
    <definedName name="하나하나">[0]!BlankMacro1</definedName>
    <definedName name="하하">#REF!</definedName>
    <definedName name="학생">#REF!</definedName>
    <definedName name="한" hidden="1">#REF!</definedName>
    <definedName name="한라구절초">#REF!</definedName>
    <definedName name="한맥">#REF!</definedName>
    <definedName name="한번">[0]!BlankMacro1</definedName>
    <definedName name="한울" hidden="1">[60]토목주소!#REF!</definedName>
    <definedName name="한울11" hidden="1">[60]프랜트면허!#REF!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>[0]!BlankMacro1</definedName>
    <definedName name="해당화">#REF!</definedName>
    <definedName name="현대" hidden="1">{#N/A,#N/A,FALSE,"정공"}</definedName>
    <definedName name="現代綜合商事經由分">[61]수입!#REF!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>#REF!</definedName>
    <definedName name="홈">#REF!</definedName>
    <definedName name="홍단풍">#REF!</definedName>
    <definedName name="확인">[0]!BlankMacro1</definedName>
    <definedName name="환율">#REF!</definedName>
    <definedName name="황">#REF!</definedName>
    <definedName name="휴게">#REF!</definedName>
    <definedName name="흄_____관">#REF!</definedName>
    <definedName name="힌울" hidden="1">[60]토목주소!#REF!</definedName>
    <definedName name="ㅏㅏ">[0]!BlankMacro1</definedName>
    <definedName name="ㅏㅓ" hidden="1">{#N/A,#N/A,FALSE,"구조2"}</definedName>
    <definedName name="ㅐ" hidden="1">{#N/A,#N/A,FALSE,"현장 NCR 분석";#N/A,#N/A,FALSE,"현장품질감사";#N/A,#N/A,FALSE,"현장품질감사"}</definedName>
    <definedName name="ㅐㅐㅐㅐ">[0]!BlankMacro1</definedName>
    <definedName name="ㅑ3081">#REF!</definedName>
    <definedName name="ㅑㅕ" hidden="1">{#N/A,#N/A,FALSE,"이정표"}</definedName>
    <definedName name="ㅓ" hidden="1">{#N/A,#N/A,TRUE,"Y생산";#N/A,#N/A,TRUE,"Y판매";#N/A,#N/A,TRUE,"Y총물량";#N/A,#N/A,TRUE,"Y능력";#N/A,#N/A,TRUE,"YKD"}</definedName>
    <definedName name="ㅓㅓ">[0]!BlankMacro1</definedName>
    <definedName name="ㅓㅗ">[0]!BlankMacro1</definedName>
    <definedName name="ㅔ">#REF!</definedName>
    <definedName name="ㅔㅔㅔㅔ">[0]!BlankMacro1</definedName>
    <definedName name="ㅕㅛㅕㅛㅏ">BlankMacro1</definedName>
    <definedName name="ㅗ" hidden="1">{#N/A,#N/A,FALSE,"현장 NCR 분석";#N/A,#N/A,FALSE,"현장품질감사";#N/A,#N/A,FALSE,"현장품질감사"}</definedName>
    <definedName name="ㅗㅓ" hidden="1">{#N/A,#N/A,FALSE,"부대2"}</definedName>
    <definedName name="ㅗㅕ" hidden="1">{#N/A,#N/A,FALSE,"배수2"}</definedName>
    <definedName name="ㅗㅕㅓ">[0]!BlankMacro1</definedName>
    <definedName name="ㅛㅅ" hidden="1">{#N/A,#N/A,FALSE,"속도"}</definedName>
    <definedName name="ㅛㅑㅐ" hidden="1">{#N/A,#N/A,FALSE,"구조1"}</definedName>
    <definedName name="ㅛㅛㅛㅛ">[0]!BlankMacro1</definedName>
    <definedName name="ㅜ">'[17]9-1차이내역'!#REF!</definedName>
    <definedName name="ㅜㅎㄹ" hidden="1">{#N/A,#N/A,FALSE,"부대2"}</definedName>
    <definedName name="ㅜㅜ">BlankMacro1</definedName>
    <definedName name="ㅜㅠ" hidden="1">{#N/A,#N/A,FALSE,"토공2"}</definedName>
    <definedName name="ㅜㅠㅍ" hidden="1">{#N/A,#N/A,FALSE,"전력간선"}</definedName>
    <definedName name="ㅠ">#REF!</definedName>
    <definedName name="ㅡ">#REF!</definedName>
    <definedName name="ㅡㅡㅡ">[0]!BlankMacro1</definedName>
    <definedName name="ㅣ" hidden="1">{#N/A,#N/A,FALSE,"정공"}</definedName>
    <definedName name="ㅣ275">#REF!</definedName>
    <definedName name="ㅣ81">#REF!</definedName>
    <definedName name="ㅣㅓㅏ" hidden="1">{#N/A,#N/A,FALSE,"전력간선"}</definedName>
    <definedName name="ㅣㅔ">#REF!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15" l="1"/>
  <c r="F11" i="15"/>
  <c r="F10" i="15"/>
  <c r="F9" i="15"/>
  <c r="F8" i="15"/>
  <c r="F7" i="15"/>
  <c r="F6" i="15"/>
  <c r="F5" i="15"/>
  <c r="F13" i="15" l="1"/>
  <c r="F27" i="15" s="1"/>
  <c r="F19" i="6"/>
  <c r="H17" i="6" l="1"/>
  <c r="I17" i="6" s="1"/>
  <c r="H8" i="6"/>
  <c r="G19" i="6"/>
  <c r="I8" i="6" l="1"/>
  <c r="E9" i="2" l="1"/>
  <c r="E12" i="2" l="1"/>
  <c r="E10" i="2" l="1"/>
  <c r="I3" i="10" l="1"/>
  <c r="I3" i="9"/>
  <c r="AN8" i="8" l="1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66" i="8"/>
  <c r="AN67" i="8"/>
  <c r="AN68" i="8"/>
  <c r="AN69" i="8"/>
  <c r="AN70" i="8"/>
  <c r="AN71" i="8"/>
  <c r="AN72" i="8"/>
  <c r="AN73" i="8"/>
  <c r="AN74" i="8"/>
  <c r="AN75" i="8"/>
  <c r="AN76" i="8"/>
  <c r="AN77" i="8"/>
  <c r="AN78" i="8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M1" i="8"/>
  <c r="AM3" i="8"/>
  <c r="AK80" i="8"/>
  <c r="AL80" i="8"/>
  <c r="AM80" i="8"/>
  <c r="AK91" i="8"/>
  <c r="AL91" i="8"/>
  <c r="AM91" i="8"/>
  <c r="AM92" i="8" s="1"/>
  <c r="AL92" i="8" l="1"/>
  <c r="AK92" i="8"/>
  <c r="I7" i="6" l="1"/>
  <c r="D11" i="6" l="1"/>
  <c r="AP58" i="8" l="1"/>
  <c r="AP57" i="8"/>
  <c r="AP56" i="8"/>
  <c r="AP55" i="8"/>
  <c r="AP54" i="8"/>
  <c r="AP53" i="8"/>
  <c r="AP52" i="8"/>
  <c r="AP51" i="8"/>
  <c r="AP50" i="8"/>
  <c r="AP49" i="8"/>
  <c r="AP48" i="8"/>
  <c r="AP47" i="8"/>
  <c r="AP46" i="8"/>
  <c r="AP45" i="8"/>
  <c r="AP44" i="8"/>
  <c r="M9" i="14" l="1"/>
  <c r="O9" i="14" s="1"/>
  <c r="M8" i="14"/>
  <c r="O8" i="14" s="1"/>
  <c r="O10" i="14" l="1"/>
  <c r="O11" i="14" s="1"/>
  <c r="M10" i="14"/>
  <c r="M11" i="14" s="1"/>
  <c r="AP73" i="8"/>
  <c r="AP72" i="8"/>
  <c r="AP71" i="8"/>
  <c r="AP70" i="8"/>
  <c r="AP69" i="8"/>
  <c r="AP68" i="8"/>
  <c r="AP67" i="8"/>
  <c r="AP66" i="8"/>
  <c r="AP65" i="8"/>
  <c r="AP64" i="8"/>
  <c r="AP63" i="8"/>
  <c r="AP62" i="8"/>
  <c r="AP61" i="8"/>
  <c r="AP60" i="8"/>
  <c r="AP59" i="8"/>
  <c r="AP43" i="8"/>
  <c r="AP42" i="8"/>
  <c r="AP41" i="8"/>
  <c r="AP40" i="8"/>
  <c r="AP39" i="8"/>
  <c r="AP38" i="8"/>
  <c r="AP37" i="8"/>
  <c r="AP36" i="8"/>
  <c r="G14" i="6" l="1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31" i="7"/>
  <c r="I5" i="7"/>
  <c r="I4" i="11" l="1"/>
  <c r="I3" i="11" s="1"/>
  <c r="AP22" i="8" l="1"/>
  <c r="AP21" i="8"/>
  <c r="AP20" i="8"/>
  <c r="AP19" i="8"/>
  <c r="AP18" i="8"/>
  <c r="AP17" i="8"/>
  <c r="AP16" i="8"/>
  <c r="AP15" i="8"/>
  <c r="G9" i="6" l="1"/>
  <c r="G15" i="6" s="1"/>
  <c r="G22" i="6" s="1"/>
  <c r="G23" i="6" s="1"/>
  <c r="E7" i="2" s="1"/>
  <c r="H7" i="12" l="1"/>
  <c r="H6" i="12"/>
  <c r="H5" i="12"/>
  <c r="H4" i="12"/>
  <c r="H3" i="12" l="1"/>
  <c r="D12" i="6"/>
  <c r="AN79" i="8" l="1"/>
  <c r="AP79" i="8" s="1"/>
  <c r="AP78" i="8"/>
  <c r="AP77" i="8"/>
  <c r="AP76" i="8"/>
  <c r="AP75" i="8"/>
  <c r="AP74" i="8"/>
  <c r="AP35" i="8"/>
  <c r="AP34" i="8"/>
  <c r="AP33" i="8"/>
  <c r="AP32" i="8"/>
  <c r="AP31" i="8"/>
  <c r="AP30" i="8"/>
  <c r="AP29" i="8"/>
  <c r="AP28" i="8"/>
  <c r="AP27" i="8"/>
  <c r="AP26" i="8"/>
  <c r="AP25" i="8"/>
  <c r="AP24" i="8"/>
  <c r="AP14" i="8"/>
  <c r="AP13" i="8"/>
  <c r="AP12" i="8"/>
  <c r="AP11" i="8"/>
  <c r="AP10" i="8"/>
  <c r="AP9" i="8"/>
  <c r="AP8" i="8"/>
  <c r="AN7" i="8"/>
  <c r="AP7" i="8" s="1"/>
  <c r="AN83" i="8" l="1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F12" i="6" l="1"/>
  <c r="E12" i="6" s="1"/>
  <c r="F11" i="6"/>
  <c r="AJ91" i="8" l="1"/>
  <c r="AI91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AN90" i="8"/>
  <c r="AP90" i="8" s="1"/>
  <c r="AN89" i="8"/>
  <c r="AP89" i="8" s="1"/>
  <c r="AN88" i="8"/>
  <c r="AP88" i="8" s="1"/>
  <c r="AN87" i="8"/>
  <c r="AP87" i="8" s="1"/>
  <c r="AN86" i="8"/>
  <c r="AP86" i="8" s="1"/>
  <c r="AN85" i="8"/>
  <c r="AP85" i="8" s="1"/>
  <c r="AN84" i="8"/>
  <c r="AP84" i="8" s="1"/>
  <c r="AP83" i="8"/>
  <c r="AN82" i="8"/>
  <c r="AP82" i="8" s="1"/>
  <c r="AN81" i="8"/>
  <c r="AJ80" i="8"/>
  <c r="AI80" i="8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AP23" i="8"/>
  <c r="AN6" i="8"/>
  <c r="AP81" i="8" l="1"/>
  <c r="AN91" i="8"/>
  <c r="AD92" i="8"/>
  <c r="Y92" i="8"/>
  <c r="R92" i="8"/>
  <c r="K92" i="8"/>
  <c r="Z92" i="8"/>
  <c r="AN80" i="8"/>
  <c r="L92" i="8"/>
  <c r="X92" i="8"/>
  <c r="AE92" i="8"/>
  <c r="AA92" i="8"/>
  <c r="J92" i="8"/>
  <c r="AG92" i="8"/>
  <c r="AF92" i="8"/>
  <c r="AH92" i="8"/>
  <c r="N92" i="8"/>
  <c r="O92" i="8"/>
  <c r="P92" i="8"/>
  <c r="Q92" i="8"/>
  <c r="I92" i="8"/>
  <c r="AB92" i="8"/>
  <c r="AP91" i="8"/>
  <c r="AI92" i="8"/>
  <c r="T92" i="8"/>
  <c r="AJ92" i="8"/>
  <c r="S92" i="8"/>
  <c r="U92" i="8"/>
  <c r="V92" i="8"/>
  <c r="W92" i="8"/>
  <c r="M92" i="8"/>
  <c r="AC92" i="8"/>
  <c r="AP6" i="8"/>
  <c r="AP80" i="8" s="1"/>
  <c r="E50" i="7"/>
  <c r="E49" i="7"/>
  <c r="E48" i="7"/>
  <c r="E47" i="7"/>
  <c r="E46" i="7"/>
  <c r="E45" i="7"/>
  <c r="E44" i="7"/>
  <c r="E43" i="7"/>
  <c r="E42" i="7"/>
  <c r="I42" i="7" s="1"/>
  <c r="E41" i="7"/>
  <c r="I41" i="7" s="1"/>
  <c r="E40" i="7"/>
  <c r="I40" i="7" s="1"/>
  <c r="E39" i="7"/>
  <c r="I39" i="7" s="1"/>
  <c r="E38" i="7"/>
  <c r="I38" i="7" s="1"/>
  <c r="E37" i="7"/>
  <c r="I37" i="7" s="1"/>
  <c r="E36" i="7"/>
  <c r="I36" i="7" s="1"/>
  <c r="E35" i="7"/>
  <c r="I35" i="7" s="1"/>
  <c r="E34" i="7"/>
  <c r="E33" i="7"/>
  <c r="E32" i="7"/>
  <c r="E30" i="7"/>
  <c r="I30" i="7" s="1"/>
  <c r="E29" i="7"/>
  <c r="E28" i="7"/>
  <c r="I28" i="7" s="1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L18" i="7" s="1"/>
  <c r="F18" i="7" s="1"/>
  <c r="J17" i="7"/>
  <c r="L17" i="7" s="1"/>
  <c r="F17" i="7" s="1"/>
  <c r="J16" i="7"/>
  <c r="K16" i="7" s="1"/>
  <c r="M16" i="7" s="1"/>
  <c r="G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J10" i="7"/>
  <c r="L10" i="7" s="1"/>
  <c r="F10" i="7" s="1"/>
  <c r="J9" i="7"/>
  <c r="L9" i="7" s="1"/>
  <c r="F9" i="7" s="1"/>
  <c r="J8" i="7"/>
  <c r="J7" i="7"/>
  <c r="L7" i="7" s="1"/>
  <c r="F7" i="7" s="1"/>
  <c r="J6" i="7"/>
  <c r="L6" i="7" s="1"/>
  <c r="F6" i="7" s="1"/>
  <c r="J5" i="7"/>
  <c r="K5" i="7" s="1"/>
  <c r="A2" i="7"/>
  <c r="H51" i="7"/>
  <c r="L49" i="7"/>
  <c r="F49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A1" i="6"/>
  <c r="L2" i="6"/>
  <c r="K8" i="7" l="1"/>
  <c r="M8" i="7" s="1"/>
  <c r="G8" i="7" s="1"/>
  <c r="L8" i="7"/>
  <c r="F8" i="7" s="1"/>
  <c r="AO80" i="8"/>
  <c r="K18" i="7"/>
  <c r="M18" i="7" s="1"/>
  <c r="G18" i="7" s="1"/>
  <c r="L16" i="7"/>
  <c r="F16" i="7" s="1"/>
  <c r="AN92" i="8"/>
  <c r="D10" i="6" s="1"/>
  <c r="K23" i="7"/>
  <c r="M23" i="7" s="1"/>
  <c r="G23" i="7" s="1"/>
  <c r="K34" i="7"/>
  <c r="I34" i="7"/>
  <c r="K47" i="7"/>
  <c r="I47" i="7"/>
  <c r="K32" i="7"/>
  <c r="I32" i="7"/>
  <c r="K33" i="7"/>
  <c r="I33" i="7"/>
  <c r="K48" i="7"/>
  <c r="I48" i="7"/>
  <c r="K49" i="7"/>
  <c r="I49" i="7"/>
  <c r="K44" i="7"/>
  <c r="I44" i="7"/>
  <c r="K45" i="7"/>
  <c r="I45" i="7"/>
  <c r="K50" i="7"/>
  <c r="I50" i="7"/>
  <c r="K29" i="7"/>
  <c r="I29" i="7"/>
  <c r="K46" i="7"/>
  <c r="I46" i="7"/>
  <c r="K43" i="7"/>
  <c r="I43" i="7"/>
  <c r="L11" i="7"/>
  <c r="F11" i="7" s="1"/>
  <c r="K11" i="7"/>
  <c r="M11" i="7" s="1"/>
  <c r="G11" i="7" s="1"/>
  <c r="K26" i="7"/>
  <c r="M26" i="7" s="1"/>
  <c r="G26" i="7" s="1"/>
  <c r="F6" i="6"/>
  <c r="H6" i="6" s="1"/>
  <c r="I6" i="6" s="1"/>
  <c r="AP92" i="8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AO91" i="8"/>
  <c r="K7" i="7"/>
  <c r="M7" i="7" s="1"/>
  <c r="G7" i="7" s="1"/>
  <c r="D4" i="6"/>
  <c r="L27" i="7"/>
  <c r="F27" i="7" s="1"/>
  <c r="L24" i="7"/>
  <c r="F24" i="7" s="1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9" i="7"/>
  <c r="M19" i="7" s="1"/>
  <c r="G19" i="7" s="1"/>
  <c r="K27" i="7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H20" i="6"/>
  <c r="I20" i="6" s="1"/>
  <c r="M34" i="7" l="1"/>
  <c r="G34" i="7" s="1"/>
  <c r="AO92" i="8"/>
  <c r="M29" i="7"/>
  <c r="G29" i="7" s="1"/>
  <c r="M49" i="7"/>
  <c r="G49" i="7" s="1"/>
  <c r="M46" i="7"/>
  <c r="G46" i="7" s="1"/>
  <c r="M48" i="7"/>
  <c r="G48" i="7" s="1"/>
  <c r="I51" i="7"/>
  <c r="M33" i="7"/>
  <c r="G33" i="7" s="1"/>
  <c r="M47" i="7"/>
  <c r="G47" i="7" s="1"/>
  <c r="M32" i="7"/>
  <c r="G32" i="7" s="1"/>
  <c r="M45" i="7"/>
  <c r="G45" i="7" s="1"/>
  <c r="M50" i="7"/>
  <c r="G50" i="7" s="1"/>
  <c r="M43" i="7"/>
  <c r="G43" i="7" s="1"/>
  <c r="M44" i="7"/>
  <c r="G44" i="7" s="1"/>
  <c r="F10" i="6"/>
  <c r="F14" i="6" s="1"/>
  <c r="H21" i="6"/>
  <c r="I21" i="6" s="1"/>
  <c r="E11" i="2"/>
  <c r="F5" i="6"/>
  <c r="M38" i="7"/>
  <c r="G38" i="7" s="1"/>
  <c r="M27" i="7"/>
  <c r="G27" i="7" s="1"/>
  <c r="F4" i="6"/>
  <c r="L51" i="7"/>
  <c r="F5" i="7"/>
  <c r="F51" i="7" s="1"/>
  <c r="K51" i="7"/>
  <c r="M5" i="7"/>
  <c r="J51" i="7"/>
  <c r="H12" i="6"/>
  <c r="I12" i="6" s="1"/>
  <c r="E11" i="6"/>
  <c r="H11" i="6"/>
  <c r="I11" i="6" s="1"/>
  <c r="F6" i="5"/>
  <c r="F7" i="5"/>
  <c r="F8" i="5"/>
  <c r="F9" i="5"/>
  <c r="F10" i="5"/>
  <c r="F11" i="5"/>
  <c r="F5" i="5"/>
  <c r="E15" i="5"/>
  <c r="E3" i="2"/>
  <c r="D3" i="2"/>
  <c r="F9" i="6" l="1"/>
  <c r="E4" i="6"/>
  <c r="E5" i="6"/>
  <c r="H5" i="6"/>
  <c r="I5" i="6" s="1"/>
  <c r="H10" i="6"/>
  <c r="E10" i="6"/>
  <c r="H4" i="6"/>
  <c r="M51" i="7"/>
  <c r="G5" i="7"/>
  <c r="G51" i="7" s="1"/>
  <c r="F13" i="5"/>
  <c r="F15" i="5" s="1"/>
  <c r="D14" i="2"/>
  <c r="D12" i="2"/>
  <c r="D11" i="2"/>
  <c r="D10" i="2"/>
  <c r="D9" i="2"/>
  <c r="D7" i="2"/>
  <c r="I10" i="6" l="1"/>
  <c r="I14" i="6" s="1"/>
  <c r="H14" i="6"/>
  <c r="I4" i="6"/>
  <c r="I9" i="6" s="1"/>
  <c r="I15" i="6" s="1"/>
  <c r="H9" i="6"/>
  <c r="F15" i="6"/>
  <c r="I19" i="6" l="1"/>
  <c r="I22" i="6" s="1"/>
  <c r="F22" i="6"/>
  <c r="E8" i="2"/>
  <c r="H15" i="6"/>
  <c r="H19" i="6" s="1"/>
  <c r="H22" i="6" l="1"/>
  <c r="H23" i="6" s="1"/>
  <c r="D8" i="2" l="1"/>
  <c r="I23" i="6"/>
  <c r="F23" i="6"/>
  <c r="E13" i="2" s="1"/>
  <c r="E5" i="2" l="1"/>
  <c r="E6" i="2"/>
  <c r="D13" i="2" l="1"/>
  <c r="D5" i="2"/>
  <c r="D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<sst xmlns="http://schemas.openxmlformats.org/spreadsheetml/2006/main" count="1269" uniqueCount="761">
  <si>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</si>
  <si>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</si>
  <si>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</si>
  <si>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</si>
  <si>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</si>
  <si>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</si>
  <si>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</si>
  <si>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</si>
  <si>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</si>
  <si>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</si>
  <si>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</si>
  <si>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</si>
  <si>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</si>
  <si>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</si>
  <si>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</si>
  <si>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</si>
  <si>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</si>
  <si>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</si>
  <si>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</si>
  <si>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</si>
  <si>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</si>
  <si>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</si>
  <si>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</si>
  <si>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</si>
  <si>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</si>
  <si>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</si>
  <si>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</si>
  <si>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</si>
  <si>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</si>
  <si>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</si>
  <si>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</si>
  <si>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</si>
  <si>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</si>
  <si>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</si>
  <si>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(인)</t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</si>
  <si>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</si>
  <si>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</si>
  <si>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</si>
  <si>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</si>
  <si>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</si>
  <si>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</si>
  <si>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</si>
  <si>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</si>
  <si>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</si>
  <si>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</si>
  <si>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</si>
  <si>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</si>
  <si>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</si>
  <si>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</si>
  <si>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</si>
  <si>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</si>
  <si>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</si>
  <si>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</si>
  <si>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</si>
  <si>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</si>
  <si>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</si>
  <si>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</si>
  <si>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</si>
  <si>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</si>
  <si>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</si>
  <si>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</si>
  <si>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</si>
  <si>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</si>
  <si>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</si>
  <si>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</si>
  <si>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</si>
  <si>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</si>
  <si>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</si>
  <si>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</si>
  <si>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</si>
  <si>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</si>
  <si>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</si>
  <si>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</si>
  <si>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</si>
  <si>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</si>
  <si>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</si>
  <si>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</si>
  <si>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</si>
  <si>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</si>
  <si>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</si>
  <si>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</si>
  <si>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</si>
  <si>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</si>
  <si>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</si>
  <si>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</si>
  <si>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</si>
  <si>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</si>
  <si>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</si>
  <si>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</si>
  <si>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</si>
  <si>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</si>
  <si>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</si>
  <si>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</si>
  <si>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</si>
  <si>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</si>
  <si>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</si>
  <si>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</si>
  <si>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</si>
  <si>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</si>
  <si>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</si>
  <si>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</si>
  <si>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</si>
  <si>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</si>
  <si>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</si>
  <si>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</si>
  <si>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</si>
  <si>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</si>
  <si>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</si>
  <si>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</si>
  <si>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</si>
  <si>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</si>
  <si>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</si>
  <si>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</si>
  <si>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</si>
  <si>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</si>
  <si>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</si>
  <si>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</si>
  <si>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</si>
  <si>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</si>
  <si>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</si>
  <si>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</si>
  <si>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</si>
  <si>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</si>
  <si>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</si>
  <si>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</si>
  <si>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</si>
  <si>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</si>
  <si>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</si>
  <si>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</si>
  <si>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</si>
  <si>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</si>
  <si>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</si>
  <si>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</si>
  <si>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</si>
  <si>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</si>
  <si>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</si>
  <si>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</si>
  <si>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</si>
  <si>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</si>
  <si>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</si>
  <si>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</si>
  <si>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</si>
  <si>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</si>
  <si>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</si>
  <si>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</si>
  <si>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</si>
  <si>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</si>
  <si>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</si>
  <si>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</si>
  <si>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</si>
  <si>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</si>
  <si>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</si>
  <si>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</si>
  <si>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지급 선급금</t>
    <phoneticPr fontId="3" type="noConversion"/>
  </si>
  <si>
    <t>선급금 차액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</si>
  <si>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</si>
  <si>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</si>
  <si>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</si>
  <si>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</si>
  <si>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</si>
  <si>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</si>
  <si>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</si>
  <si>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</si>
  <si>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</si>
  <si>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</si>
  <si>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</si>
  <si>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</si>
  <si>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</si>
  <si>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</si>
  <si>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</si>
  <si>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</si>
  <si>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</si>
  <si>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</si>
  <si>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</si>
  <si>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</si>
  <si>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</si>
  <si>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</si>
  <si>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</si>
  <si>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</si>
  <si>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</si>
  <si>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</si>
  <si>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</si>
  <si>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</si>
  <si>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</si>
  <si>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</si>
  <si>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</si>
  <si>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</si>
  <si>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</si>
  <si>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</si>
  <si>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</si>
  <si>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</si>
  <si>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</si>
  <si>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</si>
  <si>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</si>
  <si>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</si>
  <si>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</si>
  <si>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</si>
  <si>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</si>
  <si>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</si>
  <si>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</si>
  <si>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</si>
  <si>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</si>
  <si>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</si>
  <si>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</si>
  <si>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</si>
  <si>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</si>
  <si>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</si>
  <si>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</si>
  <si>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</si>
  <si>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</si>
  <si>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</si>
  <si>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</si>
  <si>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</si>
  <si>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</si>
  <si>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</si>
  <si>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</si>
  <si>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</si>
  <si>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</si>
  <si>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</si>
  <si>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</si>
  <si>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</si>
  <si>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</si>
  <si>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</si>
  <si>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</si>
  <si>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</si>
  <si>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</si>
  <si>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</si>
  <si>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</si>
  <si>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</si>
  <si>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</si>
  <si>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</si>
  <si>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</si>
  <si>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OOO</t>
    <phoneticPr fontId="3" type="noConversion"/>
  </si>
  <si>
    <t>OOOOOO-OOOOOOO</t>
    <phoneticPr fontId="3" type="noConversion"/>
  </si>
  <si>
    <t>보통인부</t>
  </si>
  <si>
    <t>OOO-OOOO-OOOO</t>
    <phoneticPr fontId="3" type="noConversion"/>
  </si>
  <si>
    <t>국민</t>
  </si>
  <si>
    <t>OOO</t>
    <phoneticPr fontId="3" type="noConversion"/>
  </si>
  <si>
    <t>OOOOOOOOOOO</t>
    <phoneticPr fontId="3" type="noConversion"/>
  </si>
  <si>
    <t>OOOOOO-OOOOOOO</t>
    <phoneticPr fontId="3" type="noConversion"/>
  </si>
  <si>
    <t>용접공</t>
  </si>
  <si>
    <t>케이뱅크</t>
  </si>
  <si>
    <t>배관공</t>
  </si>
  <si>
    <t>농협</t>
  </si>
  <si>
    <t>OOOOOOOOOOO</t>
    <phoneticPr fontId="3" type="noConversion"/>
  </si>
  <si>
    <t>OOO-OOOO-OOOO</t>
    <phoneticPr fontId="3" type="noConversion"/>
  </si>
  <si>
    <t>신한</t>
  </si>
  <si>
    <t>카카오</t>
  </si>
  <si>
    <t>OOOOOO-OOOOOOO</t>
    <phoneticPr fontId="3" type="noConversion"/>
  </si>
  <si>
    <t>OOO-OOOO-OOOO</t>
    <phoneticPr fontId="3" type="noConversion"/>
  </si>
  <si>
    <t>OOO</t>
    <phoneticPr fontId="3" type="noConversion"/>
  </si>
  <si>
    <t>OOO-OOOO-OOOO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</si>
  <si>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</si>
  <si>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</si>
  <si>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</si>
  <si>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</si>
  <si>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</si>
  <si>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</si>
  <si>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</si>
  <si>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</si>
  <si>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</si>
  <si>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</si>
  <si>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</si>
  <si>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</si>
  <si>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</si>
  <si>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</si>
  <si>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</si>
  <si>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</si>
  <si>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</si>
  <si>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</si>
  <si>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</si>
  <si>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</si>
  <si>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</si>
  <si>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</si>
  <si>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</si>
  <si>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</si>
  <si>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</si>
  <si>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</si>
  <si>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</si>
  <si>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</si>
  <si>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</si>
  <si>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</si>
  <si>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</si>
  <si>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</si>
  <si>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</si>
  <si>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</si>
  <si>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</si>
  <si>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</si>
  <si>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</si>
  <si>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</si>
  <si>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</si>
  <si>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</si>
  <si>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</si>
  <si>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</si>
  <si>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</si>
  <si>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</si>
  <si>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</si>
  <si>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</si>
  <si>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</si>
  <si>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</si>
  <si>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</si>
  <si>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</si>
  <si>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</si>
  <si>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</si>
  <si>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</si>
  <si>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</si>
  <si>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</si>
  <si>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</si>
  <si>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</si>
  <si>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</si>
  <si>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사무용품</t>
  </si>
  <si>
    <t>현장서류 및 문구류</t>
  </si>
  <si>
    <t>소모품비</t>
  </si>
  <si>
    <t>현장 기자재</t>
  </si>
  <si>
    <t>현장 기자재 (기타)</t>
  </si>
  <si>
    <t>법인카드</t>
  </si>
  <si>
    <t>법인카드 사용료</t>
  </si>
  <si>
    <t>S25-004</t>
    <phoneticPr fontId="5" type="noConversion"/>
  </si>
  <si>
    <t>㈜리도시스템</t>
    <phoneticPr fontId="5" type="noConversion"/>
  </si>
  <si>
    <t>충남 천안시 직산읍 군서2길 20, 1층</t>
  </si>
  <si>
    <t>김 용 근</t>
  </si>
  <si>
    <t>㈜ 리도시스템</t>
    <phoneticPr fontId="5" type="noConversion"/>
  </si>
  <si>
    <t>주      소 :</t>
    <phoneticPr fontId="9" type="noConversion"/>
  </si>
  <si>
    <t>대표이사 :</t>
    <phoneticPr fontId="9" type="noConversion"/>
  </si>
  <si>
    <t>장규철</t>
    <phoneticPr fontId="3" type="noConversion"/>
  </si>
  <si>
    <t>우리</t>
  </si>
  <si>
    <t>851017-1063211</t>
  </si>
  <si>
    <t>기업</t>
  </si>
  <si>
    <t>도비공</t>
  </si>
  <si>
    <t>010-3505-9062</t>
  </si>
  <si>
    <t>임세화</t>
  </si>
  <si>
    <t>850525-2639318</t>
  </si>
  <si>
    <t>302-0298-4771-11</t>
  </si>
  <si>
    <t>경기도 평택시 고덕여염12길 12 201호</t>
    <phoneticPr fontId="3" type="noConversion"/>
  </si>
  <si>
    <t>경기도 평택시 고덕여염12길 12 301호</t>
    <phoneticPr fontId="3" type="noConversion"/>
  </si>
  <si>
    <t>201호</t>
    <phoneticPr fontId="3" type="noConversion"/>
  </si>
  <si>
    <t>301호</t>
    <phoneticPr fontId="3" type="noConversion"/>
  </si>
  <si>
    <t>814호</t>
    <phoneticPr fontId="3" type="noConversion"/>
  </si>
  <si>
    <t>경기도 평택시 고덕여염9길 51 814호</t>
    <phoneticPr fontId="3" type="noConversion"/>
  </si>
  <si>
    <t>오피스플랜</t>
    <phoneticPr fontId="3" type="noConversion"/>
  </si>
  <si>
    <t>세일종합공구</t>
    <phoneticPr fontId="3" type="noConversion"/>
  </si>
  <si>
    <t>영수증</t>
    <phoneticPr fontId="3" type="noConversion"/>
  </si>
  <si>
    <t>BC카드</t>
    <phoneticPr fontId="3" type="noConversion"/>
  </si>
  <si>
    <t>1층</t>
  </si>
  <si>
    <t>임대료</t>
    <phoneticPr fontId="3" type="noConversion"/>
  </si>
  <si>
    <t>충청남도 천안시 서북구 직산읍 군서2길 20</t>
    <phoneticPr fontId="5" type="noConversion"/>
  </si>
  <si>
    <t>경기도 평택시 모곡동 447-1</t>
    <phoneticPr fontId="5" type="noConversion"/>
  </si>
  <si>
    <t>806,807호</t>
    <phoneticPr fontId="5" type="noConversion"/>
  </si>
  <si>
    <t>국관호</t>
  </si>
  <si>
    <t>860809-1085219</t>
  </si>
  <si>
    <t>010-4121-9703</t>
  </si>
  <si>
    <t>하나</t>
  </si>
  <si>
    <t>265-891181-88607</t>
  </si>
  <si>
    <t>김기열</t>
  </si>
  <si>
    <t>980624-1020013</t>
  </si>
  <si>
    <t>010-5801-1602</t>
  </si>
  <si>
    <t>1002-955-483076</t>
  </si>
  <si>
    <t>김덕주</t>
  </si>
  <si>
    <t>690607-1237512</t>
  </si>
  <si>
    <t>010-4727-6932</t>
  </si>
  <si>
    <t>1002-641-697004</t>
  </si>
  <si>
    <t>김도훈</t>
  </si>
  <si>
    <t>921029-1127516</t>
  </si>
  <si>
    <t>010-8506-3952</t>
  </si>
  <si>
    <t>1002-044-533435</t>
  </si>
  <si>
    <t>김영복</t>
  </si>
  <si>
    <t>690418-1041211</t>
  </si>
  <si>
    <t>010-8482-8440</t>
  </si>
  <si>
    <t>110-476-957730</t>
  </si>
  <si>
    <t>박재형</t>
  </si>
  <si>
    <t>780518-1114329</t>
  </si>
  <si>
    <t>010-3849-5386</t>
  </si>
  <si>
    <t>669502-04-161746</t>
  </si>
  <si>
    <t>임형택</t>
  </si>
  <si>
    <t>820507-1850225</t>
  </si>
  <si>
    <t>010-5686-9930</t>
  </si>
  <si>
    <t>조운도</t>
  </si>
  <si>
    <t>711117-1792112</t>
  </si>
  <si>
    <t>010-9533-5211</t>
  </si>
  <si>
    <t>3333-20-5901574</t>
  </si>
  <si>
    <t>경기도 평택시 고덕여염16길 71 302호</t>
    <phoneticPr fontId="3" type="noConversion"/>
  </si>
  <si>
    <t>302호</t>
    <phoneticPr fontId="3" type="noConversion"/>
  </si>
  <si>
    <t>관리비</t>
    <phoneticPr fontId="5" type="noConversion"/>
  </si>
  <si>
    <t>경기도 평택시 모곡동 447-1</t>
    <phoneticPr fontId="5" type="noConversion"/>
  </si>
  <si>
    <t>806호</t>
    <phoneticPr fontId="5" type="noConversion"/>
  </si>
  <si>
    <t>807호</t>
    <phoneticPr fontId="5" type="noConversion"/>
  </si>
  <si>
    <t>■ 구분은 [KC대납 식대 및 식대] 이외 항목은 입력금지</t>
    <phoneticPr fontId="3" type="noConversion"/>
  </si>
  <si>
    <t>KC대납 식대</t>
    <phoneticPr fontId="3" type="noConversion"/>
  </si>
  <si>
    <t>기술인및관리자 (현장 식당)</t>
    <phoneticPr fontId="3" type="noConversion"/>
  </si>
  <si>
    <t>다모아 한식뷔페</t>
    <phoneticPr fontId="3" type="noConversion"/>
  </si>
  <si>
    <t>811123-1847011</t>
  </si>
  <si>
    <t>010-2780-2424</t>
  </si>
  <si>
    <t>3333-03-0267267</t>
  </si>
  <si>
    <t>김동현</t>
  </si>
  <si>
    <t>940909-1158612</t>
  </si>
  <si>
    <t>010-2576-5831</t>
  </si>
  <si>
    <t>카카오뱅크</t>
  </si>
  <si>
    <t>3333-09-0796-912</t>
  </si>
  <si>
    <t>김만중</t>
  </si>
  <si>
    <t>700819-1574012</t>
  </si>
  <si>
    <t>010-3101-2836</t>
  </si>
  <si>
    <t>1002-738-181869</t>
  </si>
  <si>
    <t>김상진</t>
  </si>
  <si>
    <t>681128-1001110</t>
  </si>
  <si>
    <t>010-9027-0494</t>
  </si>
  <si>
    <t>011-12-089996</t>
  </si>
  <si>
    <t>김수영</t>
  </si>
  <si>
    <t>810331-2482816</t>
  </si>
  <si>
    <t>010-4945-4521</t>
  </si>
  <si>
    <t>3333-21-9406602</t>
  </si>
  <si>
    <t>김슬기</t>
  </si>
  <si>
    <t>860203-1051819</t>
  </si>
  <si>
    <t>010-2200-4561</t>
  </si>
  <si>
    <t>100-188-670019</t>
  </si>
  <si>
    <t>김홍우</t>
  </si>
  <si>
    <t>890112-1113810</t>
  </si>
  <si>
    <t>010-9932-4037</t>
  </si>
  <si>
    <t>경남</t>
  </si>
  <si>
    <t>207-0103-6217-05</t>
  </si>
  <si>
    <t>김희준</t>
  </si>
  <si>
    <t>861220-1703211</t>
  </si>
  <si>
    <t>010-9170-0746</t>
  </si>
  <si>
    <t>606402-04-039361</t>
  </si>
  <si>
    <t>770621-1645910</t>
  </si>
  <si>
    <t>010-7763-2808</t>
  </si>
  <si>
    <t>565-077418-01-011</t>
  </si>
  <si>
    <t>배정인</t>
  </si>
  <si>
    <t>721210-2804318</t>
  </si>
  <si>
    <t>010-9931-1244</t>
  </si>
  <si>
    <t>825114-51-173269</t>
  </si>
  <si>
    <t>서승규</t>
  </si>
  <si>
    <t>880322-1113210</t>
  </si>
  <si>
    <t>010-8254-2441</t>
  </si>
  <si>
    <t>357-067973-01-014</t>
  </si>
  <si>
    <t>송수연</t>
  </si>
  <si>
    <t>811222-1538914</t>
  </si>
  <si>
    <t>010-7168-2227</t>
  </si>
  <si>
    <t>501002-04-042967</t>
  </si>
  <si>
    <t>신서호</t>
  </si>
  <si>
    <t>940609-1056716</t>
  </si>
  <si>
    <t>010-2720-0684</t>
  </si>
  <si>
    <t>유준석</t>
  </si>
  <si>
    <t>931119-1082814</t>
  </si>
  <si>
    <t>010-2266-9274</t>
  </si>
  <si>
    <t>110-357-707377</t>
  </si>
  <si>
    <t>이광춘</t>
  </si>
  <si>
    <t>780331-1921616</t>
  </si>
  <si>
    <t>010-2555-6555</t>
  </si>
  <si>
    <t>120-21-0508-650</t>
  </si>
  <si>
    <t>이민휘</t>
  </si>
  <si>
    <t>950425-1419511</t>
  </si>
  <si>
    <t>010-3932-0627</t>
  </si>
  <si>
    <t>662001-01-158668</t>
  </si>
  <si>
    <t>조순</t>
  </si>
  <si>
    <t>900112-1588327</t>
  </si>
  <si>
    <t>010-7225-3715</t>
  </si>
  <si>
    <t>101401-04-193705</t>
  </si>
  <si>
    <t>조훈일</t>
  </si>
  <si>
    <t>790707-1093213</t>
  </si>
  <si>
    <t>010-5644-4655</t>
  </si>
  <si>
    <t>부산</t>
  </si>
  <si>
    <t>073-02-033733-0</t>
  </si>
  <si>
    <t>최건우</t>
  </si>
  <si>
    <t>950206-1188615</t>
  </si>
  <si>
    <t>010-4630-2622</t>
  </si>
  <si>
    <t>한정숙</t>
  </si>
  <si>
    <t>821101-2659313</t>
  </si>
  <si>
    <t>010-8682-4492</t>
  </si>
  <si>
    <t>166-076750-02-010</t>
  </si>
  <si>
    <t>경기도 평택시 고덕여염5길 117-3 202호</t>
    <phoneticPr fontId="3" type="noConversion"/>
  </si>
  <si>
    <t>202호</t>
    <phoneticPr fontId="3" type="noConversion"/>
  </si>
  <si>
    <t>경기도 평택시 고덕여염5길 69-3 302호</t>
    <phoneticPr fontId="3" type="noConversion"/>
  </si>
  <si>
    <t>302호</t>
    <phoneticPr fontId="3" type="noConversion"/>
  </si>
  <si>
    <t>KC대납 관리비</t>
  </si>
  <si>
    <t>경기도 평택시 고덕여염12길 12 201호</t>
    <phoneticPr fontId="3" type="noConversion"/>
  </si>
  <si>
    <t>경기도 평택시 고덕여염12길 12 301호</t>
    <phoneticPr fontId="3" type="noConversion"/>
  </si>
  <si>
    <t>경기도 평택시 고덕여염16길 71 302호</t>
    <phoneticPr fontId="3" type="noConversion"/>
  </si>
  <si>
    <t>KC대납</t>
    <phoneticPr fontId="3" type="noConversion"/>
  </si>
  <si>
    <t xml:space="preserve">201호 </t>
    <phoneticPr fontId="3" type="noConversion"/>
  </si>
  <si>
    <t>301호</t>
    <phoneticPr fontId="3" type="noConversion"/>
  </si>
  <si>
    <t>302호</t>
    <phoneticPr fontId="3" type="noConversion"/>
  </si>
  <si>
    <t>경기도 평택시 고덕여염9길 51 814호</t>
    <phoneticPr fontId="3" type="noConversion"/>
  </si>
  <si>
    <t>814호</t>
    <phoneticPr fontId="3" type="noConversion"/>
  </si>
  <si>
    <t>경기도 평택시 고덕여염12길 12 301호</t>
    <phoneticPr fontId="3" type="noConversion"/>
  </si>
  <si>
    <t>경기도 평택시 고덕여염5길 117-3 202호</t>
    <phoneticPr fontId="3" type="noConversion"/>
  </si>
  <si>
    <t>경기도 평택시 고덕여염5길 69-3 302호</t>
    <phoneticPr fontId="3" type="noConversion"/>
  </si>
  <si>
    <t>201호</t>
    <phoneticPr fontId="3" type="noConversion"/>
  </si>
  <si>
    <t>301호</t>
    <phoneticPr fontId="3" type="noConversion"/>
  </si>
  <si>
    <t>202호</t>
    <phoneticPr fontId="3" type="noConversion"/>
  </si>
  <si>
    <t>경기도 평택시 고덕여염12길 12 201호</t>
    <phoneticPr fontId="3" type="noConversion"/>
  </si>
  <si>
    <t>내용</t>
    <phoneticPr fontId="3" type="noConversion"/>
  </si>
  <si>
    <t>25년10월</t>
    <phoneticPr fontId="3" type="noConversion"/>
  </si>
  <si>
    <t>25년12월</t>
  </si>
  <si>
    <t>26년01월</t>
    <phoneticPr fontId="3" type="noConversion"/>
  </si>
  <si>
    <t>26년02월</t>
  </si>
  <si>
    <t>26년03월</t>
  </si>
  <si>
    <t>26년04월</t>
  </si>
  <si>
    <t>26년05월</t>
  </si>
  <si>
    <t>26년06월</t>
  </si>
  <si>
    <t>26년07월</t>
  </si>
  <si>
    <t>작성일 : 2025-12--18</t>
    <phoneticPr fontId="3" type="noConversion"/>
  </si>
  <si>
    <t>공구</t>
    <phoneticPr fontId="3" type="noConversion"/>
  </si>
  <si>
    <t>작업구간</t>
    <phoneticPr fontId="3" type="noConversion"/>
  </si>
  <si>
    <t>날짜</t>
    <phoneticPr fontId="3" type="noConversion"/>
  </si>
  <si>
    <t>시간</t>
    <phoneticPr fontId="3" type="noConversion"/>
  </si>
  <si>
    <t>분</t>
    <phoneticPr fontId="3" type="noConversion"/>
  </si>
  <si>
    <t>LOSS M/D</t>
    <phoneticPr fontId="3" type="noConversion"/>
  </si>
  <si>
    <t>작업인원</t>
    <phoneticPr fontId="3" type="noConversion"/>
  </si>
  <si>
    <t>M/D 합계</t>
    <phoneticPr fontId="3" type="noConversion"/>
  </si>
  <si>
    <t>월 평균단가</t>
    <phoneticPr fontId="3" type="noConversion"/>
  </si>
  <si>
    <t>LOSS 금액</t>
    <phoneticPr fontId="3" type="noConversion"/>
  </si>
  <si>
    <t>FAB</t>
    <phoneticPr fontId="3" type="noConversion"/>
  </si>
  <si>
    <t>발주처 요청사항</t>
    <phoneticPr fontId="3" type="noConversion"/>
  </si>
  <si>
    <t>중대재해발생으로 인한 발주처 요청으로 자체 특별교육 및 
작업 중단으로 인한 양중 차대 비용</t>
  </si>
  <si>
    <t>현장 전 구간</t>
    <phoneticPr fontId="3" type="noConversion"/>
  </si>
  <si>
    <t>09:00~11:00</t>
    <phoneticPr fontId="3" type="noConversion"/>
  </si>
  <si>
    <t>10월</t>
    <phoneticPr fontId="3" type="noConversion"/>
  </si>
  <si>
    <t>중대재해발생으로 인한 발주처 요청으로 기술인 특별교육</t>
    <phoneticPr fontId="3" type="noConversion"/>
  </si>
  <si>
    <t>현장 안전교육장, KC 안전교육장</t>
    <phoneticPr fontId="3" type="noConversion"/>
  </si>
  <si>
    <t>25-10-30~31</t>
    <phoneticPr fontId="3" type="noConversion"/>
  </si>
  <si>
    <t>30일12:00~14:00,15:00~17:00
31일07:00~09:00,10:00~12:00</t>
    <phoneticPr fontId="3" type="noConversion"/>
  </si>
  <si>
    <t>2025년 10월 LOSS 합계</t>
    <phoneticPr fontId="3" type="noConversion"/>
  </si>
  <si>
    <t>총 합 계</t>
    <phoneticPr fontId="3" type="noConversion"/>
  </si>
  <si>
    <t>리도</t>
    <phoneticPr fontId="3" type="noConversion"/>
  </si>
  <si>
    <t>업체</t>
    <phoneticPr fontId="3" type="noConversion"/>
  </si>
  <si>
    <t>■ 평택 P4_Ph4 GAS 1공구_FAB LOSS 기록대장_리도</t>
    <phoneticPr fontId="3" type="noConversion"/>
  </si>
  <si>
    <t>고경석</t>
  </si>
  <si>
    <t>686602-01-330663</t>
  </si>
  <si>
    <t>고철영</t>
  </si>
  <si>
    <t>990713-1901218</t>
  </si>
  <si>
    <t>010-5761-5648</t>
  </si>
  <si>
    <t>미래에셋증권</t>
  </si>
  <si>
    <t>442-7028-5766-1</t>
  </si>
  <si>
    <t>구현모</t>
  </si>
  <si>
    <t>880417-1155419</t>
  </si>
  <si>
    <t>010-9552-4105</t>
  </si>
  <si>
    <t>3333-06-3026631</t>
  </si>
  <si>
    <t>김기영</t>
  </si>
  <si>
    <t>731015-1696411</t>
  </si>
  <si>
    <t>새마을</t>
  </si>
  <si>
    <t>9003-1989-7164-1</t>
  </si>
  <si>
    <t>김다은</t>
  </si>
  <si>
    <t>010-3935-7002</t>
  </si>
  <si>
    <t>352-1652-6948-33</t>
  </si>
  <si>
    <t>김동성</t>
  </si>
  <si>
    <t>801129-1670913</t>
  </si>
  <si>
    <t>010-6479-6009</t>
  </si>
  <si>
    <t>645901-04-120115</t>
  </si>
  <si>
    <t>김재홍</t>
  </si>
  <si>
    <t>900222-1069719</t>
  </si>
  <si>
    <t>010-4345-0747</t>
  </si>
  <si>
    <t>354-910259-36007</t>
  </si>
  <si>
    <t>김진호</t>
  </si>
  <si>
    <t>960130-1068311</t>
  </si>
  <si>
    <t>010-3011-6048</t>
  </si>
  <si>
    <t>681102-01-528180</t>
  </si>
  <si>
    <t>배정민</t>
  </si>
  <si>
    <t>881024-1845614</t>
  </si>
  <si>
    <t>010-7593-9571</t>
  </si>
  <si>
    <t>278-082242-01-011</t>
  </si>
  <si>
    <t>890313-1813518</t>
  </si>
  <si>
    <t>010-3533-9669</t>
  </si>
  <si>
    <t>전승리</t>
  </si>
  <si>
    <t>830202-1580414</t>
  </si>
  <si>
    <t>010-4191-7984</t>
  </si>
  <si>
    <t>신협</t>
  </si>
  <si>
    <t>132-094-612519</t>
  </si>
  <si>
    <t>25년11월</t>
    <phoneticPr fontId="3" type="noConversion"/>
  </si>
  <si>
    <t>중대재해발생건 LOSS</t>
    <phoneticPr fontId="3" type="noConversion"/>
  </si>
  <si>
    <t>타업체 중대재해발생건으로 인한 건</t>
    <phoneticPr fontId="3" type="noConversion"/>
  </si>
  <si>
    <t>기타지급 운영비</t>
    <phoneticPr fontId="3" type="noConversion"/>
  </si>
  <si>
    <t>2026년 02월</t>
    <phoneticPr fontId="5" type="noConversion"/>
  </si>
  <si>
    <t>작 성 일 :   2026년  02월  28일</t>
    <phoneticPr fontId="9" type="noConversion"/>
  </si>
  <si>
    <t>2026년 (02)월 물량 내역서</t>
    <phoneticPr fontId="3" type="noConversion"/>
  </si>
  <si>
    <t>2026년 (    02   )월 일용 노무비명세서</t>
    <phoneticPr fontId="3" type="noConversion"/>
  </si>
  <si>
    <t>960824-1063628</t>
  </si>
  <si>
    <t>010-5713-0029</t>
  </si>
  <si>
    <t>곽영욱</t>
  </si>
  <si>
    <t>060307-3447619</t>
  </si>
  <si>
    <t>010-9517-3670</t>
  </si>
  <si>
    <t>660-911656-91507</t>
  </si>
  <si>
    <t>곽영준</t>
  </si>
  <si>
    <t>031007-3447617</t>
  </si>
  <si>
    <t>010-9979-3670</t>
  </si>
  <si>
    <t>토스</t>
  </si>
  <si>
    <t>1000-4627-2747</t>
  </si>
  <si>
    <t>권민재</t>
  </si>
  <si>
    <t>000609-3850320</t>
  </si>
  <si>
    <t>010-9143-3659</t>
  </si>
  <si>
    <t>1000-7491-0326</t>
  </si>
  <si>
    <t>김기수</t>
  </si>
  <si>
    <t>670925-1788311</t>
  </si>
  <si>
    <t>010-8748-6402</t>
  </si>
  <si>
    <t>110-395-269363</t>
  </si>
  <si>
    <t>010-6857-3033</t>
  </si>
  <si>
    <t>050613-4351912</t>
  </si>
  <si>
    <t>김민준</t>
  </si>
  <si>
    <t>750121-1923111</t>
  </si>
  <si>
    <t>010-3144-7011</t>
  </si>
  <si>
    <t>1002-346-022419</t>
  </si>
  <si>
    <t>김민환</t>
  </si>
  <si>
    <t>750913-1633014</t>
  </si>
  <si>
    <t>안전관리자</t>
  </si>
  <si>
    <t>010-4603-8523</t>
  </si>
  <si>
    <t>1002-152-759347</t>
  </si>
  <si>
    <t>김선우</t>
  </si>
  <si>
    <t>공사관리자</t>
  </si>
  <si>
    <t>010-2290-6800</t>
  </si>
  <si>
    <t>110-478-054318</t>
  </si>
  <si>
    <t>김성겸</t>
  </si>
  <si>
    <t>880625-1477921</t>
  </si>
  <si>
    <t>010-6767-8681</t>
  </si>
  <si>
    <t>302-0666-0938-21</t>
  </si>
  <si>
    <t>김용호</t>
  </si>
  <si>
    <t>800821-1823911</t>
  </si>
  <si>
    <t>010-8661-3999</t>
  </si>
  <si>
    <t>175-057885-01-012</t>
  </si>
  <si>
    <t>김은규</t>
  </si>
  <si>
    <t>681105-1788311</t>
  </si>
  <si>
    <t>351-0941-0263-23</t>
  </si>
  <si>
    <t>김정자</t>
  </si>
  <si>
    <t>691109-2581611</t>
  </si>
  <si>
    <t>010-8347-1457</t>
  </si>
  <si>
    <t>352-0865-6722-63</t>
  </si>
  <si>
    <t>김창배</t>
  </si>
  <si>
    <t>810804-1622417</t>
  </si>
  <si>
    <t>010-6414-6535</t>
  </si>
  <si>
    <t>529-054406-01-011</t>
  </si>
  <si>
    <t>박태규</t>
  </si>
  <si>
    <t>871003-1850317</t>
  </si>
  <si>
    <t>010-3562-0647</t>
  </si>
  <si>
    <t>3333-33-8687743</t>
  </si>
  <si>
    <t>백승환</t>
  </si>
  <si>
    <t>881116-1169113</t>
  </si>
  <si>
    <t>010-8295-2124</t>
  </si>
  <si>
    <t>507-050714-01-015</t>
  </si>
  <si>
    <t>서종우</t>
  </si>
  <si>
    <t>870720-1231413</t>
  </si>
  <si>
    <t>010-3385-1756</t>
  </si>
  <si>
    <t>543001-01-444969</t>
  </si>
  <si>
    <t>신상오</t>
  </si>
  <si>
    <t>670328-1010118</t>
  </si>
  <si>
    <t>010-4946-2704</t>
  </si>
  <si>
    <t>110-177-897619</t>
  </si>
  <si>
    <t>028-002-04-178453</t>
  </si>
  <si>
    <t>심지웅</t>
  </si>
  <si>
    <t>890309-1057416</t>
  </si>
  <si>
    <t>010-5432-3705</t>
  </si>
  <si>
    <t>682-040341-01-012</t>
  </si>
  <si>
    <t>안성재</t>
  </si>
  <si>
    <t>351-0349-1209-93</t>
  </si>
  <si>
    <t>어혜선</t>
  </si>
  <si>
    <t>690329-2224718</t>
  </si>
  <si>
    <t>010-4725-2377</t>
  </si>
  <si>
    <t>302-0915-7202-11</t>
  </si>
  <si>
    <t>육상연</t>
  </si>
  <si>
    <t>751217-1055113</t>
  </si>
  <si>
    <t>010-3782-0518</t>
  </si>
  <si>
    <t>352-0012-8381-33</t>
  </si>
  <si>
    <t>윤방원</t>
  </si>
  <si>
    <t>730117-1536416</t>
  </si>
  <si>
    <t>010-6402-5598</t>
  </si>
  <si>
    <t>241-070936-01-016</t>
  </si>
  <si>
    <t>윤석희</t>
  </si>
  <si>
    <t>771115-1122719</t>
  </si>
  <si>
    <t>010-8640-2063</t>
  </si>
  <si>
    <t>352-1499-5272-63</t>
  </si>
  <si>
    <t>윤세용</t>
  </si>
  <si>
    <t>861113-1059311</t>
  </si>
  <si>
    <t>010-5923-6889</t>
  </si>
  <si>
    <t>214902-04-004614</t>
  </si>
  <si>
    <t>이선진</t>
  </si>
  <si>
    <t>801228-1156219</t>
  </si>
  <si>
    <t>010-9188-8934</t>
  </si>
  <si>
    <t>231-050789-02-013</t>
  </si>
  <si>
    <t>이성원</t>
  </si>
  <si>
    <t>710415-1545321</t>
  </si>
  <si>
    <t>010-4258-8870</t>
  </si>
  <si>
    <t>우체국</t>
  </si>
  <si>
    <t>101824-02-330226</t>
  </si>
  <si>
    <t>이은상</t>
  </si>
  <si>
    <t>890906-1056710</t>
  </si>
  <si>
    <t>010-9081-5044</t>
  </si>
  <si>
    <t>1002-233-653298</t>
  </si>
  <si>
    <t>이정재</t>
  </si>
  <si>
    <t>920817-1726911</t>
  </si>
  <si>
    <t>010-5611-0592</t>
  </si>
  <si>
    <t>110-340-857360</t>
  </si>
  <si>
    <t>이주찬</t>
  </si>
  <si>
    <t>990604-1861934</t>
  </si>
  <si>
    <t>010-4450-2936</t>
  </si>
  <si>
    <t>3333-05-3458052</t>
  </si>
  <si>
    <t>이희준</t>
  </si>
  <si>
    <t>710101-1037819</t>
  </si>
  <si>
    <t>010-5785-9100</t>
  </si>
  <si>
    <t>220601-04-242553</t>
  </si>
  <si>
    <t>공무담당</t>
  </si>
  <si>
    <t>010-7184-8536</t>
  </si>
  <si>
    <t>172-109521-01-011</t>
  </si>
  <si>
    <t>장금숙</t>
  </si>
  <si>
    <t>701103-2630134</t>
  </si>
  <si>
    <t>010-5811-4645</t>
  </si>
  <si>
    <t>110-555-576697</t>
  </si>
  <si>
    <t>장숙진</t>
  </si>
  <si>
    <t>750422-2064027</t>
  </si>
  <si>
    <t>010-3503-6705</t>
  </si>
  <si>
    <t>489701-01-602814</t>
  </si>
  <si>
    <t>장지윤</t>
  </si>
  <si>
    <t>810902-1798514</t>
  </si>
  <si>
    <t>010-6655-9570</t>
  </si>
  <si>
    <t>3333-04-4587331</t>
  </si>
  <si>
    <t>정인철</t>
  </si>
  <si>
    <t>911125-1652613</t>
  </si>
  <si>
    <t>010-6344-9135</t>
  </si>
  <si>
    <t xml:space="preserve"> 1002-650-749757</t>
  </si>
  <si>
    <t>110-0063-61143</t>
  </si>
  <si>
    <t>추연국</t>
  </si>
  <si>
    <t>850105-1118311</t>
  </si>
  <si>
    <t>010-2659-1532</t>
  </si>
  <si>
    <t>110-259-188530</t>
  </si>
  <si>
    <t>허동훈</t>
  </si>
  <si>
    <t>960130-1692821</t>
  </si>
  <si>
    <t>010-4579-2206</t>
  </si>
  <si>
    <t>641702-04-034792</t>
  </si>
  <si>
    <t xml:space="preserve">숙소임대료(2월분) </t>
    <phoneticPr fontId="3" type="noConversion"/>
  </si>
  <si>
    <t xml:space="preserve">창고임대료(2월분) </t>
    <phoneticPr fontId="3" type="noConversion"/>
  </si>
  <si>
    <t xml:space="preserve">사무실임대료(2월분) </t>
    <phoneticPr fontId="3" type="noConversion"/>
  </si>
  <si>
    <t>숙소수도세(2월분)</t>
    <phoneticPr fontId="3" type="noConversion"/>
  </si>
  <si>
    <t>숙소관리비(2월분)</t>
    <phoneticPr fontId="3" type="noConversion"/>
  </si>
  <si>
    <t>숙소가스료(2월분)</t>
    <phoneticPr fontId="3" type="noConversion"/>
  </si>
  <si>
    <t>숙소전기료(2월분)</t>
    <phoneticPr fontId="3" type="noConversion"/>
  </si>
  <si>
    <t>공장전기료(2월분)</t>
    <phoneticPr fontId="5" type="noConversion"/>
  </si>
  <si>
    <t>사무실관리비(2월분)</t>
    <phoneticPr fontId="5" type="noConversion"/>
  </si>
  <si>
    <t>사무실관리비(2월분)</t>
    <phoneticPr fontId="5" type="noConversion"/>
  </si>
  <si>
    <t>선수공제</t>
    <phoneticPr fontId="3" type="noConversion"/>
  </si>
  <si>
    <t>단수정리</t>
    <phoneticPr fontId="3" type="noConversion"/>
  </si>
  <si>
    <t>(다음 기성에서 차감)</t>
    <phoneticPr fontId="3" type="noConversion"/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</si>
  <si>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</si>
  <si>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</si>
  <si>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</si>
  <si>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</si>
  <si>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</si>
  <si>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</si>
  <si>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</si>
  <si>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5" type="noConversion"/>
  </si>
  <si>
    <t>수 량</t>
    <phoneticPr fontId="5" type="noConversion"/>
  </si>
  <si>
    <t>금  액</t>
    <phoneticPr fontId="5" type="noConversion"/>
  </si>
  <si>
    <t>고급기술인</t>
  </si>
  <si>
    <t>S+</t>
  </si>
  <si>
    <t>M/M</t>
  </si>
  <si>
    <t>S</t>
  </si>
  <si>
    <t/>
  </si>
  <si>
    <t>중급기술인</t>
  </si>
  <si>
    <t>A+</t>
  </si>
  <si>
    <t>A</t>
  </si>
  <si>
    <t>B+</t>
  </si>
  <si>
    <t>B</t>
  </si>
  <si>
    <t>초급기술인</t>
  </si>
  <si>
    <t>C</t>
  </si>
  <si>
    <t>총   계</t>
    <phoneticPr fontId="5" type="noConversion"/>
  </si>
  <si>
    <t>2026. 02. 01 ~ 2026. 02. 28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</si>
</sst>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&quot;호&quot;"/>
    <numFmt numFmtId="187" formatCode="#,##0.000_ "/>
    <numFmt numFmtId="188" formatCode="_-* #,##0_-;\-* #,##0_-;_-* &quot;-&quot;??_-;_-@_-"/>
    <numFmt numFmtId="189" formatCode="0.000_);[Red]\(0.000\)"/>
    <numFmt numFmtId="190" formatCode="0.000_ "/>
    <numFmt numFmtId="191" formatCode="#,##0.0000_ "/>
    <numFmt numFmtId="192" formatCode="_-* #,##0_-;&quot;₩&quot;\!\-* #,##0_-;_-* &quot;-&quot;_-;_-@_-"/>
    <numFmt numFmtId="193" formatCode="_-* #,##0.0_-;\-* #,##0.0_-;_-* &quot;-&quot;_-;_-@_-"/>
  </numFmts>
  <fonts count="61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53" fillId="0" borderId="0"/>
    <xf numFmtId="0" fontId="59" fillId="0" borderId="0">
      <alignment vertical="center"/>
    </xf>
    <xf numFmtId="191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</cellStyleXfs>
  <cellXfs count="390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 applyBorder="1">
      <alignment vertical="center"/>
    </xf>
    <xf numFmtId="0" fontId="14" fillId="0" borderId="0" xfId="0" applyFont="1" applyBorder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41" fontId="24" fillId="0" borderId="9" xfId="0" applyNumberFormat="1" applyFont="1" applyBorder="1" applyAlignment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 applyAlignment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0" fontId="14" fillId="6" borderId="9" xfId="0" applyNumberFormat="1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9" xfId="0" applyNumberFormat="1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23" fillId="0" borderId="0" xfId="0" applyFont="1">
      <alignment vertical="center"/>
    </xf>
    <xf numFmtId="0" fontId="16" fillId="0" borderId="0" xfId="0" applyFont="1" applyAlignme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 applyFill="1" applyAlignment="1">
      <alignment vertical="center"/>
    </xf>
    <xf numFmtId="182" fontId="31" fillId="0" borderId="0" xfId="0" applyNumberFormat="1" applyFont="1" applyFill="1" applyAlignment="1">
      <alignment vertical="center"/>
    </xf>
    <xf numFmtId="0" fontId="32" fillId="0" borderId="0" xfId="9" applyFont="1" applyFill="1" applyAlignment="1" applyProtection="1">
      <alignment horizontal="left" vertical="center"/>
      <protection locked="0"/>
    </xf>
    <xf numFmtId="40" fontId="33" fillId="0" borderId="0" xfId="9" applyNumberFormat="1" applyFont="1" applyFill="1" applyAlignment="1" applyProtection="1">
      <alignment horizontal="left" vertical="center"/>
      <protection locked="0"/>
    </xf>
    <xf numFmtId="181" fontId="33" fillId="0" borderId="0" xfId="9" applyNumberFormat="1" applyFont="1" applyFill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Fill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14" fillId="0" borderId="10" xfId="6" applyNumberFormat="1" applyFont="1" applyFill="1" applyBorder="1" applyAlignment="1">
      <alignment horizontal="center" vertical="center"/>
    </xf>
    <xf numFmtId="183" fontId="14" fillId="0" borderId="10" xfId="6" applyNumberFormat="1" applyFont="1" applyFill="1" applyBorder="1" applyAlignment="1">
      <alignment horizontal="center" vertical="center"/>
    </xf>
    <xf numFmtId="41" fontId="14" fillId="0" borderId="10" xfId="6" applyFont="1" applyFill="1" applyBorder="1" applyAlignment="1">
      <alignment horizontal="center" vertical="center"/>
    </xf>
    <xf numFmtId="0" fontId="31" fillId="0" borderId="0" xfId="0" applyFont="1" applyFill="1">
      <alignment vertical="center"/>
    </xf>
    <xf numFmtId="40" fontId="31" fillId="0" borderId="0" xfId="0" applyNumberFormat="1" applyFont="1" applyFill="1">
      <alignment vertical="center"/>
    </xf>
    <xf numFmtId="0" fontId="31" fillId="0" borderId="0" xfId="0" applyFont="1" applyFill="1" applyAlignment="1">
      <alignment horizontal="center" vertical="center"/>
    </xf>
    <xf numFmtId="181" fontId="31" fillId="0" borderId="0" xfId="0" applyNumberFormat="1" applyFont="1" applyFill="1">
      <alignment vertical="center"/>
    </xf>
    <xf numFmtId="182" fontId="31" fillId="0" borderId="0" xfId="0" applyNumberFormat="1" applyFont="1" applyFill="1">
      <alignment vertical="center"/>
    </xf>
    <xf numFmtId="181" fontId="31" fillId="0" borderId="0" xfId="0" applyNumberFormat="1" applyFont="1" applyFill="1" applyAlignment="1">
      <alignment horizontal="center" vertical="center"/>
    </xf>
    <xf numFmtId="41" fontId="41" fillId="9" borderId="9" xfId="0" applyNumberFormat="1" applyFont="1" applyFill="1" applyBorder="1">
      <alignment vertical="center"/>
    </xf>
    <xf numFmtId="0" fontId="42" fillId="0" borderId="0" xfId="0" applyFont="1" applyAlignme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41" fontId="46" fillId="10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14" fillId="0" borderId="0" xfId="2" applyFont="1" applyFill="1" applyBorder="1">
      <alignment vertical="center"/>
    </xf>
    <xf numFmtId="0" fontId="14" fillId="0" borderId="0" xfId="2" applyFont="1" applyFill="1" applyAlignment="1">
      <alignment horizontal="right" vertical="center"/>
    </xf>
    <xf numFmtId="0" fontId="14" fillId="0" borderId="0" xfId="2" applyFont="1" applyFill="1">
      <alignment vertical="center"/>
    </xf>
    <xf numFmtId="0" fontId="1" fillId="0" borderId="0" xfId="2" applyFill="1" applyBorder="1">
      <alignment vertical="center"/>
    </xf>
    <xf numFmtId="0" fontId="45" fillId="0" borderId="9" xfId="0" applyFont="1" applyFill="1" applyBorder="1" applyAlignment="1">
      <alignment horizontal="center" vertical="center"/>
    </xf>
    <xf numFmtId="14" fontId="23" fillId="0" borderId="9" xfId="0" applyNumberFormat="1" applyFont="1" applyBorder="1" applyAlignment="1">
      <alignment horizontal="center" vertical="center"/>
    </xf>
    <xf numFmtId="41" fontId="41" fillId="9" borderId="10" xfId="0" applyNumberFormat="1" applyFont="1" applyFill="1" applyBorder="1">
      <alignment vertical="center"/>
    </xf>
    <xf numFmtId="186" fontId="13" fillId="0" borderId="9" xfId="0" applyNumberFormat="1" applyFont="1" applyFill="1" applyBorder="1" applyAlignment="1">
      <alignment horizontal="center" vertical="center"/>
    </xf>
    <xf numFmtId="14" fontId="45" fillId="0" borderId="9" xfId="0" applyNumberFormat="1" applyFont="1" applyFill="1" applyBorder="1" applyAlignment="1">
      <alignment horizontal="center" vertical="center"/>
    </xf>
    <xf numFmtId="49" fontId="45" fillId="0" borderId="9" xfId="0" applyNumberFormat="1" applyFont="1" applyFill="1" applyBorder="1" applyAlignment="1">
      <alignment horizontal="center" vertical="center" shrinkToFit="1"/>
    </xf>
    <xf numFmtId="182" fontId="45" fillId="0" borderId="9" xfId="10" applyNumberFormat="1" applyFont="1" applyFill="1" applyBorder="1" applyAlignment="1">
      <alignment horizontal="center" vertical="center"/>
    </xf>
    <xf numFmtId="41" fontId="45" fillId="0" borderId="9" xfId="10" applyFont="1" applyFill="1" applyBorder="1" applyAlignment="1">
      <alignment horizontal="center" vertical="center"/>
    </xf>
    <xf numFmtId="187" fontId="45" fillId="0" borderId="18" xfId="11" applyNumberFormat="1" applyFont="1" applyFill="1" applyBorder="1" applyAlignment="1">
      <alignment horizontal="center" vertical="center"/>
    </xf>
    <xf numFmtId="0" fontId="23" fillId="0" borderId="9" xfId="0" applyFont="1" applyFill="1" applyBorder="1" applyAlignment="1">
      <alignment horizontal="center" vertical="center"/>
    </xf>
    <xf numFmtId="41" fontId="13" fillId="0" borderId="9" xfId="10" applyFont="1" applyFill="1" applyBorder="1" applyAlignment="1">
      <alignment horizontal="center" vertical="center"/>
    </xf>
    <xf numFmtId="0" fontId="0" fillId="0" borderId="0" xfId="0" applyFill="1">
      <alignment vertical="center"/>
    </xf>
    <xf numFmtId="186" fontId="45" fillId="0" borderId="9" xfId="0" applyNumberFormat="1" applyFont="1" applyFill="1" applyBorder="1" applyAlignment="1">
      <alignment horizontal="center" vertical="center"/>
    </xf>
    <xf numFmtId="0" fontId="45" fillId="0" borderId="9" xfId="0" applyFont="1" applyFill="1" applyBorder="1" applyAlignment="1">
      <alignment horizontal="left" vertical="center"/>
    </xf>
    <xf numFmtId="14" fontId="23" fillId="0" borderId="9" xfId="0" applyNumberFormat="1" applyFont="1" applyFill="1" applyBorder="1" applyAlignment="1">
      <alignment horizontal="center" vertical="center"/>
    </xf>
    <xf numFmtId="0" fontId="45" fillId="0" borderId="53" xfId="0" applyFont="1" applyFill="1" applyBorder="1" applyAlignment="1">
      <alignment horizontal="center" vertical="center"/>
    </xf>
    <xf numFmtId="182" fontId="24" fillId="0" borderId="53" xfId="10" applyNumberFormat="1" applyFont="1" applyFill="1" applyBorder="1" applyAlignment="1">
      <alignment horizontal="center" vertical="center"/>
    </xf>
    <xf numFmtId="41" fontId="23" fillId="0" borderId="9" xfId="6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49" fillId="0" borderId="0" xfId="0" applyFont="1">
      <alignment vertical="center"/>
    </xf>
    <xf numFmtId="1" fontId="14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41" fontId="14" fillId="0" borderId="0" xfId="0" applyNumberFormat="1" applyFont="1">
      <alignment vertical="center"/>
    </xf>
    <xf numFmtId="41" fontId="14" fillId="0" borderId="0" xfId="0" applyNumberFormat="1" applyFont="1" applyAlignment="1">
      <alignment horizontal="right" vertical="center"/>
    </xf>
    <xf numFmtId="188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22" fillId="11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 wrapText="1"/>
    </xf>
    <xf numFmtId="14" fontId="31" fillId="0" borderId="9" xfId="0" applyNumberFormat="1" applyFont="1" applyFill="1" applyBorder="1" applyAlignment="1">
      <alignment horizontal="center" vertical="center"/>
    </xf>
    <xf numFmtId="179" fontId="31" fillId="0" borderId="9" xfId="0" applyNumberFormat="1" applyFont="1" applyFill="1" applyBorder="1" applyAlignment="1">
      <alignment horizontal="center" vertical="center"/>
    </xf>
    <xf numFmtId="3" fontId="31" fillId="0" borderId="9" xfId="0" applyNumberFormat="1" applyFont="1" applyFill="1" applyBorder="1" applyAlignment="1">
      <alignment horizontal="center" vertical="center"/>
    </xf>
    <xf numFmtId="179" fontId="47" fillId="6" borderId="9" xfId="0" applyNumberFormat="1" applyFont="1" applyFill="1" applyBorder="1" applyAlignment="1">
      <alignment horizontal="center" vertical="center"/>
    </xf>
    <xf numFmtId="42" fontId="47" fillId="6" borderId="9" xfId="8" applyFont="1" applyFill="1" applyBorder="1" applyAlignment="1">
      <alignment horizontal="center" vertical="center"/>
    </xf>
    <xf numFmtId="41" fontId="47" fillId="6" borderId="13" xfId="6" applyFont="1" applyFill="1" applyBorder="1" applyAlignment="1">
      <alignment horizontal="center" vertical="center"/>
    </xf>
    <xf numFmtId="0" fontId="47" fillId="6" borderId="0" xfId="0" applyFont="1" applyFill="1">
      <alignment vertical="center"/>
    </xf>
    <xf numFmtId="185" fontId="47" fillId="2" borderId="9" xfId="6" applyNumberFormat="1" applyFont="1" applyFill="1" applyBorder="1" applyAlignment="1">
      <alignment horizontal="center" vertical="center"/>
    </xf>
    <xf numFmtId="41" fontId="47" fillId="2" borderId="9" xfId="6" applyFont="1" applyFill="1" applyBorder="1" applyAlignment="1">
      <alignment horizontal="center" vertical="center"/>
    </xf>
    <xf numFmtId="41" fontId="47" fillId="2" borderId="13" xfId="6" applyFont="1" applyFill="1" applyBorder="1" applyAlignment="1">
      <alignment horizontal="center" vertical="center"/>
    </xf>
    <xf numFmtId="0" fontId="47" fillId="2" borderId="0" xfId="0" applyFont="1" applyFill="1">
      <alignment vertical="center"/>
    </xf>
    <xf numFmtId="0" fontId="0" fillId="0" borderId="0" xfId="0" applyNumberFormat="1">
      <alignment vertical="center"/>
    </xf>
    <xf numFmtId="190" fontId="45" fillId="0" borderId="9" xfId="14" applyNumberFormat="1" applyFont="1" applyFill="1" applyBorder="1" applyAlignment="1">
      <alignment horizontal="center" vertical="center"/>
    </xf>
    <xf numFmtId="189" fontId="45" fillId="0" borderId="9" xfId="14" applyNumberFormat="1" applyFont="1" applyFill="1" applyBorder="1" applyAlignment="1">
      <alignment horizontal="center" vertical="center"/>
    </xf>
    <xf numFmtId="189" fontId="45" fillId="0" borderId="9" xfId="11" applyNumberFormat="1" applyFont="1" applyFill="1" applyBorder="1" applyAlignment="1">
      <alignment horizontal="center" vertical="center"/>
    </xf>
    <xf numFmtId="0" fontId="36" fillId="0" borderId="54" xfId="0" applyFont="1" applyFill="1" applyBorder="1" applyAlignment="1">
      <alignment horizontal="center" vertical="center"/>
    </xf>
    <xf numFmtId="0" fontId="34" fillId="0" borderId="54" xfId="0" applyFont="1" applyFill="1" applyBorder="1" applyAlignment="1">
      <alignment horizontal="center" vertical="center"/>
    </xf>
    <xf numFmtId="0" fontId="35" fillId="0" borderId="54" xfId="0" applyFont="1" applyFill="1" applyBorder="1" applyAlignment="1">
      <alignment horizontal="center" vertical="center"/>
    </xf>
    <xf numFmtId="189" fontId="45" fillId="0" borderId="15" xfId="14" applyNumberFormat="1" applyFont="1" applyFill="1" applyBorder="1" applyAlignment="1">
      <alignment horizontal="center" vertical="center"/>
    </xf>
    <xf numFmtId="0" fontId="45" fillId="0" borderId="16" xfId="14" applyFont="1" applyFill="1" applyBorder="1" applyAlignment="1">
      <alignment horizontal="center" vertical="center"/>
    </xf>
    <xf numFmtId="189" fontId="45" fillId="0" borderId="18" xfId="14" applyNumberFormat="1" applyFont="1" applyFill="1" applyBorder="1" applyAlignment="1">
      <alignment horizontal="center" vertical="center"/>
    </xf>
    <xf numFmtId="0" fontId="45" fillId="0" borderId="18" xfId="14" applyFont="1" applyFill="1" applyBorder="1" applyAlignment="1">
      <alignment horizontal="center" vertical="center"/>
    </xf>
    <xf numFmtId="190" fontId="45" fillId="0" borderId="18" xfId="14" applyNumberFormat="1" applyFont="1" applyFill="1" applyBorder="1" applyAlignment="1">
      <alignment horizontal="center" vertical="center"/>
    </xf>
    <xf numFmtId="189" fontId="45" fillId="0" borderId="18" xfId="11" applyNumberFormat="1" applyFont="1" applyFill="1" applyBorder="1" applyAlignment="1">
      <alignment horizontal="center" vertical="center"/>
    </xf>
    <xf numFmtId="189" fontId="45" fillId="0" borderId="20" xfId="11" applyNumberFormat="1" applyFont="1" applyFill="1" applyBorder="1" applyAlignment="1">
      <alignment horizontal="center" vertical="center"/>
    </xf>
    <xf numFmtId="189" fontId="45" fillId="0" borderId="21" xfId="11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85" fontId="14" fillId="6" borderId="45" xfId="6" applyNumberFormat="1" applyFont="1" applyFill="1" applyBorder="1" applyAlignment="1">
      <alignment horizontal="center" vertical="center" shrinkToFit="1"/>
    </xf>
    <xf numFmtId="185" fontId="14" fillId="6" borderId="43" xfId="6" applyNumberFormat="1" applyFont="1" applyFill="1" applyBorder="1" applyAlignment="1">
      <alignment horizontal="center" vertical="center" shrinkToFit="1"/>
    </xf>
    <xf numFmtId="185" fontId="14" fillId="6" borderId="46" xfId="6" applyNumberFormat="1" applyFont="1" applyFill="1" applyBorder="1" applyAlignment="1">
      <alignment horizontal="center" vertical="center" shrinkToFit="1"/>
    </xf>
    <xf numFmtId="185" fontId="14" fillId="6" borderId="42" xfId="6" applyNumberFormat="1" applyFont="1" applyFill="1" applyBorder="1" applyAlignment="1">
      <alignment horizontal="center" vertical="center" shrinkToFit="1"/>
    </xf>
    <xf numFmtId="41" fontId="14" fillId="6" borderId="43" xfId="6" applyNumberFormat="1" applyFont="1" applyFill="1" applyBorder="1" applyAlignment="1">
      <alignment horizontal="center" vertical="center" shrinkToFit="1"/>
    </xf>
    <xf numFmtId="41" fontId="14" fillId="6" borderId="44" xfId="6" applyNumberFormat="1" applyFont="1" applyFill="1" applyBorder="1" applyAlignment="1">
      <alignment horizontal="center" vertical="center" shrinkToFit="1"/>
    </xf>
    <xf numFmtId="179" fontId="13" fillId="0" borderId="48" xfId="0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185" fontId="14" fillId="2" borderId="45" xfId="6" applyNumberFormat="1" applyFont="1" applyFill="1" applyBorder="1" applyAlignment="1">
      <alignment horizontal="center" vertical="center" shrinkToFit="1"/>
    </xf>
    <xf numFmtId="185" fontId="14" fillId="2" borderId="43" xfId="6" applyNumberFormat="1" applyFont="1" applyFill="1" applyBorder="1" applyAlignment="1">
      <alignment horizontal="center" vertical="center" shrinkToFit="1"/>
    </xf>
    <xf numFmtId="185" fontId="14" fillId="2" borderId="42" xfId="6" applyNumberFormat="1" applyFont="1" applyFill="1" applyBorder="1" applyAlignment="1">
      <alignment horizontal="center" vertical="center" shrinkToFit="1"/>
    </xf>
    <xf numFmtId="41" fontId="14" fillId="2" borderId="43" xfId="6" applyNumberFormat="1" applyFont="1" applyFill="1" applyBorder="1" applyAlignment="1">
      <alignment horizontal="center" vertical="center" shrinkToFit="1"/>
    </xf>
    <xf numFmtId="41" fontId="14" fillId="2" borderId="44" xfId="6" applyNumberFormat="1" applyFont="1" applyFill="1" applyBorder="1" applyAlignment="1">
      <alignment horizontal="center" vertical="center" shrinkToFit="1"/>
    </xf>
    <xf numFmtId="41" fontId="14" fillId="2" borderId="25" xfId="6" applyFont="1" applyFill="1" applyBorder="1" applyAlignment="1">
      <alignment horizontal="center" vertical="center"/>
    </xf>
    <xf numFmtId="41" fontId="24" fillId="2" borderId="13" xfId="0" applyNumberFormat="1" applyFont="1" applyFill="1" applyBorder="1" applyAlignment="1">
      <alignment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5" fillId="0" borderId="9" xfId="0" applyNumberFormat="1" applyFont="1" applyFill="1" applyBorder="1" applyAlignment="1">
      <alignment horizontal="center" vertical="center"/>
    </xf>
    <xf numFmtId="41" fontId="45" fillId="0" borderId="11" xfId="0" applyNumberFormat="1" applyFont="1" applyFill="1" applyBorder="1" applyAlignment="1">
      <alignment horizontal="center" vertical="center"/>
    </xf>
    <xf numFmtId="0" fontId="45" fillId="0" borderId="14" xfId="6" applyNumberFormat="1" applyFont="1" applyFill="1" applyBorder="1" applyAlignment="1">
      <alignment horizontal="center" vertical="center"/>
    </xf>
    <xf numFmtId="183" fontId="45" fillId="0" borderId="9" xfId="6" applyNumberFormat="1" applyFont="1" applyFill="1" applyBorder="1" applyAlignment="1">
      <alignment horizontal="center" vertical="center"/>
    </xf>
    <xf numFmtId="41" fontId="45" fillId="0" borderId="9" xfId="6" applyFont="1" applyFill="1" applyBorder="1" applyAlignment="1">
      <alignment horizontal="center" vertical="center"/>
    </xf>
    <xf numFmtId="182" fontId="45" fillId="0" borderId="9" xfId="6" applyNumberFormat="1" applyFont="1" applyFill="1" applyBorder="1" applyAlignment="1">
      <alignment horizontal="center" vertical="center"/>
    </xf>
    <xf numFmtId="182" fontId="45" fillId="0" borderId="12" xfId="6" applyNumberFormat="1" applyFont="1" applyFill="1" applyBorder="1" applyAlignment="1">
      <alignment horizontal="center" vertical="center"/>
    </xf>
    <xf numFmtId="0" fontId="45" fillId="0" borderId="14" xfId="0" applyFont="1" applyFill="1" applyBorder="1" applyAlignment="1">
      <alignment horizontal="center" vertical="center"/>
    </xf>
    <xf numFmtId="179" fontId="45" fillId="0" borderId="15" xfId="0" applyNumberFormat="1" applyFont="1" applyFill="1" applyBorder="1" applyAlignment="1">
      <alignment horizontal="center" vertical="center"/>
    </xf>
    <xf numFmtId="181" fontId="45" fillId="0" borderId="14" xfId="6" applyNumberFormat="1" applyFont="1" applyFill="1" applyBorder="1" applyAlignment="1">
      <alignment horizontal="center" vertical="center"/>
    </xf>
    <xf numFmtId="184" fontId="45" fillId="0" borderId="16" xfId="0" applyNumberFormat="1" applyFont="1" applyFill="1" applyBorder="1">
      <alignment vertical="center"/>
    </xf>
    <xf numFmtId="0" fontId="45" fillId="0" borderId="17" xfId="6" applyNumberFormat="1" applyFont="1" applyFill="1" applyBorder="1" applyAlignment="1">
      <alignment horizontal="center" vertical="center"/>
    </xf>
    <xf numFmtId="0" fontId="45" fillId="0" borderId="17" xfId="0" applyFont="1" applyFill="1" applyBorder="1" applyAlignment="1">
      <alignment horizontal="center" vertical="center"/>
    </xf>
    <xf numFmtId="179" fontId="45" fillId="0" borderId="9" xfId="0" applyNumberFormat="1" applyFont="1" applyFill="1" applyBorder="1" applyAlignment="1">
      <alignment horizontal="center" vertical="center"/>
    </xf>
    <xf numFmtId="181" fontId="45" fillId="0" borderId="49" xfId="6" applyNumberFormat="1" applyFont="1" applyFill="1" applyBorder="1" applyAlignment="1">
      <alignment horizontal="center" vertical="center"/>
    </xf>
    <xf numFmtId="184" fontId="45" fillId="0" borderId="47" xfId="0" applyNumberFormat="1" applyFont="1" applyFill="1" applyBorder="1">
      <alignment vertical="center"/>
    </xf>
    <xf numFmtId="0" fontId="45" fillId="0" borderId="19" xfId="0" applyFont="1" applyFill="1" applyBorder="1" applyAlignment="1">
      <alignment horizontal="center" vertical="center"/>
    </xf>
    <xf numFmtId="179" fontId="45" fillId="0" borderId="20" xfId="0" applyNumberFormat="1" applyFont="1" applyFill="1" applyBorder="1" applyAlignment="1">
      <alignment horizontal="center" vertical="center"/>
    </xf>
    <xf numFmtId="181" fontId="45" fillId="0" borderId="55" xfId="6" applyNumberFormat="1" applyFont="1" applyFill="1" applyBorder="1" applyAlignment="1">
      <alignment horizontal="center" vertical="center"/>
    </xf>
    <xf numFmtId="184" fontId="45" fillId="0" borderId="56" xfId="0" applyNumberFormat="1" applyFont="1" applyFill="1" applyBorder="1">
      <alignment vertical="center"/>
    </xf>
    <xf numFmtId="43" fontId="45" fillId="8" borderId="9" xfId="0" applyNumberFormat="1" applyFont="1" applyFill="1" applyBorder="1" applyAlignment="1">
      <alignment horizontal="center" vertical="center"/>
    </xf>
    <xf numFmtId="0" fontId="1" fillId="0" borderId="0" xfId="2">
      <alignment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 applyFill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0" borderId="57" xfId="0" applyFont="1" applyBorder="1" applyAlignment="1">
      <alignment horizontal="left" vertical="center"/>
    </xf>
    <xf numFmtId="0" fontId="14" fillId="0" borderId="58" xfId="0" applyFont="1" applyBorder="1" applyAlignment="1">
      <alignment horizontal="left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14" fillId="6" borderId="50" xfId="6" applyNumberFormat="1" applyFont="1" applyFill="1" applyBorder="1" applyAlignment="1">
      <alignment horizontal="center" vertical="center"/>
    </xf>
    <xf numFmtId="0" fontId="14" fillId="6" borderId="51" xfId="6" applyNumberFormat="1" applyFont="1" applyFill="1" applyBorder="1" applyAlignment="1">
      <alignment horizontal="center" vertical="center"/>
    </xf>
    <xf numFmtId="0" fontId="14" fillId="6" borderId="52" xfId="6" applyNumberFormat="1" applyFont="1" applyFill="1" applyBorder="1" applyAlignment="1">
      <alignment horizontal="center" vertical="center"/>
    </xf>
    <xf numFmtId="0" fontId="14" fillId="2" borderId="50" xfId="6" applyNumberFormat="1" applyFont="1" applyFill="1" applyBorder="1" applyAlignment="1">
      <alignment horizontal="center" vertical="center"/>
    </xf>
    <xf numFmtId="0" fontId="14" fillId="2" borderId="51" xfId="6" applyNumberFormat="1" applyFont="1" applyFill="1" applyBorder="1" applyAlignment="1">
      <alignment horizontal="center" vertical="center"/>
    </xf>
    <xf numFmtId="0" fontId="14" fillId="2" borderId="52" xfId="6" applyNumberFormat="1" applyFont="1" applyFill="1" applyBorder="1" applyAlignment="1">
      <alignment horizontal="center" vertical="center"/>
    </xf>
    <xf numFmtId="0" fontId="28" fillId="0" borderId="34" xfId="0" applyFont="1" applyFill="1" applyBorder="1" applyAlignment="1">
      <alignment horizontal="center" vertical="center" wrapText="1"/>
    </xf>
    <xf numFmtId="0" fontId="28" fillId="0" borderId="35" xfId="0" applyFont="1" applyFill="1" applyBorder="1" applyAlignment="1">
      <alignment horizontal="center" vertical="center" wrapText="1"/>
    </xf>
    <xf numFmtId="0" fontId="28" fillId="0" borderId="36" xfId="0" applyFont="1" applyFill="1" applyBorder="1" applyAlignment="1">
      <alignment horizontal="center" vertical="center" wrapText="1"/>
    </xf>
    <xf numFmtId="0" fontId="28" fillId="0" borderId="37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38" xfId="0" applyFont="1" applyFill="1" applyBorder="1" applyAlignment="1">
      <alignment horizontal="center" vertical="center" wrapText="1"/>
    </xf>
    <xf numFmtId="0" fontId="28" fillId="0" borderId="39" xfId="0" applyFont="1" applyFill="1" applyBorder="1" applyAlignment="1">
      <alignment horizontal="center" vertical="center" wrapText="1"/>
    </xf>
    <xf numFmtId="0" fontId="28" fillId="0" borderId="40" xfId="0" applyFont="1" applyFill="1" applyBorder="1" applyAlignment="1">
      <alignment horizontal="center" vertical="center" wrapText="1"/>
    </xf>
    <xf numFmtId="0" fontId="28" fillId="0" borderId="41" xfId="0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181" fontId="30" fillId="0" borderId="13" xfId="0" applyNumberFormat="1" applyFont="1" applyFill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45" fillId="8" borderId="9" xfId="0" applyFont="1" applyFill="1" applyBorder="1" applyAlignment="1">
      <alignment horizontal="center" vertical="center"/>
    </xf>
    <xf numFmtId="49" fontId="45" fillId="8" borderId="9" xfId="0" applyNumberFormat="1" applyFont="1" applyFill="1" applyBorder="1" applyAlignment="1">
      <alignment horizontal="center" vertical="center"/>
    </xf>
    <xf numFmtId="43" fontId="45" fillId="8" borderId="9" xfId="0" applyNumberFormat="1" applyFont="1" applyFill="1" applyBorder="1" applyAlignment="1">
      <alignment horizontal="center" vertical="center"/>
    </xf>
    <xf numFmtId="0" fontId="47" fillId="6" borderId="12" xfId="0" applyFont="1" applyFill="1" applyBorder="1" applyAlignment="1">
      <alignment horizontal="center" vertical="center"/>
    </xf>
    <xf numFmtId="0" fontId="47" fillId="6" borderId="27" xfId="0" applyFont="1" applyFill="1" applyBorder="1" applyAlignment="1">
      <alignment horizontal="center" vertical="center"/>
    </xf>
    <xf numFmtId="0" fontId="47" fillId="6" borderId="13" xfId="0" applyFont="1" applyFill="1" applyBorder="1" applyAlignment="1">
      <alignment horizontal="center" vertical="center"/>
    </xf>
    <xf numFmtId="0" fontId="47" fillId="2" borderId="12" xfId="0" applyFont="1" applyFill="1" applyBorder="1" applyAlignment="1">
      <alignment horizontal="center" vertical="center"/>
    </xf>
    <xf numFmtId="0" fontId="47" fillId="2" borderId="27" xfId="0" applyFont="1" applyFill="1" applyBorder="1" applyAlignment="1">
      <alignment horizontal="center" vertical="center"/>
    </xf>
    <xf numFmtId="0" fontId="47" fillId="2" borderId="1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50" fillId="2" borderId="0" xfId="2" applyFont="1" applyFill="1" applyAlignment="1">
      <alignment horizontal="center" vertical="center"/>
    </xf>
    <xf numFmtId="41" fontId="51" fillId="2" borderId="0" xfId="2" applyNumberFormat="1" applyFont="1" applyFill="1">
      <alignment vertical="center"/>
    </xf>
    <xf numFmtId="0" fontId="51" fillId="0" borderId="0" xfId="2" quotePrefix="1" applyFont="1">
      <alignment vertical="center"/>
    </xf>
    <xf numFmtId="0" fontId="52" fillId="0" borderId="0" xfId="2" quotePrefix="1" applyFont="1">
      <alignment vertical="center"/>
    </xf>
    <xf numFmtId="0" fontId="52" fillId="0" borderId="0" xfId="2" applyFont="1" applyAlignment="1">
      <alignment horizontal="right" vertical="center"/>
    </xf>
    <xf numFmtId="184" fontId="51" fillId="12" borderId="14" xfId="2" applyNumberFormat="1" applyFont="1" applyFill="1" applyBorder="1" applyAlignment="1">
      <alignment horizontal="center" vertical="center"/>
    </xf>
    <xf numFmtId="184" fontId="51" fillId="12" borderId="15" xfId="2" applyNumberFormat="1" applyFont="1" applyFill="1" applyBorder="1" applyAlignment="1">
      <alignment horizontal="center" vertical="center"/>
    </xf>
    <xf numFmtId="41" fontId="51" fillId="12" borderId="15" xfId="4" applyFont="1" applyFill="1" applyBorder="1" applyAlignment="1">
      <alignment horizontal="center" vertical="center"/>
    </xf>
    <xf numFmtId="41" fontId="54" fillId="12" borderId="16" xfId="15" applyNumberFormat="1" applyFont="1" applyFill="1" applyBorder="1" applyAlignment="1">
      <alignment horizontal="center" vertical="center" shrinkToFit="1"/>
    </xf>
    <xf numFmtId="184" fontId="51" fillId="12" borderId="17" xfId="2" applyNumberFormat="1" applyFont="1" applyFill="1" applyBorder="1" applyAlignment="1">
      <alignment horizontal="center" vertical="center"/>
    </xf>
    <xf numFmtId="184" fontId="51" fillId="12" borderId="9" xfId="2" applyNumberFormat="1" applyFont="1" applyFill="1" applyBorder="1" applyAlignment="1">
      <alignment horizontal="center" vertical="center"/>
    </xf>
    <xf numFmtId="41" fontId="51" fillId="12" borderId="9" xfId="4" applyFont="1" applyFill="1" applyBorder="1" applyAlignment="1">
      <alignment horizontal="center" vertical="center"/>
    </xf>
    <xf numFmtId="41" fontId="51" fillId="12" borderId="9" xfId="4" applyFont="1" applyFill="1" applyBorder="1" applyAlignment="1">
      <alignment horizontal="center" vertical="center"/>
    </xf>
    <xf numFmtId="41" fontId="54" fillId="12" borderId="18" xfId="15" applyNumberFormat="1" applyFont="1" applyFill="1" applyBorder="1" applyAlignment="1">
      <alignment horizontal="center" vertical="center" shrinkToFit="1"/>
    </xf>
    <xf numFmtId="41" fontId="56" fillId="0" borderId="17" xfId="2" applyNumberFormat="1" applyFont="1" applyBorder="1" applyAlignment="1">
      <alignment horizontal="center" vertical="center"/>
    </xf>
    <xf numFmtId="0" fontId="56" fillId="0" borderId="9" xfId="2" applyFont="1" applyBorder="1" applyAlignment="1">
      <alignment horizontal="center" vertical="center"/>
    </xf>
    <xf numFmtId="41" fontId="56" fillId="0" borderId="9" xfId="10" applyFont="1" applyBorder="1" applyAlignment="1">
      <alignment horizontal="center" vertical="center"/>
    </xf>
    <xf numFmtId="41" fontId="56" fillId="0" borderId="9" xfId="4" applyFont="1" applyFill="1" applyBorder="1" applyAlignment="1">
      <alignment vertical="center" shrinkToFit="1"/>
    </xf>
    <xf numFmtId="184" fontId="57" fillId="0" borderId="18" xfId="2" applyNumberFormat="1" applyFont="1" applyBorder="1" applyAlignment="1">
      <alignment vertical="center" shrinkToFit="1"/>
    </xf>
    <xf numFmtId="184" fontId="57" fillId="0" borderId="18" xfId="2" quotePrefix="1" applyNumberFormat="1" applyFont="1" applyBorder="1" applyAlignment="1">
      <alignment vertical="center" shrinkToFit="1"/>
    </xf>
    <xf numFmtId="184" fontId="58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58" fillId="0" borderId="18" xfId="2" applyFont="1" applyBorder="1">
      <alignment vertical="center"/>
    </xf>
    <xf numFmtId="0" fontId="56" fillId="0" borderId="17" xfId="16" applyFont="1" applyBorder="1" applyAlignment="1">
      <alignment horizontal="left" vertical="center" wrapText="1"/>
    </xf>
    <xf numFmtId="0" fontId="56" fillId="0" borderId="9" xfId="16" applyFont="1" applyBorder="1" applyAlignment="1">
      <alignment horizontal="center" vertical="center"/>
    </xf>
    <xf numFmtId="0" fontId="56" fillId="0" borderId="17" xfId="16" applyFont="1" applyBorder="1" applyAlignment="1">
      <alignment horizontal="center" vertical="center" wrapText="1"/>
    </xf>
    <xf numFmtId="192" fontId="56" fillId="0" borderId="9" xfId="17" applyNumberFormat="1" applyFont="1" applyFill="1" applyBorder="1" applyAlignment="1">
      <alignment horizontal="center" vertical="center"/>
    </xf>
    <xf numFmtId="9" fontId="56" fillId="0" borderId="9" xfId="18" applyFont="1" applyFill="1" applyBorder="1" applyAlignment="1">
      <alignment vertical="center" shrinkToFit="1"/>
    </xf>
    <xf numFmtId="188" fontId="56" fillId="0" borderId="9" xfId="4" applyNumberFormat="1" applyFont="1" applyFill="1" applyBorder="1" applyAlignment="1">
      <alignment vertical="center" shrinkToFit="1"/>
    </xf>
    <xf numFmtId="0" fontId="56" fillId="0" borderId="9" xfId="16" applyFont="1" applyBorder="1" applyAlignment="1">
      <alignment horizontal="center" vertical="center" wrapText="1"/>
    </xf>
    <xf numFmtId="0" fontId="56" fillId="13" borderId="17" xfId="2" applyFont="1" applyFill="1" applyBorder="1" applyAlignment="1">
      <alignment horizontal="left" vertical="center" indent="1"/>
    </xf>
    <xf numFmtId="0" fontId="56" fillId="0" borderId="9" xfId="2" applyFont="1" applyBorder="1" applyAlignment="1">
      <alignment horizontal="center" vertical="center" shrinkToFit="1"/>
    </xf>
    <xf numFmtId="41" fontId="56" fillId="0" borderId="9" xfId="4" applyFont="1" applyBorder="1" applyAlignment="1">
      <alignment horizontal="center" vertical="center"/>
    </xf>
    <xf numFmtId="41" fontId="56" fillId="0" borderId="9" xfId="4" applyFont="1" applyBorder="1" applyAlignment="1">
      <alignment vertical="center" shrinkToFit="1"/>
    </xf>
    <xf numFmtId="0" fontId="56" fillId="0" borderId="17" xfId="16" applyFont="1" applyBorder="1" applyAlignment="1">
      <alignment vertical="center" shrinkToFit="1"/>
    </xf>
    <xf numFmtId="0" fontId="56" fillId="0" borderId="9" xfId="16" applyFont="1" applyBorder="1" applyAlignment="1">
      <alignment horizontal="center" vertical="center" shrinkToFit="1"/>
    </xf>
    <xf numFmtId="41" fontId="56" fillId="0" borderId="9" xfId="4" applyFont="1" applyBorder="1" applyAlignment="1">
      <alignment vertical="center"/>
    </xf>
    <xf numFmtId="0" fontId="56" fillId="0" borderId="17" xfId="16" applyFont="1" applyBorder="1" applyAlignment="1">
      <alignment horizontal="left" vertical="center" wrapText="1" indent="1"/>
    </xf>
    <xf numFmtId="0" fontId="56" fillId="0" borderId="17" xfId="2" applyFont="1" applyBorder="1" applyAlignment="1">
      <alignment horizontal="left" vertical="center" indent="1"/>
    </xf>
    <xf numFmtId="0" fontId="60" fillId="0" borderId="17" xfId="2" applyFont="1" applyBorder="1" applyAlignment="1">
      <alignment horizontal="left" vertical="center"/>
    </xf>
    <xf numFmtId="0" fontId="60" fillId="0" borderId="9" xfId="2" applyFont="1" applyBorder="1" applyAlignment="1">
      <alignment horizontal="center" vertical="center" shrinkToFit="1"/>
    </xf>
    <xf numFmtId="41" fontId="60" fillId="0" borderId="9" xfId="4" applyFont="1" applyBorder="1" applyAlignment="1">
      <alignment horizontal="center" vertical="center"/>
    </xf>
    <xf numFmtId="0" fontId="60" fillId="0" borderId="19" xfId="2" applyFont="1" applyBorder="1" applyAlignment="1">
      <alignment horizontal="center" vertical="center"/>
    </xf>
    <xf numFmtId="0" fontId="56" fillId="0" borderId="20" xfId="2" applyFont="1" applyBorder="1" applyAlignment="1">
      <alignment horizontal="center" vertical="center" shrinkToFit="1"/>
    </xf>
    <xf numFmtId="0" fontId="56" fillId="0" borderId="20" xfId="2" applyFont="1" applyBorder="1" applyAlignment="1">
      <alignment horizontal="center" vertical="center"/>
    </xf>
    <xf numFmtId="41" fontId="56" fillId="0" borderId="20" xfId="2" applyNumberFormat="1" applyFont="1" applyBorder="1" applyAlignment="1">
      <alignment horizontal="center" vertical="center"/>
    </xf>
    <xf numFmtId="193" fontId="56" fillId="0" borderId="20" xfId="2" applyNumberFormat="1" applyFont="1" applyBorder="1" applyAlignment="1">
      <alignment horizontal="center" vertical="center"/>
    </xf>
    <xf numFmtId="41" fontId="56" fillId="0" borderId="20" xfId="2" applyNumberFormat="1" applyFont="1" applyBorder="1" applyAlignment="1">
      <alignment vertical="center" shrinkToFit="1"/>
    </xf>
    <xf numFmtId="0" fontId="58" fillId="0" borderId="21" xfId="2" applyFont="1" applyBorder="1">
      <alignment vertical="center"/>
    </xf>
    <xf numFmtId="0" fontId="57" fillId="0" borderId="0" xfId="2" applyFont="1" applyAlignment="1">
      <alignment horizontal="center" vertical="center"/>
    </xf>
    <xf numFmtId="0" fontId="58" fillId="0" borderId="0" xfId="2" applyFont="1" applyAlignment="1">
      <alignment horizontal="center" vertical="center" shrinkToFit="1"/>
    </xf>
    <xf numFmtId="0" fontId="58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</cellXfs>
  <cellStyles count="19">
    <cellStyle name="백분율" xfId="7" builtinId="5"/>
    <cellStyle name="백분율 2" xfId="5" xr:uid="{00000000-0005-0000-0000-000001000000}"/>
    <cellStyle name="백분율 7" xfId="18" xr:uid="{EB4833C9-6D6D-4855-874C-B83C2D14B7D3}"/>
    <cellStyle name="쉼표 [0]" xfId="6" builtinId="6"/>
    <cellStyle name="쉼표 [0] 108" xfId="13" xr:uid="{00000000-0005-0000-0000-000003000000}"/>
    <cellStyle name="쉼표 [0] 2" xfId="4" xr:uid="{00000000-0005-0000-0000-000004000000}"/>
    <cellStyle name="쉼표 [0] 2 2 8" xfId="10" xr:uid="{00000000-0005-0000-0000-000005000000}"/>
    <cellStyle name="쉼표 [0] 3" xfId="11" xr:uid="{00000000-0005-0000-0000-000006000000}"/>
    <cellStyle name="쉼표 [0]_태준제약 기성청구서(3회)050219" xfId="17" xr:uid="{AFE02BA7-08C5-446C-B389-623172F506F2}"/>
    <cellStyle name="통화 [0]" xfId="8" builtinId="7"/>
    <cellStyle name="표준" xfId="0" builtinId="0"/>
    <cellStyle name="표준 104" xfId="12" xr:uid="{00000000-0005-0000-0000-000009000000}"/>
    <cellStyle name="표준 2" xfId="3" xr:uid="{00000000-0005-0000-0000-00000A000000}"/>
    <cellStyle name="표준 2 2" xfId="2" xr:uid="{00000000-0005-0000-0000-00000B000000}"/>
    <cellStyle name="표준 2 3 2" xfId="16" xr:uid="{BFF2EFC9-3E3F-4915-B329-A9351BBD84D4}"/>
    <cellStyle name="표준 4" xfId="14" xr:uid="{00000000-0005-0000-0000-00000C000000}"/>
    <cellStyle name="표준_QF-0402-25_일용직_노무비명세서_V1.0(07.07.12) - 7월" xfId="9" xr:uid="{00000000-0005-0000-0000-00000D000000}"/>
    <cellStyle name="표준_설계 변경 내역서-1" xfId="15" xr:uid="{141DFCCD-2546-49AC-9C1E-2E47EAA7C084}"/>
    <cellStyle name="표준_외주기성청구서_기성금청구양식" xfId="1" xr:uid="{00000000-0005-0000-0000-00000E000000}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16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0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7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9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400051</xdr:colOff>
      <xdr:row>23</xdr:row>
      <xdr:rowOff>187325</xdr:rowOff>
    </xdr:from>
    <xdr:to>
      <xdr:col>9</xdr:col>
      <xdr:colOff>161925</xdr:colOff>
      <xdr:row>25</xdr:row>
      <xdr:rowOff>221232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A30044-ADB6-41AF-B902-04989B53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1" y="6540500"/>
          <a:ext cx="561974" cy="586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9</xdr:col>
      <xdr:colOff>244930</xdr:colOff>
      <xdr:row>52</xdr:row>
      <xdr:rowOff>136070</xdr:rowOff>
    </xdr:from>
    <xdr:to>
      <xdr:col>12</xdr:col>
      <xdr:colOff>1306286</xdr:colOff>
      <xdr:row>64</xdr:row>
      <xdr:rowOff>204106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5864760-7EC4-4CEC-8C9E-CA779424E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3636" y="4528776"/>
          <a:ext cx="4176591" cy="26229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80</xdr:row>
      <xdr:rowOff>79375</xdr:rowOff>
    </xdr:from>
    <xdr:to>
      <xdr:col>7</xdr:col>
      <xdr:colOff>1206500</xdr:colOff>
      <xdr:row>88</xdr:row>
      <xdr:rowOff>174625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03275" y="5432425"/>
          <a:ext cx="6775450" cy="26098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ko-KR" altLang="en-US" sz="2000" b="1">
              <a:solidFill>
                <a:schemeClr val="tx1"/>
              </a:solidFill>
            </a:rPr>
            <a:t>추가 공사에 투입된 인원발생시 작성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en-US" altLang="ko-KR" sz="2000" b="1">
              <a:solidFill>
                <a:schemeClr val="tx1"/>
              </a:solidFill>
            </a:rPr>
            <a:t>ex) </a:t>
          </a:r>
          <a:r>
            <a:rPr lang="ko-KR" altLang="en-US" sz="2000" b="1">
              <a:solidFill>
                <a:schemeClr val="tx1"/>
              </a:solidFill>
            </a:rPr>
            <a:t>컨테미월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코어타공 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ko-KR" altLang="en-US" sz="2000" b="1">
              <a:solidFill>
                <a:schemeClr val="tx1"/>
              </a:solidFill>
            </a:rPr>
            <a:t>없으면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숨김처리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02.%20P4/03.%20Ph3/03.%20&#45824;&#45236;&#50629;&#47924;/02.%20&#50808;&#51452;&#44592;&#49457;/01.%202024&#45380;%2008&#50900;%20&#50808;&#51452;&#44592;&#49457;/01.%20&#49849;&#50864;&#50644;&#51648;&#45768;&#50612;&#47553;/S24-001_24&#45380;%2008&#50900;_&#50808;&#51452;&#44592;&#49457;_&#49849;&#50864;&#50644;&#51648;&#45768;&#50612;&#47553;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sheet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자재단가비교표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MOTOR"/>
      <sheetName val="UserData"/>
      <sheetName val="표지(토공)"/>
      <sheetName val="II손익관리"/>
      <sheetName val="0217상가미분양자산"/>
      <sheetName val="공사비"/>
      <sheetName val="ITB COST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시산표(매출조정전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기안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</row>
      </sheetData>
      <sheetData sheetId="8">
        <row r="2">
          <cell r="D2" t="str">
            <v>시공불량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FORM-0"/>
      <sheetName val="C.배수관공"/>
      <sheetName val="관리자명부"/>
      <sheetName val="업체현황"/>
      <sheetName val="일일계획(가공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기둥"/>
      <sheetName val="저판(버림100)"/>
      <sheetName val="토공(우물통,기타) "/>
      <sheetName val="변경집계2"/>
      <sheetName val="사급비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XL4Poppy"/>
      <sheetName val="조작대(1연)"/>
      <sheetName val="노임단가 및 기계경비"/>
      <sheetName val="영업소실적"/>
      <sheetName val="내역서(일괄적용)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5직접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철근량"/>
      <sheetName val="일위(철거)"/>
      <sheetName val="열차제어동"/>
      <sheetName val="전기성능동"/>
      <sheetName val="차량시스템인자"/>
      <sheetName val="차량부품동"/>
      <sheetName val="직재"/>
      <sheetName val="내역서(총)"/>
      <sheetName val="45,46"/>
      <sheetName val="유리"/>
      <sheetName val="철물"/>
      <sheetName val="t2s-2"/>
      <sheetName val="투찰판"/>
      <sheetName val="계약서"/>
      <sheetName val="맨홀토공"/>
      <sheetName val="청천내"/>
      <sheetName val="맨홀조서"/>
      <sheetName val="가실행 내역서"/>
      <sheetName val="공사개요"/>
      <sheetName val="보도포장연장조서-표준차도부"/>
      <sheetName val="표준차도부연장조서-ASP"/>
      <sheetName val="일위대가1"/>
      <sheetName val="지구단위계획"/>
      <sheetName val="NB - A"/>
      <sheetName val="선정요령"/>
      <sheetName val="마산방향"/>
      <sheetName val="공통가설공사"/>
      <sheetName val="단가대비표 (2)"/>
      <sheetName val="단중표"/>
      <sheetName val="합의경상"/>
      <sheetName val="J형측구단위수량"/>
      <sheetName val="연결임시"/>
      <sheetName val="기성금내역서"/>
      <sheetName val="대가"/>
      <sheetName val="옥외등신설"/>
      <sheetName val="저케CV22신설"/>
      <sheetName val="저케CV38신설"/>
      <sheetName val="저케CV8신설"/>
      <sheetName val="접지3종"/>
      <sheetName val="I一般比"/>
      <sheetName val="00년재노경"/>
      <sheetName val="인공LIST"/>
      <sheetName val="문10"/>
      <sheetName val="단면치수기입"/>
      <sheetName val="BID9697"/>
      <sheetName val="DATA 입력부"/>
      <sheetName val="sh1"/>
      <sheetName val="집수정(600-700)"/>
      <sheetName val="특2호하천산근"/>
      <sheetName val="특2호부관하천산근"/>
      <sheetName val="4차원가계산서"/>
      <sheetName val="전기단가조사서"/>
      <sheetName val="8-1"/>
      <sheetName val="식재가격"/>
      <sheetName val="식재총괄"/>
      <sheetName val="계수시트"/>
      <sheetName val="Salary(HDEC)"/>
      <sheetName val="INPUT"/>
      <sheetName val="유림골조"/>
      <sheetName val="영업.일1"/>
      <sheetName val="주관사업"/>
      <sheetName val="손익분석"/>
      <sheetName val="건축원가"/>
      <sheetName val="CHANNEL_DM"/>
      <sheetName val="당월 인력"/>
      <sheetName val="개산공사비"/>
      <sheetName val="수목단가"/>
      <sheetName val="식재수량표"/>
      <sheetName val="APT"/>
      <sheetName val="CTEMCOST"/>
      <sheetName val="NOMUBI"/>
      <sheetName val="DC-O-4-S(설명서)"/>
      <sheetName val="1. H2SO4_SUPPLY"/>
      <sheetName val="단가대비표(SYS)"/>
      <sheetName val="제조노임"/>
      <sheetName val="산출서_조적(부대동)"/>
      <sheetName val="산출서_조적(본동)"/>
      <sheetName val="SAMPLE!"/>
      <sheetName val="도수로현황"/>
      <sheetName val="STORAGE"/>
      <sheetName val="조정금액결과표 (차수별)"/>
      <sheetName val="EQT-ESTN"/>
      <sheetName val="실행(1)"/>
      <sheetName val="기안"/>
      <sheetName val="고유코드_설계"/>
      <sheetName val="작성"/>
      <sheetName val="견적서"/>
      <sheetName val="구역원별목본 "/>
      <sheetName val="자재co"/>
      <sheetName val="토공총괄표"/>
      <sheetName val="C.배수관공"/>
      <sheetName val="교량하부공"/>
      <sheetName val="단가(보완)"/>
      <sheetName val="대가 (보완)"/>
      <sheetName val="유효성목록"/>
      <sheetName val="合成単価作成表-BLDG"/>
      <sheetName val="TARGET"/>
      <sheetName val="남양시작동자105노65기1.3화1.2"/>
      <sheetName val="[95조경공.XLS][95조경공.XLS]B__95___2"/>
      <sheetName val="[95조경공.XLS][95조경공.XLS]B__95___3"/>
      <sheetName val="PI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공통비"/>
      <sheetName val="TYPE-A"/>
      <sheetName val="유형"/>
      <sheetName val="유방야장기초"/>
      <sheetName val="주식"/>
      <sheetName val="배수내역 (2)"/>
      <sheetName val="인입관수량총괄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단가조사서"/>
      <sheetName val="단가(마감)"/>
      <sheetName val="위치"/>
      <sheetName val="DATA2000"/>
      <sheetName val="경비TABLE"/>
      <sheetName val="bm-marine"/>
      <sheetName val="[95조경공.XLS]B__95___2"/>
      <sheetName val="[95조경공.XLS]B__95___3"/>
      <sheetName val="관리범위 확대"/>
      <sheetName val="월말"/>
      <sheetName val="운용미수"/>
      <sheetName val="비교손익계산서"/>
      <sheetName val="근로자자료입력"/>
      <sheetName val="참고자료"/>
      <sheetName val="공문"/>
      <sheetName val="견적갑지-70%-동명"/>
      <sheetName val="소방사항"/>
      <sheetName val="등록자료"/>
      <sheetName val="정렬"/>
      <sheetName val="인부임"/>
      <sheetName val="가로등기초"/>
      <sheetName val="분석"/>
      <sheetName val="가설공사내역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장비단"/>
      <sheetName val="노임단"/>
      <sheetName val="환경평가"/>
      <sheetName val="인구"/>
      <sheetName val="NAIL단가산출"/>
      <sheetName val="시공여유율"/>
      <sheetName val="HVAC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요약&amp;결과"/>
      <sheetName val="계약내역서"/>
      <sheetName val="const."/>
      <sheetName val="배수관공"/>
      <sheetName val="Data&amp;Result"/>
      <sheetName val="b_balju_cho"/>
      <sheetName val="system"/>
      <sheetName val="Whole Month USD"/>
      <sheetName val="데이터"/>
      <sheetName val="2000년 공정표"/>
      <sheetName val="하조서"/>
      <sheetName val="예산서"/>
      <sheetName val="금일"/>
      <sheetName val="주요자재집계"/>
      <sheetName val="열지마시오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횡배수관집현황(2공구)"/>
      <sheetName val="맨홀_공사비"/>
      <sheetName val="가도공"/>
      <sheetName val="8.PILE  (돌출)"/>
      <sheetName val="배관단가조사서"/>
      <sheetName val="종합기별"/>
      <sheetName val="노무비명세서"/>
      <sheetName val="위스키3"/>
      <sheetName val="주류전체2"/>
      <sheetName val="배수공 내역서 적용수량"/>
      <sheetName val="97노임단가"/>
      <sheetName val="입력란"/>
      <sheetName val="빗물받이(910-510-410)"/>
      <sheetName val="단위중량"/>
      <sheetName val="비품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전기설계변경"/>
      <sheetName val="현장관리비 산출내역"/>
      <sheetName val="배관배선"/>
      <sheetName val="중기사용료"/>
      <sheetName val="참조-(2)"/>
      <sheetName val="SANTOGO"/>
      <sheetName val="배수장토목공사비"/>
      <sheetName val="선급금신청서"/>
      <sheetName val="시행후면적"/>
      <sheetName val="수지예산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기성청구서(갑지) "/>
      <sheetName val="기성내역서(을지)"/>
      <sheetName val="인건비 투입내역서(을지)"/>
      <sheetName val="수입"/>
    </sheetNames>
    <sheetDataSet>
      <sheetData sheetId="0">
        <row r="7">
          <cell r="A7" t="str">
            <v>P4 Ph3 GAS 1공구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G59" sqref="G59"/>
    </sheetView>
  </sheetViews>
  <sheetFormatPr defaultRowHeight="16.5" x14ac:dyDescent="0.3"/>
  <cols>
    <col min="1" max="6" width="21.625" customWidth="1"/>
  </cols>
  <sheetData>
    <row r="1" spans="1:6" ht="21.95" customHeight="1" thickTop="1" x14ac:dyDescent="0.3">
      <c r="A1" s="1"/>
      <c r="B1" s="2"/>
      <c r="C1" s="2"/>
      <c r="D1" s="2"/>
      <c r="E1" s="2"/>
      <c r="F1" s="3"/>
    </row>
    <row r="2" spans="1:6" ht="21.95" customHeight="1" x14ac:dyDescent="0.3">
      <c r="A2" s="4"/>
      <c r="B2" s="5"/>
      <c r="C2" s="5"/>
      <c r="D2" s="6"/>
      <c r="E2" s="5"/>
      <c r="F2" s="7"/>
    </row>
    <row r="3" spans="1:6" ht="21.95" customHeight="1" x14ac:dyDescent="0.3">
      <c r="A3" s="4"/>
      <c r="B3" s="5"/>
      <c r="C3" s="5"/>
      <c r="D3" s="5"/>
      <c r="E3" s="5"/>
      <c r="F3" s="7"/>
    </row>
    <row r="4" spans="1:6" ht="21.95" customHeight="1" x14ac:dyDescent="0.3">
      <c r="A4" s="4"/>
      <c r="B4" s="241" t="s">
        <v>0</v>
      </c>
      <c r="C4" s="241"/>
      <c r="D4" s="241"/>
      <c r="E4" s="241"/>
      <c r="F4" s="7"/>
    </row>
    <row r="5" spans="1:6" ht="21.95" customHeight="1" x14ac:dyDescent="0.3">
      <c r="A5" s="8"/>
      <c r="B5" s="241"/>
      <c r="C5" s="241"/>
      <c r="D5" s="241"/>
      <c r="E5" s="241"/>
      <c r="F5" s="9"/>
    </row>
    <row r="6" spans="1:6" ht="21.95" customHeight="1" x14ac:dyDescent="0.3">
      <c r="A6" s="10"/>
      <c r="B6" s="241"/>
      <c r="C6" s="241"/>
      <c r="D6" s="241"/>
      <c r="E6" s="241"/>
      <c r="F6" s="11"/>
    </row>
    <row r="7" spans="1:6" ht="36.950000000000003" customHeight="1" x14ac:dyDescent="0.3">
      <c r="A7" s="12"/>
      <c r="B7" s="242" t="s">
        <v>1</v>
      </c>
      <c r="C7" s="242"/>
      <c r="D7" s="242"/>
      <c r="E7" s="242"/>
      <c r="F7" s="11"/>
    </row>
    <row r="8" spans="1:6" ht="29.1" customHeight="1" x14ac:dyDescent="0.3">
      <c r="A8" s="8"/>
      <c r="B8" s="13"/>
      <c r="C8" s="243" t="s">
        <v>317</v>
      </c>
      <c r="D8" s="244"/>
      <c r="E8" s="13"/>
      <c r="F8" s="9"/>
    </row>
    <row r="9" spans="1:6" ht="21.95" customHeight="1" x14ac:dyDescent="0.3">
      <c r="A9" s="8"/>
      <c r="B9" s="13"/>
      <c r="C9" s="13"/>
      <c r="D9" s="13"/>
      <c r="E9" s="13"/>
      <c r="F9" s="9"/>
    </row>
    <row r="10" spans="1:6" ht="21.95" customHeight="1" x14ac:dyDescent="0.3">
      <c r="A10" s="8"/>
      <c r="B10" s="13"/>
      <c r="C10" s="13"/>
      <c r="D10" s="13"/>
      <c r="E10" s="13"/>
      <c r="F10" s="9"/>
    </row>
    <row r="11" spans="1:6" ht="21.95" customHeight="1" x14ac:dyDescent="0.3">
      <c r="A11" s="8"/>
      <c r="B11" s="13"/>
      <c r="C11" s="13"/>
      <c r="D11" s="13"/>
      <c r="E11" s="13"/>
      <c r="F11" s="9"/>
    </row>
    <row r="12" spans="1:6" ht="21.95" customHeight="1" x14ac:dyDescent="0.3">
      <c r="A12" s="8"/>
      <c r="B12" s="13"/>
      <c r="C12" s="13"/>
      <c r="D12" s="13"/>
      <c r="E12" s="13"/>
      <c r="F12" s="9"/>
    </row>
    <row r="13" spans="1:6" ht="21.95" customHeight="1" x14ac:dyDescent="0.3">
      <c r="A13" s="8"/>
      <c r="B13" s="13"/>
      <c r="C13" s="13"/>
      <c r="D13" s="13"/>
      <c r="E13" s="13"/>
      <c r="F13" s="9"/>
    </row>
    <row r="14" spans="1:6" ht="21.95" customHeight="1" x14ac:dyDescent="0.3">
      <c r="A14" s="8"/>
      <c r="B14" s="13"/>
      <c r="C14" s="245" t="s">
        <v>571</v>
      </c>
      <c r="D14" s="245"/>
      <c r="E14" s="13"/>
      <c r="F14" s="9"/>
    </row>
    <row r="15" spans="1:6" ht="21.95" customHeight="1" x14ac:dyDescent="0.3">
      <c r="A15" s="8"/>
      <c r="B15" s="13"/>
      <c r="C15" s="246" t="s">
        <v>318</v>
      </c>
      <c r="D15" s="246"/>
      <c r="E15" s="13"/>
      <c r="F15" s="9"/>
    </row>
    <row r="16" spans="1:6" ht="21.95" customHeight="1" x14ac:dyDescent="0.3">
      <c r="A16" s="8"/>
      <c r="B16" s="13"/>
      <c r="C16" s="13"/>
      <c r="D16" s="13"/>
      <c r="E16" s="13"/>
      <c r="F16" s="9"/>
    </row>
    <row r="17" spans="1:6" ht="21.95" customHeight="1" x14ac:dyDescent="0.3">
      <c r="A17" s="8"/>
      <c r="B17" s="13"/>
      <c r="C17" s="13"/>
      <c r="D17" s="13"/>
      <c r="E17" s="13"/>
      <c r="F17" s="9"/>
    </row>
    <row r="18" spans="1:6" ht="21.95" customHeight="1" x14ac:dyDescent="0.3">
      <c r="A18" s="8"/>
      <c r="B18" s="13"/>
      <c r="C18" s="13"/>
      <c r="D18" s="13"/>
      <c r="E18" s="13"/>
      <c r="F18" s="9"/>
    </row>
    <row r="19" spans="1:6" ht="48" customHeight="1" x14ac:dyDescent="0.3">
      <c r="A19" s="8"/>
      <c r="B19" s="13"/>
      <c r="C19" s="240"/>
      <c r="D19" s="240"/>
      <c r="E19" s="13"/>
      <c r="F19" s="9"/>
    </row>
    <row r="20" spans="1:6" ht="21.95" customHeight="1" x14ac:dyDescent="0.3">
      <c r="A20" s="8"/>
      <c r="B20" s="13"/>
      <c r="C20" s="13"/>
      <c r="D20" s="13"/>
      <c r="E20" s="13"/>
      <c r="F20" s="9"/>
    </row>
    <row r="21" spans="1:6" ht="21.95" customHeight="1" thickBot="1" x14ac:dyDescent="0.35">
      <c r="A21" s="14"/>
      <c r="B21" s="15"/>
      <c r="C21" s="15"/>
      <c r="D21" s="15"/>
      <c r="E21" s="15"/>
      <c r="F21" s="16"/>
    </row>
    <row r="22" spans="1:6" ht="17.25" thickTop="1" x14ac:dyDescent="0.3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G59" sqref="G59"/>
    </sheetView>
  </sheetViews>
  <sheetFormatPr defaultRowHeight="16.5" x14ac:dyDescent="0.15"/>
  <cols>
    <col min="1" max="1" width="5.375" style="17" customWidth="1"/>
    <col min="2" max="2" width="18.125" style="17" customWidth="1"/>
    <col min="3" max="3" width="3.125" style="17" customWidth="1"/>
    <col min="4" max="4" width="47.25" style="17" customWidth="1"/>
    <col min="5" max="5" width="17" style="17" customWidth="1"/>
    <col min="6" max="6" width="10.875" style="17" customWidth="1"/>
    <col min="7" max="7" width="5.25" style="17" customWidth="1"/>
    <col min="8" max="8" width="8.5" style="17" customWidth="1"/>
    <col min="9" max="9" width="10.5" style="17" customWidth="1"/>
    <col min="10" max="10" width="16.375" style="17" customWidth="1"/>
    <col min="11" max="11" width="13" style="17" customWidth="1"/>
    <col min="12" max="12" width="0.875" style="17" customWidth="1"/>
  </cols>
  <sheetData>
    <row r="1" spans="1:12" ht="39.950000000000003" customHeight="1" x14ac:dyDescent="0.15">
      <c r="A1" s="247" t="s">
        <v>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</row>
    <row r="2" spans="1:12" ht="21.95" customHeight="1" x14ac:dyDescent="0.15">
      <c r="A2" s="138"/>
      <c r="B2" s="138"/>
      <c r="C2" s="138"/>
      <c r="D2" s="138"/>
      <c r="E2" s="18"/>
      <c r="F2" s="138"/>
      <c r="G2" s="138"/>
      <c r="H2" s="138"/>
      <c r="I2" s="138"/>
      <c r="J2" s="138"/>
      <c r="K2" s="138"/>
    </row>
    <row r="3" spans="1:12" ht="21.95" customHeight="1" x14ac:dyDescent="0.15">
      <c r="A3" s="19">
        <v>1</v>
      </c>
      <c r="B3" s="137" t="s">
        <v>3</v>
      </c>
      <c r="C3" s="137" t="s">
        <v>4</v>
      </c>
      <c r="D3" s="20" t="str">
        <f>'용역청구서 표지'!$B$7</f>
        <v>P4 Ph4 GAS 1공구 마감공사</v>
      </c>
      <c r="E3" s="21" t="str">
        <f>'용역청구서 표지'!$C$8</f>
        <v>S25-004</v>
      </c>
      <c r="F3" s="21"/>
      <c r="G3" s="138"/>
      <c r="H3" s="138"/>
      <c r="I3" s="138"/>
      <c r="J3" s="138"/>
      <c r="K3" s="138"/>
    </row>
    <row r="4" spans="1:12" ht="21.95" customHeight="1" x14ac:dyDescent="0.15">
      <c r="A4" s="19">
        <v>2</v>
      </c>
      <c r="B4" s="137" t="s">
        <v>5</v>
      </c>
      <c r="C4" s="137" t="s">
        <v>4</v>
      </c>
      <c r="D4" s="139" t="s">
        <v>6</v>
      </c>
      <c r="E4" s="20"/>
      <c r="F4" s="137"/>
      <c r="G4" s="138"/>
      <c r="H4" s="138"/>
      <c r="I4" s="138"/>
      <c r="J4" s="138"/>
      <c r="K4" s="138"/>
    </row>
    <row r="5" spans="1:12" ht="21.95" customHeight="1" x14ac:dyDescent="0.15">
      <c r="A5" s="19">
        <v>3</v>
      </c>
      <c r="B5" s="137" t="s">
        <v>7</v>
      </c>
      <c r="C5" s="137" t="s">
        <v>4</v>
      </c>
      <c r="D5" s="22">
        <f>ROUNDUP(E5,0)</f>
        <v>130000000</v>
      </c>
      <c r="E5" s="20">
        <f>집계장!I23</f>
        <v>130000000</v>
      </c>
      <c r="F5" s="23" t="s">
        <v>8</v>
      </c>
      <c r="G5" s="138"/>
      <c r="H5" s="138"/>
      <c r="I5" s="138"/>
      <c r="J5" s="138"/>
      <c r="K5" s="138"/>
    </row>
    <row r="6" spans="1:12" ht="21.95" customHeight="1" x14ac:dyDescent="0.3">
      <c r="A6" s="19">
        <v>4</v>
      </c>
      <c r="B6" s="24" t="s">
        <v>9</v>
      </c>
      <c r="C6" s="137" t="s">
        <v>4</v>
      </c>
      <c r="D6" s="22">
        <f t="shared" ref="D6:D14" si="0">ROUNDUP(E6,0)</f>
        <v>130000000</v>
      </c>
      <c r="E6" s="20">
        <f>E7+E13</f>
        <v>130000000</v>
      </c>
      <c r="F6" s="23" t="s">
        <v>10</v>
      </c>
      <c r="G6" s="138"/>
      <c r="H6" s="138"/>
      <c r="I6" s="138"/>
      <c r="J6" s="138"/>
      <c r="K6" s="138"/>
      <c r="L6" s="138"/>
    </row>
    <row r="7" spans="1:12" ht="21.95" customHeight="1" x14ac:dyDescent="0.3">
      <c r="A7" s="19">
        <v>5</v>
      </c>
      <c r="B7" s="137" t="s">
        <v>11</v>
      </c>
      <c r="C7" s="137" t="s">
        <v>12</v>
      </c>
      <c r="D7" s="22">
        <f t="shared" si="0"/>
        <v>100000000</v>
      </c>
      <c r="E7" s="20">
        <f>집계장!G23</f>
        <v>100000000</v>
      </c>
      <c r="F7" s="23" t="s">
        <v>13</v>
      </c>
      <c r="G7" s="138"/>
      <c r="H7" s="138"/>
      <c r="I7" s="138"/>
      <c r="J7" s="138"/>
      <c r="K7" s="138"/>
      <c r="L7" s="138"/>
    </row>
    <row r="8" spans="1:12" ht="21.95" customHeight="1" x14ac:dyDescent="0.3">
      <c r="A8" s="19">
        <v>6</v>
      </c>
      <c r="B8" s="137" t="s">
        <v>14</v>
      </c>
      <c r="C8" s="137" t="s">
        <v>4</v>
      </c>
      <c r="D8" s="22">
        <f t="shared" si="0"/>
        <v>30000000</v>
      </c>
      <c r="E8" s="20">
        <f>집계장!F19</f>
        <v>30000000</v>
      </c>
      <c r="F8" s="23" t="s">
        <v>15</v>
      </c>
      <c r="G8" s="138"/>
      <c r="H8" s="138"/>
      <c r="I8" s="138"/>
      <c r="J8" s="138"/>
      <c r="K8" s="138"/>
      <c r="L8" s="25"/>
    </row>
    <row r="9" spans="1:12" ht="21.95" customHeight="1" x14ac:dyDescent="0.3">
      <c r="A9" s="19">
        <v>7</v>
      </c>
      <c r="B9" s="137" t="s">
        <v>16</v>
      </c>
      <c r="C9" s="137" t="s">
        <v>17</v>
      </c>
      <c r="D9" s="22">
        <f t="shared" si="0"/>
        <v>0</v>
      </c>
      <c r="E9" s="20">
        <f>집계장!K21</f>
        <v>0</v>
      </c>
      <c r="F9" s="23" t="s">
        <v>10</v>
      </c>
      <c r="G9" s="138"/>
      <c r="H9" s="138"/>
      <c r="I9" s="138"/>
      <c r="J9" s="138"/>
      <c r="K9" s="138"/>
      <c r="L9" s="25"/>
    </row>
    <row r="10" spans="1:12" ht="21.95" customHeight="1" x14ac:dyDescent="0.3">
      <c r="A10" s="19">
        <v>8</v>
      </c>
      <c r="B10" s="137" t="s">
        <v>18</v>
      </c>
      <c r="C10" s="137" t="s">
        <v>19</v>
      </c>
      <c r="D10" s="22">
        <f t="shared" si="0"/>
        <v>0</v>
      </c>
      <c r="E10" s="20">
        <f>집계장!G21</f>
        <v>0</v>
      </c>
      <c r="F10" s="23" t="s">
        <v>8</v>
      </c>
      <c r="G10" s="138"/>
      <c r="H10" s="138"/>
      <c r="I10" s="138"/>
      <c r="J10" s="138"/>
      <c r="K10" s="138"/>
      <c r="L10" s="138"/>
    </row>
    <row r="11" spans="1:12" ht="21.95" customHeight="1" x14ac:dyDescent="0.3">
      <c r="A11" s="19">
        <v>9</v>
      </c>
      <c r="B11" s="137" t="s">
        <v>20</v>
      </c>
      <c r="C11" s="137" t="s">
        <v>17</v>
      </c>
      <c r="D11" s="22">
        <f t="shared" si="0"/>
        <v>0</v>
      </c>
      <c r="E11" s="20">
        <f>집계장!F21</f>
        <v>0</v>
      </c>
      <c r="F11" s="23" t="s">
        <v>15</v>
      </c>
      <c r="G11" s="138"/>
      <c r="H11" s="138"/>
      <c r="I11" s="138"/>
      <c r="J11" s="138"/>
      <c r="K11" s="138"/>
      <c r="L11" s="26"/>
    </row>
    <row r="12" spans="1:12" ht="21.95" customHeight="1" x14ac:dyDescent="0.3">
      <c r="A12" s="19">
        <v>10</v>
      </c>
      <c r="B12" s="137" t="s">
        <v>21</v>
      </c>
      <c r="C12" s="137" t="s">
        <v>4</v>
      </c>
      <c r="D12" s="22">
        <f t="shared" si="0"/>
        <v>0</v>
      </c>
      <c r="E12" s="20">
        <f>집계장!L21</f>
        <v>0</v>
      </c>
      <c r="F12" s="23" t="s">
        <v>8</v>
      </c>
      <c r="G12" s="138"/>
      <c r="H12" s="138"/>
      <c r="I12" s="138"/>
      <c r="J12" s="138"/>
      <c r="K12" s="138"/>
      <c r="L12" s="27"/>
    </row>
    <row r="13" spans="1:12" ht="21.95" customHeight="1" x14ac:dyDescent="0.3">
      <c r="A13" s="19">
        <v>11</v>
      </c>
      <c r="B13" s="139" t="s">
        <v>22</v>
      </c>
      <c r="C13" s="137" t="s">
        <v>23</v>
      </c>
      <c r="D13" s="28">
        <f>ROUNDUP(E13,0)</f>
        <v>30000000</v>
      </c>
      <c r="E13" s="29">
        <f>집계장!F23</f>
        <v>30000000</v>
      </c>
      <c r="F13" s="23" t="s">
        <v>13</v>
      </c>
      <c r="G13" s="138"/>
      <c r="H13" s="138"/>
      <c r="I13" s="138"/>
      <c r="J13" s="138"/>
      <c r="K13" s="138"/>
      <c r="L13" s="138"/>
    </row>
    <row r="14" spans="1:12" ht="21.95" customHeight="1" x14ac:dyDescent="0.3">
      <c r="A14" s="19">
        <v>12</v>
      </c>
      <c r="B14" s="137" t="s">
        <v>24</v>
      </c>
      <c r="C14" s="137" t="s">
        <v>23</v>
      </c>
      <c r="D14" s="22">
        <f t="shared" si="0"/>
        <v>0</v>
      </c>
      <c r="E14" s="20">
        <v>0</v>
      </c>
      <c r="F14" s="23" t="s">
        <v>8</v>
      </c>
      <c r="G14" s="138"/>
      <c r="H14" s="138"/>
      <c r="I14" s="138"/>
      <c r="J14" s="138"/>
      <c r="K14" s="138"/>
      <c r="L14" s="138"/>
    </row>
    <row r="15" spans="1:12" ht="21.95" customHeight="1" x14ac:dyDescent="0.3">
      <c r="A15" s="19">
        <v>13</v>
      </c>
      <c r="B15" s="137" t="s">
        <v>25</v>
      </c>
      <c r="C15" s="137" t="s">
        <v>26</v>
      </c>
      <c r="D15" s="30">
        <v>1</v>
      </c>
      <c r="E15" s="31"/>
      <c r="F15" s="137"/>
      <c r="G15" s="137"/>
      <c r="H15" s="137"/>
      <c r="I15" s="137"/>
      <c r="J15" s="137"/>
      <c r="K15" s="137"/>
      <c r="L15" s="138"/>
    </row>
    <row r="16" spans="1:12" ht="21.95" customHeight="1" x14ac:dyDescent="0.15">
      <c r="A16" s="19">
        <v>14</v>
      </c>
      <c r="B16" s="137" t="s">
        <v>27</v>
      </c>
      <c r="C16" s="137" t="s">
        <v>28</v>
      </c>
      <c r="D16" s="30" t="s">
        <v>760</v>
      </c>
      <c r="E16" s="31"/>
      <c r="F16" s="137"/>
      <c r="G16" s="137"/>
      <c r="H16" s="137"/>
      <c r="I16" s="137"/>
      <c r="J16" s="137"/>
      <c r="K16" s="137"/>
    </row>
    <row r="17" spans="1:11" ht="21.95" customHeight="1" x14ac:dyDescent="0.15">
      <c r="A17" s="19"/>
      <c r="B17" s="137"/>
      <c r="C17" s="137"/>
      <c r="D17" s="30"/>
      <c r="E17" s="31"/>
      <c r="F17" s="137"/>
      <c r="G17" s="137"/>
      <c r="H17" s="137"/>
      <c r="I17" s="137"/>
      <c r="J17" s="137"/>
      <c r="K17" s="137"/>
    </row>
    <row r="18" spans="1:11" ht="21.95" customHeight="1" x14ac:dyDescent="0.15">
      <c r="A18" s="19"/>
      <c r="B18" s="248" t="s">
        <v>29</v>
      </c>
      <c r="C18" s="248"/>
      <c r="D18" s="248"/>
      <c r="E18" s="248"/>
      <c r="F18" s="248"/>
      <c r="G18" s="248"/>
      <c r="H18" s="248"/>
      <c r="I18" s="248"/>
      <c r="J18" s="249"/>
      <c r="K18" s="137"/>
    </row>
    <row r="19" spans="1:11" ht="21.95" customHeight="1" x14ac:dyDescent="0.15">
      <c r="A19" s="19"/>
      <c r="B19" s="137" t="s">
        <v>30</v>
      </c>
      <c r="C19" s="137"/>
      <c r="D19" s="137"/>
      <c r="E19" s="31"/>
      <c r="F19" s="137"/>
      <c r="G19" s="137"/>
      <c r="H19" s="137"/>
      <c r="I19" s="137"/>
      <c r="J19" s="137"/>
      <c r="K19" s="137"/>
    </row>
    <row r="20" spans="1:11" ht="21.95" customHeight="1" x14ac:dyDescent="0.15">
      <c r="A20" s="19"/>
      <c r="B20" s="137" t="s">
        <v>31</v>
      </c>
      <c r="C20" s="137"/>
      <c r="D20" s="137"/>
      <c r="E20" s="31"/>
      <c r="F20" s="137"/>
      <c r="G20" s="137"/>
      <c r="H20" s="137"/>
      <c r="I20" s="137"/>
      <c r="J20" s="137"/>
      <c r="K20" s="137"/>
    </row>
    <row r="21" spans="1:11" ht="21.95" customHeight="1" x14ac:dyDescent="0.15">
      <c r="A21" s="32"/>
      <c r="B21" s="137"/>
      <c r="C21" s="137"/>
      <c r="D21" s="137"/>
      <c r="E21" s="31"/>
      <c r="F21" s="139" t="s">
        <v>572</v>
      </c>
      <c r="G21" s="139"/>
      <c r="H21" s="139"/>
      <c r="I21" s="139"/>
      <c r="J21" s="137"/>
      <c r="K21" s="137"/>
    </row>
    <row r="22" spans="1:11" ht="21.95" customHeight="1" x14ac:dyDescent="0.15">
      <c r="A22" s="32"/>
      <c r="B22" s="137"/>
      <c r="C22" s="137"/>
      <c r="D22" s="137"/>
      <c r="E22" s="31"/>
      <c r="F22" s="137"/>
      <c r="G22" s="137"/>
      <c r="H22" s="137"/>
      <c r="I22" s="137"/>
      <c r="J22" s="137"/>
      <c r="K22" s="137"/>
    </row>
    <row r="23" spans="1:11" ht="21.95" customHeight="1" x14ac:dyDescent="0.15">
      <c r="A23" s="32"/>
      <c r="B23" s="137"/>
      <c r="C23" s="137"/>
      <c r="D23" s="137"/>
      <c r="E23" s="31"/>
      <c r="F23" s="140" t="s">
        <v>32</v>
      </c>
      <c r="G23" s="250" t="s">
        <v>321</v>
      </c>
      <c r="H23" s="250"/>
      <c r="I23" s="250"/>
      <c r="J23" s="250"/>
      <c r="K23" s="250"/>
    </row>
    <row r="24" spans="1:11" ht="21.95" customHeight="1" x14ac:dyDescent="0.15">
      <c r="A24" s="32"/>
      <c r="B24" s="137" t="s">
        <v>33</v>
      </c>
      <c r="C24" s="137"/>
      <c r="D24" s="137"/>
      <c r="E24" s="31"/>
      <c r="F24" s="140" t="s">
        <v>322</v>
      </c>
      <c r="G24" s="250" t="s">
        <v>319</v>
      </c>
      <c r="H24" s="250"/>
      <c r="I24" s="250"/>
      <c r="J24" s="250"/>
      <c r="K24" s="250"/>
    </row>
    <row r="25" spans="1:11" ht="21.95" customHeight="1" x14ac:dyDescent="0.15">
      <c r="A25" s="138"/>
      <c r="B25" s="137"/>
      <c r="C25" s="137"/>
      <c r="D25" s="137"/>
      <c r="E25" s="31"/>
      <c r="F25" s="140" t="s">
        <v>323</v>
      </c>
      <c r="G25" s="250" t="s">
        <v>320</v>
      </c>
      <c r="H25" s="250"/>
      <c r="I25" s="141" t="s">
        <v>34</v>
      </c>
      <c r="J25" s="142"/>
      <c r="K25" s="142"/>
    </row>
    <row r="26" spans="1:11" ht="21.95" customHeight="1" x14ac:dyDescent="0.15">
      <c r="A26" s="138"/>
      <c r="B26" s="138"/>
      <c r="C26" s="138"/>
      <c r="D26" s="33" t="s">
        <v>35</v>
      </c>
      <c r="E26" s="27"/>
      <c r="F26" s="143"/>
      <c r="G26" s="143"/>
      <c r="H26" s="143"/>
      <c r="I26" s="143"/>
      <c r="J26" s="143"/>
      <c r="K26" s="143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I9" sqref="I9"/>
    </sheetView>
  </sheetViews>
  <sheetFormatPr defaultRowHeight="16.5" x14ac:dyDescent="0.3"/>
  <cols>
    <col min="1" max="1" width="29.25" style="34" bestFit="1" customWidth="1"/>
    <col min="2" max="2" width="18.625" style="34" customWidth="1"/>
    <col min="3" max="3" width="9" style="34"/>
    <col min="4" max="4" width="12.375" style="34" bestFit="1" customWidth="1"/>
    <col min="5" max="5" width="8.625" style="34" customWidth="1"/>
    <col min="6" max="6" width="15.625" style="34" customWidth="1"/>
    <col min="7" max="7" width="13.625" style="34" customWidth="1"/>
  </cols>
  <sheetData>
    <row r="1" spans="1:7" ht="69.95" customHeight="1" x14ac:dyDescent="0.3">
      <c r="A1" s="251" t="s">
        <v>80</v>
      </c>
      <c r="B1" s="252"/>
      <c r="C1" s="252"/>
      <c r="D1" s="252"/>
      <c r="E1" s="252"/>
      <c r="F1" s="252"/>
      <c r="G1" s="252"/>
    </row>
    <row r="2" spans="1:7" ht="39.950000000000003" customHeight="1" thickBot="1" x14ac:dyDescent="0.35">
      <c r="A2" s="38" t="s">
        <v>81</v>
      </c>
      <c r="G2" s="39" t="s">
        <v>82</v>
      </c>
    </row>
    <row r="3" spans="1:7" ht="27.95" customHeight="1" x14ac:dyDescent="0.3">
      <c r="A3" s="253" t="s">
        <v>83</v>
      </c>
      <c r="B3" s="255" t="s">
        <v>84</v>
      </c>
      <c r="C3" s="255" t="s">
        <v>85</v>
      </c>
      <c r="D3" s="255" t="s">
        <v>86</v>
      </c>
      <c r="E3" s="255" t="s">
        <v>87</v>
      </c>
      <c r="F3" s="255"/>
      <c r="G3" s="257"/>
    </row>
    <row r="4" spans="1:7" ht="27.95" customHeight="1" x14ac:dyDescent="0.3">
      <c r="A4" s="254"/>
      <c r="B4" s="256"/>
      <c r="C4" s="256"/>
      <c r="D4" s="256"/>
      <c r="E4" s="40" t="s">
        <v>88</v>
      </c>
      <c r="F4" s="40" t="s">
        <v>89</v>
      </c>
      <c r="G4" s="41" t="s">
        <v>90</v>
      </c>
    </row>
    <row r="5" spans="1:7" ht="27.95" customHeight="1" x14ac:dyDescent="0.3">
      <c r="A5" s="42" t="s">
        <v>91</v>
      </c>
      <c r="B5" s="43" t="s">
        <v>92</v>
      </c>
      <c r="C5" s="43" t="s">
        <v>93</v>
      </c>
      <c r="D5" s="44">
        <v>1400000</v>
      </c>
      <c r="E5" s="45">
        <v>1</v>
      </c>
      <c r="F5" s="44">
        <f>D5*E5</f>
        <v>1400000</v>
      </c>
      <c r="G5" s="46"/>
    </row>
    <row r="6" spans="1:7" ht="27.95" customHeight="1" x14ac:dyDescent="0.3">
      <c r="A6" s="42" t="s">
        <v>91</v>
      </c>
      <c r="B6" s="43" t="s">
        <v>94</v>
      </c>
      <c r="C6" s="43" t="s">
        <v>95</v>
      </c>
      <c r="D6" s="44">
        <v>1200000</v>
      </c>
      <c r="E6" s="45"/>
      <c r="F6" s="44">
        <f t="shared" ref="F6:F11" si="0">D6*E6</f>
        <v>0</v>
      </c>
      <c r="G6" s="46"/>
    </row>
    <row r="7" spans="1:7" ht="27.95" customHeight="1" x14ac:dyDescent="0.3">
      <c r="A7" s="42" t="s">
        <v>96</v>
      </c>
      <c r="B7" s="43" t="s">
        <v>97</v>
      </c>
      <c r="C7" s="43" t="s">
        <v>95</v>
      </c>
      <c r="D7" s="44">
        <v>1000000</v>
      </c>
      <c r="E7" s="45"/>
      <c r="F7" s="44">
        <f t="shared" si="0"/>
        <v>0</v>
      </c>
      <c r="G7" s="46"/>
    </row>
    <row r="8" spans="1:7" ht="27.95" customHeight="1" x14ac:dyDescent="0.3">
      <c r="A8" s="42" t="s">
        <v>98</v>
      </c>
      <c r="B8" s="43" t="s">
        <v>99</v>
      </c>
      <c r="C8" s="43" t="s">
        <v>100</v>
      </c>
      <c r="D8" s="44">
        <v>900000</v>
      </c>
      <c r="E8" s="45"/>
      <c r="F8" s="44">
        <f t="shared" si="0"/>
        <v>0</v>
      </c>
      <c r="G8" s="46"/>
    </row>
    <row r="9" spans="1:7" ht="27.95" customHeight="1" x14ac:dyDescent="0.3">
      <c r="A9" s="42" t="s">
        <v>96</v>
      </c>
      <c r="B9" s="43" t="s">
        <v>101</v>
      </c>
      <c r="C9" s="43" t="s">
        <v>93</v>
      </c>
      <c r="D9" s="44">
        <v>800000</v>
      </c>
      <c r="E9" s="45"/>
      <c r="F9" s="44">
        <f t="shared" si="0"/>
        <v>0</v>
      </c>
      <c r="G9" s="46"/>
    </row>
    <row r="10" spans="1:7" ht="27.95" customHeight="1" x14ac:dyDescent="0.3">
      <c r="A10" s="42" t="s">
        <v>102</v>
      </c>
      <c r="B10" s="43" t="s">
        <v>103</v>
      </c>
      <c r="C10" s="43" t="s">
        <v>93</v>
      </c>
      <c r="D10" s="44">
        <v>700000</v>
      </c>
      <c r="E10" s="45"/>
      <c r="F10" s="44">
        <f t="shared" si="0"/>
        <v>0</v>
      </c>
      <c r="G10" s="46"/>
    </row>
    <row r="11" spans="1:7" ht="27.95" customHeight="1" x14ac:dyDescent="0.3">
      <c r="A11" s="42" t="s">
        <v>104</v>
      </c>
      <c r="B11" s="43" t="s">
        <v>105</v>
      </c>
      <c r="C11" s="43" t="s">
        <v>106</v>
      </c>
      <c r="D11" s="44">
        <v>600000</v>
      </c>
      <c r="E11" s="45"/>
      <c r="F11" s="44">
        <f t="shared" si="0"/>
        <v>0</v>
      </c>
      <c r="G11" s="46"/>
    </row>
    <row r="12" spans="1:7" ht="27.95" customHeight="1" x14ac:dyDescent="0.3">
      <c r="A12" s="42"/>
      <c r="B12" s="43"/>
      <c r="C12" s="43"/>
      <c r="D12" s="45"/>
      <c r="E12" s="45"/>
      <c r="F12" s="45"/>
      <c r="G12" s="46"/>
    </row>
    <row r="13" spans="1:7" ht="27.95" customHeight="1" x14ac:dyDescent="0.3">
      <c r="A13" s="42" t="s">
        <v>107</v>
      </c>
      <c r="B13" s="43"/>
      <c r="C13" s="43"/>
      <c r="D13" s="45"/>
      <c r="E13" s="47">
        <v>0.01</v>
      </c>
      <c r="F13" s="44">
        <f>SUM(F5:F11)*E13</f>
        <v>14000</v>
      </c>
      <c r="G13" s="46"/>
    </row>
    <row r="14" spans="1:7" ht="27.95" customHeight="1" x14ac:dyDescent="0.3">
      <c r="A14" s="42"/>
      <c r="B14" s="43"/>
      <c r="C14" s="43"/>
      <c r="D14" s="43"/>
      <c r="E14" s="43"/>
      <c r="F14" s="43"/>
      <c r="G14" s="46"/>
    </row>
    <row r="15" spans="1:7" ht="27.95" customHeight="1" thickBot="1" x14ac:dyDescent="0.35">
      <c r="A15" s="48" t="s">
        <v>108</v>
      </c>
      <c r="B15" s="49"/>
      <c r="C15" s="49"/>
      <c r="D15" s="49"/>
      <c r="E15" s="49">
        <f>SUM(E5:E11)</f>
        <v>1</v>
      </c>
      <c r="F15" s="51">
        <f>SUM(F5:F13)</f>
        <v>1414000</v>
      </c>
      <c r="G15" s="50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8906-B783-4DD7-95D3-00004DA963F9}">
  <sheetPr>
    <pageSetUpPr fitToPage="1"/>
  </sheetPr>
  <dimension ref="A1:G46"/>
  <sheetViews>
    <sheetView tabSelected="1" zoomScale="85" zoomScaleNormal="85" workbookViewId="0">
      <selection activeCell="J4" sqref="J4"/>
    </sheetView>
  </sheetViews>
  <sheetFormatPr defaultRowHeight="16.5" x14ac:dyDescent="0.3"/>
  <cols>
    <col min="1" max="1" width="25.625" style="239" customWidth="1"/>
    <col min="2" max="2" width="20.25" style="239" customWidth="1"/>
    <col min="3" max="3" width="7.375" style="239" customWidth="1"/>
    <col min="4" max="4" width="10.625" style="389" customWidth="1"/>
    <col min="5" max="5" width="9.875" style="239" customWidth="1"/>
    <col min="6" max="6" width="17.75" style="239" customWidth="1"/>
    <col min="7" max="7" width="15.625" style="239" customWidth="1"/>
  </cols>
  <sheetData>
    <row r="1" spans="1:7" ht="30" customHeight="1" x14ac:dyDescent="0.3">
      <c r="A1" s="336" t="s">
        <v>737</v>
      </c>
      <c r="B1" s="336"/>
      <c r="C1" s="336"/>
      <c r="D1" s="336"/>
      <c r="E1" s="336"/>
      <c r="F1" s="336"/>
      <c r="G1" s="336"/>
    </row>
    <row r="2" spans="1:7" ht="30" customHeight="1" thickBot="1" x14ac:dyDescent="0.35">
      <c r="A2" s="337" t="s">
        <v>81</v>
      </c>
      <c r="B2" s="338"/>
      <c r="C2" s="338"/>
      <c r="D2" s="338"/>
      <c r="E2" s="339"/>
      <c r="F2" s="340"/>
      <c r="G2" s="340" t="s">
        <v>738</v>
      </c>
    </row>
    <row r="3" spans="1:7" ht="30" customHeight="1" x14ac:dyDescent="0.3">
      <c r="A3" s="341" t="s">
        <v>739</v>
      </c>
      <c r="B3" s="342" t="s">
        <v>740</v>
      </c>
      <c r="C3" s="342" t="s">
        <v>741</v>
      </c>
      <c r="D3" s="343" t="s">
        <v>742</v>
      </c>
      <c r="E3" s="343" t="s">
        <v>743</v>
      </c>
      <c r="F3" s="343"/>
      <c r="G3" s="344" t="s">
        <v>744</v>
      </c>
    </row>
    <row r="4" spans="1:7" ht="30" customHeight="1" x14ac:dyDescent="0.3">
      <c r="A4" s="345"/>
      <c r="B4" s="346"/>
      <c r="C4" s="346"/>
      <c r="D4" s="347"/>
      <c r="E4" s="348" t="s">
        <v>745</v>
      </c>
      <c r="F4" s="348" t="s">
        <v>746</v>
      </c>
      <c r="G4" s="349"/>
    </row>
    <row r="5" spans="1:7" ht="30" customHeight="1" x14ac:dyDescent="0.3">
      <c r="A5" s="350" t="s">
        <v>747</v>
      </c>
      <c r="B5" s="351" t="s">
        <v>748</v>
      </c>
      <c r="C5" s="351" t="s">
        <v>749</v>
      </c>
      <c r="D5" s="352">
        <v>1400000</v>
      </c>
      <c r="E5" s="353">
        <v>5</v>
      </c>
      <c r="F5" s="353">
        <f>D5*E5</f>
        <v>7000000</v>
      </c>
      <c r="G5" s="354"/>
    </row>
    <row r="6" spans="1:7" ht="30" customHeight="1" x14ac:dyDescent="0.3">
      <c r="A6" s="350" t="s">
        <v>747</v>
      </c>
      <c r="B6" s="351" t="s">
        <v>750</v>
      </c>
      <c r="C6" s="351" t="s">
        <v>749</v>
      </c>
      <c r="D6" s="352">
        <v>1200000</v>
      </c>
      <c r="E6" s="353">
        <v>5</v>
      </c>
      <c r="F6" s="353">
        <f t="shared" ref="F6:F11" si="0">D6*E6</f>
        <v>6000000</v>
      </c>
      <c r="G6" s="355" t="s">
        <v>751</v>
      </c>
    </row>
    <row r="7" spans="1:7" ht="30" customHeight="1" x14ac:dyDescent="0.3">
      <c r="A7" s="350" t="s">
        <v>752</v>
      </c>
      <c r="B7" s="351" t="s">
        <v>753</v>
      </c>
      <c r="C7" s="351" t="s">
        <v>749</v>
      </c>
      <c r="D7" s="352">
        <v>1000000</v>
      </c>
      <c r="E7" s="353">
        <v>5</v>
      </c>
      <c r="F7" s="353">
        <f t="shared" si="0"/>
        <v>5000000</v>
      </c>
      <c r="G7" s="356" t="s">
        <v>751</v>
      </c>
    </row>
    <row r="8" spans="1:7" ht="30" customHeight="1" x14ac:dyDescent="0.3">
      <c r="A8" s="350" t="s">
        <v>752</v>
      </c>
      <c r="B8" s="351" t="s">
        <v>754</v>
      </c>
      <c r="C8" s="351" t="s">
        <v>749</v>
      </c>
      <c r="D8" s="352">
        <v>900000</v>
      </c>
      <c r="E8" s="353">
        <v>5</v>
      </c>
      <c r="F8" s="353">
        <f t="shared" si="0"/>
        <v>4500000</v>
      </c>
      <c r="G8" s="356" t="s">
        <v>751</v>
      </c>
    </row>
    <row r="9" spans="1:7" ht="30" customHeight="1" x14ac:dyDescent="0.3">
      <c r="A9" s="350" t="s">
        <v>752</v>
      </c>
      <c r="B9" s="351" t="s">
        <v>755</v>
      </c>
      <c r="C9" s="351" t="s">
        <v>749</v>
      </c>
      <c r="D9" s="352">
        <v>800000</v>
      </c>
      <c r="E9" s="353">
        <v>5</v>
      </c>
      <c r="F9" s="353">
        <f t="shared" si="0"/>
        <v>4000000</v>
      </c>
      <c r="G9" s="357"/>
    </row>
    <row r="10" spans="1:7" ht="30" customHeight="1" x14ac:dyDescent="0.3">
      <c r="A10" s="350" t="s">
        <v>752</v>
      </c>
      <c r="B10" s="351" t="s">
        <v>756</v>
      </c>
      <c r="C10" s="351" t="s">
        <v>749</v>
      </c>
      <c r="D10" s="352">
        <v>700000</v>
      </c>
      <c r="E10" s="353">
        <v>5</v>
      </c>
      <c r="F10" s="353">
        <f t="shared" si="0"/>
        <v>3500000</v>
      </c>
      <c r="G10" s="356"/>
    </row>
    <row r="11" spans="1:7" ht="30" customHeight="1" x14ac:dyDescent="0.3">
      <c r="A11" s="350" t="s">
        <v>757</v>
      </c>
      <c r="B11" s="351" t="s">
        <v>758</v>
      </c>
      <c r="C11" s="351" t="s">
        <v>749</v>
      </c>
      <c r="D11" s="352">
        <v>600000</v>
      </c>
      <c r="E11" s="353"/>
      <c r="F11" s="353">
        <f t="shared" si="0"/>
        <v>0</v>
      </c>
      <c r="G11" s="358"/>
    </row>
    <row r="12" spans="1:7" ht="30" customHeight="1" x14ac:dyDescent="0.3">
      <c r="A12" s="359"/>
      <c r="B12" s="351"/>
      <c r="C12" s="360"/>
      <c r="D12" s="352"/>
      <c r="E12" s="353"/>
      <c r="F12" s="353"/>
      <c r="G12" s="358"/>
    </row>
    <row r="13" spans="1:7" ht="30" customHeight="1" x14ac:dyDescent="0.3">
      <c r="A13" s="361" t="s">
        <v>107</v>
      </c>
      <c r="B13" s="351"/>
      <c r="C13" s="360"/>
      <c r="D13" s="362"/>
      <c r="E13" s="363">
        <v>0</v>
      </c>
      <c r="F13" s="364">
        <f>SUM(F5:F11)*E13</f>
        <v>0</v>
      </c>
      <c r="G13" s="358"/>
    </row>
    <row r="14" spans="1:7" ht="30" customHeight="1" x14ac:dyDescent="0.3">
      <c r="A14" s="359"/>
      <c r="B14" s="351"/>
      <c r="C14" s="360"/>
      <c r="D14" s="362"/>
      <c r="E14" s="353"/>
      <c r="F14" s="353"/>
      <c r="G14" s="358"/>
    </row>
    <row r="15" spans="1:7" ht="30" customHeight="1" x14ac:dyDescent="0.3">
      <c r="A15" s="359"/>
      <c r="B15" s="365"/>
      <c r="C15" s="360"/>
      <c r="D15" s="362"/>
      <c r="E15" s="353"/>
      <c r="F15" s="353"/>
      <c r="G15" s="358"/>
    </row>
    <row r="16" spans="1:7" ht="30" customHeight="1" x14ac:dyDescent="0.3">
      <c r="A16" s="359"/>
      <c r="B16" s="365"/>
      <c r="C16" s="360"/>
      <c r="D16" s="362"/>
      <c r="E16" s="353"/>
      <c r="F16" s="353"/>
      <c r="G16" s="358"/>
    </row>
    <row r="17" spans="1:7" ht="30" customHeight="1" x14ac:dyDescent="0.3">
      <c r="A17" s="359"/>
      <c r="B17" s="365"/>
      <c r="C17" s="360"/>
      <c r="D17" s="362"/>
      <c r="E17" s="353"/>
      <c r="F17" s="353"/>
      <c r="G17" s="358"/>
    </row>
    <row r="18" spans="1:7" ht="30" customHeight="1" x14ac:dyDescent="0.3">
      <c r="A18" s="366"/>
      <c r="B18" s="367"/>
      <c r="C18" s="368"/>
      <c r="D18" s="369"/>
      <c r="E18" s="353"/>
      <c r="F18" s="353"/>
      <c r="G18" s="358"/>
    </row>
    <row r="19" spans="1:7" ht="30" customHeight="1" x14ac:dyDescent="0.3">
      <c r="A19" s="370"/>
      <c r="B19" s="371"/>
      <c r="C19" s="360"/>
      <c r="D19" s="372"/>
      <c r="E19" s="353"/>
      <c r="F19" s="353"/>
      <c r="G19" s="358"/>
    </row>
    <row r="20" spans="1:7" ht="30" customHeight="1" x14ac:dyDescent="0.3">
      <c r="A20" s="370"/>
      <c r="B20" s="371"/>
      <c r="C20" s="360"/>
      <c r="D20" s="372"/>
      <c r="E20" s="353"/>
      <c r="F20" s="353"/>
      <c r="G20" s="358"/>
    </row>
    <row r="21" spans="1:7" ht="30" customHeight="1" x14ac:dyDescent="0.3">
      <c r="A21" s="373"/>
      <c r="B21" s="365"/>
      <c r="C21" s="360"/>
      <c r="D21" s="372"/>
      <c r="E21" s="353"/>
      <c r="F21" s="353"/>
      <c r="G21" s="358"/>
    </row>
    <row r="22" spans="1:7" ht="30" customHeight="1" x14ac:dyDescent="0.3">
      <c r="A22" s="373"/>
      <c r="B22" s="365"/>
      <c r="C22" s="360"/>
      <c r="D22" s="372"/>
      <c r="E22" s="353"/>
      <c r="F22" s="353"/>
      <c r="G22" s="358"/>
    </row>
    <row r="23" spans="1:7" ht="30" customHeight="1" x14ac:dyDescent="0.3">
      <c r="A23" s="374"/>
      <c r="B23" s="367"/>
      <c r="C23" s="368"/>
      <c r="D23" s="372"/>
      <c r="E23" s="353"/>
      <c r="F23" s="353"/>
      <c r="G23" s="358"/>
    </row>
    <row r="24" spans="1:7" ht="30" customHeight="1" x14ac:dyDescent="0.3">
      <c r="A24" s="373"/>
      <c r="B24" s="365"/>
      <c r="C24" s="360"/>
      <c r="D24" s="372"/>
      <c r="E24" s="353"/>
      <c r="F24" s="353"/>
      <c r="G24" s="358"/>
    </row>
    <row r="25" spans="1:7" ht="30" customHeight="1" x14ac:dyDescent="0.3">
      <c r="A25" s="374"/>
      <c r="B25" s="367"/>
      <c r="C25" s="368"/>
      <c r="D25" s="372"/>
      <c r="E25" s="353"/>
      <c r="F25" s="353"/>
      <c r="G25" s="358"/>
    </row>
    <row r="26" spans="1:7" ht="30" customHeight="1" x14ac:dyDescent="0.3">
      <c r="A26" s="375"/>
      <c r="B26" s="376"/>
      <c r="C26" s="377"/>
      <c r="D26" s="377"/>
      <c r="E26" s="353"/>
      <c r="F26" s="353"/>
      <c r="G26" s="358"/>
    </row>
    <row r="27" spans="1:7" ht="30" customHeight="1" thickBot="1" x14ac:dyDescent="0.35">
      <c r="A27" s="378" t="s">
        <v>759</v>
      </c>
      <c r="B27" s="379"/>
      <c r="C27" s="380"/>
      <c r="D27" s="381"/>
      <c r="E27" s="382">
        <f>SUM(E5:E11)</f>
        <v>30</v>
      </c>
      <c r="F27" s="383">
        <f>SUM(F5:F26)</f>
        <v>30000000</v>
      </c>
      <c r="G27" s="384"/>
    </row>
    <row r="28" spans="1:7" x14ac:dyDescent="0.3">
      <c r="A28" s="385"/>
      <c r="B28" s="386"/>
      <c r="C28" s="387"/>
      <c r="D28" s="387"/>
    </row>
    <row r="29" spans="1:7" x14ac:dyDescent="0.3">
      <c r="A29" s="387"/>
      <c r="B29" s="387"/>
      <c r="C29" s="387"/>
      <c r="D29" s="387"/>
    </row>
    <row r="30" spans="1:7" x14ac:dyDescent="0.3">
      <c r="A30" s="387"/>
      <c r="B30" s="387"/>
      <c r="C30" s="387"/>
      <c r="D30" s="387"/>
    </row>
    <row r="31" spans="1:7" x14ac:dyDescent="0.3">
      <c r="A31" s="387"/>
      <c r="B31" s="387"/>
      <c r="C31" s="387"/>
      <c r="D31" s="387"/>
    </row>
    <row r="32" spans="1:7" x14ac:dyDescent="0.3">
      <c r="A32" s="387"/>
      <c r="B32" s="387"/>
      <c r="C32" s="387"/>
      <c r="D32" s="387"/>
    </row>
    <row r="33" spans="1:4" x14ac:dyDescent="0.3">
      <c r="A33" s="388"/>
      <c r="B33" s="388"/>
      <c r="C33" s="388"/>
      <c r="D33" s="388"/>
    </row>
    <row r="34" spans="1:4" x14ac:dyDescent="0.3">
      <c r="A34" s="388"/>
      <c r="B34" s="388"/>
      <c r="C34" s="388"/>
      <c r="D34" s="388"/>
    </row>
    <row r="35" spans="1:4" x14ac:dyDescent="0.3">
      <c r="A35" s="388"/>
      <c r="B35" s="388"/>
      <c r="C35" s="388"/>
      <c r="D35" s="388"/>
    </row>
    <row r="36" spans="1:4" x14ac:dyDescent="0.3">
      <c r="A36" s="388"/>
      <c r="B36" s="388"/>
      <c r="C36" s="388"/>
      <c r="D36" s="388"/>
    </row>
    <row r="37" spans="1:4" x14ac:dyDescent="0.3">
      <c r="A37" s="388"/>
      <c r="B37" s="388"/>
      <c r="C37" s="388"/>
      <c r="D37" s="388"/>
    </row>
    <row r="38" spans="1:4" x14ac:dyDescent="0.3">
      <c r="A38" s="388"/>
      <c r="B38" s="388"/>
      <c r="C38" s="388"/>
      <c r="D38" s="388"/>
    </row>
    <row r="39" spans="1:4" x14ac:dyDescent="0.3">
      <c r="A39" s="388"/>
      <c r="C39" s="388"/>
      <c r="D39" s="388"/>
    </row>
    <row r="40" spans="1:4" x14ac:dyDescent="0.3">
      <c r="A40" s="388"/>
      <c r="C40" s="388"/>
      <c r="D40" s="388"/>
    </row>
    <row r="41" spans="1:4" x14ac:dyDescent="0.3">
      <c r="A41" s="388"/>
      <c r="C41" s="388"/>
      <c r="D41" s="388"/>
    </row>
    <row r="42" spans="1:4" x14ac:dyDescent="0.3">
      <c r="A42" s="388"/>
      <c r="C42" s="388"/>
      <c r="D42" s="388"/>
    </row>
    <row r="43" spans="1:4" x14ac:dyDescent="0.3">
      <c r="A43" s="388"/>
      <c r="C43" s="388"/>
      <c r="D43" s="388"/>
    </row>
    <row r="44" spans="1:4" x14ac:dyDescent="0.3">
      <c r="C44" s="388"/>
      <c r="D44" s="388"/>
    </row>
    <row r="45" spans="1:4" x14ac:dyDescent="0.3">
      <c r="C45" s="388"/>
    </row>
    <row r="46" spans="1:4" x14ac:dyDescent="0.3">
      <c r="C46" s="38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23622047244094491" right="0.23622047244094491" top="0.74803149606299213" bottom="0.39370078740157483" header="0.31496062992125984" footer="0.31496062992125984"/>
  <pageSetup paperSize="9" scale="62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8"/>
  <sheetViews>
    <sheetView view="pageBreakPreview" zoomScale="70" zoomScaleNormal="100" zoomScaleSheetLayoutView="70" workbookViewId="0">
      <selection activeCell="G59" sqref="G59"/>
    </sheetView>
  </sheetViews>
  <sheetFormatPr defaultRowHeight="16.5" x14ac:dyDescent="0.3"/>
  <cols>
    <col min="1" max="1" width="21.625" style="87" customWidth="1"/>
    <col min="2" max="2" width="20.625" style="87" customWidth="1"/>
    <col min="3" max="3" width="6.625" style="87" customWidth="1"/>
    <col min="4" max="4" width="12.125" style="87" customWidth="1"/>
    <col min="5" max="5" width="16.625" style="87" customWidth="1"/>
    <col min="6" max="9" width="19.625" style="87" customWidth="1"/>
    <col min="10" max="10" width="15.625" style="87" customWidth="1"/>
    <col min="11" max="12" width="11.625" style="87" customWidth="1"/>
  </cols>
  <sheetData>
    <row r="1" spans="1:12" ht="39.950000000000003" customHeight="1" thickTop="1" x14ac:dyDescent="0.3">
      <c r="A1" s="280" t="str">
        <f>'용역청구서 표지'!$B$7</f>
        <v>P4 Ph4 GAS 1공구 마감공사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2"/>
    </row>
    <row r="2" spans="1:12" ht="20.100000000000001" customHeight="1" x14ac:dyDescent="0.25">
      <c r="A2" s="53"/>
      <c r="B2" s="54"/>
      <c r="C2" s="54"/>
      <c r="D2" s="54"/>
      <c r="E2" s="54"/>
      <c r="F2" s="54"/>
      <c r="G2" s="54"/>
      <c r="H2" s="54"/>
      <c r="I2" s="54"/>
      <c r="J2" s="55"/>
      <c r="K2" s="54"/>
      <c r="L2" s="56" t="str">
        <f>'용역청구서 표지'!$C$15</f>
        <v>㈜리도시스템</v>
      </c>
    </row>
    <row r="3" spans="1:12" ht="30" customHeight="1" x14ac:dyDescent="0.3">
      <c r="A3" s="57" t="s">
        <v>109</v>
      </c>
      <c r="B3" s="215" t="s">
        <v>110</v>
      </c>
      <c r="C3" s="215" t="s">
        <v>111</v>
      </c>
      <c r="D3" s="215" t="s">
        <v>112</v>
      </c>
      <c r="E3" s="215" t="s">
        <v>113</v>
      </c>
      <c r="F3" s="216" t="s">
        <v>114</v>
      </c>
      <c r="G3" s="58" t="s">
        <v>115</v>
      </c>
      <c r="H3" s="215" t="s">
        <v>116</v>
      </c>
      <c r="I3" s="59" t="s">
        <v>117</v>
      </c>
      <c r="J3" s="283" t="s">
        <v>118</v>
      </c>
      <c r="K3" s="283"/>
      <c r="L3" s="284"/>
    </row>
    <row r="4" spans="1:12" ht="30" customHeight="1" x14ac:dyDescent="0.3">
      <c r="A4" s="60" t="s">
        <v>119</v>
      </c>
      <c r="B4" s="61" t="s">
        <v>120</v>
      </c>
      <c r="C4" s="43" t="s">
        <v>121</v>
      </c>
      <c r="D4" s="135">
        <f>SUM('물량 내역서'!$J$5:$J$27)</f>
        <v>810.5</v>
      </c>
      <c r="E4" s="44">
        <f>F4/D4</f>
        <v>435000</v>
      </c>
      <c r="F4" s="62">
        <f>SUM('물량 내역서'!$K$5:$K$27)</f>
        <v>352567500</v>
      </c>
      <c r="G4" s="63">
        <v>607477500</v>
      </c>
      <c r="H4" s="44">
        <f t="shared" ref="H4:H21" si="0">F4</f>
        <v>352567500</v>
      </c>
      <c r="I4" s="64">
        <f>G4+H4</f>
        <v>960045000</v>
      </c>
      <c r="J4" s="262"/>
      <c r="K4" s="263"/>
      <c r="L4" s="264"/>
    </row>
    <row r="5" spans="1:12" ht="30" customHeight="1" x14ac:dyDescent="0.3">
      <c r="A5" s="65"/>
      <c r="B5" s="61" t="s">
        <v>122</v>
      </c>
      <c r="C5" s="43" t="s">
        <v>123</v>
      </c>
      <c r="D5" s="134">
        <f>SUM('물량 내역서'!$J$28:$J$50)</f>
        <v>20</v>
      </c>
      <c r="E5" s="44">
        <f>F5/D5</f>
        <v>179812.5</v>
      </c>
      <c r="F5" s="62">
        <f>SUM('물량 내역서'!$K$28:$K$50)</f>
        <v>3596250</v>
      </c>
      <c r="G5" s="63">
        <v>3288000</v>
      </c>
      <c r="H5" s="44">
        <f t="shared" si="0"/>
        <v>3596250</v>
      </c>
      <c r="I5" s="64">
        <f t="shared" ref="I5:I8" si="1">G5+H5</f>
        <v>6884250</v>
      </c>
      <c r="J5" s="262"/>
      <c r="K5" s="263"/>
      <c r="L5" s="264"/>
    </row>
    <row r="6" spans="1:12" ht="30" customHeight="1" x14ac:dyDescent="0.3">
      <c r="A6" s="65"/>
      <c r="B6" s="61" t="s">
        <v>124</v>
      </c>
      <c r="C6" s="43" t="s">
        <v>125</v>
      </c>
      <c r="D6" s="66"/>
      <c r="E6" s="44"/>
      <c r="F6" s="62">
        <f>'근로내역 (2월)'!AP91</f>
        <v>0</v>
      </c>
      <c r="G6" s="63"/>
      <c r="H6" s="44">
        <f t="shared" si="0"/>
        <v>0</v>
      </c>
      <c r="I6" s="64">
        <f t="shared" si="1"/>
        <v>0</v>
      </c>
      <c r="J6" s="262"/>
      <c r="K6" s="263"/>
      <c r="L6" s="264"/>
    </row>
    <row r="7" spans="1:12" ht="30" customHeight="1" x14ac:dyDescent="0.3">
      <c r="A7" s="285" t="s">
        <v>126</v>
      </c>
      <c r="B7" s="61" t="s">
        <v>568</v>
      </c>
      <c r="C7" s="43"/>
      <c r="D7" s="66"/>
      <c r="E7" s="44"/>
      <c r="F7" s="62"/>
      <c r="G7" s="63">
        <v>8656351</v>
      </c>
      <c r="H7" s="44"/>
      <c r="I7" s="64">
        <f t="shared" si="1"/>
        <v>8656351</v>
      </c>
      <c r="J7" s="262" t="s">
        <v>569</v>
      </c>
      <c r="K7" s="263"/>
      <c r="L7" s="264"/>
    </row>
    <row r="8" spans="1:12" ht="30" customHeight="1" x14ac:dyDescent="0.3">
      <c r="A8" s="286"/>
      <c r="B8" s="61" t="s">
        <v>570</v>
      </c>
      <c r="C8" s="43" t="s">
        <v>127</v>
      </c>
      <c r="D8" s="43"/>
      <c r="E8" s="44"/>
      <c r="F8" s="62">
        <v>305562577</v>
      </c>
      <c r="G8" s="63">
        <v>275683397</v>
      </c>
      <c r="H8" s="44">
        <f>30000000-120820</f>
        <v>29879180</v>
      </c>
      <c r="I8" s="64">
        <f t="shared" si="1"/>
        <v>305562577</v>
      </c>
      <c r="J8" s="262" t="s">
        <v>736</v>
      </c>
      <c r="K8" s="263"/>
      <c r="L8" s="264"/>
    </row>
    <row r="9" spans="1:12" ht="30" customHeight="1" x14ac:dyDescent="0.3">
      <c r="A9" s="67" t="s">
        <v>128</v>
      </c>
      <c r="B9" s="265" t="s">
        <v>129</v>
      </c>
      <c r="C9" s="266"/>
      <c r="D9" s="68"/>
      <c r="E9" s="69"/>
      <c r="F9" s="70">
        <f>SUM(F4:F8)</f>
        <v>661726327</v>
      </c>
      <c r="G9" s="71">
        <f>SUM(G4:G8)</f>
        <v>895105248</v>
      </c>
      <c r="H9" s="71">
        <f t="shared" ref="H9:I9" si="2">SUM(H4:H8)</f>
        <v>386042930</v>
      </c>
      <c r="I9" s="71">
        <f t="shared" si="2"/>
        <v>1281148178</v>
      </c>
      <c r="J9" s="279"/>
      <c r="K9" s="267"/>
      <c r="L9" s="268"/>
    </row>
    <row r="10" spans="1:12" ht="30" customHeight="1" x14ac:dyDescent="0.3">
      <c r="A10" s="60" t="s">
        <v>130</v>
      </c>
      <c r="B10" s="61" t="s">
        <v>131</v>
      </c>
      <c r="C10" s="43" t="s">
        <v>132</v>
      </c>
      <c r="D10" s="66">
        <f>'근로내역 (2월)'!AN92</f>
        <v>1683.125</v>
      </c>
      <c r="E10" s="73">
        <f>F10/D10</f>
        <v>187209.80319346453</v>
      </c>
      <c r="F10" s="62">
        <f>'근로내역 (2월)'!AP92</f>
        <v>315097500</v>
      </c>
      <c r="G10" s="63">
        <v>706404375</v>
      </c>
      <c r="H10" s="44">
        <f t="shared" si="0"/>
        <v>315097500</v>
      </c>
      <c r="I10" s="64">
        <f>G10+H10</f>
        <v>1021501875</v>
      </c>
      <c r="J10" s="262"/>
      <c r="K10" s="263"/>
      <c r="L10" s="264"/>
    </row>
    <row r="11" spans="1:12" ht="30" customHeight="1" x14ac:dyDescent="0.3">
      <c r="A11" s="60" t="s">
        <v>133</v>
      </c>
      <c r="B11" s="61" t="s">
        <v>134</v>
      </c>
      <c r="C11" s="43" t="s">
        <v>127</v>
      </c>
      <c r="D11" s="43">
        <f>SUM(숙소임차료!H4:H9)+SUM(숙소관리비!H4:H19)</f>
        <v>84</v>
      </c>
      <c r="E11" s="44">
        <f>F11/D11</f>
        <v>77064.642857142855</v>
      </c>
      <c r="F11" s="62">
        <f>숙소임차료!I3+숙소관리비!I3</f>
        <v>6473430</v>
      </c>
      <c r="G11" s="63">
        <v>16333055</v>
      </c>
      <c r="H11" s="44">
        <f t="shared" si="0"/>
        <v>6473430</v>
      </c>
      <c r="I11" s="64">
        <f t="shared" ref="I11:I12" si="3">G11+H11</f>
        <v>22806485</v>
      </c>
      <c r="J11" s="262"/>
      <c r="K11" s="263"/>
      <c r="L11" s="264"/>
    </row>
    <row r="12" spans="1:12" ht="30" customHeight="1" x14ac:dyDescent="0.3">
      <c r="A12" s="60"/>
      <c r="B12" s="61" t="s">
        <v>135</v>
      </c>
      <c r="C12" s="43" t="s">
        <v>136</v>
      </c>
      <c r="D12" s="43">
        <f>SUM(식대비용!G4:G7)</f>
        <v>74</v>
      </c>
      <c r="E12" s="44">
        <f>F12/D12</f>
        <v>465837.83783783781</v>
      </c>
      <c r="F12" s="62">
        <f>식대비용!I3</f>
        <v>34472000</v>
      </c>
      <c r="G12" s="63">
        <v>72367818</v>
      </c>
      <c r="H12" s="44">
        <f t="shared" si="0"/>
        <v>34472000</v>
      </c>
      <c r="I12" s="64">
        <f t="shared" si="3"/>
        <v>106839818</v>
      </c>
      <c r="J12" s="262"/>
      <c r="K12" s="263"/>
      <c r="L12" s="264"/>
    </row>
    <row r="13" spans="1:12" ht="30" customHeight="1" x14ac:dyDescent="0.3">
      <c r="A13" s="60" t="s">
        <v>137</v>
      </c>
      <c r="B13" s="61"/>
      <c r="C13" s="43" t="s">
        <v>127</v>
      </c>
      <c r="D13" s="43"/>
      <c r="E13" s="44"/>
      <c r="F13" s="62"/>
      <c r="G13" s="63"/>
      <c r="H13" s="44"/>
      <c r="I13" s="64"/>
      <c r="J13" s="262"/>
      <c r="K13" s="263"/>
      <c r="L13" s="264"/>
    </row>
    <row r="14" spans="1:12" ht="30" customHeight="1" x14ac:dyDescent="0.3">
      <c r="A14" s="67" t="s">
        <v>138</v>
      </c>
      <c r="B14" s="265" t="s">
        <v>139</v>
      </c>
      <c r="C14" s="266"/>
      <c r="D14" s="68"/>
      <c r="E14" s="69"/>
      <c r="F14" s="70">
        <f>SUM(F10:F12)</f>
        <v>356042930</v>
      </c>
      <c r="G14" s="71">
        <f>SUM(G10:G13)</f>
        <v>795105248</v>
      </c>
      <c r="H14" s="71">
        <f>SUM(H10:H13)</f>
        <v>356042930</v>
      </c>
      <c r="I14" s="71">
        <f>SUM(I10:I13)</f>
        <v>1151148178</v>
      </c>
      <c r="J14" s="279"/>
      <c r="K14" s="267"/>
      <c r="L14" s="268"/>
    </row>
    <row r="15" spans="1:12" ht="30" customHeight="1" x14ac:dyDescent="0.3">
      <c r="A15" s="67" t="s">
        <v>140</v>
      </c>
      <c r="B15" s="265" t="s">
        <v>141</v>
      </c>
      <c r="C15" s="266"/>
      <c r="D15" s="68"/>
      <c r="E15" s="69"/>
      <c r="F15" s="70">
        <f>F9-F14</f>
        <v>305683397</v>
      </c>
      <c r="G15" s="71">
        <f>G9-G14</f>
        <v>100000000</v>
      </c>
      <c r="H15" s="71">
        <f>H9-H14</f>
        <v>30000000</v>
      </c>
      <c r="I15" s="71">
        <f>I9-I14</f>
        <v>130000000</v>
      </c>
      <c r="J15" s="279"/>
      <c r="K15" s="267"/>
      <c r="L15" s="268"/>
    </row>
    <row r="16" spans="1:12" ht="30" customHeight="1" x14ac:dyDescent="0.3">
      <c r="A16" s="60" t="s">
        <v>142</v>
      </c>
      <c r="B16" s="61" t="s">
        <v>143</v>
      </c>
      <c r="C16" s="43" t="s">
        <v>127</v>
      </c>
      <c r="D16" s="43"/>
      <c r="E16" s="45"/>
      <c r="F16" s="62"/>
      <c r="G16" s="63"/>
      <c r="H16" s="44"/>
      <c r="I16" s="64"/>
      <c r="J16" s="262"/>
      <c r="K16" s="263"/>
      <c r="L16" s="264"/>
    </row>
    <row r="17" spans="1:12" ht="30" customHeight="1" x14ac:dyDescent="0.3">
      <c r="A17" s="60" t="s">
        <v>144</v>
      </c>
      <c r="B17" s="74" t="s">
        <v>145</v>
      </c>
      <c r="C17" s="43" t="s">
        <v>146</v>
      </c>
      <c r="D17" s="43"/>
      <c r="E17" s="45"/>
      <c r="F17" s="62">
        <v>-275683397</v>
      </c>
      <c r="G17" s="63">
        <v>-275683397</v>
      </c>
      <c r="H17" s="44">
        <f>-H8</f>
        <v>-29879180</v>
      </c>
      <c r="I17" s="64">
        <f t="shared" ref="I17" si="4">G17+H17</f>
        <v>-305562577</v>
      </c>
      <c r="J17" s="262"/>
      <c r="K17" s="263"/>
      <c r="L17" s="264"/>
    </row>
    <row r="18" spans="1:12" ht="30" customHeight="1" x14ac:dyDescent="0.3">
      <c r="A18" s="60" t="s">
        <v>147</v>
      </c>
      <c r="B18" s="61" t="s">
        <v>148</v>
      </c>
      <c r="C18" s="43" t="s">
        <v>149</v>
      </c>
      <c r="D18" s="43"/>
      <c r="E18" s="45"/>
      <c r="F18" s="62"/>
      <c r="G18" s="63"/>
      <c r="H18" s="44"/>
      <c r="I18" s="64"/>
      <c r="J18" s="262"/>
      <c r="K18" s="263"/>
      <c r="L18" s="264"/>
    </row>
    <row r="19" spans="1:12" ht="30" customHeight="1" x14ac:dyDescent="0.3">
      <c r="A19" s="67" t="s">
        <v>150</v>
      </c>
      <c r="B19" s="265" t="s">
        <v>151</v>
      </c>
      <c r="C19" s="266"/>
      <c r="D19" s="68"/>
      <c r="E19" s="69"/>
      <c r="F19" s="70">
        <f>F15-F16+F17+F18</f>
        <v>30000000</v>
      </c>
      <c r="G19" s="72">
        <f>G15</f>
        <v>100000000</v>
      </c>
      <c r="H19" s="72">
        <f>H15</f>
        <v>30000000</v>
      </c>
      <c r="I19" s="72">
        <f>I15</f>
        <v>130000000</v>
      </c>
      <c r="J19" s="267"/>
      <c r="K19" s="267"/>
      <c r="L19" s="268"/>
    </row>
    <row r="20" spans="1:12" ht="30" customHeight="1" x14ac:dyDescent="0.3">
      <c r="A20" s="269" t="s">
        <v>152</v>
      </c>
      <c r="B20" s="61" t="s">
        <v>734</v>
      </c>
      <c r="C20" s="43" t="s">
        <v>146</v>
      </c>
      <c r="D20" s="43"/>
      <c r="E20" s="45"/>
      <c r="F20" s="62"/>
      <c r="G20" s="63"/>
      <c r="H20" s="44">
        <f t="shared" si="0"/>
        <v>0</v>
      </c>
      <c r="I20" s="64">
        <f>G20+H20</f>
        <v>0</v>
      </c>
      <c r="J20" s="43"/>
      <c r="K20" s="75" t="s">
        <v>153</v>
      </c>
      <c r="L20" s="76" t="s">
        <v>154</v>
      </c>
    </row>
    <row r="21" spans="1:12" ht="30" customHeight="1" x14ac:dyDescent="0.3">
      <c r="A21" s="269"/>
      <c r="B21" s="61" t="s">
        <v>735</v>
      </c>
      <c r="C21" s="43" t="s">
        <v>146</v>
      </c>
      <c r="D21" s="43"/>
      <c r="E21" s="45"/>
      <c r="F21" s="62"/>
      <c r="G21" s="63"/>
      <c r="H21" s="44">
        <f t="shared" si="0"/>
        <v>0</v>
      </c>
      <c r="I21" s="64">
        <f>G21+H21</f>
        <v>0</v>
      </c>
      <c r="J21" s="61" t="s">
        <v>155</v>
      </c>
      <c r="K21" s="270"/>
      <c r="L21" s="273"/>
    </row>
    <row r="22" spans="1:12" ht="30" customHeight="1" x14ac:dyDescent="0.3">
      <c r="A22" s="276" t="s">
        <v>156</v>
      </c>
      <c r="B22" s="277"/>
      <c r="C22" s="278"/>
      <c r="D22" s="77"/>
      <c r="E22" s="78"/>
      <c r="F22" s="79">
        <f>F19</f>
        <v>30000000</v>
      </c>
      <c r="G22" s="80">
        <f>G19</f>
        <v>100000000</v>
      </c>
      <c r="H22" s="81">
        <f>H19</f>
        <v>30000000</v>
      </c>
      <c r="I22" s="81">
        <f>I19</f>
        <v>130000000</v>
      </c>
      <c r="J22" s="77"/>
      <c r="K22" s="271"/>
      <c r="L22" s="274"/>
    </row>
    <row r="23" spans="1:12" ht="30" customHeight="1" x14ac:dyDescent="0.3">
      <c r="A23" s="276" t="s">
        <v>157</v>
      </c>
      <c r="B23" s="277"/>
      <c r="C23" s="278"/>
      <c r="D23" s="77"/>
      <c r="E23" s="78"/>
      <c r="F23" s="79">
        <f>ROUNDDOWN(F22,-5)</f>
        <v>30000000</v>
      </c>
      <c r="G23" s="213">
        <f t="shared" ref="G23:I23" si="5">ROUNDDOWN(G22,-5)</f>
        <v>100000000</v>
      </c>
      <c r="H23" s="81">
        <f t="shared" si="5"/>
        <v>30000000</v>
      </c>
      <c r="I23" s="81">
        <f t="shared" si="5"/>
        <v>130000000</v>
      </c>
      <c r="J23" s="214" t="s">
        <v>158</v>
      </c>
      <c r="K23" s="272"/>
      <c r="L23" s="275"/>
    </row>
    <row r="24" spans="1:12" ht="30" customHeight="1" x14ac:dyDescent="0.3">
      <c r="A24" s="258" t="s">
        <v>159</v>
      </c>
      <c r="B24" s="259"/>
      <c r="C24" s="260"/>
      <c r="D24" s="259" t="s">
        <v>160</v>
      </c>
      <c r="E24" s="259"/>
      <c r="F24" s="259"/>
      <c r="G24" s="259"/>
      <c r="H24" s="259"/>
      <c r="I24" s="259"/>
      <c r="J24" s="259"/>
      <c r="K24" s="259"/>
      <c r="L24" s="261"/>
    </row>
    <row r="25" spans="1:12" ht="21" customHeight="1" x14ac:dyDescent="0.3">
      <c r="A25" s="82" t="s">
        <v>161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83"/>
    </row>
    <row r="26" spans="1:12" ht="21" customHeight="1" x14ac:dyDescent="0.3">
      <c r="A26" s="82" t="s">
        <v>162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83"/>
    </row>
    <row r="27" spans="1:12" ht="21" customHeight="1" thickBot="1" x14ac:dyDescent="0.35">
      <c r="A27" s="84" t="s">
        <v>163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6"/>
    </row>
    <row r="28" spans="1:12" ht="17.25" thickTop="1" x14ac:dyDescent="0.3">
      <c r="A28" s="54"/>
      <c r="B28" s="54"/>
      <c r="C28" s="54"/>
      <c r="D28" s="54"/>
      <c r="E28" s="54"/>
      <c r="F28" s="54"/>
      <c r="G28" s="54"/>
      <c r="H28" s="54"/>
      <c r="I28" s="54"/>
      <c r="J28" s="54"/>
    </row>
  </sheetData>
  <mergeCells count="30">
    <mergeCell ref="J8:L8"/>
    <mergeCell ref="A1:L1"/>
    <mergeCell ref="J3:L3"/>
    <mergeCell ref="J4:L4"/>
    <mergeCell ref="J5:L5"/>
    <mergeCell ref="J6:L6"/>
    <mergeCell ref="A7:A8"/>
    <mergeCell ref="J7:L7"/>
    <mergeCell ref="J17:L17"/>
    <mergeCell ref="B9:C9"/>
    <mergeCell ref="J9:L9"/>
    <mergeCell ref="J10:L10"/>
    <mergeCell ref="J11:L11"/>
    <mergeCell ref="J12:L12"/>
    <mergeCell ref="J13:L13"/>
    <mergeCell ref="B14:C14"/>
    <mergeCell ref="J14:L14"/>
    <mergeCell ref="B15:C15"/>
    <mergeCell ref="J15:L15"/>
    <mergeCell ref="J16:L16"/>
    <mergeCell ref="A24:C24"/>
    <mergeCell ref="D24:L24"/>
    <mergeCell ref="J18:L18"/>
    <mergeCell ref="B19:C19"/>
    <mergeCell ref="J19:L19"/>
    <mergeCell ref="A20:A21"/>
    <mergeCell ref="K21:K23"/>
    <mergeCell ref="L21:L23"/>
    <mergeCell ref="A22:C22"/>
    <mergeCell ref="A23:C23"/>
  </mergeCells>
  <phoneticPr fontId="3" type="noConversion"/>
  <pageMargins left="0.7" right="0.7" top="0.75" bottom="0.75" header="0.3" footer="0.3"/>
  <pageSetup paperSize="9" scale="61" fitToHeight="0" orientation="landscape" r:id="rId1"/>
  <ignoredErrors>
    <ignoredError sqref="H9:I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1"/>
  <sheetViews>
    <sheetView zoomScale="70" zoomScaleNormal="70" workbookViewId="0">
      <pane ySplit="4" topLeftCell="A5" activePane="bottomLeft" state="frozen"/>
      <selection activeCell="G59" sqref="G59"/>
      <selection pane="bottomLeft" activeCell="G59" sqref="G59"/>
    </sheetView>
  </sheetViews>
  <sheetFormatPr defaultRowHeight="16.5" x14ac:dyDescent="0.3"/>
  <cols>
    <col min="1" max="1" width="25.625" customWidth="1"/>
    <col min="2" max="2" width="20.625" customWidth="1"/>
    <col min="3" max="4" width="8.625" customWidth="1"/>
    <col min="5" max="5" width="15.625" customWidth="1"/>
    <col min="6" max="6" width="11.625" customWidth="1"/>
    <col min="7" max="7" width="17.625" customWidth="1"/>
    <col min="8" max="8" width="11.625" customWidth="1"/>
    <col min="9" max="9" width="17.625" customWidth="1"/>
    <col min="10" max="10" width="11.625" customWidth="1"/>
    <col min="11" max="11" width="17.625" customWidth="1"/>
    <col min="12" max="12" width="11.625" customWidth="1"/>
    <col min="13" max="13" width="17.625" customWidth="1"/>
  </cols>
  <sheetData>
    <row r="1" spans="1:13" ht="37.5" x14ac:dyDescent="0.3">
      <c r="A1" s="290" t="s">
        <v>573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</row>
    <row r="2" spans="1:13" ht="17.25" x14ac:dyDescent="0.3">
      <c r="A2" s="88" t="str">
        <f>'용역청구서 표지'!$B$7</f>
        <v>P4 Ph4 GAS 1공구 마감공사</v>
      </c>
      <c r="M2" s="39" t="s">
        <v>164</v>
      </c>
    </row>
    <row r="3" spans="1:13" ht="27.95" customHeight="1" x14ac:dyDescent="0.3">
      <c r="A3" s="291" t="s">
        <v>165</v>
      </c>
      <c r="B3" s="291" t="s">
        <v>166</v>
      </c>
      <c r="C3" s="291" t="s">
        <v>167</v>
      </c>
      <c r="D3" s="292" t="s">
        <v>168</v>
      </c>
      <c r="E3" s="291" t="s">
        <v>169</v>
      </c>
      <c r="F3" s="291" t="s">
        <v>170</v>
      </c>
      <c r="G3" s="291"/>
      <c r="H3" s="291" t="s">
        <v>171</v>
      </c>
      <c r="I3" s="291"/>
      <c r="J3" s="291" t="s">
        <v>172</v>
      </c>
      <c r="K3" s="291"/>
      <c r="L3" s="291" t="s">
        <v>173</v>
      </c>
      <c r="M3" s="291"/>
    </row>
    <row r="4" spans="1:13" ht="27.95" customHeight="1" x14ac:dyDescent="0.3">
      <c r="A4" s="291"/>
      <c r="B4" s="291"/>
      <c r="C4" s="291"/>
      <c r="D4" s="292"/>
      <c r="E4" s="291"/>
      <c r="F4" s="89" t="s">
        <v>174</v>
      </c>
      <c r="G4" s="89" t="s">
        <v>175</v>
      </c>
      <c r="H4" s="89" t="s">
        <v>174</v>
      </c>
      <c r="I4" s="89" t="s">
        <v>175</v>
      </c>
      <c r="J4" s="89" t="s">
        <v>174</v>
      </c>
      <c r="K4" s="89" t="s">
        <v>176</v>
      </c>
      <c r="L4" s="89" t="s">
        <v>174</v>
      </c>
      <c r="M4" s="89" t="s">
        <v>176</v>
      </c>
    </row>
    <row r="5" spans="1:13" ht="27.95" hidden="1" customHeight="1" x14ac:dyDescent="0.3">
      <c r="A5" s="90" t="s">
        <v>177</v>
      </c>
      <c r="B5" s="52" t="s">
        <v>178</v>
      </c>
      <c r="C5" s="52" t="s">
        <v>179</v>
      </c>
      <c r="D5" s="91">
        <v>0</v>
      </c>
      <c r="E5" s="92">
        <v>435000</v>
      </c>
      <c r="F5" s="95">
        <f>L5</f>
        <v>0</v>
      </c>
      <c r="G5" s="93">
        <f>M5</f>
        <v>0</v>
      </c>
      <c r="H5" s="95"/>
      <c r="I5" s="92">
        <f>E5*H5</f>
        <v>0</v>
      </c>
      <c r="J5" s="95">
        <f>$D5*'DIA-INCH'!$C5</f>
        <v>0</v>
      </c>
      <c r="K5" s="93">
        <f>$E5*$J5</f>
        <v>0</v>
      </c>
      <c r="L5" s="95">
        <f>H5+J5</f>
        <v>0</v>
      </c>
      <c r="M5" s="93">
        <f>I5+K5</f>
        <v>0</v>
      </c>
    </row>
    <row r="6" spans="1:13" ht="27.95" hidden="1" customHeight="1" x14ac:dyDescent="0.3">
      <c r="A6" s="90" t="s">
        <v>180</v>
      </c>
      <c r="B6" s="52" t="s">
        <v>181</v>
      </c>
      <c r="C6" s="52" t="s">
        <v>182</v>
      </c>
      <c r="D6" s="91">
        <v>0</v>
      </c>
      <c r="E6" s="92">
        <v>435000</v>
      </c>
      <c r="F6" s="95">
        <f t="shared" ref="F6:G50" si="0">L6</f>
        <v>0</v>
      </c>
      <c r="G6" s="93">
        <f t="shared" si="0"/>
        <v>0</v>
      </c>
      <c r="H6" s="95"/>
      <c r="I6" s="92">
        <f t="shared" ref="I6:I50" si="1">E6*H6</f>
        <v>0</v>
      </c>
      <c r="J6" s="95">
        <f>$D6*'DIA-INCH'!$C6</f>
        <v>0</v>
      </c>
      <c r="K6" s="93">
        <f t="shared" ref="K6:K27" si="2">$E6*$J6</f>
        <v>0</v>
      </c>
      <c r="L6" s="95">
        <f t="shared" ref="L6:M50" si="3">H6+J6</f>
        <v>0</v>
      </c>
      <c r="M6" s="93">
        <f t="shared" si="3"/>
        <v>0</v>
      </c>
    </row>
    <row r="7" spans="1:13" ht="27.95" hidden="1" customHeight="1" x14ac:dyDescent="0.3">
      <c r="A7" s="90" t="s">
        <v>177</v>
      </c>
      <c r="B7" s="52" t="s">
        <v>183</v>
      </c>
      <c r="C7" s="52" t="s">
        <v>179</v>
      </c>
      <c r="D7" s="91">
        <v>0</v>
      </c>
      <c r="E7" s="92">
        <v>435000</v>
      </c>
      <c r="F7" s="95">
        <f t="shared" si="0"/>
        <v>0</v>
      </c>
      <c r="G7" s="93">
        <f t="shared" si="0"/>
        <v>0</v>
      </c>
      <c r="H7" s="95"/>
      <c r="I7" s="92">
        <f t="shared" si="1"/>
        <v>0</v>
      </c>
      <c r="J7" s="95">
        <f>$D7*'DIA-INCH'!$C7</f>
        <v>0</v>
      </c>
      <c r="K7" s="93">
        <f t="shared" si="2"/>
        <v>0</v>
      </c>
      <c r="L7" s="95">
        <f t="shared" si="3"/>
        <v>0</v>
      </c>
      <c r="M7" s="93">
        <f t="shared" si="3"/>
        <v>0</v>
      </c>
    </row>
    <row r="8" spans="1:13" ht="27.95" customHeight="1" x14ac:dyDescent="0.3">
      <c r="A8" s="90" t="s">
        <v>177</v>
      </c>
      <c r="B8" s="52" t="s">
        <v>184</v>
      </c>
      <c r="C8" s="52" t="s">
        <v>179</v>
      </c>
      <c r="D8" s="91">
        <v>81</v>
      </c>
      <c r="E8" s="92">
        <v>435000</v>
      </c>
      <c r="F8" s="95">
        <f>L8</f>
        <v>137</v>
      </c>
      <c r="G8" s="93">
        <f t="shared" si="0"/>
        <v>59595000</v>
      </c>
      <c r="H8" s="95">
        <v>56</v>
      </c>
      <c r="I8" s="92">
        <f t="shared" si="1"/>
        <v>24360000</v>
      </c>
      <c r="J8" s="95">
        <f>$D8*'DIA-INCH'!$C8</f>
        <v>81</v>
      </c>
      <c r="K8" s="93">
        <f t="shared" si="2"/>
        <v>35235000</v>
      </c>
      <c r="L8" s="95">
        <f>H8+J8</f>
        <v>137</v>
      </c>
      <c r="M8" s="93">
        <f t="shared" si="3"/>
        <v>59595000</v>
      </c>
    </row>
    <row r="9" spans="1:13" ht="27.95" hidden="1" customHeight="1" x14ac:dyDescent="0.3">
      <c r="A9" s="90" t="s">
        <v>177</v>
      </c>
      <c r="B9" s="52" t="s">
        <v>185</v>
      </c>
      <c r="C9" s="52" t="s">
        <v>179</v>
      </c>
      <c r="D9" s="91"/>
      <c r="E9" s="92">
        <v>435000</v>
      </c>
      <c r="F9" s="95">
        <f t="shared" si="0"/>
        <v>0</v>
      </c>
      <c r="G9" s="93">
        <f t="shared" si="0"/>
        <v>0</v>
      </c>
      <c r="H9" s="95"/>
      <c r="I9" s="92">
        <f t="shared" si="1"/>
        <v>0</v>
      </c>
      <c r="J9" s="95">
        <f>$D9*'DIA-INCH'!$C9</f>
        <v>0</v>
      </c>
      <c r="K9" s="93">
        <f t="shared" si="2"/>
        <v>0</v>
      </c>
      <c r="L9" s="95">
        <f t="shared" si="3"/>
        <v>0</v>
      </c>
      <c r="M9" s="93">
        <f t="shared" si="3"/>
        <v>0</v>
      </c>
    </row>
    <row r="10" spans="1:13" ht="27.95" customHeight="1" x14ac:dyDescent="0.3">
      <c r="A10" s="90" t="s">
        <v>177</v>
      </c>
      <c r="B10" s="52" t="s">
        <v>186</v>
      </c>
      <c r="C10" s="52" t="s">
        <v>182</v>
      </c>
      <c r="D10" s="91">
        <v>27</v>
      </c>
      <c r="E10" s="92">
        <v>435000</v>
      </c>
      <c r="F10" s="95">
        <f t="shared" si="0"/>
        <v>141</v>
      </c>
      <c r="G10" s="93">
        <f t="shared" si="0"/>
        <v>61335000</v>
      </c>
      <c r="H10" s="95">
        <v>100.5</v>
      </c>
      <c r="I10" s="92">
        <f t="shared" si="1"/>
        <v>43717500</v>
      </c>
      <c r="J10" s="95">
        <f>$D10*'DIA-INCH'!$C10</f>
        <v>40.5</v>
      </c>
      <c r="K10" s="93">
        <f t="shared" si="2"/>
        <v>17617500</v>
      </c>
      <c r="L10" s="95">
        <f t="shared" si="3"/>
        <v>141</v>
      </c>
      <c r="M10" s="93">
        <f t="shared" si="3"/>
        <v>61335000</v>
      </c>
    </row>
    <row r="11" spans="1:13" ht="27.95" customHeight="1" x14ac:dyDescent="0.3">
      <c r="A11" s="90" t="s">
        <v>177</v>
      </c>
      <c r="B11" s="52" t="s">
        <v>187</v>
      </c>
      <c r="C11" s="52" t="s">
        <v>182</v>
      </c>
      <c r="D11" s="91">
        <v>3</v>
      </c>
      <c r="E11" s="92">
        <v>435000</v>
      </c>
      <c r="F11" s="95">
        <f t="shared" si="0"/>
        <v>276</v>
      </c>
      <c r="G11" s="93">
        <f>M11</f>
        <v>120060000</v>
      </c>
      <c r="H11" s="95">
        <v>270</v>
      </c>
      <c r="I11" s="92">
        <f t="shared" si="1"/>
        <v>117450000</v>
      </c>
      <c r="J11" s="95">
        <f>$D11*'DIA-INCH'!$C11</f>
        <v>6</v>
      </c>
      <c r="K11" s="93">
        <f>$E11*$J11</f>
        <v>2610000</v>
      </c>
      <c r="L11" s="95">
        <f t="shared" si="3"/>
        <v>276</v>
      </c>
      <c r="M11" s="93">
        <f>I11+K11</f>
        <v>120060000</v>
      </c>
    </row>
    <row r="12" spans="1:13" ht="27.95" customHeight="1" x14ac:dyDescent="0.3">
      <c r="A12" s="90" t="s">
        <v>180</v>
      </c>
      <c r="B12" s="52" t="s">
        <v>188</v>
      </c>
      <c r="C12" s="52" t="s">
        <v>179</v>
      </c>
      <c r="D12" s="91">
        <v>50</v>
      </c>
      <c r="E12" s="92">
        <v>435000</v>
      </c>
      <c r="F12" s="95">
        <f t="shared" si="0"/>
        <v>385</v>
      </c>
      <c r="G12" s="93">
        <f t="shared" si="0"/>
        <v>167475000</v>
      </c>
      <c r="H12" s="95">
        <v>260</v>
      </c>
      <c r="I12" s="92">
        <f t="shared" si="1"/>
        <v>113100000</v>
      </c>
      <c r="J12" s="95">
        <f>$D12*'DIA-INCH'!$C12</f>
        <v>125</v>
      </c>
      <c r="K12" s="93">
        <f t="shared" si="2"/>
        <v>54375000</v>
      </c>
      <c r="L12" s="95">
        <f t="shared" si="3"/>
        <v>385</v>
      </c>
      <c r="M12" s="93">
        <f t="shared" si="3"/>
        <v>167475000</v>
      </c>
    </row>
    <row r="13" spans="1:13" ht="27.95" customHeight="1" x14ac:dyDescent="0.3">
      <c r="A13" s="90" t="s">
        <v>177</v>
      </c>
      <c r="B13" s="52" t="s">
        <v>189</v>
      </c>
      <c r="C13" s="52" t="s">
        <v>179</v>
      </c>
      <c r="D13" s="91">
        <v>13</v>
      </c>
      <c r="E13" s="92">
        <v>435000</v>
      </c>
      <c r="F13" s="95">
        <f t="shared" si="0"/>
        <v>75</v>
      </c>
      <c r="G13" s="93">
        <f t="shared" si="0"/>
        <v>32625000</v>
      </c>
      <c r="H13" s="95">
        <v>36</v>
      </c>
      <c r="I13" s="92">
        <f t="shared" si="1"/>
        <v>15660000</v>
      </c>
      <c r="J13" s="95">
        <f>$D13*'DIA-INCH'!$C13</f>
        <v>39</v>
      </c>
      <c r="K13" s="93">
        <f t="shared" si="2"/>
        <v>16965000</v>
      </c>
      <c r="L13" s="95">
        <f t="shared" si="3"/>
        <v>75</v>
      </c>
      <c r="M13" s="93">
        <f t="shared" si="3"/>
        <v>32625000</v>
      </c>
    </row>
    <row r="14" spans="1:13" ht="27.95" customHeight="1" x14ac:dyDescent="0.3">
      <c r="A14" s="90" t="s">
        <v>190</v>
      </c>
      <c r="B14" s="52" t="s">
        <v>191</v>
      </c>
      <c r="C14" s="52" t="s">
        <v>179</v>
      </c>
      <c r="D14" s="91">
        <v>23</v>
      </c>
      <c r="E14" s="92">
        <v>435000</v>
      </c>
      <c r="F14" s="95">
        <f t="shared" si="0"/>
        <v>424</v>
      </c>
      <c r="G14" s="93">
        <f t="shared" si="0"/>
        <v>184440000</v>
      </c>
      <c r="H14" s="95">
        <v>332</v>
      </c>
      <c r="I14" s="92">
        <f t="shared" si="1"/>
        <v>144420000</v>
      </c>
      <c r="J14" s="95">
        <f>$D14*'DIA-INCH'!$C14</f>
        <v>92</v>
      </c>
      <c r="K14" s="93">
        <f t="shared" si="2"/>
        <v>40020000</v>
      </c>
      <c r="L14" s="95">
        <f t="shared" si="3"/>
        <v>424</v>
      </c>
      <c r="M14" s="93">
        <f t="shared" si="3"/>
        <v>184440000</v>
      </c>
    </row>
    <row r="15" spans="1:13" ht="27.95" hidden="1" customHeight="1" x14ac:dyDescent="0.3">
      <c r="A15" s="90" t="s">
        <v>177</v>
      </c>
      <c r="B15" s="52" t="s">
        <v>192</v>
      </c>
      <c r="C15" s="52" t="s">
        <v>182</v>
      </c>
      <c r="D15" s="91"/>
      <c r="E15" s="92">
        <v>435000</v>
      </c>
      <c r="F15" s="95">
        <f t="shared" si="0"/>
        <v>0</v>
      </c>
      <c r="G15" s="93">
        <f t="shared" si="0"/>
        <v>0</v>
      </c>
      <c r="H15" s="95"/>
      <c r="I15" s="92">
        <f t="shared" si="1"/>
        <v>0</v>
      </c>
      <c r="J15" s="95">
        <f>$D15*'DIA-INCH'!$C15</f>
        <v>0</v>
      </c>
      <c r="K15" s="93">
        <f t="shared" si="2"/>
        <v>0</v>
      </c>
      <c r="L15" s="95">
        <f t="shared" si="3"/>
        <v>0</v>
      </c>
      <c r="M15" s="93">
        <f t="shared" si="3"/>
        <v>0</v>
      </c>
    </row>
    <row r="16" spans="1:13" ht="27.95" customHeight="1" x14ac:dyDescent="0.3">
      <c r="A16" s="90" t="s">
        <v>180</v>
      </c>
      <c r="B16" s="52" t="s">
        <v>193</v>
      </c>
      <c r="C16" s="52" t="s">
        <v>179</v>
      </c>
      <c r="D16" s="91">
        <v>77</v>
      </c>
      <c r="E16" s="92">
        <v>435000</v>
      </c>
      <c r="F16" s="95">
        <f t="shared" si="0"/>
        <v>715</v>
      </c>
      <c r="G16" s="93">
        <f t="shared" si="0"/>
        <v>311025000</v>
      </c>
      <c r="H16" s="95">
        <v>330</v>
      </c>
      <c r="I16" s="92">
        <f t="shared" si="1"/>
        <v>143550000</v>
      </c>
      <c r="J16" s="95">
        <f>$D16*'DIA-INCH'!$C16</f>
        <v>385</v>
      </c>
      <c r="K16" s="93">
        <f t="shared" si="2"/>
        <v>167475000</v>
      </c>
      <c r="L16" s="95">
        <f t="shared" si="3"/>
        <v>715</v>
      </c>
      <c r="M16" s="93">
        <f t="shared" si="3"/>
        <v>311025000</v>
      </c>
    </row>
    <row r="17" spans="1:13" ht="27.95" customHeight="1" x14ac:dyDescent="0.3">
      <c r="A17" s="90" t="s">
        <v>180</v>
      </c>
      <c r="B17" s="52" t="s">
        <v>194</v>
      </c>
      <c r="C17" s="52" t="s">
        <v>179</v>
      </c>
      <c r="D17" s="91">
        <v>3</v>
      </c>
      <c r="E17" s="92">
        <v>435000</v>
      </c>
      <c r="F17" s="95">
        <f t="shared" si="0"/>
        <v>30</v>
      </c>
      <c r="G17" s="93">
        <f t="shared" si="0"/>
        <v>13050000</v>
      </c>
      <c r="H17" s="95">
        <v>12</v>
      </c>
      <c r="I17" s="92">
        <f t="shared" si="1"/>
        <v>5220000</v>
      </c>
      <c r="J17" s="95">
        <f>$D17*'DIA-INCH'!$C17</f>
        <v>18</v>
      </c>
      <c r="K17" s="93">
        <f t="shared" si="2"/>
        <v>7830000</v>
      </c>
      <c r="L17" s="95">
        <f t="shared" si="3"/>
        <v>30</v>
      </c>
      <c r="M17" s="93">
        <f t="shared" si="3"/>
        <v>13050000</v>
      </c>
    </row>
    <row r="18" spans="1:13" ht="27.95" hidden="1" customHeight="1" x14ac:dyDescent="0.3">
      <c r="A18" s="90" t="s">
        <v>180</v>
      </c>
      <c r="B18" s="52" t="s">
        <v>195</v>
      </c>
      <c r="C18" s="52" t="s">
        <v>179</v>
      </c>
      <c r="D18" s="91"/>
      <c r="E18" s="92">
        <v>435000</v>
      </c>
      <c r="F18" s="95">
        <f t="shared" si="0"/>
        <v>0</v>
      </c>
      <c r="G18" s="93">
        <f t="shared" si="0"/>
        <v>0</v>
      </c>
      <c r="H18" s="95"/>
      <c r="I18" s="92">
        <f t="shared" si="1"/>
        <v>0</v>
      </c>
      <c r="J18" s="95">
        <f>$D18*'DIA-INCH'!$C18</f>
        <v>0</v>
      </c>
      <c r="K18" s="93">
        <f t="shared" si="2"/>
        <v>0</v>
      </c>
      <c r="L18" s="95">
        <f t="shared" si="3"/>
        <v>0</v>
      </c>
      <c r="M18" s="93">
        <f t="shared" si="3"/>
        <v>0</v>
      </c>
    </row>
    <row r="19" spans="1:13" ht="27.95" customHeight="1" x14ac:dyDescent="0.3">
      <c r="A19" s="90" t="s">
        <v>180</v>
      </c>
      <c r="B19" s="52" t="s">
        <v>196</v>
      </c>
      <c r="C19" s="52" t="s">
        <v>179</v>
      </c>
      <c r="D19" s="91">
        <v>3</v>
      </c>
      <c r="E19" s="92">
        <v>435000</v>
      </c>
      <c r="F19" s="95">
        <f t="shared" si="0"/>
        <v>24</v>
      </c>
      <c r="G19" s="93">
        <f t="shared" si="0"/>
        <v>10440000</v>
      </c>
      <c r="H19" s="95"/>
      <c r="I19" s="92">
        <f t="shared" si="1"/>
        <v>0</v>
      </c>
      <c r="J19" s="95">
        <f>$D19*'DIA-INCH'!$C19</f>
        <v>24</v>
      </c>
      <c r="K19" s="93">
        <f t="shared" si="2"/>
        <v>10440000</v>
      </c>
      <c r="L19" s="95">
        <f t="shared" si="3"/>
        <v>24</v>
      </c>
      <c r="M19" s="93">
        <f t="shared" si="3"/>
        <v>10440000</v>
      </c>
    </row>
    <row r="20" spans="1:13" ht="27.95" hidden="1" customHeight="1" x14ac:dyDescent="0.3">
      <c r="A20" s="90" t="s">
        <v>177</v>
      </c>
      <c r="B20" s="52" t="s">
        <v>197</v>
      </c>
      <c r="C20" s="52" t="s">
        <v>182</v>
      </c>
      <c r="D20" s="91"/>
      <c r="E20" s="92">
        <v>435000</v>
      </c>
      <c r="F20" s="95">
        <f t="shared" si="0"/>
        <v>0</v>
      </c>
      <c r="G20" s="93">
        <f t="shared" si="0"/>
        <v>0</v>
      </c>
      <c r="H20" s="95"/>
      <c r="I20" s="92">
        <f t="shared" si="1"/>
        <v>0</v>
      </c>
      <c r="J20" s="95">
        <f>$D20*'DIA-INCH'!$C20</f>
        <v>0</v>
      </c>
      <c r="K20" s="93">
        <f t="shared" si="2"/>
        <v>0</v>
      </c>
      <c r="L20" s="95">
        <f t="shared" si="3"/>
        <v>0</v>
      </c>
      <c r="M20" s="93">
        <f t="shared" si="3"/>
        <v>0</v>
      </c>
    </row>
    <row r="21" spans="1:13" ht="27.95" hidden="1" customHeight="1" x14ac:dyDescent="0.3">
      <c r="A21" s="90" t="s">
        <v>177</v>
      </c>
      <c r="B21" s="52" t="s">
        <v>198</v>
      </c>
      <c r="C21" s="52" t="s">
        <v>199</v>
      </c>
      <c r="D21" s="91"/>
      <c r="E21" s="92">
        <v>435000</v>
      </c>
      <c r="F21" s="95">
        <f t="shared" si="0"/>
        <v>0</v>
      </c>
      <c r="G21" s="93">
        <f t="shared" si="0"/>
        <v>0</v>
      </c>
      <c r="H21" s="95"/>
      <c r="I21" s="92">
        <f t="shared" si="1"/>
        <v>0</v>
      </c>
      <c r="J21" s="95">
        <f>$D21*'DIA-INCH'!$C21</f>
        <v>0</v>
      </c>
      <c r="K21" s="93">
        <f t="shared" si="2"/>
        <v>0</v>
      </c>
      <c r="L21" s="95">
        <f t="shared" si="3"/>
        <v>0</v>
      </c>
      <c r="M21" s="93">
        <f t="shared" si="3"/>
        <v>0</v>
      </c>
    </row>
    <row r="22" spans="1:13" ht="27.95" hidden="1" customHeight="1" x14ac:dyDescent="0.3">
      <c r="A22" s="90" t="s">
        <v>180</v>
      </c>
      <c r="B22" s="52" t="s">
        <v>200</v>
      </c>
      <c r="C22" s="52" t="s">
        <v>201</v>
      </c>
      <c r="D22" s="91"/>
      <c r="E22" s="92">
        <v>435000</v>
      </c>
      <c r="F22" s="95">
        <f t="shared" si="0"/>
        <v>0</v>
      </c>
      <c r="G22" s="93">
        <f t="shared" si="0"/>
        <v>0</v>
      </c>
      <c r="H22" s="95"/>
      <c r="I22" s="92">
        <f t="shared" si="1"/>
        <v>0</v>
      </c>
      <c r="J22" s="95">
        <f>$D22*'DIA-INCH'!$C22</f>
        <v>0</v>
      </c>
      <c r="K22" s="93">
        <f t="shared" si="2"/>
        <v>0</v>
      </c>
      <c r="L22" s="95">
        <f t="shared" si="3"/>
        <v>0</v>
      </c>
      <c r="M22" s="93">
        <f t="shared" si="3"/>
        <v>0</v>
      </c>
    </row>
    <row r="23" spans="1:13" ht="27.95" hidden="1" customHeight="1" x14ac:dyDescent="0.3">
      <c r="A23" s="90" t="s">
        <v>202</v>
      </c>
      <c r="B23" s="52" t="s">
        <v>203</v>
      </c>
      <c r="C23" s="52" t="s">
        <v>179</v>
      </c>
      <c r="D23" s="91"/>
      <c r="E23" s="92">
        <v>435000</v>
      </c>
      <c r="F23" s="95">
        <f t="shared" si="0"/>
        <v>0</v>
      </c>
      <c r="G23" s="93">
        <f t="shared" si="0"/>
        <v>0</v>
      </c>
      <c r="H23" s="95"/>
      <c r="I23" s="92">
        <f t="shared" si="1"/>
        <v>0</v>
      </c>
      <c r="J23" s="95">
        <f>$D23*'DIA-INCH'!$C23</f>
        <v>0</v>
      </c>
      <c r="K23" s="93">
        <f t="shared" si="2"/>
        <v>0</v>
      </c>
      <c r="L23" s="95">
        <f t="shared" si="3"/>
        <v>0</v>
      </c>
      <c r="M23" s="93">
        <f t="shared" si="3"/>
        <v>0</v>
      </c>
    </row>
    <row r="24" spans="1:13" ht="27.95" hidden="1" customHeight="1" x14ac:dyDescent="0.3">
      <c r="A24" s="90" t="s">
        <v>177</v>
      </c>
      <c r="B24" s="52" t="s">
        <v>204</v>
      </c>
      <c r="C24" s="52" t="s">
        <v>182</v>
      </c>
      <c r="D24" s="91"/>
      <c r="E24" s="92">
        <v>435000</v>
      </c>
      <c r="F24" s="95">
        <f t="shared" si="0"/>
        <v>0</v>
      </c>
      <c r="G24" s="93">
        <f t="shared" si="0"/>
        <v>0</v>
      </c>
      <c r="H24" s="95"/>
      <c r="I24" s="92">
        <f t="shared" si="1"/>
        <v>0</v>
      </c>
      <c r="J24" s="95">
        <f>$D24*'DIA-INCH'!$C24</f>
        <v>0</v>
      </c>
      <c r="K24" s="93">
        <f t="shared" si="2"/>
        <v>0</v>
      </c>
      <c r="L24" s="95">
        <f t="shared" si="3"/>
        <v>0</v>
      </c>
      <c r="M24" s="93">
        <f t="shared" si="3"/>
        <v>0</v>
      </c>
    </row>
    <row r="25" spans="1:13" ht="27.95" hidden="1" customHeight="1" x14ac:dyDescent="0.3">
      <c r="A25" s="90" t="s">
        <v>190</v>
      </c>
      <c r="B25" s="52" t="s">
        <v>205</v>
      </c>
      <c r="C25" s="52" t="s">
        <v>206</v>
      </c>
      <c r="D25" s="91"/>
      <c r="E25" s="92">
        <v>435000</v>
      </c>
      <c r="F25" s="95">
        <f t="shared" si="0"/>
        <v>0</v>
      </c>
      <c r="G25" s="93">
        <f t="shared" si="0"/>
        <v>0</v>
      </c>
      <c r="H25" s="95"/>
      <c r="I25" s="92">
        <f t="shared" si="1"/>
        <v>0</v>
      </c>
      <c r="J25" s="95">
        <f>$D25*'DIA-INCH'!$C25</f>
        <v>0</v>
      </c>
      <c r="K25" s="93">
        <f t="shared" si="2"/>
        <v>0</v>
      </c>
      <c r="L25" s="95">
        <f t="shared" si="3"/>
        <v>0</v>
      </c>
      <c r="M25" s="93">
        <f t="shared" si="3"/>
        <v>0</v>
      </c>
    </row>
    <row r="26" spans="1:13" ht="27.95" hidden="1" customHeight="1" x14ac:dyDescent="0.3">
      <c r="A26" s="90" t="s">
        <v>180</v>
      </c>
      <c r="B26" s="52" t="s">
        <v>207</v>
      </c>
      <c r="C26" s="52" t="s">
        <v>179</v>
      </c>
      <c r="D26" s="91"/>
      <c r="E26" s="92">
        <v>435000</v>
      </c>
      <c r="F26" s="95">
        <f t="shared" si="0"/>
        <v>0</v>
      </c>
      <c r="G26" s="93">
        <f t="shared" si="0"/>
        <v>0</v>
      </c>
      <c r="H26" s="95"/>
      <c r="I26" s="92">
        <f t="shared" si="1"/>
        <v>0</v>
      </c>
      <c r="J26" s="95">
        <f>$D26*'DIA-INCH'!$C26</f>
        <v>0</v>
      </c>
      <c r="K26" s="93">
        <f t="shared" si="2"/>
        <v>0</v>
      </c>
      <c r="L26" s="95">
        <f t="shared" si="3"/>
        <v>0</v>
      </c>
      <c r="M26" s="93">
        <f t="shared" si="3"/>
        <v>0</v>
      </c>
    </row>
    <row r="27" spans="1:13" ht="27.95" hidden="1" customHeight="1" x14ac:dyDescent="0.3">
      <c r="A27" s="90" t="s">
        <v>190</v>
      </c>
      <c r="B27" s="52" t="s">
        <v>208</v>
      </c>
      <c r="C27" s="52" t="s">
        <v>179</v>
      </c>
      <c r="D27" s="91"/>
      <c r="E27" s="92">
        <v>435000</v>
      </c>
      <c r="F27" s="95">
        <f t="shared" si="0"/>
        <v>0</v>
      </c>
      <c r="G27" s="93">
        <f t="shared" si="0"/>
        <v>0</v>
      </c>
      <c r="H27" s="95"/>
      <c r="I27" s="92">
        <f t="shared" si="1"/>
        <v>0</v>
      </c>
      <c r="J27" s="95">
        <f>$D27*'DIA-INCH'!$C27</f>
        <v>0</v>
      </c>
      <c r="K27" s="93">
        <f t="shared" si="2"/>
        <v>0</v>
      </c>
      <c r="L27" s="95">
        <f t="shared" si="3"/>
        <v>0</v>
      </c>
      <c r="M27" s="93">
        <f t="shared" si="3"/>
        <v>0</v>
      </c>
    </row>
    <row r="28" spans="1:13" ht="27.95" hidden="1" customHeight="1" x14ac:dyDescent="0.3">
      <c r="A28" s="90" t="s">
        <v>209</v>
      </c>
      <c r="B28" s="52" t="s">
        <v>178</v>
      </c>
      <c r="C28" s="52" t="s">
        <v>210</v>
      </c>
      <c r="D28" s="91"/>
      <c r="E28" s="92">
        <f>$E$31*'DIA-INCH'!$C5</f>
        <v>17125</v>
      </c>
      <c r="F28" s="93">
        <f t="shared" si="0"/>
        <v>0</v>
      </c>
      <c r="G28" s="93">
        <f t="shared" si="0"/>
        <v>0</v>
      </c>
      <c r="H28" s="90"/>
      <c r="I28" s="92">
        <f t="shared" si="1"/>
        <v>0</v>
      </c>
      <c r="J28" s="93">
        <f>D28</f>
        <v>0</v>
      </c>
      <c r="K28" s="93">
        <f>$J28*$E28</f>
        <v>0</v>
      </c>
      <c r="L28" s="93">
        <f t="shared" si="3"/>
        <v>0</v>
      </c>
      <c r="M28" s="93">
        <f t="shared" si="3"/>
        <v>0</v>
      </c>
    </row>
    <row r="29" spans="1:13" ht="27.95" hidden="1" customHeight="1" x14ac:dyDescent="0.3">
      <c r="A29" s="90" t="s">
        <v>211</v>
      </c>
      <c r="B29" s="52" t="s">
        <v>181</v>
      </c>
      <c r="C29" s="52" t="s">
        <v>210</v>
      </c>
      <c r="D29" s="91"/>
      <c r="E29" s="92">
        <f>$E$31*'DIA-INCH'!$C6</f>
        <v>34250</v>
      </c>
      <c r="F29" s="93">
        <f t="shared" si="0"/>
        <v>0</v>
      </c>
      <c r="G29" s="93">
        <f t="shared" si="0"/>
        <v>0</v>
      </c>
      <c r="H29" s="90"/>
      <c r="I29" s="92">
        <f t="shared" si="1"/>
        <v>0</v>
      </c>
      <c r="J29" s="93">
        <f t="shared" ref="J29:J50" si="4">D29</f>
        <v>0</v>
      </c>
      <c r="K29" s="93">
        <f t="shared" ref="K29:K50" si="5">$J29*$E29</f>
        <v>0</v>
      </c>
      <c r="L29" s="93">
        <f t="shared" si="3"/>
        <v>0</v>
      </c>
      <c r="M29" s="93">
        <f t="shared" si="3"/>
        <v>0</v>
      </c>
    </row>
    <row r="30" spans="1:13" ht="27.95" hidden="1" customHeight="1" x14ac:dyDescent="0.3">
      <c r="A30" s="90" t="s">
        <v>212</v>
      </c>
      <c r="B30" s="52" t="s">
        <v>183</v>
      </c>
      <c r="C30" s="52" t="s">
        <v>210</v>
      </c>
      <c r="D30" s="91"/>
      <c r="E30" s="92">
        <f>$E$31*'DIA-INCH'!$C7</f>
        <v>51375</v>
      </c>
      <c r="F30" s="93">
        <f t="shared" si="0"/>
        <v>0</v>
      </c>
      <c r="G30" s="93">
        <f t="shared" si="0"/>
        <v>0</v>
      </c>
      <c r="H30" s="90"/>
      <c r="I30" s="92">
        <f t="shared" si="1"/>
        <v>0</v>
      </c>
      <c r="J30" s="93">
        <f t="shared" si="4"/>
        <v>0</v>
      </c>
      <c r="K30" s="93">
        <f t="shared" si="5"/>
        <v>0</v>
      </c>
      <c r="L30" s="93">
        <f t="shared" si="3"/>
        <v>0</v>
      </c>
      <c r="M30" s="93">
        <f t="shared" si="3"/>
        <v>0</v>
      </c>
    </row>
    <row r="31" spans="1:13" ht="27.95" customHeight="1" x14ac:dyDescent="0.3">
      <c r="A31" s="90" t="s">
        <v>213</v>
      </c>
      <c r="B31" s="52" t="s">
        <v>184</v>
      </c>
      <c r="C31" s="52" t="s">
        <v>214</v>
      </c>
      <c r="D31" s="91">
        <v>3</v>
      </c>
      <c r="E31" s="92">
        <v>68500</v>
      </c>
      <c r="F31" s="93">
        <f t="shared" si="0"/>
        <v>3</v>
      </c>
      <c r="G31" s="93">
        <f t="shared" si="0"/>
        <v>205500</v>
      </c>
      <c r="H31" s="90"/>
      <c r="I31" s="92">
        <f t="shared" si="1"/>
        <v>0</v>
      </c>
      <c r="J31" s="93">
        <f t="shared" si="4"/>
        <v>3</v>
      </c>
      <c r="K31" s="93">
        <f t="shared" si="5"/>
        <v>205500</v>
      </c>
      <c r="L31" s="93">
        <f t="shared" si="3"/>
        <v>3</v>
      </c>
      <c r="M31" s="93">
        <f t="shared" si="3"/>
        <v>205500</v>
      </c>
    </row>
    <row r="32" spans="1:13" ht="27.95" hidden="1" customHeight="1" x14ac:dyDescent="0.3">
      <c r="A32" s="90" t="s">
        <v>213</v>
      </c>
      <c r="B32" s="52" t="s">
        <v>185</v>
      </c>
      <c r="C32" s="52" t="s">
        <v>210</v>
      </c>
      <c r="D32" s="91"/>
      <c r="E32" s="92">
        <f>$E$31*'DIA-INCH'!$C9</f>
        <v>85625</v>
      </c>
      <c r="F32" s="93">
        <f t="shared" si="0"/>
        <v>0</v>
      </c>
      <c r="G32" s="93">
        <f t="shared" si="0"/>
        <v>0</v>
      </c>
      <c r="H32" s="90"/>
      <c r="I32" s="92">
        <f t="shared" si="1"/>
        <v>0</v>
      </c>
      <c r="J32" s="93">
        <f t="shared" si="4"/>
        <v>0</v>
      </c>
      <c r="K32" s="93">
        <f t="shared" si="5"/>
        <v>0</v>
      </c>
      <c r="L32" s="93">
        <f t="shared" si="3"/>
        <v>0</v>
      </c>
      <c r="M32" s="93">
        <f t="shared" si="3"/>
        <v>0</v>
      </c>
    </row>
    <row r="33" spans="1:13" ht="27.95" customHeight="1" x14ac:dyDescent="0.3">
      <c r="A33" s="90" t="s">
        <v>213</v>
      </c>
      <c r="B33" s="52" t="s">
        <v>186</v>
      </c>
      <c r="C33" s="52" t="s">
        <v>123</v>
      </c>
      <c r="D33" s="91">
        <v>9</v>
      </c>
      <c r="E33" s="92">
        <f>$E$31*'DIA-INCH'!$C10</f>
        <v>102750</v>
      </c>
      <c r="F33" s="93">
        <f t="shared" si="0"/>
        <v>9</v>
      </c>
      <c r="G33" s="93">
        <f t="shared" si="0"/>
        <v>924750</v>
      </c>
      <c r="H33" s="90"/>
      <c r="I33" s="92">
        <f t="shared" si="1"/>
        <v>0</v>
      </c>
      <c r="J33" s="93">
        <f t="shared" si="4"/>
        <v>9</v>
      </c>
      <c r="K33" s="93">
        <f t="shared" si="5"/>
        <v>924750</v>
      </c>
      <c r="L33" s="93">
        <f t="shared" si="3"/>
        <v>9</v>
      </c>
      <c r="M33" s="93">
        <f t="shared" si="3"/>
        <v>924750</v>
      </c>
    </row>
    <row r="34" spans="1:13" ht="27.95" customHeight="1" x14ac:dyDescent="0.3">
      <c r="A34" s="90" t="s">
        <v>213</v>
      </c>
      <c r="B34" s="52" t="s">
        <v>187</v>
      </c>
      <c r="C34" s="52" t="s">
        <v>210</v>
      </c>
      <c r="D34" s="91"/>
      <c r="E34" s="92">
        <f>$E$31*'DIA-INCH'!$C11</f>
        <v>137000</v>
      </c>
      <c r="F34" s="93">
        <f>L34</f>
        <v>4</v>
      </c>
      <c r="G34" s="93">
        <f t="shared" si="0"/>
        <v>548000</v>
      </c>
      <c r="H34" s="90">
        <v>4</v>
      </c>
      <c r="I34" s="92">
        <f t="shared" si="1"/>
        <v>548000</v>
      </c>
      <c r="J34" s="93">
        <f t="shared" si="4"/>
        <v>0</v>
      </c>
      <c r="K34" s="93">
        <f t="shared" si="5"/>
        <v>0</v>
      </c>
      <c r="L34" s="93">
        <f t="shared" si="3"/>
        <v>4</v>
      </c>
      <c r="M34" s="93">
        <f t="shared" si="3"/>
        <v>548000</v>
      </c>
    </row>
    <row r="35" spans="1:13" ht="27.95" hidden="1" customHeight="1" x14ac:dyDescent="0.3">
      <c r="A35" s="90" t="s">
        <v>209</v>
      </c>
      <c r="B35" s="52" t="s">
        <v>188</v>
      </c>
      <c r="C35" s="52" t="s">
        <v>123</v>
      </c>
      <c r="D35" s="91"/>
      <c r="E35" s="92">
        <f>$E$31*'DIA-INCH'!$C12</f>
        <v>171250</v>
      </c>
      <c r="F35" s="93">
        <f t="shared" si="0"/>
        <v>0</v>
      </c>
      <c r="G35" s="93">
        <f t="shared" si="0"/>
        <v>0</v>
      </c>
      <c r="H35" s="90"/>
      <c r="I35" s="92">
        <f t="shared" si="1"/>
        <v>0</v>
      </c>
      <c r="J35" s="93">
        <f t="shared" si="4"/>
        <v>0</v>
      </c>
      <c r="K35" s="93">
        <f t="shared" si="5"/>
        <v>0</v>
      </c>
      <c r="L35" s="93">
        <f t="shared" si="3"/>
        <v>0</v>
      </c>
      <c r="M35" s="93">
        <f t="shared" si="3"/>
        <v>0</v>
      </c>
    </row>
    <row r="36" spans="1:13" ht="27.95" customHeight="1" x14ac:dyDescent="0.3">
      <c r="A36" s="90" t="s">
        <v>209</v>
      </c>
      <c r="B36" s="52" t="s">
        <v>189</v>
      </c>
      <c r="C36" s="52" t="s">
        <v>210</v>
      </c>
      <c r="D36" s="91">
        <v>2</v>
      </c>
      <c r="E36" s="92">
        <f>$E$31*'DIA-INCH'!$C13</f>
        <v>205500</v>
      </c>
      <c r="F36" s="93">
        <f t="shared" si="0"/>
        <v>2</v>
      </c>
      <c r="G36" s="93">
        <f t="shared" si="0"/>
        <v>411000</v>
      </c>
      <c r="H36" s="90"/>
      <c r="I36" s="92">
        <f t="shared" si="1"/>
        <v>0</v>
      </c>
      <c r="J36" s="93">
        <f t="shared" si="4"/>
        <v>2</v>
      </c>
      <c r="K36" s="93">
        <f t="shared" si="5"/>
        <v>411000</v>
      </c>
      <c r="L36" s="93">
        <f t="shared" si="3"/>
        <v>2</v>
      </c>
      <c r="M36" s="93">
        <f t="shared" si="3"/>
        <v>411000</v>
      </c>
    </row>
    <row r="37" spans="1:13" ht="27.95" customHeight="1" x14ac:dyDescent="0.3">
      <c r="A37" s="90" t="s">
        <v>211</v>
      </c>
      <c r="B37" s="52" t="s">
        <v>191</v>
      </c>
      <c r="C37" s="52" t="s">
        <v>210</v>
      </c>
      <c r="D37" s="91"/>
      <c r="E37" s="92">
        <f>$E$31*'DIA-INCH'!$C14</f>
        <v>274000</v>
      </c>
      <c r="F37" s="93">
        <f>L37</f>
        <v>10</v>
      </c>
      <c r="G37" s="93">
        <f t="shared" si="0"/>
        <v>2740000</v>
      </c>
      <c r="H37" s="90">
        <v>10</v>
      </c>
      <c r="I37" s="92">
        <f t="shared" si="1"/>
        <v>2740000</v>
      </c>
      <c r="J37" s="93">
        <f t="shared" si="4"/>
        <v>0</v>
      </c>
      <c r="K37" s="93">
        <f t="shared" si="5"/>
        <v>0</v>
      </c>
      <c r="L37" s="93">
        <f t="shared" si="3"/>
        <v>10</v>
      </c>
      <c r="M37" s="93">
        <f t="shared" si="3"/>
        <v>2740000</v>
      </c>
    </row>
    <row r="38" spans="1:13" ht="27.95" hidden="1" customHeight="1" x14ac:dyDescent="0.3">
      <c r="A38" s="90" t="s">
        <v>209</v>
      </c>
      <c r="B38" s="52" t="s">
        <v>192</v>
      </c>
      <c r="C38" s="52" t="s">
        <v>215</v>
      </c>
      <c r="D38" s="91">
        <v>0</v>
      </c>
      <c r="E38" s="92">
        <f>$E$31*'DIA-INCH'!$C15</f>
        <v>274000</v>
      </c>
      <c r="F38" s="93">
        <f t="shared" si="0"/>
        <v>0</v>
      </c>
      <c r="G38" s="93">
        <f t="shared" si="0"/>
        <v>0</v>
      </c>
      <c r="H38" s="90"/>
      <c r="I38" s="92">
        <f t="shared" si="1"/>
        <v>0</v>
      </c>
      <c r="J38" s="93">
        <f t="shared" si="4"/>
        <v>0</v>
      </c>
      <c r="K38" s="93">
        <f t="shared" si="5"/>
        <v>0</v>
      </c>
      <c r="L38" s="93">
        <f t="shared" si="3"/>
        <v>0</v>
      </c>
      <c r="M38" s="93">
        <f t="shared" si="3"/>
        <v>0</v>
      </c>
    </row>
    <row r="39" spans="1:13" ht="27.95" customHeight="1" x14ac:dyDescent="0.3">
      <c r="A39" s="90" t="s">
        <v>209</v>
      </c>
      <c r="B39" s="52" t="s">
        <v>193</v>
      </c>
      <c r="C39" s="52" t="s">
        <v>216</v>
      </c>
      <c r="D39" s="91">
        <v>6</v>
      </c>
      <c r="E39" s="92">
        <f>$E$31*'DIA-INCH'!$C16</f>
        <v>342500</v>
      </c>
      <c r="F39" s="93">
        <f t="shared" si="0"/>
        <v>6</v>
      </c>
      <c r="G39" s="93">
        <f t="shared" si="0"/>
        <v>2055000</v>
      </c>
      <c r="H39" s="90"/>
      <c r="I39" s="92">
        <f t="shared" si="1"/>
        <v>0</v>
      </c>
      <c r="J39" s="93">
        <f t="shared" si="4"/>
        <v>6</v>
      </c>
      <c r="K39" s="93">
        <f t="shared" si="5"/>
        <v>2055000</v>
      </c>
      <c r="L39" s="93">
        <f t="shared" si="3"/>
        <v>6</v>
      </c>
      <c r="M39" s="93">
        <f t="shared" si="3"/>
        <v>2055000</v>
      </c>
    </row>
    <row r="40" spans="1:13" ht="27.95" hidden="1" customHeight="1" x14ac:dyDescent="0.3">
      <c r="A40" s="90" t="s">
        <v>209</v>
      </c>
      <c r="B40" s="52" t="s">
        <v>194</v>
      </c>
      <c r="C40" s="52" t="s">
        <v>210</v>
      </c>
      <c r="D40" s="91">
        <v>0</v>
      </c>
      <c r="E40" s="92">
        <f>$E$31*'DIA-INCH'!$C17</f>
        <v>411000</v>
      </c>
      <c r="F40" s="93">
        <f t="shared" si="0"/>
        <v>0</v>
      </c>
      <c r="G40" s="93">
        <f t="shared" si="0"/>
        <v>0</v>
      </c>
      <c r="H40" s="90"/>
      <c r="I40" s="92">
        <f t="shared" si="1"/>
        <v>0</v>
      </c>
      <c r="J40" s="93">
        <f t="shared" si="4"/>
        <v>0</v>
      </c>
      <c r="K40" s="93">
        <f t="shared" si="5"/>
        <v>0</v>
      </c>
      <c r="L40" s="93">
        <f t="shared" si="3"/>
        <v>0</v>
      </c>
      <c r="M40" s="93">
        <f t="shared" si="3"/>
        <v>0</v>
      </c>
    </row>
    <row r="41" spans="1:13" ht="27.95" hidden="1" customHeight="1" x14ac:dyDescent="0.3">
      <c r="A41" s="90" t="s">
        <v>209</v>
      </c>
      <c r="B41" s="52" t="s">
        <v>195</v>
      </c>
      <c r="C41" s="52" t="s">
        <v>123</v>
      </c>
      <c r="D41" s="91">
        <v>0</v>
      </c>
      <c r="E41" s="92">
        <f>$E$31*'DIA-INCH'!$C18</f>
        <v>479500</v>
      </c>
      <c r="F41" s="93">
        <f t="shared" si="0"/>
        <v>0</v>
      </c>
      <c r="G41" s="93">
        <f t="shared" si="0"/>
        <v>0</v>
      </c>
      <c r="H41" s="90"/>
      <c r="I41" s="92">
        <f t="shared" si="1"/>
        <v>0</v>
      </c>
      <c r="J41" s="93">
        <f t="shared" si="4"/>
        <v>0</v>
      </c>
      <c r="K41" s="93">
        <f t="shared" si="5"/>
        <v>0</v>
      </c>
      <c r="L41" s="93">
        <f t="shared" si="3"/>
        <v>0</v>
      </c>
      <c r="M41" s="93">
        <f t="shared" si="3"/>
        <v>0</v>
      </c>
    </row>
    <row r="42" spans="1:13" ht="27.95" hidden="1" customHeight="1" x14ac:dyDescent="0.3">
      <c r="A42" s="90" t="s">
        <v>209</v>
      </c>
      <c r="B42" s="52" t="s">
        <v>196</v>
      </c>
      <c r="C42" s="52" t="s">
        <v>210</v>
      </c>
      <c r="D42" s="91">
        <v>0</v>
      </c>
      <c r="E42" s="92">
        <f>$E$31*'DIA-INCH'!$C19</f>
        <v>548000</v>
      </c>
      <c r="F42" s="93">
        <f t="shared" si="0"/>
        <v>0</v>
      </c>
      <c r="G42" s="93">
        <f t="shared" si="0"/>
        <v>0</v>
      </c>
      <c r="H42" s="90"/>
      <c r="I42" s="92">
        <f t="shared" si="1"/>
        <v>0</v>
      </c>
      <c r="J42" s="93">
        <f t="shared" si="4"/>
        <v>0</v>
      </c>
      <c r="K42" s="93">
        <f t="shared" si="5"/>
        <v>0</v>
      </c>
      <c r="L42" s="93">
        <f t="shared" si="3"/>
        <v>0</v>
      </c>
      <c r="M42" s="93">
        <f t="shared" si="3"/>
        <v>0</v>
      </c>
    </row>
    <row r="43" spans="1:13" ht="27.95" hidden="1" customHeight="1" x14ac:dyDescent="0.3">
      <c r="A43" s="90" t="s">
        <v>209</v>
      </c>
      <c r="B43" s="52" t="s">
        <v>197</v>
      </c>
      <c r="C43" s="52" t="s">
        <v>210</v>
      </c>
      <c r="D43" s="91">
        <v>0</v>
      </c>
      <c r="E43" s="92">
        <f>$E$31*'DIA-INCH'!$C20</f>
        <v>616500</v>
      </c>
      <c r="F43" s="93">
        <f t="shared" si="0"/>
        <v>0</v>
      </c>
      <c r="G43" s="93">
        <f t="shared" si="0"/>
        <v>0</v>
      </c>
      <c r="H43" s="90"/>
      <c r="I43" s="92">
        <f t="shared" si="1"/>
        <v>0</v>
      </c>
      <c r="J43" s="93">
        <f t="shared" si="4"/>
        <v>0</v>
      </c>
      <c r="K43" s="93">
        <f t="shared" si="5"/>
        <v>0</v>
      </c>
      <c r="L43" s="93">
        <f t="shared" si="3"/>
        <v>0</v>
      </c>
      <c r="M43" s="93">
        <f t="shared" si="3"/>
        <v>0</v>
      </c>
    </row>
    <row r="44" spans="1:13" ht="27.95" hidden="1" customHeight="1" x14ac:dyDescent="0.3">
      <c r="A44" s="90" t="s">
        <v>209</v>
      </c>
      <c r="B44" s="52" t="s">
        <v>198</v>
      </c>
      <c r="C44" s="52" t="s">
        <v>123</v>
      </c>
      <c r="D44" s="91">
        <v>0</v>
      </c>
      <c r="E44" s="92">
        <f>$E$31*'DIA-INCH'!$C21</f>
        <v>685000</v>
      </c>
      <c r="F44" s="93">
        <f t="shared" si="0"/>
        <v>0</v>
      </c>
      <c r="G44" s="93">
        <f t="shared" si="0"/>
        <v>0</v>
      </c>
      <c r="H44" s="90"/>
      <c r="I44" s="92">
        <f t="shared" si="1"/>
        <v>0</v>
      </c>
      <c r="J44" s="93">
        <f t="shared" si="4"/>
        <v>0</v>
      </c>
      <c r="K44" s="93">
        <f t="shared" si="5"/>
        <v>0</v>
      </c>
      <c r="L44" s="93">
        <f t="shared" si="3"/>
        <v>0</v>
      </c>
      <c r="M44" s="93">
        <f t="shared" si="3"/>
        <v>0</v>
      </c>
    </row>
    <row r="45" spans="1:13" ht="27.95" hidden="1" customHeight="1" x14ac:dyDescent="0.3">
      <c r="A45" s="90" t="s">
        <v>211</v>
      </c>
      <c r="B45" s="52" t="s">
        <v>200</v>
      </c>
      <c r="C45" s="52" t="s">
        <v>123</v>
      </c>
      <c r="D45" s="91">
        <v>0</v>
      </c>
      <c r="E45" s="92">
        <f>$E$31*'DIA-INCH'!$C22</f>
        <v>822000</v>
      </c>
      <c r="F45" s="93">
        <f t="shared" si="0"/>
        <v>0</v>
      </c>
      <c r="G45" s="93">
        <f t="shared" si="0"/>
        <v>0</v>
      </c>
      <c r="H45" s="90"/>
      <c r="I45" s="92">
        <f t="shared" si="1"/>
        <v>0</v>
      </c>
      <c r="J45" s="93">
        <f t="shared" si="4"/>
        <v>0</v>
      </c>
      <c r="K45" s="93">
        <f t="shared" si="5"/>
        <v>0</v>
      </c>
      <c r="L45" s="93">
        <f t="shared" si="3"/>
        <v>0</v>
      </c>
      <c r="M45" s="93">
        <f t="shared" si="3"/>
        <v>0</v>
      </c>
    </row>
    <row r="46" spans="1:13" ht="27.95" hidden="1" customHeight="1" x14ac:dyDescent="0.3">
      <c r="A46" s="90" t="s">
        <v>209</v>
      </c>
      <c r="B46" s="52" t="s">
        <v>203</v>
      </c>
      <c r="C46" s="52" t="s">
        <v>210</v>
      </c>
      <c r="D46" s="91">
        <v>0</v>
      </c>
      <c r="E46" s="92">
        <f>$E$31*'DIA-INCH'!$C23</f>
        <v>959000</v>
      </c>
      <c r="F46" s="93">
        <f t="shared" si="0"/>
        <v>0</v>
      </c>
      <c r="G46" s="93">
        <f t="shared" si="0"/>
        <v>0</v>
      </c>
      <c r="H46" s="90"/>
      <c r="I46" s="92">
        <f t="shared" si="1"/>
        <v>0</v>
      </c>
      <c r="J46" s="93">
        <f t="shared" si="4"/>
        <v>0</v>
      </c>
      <c r="K46" s="93">
        <f t="shared" si="5"/>
        <v>0</v>
      </c>
      <c r="L46" s="93">
        <f t="shared" si="3"/>
        <v>0</v>
      </c>
      <c r="M46" s="93">
        <f t="shared" si="3"/>
        <v>0</v>
      </c>
    </row>
    <row r="47" spans="1:13" ht="27.95" hidden="1" customHeight="1" x14ac:dyDescent="0.3">
      <c r="A47" s="90" t="s">
        <v>209</v>
      </c>
      <c r="B47" s="52" t="s">
        <v>204</v>
      </c>
      <c r="C47" s="52" t="s">
        <v>215</v>
      </c>
      <c r="D47" s="91">
        <v>0</v>
      </c>
      <c r="E47" s="92">
        <f>$E$31*'DIA-INCH'!$C24</f>
        <v>1096000</v>
      </c>
      <c r="F47" s="93">
        <f t="shared" si="0"/>
        <v>0</v>
      </c>
      <c r="G47" s="93">
        <f t="shared" si="0"/>
        <v>0</v>
      </c>
      <c r="H47" s="90"/>
      <c r="I47" s="92">
        <f t="shared" si="1"/>
        <v>0</v>
      </c>
      <c r="J47" s="93">
        <f t="shared" si="4"/>
        <v>0</v>
      </c>
      <c r="K47" s="93">
        <f t="shared" si="5"/>
        <v>0</v>
      </c>
      <c r="L47" s="93">
        <f t="shared" si="3"/>
        <v>0</v>
      </c>
      <c r="M47" s="93">
        <f t="shared" si="3"/>
        <v>0</v>
      </c>
    </row>
    <row r="48" spans="1:13" ht="27.95" hidden="1" customHeight="1" x14ac:dyDescent="0.3">
      <c r="A48" s="90" t="s">
        <v>212</v>
      </c>
      <c r="B48" s="52" t="s">
        <v>205</v>
      </c>
      <c r="C48" s="52" t="s">
        <v>210</v>
      </c>
      <c r="D48" s="91">
        <v>0</v>
      </c>
      <c r="E48" s="92">
        <f>$E$31*'DIA-INCH'!$C25</f>
        <v>1233000</v>
      </c>
      <c r="F48" s="93">
        <f t="shared" si="0"/>
        <v>0</v>
      </c>
      <c r="G48" s="93">
        <f t="shared" si="0"/>
        <v>0</v>
      </c>
      <c r="H48" s="90"/>
      <c r="I48" s="92">
        <f t="shared" si="1"/>
        <v>0</v>
      </c>
      <c r="J48" s="93">
        <f t="shared" si="4"/>
        <v>0</v>
      </c>
      <c r="K48" s="93">
        <f t="shared" si="5"/>
        <v>0</v>
      </c>
      <c r="L48" s="93">
        <f t="shared" si="3"/>
        <v>0</v>
      </c>
      <c r="M48" s="93">
        <f t="shared" si="3"/>
        <v>0</v>
      </c>
    </row>
    <row r="49" spans="1:13" ht="27.95" hidden="1" customHeight="1" x14ac:dyDescent="0.3">
      <c r="A49" s="90" t="s">
        <v>209</v>
      </c>
      <c r="B49" s="52" t="s">
        <v>207</v>
      </c>
      <c r="C49" s="52" t="s">
        <v>210</v>
      </c>
      <c r="D49" s="91">
        <v>0</v>
      </c>
      <c r="E49" s="92">
        <f>$E$31*'DIA-INCH'!$C26</f>
        <v>1370000</v>
      </c>
      <c r="F49" s="93">
        <f t="shared" si="0"/>
        <v>0</v>
      </c>
      <c r="G49" s="93">
        <f t="shared" si="0"/>
        <v>0</v>
      </c>
      <c r="H49" s="90"/>
      <c r="I49" s="92">
        <f t="shared" si="1"/>
        <v>0</v>
      </c>
      <c r="J49" s="93">
        <f t="shared" si="4"/>
        <v>0</v>
      </c>
      <c r="K49" s="93">
        <f t="shared" si="5"/>
        <v>0</v>
      </c>
      <c r="L49" s="93">
        <f t="shared" si="3"/>
        <v>0</v>
      </c>
      <c r="M49" s="93">
        <f t="shared" si="3"/>
        <v>0</v>
      </c>
    </row>
    <row r="50" spans="1:13" ht="27.95" hidden="1" customHeight="1" x14ac:dyDescent="0.3">
      <c r="A50" s="90" t="s">
        <v>212</v>
      </c>
      <c r="B50" s="52" t="s">
        <v>208</v>
      </c>
      <c r="C50" s="52" t="s">
        <v>215</v>
      </c>
      <c r="D50" s="91">
        <v>0</v>
      </c>
      <c r="E50" s="92">
        <f>$E$31*'DIA-INCH'!$C27</f>
        <v>1507000</v>
      </c>
      <c r="F50" s="93">
        <f t="shared" si="0"/>
        <v>0</v>
      </c>
      <c r="G50" s="93">
        <f t="shared" si="0"/>
        <v>0</v>
      </c>
      <c r="H50" s="90"/>
      <c r="I50" s="92">
        <f t="shared" si="1"/>
        <v>0</v>
      </c>
      <c r="J50" s="93">
        <f t="shared" si="4"/>
        <v>0</v>
      </c>
      <c r="K50" s="93">
        <f t="shared" si="5"/>
        <v>0</v>
      </c>
      <c r="L50" s="93">
        <f t="shared" si="3"/>
        <v>0</v>
      </c>
      <c r="M50" s="93">
        <f t="shared" si="3"/>
        <v>0</v>
      </c>
    </row>
    <row r="51" spans="1:13" ht="27.95" customHeight="1" x14ac:dyDescent="0.3">
      <c r="A51" s="287" t="s">
        <v>217</v>
      </c>
      <c r="B51" s="288"/>
      <c r="C51" s="288"/>
      <c r="D51" s="288"/>
      <c r="E51" s="289"/>
      <c r="F51" s="136">
        <f>SUM(F5:F50)</f>
        <v>2241</v>
      </c>
      <c r="G51" s="94">
        <f t="shared" ref="G51:M51" si="6">SUM(G5:G50)</f>
        <v>966929250</v>
      </c>
      <c r="H51" s="136">
        <f t="shared" si="6"/>
        <v>1410.5</v>
      </c>
      <c r="I51" s="94">
        <f t="shared" si="6"/>
        <v>610765500</v>
      </c>
      <c r="J51" s="136">
        <f t="shared" si="6"/>
        <v>830.5</v>
      </c>
      <c r="K51" s="94">
        <f t="shared" si="6"/>
        <v>356163750</v>
      </c>
      <c r="L51" s="136">
        <f t="shared" si="6"/>
        <v>2241</v>
      </c>
      <c r="M51" s="94">
        <f t="shared" si="6"/>
        <v>966929250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73"/>
  <sheetViews>
    <sheetView view="pageBreakPreview" zoomScale="55" zoomScaleNormal="70" zoomScaleSheetLayoutView="55" workbookViewId="0">
      <selection activeCell="B6" sqref="B6:B79"/>
    </sheetView>
  </sheetViews>
  <sheetFormatPr defaultRowHeight="16.5" x14ac:dyDescent="0.3"/>
  <cols>
    <col min="1" max="1" width="6.375" style="121" bestFit="1" customWidth="1"/>
    <col min="2" max="2" width="9.25" style="121" customWidth="1"/>
    <col min="3" max="3" width="18.125" style="121" customWidth="1"/>
    <col min="4" max="4" width="11.25" style="121" customWidth="1"/>
    <col min="5" max="5" width="18.125" style="121" customWidth="1"/>
    <col min="6" max="6" width="11.125" style="121" customWidth="1"/>
    <col min="7" max="7" width="9.375" style="125" customWidth="1"/>
    <col min="8" max="8" width="21.625" style="125" customWidth="1"/>
    <col min="9" max="39" width="7.625" style="121" customWidth="1"/>
    <col min="40" max="40" width="11.875" style="121" customWidth="1"/>
    <col min="41" max="41" width="15.875" style="122" bestFit="1" customWidth="1"/>
    <col min="42" max="42" width="18.25" style="124" bestFit="1" customWidth="1"/>
  </cols>
  <sheetData>
    <row r="1" spans="1:42" ht="32.1" customHeight="1" x14ac:dyDescent="0.3">
      <c r="A1" s="299" t="s">
        <v>574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0"/>
      <c r="AC1" s="300"/>
      <c r="AD1" s="300"/>
      <c r="AE1" s="300"/>
      <c r="AF1" s="300"/>
      <c r="AG1" s="301"/>
      <c r="AH1" s="308" t="s">
        <v>218</v>
      </c>
      <c r="AI1" s="309"/>
      <c r="AJ1" s="309"/>
      <c r="AK1" s="309"/>
      <c r="AL1" s="310"/>
      <c r="AM1" s="311" t="str">
        <f>'용역청구서 표지'!$B$7</f>
        <v>P4 Ph4 GAS 1공구 마감공사</v>
      </c>
      <c r="AN1" s="312"/>
      <c r="AO1" s="312"/>
      <c r="AP1" s="313"/>
    </row>
    <row r="2" spans="1:42" ht="32.1" customHeight="1" x14ac:dyDescent="0.3">
      <c r="A2" s="302"/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4"/>
      <c r="AH2" s="308" t="s">
        <v>219</v>
      </c>
      <c r="AI2" s="309"/>
      <c r="AJ2" s="309"/>
      <c r="AK2" s="309"/>
      <c r="AL2" s="310"/>
      <c r="AM2" s="311" t="s">
        <v>324</v>
      </c>
      <c r="AN2" s="312"/>
      <c r="AO2" s="312"/>
      <c r="AP2" s="313"/>
    </row>
    <row r="3" spans="1:42" ht="32.1" customHeight="1" x14ac:dyDescent="0.3">
      <c r="A3" s="305"/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06"/>
      <c r="AB3" s="306"/>
      <c r="AC3" s="306"/>
      <c r="AD3" s="306"/>
      <c r="AE3" s="306"/>
      <c r="AF3" s="306"/>
      <c r="AG3" s="307"/>
      <c r="AH3" s="308" t="s">
        <v>220</v>
      </c>
      <c r="AI3" s="309"/>
      <c r="AJ3" s="309"/>
      <c r="AK3" s="309"/>
      <c r="AL3" s="310"/>
      <c r="AM3" s="311" t="str">
        <f>'용역청구서 표지'!$C$8</f>
        <v>S25-004</v>
      </c>
      <c r="AN3" s="312"/>
      <c r="AO3" s="312"/>
      <c r="AP3" s="313"/>
    </row>
    <row r="4" spans="1:42" ht="24.95" customHeight="1" thickBot="1" x14ac:dyDescent="0.35">
      <c r="A4" s="96"/>
      <c r="B4" s="96"/>
      <c r="C4" s="96"/>
      <c r="D4" s="96"/>
      <c r="E4" s="96"/>
      <c r="F4" s="96"/>
      <c r="G4" s="97"/>
      <c r="H4" s="97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8"/>
      <c r="AI4" s="98"/>
      <c r="AJ4" s="98"/>
      <c r="AK4" s="98"/>
      <c r="AL4" s="98"/>
      <c r="AM4" s="98"/>
      <c r="AN4" s="98"/>
      <c r="AO4" s="99"/>
      <c r="AP4" s="100"/>
    </row>
    <row r="5" spans="1:42" s="199" customFormat="1" ht="24.95" customHeight="1" thickBot="1" x14ac:dyDescent="0.35">
      <c r="A5" s="101" t="s">
        <v>221</v>
      </c>
      <c r="B5" s="102" t="s">
        <v>222</v>
      </c>
      <c r="C5" s="102" t="s">
        <v>223</v>
      </c>
      <c r="D5" s="102" t="s">
        <v>224</v>
      </c>
      <c r="E5" s="102" t="s">
        <v>225</v>
      </c>
      <c r="F5" s="102" t="s">
        <v>226</v>
      </c>
      <c r="G5" s="103" t="s">
        <v>227</v>
      </c>
      <c r="H5" s="104" t="s">
        <v>228</v>
      </c>
      <c r="I5" s="188">
        <v>1</v>
      </c>
      <c r="J5" s="189">
        <v>2</v>
      </c>
      <c r="K5" s="189">
        <v>3</v>
      </c>
      <c r="L5" s="189">
        <v>4</v>
      </c>
      <c r="M5" s="189">
        <v>5</v>
      </c>
      <c r="N5" s="189">
        <v>6</v>
      </c>
      <c r="O5" s="190">
        <v>7</v>
      </c>
      <c r="P5" s="188">
        <v>8</v>
      </c>
      <c r="Q5" s="189">
        <v>9</v>
      </c>
      <c r="R5" s="189">
        <v>10</v>
      </c>
      <c r="S5" s="189">
        <v>11</v>
      </c>
      <c r="T5" s="189">
        <v>12</v>
      </c>
      <c r="U5" s="189">
        <v>13</v>
      </c>
      <c r="V5" s="190">
        <v>14</v>
      </c>
      <c r="W5" s="188">
        <v>15</v>
      </c>
      <c r="X5" s="188">
        <v>16</v>
      </c>
      <c r="Y5" s="188">
        <v>17</v>
      </c>
      <c r="Z5" s="188">
        <v>18</v>
      </c>
      <c r="AA5" s="189">
        <v>19</v>
      </c>
      <c r="AB5" s="189">
        <v>20</v>
      </c>
      <c r="AC5" s="190">
        <v>21</v>
      </c>
      <c r="AD5" s="188">
        <v>22</v>
      </c>
      <c r="AE5" s="189">
        <v>23</v>
      </c>
      <c r="AF5" s="189">
        <v>24</v>
      </c>
      <c r="AG5" s="189">
        <v>25</v>
      </c>
      <c r="AH5" s="189">
        <v>26</v>
      </c>
      <c r="AI5" s="189">
        <v>27</v>
      </c>
      <c r="AJ5" s="190">
        <v>28</v>
      </c>
      <c r="AK5" s="189"/>
      <c r="AL5" s="189"/>
      <c r="AM5" s="189"/>
      <c r="AN5" s="105" t="s">
        <v>229</v>
      </c>
      <c r="AO5" s="102" t="s">
        <v>230</v>
      </c>
      <c r="AP5" s="106" t="s">
        <v>231</v>
      </c>
    </row>
    <row r="6" spans="1:42" s="199" customFormat="1" ht="24.95" customHeight="1" x14ac:dyDescent="0.3">
      <c r="A6" s="220">
        <v>1</v>
      </c>
      <c r="B6" s="144" t="s">
        <v>526</v>
      </c>
      <c r="C6" s="221" t="s">
        <v>575</v>
      </c>
      <c r="D6" s="221" t="s">
        <v>234</v>
      </c>
      <c r="E6" s="144" t="s">
        <v>576</v>
      </c>
      <c r="F6" s="222" t="s">
        <v>236</v>
      </c>
      <c r="G6" s="223" t="s">
        <v>526</v>
      </c>
      <c r="H6" s="224" t="s">
        <v>527</v>
      </c>
      <c r="I6" s="225"/>
      <c r="J6" s="226">
        <v>1.5</v>
      </c>
      <c r="K6" s="226">
        <v>1.5</v>
      </c>
      <c r="L6" s="226">
        <v>1</v>
      </c>
      <c r="M6" s="226">
        <v>1.5</v>
      </c>
      <c r="N6" s="226">
        <v>1.5</v>
      </c>
      <c r="O6" s="226"/>
      <c r="P6" s="226"/>
      <c r="Q6" s="226">
        <v>1.5</v>
      </c>
      <c r="R6" s="226">
        <v>1.5</v>
      </c>
      <c r="S6" s="226">
        <v>1</v>
      </c>
      <c r="T6" s="226">
        <v>1.5</v>
      </c>
      <c r="U6" s="226">
        <v>1.5</v>
      </c>
      <c r="V6" s="226"/>
      <c r="W6" s="226"/>
      <c r="X6" s="226"/>
      <c r="Y6" s="226"/>
      <c r="Z6" s="226"/>
      <c r="AA6" s="226">
        <v>1</v>
      </c>
      <c r="AB6" s="226">
        <v>1</v>
      </c>
      <c r="AC6" s="226">
        <v>1</v>
      </c>
      <c r="AD6" s="226"/>
      <c r="AE6" s="226">
        <v>1.5</v>
      </c>
      <c r="AF6" s="226">
        <v>1.5</v>
      </c>
      <c r="AG6" s="226">
        <v>1</v>
      </c>
      <c r="AH6" s="226">
        <v>1.5</v>
      </c>
      <c r="AI6" s="226">
        <v>1.5</v>
      </c>
      <c r="AJ6" s="226">
        <v>1</v>
      </c>
      <c r="AK6" s="191"/>
      <c r="AL6" s="191"/>
      <c r="AM6" s="192"/>
      <c r="AN6" s="227">
        <f>SUM(I6:AM6)</f>
        <v>25</v>
      </c>
      <c r="AO6" s="218">
        <v>150000</v>
      </c>
      <c r="AP6" s="228">
        <f>AN6*AO6</f>
        <v>3750000</v>
      </c>
    </row>
    <row r="7" spans="1:42" s="199" customFormat="1" ht="24.95" customHeight="1" x14ac:dyDescent="0.3">
      <c r="A7" s="229">
        <f>A6+1</f>
        <v>2</v>
      </c>
      <c r="B7" s="144" t="s">
        <v>528</v>
      </c>
      <c r="C7" s="221" t="s">
        <v>529</v>
      </c>
      <c r="D7" s="221" t="s">
        <v>234</v>
      </c>
      <c r="E7" s="144" t="s">
        <v>530</v>
      </c>
      <c r="F7" s="222" t="s">
        <v>531</v>
      </c>
      <c r="G7" s="223" t="s">
        <v>528</v>
      </c>
      <c r="H7" s="224" t="s">
        <v>532</v>
      </c>
      <c r="I7" s="230"/>
      <c r="J7" s="231">
        <v>1.5</v>
      </c>
      <c r="K7" s="231">
        <v>1.5</v>
      </c>
      <c r="L7" s="231">
        <v>1</v>
      </c>
      <c r="M7" s="231">
        <v>1.5</v>
      </c>
      <c r="N7" s="231">
        <v>1.5</v>
      </c>
      <c r="O7" s="231">
        <v>1</v>
      </c>
      <c r="P7" s="231"/>
      <c r="Q7" s="231"/>
      <c r="R7" s="231">
        <v>1.5</v>
      </c>
      <c r="S7" s="231">
        <v>1</v>
      </c>
      <c r="T7" s="231">
        <v>1.5</v>
      </c>
      <c r="U7" s="231">
        <v>1.5</v>
      </c>
      <c r="V7" s="231"/>
      <c r="W7" s="231"/>
      <c r="X7" s="231"/>
      <c r="Y7" s="231"/>
      <c r="Z7" s="231"/>
      <c r="AA7" s="231"/>
      <c r="AB7" s="231">
        <v>1</v>
      </c>
      <c r="AC7" s="231">
        <v>0.5</v>
      </c>
      <c r="AD7" s="231"/>
      <c r="AE7" s="231">
        <v>1.5</v>
      </c>
      <c r="AF7" s="231">
        <v>1.5</v>
      </c>
      <c r="AG7" s="231">
        <v>0.5</v>
      </c>
      <c r="AH7" s="231">
        <v>1.5</v>
      </c>
      <c r="AI7" s="231">
        <v>1.375</v>
      </c>
      <c r="AJ7" s="231"/>
      <c r="AK7" s="186"/>
      <c r="AL7" s="186"/>
      <c r="AM7" s="193"/>
      <c r="AN7" s="232">
        <f>SUM(I7:AM7)</f>
        <v>21.375</v>
      </c>
      <c r="AO7" s="218">
        <v>150000</v>
      </c>
      <c r="AP7" s="233">
        <f t="shared" ref="AP7:AP14" si="0">AN7*AO7</f>
        <v>3206250</v>
      </c>
    </row>
    <row r="8" spans="1:42" s="199" customFormat="1" ht="24.95" customHeight="1" x14ac:dyDescent="0.3">
      <c r="A8" s="229">
        <f t="shared" ref="A8:A71" si="1">A7+1</f>
        <v>3</v>
      </c>
      <c r="B8" s="144" t="s">
        <v>577</v>
      </c>
      <c r="C8" s="221" t="s">
        <v>578</v>
      </c>
      <c r="D8" s="221" t="s">
        <v>234</v>
      </c>
      <c r="E8" s="144" t="s">
        <v>579</v>
      </c>
      <c r="F8" s="222" t="s">
        <v>351</v>
      </c>
      <c r="G8" s="223" t="s">
        <v>577</v>
      </c>
      <c r="H8" s="224" t="s">
        <v>580</v>
      </c>
      <c r="I8" s="230"/>
      <c r="J8" s="144">
        <v>0.625</v>
      </c>
      <c r="K8" s="231">
        <v>0.375</v>
      </c>
      <c r="L8" s="231">
        <v>0.625</v>
      </c>
      <c r="M8" s="231">
        <v>1.5</v>
      </c>
      <c r="N8" s="231">
        <v>1.25</v>
      </c>
      <c r="O8" s="231"/>
      <c r="P8" s="231"/>
      <c r="Q8" s="231">
        <v>1.5</v>
      </c>
      <c r="R8" s="231">
        <v>1.5</v>
      </c>
      <c r="S8" s="231">
        <v>1.5</v>
      </c>
      <c r="T8" s="231">
        <v>1.5</v>
      </c>
      <c r="U8" s="231">
        <v>1.5</v>
      </c>
      <c r="V8" s="231">
        <v>1</v>
      </c>
      <c r="W8" s="231"/>
      <c r="X8" s="231"/>
      <c r="Y8" s="231"/>
      <c r="Z8" s="231"/>
      <c r="AA8" s="231">
        <v>1</v>
      </c>
      <c r="AB8" s="231">
        <v>1</v>
      </c>
      <c r="AC8" s="231">
        <v>1</v>
      </c>
      <c r="AD8" s="231"/>
      <c r="AE8" s="231">
        <v>1.5</v>
      </c>
      <c r="AF8" s="231">
        <v>1.5</v>
      </c>
      <c r="AG8" s="231">
        <v>1.5</v>
      </c>
      <c r="AH8" s="231">
        <v>1.5</v>
      </c>
      <c r="AI8" s="231">
        <v>1.5</v>
      </c>
      <c r="AJ8" s="231">
        <v>1</v>
      </c>
      <c r="AK8" s="186"/>
      <c r="AL8" s="186"/>
      <c r="AM8" s="193"/>
      <c r="AN8" s="232">
        <f t="shared" ref="AN8:AN71" si="2">SUM(I8:AM8)</f>
        <v>24.375</v>
      </c>
      <c r="AO8" s="218">
        <v>150000</v>
      </c>
      <c r="AP8" s="233">
        <f t="shared" si="0"/>
        <v>3656250</v>
      </c>
    </row>
    <row r="9" spans="1:42" s="199" customFormat="1" ht="24.95" customHeight="1" x14ac:dyDescent="0.3">
      <c r="A9" s="229">
        <f t="shared" si="1"/>
        <v>4</v>
      </c>
      <c r="B9" s="144" t="s">
        <v>581</v>
      </c>
      <c r="C9" s="221" t="s">
        <v>582</v>
      </c>
      <c r="D9" s="221" t="s">
        <v>234</v>
      </c>
      <c r="E9" s="144" t="s">
        <v>583</v>
      </c>
      <c r="F9" s="222" t="s">
        <v>584</v>
      </c>
      <c r="G9" s="223" t="s">
        <v>581</v>
      </c>
      <c r="H9" s="224" t="s">
        <v>585</v>
      </c>
      <c r="I9" s="230"/>
      <c r="J9" s="144">
        <v>0.625</v>
      </c>
      <c r="K9" s="231"/>
      <c r="L9" s="231">
        <v>1</v>
      </c>
      <c r="M9" s="231">
        <v>1.5</v>
      </c>
      <c r="N9" s="231">
        <v>1.25</v>
      </c>
      <c r="O9" s="231"/>
      <c r="P9" s="231"/>
      <c r="Q9" s="231">
        <v>1.5</v>
      </c>
      <c r="R9" s="231">
        <v>1.5</v>
      </c>
      <c r="S9" s="231">
        <v>1.5</v>
      </c>
      <c r="T9" s="231">
        <v>1.5</v>
      </c>
      <c r="U9" s="231">
        <v>1.5</v>
      </c>
      <c r="V9" s="231">
        <v>1</v>
      </c>
      <c r="W9" s="231"/>
      <c r="X9" s="231"/>
      <c r="Y9" s="231"/>
      <c r="Z9" s="231"/>
      <c r="AA9" s="231">
        <v>1</v>
      </c>
      <c r="AB9" s="231">
        <v>1</v>
      </c>
      <c r="AC9" s="231">
        <v>1</v>
      </c>
      <c r="AD9" s="231"/>
      <c r="AE9" s="231">
        <v>1.5</v>
      </c>
      <c r="AF9" s="231">
        <v>1.5</v>
      </c>
      <c r="AG9" s="231">
        <v>1.5</v>
      </c>
      <c r="AH9" s="231">
        <v>1.5</v>
      </c>
      <c r="AI9" s="231">
        <v>1.5</v>
      </c>
      <c r="AJ9" s="231">
        <v>1</v>
      </c>
      <c r="AK9" s="187"/>
      <c r="AL9" s="187"/>
      <c r="AM9" s="152"/>
      <c r="AN9" s="232">
        <f t="shared" si="2"/>
        <v>24.375</v>
      </c>
      <c r="AO9" s="219">
        <v>150000</v>
      </c>
      <c r="AP9" s="233">
        <f t="shared" si="0"/>
        <v>3656250</v>
      </c>
    </row>
    <row r="10" spans="1:42" s="199" customFormat="1" ht="24.95" customHeight="1" x14ac:dyDescent="0.3">
      <c r="A10" s="229">
        <f t="shared" si="1"/>
        <v>5</v>
      </c>
      <c r="B10" s="144" t="s">
        <v>533</v>
      </c>
      <c r="C10" s="221" t="s">
        <v>534</v>
      </c>
      <c r="D10" s="221" t="s">
        <v>234</v>
      </c>
      <c r="E10" s="144" t="s">
        <v>535</v>
      </c>
      <c r="F10" s="222" t="s">
        <v>247</v>
      </c>
      <c r="G10" s="223" t="s">
        <v>533</v>
      </c>
      <c r="H10" s="224" t="s">
        <v>536</v>
      </c>
      <c r="I10" s="230"/>
      <c r="J10" s="231">
        <v>1.5</v>
      </c>
      <c r="K10" s="231">
        <v>1.5</v>
      </c>
      <c r="L10" s="231">
        <v>1.5</v>
      </c>
      <c r="M10" s="231">
        <v>1.5</v>
      </c>
      <c r="N10" s="231">
        <v>1.5</v>
      </c>
      <c r="O10" s="231">
        <v>1</v>
      </c>
      <c r="P10" s="231"/>
      <c r="Q10" s="231">
        <v>1.5</v>
      </c>
      <c r="R10" s="231">
        <v>1.5</v>
      </c>
      <c r="S10" s="231">
        <v>1.5</v>
      </c>
      <c r="T10" s="231">
        <v>1.5</v>
      </c>
      <c r="U10" s="231">
        <v>1.5</v>
      </c>
      <c r="V10" s="231"/>
      <c r="W10" s="231"/>
      <c r="X10" s="231"/>
      <c r="Y10" s="231"/>
      <c r="Z10" s="231"/>
      <c r="AA10" s="231">
        <v>1</v>
      </c>
      <c r="AB10" s="231">
        <v>1</v>
      </c>
      <c r="AC10" s="231">
        <v>0.5</v>
      </c>
      <c r="AD10" s="231"/>
      <c r="AE10" s="231">
        <v>1.5</v>
      </c>
      <c r="AF10" s="231">
        <v>1.5</v>
      </c>
      <c r="AG10" s="231">
        <v>0.5</v>
      </c>
      <c r="AH10" s="231">
        <v>1.5</v>
      </c>
      <c r="AI10" s="231">
        <v>1.5</v>
      </c>
      <c r="AJ10" s="231"/>
      <c r="AK10" s="187"/>
      <c r="AL10" s="187"/>
      <c r="AM10" s="152"/>
      <c r="AN10" s="232">
        <f t="shared" si="2"/>
        <v>25</v>
      </c>
      <c r="AO10" s="219">
        <v>150000</v>
      </c>
      <c r="AP10" s="233">
        <f t="shared" si="0"/>
        <v>3750000</v>
      </c>
    </row>
    <row r="11" spans="1:42" s="199" customFormat="1" ht="24.95" customHeight="1" x14ac:dyDescent="0.3">
      <c r="A11" s="229">
        <f t="shared" si="1"/>
        <v>6</v>
      </c>
      <c r="B11" s="144" t="s">
        <v>348</v>
      </c>
      <c r="C11" s="221" t="s">
        <v>349</v>
      </c>
      <c r="D11" s="221" t="s">
        <v>242</v>
      </c>
      <c r="E11" s="144" t="s">
        <v>350</v>
      </c>
      <c r="F11" s="222" t="s">
        <v>351</v>
      </c>
      <c r="G11" s="223" t="s">
        <v>348</v>
      </c>
      <c r="H11" s="224" t="s">
        <v>352</v>
      </c>
      <c r="I11" s="230"/>
      <c r="J11" s="231">
        <v>1.5</v>
      </c>
      <c r="K11" s="231">
        <v>1.5</v>
      </c>
      <c r="L11" s="231">
        <v>1.5</v>
      </c>
      <c r="M11" s="231">
        <v>1.5</v>
      </c>
      <c r="N11" s="231">
        <v>1.5</v>
      </c>
      <c r="O11" s="231"/>
      <c r="P11" s="231"/>
      <c r="Q11" s="231">
        <v>1.5</v>
      </c>
      <c r="R11" s="231">
        <v>1.5</v>
      </c>
      <c r="S11" s="231">
        <v>1.5</v>
      </c>
      <c r="T11" s="231"/>
      <c r="U11" s="231">
        <v>1.5</v>
      </c>
      <c r="V11" s="231">
        <v>1</v>
      </c>
      <c r="W11" s="231"/>
      <c r="X11" s="231"/>
      <c r="Y11" s="231"/>
      <c r="Z11" s="231"/>
      <c r="AA11" s="231">
        <v>1</v>
      </c>
      <c r="AB11" s="231">
        <v>1</v>
      </c>
      <c r="AC11" s="231">
        <v>0.5</v>
      </c>
      <c r="AD11" s="231"/>
      <c r="AE11" s="231">
        <v>1.5</v>
      </c>
      <c r="AF11" s="231">
        <v>1.5</v>
      </c>
      <c r="AG11" s="231">
        <v>1.5</v>
      </c>
      <c r="AH11" s="231">
        <v>1.5</v>
      </c>
      <c r="AI11" s="231">
        <v>1.5</v>
      </c>
      <c r="AJ11" s="231"/>
      <c r="AK11" s="187"/>
      <c r="AL11" s="187"/>
      <c r="AM11" s="152"/>
      <c r="AN11" s="232">
        <f t="shared" si="2"/>
        <v>24.5</v>
      </c>
      <c r="AO11" s="218">
        <v>230000</v>
      </c>
      <c r="AP11" s="233">
        <f t="shared" si="0"/>
        <v>5635000</v>
      </c>
    </row>
    <row r="12" spans="1:42" s="199" customFormat="1" ht="24.95" customHeight="1" x14ac:dyDescent="0.3">
      <c r="A12" s="229">
        <f t="shared" si="1"/>
        <v>7</v>
      </c>
      <c r="B12" s="144" t="s">
        <v>586</v>
      </c>
      <c r="C12" s="221" t="s">
        <v>587</v>
      </c>
      <c r="D12" s="221" t="s">
        <v>234</v>
      </c>
      <c r="E12" s="144" t="s">
        <v>588</v>
      </c>
      <c r="F12" s="222" t="s">
        <v>584</v>
      </c>
      <c r="G12" s="223" t="s">
        <v>586</v>
      </c>
      <c r="H12" s="224" t="s">
        <v>589</v>
      </c>
      <c r="I12" s="230"/>
      <c r="J12" s="144">
        <v>0.625</v>
      </c>
      <c r="K12" s="231"/>
      <c r="L12" s="231"/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186"/>
      <c r="AL12" s="186"/>
      <c r="AM12" s="194"/>
      <c r="AN12" s="232">
        <f t="shared" si="2"/>
        <v>0.625</v>
      </c>
      <c r="AO12" s="218">
        <v>150000</v>
      </c>
      <c r="AP12" s="233">
        <f t="shared" si="0"/>
        <v>93750</v>
      </c>
    </row>
    <row r="13" spans="1:42" s="199" customFormat="1" ht="24.95" customHeight="1" x14ac:dyDescent="0.3">
      <c r="A13" s="229">
        <f t="shared" si="1"/>
        <v>8</v>
      </c>
      <c r="B13" s="144" t="s">
        <v>590</v>
      </c>
      <c r="C13" s="221" t="s">
        <v>591</v>
      </c>
      <c r="D13" s="221" t="s">
        <v>234</v>
      </c>
      <c r="E13" s="144" t="s">
        <v>592</v>
      </c>
      <c r="F13" s="222" t="s">
        <v>246</v>
      </c>
      <c r="G13" s="223" t="s">
        <v>590</v>
      </c>
      <c r="H13" s="224" t="s">
        <v>593</v>
      </c>
      <c r="I13" s="230"/>
      <c r="J13" s="231">
        <v>1.5</v>
      </c>
      <c r="K13" s="231">
        <v>1.5</v>
      </c>
      <c r="L13" s="231">
        <v>1</v>
      </c>
      <c r="M13" s="231">
        <v>1.5</v>
      </c>
      <c r="N13" s="231">
        <v>1.5</v>
      </c>
      <c r="O13" s="231">
        <v>1</v>
      </c>
      <c r="P13" s="231"/>
      <c r="Q13" s="231"/>
      <c r="R13" s="231"/>
      <c r="S13" s="231">
        <v>1</v>
      </c>
      <c r="T13" s="231">
        <v>1.5</v>
      </c>
      <c r="U13" s="231">
        <v>1.5</v>
      </c>
      <c r="V13" s="231"/>
      <c r="W13" s="231"/>
      <c r="X13" s="231"/>
      <c r="Y13" s="231"/>
      <c r="Z13" s="231"/>
      <c r="AA13" s="231">
        <v>1</v>
      </c>
      <c r="AB13" s="231">
        <v>1.5</v>
      </c>
      <c r="AC13" s="231">
        <v>1</v>
      </c>
      <c r="AD13" s="231"/>
      <c r="AE13" s="231">
        <v>1.5</v>
      </c>
      <c r="AF13" s="231">
        <v>1.5</v>
      </c>
      <c r="AG13" s="231">
        <v>1</v>
      </c>
      <c r="AH13" s="231">
        <v>1.5</v>
      </c>
      <c r="AI13" s="231">
        <v>1.5</v>
      </c>
      <c r="AJ13" s="231">
        <v>1</v>
      </c>
      <c r="AK13" s="186"/>
      <c r="AL13" s="186"/>
      <c r="AM13" s="194"/>
      <c r="AN13" s="232">
        <f t="shared" si="2"/>
        <v>23.5</v>
      </c>
      <c r="AO13" s="219">
        <v>150000</v>
      </c>
      <c r="AP13" s="233">
        <f t="shared" si="0"/>
        <v>3525000</v>
      </c>
    </row>
    <row r="14" spans="1:42" s="199" customFormat="1" ht="24.95" customHeight="1" x14ac:dyDescent="0.3">
      <c r="A14" s="229">
        <f t="shared" si="1"/>
        <v>9</v>
      </c>
      <c r="B14" s="144" t="s">
        <v>353</v>
      </c>
      <c r="C14" s="221" t="s">
        <v>354</v>
      </c>
      <c r="D14" s="221" t="s">
        <v>234</v>
      </c>
      <c r="E14" s="144" t="s">
        <v>355</v>
      </c>
      <c r="F14" s="222" t="s">
        <v>325</v>
      </c>
      <c r="G14" s="223" t="s">
        <v>353</v>
      </c>
      <c r="H14" s="224" t="s">
        <v>356</v>
      </c>
      <c r="I14" s="230"/>
      <c r="J14" s="231">
        <v>1.5</v>
      </c>
      <c r="K14" s="231">
        <v>1.5</v>
      </c>
      <c r="L14" s="231">
        <v>1</v>
      </c>
      <c r="M14" s="231">
        <v>1.5</v>
      </c>
      <c r="N14" s="231">
        <v>1.5</v>
      </c>
      <c r="O14" s="231">
        <v>1</v>
      </c>
      <c r="P14" s="231"/>
      <c r="Q14" s="231">
        <v>1.5</v>
      </c>
      <c r="R14" s="231">
        <v>1.5</v>
      </c>
      <c r="S14" s="231">
        <v>1</v>
      </c>
      <c r="T14" s="231">
        <v>1.5</v>
      </c>
      <c r="U14" s="231">
        <v>1.5</v>
      </c>
      <c r="V14" s="231"/>
      <c r="W14" s="231"/>
      <c r="X14" s="231"/>
      <c r="Y14" s="231"/>
      <c r="Z14" s="231"/>
      <c r="AA14" s="231">
        <v>1</v>
      </c>
      <c r="AB14" s="231">
        <v>1</v>
      </c>
      <c r="AC14" s="231"/>
      <c r="AD14" s="231"/>
      <c r="AE14" s="231">
        <v>1.5</v>
      </c>
      <c r="AF14" s="231">
        <v>0.375</v>
      </c>
      <c r="AG14" s="231">
        <v>1.5</v>
      </c>
      <c r="AH14" s="231">
        <v>1.5</v>
      </c>
      <c r="AI14" s="231">
        <v>1.5</v>
      </c>
      <c r="AJ14" s="231">
        <v>1</v>
      </c>
      <c r="AK14" s="187"/>
      <c r="AL14" s="187"/>
      <c r="AM14" s="152"/>
      <c r="AN14" s="232">
        <f t="shared" si="2"/>
        <v>24.375</v>
      </c>
      <c r="AO14" s="219">
        <v>150000</v>
      </c>
      <c r="AP14" s="233">
        <f t="shared" si="0"/>
        <v>3656250</v>
      </c>
    </row>
    <row r="15" spans="1:42" s="199" customFormat="1" ht="24.95" customHeight="1" x14ac:dyDescent="0.3">
      <c r="A15" s="229">
        <f t="shared" si="1"/>
        <v>10</v>
      </c>
      <c r="B15" s="144" t="s">
        <v>537</v>
      </c>
      <c r="C15" s="221" t="s">
        <v>538</v>
      </c>
      <c r="D15" s="221" t="s">
        <v>234</v>
      </c>
      <c r="E15" s="144" t="s">
        <v>594</v>
      </c>
      <c r="F15" s="222" t="s">
        <v>539</v>
      </c>
      <c r="G15" s="223" t="s">
        <v>537</v>
      </c>
      <c r="H15" s="224" t="s">
        <v>540</v>
      </c>
      <c r="I15" s="230"/>
      <c r="J15" s="231">
        <v>1.5</v>
      </c>
      <c r="K15" s="231">
        <v>1.5</v>
      </c>
      <c r="L15" s="231">
        <v>1</v>
      </c>
      <c r="M15" s="231">
        <v>1.5</v>
      </c>
      <c r="N15" s="231">
        <v>1.5</v>
      </c>
      <c r="O15" s="231">
        <v>1</v>
      </c>
      <c r="P15" s="231"/>
      <c r="Q15" s="231">
        <v>1.5</v>
      </c>
      <c r="R15" s="231">
        <v>1.5</v>
      </c>
      <c r="S15" s="231">
        <v>1</v>
      </c>
      <c r="T15" s="231">
        <v>1.5</v>
      </c>
      <c r="U15" s="231">
        <v>1.5</v>
      </c>
      <c r="V15" s="231"/>
      <c r="W15" s="231"/>
      <c r="X15" s="231"/>
      <c r="Y15" s="231"/>
      <c r="Z15" s="231"/>
      <c r="AA15" s="231">
        <v>1</v>
      </c>
      <c r="AB15" s="231">
        <v>1</v>
      </c>
      <c r="AC15" s="231"/>
      <c r="AD15" s="231"/>
      <c r="AE15" s="231">
        <v>1</v>
      </c>
      <c r="AF15" s="231">
        <v>1</v>
      </c>
      <c r="AG15" s="231">
        <v>1</v>
      </c>
      <c r="AH15" s="231">
        <v>1</v>
      </c>
      <c r="AI15" s="231">
        <v>1</v>
      </c>
      <c r="AJ15" s="231"/>
      <c r="AK15" s="187"/>
      <c r="AL15" s="187"/>
      <c r="AM15" s="152"/>
      <c r="AN15" s="232">
        <f t="shared" si="2"/>
        <v>22</v>
      </c>
      <c r="AO15" s="219">
        <v>150000</v>
      </c>
      <c r="AP15" s="233">
        <f t="shared" ref="AP15:AP22" si="3">AN15*AO15</f>
        <v>3300000</v>
      </c>
    </row>
    <row r="16" spans="1:42" s="199" customFormat="1" ht="24.95" customHeight="1" x14ac:dyDescent="0.3">
      <c r="A16" s="229">
        <f t="shared" si="1"/>
        <v>11</v>
      </c>
      <c r="B16" s="144" t="s">
        <v>541</v>
      </c>
      <c r="C16" s="221" t="s">
        <v>595</v>
      </c>
      <c r="D16" s="221" t="s">
        <v>234</v>
      </c>
      <c r="E16" s="144" t="s">
        <v>542</v>
      </c>
      <c r="F16" s="222" t="s">
        <v>243</v>
      </c>
      <c r="G16" s="223" t="s">
        <v>541</v>
      </c>
      <c r="H16" s="224" t="s">
        <v>543</v>
      </c>
      <c r="I16" s="230"/>
      <c r="J16" s="231">
        <v>1.5</v>
      </c>
      <c r="K16" s="231">
        <v>1.5</v>
      </c>
      <c r="L16" s="231">
        <v>1</v>
      </c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187"/>
      <c r="AL16" s="187"/>
      <c r="AM16" s="152"/>
      <c r="AN16" s="232">
        <f t="shared" si="2"/>
        <v>4</v>
      </c>
      <c r="AO16" s="219">
        <v>140000</v>
      </c>
      <c r="AP16" s="233">
        <f t="shared" si="3"/>
        <v>560000</v>
      </c>
    </row>
    <row r="17" spans="1:42" s="199" customFormat="1" ht="24.95" customHeight="1" x14ac:dyDescent="0.3">
      <c r="A17" s="229">
        <f t="shared" si="1"/>
        <v>12</v>
      </c>
      <c r="B17" s="144" t="s">
        <v>357</v>
      </c>
      <c r="C17" s="221" t="s">
        <v>358</v>
      </c>
      <c r="D17" s="221" t="s">
        <v>234</v>
      </c>
      <c r="E17" s="144" t="s">
        <v>359</v>
      </c>
      <c r="F17" s="222" t="s">
        <v>325</v>
      </c>
      <c r="G17" s="223" t="s">
        <v>357</v>
      </c>
      <c r="H17" s="224" t="s">
        <v>360</v>
      </c>
      <c r="I17" s="230"/>
      <c r="J17" s="144"/>
      <c r="K17" s="231">
        <v>1.5</v>
      </c>
      <c r="L17" s="231">
        <v>1.5</v>
      </c>
      <c r="M17" s="231">
        <v>1.5</v>
      </c>
      <c r="N17" s="231">
        <v>1.5</v>
      </c>
      <c r="O17" s="231">
        <v>1</v>
      </c>
      <c r="P17" s="231"/>
      <c r="Q17" s="231">
        <v>1.5</v>
      </c>
      <c r="R17" s="231">
        <v>1.5</v>
      </c>
      <c r="S17" s="231">
        <v>1.5</v>
      </c>
      <c r="T17" s="231">
        <v>1.5</v>
      </c>
      <c r="U17" s="231">
        <v>1.5</v>
      </c>
      <c r="V17" s="231"/>
      <c r="W17" s="231"/>
      <c r="X17" s="231"/>
      <c r="Y17" s="231"/>
      <c r="Z17" s="231"/>
      <c r="AA17" s="231">
        <v>1</v>
      </c>
      <c r="AB17" s="231">
        <v>1.5</v>
      </c>
      <c r="AC17" s="231">
        <v>0.5</v>
      </c>
      <c r="AD17" s="231"/>
      <c r="AE17" s="231"/>
      <c r="AF17" s="231"/>
      <c r="AG17" s="231">
        <v>1.5</v>
      </c>
      <c r="AH17" s="231">
        <v>1.5</v>
      </c>
      <c r="AI17" s="231">
        <v>1.5</v>
      </c>
      <c r="AJ17" s="231"/>
      <c r="AK17" s="186"/>
      <c r="AL17" s="186"/>
      <c r="AM17" s="193"/>
      <c r="AN17" s="232">
        <f t="shared" si="2"/>
        <v>22</v>
      </c>
      <c r="AO17" s="219">
        <v>150000</v>
      </c>
      <c r="AP17" s="233">
        <f t="shared" si="3"/>
        <v>3300000</v>
      </c>
    </row>
    <row r="18" spans="1:42" s="199" customFormat="1" ht="24.95" customHeight="1" x14ac:dyDescent="0.3">
      <c r="A18" s="229">
        <f t="shared" si="1"/>
        <v>13</v>
      </c>
      <c r="B18" s="144" t="s">
        <v>361</v>
      </c>
      <c r="C18" s="221" t="s">
        <v>390</v>
      </c>
      <c r="D18" s="221" t="s">
        <v>242</v>
      </c>
      <c r="E18" s="144" t="s">
        <v>391</v>
      </c>
      <c r="F18" s="222" t="s">
        <v>247</v>
      </c>
      <c r="G18" s="223" t="s">
        <v>361</v>
      </c>
      <c r="H18" s="224" t="s">
        <v>392</v>
      </c>
      <c r="I18" s="230"/>
      <c r="J18" s="231">
        <v>1.5</v>
      </c>
      <c r="K18" s="231">
        <v>1.5</v>
      </c>
      <c r="L18" s="231">
        <v>1</v>
      </c>
      <c r="M18" s="231">
        <v>1.5</v>
      </c>
      <c r="N18" s="231">
        <v>1.5</v>
      </c>
      <c r="O18" s="231">
        <v>1</v>
      </c>
      <c r="P18" s="231"/>
      <c r="Q18" s="231">
        <v>1.5</v>
      </c>
      <c r="R18" s="231">
        <v>1.5</v>
      </c>
      <c r="S18" s="231">
        <v>1</v>
      </c>
      <c r="T18" s="231">
        <v>1.5</v>
      </c>
      <c r="U18" s="231">
        <v>1.5</v>
      </c>
      <c r="V18" s="231"/>
      <c r="W18" s="231"/>
      <c r="X18" s="231"/>
      <c r="Y18" s="231"/>
      <c r="Z18" s="231"/>
      <c r="AA18" s="231">
        <v>1</v>
      </c>
      <c r="AB18" s="231">
        <v>1</v>
      </c>
      <c r="AC18" s="231">
        <v>0.5</v>
      </c>
      <c r="AD18" s="231"/>
      <c r="AE18" s="231">
        <v>1.5</v>
      </c>
      <c r="AF18" s="231">
        <v>1.5</v>
      </c>
      <c r="AG18" s="231">
        <v>1.5</v>
      </c>
      <c r="AH18" s="231">
        <v>1.5</v>
      </c>
      <c r="AI18" s="231">
        <v>0.5</v>
      </c>
      <c r="AJ18" s="231"/>
      <c r="AK18" s="187"/>
      <c r="AL18" s="187"/>
      <c r="AM18" s="152"/>
      <c r="AN18" s="232">
        <f t="shared" si="2"/>
        <v>24</v>
      </c>
      <c r="AO18" s="219">
        <v>180000</v>
      </c>
      <c r="AP18" s="233">
        <f t="shared" si="3"/>
        <v>4320000</v>
      </c>
    </row>
    <row r="19" spans="1:42" s="199" customFormat="1" ht="24.95" customHeight="1" x14ac:dyDescent="0.3">
      <c r="A19" s="229">
        <f t="shared" si="1"/>
        <v>14</v>
      </c>
      <c r="B19" s="144" t="s">
        <v>361</v>
      </c>
      <c r="C19" s="221" t="s">
        <v>362</v>
      </c>
      <c r="D19" s="221" t="s">
        <v>240</v>
      </c>
      <c r="E19" s="144" t="s">
        <v>363</v>
      </c>
      <c r="F19" s="222" t="s">
        <v>325</v>
      </c>
      <c r="G19" s="223" t="s">
        <v>361</v>
      </c>
      <c r="H19" s="224" t="s">
        <v>364</v>
      </c>
      <c r="I19" s="230"/>
      <c r="J19" s="231">
        <v>1.5</v>
      </c>
      <c r="K19" s="231">
        <v>1.5</v>
      </c>
      <c r="L19" s="231">
        <v>1.5</v>
      </c>
      <c r="M19" s="231">
        <v>1.5</v>
      </c>
      <c r="N19" s="231">
        <v>1.5</v>
      </c>
      <c r="O19" s="231"/>
      <c r="P19" s="231"/>
      <c r="Q19" s="231">
        <v>1.5</v>
      </c>
      <c r="R19" s="231">
        <v>1.5</v>
      </c>
      <c r="S19" s="231">
        <v>1.5</v>
      </c>
      <c r="T19" s="231">
        <v>1.5</v>
      </c>
      <c r="U19" s="231">
        <v>1.5</v>
      </c>
      <c r="V19" s="231">
        <v>1</v>
      </c>
      <c r="W19" s="231"/>
      <c r="X19" s="231"/>
      <c r="Y19" s="231"/>
      <c r="Z19" s="231"/>
      <c r="AA19" s="231">
        <v>1</v>
      </c>
      <c r="AB19" s="231">
        <v>1</v>
      </c>
      <c r="AC19" s="231">
        <v>0.5</v>
      </c>
      <c r="AD19" s="231"/>
      <c r="AE19" s="231">
        <v>1.5</v>
      </c>
      <c r="AF19" s="231">
        <v>1.5</v>
      </c>
      <c r="AG19" s="231">
        <v>1.5</v>
      </c>
      <c r="AH19" s="231">
        <v>1.5</v>
      </c>
      <c r="AI19" s="231">
        <v>1.5</v>
      </c>
      <c r="AJ19" s="231"/>
      <c r="AK19" s="187"/>
      <c r="AL19" s="187"/>
      <c r="AM19" s="152"/>
      <c r="AN19" s="232">
        <f t="shared" si="2"/>
        <v>26</v>
      </c>
      <c r="AO19" s="219">
        <v>240000</v>
      </c>
      <c r="AP19" s="233">
        <f t="shared" si="3"/>
        <v>6240000</v>
      </c>
    </row>
    <row r="20" spans="1:42" s="199" customFormat="1" ht="24.95" customHeight="1" x14ac:dyDescent="0.3">
      <c r="A20" s="229">
        <f t="shared" si="1"/>
        <v>15</v>
      </c>
      <c r="B20" s="144" t="s">
        <v>544</v>
      </c>
      <c r="C20" s="221" t="s">
        <v>545</v>
      </c>
      <c r="D20" s="221" t="s">
        <v>234</v>
      </c>
      <c r="E20" s="144" t="s">
        <v>546</v>
      </c>
      <c r="F20" s="222" t="s">
        <v>236</v>
      </c>
      <c r="G20" s="223" t="s">
        <v>544</v>
      </c>
      <c r="H20" s="224" t="s">
        <v>547</v>
      </c>
      <c r="I20" s="230"/>
      <c r="J20" s="231">
        <v>1.5</v>
      </c>
      <c r="K20" s="231">
        <v>1.5</v>
      </c>
      <c r="L20" s="231">
        <v>1.5</v>
      </c>
      <c r="M20" s="231">
        <v>1.5</v>
      </c>
      <c r="N20" s="231">
        <v>1.5</v>
      </c>
      <c r="O20" s="231">
        <v>1</v>
      </c>
      <c r="P20" s="231"/>
      <c r="Q20" s="231">
        <v>1.5</v>
      </c>
      <c r="R20" s="231">
        <v>1.5</v>
      </c>
      <c r="S20" s="231">
        <v>1</v>
      </c>
      <c r="T20" s="231">
        <v>1.5</v>
      </c>
      <c r="U20" s="231">
        <v>1.5</v>
      </c>
      <c r="V20" s="231">
        <v>1</v>
      </c>
      <c r="W20" s="231"/>
      <c r="X20" s="231"/>
      <c r="Y20" s="231"/>
      <c r="Z20" s="231"/>
      <c r="AA20" s="231">
        <v>1</v>
      </c>
      <c r="AB20" s="231">
        <v>1</v>
      </c>
      <c r="AC20" s="231">
        <v>0.5</v>
      </c>
      <c r="AD20" s="231"/>
      <c r="AE20" s="231">
        <v>1.5</v>
      </c>
      <c r="AF20" s="231">
        <v>1.5</v>
      </c>
      <c r="AG20" s="231">
        <v>1</v>
      </c>
      <c r="AH20" s="231">
        <v>1.5</v>
      </c>
      <c r="AI20" s="231">
        <v>1.5</v>
      </c>
      <c r="AJ20" s="231"/>
      <c r="AK20" s="187"/>
      <c r="AL20" s="187"/>
      <c r="AM20" s="152"/>
      <c r="AN20" s="232">
        <f t="shared" si="2"/>
        <v>26</v>
      </c>
      <c r="AO20" s="219">
        <v>150000</v>
      </c>
      <c r="AP20" s="233">
        <f t="shared" si="3"/>
        <v>3900000</v>
      </c>
    </row>
    <row r="21" spans="1:42" s="199" customFormat="1" ht="24.95" customHeight="1" x14ac:dyDescent="0.3">
      <c r="A21" s="229">
        <f t="shared" si="1"/>
        <v>16</v>
      </c>
      <c r="B21" s="144" t="s">
        <v>393</v>
      </c>
      <c r="C21" s="221" t="s">
        <v>394</v>
      </c>
      <c r="D21" s="221" t="s">
        <v>240</v>
      </c>
      <c r="E21" s="144" t="s">
        <v>395</v>
      </c>
      <c r="F21" s="222" t="s">
        <v>396</v>
      </c>
      <c r="G21" s="223" t="s">
        <v>393</v>
      </c>
      <c r="H21" s="224" t="s">
        <v>397</v>
      </c>
      <c r="I21" s="230"/>
      <c r="J21" s="231">
        <v>1.5</v>
      </c>
      <c r="K21" s="231">
        <v>1.5</v>
      </c>
      <c r="L21" s="231">
        <v>1.5</v>
      </c>
      <c r="M21" s="231">
        <v>1.5</v>
      </c>
      <c r="N21" s="231">
        <v>1.5</v>
      </c>
      <c r="O21" s="231">
        <v>1</v>
      </c>
      <c r="P21" s="231"/>
      <c r="Q21" s="231">
        <v>1.5</v>
      </c>
      <c r="R21" s="231">
        <v>1.5</v>
      </c>
      <c r="S21" s="231">
        <v>1</v>
      </c>
      <c r="T21" s="231">
        <v>1.5</v>
      </c>
      <c r="U21" s="231">
        <v>1.5</v>
      </c>
      <c r="V21" s="231"/>
      <c r="W21" s="231"/>
      <c r="X21" s="231"/>
      <c r="Y21" s="231"/>
      <c r="Z21" s="231"/>
      <c r="AA21" s="231">
        <v>1</v>
      </c>
      <c r="AB21" s="231">
        <v>1</v>
      </c>
      <c r="AC21" s="231">
        <v>0.5</v>
      </c>
      <c r="AD21" s="231"/>
      <c r="AE21" s="231"/>
      <c r="AF21" s="231"/>
      <c r="AG21" s="231">
        <v>1</v>
      </c>
      <c r="AH21" s="231">
        <v>1.5</v>
      </c>
      <c r="AI21" s="231">
        <v>1.5</v>
      </c>
      <c r="AJ21" s="231"/>
      <c r="AK21" s="187"/>
      <c r="AL21" s="187"/>
      <c r="AM21" s="152"/>
      <c r="AN21" s="232">
        <f t="shared" si="2"/>
        <v>22</v>
      </c>
      <c r="AO21" s="219">
        <v>240000</v>
      </c>
      <c r="AP21" s="233">
        <f t="shared" si="3"/>
        <v>5280000</v>
      </c>
    </row>
    <row r="22" spans="1:42" s="199" customFormat="1" ht="24.95" customHeight="1" x14ac:dyDescent="0.3">
      <c r="A22" s="229">
        <f t="shared" si="1"/>
        <v>17</v>
      </c>
      <c r="B22" s="144" t="s">
        <v>398</v>
      </c>
      <c r="C22" s="221" t="s">
        <v>399</v>
      </c>
      <c r="D22" s="221" t="s">
        <v>234</v>
      </c>
      <c r="E22" s="144" t="s">
        <v>400</v>
      </c>
      <c r="F22" s="222" t="s">
        <v>325</v>
      </c>
      <c r="G22" s="223" t="s">
        <v>398</v>
      </c>
      <c r="H22" s="224" t="s">
        <v>401</v>
      </c>
      <c r="I22" s="230"/>
      <c r="J22" s="231">
        <v>1.5</v>
      </c>
      <c r="K22" s="231">
        <v>1.5</v>
      </c>
      <c r="L22" s="231">
        <v>1.5</v>
      </c>
      <c r="M22" s="231">
        <v>1.5</v>
      </c>
      <c r="N22" s="231">
        <v>1.5</v>
      </c>
      <c r="O22" s="231">
        <v>1</v>
      </c>
      <c r="P22" s="231"/>
      <c r="Q22" s="231">
        <v>1.5</v>
      </c>
      <c r="R22" s="231">
        <v>1.5</v>
      </c>
      <c r="S22" s="231">
        <v>1.5</v>
      </c>
      <c r="T22" s="231">
        <v>1.5</v>
      </c>
      <c r="U22" s="231">
        <v>1.5</v>
      </c>
      <c r="V22" s="231"/>
      <c r="W22" s="231"/>
      <c r="X22" s="231"/>
      <c r="Y22" s="231"/>
      <c r="Z22" s="231"/>
      <c r="AA22" s="231">
        <v>1</v>
      </c>
      <c r="AB22" s="231">
        <v>1</v>
      </c>
      <c r="AC22" s="231">
        <v>0.5</v>
      </c>
      <c r="AD22" s="231"/>
      <c r="AE22" s="231">
        <v>1.5</v>
      </c>
      <c r="AF22" s="231">
        <v>1.5</v>
      </c>
      <c r="AG22" s="231">
        <v>1</v>
      </c>
      <c r="AH22" s="231">
        <v>1.5</v>
      </c>
      <c r="AI22" s="231">
        <v>1.5</v>
      </c>
      <c r="AJ22" s="231"/>
      <c r="AK22" s="187"/>
      <c r="AL22" s="187"/>
      <c r="AM22" s="152"/>
      <c r="AN22" s="232">
        <f t="shared" si="2"/>
        <v>25.5</v>
      </c>
      <c r="AO22" s="219">
        <v>150000</v>
      </c>
      <c r="AP22" s="233">
        <f t="shared" si="3"/>
        <v>3825000</v>
      </c>
    </row>
    <row r="23" spans="1:42" s="199" customFormat="1" ht="24.95" customHeight="1" x14ac:dyDescent="0.3">
      <c r="A23" s="229">
        <f t="shared" si="1"/>
        <v>18</v>
      </c>
      <c r="B23" s="144" t="s">
        <v>596</v>
      </c>
      <c r="C23" s="221" t="s">
        <v>597</v>
      </c>
      <c r="D23" s="221" t="s">
        <v>242</v>
      </c>
      <c r="E23" s="144" t="s">
        <v>598</v>
      </c>
      <c r="F23" s="222" t="s">
        <v>325</v>
      </c>
      <c r="G23" s="223" t="s">
        <v>596</v>
      </c>
      <c r="H23" s="224" t="s">
        <v>599</v>
      </c>
      <c r="I23" s="230"/>
      <c r="J23" s="231">
        <v>1.5</v>
      </c>
      <c r="K23" s="231">
        <v>1.5</v>
      </c>
      <c r="L23" s="231">
        <v>1</v>
      </c>
      <c r="M23" s="231">
        <v>1.5</v>
      </c>
      <c r="N23" s="231">
        <v>1.5</v>
      </c>
      <c r="O23" s="231"/>
      <c r="P23" s="231"/>
      <c r="Q23" s="231">
        <v>1.5</v>
      </c>
      <c r="R23" s="231">
        <v>1.5</v>
      </c>
      <c r="S23" s="231">
        <v>0.5</v>
      </c>
      <c r="T23" s="231">
        <v>1.5</v>
      </c>
      <c r="U23" s="231">
        <v>1.5</v>
      </c>
      <c r="V23" s="231"/>
      <c r="W23" s="231"/>
      <c r="X23" s="231"/>
      <c r="Y23" s="231"/>
      <c r="Z23" s="231"/>
      <c r="AA23" s="231">
        <v>1</v>
      </c>
      <c r="AB23" s="231">
        <v>1</v>
      </c>
      <c r="AC23" s="231">
        <v>0.5</v>
      </c>
      <c r="AD23" s="231"/>
      <c r="AE23" s="231">
        <v>1.5</v>
      </c>
      <c r="AF23" s="231">
        <v>1.5</v>
      </c>
      <c r="AG23" s="231">
        <v>1.5</v>
      </c>
      <c r="AH23" s="231">
        <v>1.5</v>
      </c>
      <c r="AI23" s="231">
        <v>1.5</v>
      </c>
      <c r="AJ23" s="231">
        <v>1</v>
      </c>
      <c r="AK23" s="187"/>
      <c r="AL23" s="187"/>
      <c r="AM23" s="152"/>
      <c r="AN23" s="232">
        <f t="shared" si="2"/>
        <v>24.5</v>
      </c>
      <c r="AO23" s="219">
        <v>220000</v>
      </c>
      <c r="AP23" s="233">
        <f t="shared" ref="AP23:AP31" si="4">AN23*AO23</f>
        <v>5390000</v>
      </c>
    </row>
    <row r="24" spans="1:42" s="199" customFormat="1" ht="24.95" customHeight="1" x14ac:dyDescent="0.3">
      <c r="A24" s="229">
        <f t="shared" si="1"/>
        <v>19</v>
      </c>
      <c r="B24" s="144" t="s">
        <v>600</v>
      </c>
      <c r="C24" s="221" t="s">
        <v>601</v>
      </c>
      <c r="D24" s="221" t="s">
        <v>602</v>
      </c>
      <c r="E24" s="144" t="s">
        <v>603</v>
      </c>
      <c r="F24" s="222" t="s">
        <v>325</v>
      </c>
      <c r="G24" s="223" t="s">
        <v>600</v>
      </c>
      <c r="H24" s="224" t="s">
        <v>604</v>
      </c>
      <c r="I24" s="230"/>
      <c r="J24" s="231">
        <v>1.5</v>
      </c>
      <c r="K24" s="231">
        <v>1.5</v>
      </c>
      <c r="L24" s="231">
        <v>1.5</v>
      </c>
      <c r="M24" s="231">
        <v>1.5</v>
      </c>
      <c r="N24" s="231">
        <v>1.5</v>
      </c>
      <c r="O24" s="231"/>
      <c r="P24" s="231"/>
      <c r="Q24" s="231">
        <v>1.5</v>
      </c>
      <c r="R24" s="231">
        <v>1.5</v>
      </c>
      <c r="S24" s="231">
        <v>1</v>
      </c>
      <c r="T24" s="231">
        <v>1.5</v>
      </c>
      <c r="U24" s="231">
        <v>1.5</v>
      </c>
      <c r="V24" s="231"/>
      <c r="W24" s="231"/>
      <c r="X24" s="231"/>
      <c r="Y24" s="231"/>
      <c r="Z24" s="231"/>
      <c r="AA24" s="231">
        <v>1</v>
      </c>
      <c r="AB24" s="231">
        <v>1</v>
      </c>
      <c r="AC24" s="231">
        <v>1</v>
      </c>
      <c r="AD24" s="231"/>
      <c r="AE24" s="231">
        <v>1.5</v>
      </c>
      <c r="AF24" s="231">
        <v>1.375</v>
      </c>
      <c r="AG24" s="231">
        <v>1.5</v>
      </c>
      <c r="AH24" s="231">
        <v>1.5</v>
      </c>
      <c r="AI24" s="231">
        <v>1.5</v>
      </c>
      <c r="AJ24" s="231"/>
      <c r="AK24" s="187"/>
      <c r="AL24" s="187"/>
      <c r="AM24" s="152"/>
      <c r="AN24" s="232">
        <f t="shared" si="2"/>
        <v>24.875</v>
      </c>
      <c r="AO24" s="219">
        <v>220000</v>
      </c>
      <c r="AP24" s="233">
        <f t="shared" si="4"/>
        <v>5472500</v>
      </c>
    </row>
    <row r="25" spans="1:42" s="199" customFormat="1" ht="24.95" customHeight="1" x14ac:dyDescent="0.3">
      <c r="A25" s="229">
        <f t="shared" si="1"/>
        <v>20</v>
      </c>
      <c r="B25" s="144" t="s">
        <v>402</v>
      </c>
      <c r="C25" s="221" t="s">
        <v>403</v>
      </c>
      <c r="D25" s="221" t="s">
        <v>240</v>
      </c>
      <c r="E25" s="144" t="s">
        <v>404</v>
      </c>
      <c r="F25" s="222" t="s">
        <v>243</v>
      </c>
      <c r="G25" s="223" t="s">
        <v>402</v>
      </c>
      <c r="H25" s="224" t="s">
        <v>405</v>
      </c>
      <c r="I25" s="230"/>
      <c r="J25" s="231">
        <v>1.5</v>
      </c>
      <c r="K25" s="231">
        <v>1.5</v>
      </c>
      <c r="L25" s="231">
        <v>1.5</v>
      </c>
      <c r="M25" s="231">
        <v>1.5</v>
      </c>
      <c r="N25" s="231">
        <v>1.5</v>
      </c>
      <c r="O25" s="231"/>
      <c r="P25" s="231"/>
      <c r="Q25" s="231">
        <v>1.5</v>
      </c>
      <c r="R25" s="231">
        <v>1.5</v>
      </c>
      <c r="S25" s="231">
        <v>1</v>
      </c>
      <c r="T25" s="231">
        <v>1.5</v>
      </c>
      <c r="U25" s="231">
        <v>1.5</v>
      </c>
      <c r="V25" s="231"/>
      <c r="W25" s="231"/>
      <c r="X25" s="231"/>
      <c r="Y25" s="231"/>
      <c r="Z25" s="231"/>
      <c r="AA25" s="231">
        <v>1</v>
      </c>
      <c r="AB25" s="231">
        <v>1</v>
      </c>
      <c r="AC25" s="231">
        <v>0.5</v>
      </c>
      <c r="AD25" s="231"/>
      <c r="AE25" s="231"/>
      <c r="AF25" s="231">
        <v>1.5</v>
      </c>
      <c r="AG25" s="231">
        <v>1.5</v>
      </c>
      <c r="AH25" s="231">
        <v>1.5</v>
      </c>
      <c r="AI25" s="231">
        <v>1.5</v>
      </c>
      <c r="AJ25" s="231"/>
      <c r="AK25" s="187"/>
      <c r="AL25" s="187"/>
      <c r="AM25" s="152"/>
      <c r="AN25" s="232">
        <f t="shared" si="2"/>
        <v>23</v>
      </c>
      <c r="AO25" s="219">
        <v>240000</v>
      </c>
      <c r="AP25" s="233">
        <f t="shared" si="4"/>
        <v>5520000</v>
      </c>
    </row>
    <row r="26" spans="1:42" s="199" customFormat="1" ht="24.95" customHeight="1" x14ac:dyDescent="0.3">
      <c r="A26" s="229">
        <f t="shared" si="1"/>
        <v>21</v>
      </c>
      <c r="B26" s="144" t="s">
        <v>605</v>
      </c>
      <c r="C26" s="221" t="s">
        <v>326</v>
      </c>
      <c r="D26" s="221" t="s">
        <v>606</v>
      </c>
      <c r="E26" s="144" t="s">
        <v>607</v>
      </c>
      <c r="F26" s="222" t="s">
        <v>246</v>
      </c>
      <c r="G26" s="223" t="s">
        <v>605</v>
      </c>
      <c r="H26" s="224" t="s">
        <v>608</v>
      </c>
      <c r="I26" s="230"/>
      <c r="J26" s="231">
        <v>1.25</v>
      </c>
      <c r="K26" s="231">
        <v>1</v>
      </c>
      <c r="L26" s="231">
        <v>1</v>
      </c>
      <c r="M26" s="231">
        <v>1</v>
      </c>
      <c r="N26" s="231"/>
      <c r="O26" s="231"/>
      <c r="P26" s="231"/>
      <c r="Q26" s="231">
        <v>1</v>
      </c>
      <c r="R26" s="231">
        <v>1</v>
      </c>
      <c r="S26" s="231">
        <v>1</v>
      </c>
      <c r="T26" s="231"/>
      <c r="U26" s="231">
        <v>1.25</v>
      </c>
      <c r="V26" s="231">
        <v>1</v>
      </c>
      <c r="W26" s="231"/>
      <c r="X26" s="231"/>
      <c r="Y26" s="231"/>
      <c r="Z26" s="231"/>
      <c r="AA26" s="231"/>
      <c r="AB26" s="231">
        <v>1</v>
      </c>
      <c r="AC26" s="231"/>
      <c r="AD26" s="231"/>
      <c r="AE26" s="231">
        <v>1</v>
      </c>
      <c r="AF26" s="231"/>
      <c r="AG26" s="231">
        <v>1</v>
      </c>
      <c r="AH26" s="231">
        <v>1</v>
      </c>
      <c r="AI26" s="231">
        <v>1</v>
      </c>
      <c r="AJ26" s="231"/>
      <c r="AK26" s="187"/>
      <c r="AL26" s="187"/>
      <c r="AM26" s="152"/>
      <c r="AN26" s="232">
        <f t="shared" si="2"/>
        <v>14.5</v>
      </c>
      <c r="AO26" s="219">
        <v>250000</v>
      </c>
      <c r="AP26" s="233">
        <f t="shared" si="4"/>
        <v>3625000</v>
      </c>
    </row>
    <row r="27" spans="1:42" s="199" customFormat="1" ht="24.95" customHeight="1" x14ac:dyDescent="0.3">
      <c r="A27" s="229">
        <f t="shared" si="1"/>
        <v>22</v>
      </c>
      <c r="B27" s="144" t="s">
        <v>609</v>
      </c>
      <c r="C27" s="221" t="s">
        <v>610</v>
      </c>
      <c r="D27" s="221" t="s">
        <v>234</v>
      </c>
      <c r="E27" s="144" t="s">
        <v>611</v>
      </c>
      <c r="F27" s="222" t="s">
        <v>243</v>
      </c>
      <c r="G27" s="223" t="s">
        <v>609</v>
      </c>
      <c r="H27" s="224" t="s">
        <v>612</v>
      </c>
      <c r="I27" s="230"/>
      <c r="J27" s="231">
        <v>1.5</v>
      </c>
      <c r="K27" s="231">
        <v>1.5</v>
      </c>
      <c r="L27" s="231">
        <v>1.5</v>
      </c>
      <c r="M27" s="231">
        <v>1.5</v>
      </c>
      <c r="N27" s="231">
        <v>1.5</v>
      </c>
      <c r="O27" s="231">
        <v>1</v>
      </c>
      <c r="P27" s="231"/>
      <c r="Q27" s="231">
        <v>1.5</v>
      </c>
      <c r="R27" s="231">
        <v>1.5</v>
      </c>
      <c r="S27" s="231">
        <v>1.5</v>
      </c>
      <c r="T27" s="231"/>
      <c r="U27" s="231">
        <v>1.5</v>
      </c>
      <c r="V27" s="231">
        <v>1</v>
      </c>
      <c r="W27" s="231"/>
      <c r="X27" s="231"/>
      <c r="Y27" s="231"/>
      <c r="Z27" s="231"/>
      <c r="AA27" s="231">
        <v>1</v>
      </c>
      <c r="AB27" s="231">
        <v>1.5</v>
      </c>
      <c r="AC27" s="231"/>
      <c r="AD27" s="231"/>
      <c r="AE27" s="231">
        <v>1.5</v>
      </c>
      <c r="AF27" s="231">
        <v>1.5</v>
      </c>
      <c r="AG27" s="231">
        <v>1.5</v>
      </c>
      <c r="AH27" s="231">
        <v>1.5</v>
      </c>
      <c r="AI27" s="231">
        <v>0.5</v>
      </c>
      <c r="AJ27" s="231"/>
      <c r="AK27" s="187"/>
      <c r="AL27" s="187"/>
      <c r="AM27" s="152"/>
      <c r="AN27" s="232">
        <f t="shared" si="2"/>
        <v>24.5</v>
      </c>
      <c r="AO27" s="219">
        <v>150000</v>
      </c>
      <c r="AP27" s="233">
        <f t="shared" si="4"/>
        <v>3675000</v>
      </c>
    </row>
    <row r="28" spans="1:42" s="199" customFormat="1" ht="24.95" customHeight="1" x14ac:dyDescent="0.3">
      <c r="A28" s="229">
        <f t="shared" si="1"/>
        <v>23</v>
      </c>
      <c r="B28" s="144" t="s">
        <v>406</v>
      </c>
      <c r="C28" s="221" t="s">
        <v>407</v>
      </c>
      <c r="D28" s="221" t="s">
        <v>602</v>
      </c>
      <c r="E28" s="144" t="s">
        <v>408</v>
      </c>
      <c r="F28" s="222" t="s">
        <v>396</v>
      </c>
      <c r="G28" s="223" t="s">
        <v>406</v>
      </c>
      <c r="H28" s="224" t="s">
        <v>409</v>
      </c>
      <c r="I28" s="230"/>
      <c r="J28" s="231">
        <v>1.5</v>
      </c>
      <c r="K28" s="231">
        <v>1.5</v>
      </c>
      <c r="L28" s="231">
        <v>1</v>
      </c>
      <c r="M28" s="231">
        <v>1.5</v>
      </c>
      <c r="N28" s="231">
        <v>1.5</v>
      </c>
      <c r="O28" s="231">
        <v>1</v>
      </c>
      <c r="P28" s="231"/>
      <c r="Q28" s="231">
        <v>1.5</v>
      </c>
      <c r="R28" s="231">
        <v>1.5</v>
      </c>
      <c r="S28" s="231">
        <v>1.5</v>
      </c>
      <c r="T28" s="231">
        <v>1.5</v>
      </c>
      <c r="U28" s="231">
        <v>1</v>
      </c>
      <c r="V28" s="231">
        <v>1</v>
      </c>
      <c r="W28" s="231"/>
      <c r="X28" s="231"/>
      <c r="Y28" s="231"/>
      <c r="Z28" s="231"/>
      <c r="AA28" s="231">
        <v>1</v>
      </c>
      <c r="AB28" s="231">
        <v>1.5</v>
      </c>
      <c r="AC28" s="231"/>
      <c r="AD28" s="231"/>
      <c r="AE28" s="231"/>
      <c r="AF28" s="231">
        <v>1.5</v>
      </c>
      <c r="AG28" s="231">
        <v>1.5</v>
      </c>
      <c r="AH28" s="231">
        <v>0.75</v>
      </c>
      <c r="AI28" s="231"/>
      <c r="AJ28" s="231"/>
      <c r="AK28" s="187"/>
      <c r="AL28" s="187"/>
      <c r="AM28" s="152"/>
      <c r="AN28" s="232">
        <f t="shared" si="2"/>
        <v>22.25</v>
      </c>
      <c r="AO28" s="219">
        <v>150000</v>
      </c>
      <c r="AP28" s="233">
        <f t="shared" si="4"/>
        <v>3337500</v>
      </c>
    </row>
    <row r="29" spans="1:42" s="199" customFormat="1" ht="24.95" customHeight="1" x14ac:dyDescent="0.3">
      <c r="A29" s="229">
        <f t="shared" si="1"/>
        <v>24</v>
      </c>
      <c r="B29" s="144" t="s">
        <v>410</v>
      </c>
      <c r="C29" s="221" t="s">
        <v>411</v>
      </c>
      <c r="D29" s="221" t="s">
        <v>234</v>
      </c>
      <c r="E29" s="144" t="s">
        <v>412</v>
      </c>
      <c r="F29" s="222" t="s">
        <v>241</v>
      </c>
      <c r="G29" s="223" t="s">
        <v>410</v>
      </c>
      <c r="H29" s="224" t="s">
        <v>413</v>
      </c>
      <c r="I29" s="230"/>
      <c r="J29" s="231">
        <v>1.5</v>
      </c>
      <c r="K29" s="231">
        <v>1.5</v>
      </c>
      <c r="L29" s="231">
        <v>1.5</v>
      </c>
      <c r="M29" s="231">
        <v>1.5</v>
      </c>
      <c r="N29" s="231">
        <v>1.5</v>
      </c>
      <c r="O29" s="231"/>
      <c r="P29" s="231"/>
      <c r="Q29" s="231">
        <v>1.5</v>
      </c>
      <c r="R29" s="231">
        <v>1.5</v>
      </c>
      <c r="S29" s="231">
        <v>1.5</v>
      </c>
      <c r="T29" s="231">
        <v>1.5</v>
      </c>
      <c r="U29" s="231">
        <v>1.5</v>
      </c>
      <c r="V29" s="231"/>
      <c r="W29" s="231"/>
      <c r="X29" s="231"/>
      <c r="Y29" s="231"/>
      <c r="Z29" s="231"/>
      <c r="AA29" s="231">
        <v>1</v>
      </c>
      <c r="AB29" s="231">
        <v>1</v>
      </c>
      <c r="AC29" s="231">
        <v>0.5</v>
      </c>
      <c r="AD29" s="231"/>
      <c r="AE29" s="231">
        <v>1.5</v>
      </c>
      <c r="AF29" s="231">
        <v>1.5</v>
      </c>
      <c r="AG29" s="231">
        <v>1</v>
      </c>
      <c r="AH29" s="231">
        <v>1.5</v>
      </c>
      <c r="AI29" s="231">
        <v>1.5</v>
      </c>
      <c r="AJ29" s="231"/>
      <c r="AK29" s="187"/>
      <c r="AL29" s="187"/>
      <c r="AM29" s="152"/>
      <c r="AN29" s="232">
        <f t="shared" si="2"/>
        <v>24.5</v>
      </c>
      <c r="AO29" s="219">
        <v>220000</v>
      </c>
      <c r="AP29" s="233">
        <f t="shared" si="4"/>
        <v>5390000</v>
      </c>
    </row>
    <row r="30" spans="1:42" s="199" customFormat="1" ht="24.95" customHeight="1" x14ac:dyDescent="0.3">
      <c r="A30" s="229">
        <f t="shared" si="1"/>
        <v>25</v>
      </c>
      <c r="B30" s="144" t="s">
        <v>365</v>
      </c>
      <c r="C30" s="221" t="s">
        <v>366</v>
      </c>
      <c r="D30" s="221" t="s">
        <v>234</v>
      </c>
      <c r="E30" s="144" t="s">
        <v>367</v>
      </c>
      <c r="F30" s="222" t="s">
        <v>246</v>
      </c>
      <c r="G30" s="223" t="s">
        <v>365</v>
      </c>
      <c r="H30" s="224" t="s">
        <v>368</v>
      </c>
      <c r="I30" s="230"/>
      <c r="J30" s="231">
        <v>1.5</v>
      </c>
      <c r="K30" s="231">
        <v>0.5</v>
      </c>
      <c r="L30" s="231">
        <v>1.5</v>
      </c>
      <c r="M30" s="231">
        <v>1.5</v>
      </c>
      <c r="N30" s="231">
        <v>1.5</v>
      </c>
      <c r="O30" s="231">
        <v>1</v>
      </c>
      <c r="P30" s="231"/>
      <c r="Q30" s="231">
        <v>1.5</v>
      </c>
      <c r="R30" s="231">
        <v>1.5</v>
      </c>
      <c r="S30" s="231">
        <v>1.5</v>
      </c>
      <c r="T30" s="231">
        <v>1.5</v>
      </c>
      <c r="U30" s="231">
        <v>1.5</v>
      </c>
      <c r="V30" s="231"/>
      <c r="W30" s="231"/>
      <c r="X30" s="231"/>
      <c r="Y30" s="231"/>
      <c r="Z30" s="231"/>
      <c r="AA30" s="231">
        <v>1</v>
      </c>
      <c r="AB30" s="231">
        <v>1.5</v>
      </c>
      <c r="AC30" s="231">
        <v>0.5</v>
      </c>
      <c r="AD30" s="231"/>
      <c r="AE30" s="231">
        <v>1.5</v>
      </c>
      <c r="AF30" s="231">
        <v>1.5</v>
      </c>
      <c r="AG30" s="231">
        <v>1.5</v>
      </c>
      <c r="AH30" s="231">
        <v>1.5</v>
      </c>
      <c r="AI30" s="231">
        <v>1.5</v>
      </c>
      <c r="AJ30" s="231"/>
      <c r="AK30" s="186"/>
      <c r="AL30" s="186"/>
      <c r="AM30" s="194"/>
      <c r="AN30" s="232">
        <f t="shared" si="2"/>
        <v>25.5</v>
      </c>
      <c r="AO30" s="219">
        <v>150000</v>
      </c>
      <c r="AP30" s="233">
        <f t="shared" si="4"/>
        <v>3825000</v>
      </c>
    </row>
    <row r="31" spans="1:42" s="199" customFormat="1" ht="24.95" customHeight="1" x14ac:dyDescent="0.3">
      <c r="A31" s="229">
        <f t="shared" si="1"/>
        <v>26</v>
      </c>
      <c r="B31" s="144" t="s">
        <v>613</v>
      </c>
      <c r="C31" s="221" t="s">
        <v>614</v>
      </c>
      <c r="D31" s="221" t="s">
        <v>240</v>
      </c>
      <c r="E31" s="144" t="s">
        <v>615</v>
      </c>
      <c r="F31" s="222" t="s">
        <v>327</v>
      </c>
      <c r="G31" s="223" t="s">
        <v>613</v>
      </c>
      <c r="H31" s="224" t="s">
        <v>616</v>
      </c>
      <c r="I31" s="230"/>
      <c r="J31" s="231">
        <v>1.5</v>
      </c>
      <c r="K31" s="231">
        <v>1.5</v>
      </c>
      <c r="L31" s="231">
        <v>1.5</v>
      </c>
      <c r="M31" s="231">
        <v>1.5</v>
      </c>
      <c r="N31" s="231">
        <v>1.5</v>
      </c>
      <c r="O31" s="231"/>
      <c r="P31" s="231"/>
      <c r="Q31" s="231">
        <v>1.5</v>
      </c>
      <c r="R31" s="231">
        <v>1.5</v>
      </c>
      <c r="S31" s="231">
        <v>1</v>
      </c>
      <c r="T31" s="231">
        <v>1.5</v>
      </c>
      <c r="U31" s="231">
        <v>1.5</v>
      </c>
      <c r="V31" s="231"/>
      <c r="W31" s="231"/>
      <c r="X31" s="231"/>
      <c r="Y31" s="231"/>
      <c r="Z31" s="231"/>
      <c r="AA31" s="231">
        <v>1</v>
      </c>
      <c r="AB31" s="231">
        <v>1</v>
      </c>
      <c r="AC31" s="231">
        <v>0.5</v>
      </c>
      <c r="AD31" s="231"/>
      <c r="AE31" s="231">
        <v>1.5</v>
      </c>
      <c r="AF31" s="231">
        <v>1.5</v>
      </c>
      <c r="AG31" s="231">
        <v>1.5</v>
      </c>
      <c r="AH31" s="231">
        <v>1.5</v>
      </c>
      <c r="AI31" s="231">
        <v>1.5</v>
      </c>
      <c r="AJ31" s="231"/>
      <c r="AK31" s="186"/>
      <c r="AL31" s="186"/>
      <c r="AM31" s="193"/>
      <c r="AN31" s="232">
        <f t="shared" si="2"/>
        <v>24.5</v>
      </c>
      <c r="AO31" s="219">
        <v>240000</v>
      </c>
      <c r="AP31" s="233">
        <f t="shared" si="4"/>
        <v>5880000</v>
      </c>
    </row>
    <row r="32" spans="1:42" s="199" customFormat="1" ht="24.95" customHeight="1" x14ac:dyDescent="0.3">
      <c r="A32" s="229">
        <f t="shared" si="1"/>
        <v>27</v>
      </c>
      <c r="B32" s="144" t="s">
        <v>617</v>
      </c>
      <c r="C32" s="221" t="s">
        <v>618</v>
      </c>
      <c r="D32" s="221" t="s">
        <v>328</v>
      </c>
      <c r="E32" s="144" t="s">
        <v>329</v>
      </c>
      <c r="F32" s="222" t="s">
        <v>243</v>
      </c>
      <c r="G32" s="223" t="s">
        <v>617</v>
      </c>
      <c r="H32" s="224" t="s">
        <v>619</v>
      </c>
      <c r="I32" s="230"/>
      <c r="J32" s="231">
        <v>1.5</v>
      </c>
      <c r="K32" s="231">
        <v>1.5</v>
      </c>
      <c r="L32" s="231">
        <v>1</v>
      </c>
      <c r="M32" s="231">
        <v>1.5</v>
      </c>
      <c r="N32" s="231">
        <v>1.5</v>
      </c>
      <c r="O32" s="231">
        <v>1</v>
      </c>
      <c r="P32" s="231"/>
      <c r="Q32" s="231">
        <v>1.5</v>
      </c>
      <c r="R32" s="231">
        <v>1.5</v>
      </c>
      <c r="S32" s="231">
        <v>1</v>
      </c>
      <c r="T32" s="231">
        <v>1.5</v>
      </c>
      <c r="U32" s="231">
        <v>1.5</v>
      </c>
      <c r="V32" s="231"/>
      <c r="W32" s="231"/>
      <c r="X32" s="231"/>
      <c r="Y32" s="231"/>
      <c r="Z32" s="231"/>
      <c r="AA32" s="231">
        <v>1</v>
      </c>
      <c r="AB32" s="231">
        <v>1.5</v>
      </c>
      <c r="AC32" s="231">
        <v>1</v>
      </c>
      <c r="AD32" s="231"/>
      <c r="AE32" s="231">
        <v>1.5</v>
      </c>
      <c r="AF32" s="231">
        <v>1.5</v>
      </c>
      <c r="AG32" s="231">
        <v>1</v>
      </c>
      <c r="AH32" s="231">
        <v>1.5</v>
      </c>
      <c r="AI32" s="231">
        <v>1.5</v>
      </c>
      <c r="AJ32" s="231">
        <v>1</v>
      </c>
      <c r="AK32" s="187"/>
      <c r="AL32" s="187"/>
      <c r="AM32" s="152"/>
      <c r="AN32" s="232">
        <f t="shared" si="2"/>
        <v>26.5</v>
      </c>
      <c r="AO32" s="219">
        <v>210000</v>
      </c>
      <c r="AP32" s="233">
        <f t="shared" ref="AP32:AP78" si="5">AN32*AO32</f>
        <v>5565000</v>
      </c>
    </row>
    <row r="33" spans="1:42" s="199" customFormat="1" ht="24.95" customHeight="1" x14ac:dyDescent="0.3">
      <c r="A33" s="229">
        <f t="shared" si="1"/>
        <v>28</v>
      </c>
      <c r="B33" s="144" t="s">
        <v>548</v>
      </c>
      <c r="C33" s="221" t="s">
        <v>549</v>
      </c>
      <c r="D33" s="221" t="s">
        <v>240</v>
      </c>
      <c r="E33" s="144" t="s">
        <v>550</v>
      </c>
      <c r="F33" s="222" t="s">
        <v>351</v>
      </c>
      <c r="G33" s="223" t="s">
        <v>548</v>
      </c>
      <c r="H33" s="224" t="s">
        <v>551</v>
      </c>
      <c r="I33" s="230"/>
      <c r="J33" s="231">
        <v>1.5</v>
      </c>
      <c r="K33" s="231">
        <v>1.5</v>
      </c>
      <c r="L33" s="231">
        <v>1.5</v>
      </c>
      <c r="M33" s="231">
        <v>1.5</v>
      </c>
      <c r="N33" s="231">
        <v>1.5</v>
      </c>
      <c r="O33" s="231">
        <v>1</v>
      </c>
      <c r="P33" s="231"/>
      <c r="Q33" s="231">
        <v>1.5</v>
      </c>
      <c r="R33" s="231">
        <v>1.5</v>
      </c>
      <c r="S33" s="231">
        <v>1.5</v>
      </c>
      <c r="T33" s="231">
        <v>1.5</v>
      </c>
      <c r="U33" s="231">
        <v>1.5</v>
      </c>
      <c r="V33" s="231">
        <v>1</v>
      </c>
      <c r="W33" s="231"/>
      <c r="X33" s="231"/>
      <c r="Y33" s="231"/>
      <c r="Z33" s="231"/>
      <c r="AA33" s="231">
        <v>1</v>
      </c>
      <c r="AB33" s="231">
        <v>1</v>
      </c>
      <c r="AC33" s="231">
        <v>0.5</v>
      </c>
      <c r="AD33" s="231"/>
      <c r="AE33" s="231">
        <v>1.5</v>
      </c>
      <c r="AF33" s="231">
        <v>1</v>
      </c>
      <c r="AG33" s="231">
        <v>1</v>
      </c>
      <c r="AH33" s="231">
        <v>1.5</v>
      </c>
      <c r="AI33" s="231">
        <v>1.5</v>
      </c>
      <c r="AJ33" s="231"/>
      <c r="AK33" s="186"/>
      <c r="AL33" s="186"/>
      <c r="AM33" s="193"/>
      <c r="AN33" s="232">
        <f t="shared" si="2"/>
        <v>26</v>
      </c>
      <c r="AO33" s="219">
        <v>240000</v>
      </c>
      <c r="AP33" s="233">
        <f t="shared" si="5"/>
        <v>6240000</v>
      </c>
    </row>
    <row r="34" spans="1:42" s="199" customFormat="1" ht="24.95" customHeight="1" x14ac:dyDescent="0.3">
      <c r="A34" s="229">
        <f t="shared" si="1"/>
        <v>29</v>
      </c>
      <c r="B34" s="144" t="s">
        <v>620</v>
      </c>
      <c r="C34" s="221" t="s">
        <v>621</v>
      </c>
      <c r="D34" s="221" t="s">
        <v>234</v>
      </c>
      <c r="E34" s="144" t="s">
        <v>622</v>
      </c>
      <c r="F34" s="222" t="s">
        <v>243</v>
      </c>
      <c r="G34" s="223" t="s">
        <v>620</v>
      </c>
      <c r="H34" s="224" t="s">
        <v>623</v>
      </c>
      <c r="I34" s="230"/>
      <c r="J34" s="231">
        <v>1.5</v>
      </c>
      <c r="K34" s="231">
        <v>1.5</v>
      </c>
      <c r="L34" s="231">
        <v>1.5</v>
      </c>
      <c r="M34" s="231">
        <v>1.5</v>
      </c>
      <c r="N34" s="231">
        <v>1.5</v>
      </c>
      <c r="O34" s="231">
        <v>1</v>
      </c>
      <c r="P34" s="231"/>
      <c r="Q34" s="231">
        <v>1.5</v>
      </c>
      <c r="R34" s="231">
        <v>1.5</v>
      </c>
      <c r="S34" s="231">
        <v>1.5</v>
      </c>
      <c r="T34" s="231">
        <v>1.5</v>
      </c>
      <c r="U34" s="231">
        <v>1.5</v>
      </c>
      <c r="V34" s="231">
        <v>1</v>
      </c>
      <c r="W34" s="231"/>
      <c r="X34" s="231"/>
      <c r="Y34" s="231"/>
      <c r="Z34" s="231"/>
      <c r="AA34" s="231">
        <v>1</v>
      </c>
      <c r="AB34" s="231">
        <v>1</v>
      </c>
      <c r="AC34" s="231">
        <v>1</v>
      </c>
      <c r="AD34" s="231"/>
      <c r="AE34" s="231">
        <v>1.5</v>
      </c>
      <c r="AF34" s="231">
        <v>1.5</v>
      </c>
      <c r="AG34" s="231">
        <v>1.5</v>
      </c>
      <c r="AH34" s="231">
        <v>1.5</v>
      </c>
      <c r="AI34" s="231"/>
      <c r="AJ34" s="231"/>
      <c r="AK34" s="187"/>
      <c r="AL34" s="187"/>
      <c r="AM34" s="152"/>
      <c r="AN34" s="232">
        <f t="shared" si="2"/>
        <v>26</v>
      </c>
      <c r="AO34" s="219">
        <v>180000</v>
      </c>
      <c r="AP34" s="233">
        <f t="shared" si="5"/>
        <v>4680000</v>
      </c>
    </row>
    <row r="35" spans="1:42" s="199" customFormat="1" ht="24.95" customHeight="1" x14ac:dyDescent="0.3">
      <c r="A35" s="229">
        <f t="shared" si="1"/>
        <v>30</v>
      </c>
      <c r="B35" s="144" t="s">
        <v>552</v>
      </c>
      <c r="C35" s="221" t="s">
        <v>553</v>
      </c>
      <c r="D35" s="221" t="s">
        <v>234</v>
      </c>
      <c r="E35" s="144" t="s">
        <v>554</v>
      </c>
      <c r="F35" s="222" t="s">
        <v>236</v>
      </c>
      <c r="G35" s="223" t="s">
        <v>552</v>
      </c>
      <c r="H35" s="224" t="s">
        <v>555</v>
      </c>
      <c r="I35" s="230"/>
      <c r="J35" s="231">
        <v>1.5</v>
      </c>
      <c r="K35" s="231">
        <v>1.5</v>
      </c>
      <c r="L35" s="231">
        <v>1</v>
      </c>
      <c r="M35" s="231">
        <v>1.5</v>
      </c>
      <c r="N35" s="231">
        <v>1.5</v>
      </c>
      <c r="O35" s="231"/>
      <c r="P35" s="231"/>
      <c r="Q35" s="231">
        <v>1.5</v>
      </c>
      <c r="R35" s="231">
        <v>1.5</v>
      </c>
      <c r="S35" s="231">
        <v>1.5</v>
      </c>
      <c r="T35" s="231">
        <v>1.5</v>
      </c>
      <c r="U35" s="231">
        <v>1.5</v>
      </c>
      <c r="V35" s="231">
        <v>1</v>
      </c>
      <c r="W35" s="231"/>
      <c r="X35" s="231"/>
      <c r="Y35" s="231"/>
      <c r="Z35" s="231"/>
      <c r="AA35" s="231">
        <v>1</v>
      </c>
      <c r="AB35" s="231">
        <v>1</v>
      </c>
      <c r="AC35" s="231">
        <v>0.5</v>
      </c>
      <c r="AD35" s="231"/>
      <c r="AE35" s="231">
        <v>1.5</v>
      </c>
      <c r="AF35" s="231">
        <v>1.5</v>
      </c>
      <c r="AG35" s="231">
        <v>1.5</v>
      </c>
      <c r="AH35" s="231">
        <v>1.5</v>
      </c>
      <c r="AI35" s="231">
        <v>1.5</v>
      </c>
      <c r="AJ35" s="231">
        <v>1</v>
      </c>
      <c r="AK35" s="187"/>
      <c r="AL35" s="187"/>
      <c r="AM35" s="152"/>
      <c r="AN35" s="232">
        <f t="shared" si="2"/>
        <v>26.5</v>
      </c>
      <c r="AO35" s="219">
        <v>150000</v>
      </c>
      <c r="AP35" s="233">
        <f t="shared" si="5"/>
        <v>3975000</v>
      </c>
    </row>
    <row r="36" spans="1:42" s="199" customFormat="1" ht="24.95" customHeight="1" x14ac:dyDescent="0.3">
      <c r="A36" s="229">
        <f t="shared" si="1"/>
        <v>31</v>
      </c>
      <c r="B36" s="144" t="s">
        <v>624</v>
      </c>
      <c r="C36" s="221" t="s">
        <v>625</v>
      </c>
      <c r="D36" s="221" t="s">
        <v>606</v>
      </c>
      <c r="E36" s="144" t="s">
        <v>626</v>
      </c>
      <c r="F36" s="222" t="s">
        <v>327</v>
      </c>
      <c r="G36" s="223" t="s">
        <v>624</v>
      </c>
      <c r="H36" s="224" t="s">
        <v>627</v>
      </c>
      <c r="I36" s="230"/>
      <c r="J36" s="231">
        <v>1.5</v>
      </c>
      <c r="K36" s="231">
        <v>1.5</v>
      </c>
      <c r="L36" s="231">
        <v>1.5</v>
      </c>
      <c r="M36" s="231">
        <v>1.5</v>
      </c>
      <c r="N36" s="231">
        <v>1.5</v>
      </c>
      <c r="O36" s="231">
        <v>1</v>
      </c>
      <c r="P36" s="231"/>
      <c r="Q36" s="231">
        <v>1.5</v>
      </c>
      <c r="R36" s="231">
        <v>1.5</v>
      </c>
      <c r="S36" s="231"/>
      <c r="T36" s="231">
        <v>1.5</v>
      </c>
      <c r="U36" s="231">
        <v>1.5</v>
      </c>
      <c r="V36" s="231"/>
      <c r="W36" s="231"/>
      <c r="X36" s="231"/>
      <c r="Y36" s="231"/>
      <c r="Z36" s="231"/>
      <c r="AA36" s="231">
        <v>1</v>
      </c>
      <c r="AB36" s="231">
        <v>1</v>
      </c>
      <c r="AC36" s="231">
        <v>0.5</v>
      </c>
      <c r="AD36" s="231"/>
      <c r="AE36" s="231">
        <v>1.5</v>
      </c>
      <c r="AF36" s="231">
        <v>1.5</v>
      </c>
      <c r="AG36" s="231">
        <v>1</v>
      </c>
      <c r="AH36" s="231">
        <v>1.5</v>
      </c>
      <c r="AI36" s="231">
        <v>1.5</v>
      </c>
      <c r="AJ36" s="231"/>
      <c r="AK36" s="187"/>
      <c r="AL36" s="187"/>
      <c r="AM36" s="152"/>
      <c r="AN36" s="232">
        <f t="shared" si="2"/>
        <v>24</v>
      </c>
      <c r="AO36" s="219">
        <v>240000</v>
      </c>
      <c r="AP36" s="233">
        <f t="shared" si="5"/>
        <v>5760000</v>
      </c>
    </row>
    <row r="37" spans="1:42" s="199" customFormat="1" ht="24.95" customHeight="1" x14ac:dyDescent="0.3">
      <c r="A37" s="229">
        <f t="shared" si="1"/>
        <v>32</v>
      </c>
      <c r="B37" s="144" t="s">
        <v>414</v>
      </c>
      <c r="C37" s="221" t="s">
        <v>415</v>
      </c>
      <c r="D37" s="221" t="s">
        <v>242</v>
      </c>
      <c r="E37" s="144" t="s">
        <v>416</v>
      </c>
      <c r="F37" s="222" t="s">
        <v>417</v>
      </c>
      <c r="G37" s="223" t="s">
        <v>414</v>
      </c>
      <c r="H37" s="224" t="s">
        <v>418</v>
      </c>
      <c r="I37" s="230"/>
      <c r="J37" s="231">
        <v>1.5</v>
      </c>
      <c r="K37" s="231">
        <v>1.5</v>
      </c>
      <c r="L37" s="231">
        <v>1.5</v>
      </c>
      <c r="M37" s="231">
        <v>1.5</v>
      </c>
      <c r="N37" s="231">
        <v>1.5</v>
      </c>
      <c r="O37" s="231">
        <v>1</v>
      </c>
      <c r="P37" s="231"/>
      <c r="Q37" s="231">
        <v>1</v>
      </c>
      <c r="R37" s="231">
        <v>1.5</v>
      </c>
      <c r="S37" s="231">
        <v>1.5</v>
      </c>
      <c r="T37" s="231">
        <v>1.5</v>
      </c>
      <c r="U37" s="231">
        <v>1.5</v>
      </c>
      <c r="V37" s="231"/>
      <c r="W37" s="231"/>
      <c r="X37" s="231"/>
      <c r="Y37" s="231"/>
      <c r="Z37" s="231"/>
      <c r="AA37" s="231">
        <v>1</v>
      </c>
      <c r="AB37" s="231">
        <v>1</v>
      </c>
      <c r="AC37" s="231">
        <v>0.5</v>
      </c>
      <c r="AD37" s="231"/>
      <c r="AE37" s="231">
        <v>1.5</v>
      </c>
      <c r="AF37" s="231">
        <v>1.5</v>
      </c>
      <c r="AG37" s="231">
        <v>1</v>
      </c>
      <c r="AH37" s="231">
        <v>1.5</v>
      </c>
      <c r="AI37" s="231"/>
      <c r="AJ37" s="231"/>
      <c r="AK37" s="187"/>
      <c r="AL37" s="187"/>
      <c r="AM37" s="152"/>
      <c r="AN37" s="232">
        <f t="shared" si="2"/>
        <v>23.5</v>
      </c>
      <c r="AO37" s="219">
        <v>230000</v>
      </c>
      <c r="AP37" s="233">
        <f t="shared" si="5"/>
        <v>5405000</v>
      </c>
    </row>
    <row r="38" spans="1:42" s="199" customFormat="1" ht="24.95" customHeight="1" x14ac:dyDescent="0.3">
      <c r="A38" s="229">
        <f t="shared" si="1"/>
        <v>33</v>
      </c>
      <c r="B38" s="144" t="s">
        <v>419</v>
      </c>
      <c r="C38" s="221" t="s">
        <v>420</v>
      </c>
      <c r="D38" s="221" t="s">
        <v>240</v>
      </c>
      <c r="E38" s="144" t="s">
        <v>421</v>
      </c>
      <c r="F38" s="222" t="s">
        <v>236</v>
      </c>
      <c r="G38" s="223" t="s">
        <v>419</v>
      </c>
      <c r="H38" s="224" t="s">
        <v>422</v>
      </c>
      <c r="I38" s="230"/>
      <c r="J38" s="231">
        <v>1.5</v>
      </c>
      <c r="K38" s="231">
        <v>0.625</v>
      </c>
      <c r="L38" s="231"/>
      <c r="M38" s="231">
        <v>1.5</v>
      </c>
      <c r="N38" s="231">
        <v>1.5</v>
      </c>
      <c r="O38" s="231"/>
      <c r="P38" s="231"/>
      <c r="Q38" s="231">
        <v>1.5</v>
      </c>
      <c r="R38" s="231">
        <v>1.5</v>
      </c>
      <c r="S38" s="231">
        <v>1</v>
      </c>
      <c r="T38" s="231">
        <v>1.5</v>
      </c>
      <c r="U38" s="231">
        <v>1.5</v>
      </c>
      <c r="V38" s="231"/>
      <c r="W38" s="231"/>
      <c r="X38" s="231"/>
      <c r="Y38" s="231"/>
      <c r="Z38" s="231"/>
      <c r="AA38" s="231">
        <v>1</v>
      </c>
      <c r="AB38" s="231">
        <v>1</v>
      </c>
      <c r="AC38" s="231"/>
      <c r="AD38" s="231"/>
      <c r="AE38" s="231">
        <v>1.5</v>
      </c>
      <c r="AF38" s="231">
        <v>1.5</v>
      </c>
      <c r="AG38" s="231"/>
      <c r="AH38" s="231">
        <v>1.5</v>
      </c>
      <c r="AI38" s="231">
        <v>1.5</v>
      </c>
      <c r="AJ38" s="231"/>
      <c r="AK38" s="187"/>
      <c r="AL38" s="187"/>
      <c r="AM38" s="152"/>
      <c r="AN38" s="232">
        <f t="shared" si="2"/>
        <v>20.125</v>
      </c>
      <c r="AO38" s="219">
        <v>240000</v>
      </c>
      <c r="AP38" s="233">
        <f t="shared" si="5"/>
        <v>4830000</v>
      </c>
    </row>
    <row r="39" spans="1:42" s="199" customFormat="1" ht="24.95" customHeight="1" x14ac:dyDescent="0.3">
      <c r="A39" s="229">
        <f t="shared" si="1"/>
        <v>34</v>
      </c>
      <c r="B39" s="144" t="s">
        <v>369</v>
      </c>
      <c r="C39" s="221" t="s">
        <v>423</v>
      </c>
      <c r="D39" s="221" t="s">
        <v>242</v>
      </c>
      <c r="E39" s="144" t="s">
        <v>424</v>
      </c>
      <c r="F39" s="222" t="s">
        <v>327</v>
      </c>
      <c r="G39" s="223" t="s">
        <v>369</v>
      </c>
      <c r="H39" s="224" t="s">
        <v>425</v>
      </c>
      <c r="I39" s="230"/>
      <c r="J39" s="231">
        <v>1.5</v>
      </c>
      <c r="K39" s="231">
        <v>1.5</v>
      </c>
      <c r="L39" s="231">
        <v>1</v>
      </c>
      <c r="M39" s="231">
        <v>1.5</v>
      </c>
      <c r="N39" s="231">
        <v>1.5</v>
      </c>
      <c r="O39" s="231"/>
      <c r="P39" s="231"/>
      <c r="Q39" s="231">
        <v>1.5</v>
      </c>
      <c r="R39" s="231">
        <v>1.5</v>
      </c>
      <c r="S39" s="231">
        <v>1.5</v>
      </c>
      <c r="T39" s="231">
        <v>1.5</v>
      </c>
      <c r="U39" s="231">
        <v>1.5</v>
      </c>
      <c r="V39" s="231"/>
      <c r="W39" s="231"/>
      <c r="X39" s="231"/>
      <c r="Y39" s="231"/>
      <c r="Z39" s="231"/>
      <c r="AA39" s="231">
        <v>1</v>
      </c>
      <c r="AB39" s="231">
        <v>1</v>
      </c>
      <c r="AC39" s="231">
        <v>1</v>
      </c>
      <c r="AD39" s="231"/>
      <c r="AE39" s="231">
        <v>1.5</v>
      </c>
      <c r="AF39" s="231">
        <v>1.5</v>
      </c>
      <c r="AG39" s="231">
        <v>1</v>
      </c>
      <c r="AH39" s="231">
        <v>1.5</v>
      </c>
      <c r="AI39" s="231">
        <v>1.5</v>
      </c>
      <c r="AJ39" s="231"/>
      <c r="AK39" s="186"/>
      <c r="AL39" s="186"/>
      <c r="AM39" s="193"/>
      <c r="AN39" s="232">
        <f t="shared" si="2"/>
        <v>24.5</v>
      </c>
      <c r="AO39" s="219">
        <v>210000</v>
      </c>
      <c r="AP39" s="233">
        <f t="shared" si="5"/>
        <v>5145000</v>
      </c>
    </row>
    <row r="40" spans="1:42" s="199" customFormat="1" ht="24.95" customHeight="1" x14ac:dyDescent="0.3">
      <c r="A40" s="229">
        <f t="shared" si="1"/>
        <v>35</v>
      </c>
      <c r="B40" s="144" t="s">
        <v>369</v>
      </c>
      <c r="C40" s="221" t="s">
        <v>370</v>
      </c>
      <c r="D40" s="221" t="s">
        <v>606</v>
      </c>
      <c r="E40" s="144" t="s">
        <v>371</v>
      </c>
      <c r="F40" s="222" t="s">
        <v>236</v>
      </c>
      <c r="G40" s="223" t="s">
        <v>369</v>
      </c>
      <c r="H40" s="224" t="s">
        <v>372</v>
      </c>
      <c r="I40" s="230"/>
      <c r="J40" s="231">
        <v>1</v>
      </c>
      <c r="K40" s="231"/>
      <c r="L40" s="231">
        <v>1</v>
      </c>
      <c r="M40" s="231">
        <v>1.5</v>
      </c>
      <c r="N40" s="231">
        <v>1.5</v>
      </c>
      <c r="O40" s="231"/>
      <c r="P40" s="231"/>
      <c r="Q40" s="231">
        <v>1.5</v>
      </c>
      <c r="R40" s="231">
        <v>1.5</v>
      </c>
      <c r="S40" s="231">
        <v>1.5</v>
      </c>
      <c r="T40" s="231">
        <v>1.5</v>
      </c>
      <c r="U40" s="231">
        <v>1.5</v>
      </c>
      <c r="V40" s="231">
        <v>1</v>
      </c>
      <c r="W40" s="231"/>
      <c r="X40" s="231"/>
      <c r="Y40" s="231"/>
      <c r="Z40" s="231"/>
      <c r="AA40" s="231"/>
      <c r="AB40" s="231">
        <v>1.5</v>
      </c>
      <c r="AC40" s="231">
        <v>1</v>
      </c>
      <c r="AD40" s="231"/>
      <c r="AE40" s="231">
        <v>1.5</v>
      </c>
      <c r="AF40" s="231">
        <v>1.5</v>
      </c>
      <c r="AG40" s="231">
        <v>1.5</v>
      </c>
      <c r="AH40" s="231">
        <v>0.5</v>
      </c>
      <c r="AI40" s="231">
        <v>1.5</v>
      </c>
      <c r="AJ40" s="231"/>
      <c r="AK40" s="185"/>
      <c r="AL40" s="185"/>
      <c r="AM40" s="195"/>
      <c r="AN40" s="232">
        <f t="shared" si="2"/>
        <v>22.5</v>
      </c>
      <c r="AO40" s="219">
        <v>230000</v>
      </c>
      <c r="AP40" s="233">
        <f t="shared" si="5"/>
        <v>5175000</v>
      </c>
    </row>
    <row r="41" spans="1:42" s="199" customFormat="1" ht="24.95" customHeight="1" x14ac:dyDescent="0.3">
      <c r="A41" s="229">
        <f t="shared" si="1"/>
        <v>36</v>
      </c>
      <c r="B41" s="144" t="s">
        <v>628</v>
      </c>
      <c r="C41" s="221" t="s">
        <v>629</v>
      </c>
      <c r="D41" s="221" t="s">
        <v>234</v>
      </c>
      <c r="E41" s="144" t="s">
        <v>630</v>
      </c>
      <c r="F41" s="222" t="s">
        <v>247</v>
      </c>
      <c r="G41" s="223" t="s">
        <v>628</v>
      </c>
      <c r="H41" s="224" t="s">
        <v>631</v>
      </c>
      <c r="I41" s="230"/>
      <c r="J41" s="144"/>
      <c r="K41" s="231"/>
      <c r="L41" s="231"/>
      <c r="M41" s="231"/>
      <c r="N41" s="231"/>
      <c r="O41" s="231"/>
      <c r="P41" s="231"/>
      <c r="Q41" s="231">
        <v>0.75</v>
      </c>
      <c r="R41" s="231">
        <v>0.375</v>
      </c>
      <c r="S41" s="231">
        <v>0.625</v>
      </c>
      <c r="T41" s="231">
        <v>1.5</v>
      </c>
      <c r="U41" s="231">
        <v>1.5</v>
      </c>
      <c r="V41" s="231"/>
      <c r="W41" s="231"/>
      <c r="X41" s="231"/>
      <c r="Y41" s="231"/>
      <c r="Z41" s="231"/>
      <c r="AA41" s="231">
        <v>1</v>
      </c>
      <c r="AB41" s="231">
        <v>1.5</v>
      </c>
      <c r="AC41" s="231">
        <v>1</v>
      </c>
      <c r="AD41" s="231"/>
      <c r="AE41" s="231">
        <v>1.5</v>
      </c>
      <c r="AF41" s="231">
        <v>1.5</v>
      </c>
      <c r="AG41" s="231">
        <v>1</v>
      </c>
      <c r="AH41" s="231">
        <v>1.5</v>
      </c>
      <c r="AI41" s="231">
        <v>1.5</v>
      </c>
      <c r="AJ41" s="231"/>
      <c r="AK41" s="187"/>
      <c r="AL41" s="187"/>
      <c r="AM41" s="152"/>
      <c r="AN41" s="232">
        <f t="shared" si="2"/>
        <v>15.25</v>
      </c>
      <c r="AO41" s="219">
        <v>150000</v>
      </c>
      <c r="AP41" s="233">
        <f t="shared" si="5"/>
        <v>2287500</v>
      </c>
    </row>
    <row r="42" spans="1:42" s="199" customFormat="1" ht="24.95" customHeight="1" x14ac:dyDescent="0.3">
      <c r="A42" s="229">
        <f t="shared" si="1"/>
        <v>37</v>
      </c>
      <c r="B42" s="144" t="s">
        <v>556</v>
      </c>
      <c r="C42" s="221" t="s">
        <v>557</v>
      </c>
      <c r="D42" s="221" t="s">
        <v>234</v>
      </c>
      <c r="E42" s="144" t="s">
        <v>558</v>
      </c>
      <c r="F42" s="222" t="s">
        <v>327</v>
      </c>
      <c r="G42" s="223" t="s">
        <v>556</v>
      </c>
      <c r="H42" s="224" t="s">
        <v>559</v>
      </c>
      <c r="I42" s="230"/>
      <c r="J42" s="231">
        <v>1.5</v>
      </c>
      <c r="K42" s="231">
        <v>1.5</v>
      </c>
      <c r="L42" s="231">
        <v>1</v>
      </c>
      <c r="M42" s="231">
        <v>1.5</v>
      </c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187"/>
      <c r="AL42" s="187"/>
      <c r="AM42" s="152"/>
      <c r="AN42" s="232">
        <f t="shared" si="2"/>
        <v>5.5</v>
      </c>
      <c r="AO42" s="219">
        <v>150000</v>
      </c>
      <c r="AP42" s="233">
        <f t="shared" si="5"/>
        <v>825000</v>
      </c>
    </row>
    <row r="43" spans="1:42" s="199" customFormat="1" ht="24.95" customHeight="1" x14ac:dyDescent="0.3">
      <c r="A43" s="229">
        <f t="shared" si="1"/>
        <v>38</v>
      </c>
      <c r="B43" s="144" t="s">
        <v>426</v>
      </c>
      <c r="C43" s="221" t="s">
        <v>427</v>
      </c>
      <c r="D43" s="221" t="s">
        <v>234</v>
      </c>
      <c r="E43" s="144" t="s">
        <v>428</v>
      </c>
      <c r="F43" s="222" t="s">
        <v>243</v>
      </c>
      <c r="G43" s="223" t="s">
        <v>426</v>
      </c>
      <c r="H43" s="224" t="s">
        <v>429</v>
      </c>
      <c r="I43" s="230"/>
      <c r="J43" s="231">
        <v>1.5</v>
      </c>
      <c r="K43" s="231">
        <v>1.5</v>
      </c>
      <c r="L43" s="231">
        <v>1</v>
      </c>
      <c r="M43" s="231">
        <v>1.5</v>
      </c>
      <c r="N43" s="231">
        <v>1.5</v>
      </c>
      <c r="O43" s="231">
        <v>1</v>
      </c>
      <c r="P43" s="231"/>
      <c r="Q43" s="231">
        <v>1.5</v>
      </c>
      <c r="R43" s="231">
        <v>1.5</v>
      </c>
      <c r="S43" s="231">
        <v>1.5</v>
      </c>
      <c r="T43" s="231">
        <v>1.5</v>
      </c>
      <c r="U43" s="231">
        <v>1.5</v>
      </c>
      <c r="V43" s="231">
        <v>1</v>
      </c>
      <c r="W43" s="231"/>
      <c r="X43" s="231"/>
      <c r="Y43" s="231"/>
      <c r="Z43" s="231"/>
      <c r="AA43" s="231">
        <v>1</v>
      </c>
      <c r="AB43" s="231">
        <v>1</v>
      </c>
      <c r="AC43" s="231">
        <v>0.5</v>
      </c>
      <c r="AD43" s="231"/>
      <c r="AE43" s="231">
        <v>1.5</v>
      </c>
      <c r="AF43" s="231">
        <v>1.5</v>
      </c>
      <c r="AG43" s="231">
        <v>1.5</v>
      </c>
      <c r="AH43" s="231">
        <v>1.5</v>
      </c>
      <c r="AI43" s="231">
        <v>1.5</v>
      </c>
      <c r="AJ43" s="231">
        <v>1</v>
      </c>
      <c r="AK43" s="187"/>
      <c r="AL43" s="187"/>
      <c r="AM43" s="152"/>
      <c r="AN43" s="232">
        <f t="shared" si="2"/>
        <v>27.5</v>
      </c>
      <c r="AO43" s="219">
        <v>145000</v>
      </c>
      <c r="AP43" s="233">
        <f t="shared" si="5"/>
        <v>3987500</v>
      </c>
    </row>
    <row r="44" spans="1:42" s="199" customFormat="1" ht="24.95" customHeight="1" x14ac:dyDescent="0.3">
      <c r="A44" s="229">
        <f t="shared" si="1"/>
        <v>39</v>
      </c>
      <c r="B44" s="144" t="s">
        <v>632</v>
      </c>
      <c r="C44" s="221" t="s">
        <v>633</v>
      </c>
      <c r="D44" s="221" t="s">
        <v>234</v>
      </c>
      <c r="E44" s="144" t="s">
        <v>634</v>
      </c>
      <c r="F44" s="222" t="s">
        <v>327</v>
      </c>
      <c r="G44" s="223" t="s">
        <v>632</v>
      </c>
      <c r="H44" s="224" t="s">
        <v>635</v>
      </c>
      <c r="I44" s="230"/>
      <c r="J44" s="231">
        <v>1.5</v>
      </c>
      <c r="K44" s="231">
        <v>1.5</v>
      </c>
      <c r="L44" s="231">
        <v>1.5</v>
      </c>
      <c r="M44" s="231">
        <v>1.5</v>
      </c>
      <c r="N44" s="231">
        <v>1.5</v>
      </c>
      <c r="O44" s="231"/>
      <c r="P44" s="231"/>
      <c r="Q44" s="231">
        <v>1.5</v>
      </c>
      <c r="R44" s="231">
        <v>1.5</v>
      </c>
      <c r="S44" s="231">
        <v>1.5</v>
      </c>
      <c r="T44" s="231">
        <v>1.5</v>
      </c>
      <c r="U44" s="231">
        <v>1.5</v>
      </c>
      <c r="V44" s="231"/>
      <c r="W44" s="231"/>
      <c r="X44" s="231"/>
      <c r="Y44" s="231"/>
      <c r="Z44" s="231"/>
      <c r="AA44" s="231">
        <v>1</v>
      </c>
      <c r="AB44" s="231">
        <v>1</v>
      </c>
      <c r="AC44" s="231">
        <v>0.5</v>
      </c>
      <c r="AD44" s="231"/>
      <c r="AE44" s="231">
        <v>1.5</v>
      </c>
      <c r="AF44" s="231">
        <v>1.5</v>
      </c>
      <c r="AG44" s="231">
        <v>1</v>
      </c>
      <c r="AH44" s="231">
        <v>1.5</v>
      </c>
      <c r="AI44" s="231">
        <v>1.5</v>
      </c>
      <c r="AJ44" s="231"/>
      <c r="AK44" s="187"/>
      <c r="AL44" s="187"/>
      <c r="AM44" s="152"/>
      <c r="AN44" s="232">
        <f t="shared" si="2"/>
        <v>24.5</v>
      </c>
      <c r="AO44" s="219">
        <v>210000</v>
      </c>
      <c r="AP44" s="233">
        <f t="shared" ref="AP44:AP58" si="6">AN44*AO44</f>
        <v>5145000</v>
      </c>
    </row>
    <row r="45" spans="1:42" s="199" customFormat="1" ht="24.95" customHeight="1" x14ac:dyDescent="0.3">
      <c r="A45" s="229">
        <f t="shared" si="1"/>
        <v>40</v>
      </c>
      <c r="B45" s="144" t="s">
        <v>430</v>
      </c>
      <c r="C45" s="221" t="s">
        <v>431</v>
      </c>
      <c r="D45" s="221" t="s">
        <v>242</v>
      </c>
      <c r="E45" s="144" t="s">
        <v>432</v>
      </c>
      <c r="F45" s="222" t="s">
        <v>327</v>
      </c>
      <c r="G45" s="223" t="s">
        <v>430</v>
      </c>
      <c r="H45" s="224" t="s">
        <v>433</v>
      </c>
      <c r="I45" s="230"/>
      <c r="J45" s="231">
        <v>1.5</v>
      </c>
      <c r="K45" s="231">
        <v>1.5</v>
      </c>
      <c r="L45" s="231">
        <v>1</v>
      </c>
      <c r="M45" s="231">
        <v>1.5</v>
      </c>
      <c r="N45" s="231">
        <v>1.5</v>
      </c>
      <c r="O45" s="231">
        <v>1</v>
      </c>
      <c r="P45" s="231"/>
      <c r="Q45" s="231">
        <v>1.5</v>
      </c>
      <c r="R45" s="231">
        <v>1.5</v>
      </c>
      <c r="S45" s="231">
        <v>1</v>
      </c>
      <c r="T45" s="231">
        <v>1.5</v>
      </c>
      <c r="U45" s="231">
        <v>1.5</v>
      </c>
      <c r="V45" s="231"/>
      <c r="W45" s="231"/>
      <c r="X45" s="231"/>
      <c r="Y45" s="231"/>
      <c r="Z45" s="231"/>
      <c r="AA45" s="231">
        <v>1</v>
      </c>
      <c r="AB45" s="231">
        <v>1</v>
      </c>
      <c r="AC45" s="231">
        <v>0.5</v>
      </c>
      <c r="AD45" s="231"/>
      <c r="AE45" s="231">
        <v>1.5</v>
      </c>
      <c r="AF45" s="231">
        <v>1.5</v>
      </c>
      <c r="AG45" s="231">
        <v>1.5</v>
      </c>
      <c r="AH45" s="231">
        <v>1.5</v>
      </c>
      <c r="AI45" s="231">
        <v>1.5</v>
      </c>
      <c r="AJ45" s="231"/>
      <c r="AK45" s="187"/>
      <c r="AL45" s="187"/>
      <c r="AM45" s="152"/>
      <c r="AN45" s="232">
        <f t="shared" si="2"/>
        <v>25</v>
      </c>
      <c r="AO45" s="219">
        <v>200000</v>
      </c>
      <c r="AP45" s="233">
        <f t="shared" si="6"/>
        <v>5000000</v>
      </c>
    </row>
    <row r="46" spans="1:42" s="199" customFormat="1" ht="24.95" customHeight="1" x14ac:dyDescent="0.3">
      <c r="A46" s="229">
        <f t="shared" si="1"/>
        <v>41</v>
      </c>
      <c r="B46" s="144" t="s">
        <v>636</v>
      </c>
      <c r="C46" s="221" t="s">
        <v>637</v>
      </c>
      <c r="D46" s="221" t="s">
        <v>234</v>
      </c>
      <c r="E46" s="144" t="s">
        <v>638</v>
      </c>
      <c r="F46" s="222" t="s">
        <v>236</v>
      </c>
      <c r="G46" s="223" t="s">
        <v>636</v>
      </c>
      <c r="H46" s="224" t="s">
        <v>639</v>
      </c>
      <c r="I46" s="230"/>
      <c r="J46" s="231">
        <v>1.5</v>
      </c>
      <c r="K46" s="231">
        <v>1.5</v>
      </c>
      <c r="L46" s="231">
        <v>1.5</v>
      </c>
      <c r="M46" s="231">
        <v>1.5</v>
      </c>
      <c r="N46" s="231"/>
      <c r="O46" s="231"/>
      <c r="P46" s="231"/>
      <c r="Q46" s="231">
        <v>1.5</v>
      </c>
      <c r="R46" s="231">
        <v>1.5</v>
      </c>
      <c r="S46" s="231">
        <v>1.5</v>
      </c>
      <c r="T46" s="231">
        <v>1.5</v>
      </c>
      <c r="U46" s="231">
        <v>1.5</v>
      </c>
      <c r="V46" s="231">
        <v>1</v>
      </c>
      <c r="W46" s="231"/>
      <c r="X46" s="231"/>
      <c r="Y46" s="231"/>
      <c r="Z46" s="231"/>
      <c r="AA46" s="231">
        <v>0.5</v>
      </c>
      <c r="AB46" s="231">
        <v>1</v>
      </c>
      <c r="AC46" s="231">
        <v>0.5</v>
      </c>
      <c r="AD46" s="231"/>
      <c r="AE46" s="231">
        <v>1.5</v>
      </c>
      <c r="AF46" s="231">
        <v>1.5</v>
      </c>
      <c r="AG46" s="231">
        <v>1.5</v>
      </c>
      <c r="AH46" s="231">
        <v>1.5</v>
      </c>
      <c r="AI46" s="231">
        <v>1.5</v>
      </c>
      <c r="AJ46" s="231"/>
      <c r="AK46" s="187"/>
      <c r="AL46" s="187"/>
      <c r="AM46" s="152"/>
      <c r="AN46" s="232">
        <f t="shared" si="2"/>
        <v>24</v>
      </c>
      <c r="AO46" s="219">
        <v>150000</v>
      </c>
      <c r="AP46" s="233">
        <f t="shared" si="6"/>
        <v>3600000</v>
      </c>
    </row>
    <row r="47" spans="1:42" s="199" customFormat="1" ht="24.95" customHeight="1" x14ac:dyDescent="0.3">
      <c r="A47" s="229">
        <f t="shared" si="1"/>
        <v>42</v>
      </c>
      <c r="B47" s="144" t="s">
        <v>434</v>
      </c>
      <c r="C47" s="221" t="s">
        <v>435</v>
      </c>
      <c r="D47" s="221" t="s">
        <v>328</v>
      </c>
      <c r="E47" s="144" t="s">
        <v>436</v>
      </c>
      <c r="F47" s="222" t="s">
        <v>236</v>
      </c>
      <c r="G47" s="223" t="s">
        <v>434</v>
      </c>
      <c r="H47" s="224" t="s">
        <v>437</v>
      </c>
      <c r="I47" s="230"/>
      <c r="J47" s="231">
        <v>1.5</v>
      </c>
      <c r="K47" s="231">
        <v>1.5</v>
      </c>
      <c r="L47" s="231">
        <v>1</v>
      </c>
      <c r="M47" s="231">
        <v>1.5</v>
      </c>
      <c r="N47" s="231">
        <v>1.5</v>
      </c>
      <c r="O47" s="231">
        <v>1</v>
      </c>
      <c r="P47" s="231"/>
      <c r="Q47" s="231">
        <v>1.5</v>
      </c>
      <c r="R47" s="231">
        <v>1.5</v>
      </c>
      <c r="S47" s="231">
        <v>1</v>
      </c>
      <c r="T47" s="231">
        <v>1.5</v>
      </c>
      <c r="U47" s="231">
        <v>1.5</v>
      </c>
      <c r="V47" s="231"/>
      <c r="W47" s="231"/>
      <c r="X47" s="231"/>
      <c r="Y47" s="231"/>
      <c r="Z47" s="231"/>
      <c r="AA47" s="231">
        <v>1</v>
      </c>
      <c r="AB47" s="231">
        <v>1.5</v>
      </c>
      <c r="AC47" s="231">
        <v>1</v>
      </c>
      <c r="AD47" s="231"/>
      <c r="AE47" s="231">
        <v>1.5</v>
      </c>
      <c r="AF47" s="231">
        <v>1.5</v>
      </c>
      <c r="AG47" s="231">
        <v>1</v>
      </c>
      <c r="AH47" s="231">
        <v>1.5</v>
      </c>
      <c r="AI47" s="231">
        <v>1.5</v>
      </c>
      <c r="AJ47" s="231">
        <v>1</v>
      </c>
      <c r="AK47" s="187"/>
      <c r="AL47" s="187"/>
      <c r="AM47" s="152"/>
      <c r="AN47" s="232">
        <f t="shared" si="2"/>
        <v>26.5</v>
      </c>
      <c r="AO47" s="219">
        <v>160000</v>
      </c>
      <c r="AP47" s="233">
        <f t="shared" si="6"/>
        <v>4240000</v>
      </c>
    </row>
    <row r="48" spans="1:42" s="199" customFormat="1" ht="24.95" customHeight="1" x14ac:dyDescent="0.3">
      <c r="A48" s="229">
        <f t="shared" si="1"/>
        <v>43</v>
      </c>
      <c r="B48" s="144" t="s">
        <v>640</v>
      </c>
      <c r="C48" s="221" t="s">
        <v>641</v>
      </c>
      <c r="D48" s="221" t="s">
        <v>242</v>
      </c>
      <c r="E48" s="144" t="s">
        <v>642</v>
      </c>
      <c r="F48" s="222" t="s">
        <v>246</v>
      </c>
      <c r="G48" s="223" t="s">
        <v>640</v>
      </c>
      <c r="H48" s="224" t="s">
        <v>643</v>
      </c>
      <c r="I48" s="230"/>
      <c r="J48" s="231">
        <v>1.5</v>
      </c>
      <c r="K48" s="231">
        <v>1.5</v>
      </c>
      <c r="L48" s="231">
        <v>1.5</v>
      </c>
      <c r="M48" s="231">
        <v>1.5</v>
      </c>
      <c r="N48" s="231">
        <v>1.5</v>
      </c>
      <c r="O48" s="231">
        <v>1</v>
      </c>
      <c r="P48" s="231"/>
      <c r="Q48" s="231">
        <v>1.5</v>
      </c>
      <c r="R48" s="231">
        <v>1.5</v>
      </c>
      <c r="S48" s="231">
        <v>1.5</v>
      </c>
      <c r="T48" s="231">
        <v>1.5</v>
      </c>
      <c r="U48" s="231">
        <v>1.5</v>
      </c>
      <c r="V48" s="231">
        <v>1</v>
      </c>
      <c r="W48" s="231"/>
      <c r="X48" s="231"/>
      <c r="Y48" s="231"/>
      <c r="Z48" s="231"/>
      <c r="AA48" s="231">
        <v>1</v>
      </c>
      <c r="AB48" s="231">
        <v>1.5</v>
      </c>
      <c r="AC48" s="231">
        <v>0.5</v>
      </c>
      <c r="AD48" s="231"/>
      <c r="AE48" s="231">
        <v>1.5</v>
      </c>
      <c r="AF48" s="231">
        <v>1.5</v>
      </c>
      <c r="AG48" s="231">
        <v>1.5</v>
      </c>
      <c r="AH48" s="231">
        <v>1.5</v>
      </c>
      <c r="AI48" s="231">
        <v>1.5</v>
      </c>
      <c r="AJ48" s="231"/>
      <c r="AK48" s="186"/>
      <c r="AL48" s="186"/>
      <c r="AM48" s="193"/>
      <c r="AN48" s="232">
        <f t="shared" si="2"/>
        <v>27.5</v>
      </c>
      <c r="AO48" s="219">
        <v>230000</v>
      </c>
      <c r="AP48" s="233">
        <f t="shared" si="6"/>
        <v>6325000</v>
      </c>
    </row>
    <row r="49" spans="1:42" s="199" customFormat="1" ht="24.95" customHeight="1" x14ac:dyDescent="0.3">
      <c r="A49" s="229">
        <f t="shared" si="1"/>
        <v>44</v>
      </c>
      <c r="B49" s="144" t="s">
        <v>438</v>
      </c>
      <c r="C49" s="221" t="s">
        <v>439</v>
      </c>
      <c r="D49" s="221" t="s">
        <v>234</v>
      </c>
      <c r="E49" s="144" t="s">
        <v>440</v>
      </c>
      <c r="F49" s="222" t="s">
        <v>236</v>
      </c>
      <c r="G49" s="223" t="s">
        <v>438</v>
      </c>
      <c r="H49" s="224" t="s">
        <v>644</v>
      </c>
      <c r="I49" s="230"/>
      <c r="J49" s="231">
        <v>1.5</v>
      </c>
      <c r="K49" s="231">
        <v>1.5</v>
      </c>
      <c r="L49" s="231"/>
      <c r="M49" s="231">
        <v>1.5</v>
      </c>
      <c r="N49" s="231">
        <v>1.5</v>
      </c>
      <c r="O49" s="231"/>
      <c r="P49" s="231"/>
      <c r="Q49" s="231"/>
      <c r="R49" s="231">
        <v>1.5</v>
      </c>
      <c r="S49" s="231">
        <v>0.5</v>
      </c>
      <c r="T49" s="231">
        <v>1.5</v>
      </c>
      <c r="U49" s="231">
        <v>1.5</v>
      </c>
      <c r="V49" s="231"/>
      <c r="W49" s="231"/>
      <c r="X49" s="231"/>
      <c r="Y49" s="231"/>
      <c r="Z49" s="231"/>
      <c r="AA49" s="231"/>
      <c r="AB49" s="231"/>
      <c r="AC49" s="231"/>
      <c r="AD49" s="231"/>
      <c r="AE49" s="231">
        <v>0.5</v>
      </c>
      <c r="AF49" s="231"/>
      <c r="AG49" s="231"/>
      <c r="AH49" s="231"/>
      <c r="AI49" s="231"/>
      <c r="AJ49" s="231"/>
      <c r="AK49" s="187"/>
      <c r="AL49" s="187"/>
      <c r="AM49" s="152"/>
      <c r="AN49" s="232">
        <f t="shared" si="2"/>
        <v>11.5</v>
      </c>
      <c r="AO49" s="219">
        <v>150000</v>
      </c>
      <c r="AP49" s="233">
        <f t="shared" si="6"/>
        <v>1725000</v>
      </c>
    </row>
    <row r="50" spans="1:42" s="199" customFormat="1" ht="24.95" customHeight="1" x14ac:dyDescent="0.3">
      <c r="A50" s="229">
        <f t="shared" si="1"/>
        <v>45</v>
      </c>
      <c r="B50" s="144" t="s">
        <v>645</v>
      </c>
      <c r="C50" s="221" t="s">
        <v>646</v>
      </c>
      <c r="D50" s="221" t="s">
        <v>602</v>
      </c>
      <c r="E50" s="144" t="s">
        <v>647</v>
      </c>
      <c r="F50" s="222" t="s">
        <v>327</v>
      </c>
      <c r="G50" s="223" t="s">
        <v>645</v>
      </c>
      <c r="H50" s="224" t="s">
        <v>648</v>
      </c>
      <c r="I50" s="230"/>
      <c r="J50" s="231">
        <v>1.5</v>
      </c>
      <c r="K50" s="231">
        <v>1.5</v>
      </c>
      <c r="L50" s="231">
        <v>1</v>
      </c>
      <c r="M50" s="231">
        <v>1.5</v>
      </c>
      <c r="N50" s="231">
        <v>1.5</v>
      </c>
      <c r="O50" s="231"/>
      <c r="P50" s="231"/>
      <c r="Q50" s="231">
        <v>1.5</v>
      </c>
      <c r="R50" s="231">
        <v>1.5</v>
      </c>
      <c r="S50" s="231">
        <v>1</v>
      </c>
      <c r="T50" s="231">
        <v>1.5</v>
      </c>
      <c r="U50" s="231">
        <v>1.5</v>
      </c>
      <c r="V50" s="231">
        <v>1</v>
      </c>
      <c r="W50" s="231"/>
      <c r="X50" s="231"/>
      <c r="Y50" s="231"/>
      <c r="Z50" s="231"/>
      <c r="AA50" s="231">
        <v>1</v>
      </c>
      <c r="AB50" s="231">
        <v>1.5</v>
      </c>
      <c r="AC50" s="231"/>
      <c r="AD50" s="231"/>
      <c r="AE50" s="231">
        <v>1.5</v>
      </c>
      <c r="AF50" s="231">
        <v>1.5</v>
      </c>
      <c r="AG50" s="231">
        <v>1.5</v>
      </c>
      <c r="AH50" s="231">
        <v>1.5</v>
      </c>
      <c r="AI50" s="231">
        <v>1.5</v>
      </c>
      <c r="AJ50" s="231">
        <v>1</v>
      </c>
      <c r="AK50" s="186"/>
      <c r="AL50" s="186"/>
      <c r="AM50" s="195"/>
      <c r="AN50" s="232">
        <f t="shared" si="2"/>
        <v>26</v>
      </c>
      <c r="AO50" s="219">
        <v>180000</v>
      </c>
      <c r="AP50" s="233">
        <f t="shared" si="6"/>
        <v>4680000</v>
      </c>
    </row>
    <row r="51" spans="1:42" s="199" customFormat="1" ht="24.95" customHeight="1" x14ac:dyDescent="0.3">
      <c r="A51" s="229">
        <f t="shared" si="1"/>
        <v>46</v>
      </c>
      <c r="B51" s="144" t="s">
        <v>649</v>
      </c>
      <c r="C51" s="221" t="s">
        <v>560</v>
      </c>
      <c r="D51" s="221" t="s">
        <v>234</v>
      </c>
      <c r="E51" s="144" t="s">
        <v>561</v>
      </c>
      <c r="F51" s="222" t="s">
        <v>243</v>
      </c>
      <c r="G51" s="223" t="s">
        <v>649</v>
      </c>
      <c r="H51" s="224" t="s">
        <v>650</v>
      </c>
      <c r="I51" s="230"/>
      <c r="J51" s="231">
        <v>1.5</v>
      </c>
      <c r="K51" s="231">
        <v>1.5</v>
      </c>
      <c r="L51" s="231">
        <v>1.5</v>
      </c>
      <c r="M51" s="231">
        <v>1.5</v>
      </c>
      <c r="N51" s="231">
        <v>1.5</v>
      </c>
      <c r="O51" s="231">
        <v>1</v>
      </c>
      <c r="P51" s="231"/>
      <c r="Q51" s="231">
        <v>1.5</v>
      </c>
      <c r="R51" s="231">
        <v>0.5</v>
      </c>
      <c r="S51" s="231">
        <v>1.5</v>
      </c>
      <c r="T51" s="231">
        <v>1.5</v>
      </c>
      <c r="U51" s="231">
        <v>1.5</v>
      </c>
      <c r="V51" s="231"/>
      <c r="W51" s="231"/>
      <c r="X51" s="231"/>
      <c r="Y51" s="231"/>
      <c r="Z51" s="231"/>
      <c r="AA51" s="231">
        <v>1</v>
      </c>
      <c r="AB51" s="231">
        <v>1</v>
      </c>
      <c r="AC51" s="231">
        <v>0.375</v>
      </c>
      <c r="AD51" s="231"/>
      <c r="AE51" s="231">
        <v>1.5</v>
      </c>
      <c r="AF51" s="231">
        <v>1.5</v>
      </c>
      <c r="AG51" s="231">
        <v>1</v>
      </c>
      <c r="AH51" s="231">
        <v>1</v>
      </c>
      <c r="AI51" s="231">
        <v>0.5</v>
      </c>
      <c r="AJ51" s="231"/>
      <c r="AK51" s="186"/>
      <c r="AL51" s="186"/>
      <c r="AM51" s="193"/>
      <c r="AN51" s="232">
        <f t="shared" si="2"/>
        <v>22.875</v>
      </c>
      <c r="AO51" s="219">
        <v>150000</v>
      </c>
      <c r="AP51" s="233">
        <f t="shared" si="6"/>
        <v>3431250</v>
      </c>
    </row>
    <row r="52" spans="1:42" s="199" customFormat="1" ht="24.95" customHeight="1" x14ac:dyDescent="0.3">
      <c r="A52" s="229">
        <f t="shared" si="1"/>
        <v>47</v>
      </c>
      <c r="B52" s="144" t="s">
        <v>651</v>
      </c>
      <c r="C52" s="221" t="s">
        <v>652</v>
      </c>
      <c r="D52" s="221" t="s">
        <v>234</v>
      </c>
      <c r="E52" s="144" t="s">
        <v>653</v>
      </c>
      <c r="F52" s="222" t="s">
        <v>243</v>
      </c>
      <c r="G52" s="223" t="s">
        <v>651</v>
      </c>
      <c r="H52" s="224" t="s">
        <v>654</v>
      </c>
      <c r="I52" s="230"/>
      <c r="J52" s="144"/>
      <c r="K52" s="231"/>
      <c r="L52" s="231"/>
      <c r="M52" s="231"/>
      <c r="N52" s="231"/>
      <c r="O52" s="231"/>
      <c r="P52" s="231"/>
      <c r="Q52" s="231">
        <v>0.75</v>
      </c>
      <c r="R52" s="231"/>
      <c r="S52" s="231">
        <v>1</v>
      </c>
      <c r="T52" s="231">
        <v>1.25</v>
      </c>
      <c r="U52" s="231">
        <v>1.5</v>
      </c>
      <c r="V52" s="231"/>
      <c r="W52" s="231"/>
      <c r="X52" s="231"/>
      <c r="Y52" s="231"/>
      <c r="Z52" s="231"/>
      <c r="AA52" s="231">
        <v>1</v>
      </c>
      <c r="AB52" s="231">
        <v>1.5</v>
      </c>
      <c r="AC52" s="231"/>
      <c r="AD52" s="231"/>
      <c r="AE52" s="231">
        <v>1.5</v>
      </c>
      <c r="AF52" s="231">
        <v>1.5</v>
      </c>
      <c r="AG52" s="231">
        <v>1</v>
      </c>
      <c r="AH52" s="231">
        <v>1.5</v>
      </c>
      <c r="AI52" s="231">
        <v>1.5</v>
      </c>
      <c r="AJ52" s="231"/>
      <c r="AK52" s="187"/>
      <c r="AL52" s="187"/>
      <c r="AM52" s="152"/>
      <c r="AN52" s="232">
        <f t="shared" si="2"/>
        <v>14</v>
      </c>
      <c r="AO52" s="219">
        <v>140000</v>
      </c>
      <c r="AP52" s="233">
        <f t="shared" si="6"/>
        <v>1960000</v>
      </c>
    </row>
    <row r="53" spans="1:42" s="199" customFormat="1" ht="24.95" customHeight="1" x14ac:dyDescent="0.3">
      <c r="A53" s="229">
        <f t="shared" si="1"/>
        <v>48</v>
      </c>
      <c r="B53" s="144" t="s">
        <v>441</v>
      </c>
      <c r="C53" s="221" t="s">
        <v>442</v>
      </c>
      <c r="D53" s="221" t="s">
        <v>242</v>
      </c>
      <c r="E53" s="144" t="s">
        <v>443</v>
      </c>
      <c r="F53" s="222" t="s">
        <v>246</v>
      </c>
      <c r="G53" s="223" t="s">
        <v>441</v>
      </c>
      <c r="H53" s="224" t="s">
        <v>444</v>
      </c>
      <c r="I53" s="230"/>
      <c r="J53" s="231">
        <v>1.5</v>
      </c>
      <c r="K53" s="231">
        <v>1.5</v>
      </c>
      <c r="L53" s="231">
        <v>1.5</v>
      </c>
      <c r="M53" s="231">
        <v>1.5</v>
      </c>
      <c r="N53" s="231">
        <v>1.5</v>
      </c>
      <c r="O53" s="231">
        <v>1</v>
      </c>
      <c r="P53" s="231"/>
      <c r="Q53" s="231">
        <v>1.5</v>
      </c>
      <c r="R53" s="231">
        <v>1.5</v>
      </c>
      <c r="S53" s="231">
        <v>1</v>
      </c>
      <c r="T53" s="231">
        <v>1.5</v>
      </c>
      <c r="U53" s="231">
        <v>1.5</v>
      </c>
      <c r="V53" s="231"/>
      <c r="W53" s="231"/>
      <c r="X53" s="231"/>
      <c r="Y53" s="231"/>
      <c r="Z53" s="231"/>
      <c r="AA53" s="231">
        <v>1</v>
      </c>
      <c r="AB53" s="231">
        <v>1</v>
      </c>
      <c r="AC53" s="231">
        <v>0.5</v>
      </c>
      <c r="AD53" s="231"/>
      <c r="AE53" s="231">
        <v>1.5</v>
      </c>
      <c r="AF53" s="231">
        <v>1.5</v>
      </c>
      <c r="AG53" s="231">
        <v>1</v>
      </c>
      <c r="AH53" s="231">
        <v>1.5</v>
      </c>
      <c r="AI53" s="231">
        <v>1.5</v>
      </c>
      <c r="AJ53" s="231"/>
      <c r="AK53" s="187"/>
      <c r="AL53" s="187"/>
      <c r="AM53" s="152"/>
      <c r="AN53" s="232">
        <f t="shared" si="2"/>
        <v>25</v>
      </c>
      <c r="AO53" s="219">
        <v>180000</v>
      </c>
      <c r="AP53" s="233">
        <f t="shared" si="6"/>
        <v>4500000</v>
      </c>
    </row>
    <row r="54" spans="1:42" s="199" customFormat="1" ht="24.95" customHeight="1" x14ac:dyDescent="0.3">
      <c r="A54" s="229">
        <f t="shared" si="1"/>
        <v>49</v>
      </c>
      <c r="B54" s="144" t="s">
        <v>655</v>
      </c>
      <c r="C54" s="221" t="s">
        <v>656</v>
      </c>
      <c r="D54" s="221" t="s">
        <v>242</v>
      </c>
      <c r="E54" s="144" t="s">
        <v>657</v>
      </c>
      <c r="F54" s="222" t="s">
        <v>243</v>
      </c>
      <c r="G54" s="223" t="s">
        <v>655</v>
      </c>
      <c r="H54" s="224" t="s">
        <v>658</v>
      </c>
      <c r="I54" s="230"/>
      <c r="J54" s="231">
        <v>1.5</v>
      </c>
      <c r="K54" s="231">
        <v>1.5</v>
      </c>
      <c r="L54" s="231">
        <v>1.5</v>
      </c>
      <c r="M54" s="231">
        <v>0.5</v>
      </c>
      <c r="N54" s="231"/>
      <c r="O54" s="231">
        <v>1</v>
      </c>
      <c r="P54" s="231"/>
      <c r="Q54" s="231">
        <v>1.5</v>
      </c>
      <c r="R54" s="231">
        <v>1.5</v>
      </c>
      <c r="S54" s="231">
        <v>1</v>
      </c>
      <c r="T54" s="231">
        <v>1.5</v>
      </c>
      <c r="U54" s="231">
        <v>1.5</v>
      </c>
      <c r="V54" s="231"/>
      <c r="W54" s="231"/>
      <c r="X54" s="231"/>
      <c r="Y54" s="231"/>
      <c r="Z54" s="231"/>
      <c r="AA54" s="231">
        <v>1</v>
      </c>
      <c r="AB54" s="231">
        <v>1</v>
      </c>
      <c r="AC54" s="231">
        <v>0.5</v>
      </c>
      <c r="AD54" s="231"/>
      <c r="AE54" s="231">
        <v>1.5</v>
      </c>
      <c r="AF54" s="231">
        <v>1.5</v>
      </c>
      <c r="AG54" s="231">
        <v>1</v>
      </c>
      <c r="AH54" s="231">
        <v>1.5</v>
      </c>
      <c r="AI54" s="231">
        <v>1.5</v>
      </c>
      <c r="AJ54" s="231"/>
      <c r="AK54" s="187"/>
      <c r="AL54" s="187"/>
      <c r="AM54" s="152"/>
      <c r="AN54" s="232">
        <f t="shared" si="2"/>
        <v>22.5</v>
      </c>
      <c r="AO54" s="219">
        <v>210000</v>
      </c>
      <c r="AP54" s="233">
        <f t="shared" si="6"/>
        <v>4725000</v>
      </c>
    </row>
    <row r="55" spans="1:42" s="199" customFormat="1" ht="24.95" customHeight="1" x14ac:dyDescent="0.3">
      <c r="A55" s="229">
        <f t="shared" si="1"/>
        <v>50</v>
      </c>
      <c r="B55" s="144" t="s">
        <v>659</v>
      </c>
      <c r="C55" s="221" t="s">
        <v>660</v>
      </c>
      <c r="D55" s="221" t="s">
        <v>234</v>
      </c>
      <c r="E55" s="144" t="s">
        <v>661</v>
      </c>
      <c r="F55" s="222" t="s">
        <v>327</v>
      </c>
      <c r="G55" s="223" t="s">
        <v>659</v>
      </c>
      <c r="H55" s="224" t="s">
        <v>662</v>
      </c>
      <c r="I55" s="230"/>
      <c r="J55" s="231">
        <v>1.5</v>
      </c>
      <c r="K55" s="231">
        <v>1.5</v>
      </c>
      <c r="L55" s="231">
        <v>1</v>
      </c>
      <c r="M55" s="231">
        <v>1.5</v>
      </c>
      <c r="N55" s="231">
        <v>1.5</v>
      </c>
      <c r="O55" s="231">
        <v>1</v>
      </c>
      <c r="P55" s="231"/>
      <c r="Q55" s="231">
        <v>1.5</v>
      </c>
      <c r="R55" s="231">
        <v>1.5</v>
      </c>
      <c r="S55" s="231">
        <v>1.5</v>
      </c>
      <c r="T55" s="231">
        <v>1.5</v>
      </c>
      <c r="U55" s="231">
        <v>1.5</v>
      </c>
      <c r="V55" s="231"/>
      <c r="W55" s="231"/>
      <c r="X55" s="231"/>
      <c r="Y55" s="231"/>
      <c r="Z55" s="231"/>
      <c r="AA55" s="231">
        <v>1</v>
      </c>
      <c r="AB55" s="231">
        <v>1</v>
      </c>
      <c r="AC55" s="231">
        <v>0.5</v>
      </c>
      <c r="AD55" s="231"/>
      <c r="AE55" s="231">
        <v>1.5</v>
      </c>
      <c r="AF55" s="231">
        <v>1.5</v>
      </c>
      <c r="AG55" s="231">
        <v>1.5</v>
      </c>
      <c r="AH55" s="231">
        <v>1.5</v>
      </c>
      <c r="AI55" s="231">
        <v>1.5</v>
      </c>
      <c r="AJ55" s="231">
        <v>1</v>
      </c>
      <c r="AK55" s="187"/>
      <c r="AL55" s="187"/>
      <c r="AM55" s="152"/>
      <c r="AN55" s="232">
        <f t="shared" si="2"/>
        <v>26.5</v>
      </c>
      <c r="AO55" s="219">
        <v>150000</v>
      </c>
      <c r="AP55" s="233">
        <f t="shared" si="6"/>
        <v>3975000</v>
      </c>
    </row>
    <row r="56" spans="1:42" s="199" customFormat="1" ht="24.95" customHeight="1" x14ac:dyDescent="0.3">
      <c r="A56" s="229">
        <f t="shared" si="1"/>
        <v>51</v>
      </c>
      <c r="B56" s="144" t="s">
        <v>663</v>
      </c>
      <c r="C56" s="221" t="s">
        <v>664</v>
      </c>
      <c r="D56" s="221" t="s">
        <v>234</v>
      </c>
      <c r="E56" s="144" t="s">
        <v>665</v>
      </c>
      <c r="F56" s="222" t="s">
        <v>243</v>
      </c>
      <c r="G56" s="223" t="s">
        <v>663</v>
      </c>
      <c r="H56" s="224" t="s">
        <v>666</v>
      </c>
      <c r="I56" s="230"/>
      <c r="J56" s="231">
        <v>1.5</v>
      </c>
      <c r="K56" s="231">
        <v>1.5</v>
      </c>
      <c r="L56" s="231">
        <v>1</v>
      </c>
      <c r="M56" s="231">
        <v>1.5</v>
      </c>
      <c r="N56" s="231">
        <v>1.5</v>
      </c>
      <c r="O56" s="231"/>
      <c r="P56" s="231"/>
      <c r="Q56" s="231">
        <v>1.5</v>
      </c>
      <c r="R56" s="231">
        <v>1.5</v>
      </c>
      <c r="S56" s="231">
        <v>1</v>
      </c>
      <c r="T56" s="231">
        <v>1.5</v>
      </c>
      <c r="U56" s="231">
        <v>1</v>
      </c>
      <c r="V56" s="231"/>
      <c r="W56" s="231"/>
      <c r="X56" s="231"/>
      <c r="Y56" s="231"/>
      <c r="Z56" s="231"/>
      <c r="AA56" s="231">
        <v>1</v>
      </c>
      <c r="AB56" s="231">
        <v>1</v>
      </c>
      <c r="AC56" s="231">
        <v>0.5</v>
      </c>
      <c r="AD56" s="231"/>
      <c r="AE56" s="231">
        <v>1.5</v>
      </c>
      <c r="AF56" s="231">
        <v>1.5</v>
      </c>
      <c r="AG56" s="231">
        <v>1</v>
      </c>
      <c r="AH56" s="231">
        <v>1</v>
      </c>
      <c r="AI56" s="231">
        <v>1</v>
      </c>
      <c r="AJ56" s="231"/>
      <c r="AK56" s="187"/>
      <c r="AL56" s="187"/>
      <c r="AM56" s="152"/>
      <c r="AN56" s="232">
        <f t="shared" si="2"/>
        <v>22</v>
      </c>
      <c r="AO56" s="219">
        <v>180000</v>
      </c>
      <c r="AP56" s="233">
        <f t="shared" si="6"/>
        <v>3960000</v>
      </c>
    </row>
    <row r="57" spans="1:42" s="199" customFormat="1" ht="24.95" customHeight="1" x14ac:dyDescent="0.3">
      <c r="A57" s="229">
        <f t="shared" si="1"/>
        <v>52</v>
      </c>
      <c r="B57" s="144" t="s">
        <v>667</v>
      </c>
      <c r="C57" s="221" t="s">
        <v>668</v>
      </c>
      <c r="D57" s="221" t="s">
        <v>240</v>
      </c>
      <c r="E57" s="144" t="s">
        <v>669</v>
      </c>
      <c r="F57" s="222" t="s">
        <v>236</v>
      </c>
      <c r="G57" s="223" t="s">
        <v>667</v>
      </c>
      <c r="H57" s="224" t="s">
        <v>670</v>
      </c>
      <c r="I57" s="230"/>
      <c r="J57" s="231">
        <v>1.5</v>
      </c>
      <c r="K57" s="231">
        <v>1.5</v>
      </c>
      <c r="L57" s="231">
        <v>1</v>
      </c>
      <c r="M57" s="231">
        <v>1.5</v>
      </c>
      <c r="N57" s="231">
        <v>1.5</v>
      </c>
      <c r="O57" s="231"/>
      <c r="P57" s="231"/>
      <c r="Q57" s="231">
        <v>1.5</v>
      </c>
      <c r="R57" s="231">
        <v>1.5</v>
      </c>
      <c r="S57" s="231">
        <v>1</v>
      </c>
      <c r="T57" s="231">
        <v>1.5</v>
      </c>
      <c r="U57" s="231">
        <v>1.5</v>
      </c>
      <c r="V57" s="231"/>
      <c r="W57" s="231"/>
      <c r="X57" s="231"/>
      <c r="Y57" s="231"/>
      <c r="Z57" s="231"/>
      <c r="AA57" s="231"/>
      <c r="AB57" s="231">
        <v>1</v>
      </c>
      <c r="AC57" s="231">
        <v>0.5</v>
      </c>
      <c r="AD57" s="231"/>
      <c r="AE57" s="231">
        <v>1.5</v>
      </c>
      <c r="AF57" s="231">
        <v>1.5</v>
      </c>
      <c r="AG57" s="231">
        <v>1.5</v>
      </c>
      <c r="AH57" s="231">
        <v>1.5</v>
      </c>
      <c r="AI57" s="231">
        <v>1.5</v>
      </c>
      <c r="AJ57" s="231"/>
      <c r="AK57" s="187"/>
      <c r="AL57" s="187"/>
      <c r="AM57" s="152"/>
      <c r="AN57" s="232">
        <f t="shared" si="2"/>
        <v>23</v>
      </c>
      <c r="AO57" s="219">
        <v>240000</v>
      </c>
      <c r="AP57" s="233">
        <f t="shared" si="6"/>
        <v>5520000</v>
      </c>
    </row>
    <row r="58" spans="1:42" s="199" customFormat="1" ht="24.95" customHeight="1" x14ac:dyDescent="0.3">
      <c r="A58" s="229">
        <f t="shared" si="1"/>
        <v>53</v>
      </c>
      <c r="B58" s="144" t="s">
        <v>445</v>
      </c>
      <c r="C58" s="221" t="s">
        <v>446</v>
      </c>
      <c r="D58" s="221" t="s">
        <v>240</v>
      </c>
      <c r="E58" s="144" t="s">
        <v>447</v>
      </c>
      <c r="F58" s="222" t="s">
        <v>236</v>
      </c>
      <c r="G58" s="223" t="s">
        <v>445</v>
      </c>
      <c r="H58" s="224" t="s">
        <v>448</v>
      </c>
      <c r="I58" s="230"/>
      <c r="J58" s="144"/>
      <c r="K58" s="231">
        <v>1.5</v>
      </c>
      <c r="L58" s="231">
        <v>1</v>
      </c>
      <c r="M58" s="231">
        <v>1.5</v>
      </c>
      <c r="N58" s="231">
        <v>1.5</v>
      </c>
      <c r="O58" s="231"/>
      <c r="P58" s="231"/>
      <c r="Q58" s="231">
        <v>1.5</v>
      </c>
      <c r="R58" s="231">
        <v>1.5</v>
      </c>
      <c r="S58" s="231">
        <v>1</v>
      </c>
      <c r="T58" s="231">
        <v>1.5</v>
      </c>
      <c r="U58" s="231">
        <v>1.5</v>
      </c>
      <c r="V58" s="231"/>
      <c r="W58" s="231"/>
      <c r="X58" s="231"/>
      <c r="Y58" s="231"/>
      <c r="Z58" s="231"/>
      <c r="AA58" s="231">
        <v>1</v>
      </c>
      <c r="AB58" s="231">
        <v>1.5</v>
      </c>
      <c r="AC58" s="231">
        <v>0.5</v>
      </c>
      <c r="AD58" s="231"/>
      <c r="AE58" s="231">
        <v>1.5</v>
      </c>
      <c r="AF58" s="231">
        <v>1.5</v>
      </c>
      <c r="AG58" s="231">
        <v>1</v>
      </c>
      <c r="AH58" s="231">
        <v>1.5</v>
      </c>
      <c r="AI58" s="231">
        <v>1.5</v>
      </c>
      <c r="AJ58" s="231"/>
      <c r="AK58" s="187"/>
      <c r="AL58" s="187"/>
      <c r="AM58" s="152"/>
      <c r="AN58" s="232">
        <f t="shared" si="2"/>
        <v>22.5</v>
      </c>
      <c r="AO58" s="219">
        <v>240000</v>
      </c>
      <c r="AP58" s="233">
        <f t="shared" si="6"/>
        <v>5400000</v>
      </c>
    </row>
    <row r="59" spans="1:42" s="199" customFormat="1" ht="24.95" customHeight="1" x14ac:dyDescent="0.3">
      <c r="A59" s="229">
        <f t="shared" si="1"/>
        <v>54</v>
      </c>
      <c r="B59" s="144" t="s">
        <v>449</v>
      </c>
      <c r="C59" s="221" t="s">
        <v>450</v>
      </c>
      <c r="D59" s="221" t="s">
        <v>606</v>
      </c>
      <c r="E59" s="144" t="s">
        <v>451</v>
      </c>
      <c r="F59" s="222" t="s">
        <v>236</v>
      </c>
      <c r="G59" s="223" t="s">
        <v>449</v>
      </c>
      <c r="H59" s="224" t="s">
        <v>452</v>
      </c>
      <c r="I59" s="230"/>
      <c r="J59" s="231">
        <v>1.5</v>
      </c>
      <c r="K59" s="231">
        <v>1.5</v>
      </c>
      <c r="L59" s="231">
        <v>1</v>
      </c>
      <c r="M59" s="231">
        <v>1.5</v>
      </c>
      <c r="N59" s="231">
        <v>1.5</v>
      </c>
      <c r="O59" s="231"/>
      <c r="P59" s="231"/>
      <c r="Q59" s="231">
        <v>1.5</v>
      </c>
      <c r="R59" s="231">
        <v>1.5</v>
      </c>
      <c r="S59" s="231">
        <v>1.5</v>
      </c>
      <c r="T59" s="231">
        <v>1.5</v>
      </c>
      <c r="U59" s="231">
        <v>1.375</v>
      </c>
      <c r="V59" s="231">
        <v>1</v>
      </c>
      <c r="W59" s="231"/>
      <c r="X59" s="231"/>
      <c r="Y59" s="231"/>
      <c r="Z59" s="231"/>
      <c r="AA59" s="231">
        <v>0.5</v>
      </c>
      <c r="AB59" s="231">
        <v>1</v>
      </c>
      <c r="AC59" s="231">
        <v>1</v>
      </c>
      <c r="AD59" s="231"/>
      <c r="AE59" s="231">
        <v>1.5</v>
      </c>
      <c r="AF59" s="231">
        <v>1.5</v>
      </c>
      <c r="AG59" s="231">
        <v>1.5</v>
      </c>
      <c r="AH59" s="231">
        <v>1.5</v>
      </c>
      <c r="AI59" s="231">
        <v>1.5</v>
      </c>
      <c r="AJ59" s="231">
        <v>1</v>
      </c>
      <c r="AK59" s="187"/>
      <c r="AL59" s="187"/>
      <c r="AM59" s="152"/>
      <c r="AN59" s="232">
        <f t="shared" si="2"/>
        <v>26.375</v>
      </c>
      <c r="AO59" s="219">
        <v>190000</v>
      </c>
      <c r="AP59" s="233">
        <f t="shared" si="5"/>
        <v>5011250</v>
      </c>
    </row>
    <row r="60" spans="1:42" s="199" customFormat="1" ht="24.95" customHeight="1" x14ac:dyDescent="0.3">
      <c r="A60" s="229">
        <f t="shared" si="1"/>
        <v>55</v>
      </c>
      <c r="B60" s="144" t="s">
        <v>671</v>
      </c>
      <c r="C60" s="221" t="s">
        <v>672</v>
      </c>
      <c r="D60" s="221" t="s">
        <v>240</v>
      </c>
      <c r="E60" s="144" t="s">
        <v>673</v>
      </c>
      <c r="F60" s="222" t="s">
        <v>327</v>
      </c>
      <c r="G60" s="223" t="s">
        <v>671</v>
      </c>
      <c r="H60" s="224" t="s">
        <v>674</v>
      </c>
      <c r="I60" s="230"/>
      <c r="J60" s="231">
        <v>1.5</v>
      </c>
      <c r="K60" s="231">
        <v>1.5</v>
      </c>
      <c r="L60" s="231">
        <v>1</v>
      </c>
      <c r="M60" s="231">
        <v>1.5</v>
      </c>
      <c r="N60" s="231">
        <v>1.5</v>
      </c>
      <c r="O60" s="231"/>
      <c r="P60" s="231"/>
      <c r="Q60" s="231"/>
      <c r="R60" s="231">
        <v>1.5</v>
      </c>
      <c r="S60" s="231">
        <v>1</v>
      </c>
      <c r="T60" s="231">
        <v>1.5</v>
      </c>
      <c r="U60" s="231">
        <v>1.5</v>
      </c>
      <c r="V60" s="231"/>
      <c r="W60" s="231"/>
      <c r="X60" s="231"/>
      <c r="Y60" s="231"/>
      <c r="Z60" s="231"/>
      <c r="AA60" s="231">
        <v>1</v>
      </c>
      <c r="AB60" s="231">
        <v>1</v>
      </c>
      <c r="AC60" s="231">
        <v>0.5</v>
      </c>
      <c r="AD60" s="231"/>
      <c r="AE60" s="231">
        <v>1.5</v>
      </c>
      <c r="AF60" s="231">
        <v>1.5</v>
      </c>
      <c r="AG60" s="231">
        <v>1</v>
      </c>
      <c r="AH60" s="231">
        <v>1.5</v>
      </c>
      <c r="AI60" s="231">
        <v>1.5</v>
      </c>
      <c r="AJ60" s="231"/>
      <c r="AK60" s="187"/>
      <c r="AL60" s="187"/>
      <c r="AM60" s="152"/>
      <c r="AN60" s="232">
        <f t="shared" si="2"/>
        <v>22</v>
      </c>
      <c r="AO60" s="219">
        <v>240000</v>
      </c>
      <c r="AP60" s="233">
        <f t="shared" si="5"/>
        <v>5280000</v>
      </c>
    </row>
    <row r="61" spans="1:42" s="199" customFormat="1" ht="24.95" customHeight="1" x14ac:dyDescent="0.3">
      <c r="A61" s="229">
        <f t="shared" si="1"/>
        <v>56</v>
      </c>
      <c r="B61" s="144" t="s">
        <v>675</v>
      </c>
      <c r="C61" s="221" t="s">
        <v>676</v>
      </c>
      <c r="D61" s="221" t="s">
        <v>234</v>
      </c>
      <c r="E61" s="144" t="s">
        <v>677</v>
      </c>
      <c r="F61" s="222" t="s">
        <v>678</v>
      </c>
      <c r="G61" s="223" t="s">
        <v>675</v>
      </c>
      <c r="H61" s="224" t="s">
        <v>679</v>
      </c>
      <c r="I61" s="230"/>
      <c r="J61" s="231">
        <v>1.5</v>
      </c>
      <c r="K61" s="231">
        <v>1.5</v>
      </c>
      <c r="L61" s="231">
        <v>1.5</v>
      </c>
      <c r="M61" s="231">
        <v>1.5</v>
      </c>
      <c r="N61" s="231">
        <v>1.5</v>
      </c>
      <c r="O61" s="231">
        <v>1</v>
      </c>
      <c r="P61" s="231"/>
      <c r="Q61" s="231">
        <v>1.5</v>
      </c>
      <c r="R61" s="231">
        <v>1.5</v>
      </c>
      <c r="S61" s="231">
        <v>1</v>
      </c>
      <c r="T61" s="231">
        <v>1.5</v>
      </c>
      <c r="U61" s="231">
        <v>1.5</v>
      </c>
      <c r="V61" s="231"/>
      <c r="W61" s="231"/>
      <c r="X61" s="231"/>
      <c r="Y61" s="231"/>
      <c r="Z61" s="231"/>
      <c r="AA61" s="231">
        <v>1</v>
      </c>
      <c r="AB61" s="231">
        <v>1</v>
      </c>
      <c r="AC61" s="231">
        <v>0.5</v>
      </c>
      <c r="AD61" s="231"/>
      <c r="AE61" s="231">
        <v>1.5</v>
      </c>
      <c r="AF61" s="231">
        <v>1.5</v>
      </c>
      <c r="AG61" s="231">
        <v>1</v>
      </c>
      <c r="AH61" s="231">
        <v>1.5</v>
      </c>
      <c r="AI61" s="231">
        <v>1.5</v>
      </c>
      <c r="AJ61" s="231"/>
      <c r="AK61" s="186"/>
      <c r="AL61" s="186"/>
      <c r="AM61" s="193"/>
      <c r="AN61" s="232">
        <f t="shared" si="2"/>
        <v>25</v>
      </c>
      <c r="AO61" s="219">
        <v>160000</v>
      </c>
      <c r="AP61" s="233">
        <f t="shared" si="5"/>
        <v>4000000</v>
      </c>
    </row>
    <row r="62" spans="1:42" s="199" customFormat="1" ht="24.95" customHeight="1" x14ac:dyDescent="0.3">
      <c r="A62" s="229">
        <f t="shared" si="1"/>
        <v>57</v>
      </c>
      <c r="B62" s="144" t="s">
        <v>680</v>
      </c>
      <c r="C62" s="221" t="s">
        <v>681</v>
      </c>
      <c r="D62" s="221" t="s">
        <v>240</v>
      </c>
      <c r="E62" s="144" t="s">
        <v>682</v>
      </c>
      <c r="F62" s="222" t="s">
        <v>325</v>
      </c>
      <c r="G62" s="223" t="s">
        <v>680</v>
      </c>
      <c r="H62" s="224" t="s">
        <v>683</v>
      </c>
      <c r="I62" s="230"/>
      <c r="J62" s="231">
        <v>1.5</v>
      </c>
      <c r="K62" s="231">
        <v>1.5</v>
      </c>
      <c r="L62" s="231">
        <v>1</v>
      </c>
      <c r="M62" s="231">
        <v>1.5</v>
      </c>
      <c r="N62" s="231">
        <v>1.5</v>
      </c>
      <c r="O62" s="231"/>
      <c r="P62" s="231"/>
      <c r="Q62" s="231">
        <v>1.5</v>
      </c>
      <c r="R62" s="231">
        <v>1.5</v>
      </c>
      <c r="S62" s="231">
        <v>1.5</v>
      </c>
      <c r="T62" s="231">
        <v>1.5</v>
      </c>
      <c r="U62" s="231">
        <v>1.5</v>
      </c>
      <c r="V62" s="231">
        <v>1</v>
      </c>
      <c r="W62" s="231"/>
      <c r="X62" s="231"/>
      <c r="Y62" s="231"/>
      <c r="Z62" s="231"/>
      <c r="AA62" s="231">
        <v>1</v>
      </c>
      <c r="AB62" s="231">
        <v>1</v>
      </c>
      <c r="AC62" s="231">
        <v>0.5</v>
      </c>
      <c r="AD62" s="231"/>
      <c r="AE62" s="231">
        <v>1.5</v>
      </c>
      <c r="AF62" s="231">
        <v>1.5</v>
      </c>
      <c r="AG62" s="231">
        <v>1.5</v>
      </c>
      <c r="AH62" s="231">
        <v>1.5</v>
      </c>
      <c r="AI62" s="231">
        <v>1.5</v>
      </c>
      <c r="AJ62" s="231"/>
      <c r="AK62" s="187"/>
      <c r="AL62" s="187"/>
      <c r="AM62" s="152"/>
      <c r="AN62" s="232">
        <f t="shared" si="2"/>
        <v>25.5</v>
      </c>
      <c r="AO62" s="219">
        <v>240000</v>
      </c>
      <c r="AP62" s="233">
        <f t="shared" si="5"/>
        <v>6120000</v>
      </c>
    </row>
    <row r="63" spans="1:42" s="199" customFormat="1" ht="24.95" customHeight="1" x14ac:dyDescent="0.3">
      <c r="A63" s="229">
        <f t="shared" si="1"/>
        <v>58</v>
      </c>
      <c r="B63" s="144" t="s">
        <v>684</v>
      </c>
      <c r="C63" s="221" t="s">
        <v>685</v>
      </c>
      <c r="D63" s="221" t="s">
        <v>234</v>
      </c>
      <c r="E63" s="144" t="s">
        <v>686</v>
      </c>
      <c r="F63" s="222" t="s">
        <v>246</v>
      </c>
      <c r="G63" s="223" t="s">
        <v>684</v>
      </c>
      <c r="H63" s="224" t="s">
        <v>687</v>
      </c>
      <c r="I63" s="230"/>
      <c r="J63" s="231">
        <v>1.5</v>
      </c>
      <c r="K63" s="231">
        <v>1.5</v>
      </c>
      <c r="L63" s="231">
        <v>1.5</v>
      </c>
      <c r="M63" s="231">
        <v>1.5</v>
      </c>
      <c r="N63" s="231">
        <v>1.5</v>
      </c>
      <c r="O63" s="231"/>
      <c r="P63" s="231"/>
      <c r="Q63" s="231">
        <v>1.5</v>
      </c>
      <c r="R63" s="231">
        <v>1.5</v>
      </c>
      <c r="S63" s="231">
        <v>1.5</v>
      </c>
      <c r="T63" s="231">
        <v>1.5</v>
      </c>
      <c r="U63" s="231">
        <v>1.5</v>
      </c>
      <c r="V63" s="231">
        <v>1</v>
      </c>
      <c r="W63" s="231"/>
      <c r="X63" s="231"/>
      <c r="Y63" s="231"/>
      <c r="Z63" s="231"/>
      <c r="AA63" s="231">
        <v>1</v>
      </c>
      <c r="AB63" s="231">
        <v>0.875</v>
      </c>
      <c r="AC63" s="231"/>
      <c r="AD63" s="231"/>
      <c r="AE63" s="231">
        <v>1.5</v>
      </c>
      <c r="AF63" s="231">
        <v>1.5</v>
      </c>
      <c r="AG63" s="231">
        <v>1.5</v>
      </c>
      <c r="AH63" s="231">
        <v>1.5</v>
      </c>
      <c r="AI63" s="231">
        <v>1.5</v>
      </c>
      <c r="AJ63" s="231"/>
      <c r="AK63" s="187"/>
      <c r="AL63" s="187"/>
      <c r="AM63" s="152"/>
      <c r="AN63" s="232">
        <f t="shared" si="2"/>
        <v>25.375</v>
      </c>
      <c r="AO63" s="219">
        <v>150000</v>
      </c>
      <c r="AP63" s="233">
        <f t="shared" si="5"/>
        <v>3806250</v>
      </c>
    </row>
    <row r="64" spans="1:42" s="199" customFormat="1" ht="24.95" customHeight="1" x14ac:dyDescent="0.3">
      <c r="A64" s="229">
        <f t="shared" si="1"/>
        <v>59</v>
      </c>
      <c r="B64" s="144" t="s">
        <v>688</v>
      </c>
      <c r="C64" s="221" t="s">
        <v>689</v>
      </c>
      <c r="D64" s="221" t="s">
        <v>234</v>
      </c>
      <c r="E64" s="144" t="s">
        <v>690</v>
      </c>
      <c r="F64" s="222" t="s">
        <v>247</v>
      </c>
      <c r="G64" s="223" t="s">
        <v>688</v>
      </c>
      <c r="H64" s="224" t="s">
        <v>691</v>
      </c>
      <c r="I64" s="230"/>
      <c r="J64" s="231">
        <v>1.5</v>
      </c>
      <c r="K64" s="231">
        <v>1.5</v>
      </c>
      <c r="L64" s="231">
        <v>1</v>
      </c>
      <c r="M64" s="231"/>
      <c r="N64" s="231">
        <v>1.5</v>
      </c>
      <c r="O64" s="231"/>
      <c r="P64" s="231"/>
      <c r="Q64" s="231">
        <v>1.5</v>
      </c>
      <c r="R64" s="231">
        <v>1.5</v>
      </c>
      <c r="S64" s="231">
        <v>1.5</v>
      </c>
      <c r="T64" s="231">
        <v>1.5</v>
      </c>
      <c r="U64" s="231">
        <v>1.5</v>
      </c>
      <c r="V64" s="231">
        <v>1</v>
      </c>
      <c r="W64" s="231"/>
      <c r="X64" s="231"/>
      <c r="Y64" s="231"/>
      <c r="Z64" s="231"/>
      <c r="AA64" s="231">
        <v>1</v>
      </c>
      <c r="AB64" s="231">
        <v>1</v>
      </c>
      <c r="AC64" s="231"/>
      <c r="AD64" s="231"/>
      <c r="AE64" s="231">
        <v>1.5</v>
      </c>
      <c r="AF64" s="231">
        <v>1.5</v>
      </c>
      <c r="AG64" s="231">
        <v>1.5</v>
      </c>
      <c r="AH64" s="231">
        <v>1.5</v>
      </c>
      <c r="AI64" s="231">
        <v>1.5</v>
      </c>
      <c r="AJ64" s="231">
        <v>1</v>
      </c>
      <c r="AK64" s="187"/>
      <c r="AL64" s="187"/>
      <c r="AM64" s="152"/>
      <c r="AN64" s="232">
        <f t="shared" si="2"/>
        <v>24.5</v>
      </c>
      <c r="AO64" s="219">
        <v>150000</v>
      </c>
      <c r="AP64" s="233">
        <f t="shared" si="5"/>
        <v>3675000</v>
      </c>
    </row>
    <row r="65" spans="1:42" s="199" customFormat="1" ht="24.95" customHeight="1" x14ac:dyDescent="0.3">
      <c r="A65" s="229">
        <f t="shared" si="1"/>
        <v>60</v>
      </c>
      <c r="B65" s="144" t="s">
        <v>692</v>
      </c>
      <c r="C65" s="221" t="s">
        <v>693</v>
      </c>
      <c r="D65" s="221" t="s">
        <v>242</v>
      </c>
      <c r="E65" s="144" t="s">
        <v>694</v>
      </c>
      <c r="F65" s="222" t="s">
        <v>236</v>
      </c>
      <c r="G65" s="223" t="s">
        <v>692</v>
      </c>
      <c r="H65" s="224" t="s">
        <v>695</v>
      </c>
      <c r="I65" s="230"/>
      <c r="J65" s="144"/>
      <c r="K65" s="231"/>
      <c r="L65" s="231"/>
      <c r="M65" s="231"/>
      <c r="N65" s="231"/>
      <c r="O65" s="231"/>
      <c r="P65" s="231"/>
      <c r="Q65" s="231">
        <v>1</v>
      </c>
      <c r="R65" s="231">
        <v>1</v>
      </c>
      <c r="S65" s="231">
        <v>1</v>
      </c>
      <c r="T65" s="231">
        <v>1.5</v>
      </c>
      <c r="U65" s="231">
        <v>1.5</v>
      </c>
      <c r="V65" s="231"/>
      <c r="W65" s="231"/>
      <c r="X65" s="231"/>
      <c r="Y65" s="231"/>
      <c r="Z65" s="231"/>
      <c r="AA65" s="231">
        <v>1</v>
      </c>
      <c r="AB65" s="231"/>
      <c r="AC65" s="231">
        <v>0.5</v>
      </c>
      <c r="AD65" s="231"/>
      <c r="AE65" s="231">
        <v>1.5</v>
      </c>
      <c r="AF65" s="231">
        <v>1.5</v>
      </c>
      <c r="AG65" s="231">
        <v>1</v>
      </c>
      <c r="AH65" s="231">
        <v>1.5</v>
      </c>
      <c r="AI65" s="231">
        <v>1.5</v>
      </c>
      <c r="AJ65" s="231"/>
      <c r="AK65" s="187"/>
      <c r="AL65" s="187"/>
      <c r="AM65" s="152"/>
      <c r="AN65" s="232">
        <f t="shared" si="2"/>
        <v>14.5</v>
      </c>
      <c r="AO65" s="219">
        <v>210000</v>
      </c>
      <c r="AP65" s="233">
        <f t="shared" si="5"/>
        <v>3045000</v>
      </c>
    </row>
    <row r="66" spans="1:42" s="199" customFormat="1" ht="24.95" customHeight="1" x14ac:dyDescent="0.3">
      <c r="A66" s="229">
        <f t="shared" si="1"/>
        <v>61</v>
      </c>
      <c r="B66" s="144" t="s">
        <v>330</v>
      </c>
      <c r="C66" s="221" t="s">
        <v>331</v>
      </c>
      <c r="D66" s="221" t="s">
        <v>696</v>
      </c>
      <c r="E66" s="144" t="s">
        <v>697</v>
      </c>
      <c r="F66" s="222" t="s">
        <v>243</v>
      </c>
      <c r="G66" s="223" t="s">
        <v>330</v>
      </c>
      <c r="H66" s="224" t="s">
        <v>332</v>
      </c>
      <c r="I66" s="230"/>
      <c r="J66" s="231">
        <v>1.5</v>
      </c>
      <c r="K66" s="231">
        <v>1.375</v>
      </c>
      <c r="L66" s="231">
        <v>1</v>
      </c>
      <c r="M66" s="231">
        <v>1.5</v>
      </c>
      <c r="N66" s="231">
        <v>1.5</v>
      </c>
      <c r="O66" s="231"/>
      <c r="P66" s="231"/>
      <c r="Q66" s="231">
        <v>1.5</v>
      </c>
      <c r="R66" s="231">
        <v>1.5</v>
      </c>
      <c r="S66" s="231">
        <v>1</v>
      </c>
      <c r="T66" s="231">
        <v>1.5</v>
      </c>
      <c r="U66" s="231">
        <v>0.5</v>
      </c>
      <c r="V66" s="231"/>
      <c r="W66" s="231"/>
      <c r="X66" s="231"/>
      <c r="Y66" s="231"/>
      <c r="Z66" s="231"/>
      <c r="AA66" s="231">
        <v>1</v>
      </c>
      <c r="AB66" s="231">
        <v>1</v>
      </c>
      <c r="AC66" s="231"/>
      <c r="AD66" s="231"/>
      <c r="AE66" s="231">
        <v>1.5</v>
      </c>
      <c r="AF66" s="231">
        <v>1.5</v>
      </c>
      <c r="AG66" s="231">
        <v>1</v>
      </c>
      <c r="AH66" s="231">
        <v>1.5</v>
      </c>
      <c r="AI66" s="231">
        <v>1.5</v>
      </c>
      <c r="AJ66" s="231"/>
      <c r="AK66" s="187"/>
      <c r="AL66" s="187"/>
      <c r="AM66" s="152"/>
      <c r="AN66" s="232">
        <f t="shared" si="2"/>
        <v>21.875</v>
      </c>
      <c r="AO66" s="219">
        <v>180000</v>
      </c>
      <c r="AP66" s="233">
        <f t="shared" si="5"/>
        <v>3937500</v>
      </c>
    </row>
    <row r="67" spans="1:42" s="199" customFormat="1" ht="24.95" customHeight="1" x14ac:dyDescent="0.3">
      <c r="A67" s="229">
        <f t="shared" si="1"/>
        <v>62</v>
      </c>
      <c r="B67" s="144" t="s">
        <v>373</v>
      </c>
      <c r="C67" s="221" t="s">
        <v>374</v>
      </c>
      <c r="D67" s="221" t="s">
        <v>240</v>
      </c>
      <c r="E67" s="144" t="s">
        <v>375</v>
      </c>
      <c r="F67" s="222" t="s">
        <v>327</v>
      </c>
      <c r="G67" s="223" t="s">
        <v>373</v>
      </c>
      <c r="H67" s="224" t="s">
        <v>698</v>
      </c>
      <c r="I67" s="230"/>
      <c r="J67" s="231">
        <v>1.5</v>
      </c>
      <c r="K67" s="231">
        <v>1.5</v>
      </c>
      <c r="L67" s="231">
        <v>1</v>
      </c>
      <c r="M67" s="231">
        <v>1.5</v>
      </c>
      <c r="N67" s="231">
        <v>1.5</v>
      </c>
      <c r="O67" s="231"/>
      <c r="P67" s="231"/>
      <c r="Q67" s="231">
        <v>1.5</v>
      </c>
      <c r="R67" s="231">
        <v>1.5</v>
      </c>
      <c r="S67" s="231">
        <v>1</v>
      </c>
      <c r="T67" s="231">
        <v>1.5</v>
      </c>
      <c r="U67" s="231"/>
      <c r="V67" s="231"/>
      <c r="W67" s="231"/>
      <c r="X67" s="231"/>
      <c r="Y67" s="231"/>
      <c r="Z67" s="231"/>
      <c r="AA67" s="231">
        <v>0.875</v>
      </c>
      <c r="AB67" s="231">
        <v>1</v>
      </c>
      <c r="AC67" s="231">
        <v>0.5</v>
      </c>
      <c r="AD67" s="231"/>
      <c r="AE67" s="231">
        <v>1.5</v>
      </c>
      <c r="AF67" s="231">
        <v>1.5</v>
      </c>
      <c r="AG67" s="231">
        <v>1</v>
      </c>
      <c r="AH67" s="231">
        <v>1.5</v>
      </c>
      <c r="AI67" s="231">
        <v>1.5</v>
      </c>
      <c r="AJ67" s="231"/>
      <c r="AK67" s="187"/>
      <c r="AL67" s="187"/>
      <c r="AM67" s="152"/>
      <c r="AN67" s="232">
        <f t="shared" si="2"/>
        <v>21.875</v>
      </c>
      <c r="AO67" s="219">
        <v>240000</v>
      </c>
      <c r="AP67" s="233">
        <f t="shared" si="5"/>
        <v>5250000</v>
      </c>
    </row>
    <row r="68" spans="1:42" s="199" customFormat="1" ht="24.95" customHeight="1" x14ac:dyDescent="0.3">
      <c r="A68" s="229">
        <f t="shared" si="1"/>
        <v>63</v>
      </c>
      <c r="B68" s="144" t="s">
        <v>699</v>
      </c>
      <c r="C68" s="221" t="s">
        <v>700</v>
      </c>
      <c r="D68" s="221" t="s">
        <v>234</v>
      </c>
      <c r="E68" s="144" t="s">
        <v>701</v>
      </c>
      <c r="F68" s="222" t="s">
        <v>246</v>
      </c>
      <c r="G68" s="223" t="s">
        <v>699</v>
      </c>
      <c r="H68" s="224" t="s">
        <v>702</v>
      </c>
      <c r="I68" s="230"/>
      <c r="J68" s="144"/>
      <c r="K68" s="231">
        <v>1.5</v>
      </c>
      <c r="L68" s="231">
        <v>1.5</v>
      </c>
      <c r="M68" s="231">
        <v>1.5</v>
      </c>
      <c r="N68" s="231">
        <v>1.5</v>
      </c>
      <c r="O68" s="231"/>
      <c r="P68" s="231"/>
      <c r="Q68" s="231"/>
      <c r="R68" s="231"/>
      <c r="S68" s="231"/>
      <c r="T68" s="231">
        <v>1.5</v>
      </c>
      <c r="U68" s="231">
        <v>1.5</v>
      </c>
      <c r="V68" s="231">
        <v>1</v>
      </c>
      <c r="W68" s="231"/>
      <c r="X68" s="231"/>
      <c r="Y68" s="231"/>
      <c r="Z68" s="231"/>
      <c r="AA68" s="231">
        <v>1</v>
      </c>
      <c r="AB68" s="231">
        <v>1</v>
      </c>
      <c r="AC68" s="231">
        <v>0.5</v>
      </c>
      <c r="AD68" s="231"/>
      <c r="AE68" s="231">
        <v>1.5</v>
      </c>
      <c r="AF68" s="231">
        <v>1.5</v>
      </c>
      <c r="AG68" s="231">
        <v>1.5</v>
      </c>
      <c r="AH68" s="231">
        <v>1.5</v>
      </c>
      <c r="AI68" s="231">
        <v>1.5</v>
      </c>
      <c r="AJ68" s="231"/>
      <c r="AK68" s="187"/>
      <c r="AL68" s="187"/>
      <c r="AM68" s="152"/>
      <c r="AN68" s="232">
        <f t="shared" si="2"/>
        <v>20</v>
      </c>
      <c r="AO68" s="219">
        <v>150000</v>
      </c>
      <c r="AP68" s="233">
        <f t="shared" si="5"/>
        <v>3000000</v>
      </c>
    </row>
    <row r="69" spans="1:42" s="199" customFormat="1" ht="24.95" customHeight="1" x14ac:dyDescent="0.3">
      <c r="A69" s="229">
        <f t="shared" si="1"/>
        <v>64</v>
      </c>
      <c r="B69" s="144" t="s">
        <v>703</v>
      </c>
      <c r="C69" s="221" t="s">
        <v>704</v>
      </c>
      <c r="D69" s="221" t="s">
        <v>696</v>
      </c>
      <c r="E69" s="144" t="s">
        <v>705</v>
      </c>
      <c r="F69" s="222" t="s">
        <v>236</v>
      </c>
      <c r="G69" s="223" t="s">
        <v>703</v>
      </c>
      <c r="H69" s="224" t="s">
        <v>706</v>
      </c>
      <c r="I69" s="230"/>
      <c r="J69" s="231">
        <v>1.5</v>
      </c>
      <c r="K69" s="231">
        <v>1.5</v>
      </c>
      <c r="L69" s="231">
        <v>1.5</v>
      </c>
      <c r="M69" s="231">
        <v>1.5</v>
      </c>
      <c r="N69" s="231">
        <v>1.5</v>
      </c>
      <c r="O69" s="231">
        <v>1</v>
      </c>
      <c r="P69" s="231"/>
      <c r="Q69" s="231">
        <v>1.5</v>
      </c>
      <c r="R69" s="231">
        <v>1.5</v>
      </c>
      <c r="S69" s="231"/>
      <c r="T69" s="231">
        <v>1.5</v>
      </c>
      <c r="U69" s="231">
        <v>1.5</v>
      </c>
      <c r="V69" s="231"/>
      <c r="W69" s="231"/>
      <c r="X69" s="231"/>
      <c r="Y69" s="231"/>
      <c r="Z69" s="231"/>
      <c r="AA69" s="231">
        <v>1</v>
      </c>
      <c r="AB69" s="231">
        <v>1</v>
      </c>
      <c r="AC69" s="231">
        <v>0.5</v>
      </c>
      <c r="AD69" s="231"/>
      <c r="AE69" s="231">
        <v>1.5</v>
      </c>
      <c r="AF69" s="231">
        <v>1.5</v>
      </c>
      <c r="AG69" s="231">
        <v>1</v>
      </c>
      <c r="AH69" s="231">
        <v>1.5</v>
      </c>
      <c r="AI69" s="231">
        <v>1.5</v>
      </c>
      <c r="AJ69" s="231"/>
      <c r="AK69" s="187"/>
      <c r="AL69" s="187"/>
      <c r="AM69" s="152"/>
      <c r="AN69" s="232">
        <f t="shared" si="2"/>
        <v>24</v>
      </c>
      <c r="AO69" s="219">
        <v>180000</v>
      </c>
      <c r="AP69" s="233">
        <f t="shared" si="5"/>
        <v>4320000</v>
      </c>
    </row>
    <row r="70" spans="1:42" s="199" customFormat="1" ht="24.95" customHeight="1" x14ac:dyDescent="0.3">
      <c r="A70" s="229">
        <f t="shared" si="1"/>
        <v>65</v>
      </c>
      <c r="B70" s="144" t="s">
        <v>707</v>
      </c>
      <c r="C70" s="221" t="s">
        <v>708</v>
      </c>
      <c r="D70" s="221" t="s">
        <v>602</v>
      </c>
      <c r="E70" s="144" t="s">
        <v>709</v>
      </c>
      <c r="F70" s="222" t="s">
        <v>247</v>
      </c>
      <c r="G70" s="223" t="s">
        <v>707</v>
      </c>
      <c r="H70" s="224" t="s">
        <v>710</v>
      </c>
      <c r="I70" s="230"/>
      <c r="J70" s="231">
        <v>1.5</v>
      </c>
      <c r="K70" s="231">
        <v>1.5</v>
      </c>
      <c r="L70" s="231"/>
      <c r="M70" s="231">
        <v>1.5</v>
      </c>
      <c r="N70" s="231">
        <v>1.5</v>
      </c>
      <c r="O70" s="231">
        <v>1</v>
      </c>
      <c r="P70" s="231"/>
      <c r="Q70" s="231">
        <v>1.5</v>
      </c>
      <c r="R70" s="231">
        <v>1.5</v>
      </c>
      <c r="S70" s="231">
        <v>1</v>
      </c>
      <c r="T70" s="231">
        <v>1.5</v>
      </c>
      <c r="U70" s="231">
        <v>1.5</v>
      </c>
      <c r="V70" s="231">
        <v>1</v>
      </c>
      <c r="W70" s="231"/>
      <c r="X70" s="231"/>
      <c r="Y70" s="231"/>
      <c r="Z70" s="231"/>
      <c r="AA70" s="231">
        <v>1</v>
      </c>
      <c r="AB70" s="231">
        <v>1</v>
      </c>
      <c r="AC70" s="231">
        <v>1</v>
      </c>
      <c r="AD70" s="231"/>
      <c r="AE70" s="231">
        <v>1.5</v>
      </c>
      <c r="AF70" s="231">
        <v>1.5</v>
      </c>
      <c r="AG70" s="231">
        <v>1</v>
      </c>
      <c r="AH70" s="231">
        <v>1.5</v>
      </c>
      <c r="AI70" s="231">
        <v>1.5</v>
      </c>
      <c r="AJ70" s="231">
        <v>1</v>
      </c>
      <c r="AK70" s="187"/>
      <c r="AL70" s="187"/>
      <c r="AM70" s="152"/>
      <c r="AN70" s="232">
        <f t="shared" si="2"/>
        <v>26</v>
      </c>
      <c r="AO70" s="219">
        <v>170000</v>
      </c>
      <c r="AP70" s="233">
        <f t="shared" ref="AP70:AP73" si="7">AN70*AO70</f>
        <v>4420000</v>
      </c>
    </row>
    <row r="71" spans="1:42" s="199" customFormat="1" ht="24.95" customHeight="1" x14ac:dyDescent="0.3">
      <c r="A71" s="229">
        <f t="shared" si="1"/>
        <v>66</v>
      </c>
      <c r="B71" s="144" t="s">
        <v>562</v>
      </c>
      <c r="C71" s="221" t="s">
        <v>563</v>
      </c>
      <c r="D71" s="221" t="s">
        <v>234</v>
      </c>
      <c r="E71" s="144" t="s">
        <v>564</v>
      </c>
      <c r="F71" s="222" t="s">
        <v>565</v>
      </c>
      <c r="G71" s="223" t="s">
        <v>562</v>
      </c>
      <c r="H71" s="224" t="s">
        <v>566</v>
      </c>
      <c r="I71" s="230"/>
      <c r="J71" s="231">
        <v>1.5</v>
      </c>
      <c r="K71" s="231">
        <v>1.5</v>
      </c>
      <c r="L71" s="231">
        <v>1</v>
      </c>
      <c r="M71" s="231">
        <v>1.5</v>
      </c>
      <c r="N71" s="231">
        <v>1.5</v>
      </c>
      <c r="O71" s="231">
        <v>1</v>
      </c>
      <c r="P71" s="231"/>
      <c r="Q71" s="231">
        <v>1.5</v>
      </c>
      <c r="R71" s="231">
        <v>1.5</v>
      </c>
      <c r="S71" s="231">
        <v>1.5</v>
      </c>
      <c r="T71" s="231">
        <v>1.5</v>
      </c>
      <c r="U71" s="231">
        <v>1.5</v>
      </c>
      <c r="V71" s="231">
        <v>1</v>
      </c>
      <c r="W71" s="231"/>
      <c r="X71" s="231"/>
      <c r="Y71" s="231"/>
      <c r="Z71" s="231"/>
      <c r="AA71" s="231">
        <v>1</v>
      </c>
      <c r="AB71" s="231">
        <v>1</v>
      </c>
      <c r="AC71" s="231">
        <v>0.5</v>
      </c>
      <c r="AD71" s="231"/>
      <c r="AE71" s="231">
        <v>1.5</v>
      </c>
      <c r="AF71" s="231">
        <v>1.5</v>
      </c>
      <c r="AG71" s="231">
        <v>1</v>
      </c>
      <c r="AH71" s="231">
        <v>1.5</v>
      </c>
      <c r="AI71" s="231">
        <v>1.5</v>
      </c>
      <c r="AJ71" s="231"/>
      <c r="AK71" s="185"/>
      <c r="AL71" s="185"/>
      <c r="AM71" s="195"/>
      <c r="AN71" s="232">
        <f t="shared" si="2"/>
        <v>26</v>
      </c>
      <c r="AO71" s="219">
        <v>150000</v>
      </c>
      <c r="AP71" s="233">
        <f t="shared" si="7"/>
        <v>3900000</v>
      </c>
    </row>
    <row r="72" spans="1:42" s="199" customFormat="1" ht="24.95" customHeight="1" x14ac:dyDescent="0.3">
      <c r="A72" s="229">
        <f t="shared" ref="A72:A77" si="8">A71+1</f>
        <v>67</v>
      </c>
      <c r="B72" s="144" t="s">
        <v>711</v>
      </c>
      <c r="C72" s="221" t="s">
        <v>712</v>
      </c>
      <c r="D72" s="221" t="s">
        <v>696</v>
      </c>
      <c r="E72" s="144" t="s">
        <v>713</v>
      </c>
      <c r="F72" s="222" t="s">
        <v>325</v>
      </c>
      <c r="G72" s="223" t="s">
        <v>711</v>
      </c>
      <c r="H72" s="224" t="s">
        <v>714</v>
      </c>
      <c r="I72" s="230"/>
      <c r="J72" s="231">
        <v>1.5</v>
      </c>
      <c r="K72" s="231">
        <v>1.5</v>
      </c>
      <c r="L72" s="231">
        <v>1</v>
      </c>
      <c r="M72" s="231">
        <v>1.5</v>
      </c>
      <c r="N72" s="231">
        <v>1.5</v>
      </c>
      <c r="O72" s="231">
        <v>1</v>
      </c>
      <c r="P72" s="231"/>
      <c r="Q72" s="231">
        <v>1.5</v>
      </c>
      <c r="R72" s="231">
        <v>1.5</v>
      </c>
      <c r="S72" s="231">
        <v>1.5</v>
      </c>
      <c r="T72" s="231">
        <v>1.5</v>
      </c>
      <c r="U72" s="231">
        <v>1.5</v>
      </c>
      <c r="V72" s="231"/>
      <c r="W72" s="231"/>
      <c r="X72" s="231"/>
      <c r="Y72" s="231"/>
      <c r="Z72" s="231"/>
      <c r="AA72" s="231">
        <v>1</v>
      </c>
      <c r="AB72" s="231">
        <v>1</v>
      </c>
      <c r="AC72" s="231">
        <v>1</v>
      </c>
      <c r="AD72" s="231"/>
      <c r="AE72" s="231">
        <v>1.5</v>
      </c>
      <c r="AF72" s="231">
        <v>1.5</v>
      </c>
      <c r="AG72" s="231">
        <v>1.5</v>
      </c>
      <c r="AH72" s="231">
        <v>1.5</v>
      </c>
      <c r="AI72" s="231">
        <v>1.5</v>
      </c>
      <c r="AJ72" s="231"/>
      <c r="AK72" s="187"/>
      <c r="AL72" s="187"/>
      <c r="AM72" s="152"/>
      <c r="AN72" s="232">
        <f t="shared" ref="AN72:AN78" si="9">SUM(I72:AM72)</f>
        <v>26</v>
      </c>
      <c r="AO72" s="219">
        <v>190000</v>
      </c>
      <c r="AP72" s="233">
        <f t="shared" si="7"/>
        <v>4940000</v>
      </c>
    </row>
    <row r="73" spans="1:42" s="199" customFormat="1" ht="24.95" customHeight="1" x14ac:dyDescent="0.3">
      <c r="A73" s="229">
        <f t="shared" si="8"/>
        <v>68</v>
      </c>
      <c r="B73" s="144" t="s">
        <v>453</v>
      </c>
      <c r="C73" s="221" t="s">
        <v>454</v>
      </c>
      <c r="D73" s="221" t="s">
        <v>240</v>
      </c>
      <c r="E73" s="144" t="s">
        <v>455</v>
      </c>
      <c r="F73" s="222" t="s">
        <v>236</v>
      </c>
      <c r="G73" s="223" t="s">
        <v>453</v>
      </c>
      <c r="H73" s="224" t="s">
        <v>456</v>
      </c>
      <c r="I73" s="230"/>
      <c r="J73" s="231">
        <v>1.5</v>
      </c>
      <c r="K73" s="231">
        <v>1.5</v>
      </c>
      <c r="L73" s="231">
        <v>1.5</v>
      </c>
      <c r="M73" s="231">
        <v>1.5</v>
      </c>
      <c r="N73" s="231">
        <v>1.5</v>
      </c>
      <c r="O73" s="231"/>
      <c r="P73" s="231"/>
      <c r="Q73" s="231">
        <v>1.5</v>
      </c>
      <c r="R73" s="231">
        <v>1.5</v>
      </c>
      <c r="S73" s="231">
        <v>1</v>
      </c>
      <c r="T73" s="231">
        <v>1.375</v>
      </c>
      <c r="U73" s="231">
        <v>1.5</v>
      </c>
      <c r="V73" s="231"/>
      <c r="W73" s="231"/>
      <c r="X73" s="231"/>
      <c r="Y73" s="231"/>
      <c r="Z73" s="231"/>
      <c r="AA73" s="231">
        <v>1</v>
      </c>
      <c r="AB73" s="231">
        <v>1</v>
      </c>
      <c r="AC73" s="231">
        <v>0.5</v>
      </c>
      <c r="AD73" s="231"/>
      <c r="AE73" s="231">
        <v>1.5</v>
      </c>
      <c r="AF73" s="231">
        <v>1.5</v>
      </c>
      <c r="AG73" s="231">
        <v>1.5</v>
      </c>
      <c r="AH73" s="231">
        <v>1.5</v>
      </c>
      <c r="AI73" s="231">
        <v>1.5</v>
      </c>
      <c r="AJ73" s="231"/>
      <c r="AK73" s="187"/>
      <c r="AL73" s="187"/>
      <c r="AM73" s="152"/>
      <c r="AN73" s="232">
        <f t="shared" si="9"/>
        <v>24.375</v>
      </c>
      <c r="AO73" s="219">
        <v>240000</v>
      </c>
      <c r="AP73" s="233">
        <f t="shared" si="7"/>
        <v>5850000</v>
      </c>
    </row>
    <row r="74" spans="1:42" s="199" customFormat="1" ht="24.95" customHeight="1" x14ac:dyDescent="0.3">
      <c r="A74" s="229">
        <f t="shared" si="8"/>
        <v>69</v>
      </c>
      <c r="B74" s="144" t="s">
        <v>376</v>
      </c>
      <c r="C74" s="221" t="s">
        <v>377</v>
      </c>
      <c r="D74" s="221" t="s">
        <v>242</v>
      </c>
      <c r="E74" s="144" t="s">
        <v>378</v>
      </c>
      <c r="F74" s="222" t="s">
        <v>247</v>
      </c>
      <c r="G74" s="223" t="s">
        <v>376</v>
      </c>
      <c r="H74" s="224" t="s">
        <v>379</v>
      </c>
      <c r="I74" s="230"/>
      <c r="J74" s="231">
        <v>1.5</v>
      </c>
      <c r="K74" s="231">
        <v>1.5</v>
      </c>
      <c r="L74" s="231">
        <v>1</v>
      </c>
      <c r="M74" s="231">
        <v>1.5</v>
      </c>
      <c r="N74" s="231">
        <v>1.5</v>
      </c>
      <c r="O74" s="231">
        <v>1</v>
      </c>
      <c r="P74" s="231"/>
      <c r="Q74" s="231">
        <v>1.5</v>
      </c>
      <c r="R74" s="231">
        <v>0.5</v>
      </c>
      <c r="S74" s="231">
        <v>1.5</v>
      </c>
      <c r="T74" s="231">
        <v>1.5</v>
      </c>
      <c r="U74" s="231">
        <v>1.5</v>
      </c>
      <c r="V74" s="231">
        <v>1</v>
      </c>
      <c r="W74" s="231"/>
      <c r="X74" s="231"/>
      <c r="Y74" s="231"/>
      <c r="Z74" s="231"/>
      <c r="AA74" s="231">
        <v>1</v>
      </c>
      <c r="AB74" s="231">
        <v>1</v>
      </c>
      <c r="AC74" s="231">
        <v>0.5</v>
      </c>
      <c r="AD74" s="231"/>
      <c r="AE74" s="231">
        <v>1</v>
      </c>
      <c r="AF74" s="231">
        <v>1</v>
      </c>
      <c r="AG74" s="231">
        <v>1</v>
      </c>
      <c r="AH74" s="231">
        <v>1</v>
      </c>
      <c r="AI74" s="231">
        <v>1</v>
      </c>
      <c r="AJ74" s="231"/>
      <c r="AK74" s="187"/>
      <c r="AL74" s="187"/>
      <c r="AM74" s="152"/>
      <c r="AN74" s="232">
        <f t="shared" si="9"/>
        <v>23</v>
      </c>
      <c r="AO74" s="219">
        <v>210000</v>
      </c>
      <c r="AP74" s="233">
        <f t="shared" si="5"/>
        <v>4830000</v>
      </c>
    </row>
    <row r="75" spans="1:42" s="199" customFormat="1" ht="24.95" customHeight="1" x14ac:dyDescent="0.3">
      <c r="A75" s="229">
        <f t="shared" si="8"/>
        <v>70</v>
      </c>
      <c r="B75" s="144" t="s">
        <v>457</v>
      </c>
      <c r="C75" s="221" t="s">
        <v>458</v>
      </c>
      <c r="D75" s="221" t="s">
        <v>234</v>
      </c>
      <c r="E75" s="144" t="s">
        <v>459</v>
      </c>
      <c r="F75" s="222" t="s">
        <v>460</v>
      </c>
      <c r="G75" s="223" t="s">
        <v>457</v>
      </c>
      <c r="H75" s="224" t="s">
        <v>461</v>
      </c>
      <c r="I75" s="230"/>
      <c r="J75" s="231">
        <v>1.5</v>
      </c>
      <c r="K75" s="231">
        <v>1.5</v>
      </c>
      <c r="L75" s="231">
        <v>1</v>
      </c>
      <c r="M75" s="231">
        <v>1.5</v>
      </c>
      <c r="N75" s="231">
        <v>1.5</v>
      </c>
      <c r="O75" s="231">
        <v>1</v>
      </c>
      <c r="P75" s="231"/>
      <c r="Q75" s="231">
        <v>1.5</v>
      </c>
      <c r="R75" s="231">
        <v>1.5</v>
      </c>
      <c r="S75" s="231">
        <v>1</v>
      </c>
      <c r="T75" s="231">
        <v>1.5</v>
      </c>
      <c r="U75" s="231">
        <v>1.5</v>
      </c>
      <c r="V75" s="231"/>
      <c r="W75" s="231"/>
      <c r="X75" s="231"/>
      <c r="Y75" s="231"/>
      <c r="Z75" s="231"/>
      <c r="AA75" s="231">
        <v>1</v>
      </c>
      <c r="AB75" s="231">
        <v>1</v>
      </c>
      <c r="AC75" s="231">
        <v>0.5</v>
      </c>
      <c r="AD75" s="231"/>
      <c r="AE75" s="231">
        <v>1.5</v>
      </c>
      <c r="AF75" s="231">
        <v>1.5</v>
      </c>
      <c r="AG75" s="231">
        <v>1.5</v>
      </c>
      <c r="AH75" s="231">
        <v>1.5</v>
      </c>
      <c r="AI75" s="231">
        <v>1.5</v>
      </c>
      <c r="AJ75" s="231"/>
      <c r="AK75" s="187"/>
      <c r="AL75" s="187"/>
      <c r="AM75" s="152"/>
      <c r="AN75" s="232">
        <f t="shared" si="9"/>
        <v>25</v>
      </c>
      <c r="AO75" s="219">
        <v>160000</v>
      </c>
      <c r="AP75" s="233">
        <f t="shared" si="5"/>
        <v>4000000</v>
      </c>
    </row>
    <row r="76" spans="1:42" s="199" customFormat="1" ht="24.95" customHeight="1" x14ac:dyDescent="0.3">
      <c r="A76" s="229">
        <f t="shared" si="8"/>
        <v>71</v>
      </c>
      <c r="B76" s="144" t="s">
        <v>462</v>
      </c>
      <c r="C76" s="221" t="s">
        <v>463</v>
      </c>
      <c r="D76" s="221" t="s">
        <v>242</v>
      </c>
      <c r="E76" s="144" t="s">
        <v>464</v>
      </c>
      <c r="F76" s="222" t="s">
        <v>678</v>
      </c>
      <c r="G76" s="223" t="s">
        <v>462</v>
      </c>
      <c r="H76" s="224" t="s">
        <v>715</v>
      </c>
      <c r="I76" s="230"/>
      <c r="J76" s="231">
        <v>1.5</v>
      </c>
      <c r="K76" s="231">
        <v>1.5</v>
      </c>
      <c r="L76" s="231">
        <v>1</v>
      </c>
      <c r="M76" s="231">
        <v>1.5</v>
      </c>
      <c r="N76" s="231">
        <v>1.5</v>
      </c>
      <c r="O76" s="231">
        <v>1</v>
      </c>
      <c r="P76" s="231"/>
      <c r="Q76" s="231">
        <v>1.5</v>
      </c>
      <c r="R76" s="231">
        <v>1.5</v>
      </c>
      <c r="S76" s="231">
        <v>1.5</v>
      </c>
      <c r="T76" s="231">
        <v>1.5</v>
      </c>
      <c r="U76" s="231">
        <v>1.5</v>
      </c>
      <c r="V76" s="231">
        <v>0.875</v>
      </c>
      <c r="W76" s="231"/>
      <c r="X76" s="231"/>
      <c r="Y76" s="231"/>
      <c r="Z76" s="231"/>
      <c r="AA76" s="231">
        <v>1</v>
      </c>
      <c r="AB76" s="231">
        <v>1</v>
      </c>
      <c r="AC76" s="231">
        <v>0.5</v>
      </c>
      <c r="AD76" s="231"/>
      <c r="AE76" s="231">
        <v>1.5</v>
      </c>
      <c r="AF76" s="231">
        <v>1.5</v>
      </c>
      <c r="AG76" s="231">
        <v>1.5</v>
      </c>
      <c r="AH76" s="231">
        <v>1.375</v>
      </c>
      <c r="AI76" s="231">
        <v>1.5</v>
      </c>
      <c r="AJ76" s="231">
        <v>1</v>
      </c>
      <c r="AK76" s="187"/>
      <c r="AL76" s="187"/>
      <c r="AM76" s="152"/>
      <c r="AN76" s="232">
        <f t="shared" si="9"/>
        <v>27.25</v>
      </c>
      <c r="AO76" s="219">
        <v>210000</v>
      </c>
      <c r="AP76" s="233">
        <f t="shared" si="5"/>
        <v>5722500</v>
      </c>
    </row>
    <row r="77" spans="1:42" s="199" customFormat="1" ht="24.95" customHeight="1" x14ac:dyDescent="0.3">
      <c r="A77" s="229">
        <f t="shared" si="8"/>
        <v>72</v>
      </c>
      <c r="B77" s="144" t="s">
        <v>716</v>
      </c>
      <c r="C77" s="221" t="s">
        <v>717</v>
      </c>
      <c r="D77" s="221" t="s">
        <v>606</v>
      </c>
      <c r="E77" s="144" t="s">
        <v>718</v>
      </c>
      <c r="F77" s="222" t="s">
        <v>246</v>
      </c>
      <c r="G77" s="223" t="s">
        <v>716</v>
      </c>
      <c r="H77" s="224" t="s">
        <v>719</v>
      </c>
      <c r="I77" s="230"/>
      <c r="J77" s="231">
        <v>1.5</v>
      </c>
      <c r="K77" s="231">
        <v>1.5</v>
      </c>
      <c r="L77" s="231">
        <v>1</v>
      </c>
      <c r="M77" s="231">
        <v>1</v>
      </c>
      <c r="N77" s="231"/>
      <c r="O77" s="231">
        <v>1</v>
      </c>
      <c r="P77" s="231"/>
      <c r="Q77" s="231">
        <v>1.5</v>
      </c>
      <c r="R77" s="231">
        <v>1.5</v>
      </c>
      <c r="S77" s="231">
        <v>1</v>
      </c>
      <c r="T77" s="231">
        <v>1.5</v>
      </c>
      <c r="U77" s="231">
        <v>1.5</v>
      </c>
      <c r="V77" s="231"/>
      <c r="W77" s="231"/>
      <c r="X77" s="231"/>
      <c r="Y77" s="231"/>
      <c r="Z77" s="231"/>
      <c r="AA77" s="231">
        <v>1</v>
      </c>
      <c r="AB77" s="231">
        <v>1</v>
      </c>
      <c r="AC77" s="231">
        <v>0.5</v>
      </c>
      <c r="AD77" s="231"/>
      <c r="AE77" s="231">
        <v>1</v>
      </c>
      <c r="AF77" s="231">
        <v>1</v>
      </c>
      <c r="AG77" s="231">
        <v>1</v>
      </c>
      <c r="AH77" s="231">
        <v>1</v>
      </c>
      <c r="AI77" s="231">
        <v>1</v>
      </c>
      <c r="AJ77" s="231"/>
      <c r="AK77" s="187"/>
      <c r="AL77" s="187"/>
      <c r="AM77" s="152"/>
      <c r="AN77" s="232">
        <f t="shared" si="9"/>
        <v>20.5</v>
      </c>
      <c r="AO77" s="219">
        <v>240000</v>
      </c>
      <c r="AP77" s="233">
        <f t="shared" si="5"/>
        <v>4920000</v>
      </c>
    </row>
    <row r="78" spans="1:42" s="199" customFormat="1" ht="24.95" customHeight="1" x14ac:dyDescent="0.3">
      <c r="A78" s="229">
        <f>A77+1</f>
        <v>73</v>
      </c>
      <c r="B78" s="144" t="s">
        <v>465</v>
      </c>
      <c r="C78" s="221" t="s">
        <v>466</v>
      </c>
      <c r="D78" s="221" t="s">
        <v>234</v>
      </c>
      <c r="E78" s="144" t="s">
        <v>467</v>
      </c>
      <c r="F78" s="222" t="s">
        <v>327</v>
      </c>
      <c r="G78" s="223" t="s">
        <v>465</v>
      </c>
      <c r="H78" s="224" t="s">
        <v>468</v>
      </c>
      <c r="I78" s="230"/>
      <c r="J78" s="231">
        <v>1.5</v>
      </c>
      <c r="K78" s="231">
        <v>1.5</v>
      </c>
      <c r="L78" s="231">
        <v>1.5</v>
      </c>
      <c r="M78" s="231">
        <v>1.5</v>
      </c>
      <c r="N78" s="231">
        <v>1.5</v>
      </c>
      <c r="O78" s="231">
        <v>1</v>
      </c>
      <c r="P78" s="231"/>
      <c r="Q78" s="231">
        <v>1.5</v>
      </c>
      <c r="R78" s="231">
        <v>1.5</v>
      </c>
      <c r="S78" s="231">
        <v>1</v>
      </c>
      <c r="T78" s="231">
        <v>1.5</v>
      </c>
      <c r="U78" s="231">
        <v>1.5</v>
      </c>
      <c r="V78" s="231">
        <v>1</v>
      </c>
      <c r="W78" s="231"/>
      <c r="X78" s="231"/>
      <c r="Y78" s="231"/>
      <c r="Z78" s="231"/>
      <c r="AA78" s="231">
        <v>1</v>
      </c>
      <c r="AB78" s="231">
        <v>1</v>
      </c>
      <c r="AC78" s="231">
        <v>0.5</v>
      </c>
      <c r="AD78" s="231"/>
      <c r="AE78" s="231">
        <v>1.5</v>
      </c>
      <c r="AF78" s="231">
        <v>1.5</v>
      </c>
      <c r="AG78" s="231">
        <v>1</v>
      </c>
      <c r="AH78" s="231">
        <v>1.5</v>
      </c>
      <c r="AI78" s="231">
        <v>1.5</v>
      </c>
      <c r="AJ78" s="231"/>
      <c r="AK78" s="187"/>
      <c r="AL78" s="187"/>
      <c r="AM78" s="196"/>
      <c r="AN78" s="232">
        <f t="shared" si="9"/>
        <v>26</v>
      </c>
      <c r="AO78" s="219">
        <v>140000</v>
      </c>
      <c r="AP78" s="233">
        <f t="shared" si="5"/>
        <v>3640000</v>
      </c>
    </row>
    <row r="79" spans="1:42" s="199" customFormat="1" ht="24.95" customHeight="1" thickBot="1" x14ac:dyDescent="0.35">
      <c r="A79" s="229">
        <f>A78+1</f>
        <v>74</v>
      </c>
      <c r="B79" s="144" t="s">
        <v>720</v>
      </c>
      <c r="C79" s="221" t="s">
        <v>721</v>
      </c>
      <c r="D79" s="221" t="s">
        <v>234</v>
      </c>
      <c r="E79" s="144" t="s">
        <v>722</v>
      </c>
      <c r="F79" s="222" t="s">
        <v>236</v>
      </c>
      <c r="G79" s="223" t="s">
        <v>720</v>
      </c>
      <c r="H79" s="224" t="s">
        <v>723</v>
      </c>
      <c r="I79" s="234"/>
      <c r="J79" s="235">
        <v>1.5</v>
      </c>
      <c r="K79" s="235">
        <v>1.5</v>
      </c>
      <c r="L79" s="235">
        <v>1.5</v>
      </c>
      <c r="M79" s="235">
        <v>1.5</v>
      </c>
      <c r="N79" s="235">
        <v>1.5</v>
      </c>
      <c r="O79" s="235">
        <v>1</v>
      </c>
      <c r="P79" s="235"/>
      <c r="Q79" s="235">
        <v>1.5</v>
      </c>
      <c r="R79" s="235">
        <v>1.5</v>
      </c>
      <c r="S79" s="235">
        <v>0.5</v>
      </c>
      <c r="T79" s="235">
        <v>1.5</v>
      </c>
      <c r="U79" s="235">
        <v>1.5</v>
      </c>
      <c r="V79" s="235"/>
      <c r="W79" s="235"/>
      <c r="X79" s="235"/>
      <c r="Y79" s="235"/>
      <c r="Z79" s="235"/>
      <c r="AA79" s="235">
        <v>1</v>
      </c>
      <c r="AB79" s="235">
        <v>1</v>
      </c>
      <c r="AC79" s="235">
        <v>0.5</v>
      </c>
      <c r="AD79" s="235"/>
      <c r="AE79" s="235">
        <v>1.5</v>
      </c>
      <c r="AF79" s="235">
        <v>1.5</v>
      </c>
      <c r="AG79" s="235">
        <v>1</v>
      </c>
      <c r="AH79" s="235">
        <v>1</v>
      </c>
      <c r="AI79" s="235">
        <v>1.5</v>
      </c>
      <c r="AJ79" s="235"/>
      <c r="AK79" s="197"/>
      <c r="AL79" s="197"/>
      <c r="AM79" s="198"/>
      <c r="AN79" s="236">
        <f>SUM(I79:AM79)</f>
        <v>24</v>
      </c>
      <c r="AO79" s="219">
        <v>150000</v>
      </c>
      <c r="AP79" s="237">
        <f t="shared" ref="AP79" si="10">AN79*AO79</f>
        <v>3600000</v>
      </c>
    </row>
    <row r="80" spans="1:42" s="199" customFormat="1" ht="30" customHeight="1" thickBot="1" x14ac:dyDescent="0.35">
      <c r="A80" s="293" t="s">
        <v>217</v>
      </c>
      <c r="B80" s="294"/>
      <c r="C80" s="294"/>
      <c r="D80" s="294"/>
      <c r="E80" s="294"/>
      <c r="F80" s="294"/>
      <c r="G80" s="294"/>
      <c r="H80" s="295"/>
      <c r="I80" s="200">
        <f t="shared" ref="I80:AN80" si="11">SUM(I6:I79)</f>
        <v>0</v>
      </c>
      <c r="J80" s="201">
        <f t="shared" si="11"/>
        <v>98.625</v>
      </c>
      <c r="K80" s="201">
        <f t="shared" si="11"/>
        <v>98.375</v>
      </c>
      <c r="L80" s="201">
        <f t="shared" si="11"/>
        <v>81.625</v>
      </c>
      <c r="M80" s="201">
        <f t="shared" si="11"/>
        <v>100</v>
      </c>
      <c r="N80" s="201">
        <f t="shared" si="11"/>
        <v>95.5</v>
      </c>
      <c r="O80" s="201">
        <f t="shared" si="11"/>
        <v>37</v>
      </c>
      <c r="P80" s="201">
        <f t="shared" si="11"/>
        <v>0</v>
      </c>
      <c r="Q80" s="201">
        <f t="shared" si="11"/>
        <v>96</v>
      </c>
      <c r="R80" s="201">
        <f t="shared" si="11"/>
        <v>97.875</v>
      </c>
      <c r="S80" s="201">
        <f t="shared" si="11"/>
        <v>81.625</v>
      </c>
      <c r="T80" s="201">
        <f t="shared" si="11"/>
        <v>101.625</v>
      </c>
      <c r="U80" s="201">
        <f t="shared" si="11"/>
        <v>102.625</v>
      </c>
      <c r="V80" s="201">
        <f t="shared" si="11"/>
        <v>25.875</v>
      </c>
      <c r="W80" s="201">
        <f t="shared" si="11"/>
        <v>0</v>
      </c>
      <c r="X80" s="201">
        <f t="shared" si="11"/>
        <v>0</v>
      </c>
      <c r="Y80" s="201">
        <f t="shared" si="11"/>
        <v>0</v>
      </c>
      <c r="Z80" s="201">
        <f t="shared" si="11"/>
        <v>0</v>
      </c>
      <c r="AA80" s="201">
        <f t="shared" si="11"/>
        <v>64.875</v>
      </c>
      <c r="AB80" s="201">
        <f t="shared" si="11"/>
        <v>75.375</v>
      </c>
      <c r="AC80" s="201">
        <f t="shared" si="11"/>
        <v>36.375</v>
      </c>
      <c r="AD80" s="201">
        <f t="shared" si="11"/>
        <v>0</v>
      </c>
      <c r="AE80" s="201">
        <f t="shared" si="11"/>
        <v>97.5</v>
      </c>
      <c r="AF80" s="201">
        <f t="shared" si="11"/>
        <v>97.25</v>
      </c>
      <c r="AG80" s="201">
        <f t="shared" si="11"/>
        <v>84.5</v>
      </c>
      <c r="AH80" s="201">
        <f t="shared" si="11"/>
        <v>99.625</v>
      </c>
      <c r="AI80" s="201">
        <f t="shared" si="11"/>
        <v>94.875</v>
      </c>
      <c r="AJ80" s="201">
        <f t="shared" si="11"/>
        <v>16</v>
      </c>
      <c r="AK80" s="201">
        <f t="shared" si="11"/>
        <v>0</v>
      </c>
      <c r="AL80" s="201">
        <f t="shared" si="11"/>
        <v>0</v>
      </c>
      <c r="AM80" s="202">
        <f t="shared" si="11"/>
        <v>0</v>
      </c>
      <c r="AN80" s="203">
        <f t="shared" si="11"/>
        <v>1683.125</v>
      </c>
      <c r="AO80" s="204">
        <f>AP80/AN80</f>
        <v>187209.80319346453</v>
      </c>
      <c r="AP80" s="205">
        <f>SUM(AP6:AP79)</f>
        <v>315097500</v>
      </c>
    </row>
    <row r="81" spans="1:42" s="199" customFormat="1" ht="24.95" hidden="1" customHeight="1" x14ac:dyDescent="0.3">
      <c r="A81" s="107">
        <v>1</v>
      </c>
      <c r="B81" s="108" t="s">
        <v>232</v>
      </c>
      <c r="C81" s="109" t="s">
        <v>239</v>
      </c>
      <c r="D81" s="109" t="s">
        <v>234</v>
      </c>
      <c r="E81" s="109" t="s">
        <v>235</v>
      </c>
      <c r="F81" s="110" t="s">
        <v>236</v>
      </c>
      <c r="G81" s="111" t="s">
        <v>237</v>
      </c>
      <c r="H81" s="112" t="s">
        <v>238</v>
      </c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  <c r="AA81" s="206"/>
      <c r="AB81" s="206"/>
      <c r="AC81" s="206"/>
      <c r="AD81" s="206"/>
      <c r="AE81" s="206"/>
      <c r="AF81" s="206"/>
      <c r="AG81" s="206"/>
      <c r="AH81" s="206"/>
      <c r="AI81" s="206"/>
      <c r="AJ81" s="206"/>
      <c r="AK81" s="206"/>
      <c r="AL81" s="206"/>
      <c r="AM81" s="206"/>
      <c r="AN81" s="113">
        <f t="shared" ref="AN81:AN90" si="12">SUM(I81:AM81)</f>
        <v>0</v>
      </c>
      <c r="AO81" s="110"/>
      <c r="AP81" s="114">
        <f>AN81*AO81</f>
        <v>0</v>
      </c>
    </row>
    <row r="82" spans="1:42" s="199" customFormat="1" ht="24.95" hidden="1" customHeight="1" x14ac:dyDescent="0.3">
      <c r="A82" s="115">
        <v>2</v>
      </c>
      <c r="B82" s="108" t="s">
        <v>232</v>
      </c>
      <c r="C82" s="109" t="s">
        <v>233</v>
      </c>
      <c r="D82" s="116" t="s">
        <v>240</v>
      </c>
      <c r="E82" s="109" t="s">
        <v>235</v>
      </c>
      <c r="F82" s="117" t="s">
        <v>241</v>
      </c>
      <c r="G82" s="111" t="s">
        <v>232</v>
      </c>
      <c r="H82" s="112" t="s">
        <v>244</v>
      </c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  <c r="AA82" s="206"/>
      <c r="AB82" s="206"/>
      <c r="AC82" s="206"/>
      <c r="AD82" s="206"/>
      <c r="AE82" s="206"/>
      <c r="AF82" s="206"/>
      <c r="AG82" s="206"/>
      <c r="AH82" s="206"/>
      <c r="AI82" s="206"/>
      <c r="AJ82" s="206"/>
      <c r="AK82" s="206"/>
      <c r="AL82" s="206"/>
      <c r="AM82" s="206"/>
      <c r="AN82" s="113">
        <f t="shared" si="12"/>
        <v>0</v>
      </c>
      <c r="AO82" s="110"/>
      <c r="AP82" s="114">
        <f t="shared" ref="AP82:AP90" si="13">AN82*AO82</f>
        <v>0</v>
      </c>
    </row>
    <row r="83" spans="1:42" s="199" customFormat="1" ht="24.95" hidden="1" customHeight="1" x14ac:dyDescent="0.3">
      <c r="A83" s="115">
        <v>3</v>
      </c>
      <c r="B83" s="108" t="s">
        <v>232</v>
      </c>
      <c r="C83" s="109" t="s">
        <v>239</v>
      </c>
      <c r="D83" s="207" t="s">
        <v>242</v>
      </c>
      <c r="E83" s="109" t="s">
        <v>235</v>
      </c>
      <c r="F83" s="117" t="s">
        <v>243</v>
      </c>
      <c r="G83" s="111" t="s">
        <v>232</v>
      </c>
      <c r="H83" s="112" t="s">
        <v>244</v>
      </c>
      <c r="I83" s="206"/>
      <c r="J83" s="206"/>
      <c r="K83" s="206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6"/>
      <c r="Z83" s="206"/>
      <c r="AA83" s="206"/>
      <c r="AB83" s="206"/>
      <c r="AC83" s="206"/>
      <c r="AD83" s="206"/>
      <c r="AE83" s="206"/>
      <c r="AF83" s="206"/>
      <c r="AG83" s="206"/>
      <c r="AH83" s="206"/>
      <c r="AI83" s="206"/>
      <c r="AJ83" s="206"/>
      <c r="AK83" s="206"/>
      <c r="AL83" s="206"/>
      <c r="AM83" s="206"/>
      <c r="AN83" s="113">
        <f t="shared" si="12"/>
        <v>0</v>
      </c>
      <c r="AO83" s="110"/>
      <c r="AP83" s="114">
        <f t="shared" si="13"/>
        <v>0</v>
      </c>
    </row>
    <row r="84" spans="1:42" s="199" customFormat="1" ht="24.95" hidden="1" customHeight="1" x14ac:dyDescent="0.3">
      <c r="A84" s="115">
        <v>4</v>
      </c>
      <c r="B84" s="108" t="s">
        <v>232</v>
      </c>
      <c r="C84" s="109" t="s">
        <v>239</v>
      </c>
      <c r="D84" s="116" t="s">
        <v>234</v>
      </c>
      <c r="E84" s="109" t="s">
        <v>235</v>
      </c>
      <c r="F84" s="117" t="s">
        <v>236</v>
      </c>
      <c r="G84" s="111" t="s">
        <v>237</v>
      </c>
      <c r="H84" s="112" t="s">
        <v>244</v>
      </c>
      <c r="I84" s="206"/>
      <c r="J84" s="206"/>
      <c r="K84" s="206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  <c r="Z84" s="206"/>
      <c r="AA84" s="206"/>
      <c r="AB84" s="206"/>
      <c r="AC84" s="206"/>
      <c r="AD84" s="206"/>
      <c r="AE84" s="206"/>
      <c r="AF84" s="206"/>
      <c r="AG84" s="206"/>
      <c r="AH84" s="206"/>
      <c r="AI84" s="206"/>
      <c r="AJ84" s="206"/>
      <c r="AK84" s="206"/>
      <c r="AL84" s="206"/>
      <c r="AM84" s="206"/>
      <c r="AN84" s="113">
        <f t="shared" si="12"/>
        <v>0</v>
      </c>
      <c r="AO84" s="110"/>
      <c r="AP84" s="114">
        <f t="shared" si="13"/>
        <v>0</v>
      </c>
    </row>
    <row r="85" spans="1:42" s="199" customFormat="1" ht="24.95" hidden="1" customHeight="1" x14ac:dyDescent="0.3">
      <c r="A85" s="115">
        <v>5</v>
      </c>
      <c r="B85" s="108" t="s">
        <v>237</v>
      </c>
      <c r="C85" s="109" t="s">
        <v>233</v>
      </c>
      <c r="D85" s="116" t="s">
        <v>242</v>
      </c>
      <c r="E85" s="109" t="s">
        <v>245</v>
      </c>
      <c r="F85" s="117" t="s">
        <v>246</v>
      </c>
      <c r="G85" s="111" t="s">
        <v>232</v>
      </c>
      <c r="H85" s="112" t="s">
        <v>238</v>
      </c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06"/>
      <c r="AA85" s="206"/>
      <c r="AB85" s="206"/>
      <c r="AC85" s="206"/>
      <c r="AD85" s="206"/>
      <c r="AE85" s="206"/>
      <c r="AF85" s="206"/>
      <c r="AG85" s="206"/>
      <c r="AH85" s="206"/>
      <c r="AI85" s="206"/>
      <c r="AJ85" s="206"/>
      <c r="AK85" s="206"/>
      <c r="AL85" s="206"/>
      <c r="AM85" s="206"/>
      <c r="AN85" s="113">
        <f t="shared" si="12"/>
        <v>0</v>
      </c>
      <c r="AO85" s="110"/>
      <c r="AP85" s="114">
        <f t="shared" si="13"/>
        <v>0</v>
      </c>
    </row>
    <row r="86" spans="1:42" s="199" customFormat="1" ht="24.95" hidden="1" customHeight="1" x14ac:dyDescent="0.3">
      <c r="A86" s="115">
        <v>6</v>
      </c>
      <c r="B86" s="108" t="s">
        <v>232</v>
      </c>
      <c r="C86" s="109" t="s">
        <v>248</v>
      </c>
      <c r="D86" s="207" t="s">
        <v>234</v>
      </c>
      <c r="E86" s="109" t="s">
        <v>249</v>
      </c>
      <c r="F86" s="117" t="s">
        <v>243</v>
      </c>
      <c r="G86" s="111" t="s">
        <v>232</v>
      </c>
      <c r="H86" s="112" t="s">
        <v>244</v>
      </c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  <c r="AA86" s="206"/>
      <c r="AB86" s="206"/>
      <c r="AC86" s="206"/>
      <c r="AD86" s="206"/>
      <c r="AE86" s="206"/>
      <c r="AF86" s="206"/>
      <c r="AG86" s="206"/>
      <c r="AH86" s="206"/>
      <c r="AI86" s="206"/>
      <c r="AJ86" s="206"/>
      <c r="AK86" s="206"/>
      <c r="AL86" s="206"/>
      <c r="AM86" s="206"/>
      <c r="AN86" s="113">
        <f t="shared" si="12"/>
        <v>0</v>
      </c>
      <c r="AO86" s="110"/>
      <c r="AP86" s="114">
        <f t="shared" si="13"/>
        <v>0</v>
      </c>
    </row>
    <row r="87" spans="1:42" s="199" customFormat="1" ht="24.95" hidden="1" customHeight="1" x14ac:dyDescent="0.3">
      <c r="A87" s="115">
        <v>7</v>
      </c>
      <c r="B87" s="108" t="s">
        <v>232</v>
      </c>
      <c r="C87" s="109" t="s">
        <v>239</v>
      </c>
      <c r="D87" s="116" t="s">
        <v>234</v>
      </c>
      <c r="E87" s="109" t="s">
        <v>245</v>
      </c>
      <c r="F87" s="117" t="s">
        <v>243</v>
      </c>
      <c r="G87" s="111" t="s">
        <v>232</v>
      </c>
      <c r="H87" s="112" t="s">
        <v>238</v>
      </c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  <c r="AA87" s="206"/>
      <c r="AB87" s="206"/>
      <c r="AC87" s="206"/>
      <c r="AD87" s="206"/>
      <c r="AE87" s="206"/>
      <c r="AF87" s="206"/>
      <c r="AG87" s="206"/>
      <c r="AH87" s="206"/>
      <c r="AI87" s="206"/>
      <c r="AJ87" s="206"/>
      <c r="AK87" s="206"/>
      <c r="AL87" s="206"/>
      <c r="AM87" s="206"/>
      <c r="AN87" s="113">
        <f t="shared" si="12"/>
        <v>0</v>
      </c>
      <c r="AO87" s="110"/>
      <c r="AP87" s="114">
        <f t="shared" si="13"/>
        <v>0</v>
      </c>
    </row>
    <row r="88" spans="1:42" s="199" customFormat="1" ht="24.95" hidden="1" customHeight="1" x14ac:dyDescent="0.3">
      <c r="A88" s="115">
        <v>8</v>
      </c>
      <c r="B88" s="108" t="s">
        <v>232</v>
      </c>
      <c r="C88" s="109" t="s">
        <v>233</v>
      </c>
      <c r="D88" s="207" t="s">
        <v>240</v>
      </c>
      <c r="E88" s="109" t="s">
        <v>235</v>
      </c>
      <c r="F88" s="117" t="s">
        <v>247</v>
      </c>
      <c r="G88" s="111" t="s">
        <v>237</v>
      </c>
      <c r="H88" s="112" t="s">
        <v>244</v>
      </c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  <c r="AA88" s="206"/>
      <c r="AB88" s="206"/>
      <c r="AC88" s="206"/>
      <c r="AD88" s="206"/>
      <c r="AE88" s="206"/>
      <c r="AF88" s="206"/>
      <c r="AG88" s="206"/>
      <c r="AH88" s="206"/>
      <c r="AI88" s="206"/>
      <c r="AJ88" s="206"/>
      <c r="AK88" s="206"/>
      <c r="AL88" s="206"/>
      <c r="AM88" s="206"/>
      <c r="AN88" s="113">
        <f t="shared" si="12"/>
        <v>0</v>
      </c>
      <c r="AO88" s="110"/>
      <c r="AP88" s="114">
        <f t="shared" si="13"/>
        <v>0</v>
      </c>
    </row>
    <row r="89" spans="1:42" s="199" customFormat="1" ht="24.95" hidden="1" customHeight="1" x14ac:dyDescent="0.3">
      <c r="A89" s="115">
        <v>9</v>
      </c>
      <c r="B89" s="108" t="s">
        <v>250</v>
      </c>
      <c r="C89" s="109" t="s">
        <v>233</v>
      </c>
      <c r="D89" s="207" t="s">
        <v>242</v>
      </c>
      <c r="E89" s="109" t="s">
        <v>245</v>
      </c>
      <c r="F89" s="117" t="s">
        <v>236</v>
      </c>
      <c r="G89" s="111" t="s">
        <v>232</v>
      </c>
      <c r="H89" s="112" t="s">
        <v>238</v>
      </c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  <c r="AA89" s="206"/>
      <c r="AB89" s="206"/>
      <c r="AC89" s="206"/>
      <c r="AD89" s="206"/>
      <c r="AE89" s="206"/>
      <c r="AF89" s="206"/>
      <c r="AG89" s="206"/>
      <c r="AH89" s="206"/>
      <c r="AI89" s="206"/>
      <c r="AJ89" s="206"/>
      <c r="AK89" s="206"/>
      <c r="AL89" s="206"/>
      <c r="AM89" s="206"/>
      <c r="AN89" s="113">
        <f t="shared" si="12"/>
        <v>0</v>
      </c>
      <c r="AO89" s="110"/>
      <c r="AP89" s="114">
        <f t="shared" si="13"/>
        <v>0</v>
      </c>
    </row>
    <row r="90" spans="1:42" s="199" customFormat="1" ht="24.95" hidden="1" customHeight="1" thickBot="1" x14ac:dyDescent="0.35">
      <c r="A90" s="118">
        <v>10</v>
      </c>
      <c r="B90" s="108" t="s">
        <v>232</v>
      </c>
      <c r="C90" s="109" t="s">
        <v>239</v>
      </c>
      <c r="D90" s="119" t="s">
        <v>234</v>
      </c>
      <c r="E90" s="109" t="s">
        <v>251</v>
      </c>
      <c r="F90" s="120" t="s">
        <v>243</v>
      </c>
      <c r="G90" s="111" t="s">
        <v>232</v>
      </c>
      <c r="H90" s="112" t="s">
        <v>244</v>
      </c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  <c r="AA90" s="206"/>
      <c r="AB90" s="206"/>
      <c r="AC90" s="206"/>
      <c r="AD90" s="206"/>
      <c r="AE90" s="206"/>
      <c r="AF90" s="206"/>
      <c r="AG90" s="206"/>
      <c r="AH90" s="206"/>
      <c r="AI90" s="206"/>
      <c r="AJ90" s="206"/>
      <c r="AK90" s="206"/>
      <c r="AL90" s="206"/>
      <c r="AM90" s="206"/>
      <c r="AN90" s="113">
        <f t="shared" si="12"/>
        <v>0</v>
      </c>
      <c r="AO90" s="110"/>
      <c r="AP90" s="114">
        <f t="shared" si="13"/>
        <v>0</v>
      </c>
    </row>
    <row r="91" spans="1:42" s="199" customFormat="1" ht="30" hidden="1" customHeight="1" thickBot="1" x14ac:dyDescent="0.35">
      <c r="A91" s="293" t="s">
        <v>252</v>
      </c>
      <c r="B91" s="294"/>
      <c r="C91" s="294"/>
      <c r="D91" s="294"/>
      <c r="E91" s="294"/>
      <c r="F91" s="294"/>
      <c r="G91" s="294"/>
      <c r="H91" s="295"/>
      <c r="I91" s="200">
        <f t="shared" ref="I91:AM91" si="14">SUM(I81:I90)</f>
        <v>0</v>
      </c>
      <c r="J91" s="201">
        <f t="shared" si="14"/>
        <v>0</v>
      </c>
      <c r="K91" s="201">
        <f t="shared" si="14"/>
        <v>0</v>
      </c>
      <c r="L91" s="201">
        <f t="shared" si="14"/>
        <v>0</v>
      </c>
      <c r="M91" s="201">
        <f t="shared" si="14"/>
        <v>0</v>
      </c>
      <c r="N91" s="201">
        <f t="shared" si="14"/>
        <v>0</v>
      </c>
      <c r="O91" s="201">
        <f t="shared" si="14"/>
        <v>0</v>
      </c>
      <c r="P91" s="201">
        <f t="shared" si="14"/>
        <v>0</v>
      </c>
      <c r="Q91" s="201">
        <f t="shared" si="14"/>
        <v>0</v>
      </c>
      <c r="R91" s="201">
        <f t="shared" si="14"/>
        <v>0</v>
      </c>
      <c r="S91" s="201">
        <f t="shared" si="14"/>
        <v>0</v>
      </c>
      <c r="T91" s="201">
        <f t="shared" si="14"/>
        <v>0</v>
      </c>
      <c r="U91" s="201">
        <f t="shared" si="14"/>
        <v>0</v>
      </c>
      <c r="V91" s="201">
        <f t="shared" si="14"/>
        <v>0</v>
      </c>
      <c r="W91" s="201">
        <f t="shared" si="14"/>
        <v>0</v>
      </c>
      <c r="X91" s="201">
        <f t="shared" si="14"/>
        <v>0</v>
      </c>
      <c r="Y91" s="201">
        <f t="shared" si="14"/>
        <v>0</v>
      </c>
      <c r="Z91" s="201">
        <f t="shared" si="14"/>
        <v>0</v>
      </c>
      <c r="AA91" s="201">
        <f t="shared" si="14"/>
        <v>0</v>
      </c>
      <c r="AB91" s="201">
        <f t="shared" si="14"/>
        <v>0</v>
      </c>
      <c r="AC91" s="201">
        <f t="shared" si="14"/>
        <v>0</v>
      </c>
      <c r="AD91" s="201">
        <f t="shared" si="14"/>
        <v>0</v>
      </c>
      <c r="AE91" s="201">
        <f t="shared" si="14"/>
        <v>0</v>
      </c>
      <c r="AF91" s="201">
        <f t="shared" si="14"/>
        <v>0</v>
      </c>
      <c r="AG91" s="201">
        <f t="shared" si="14"/>
        <v>0</v>
      </c>
      <c r="AH91" s="201">
        <f t="shared" si="14"/>
        <v>0</v>
      </c>
      <c r="AI91" s="201">
        <f t="shared" si="14"/>
        <v>0</v>
      </c>
      <c r="AJ91" s="201">
        <f t="shared" si="14"/>
        <v>0</v>
      </c>
      <c r="AK91" s="201">
        <f t="shared" si="14"/>
        <v>0</v>
      </c>
      <c r="AL91" s="201">
        <f t="shared" si="14"/>
        <v>0</v>
      </c>
      <c r="AM91" s="202">
        <f t="shared" si="14"/>
        <v>0</v>
      </c>
      <c r="AN91" s="203">
        <f>SUM(AN81:AN90)</f>
        <v>0</v>
      </c>
      <c r="AO91" s="204" t="e">
        <f>AP91/AN91</f>
        <v>#DIV/0!</v>
      </c>
      <c r="AP91" s="205">
        <f>SUM(AP81:AP90)</f>
        <v>0</v>
      </c>
    </row>
    <row r="92" spans="1:42" s="199" customFormat="1" ht="35.1" customHeight="1" thickBot="1" x14ac:dyDescent="0.35">
      <c r="A92" s="296" t="s">
        <v>253</v>
      </c>
      <c r="B92" s="297"/>
      <c r="C92" s="297"/>
      <c r="D92" s="297"/>
      <c r="E92" s="297"/>
      <c r="F92" s="297"/>
      <c r="G92" s="297"/>
      <c r="H92" s="298"/>
      <c r="I92" s="208">
        <f>I80+I91</f>
        <v>0</v>
      </c>
      <c r="J92" s="209">
        <f>J80+J91</f>
        <v>98.625</v>
      </c>
      <c r="K92" s="209">
        <f>K80+K91</f>
        <v>98.375</v>
      </c>
      <c r="L92" s="209">
        <f t="shared" ref="L92:AM92" si="15">L80+L91</f>
        <v>81.625</v>
      </c>
      <c r="M92" s="209">
        <f t="shared" si="15"/>
        <v>100</v>
      </c>
      <c r="N92" s="209">
        <f t="shared" si="15"/>
        <v>95.5</v>
      </c>
      <c r="O92" s="209">
        <f t="shared" si="15"/>
        <v>37</v>
      </c>
      <c r="P92" s="209">
        <f t="shared" si="15"/>
        <v>0</v>
      </c>
      <c r="Q92" s="209">
        <f t="shared" si="15"/>
        <v>96</v>
      </c>
      <c r="R92" s="209">
        <f t="shared" si="15"/>
        <v>97.875</v>
      </c>
      <c r="S92" s="209">
        <f t="shared" si="15"/>
        <v>81.625</v>
      </c>
      <c r="T92" s="209">
        <f t="shared" si="15"/>
        <v>101.625</v>
      </c>
      <c r="U92" s="209">
        <f t="shared" si="15"/>
        <v>102.625</v>
      </c>
      <c r="V92" s="209">
        <f t="shared" si="15"/>
        <v>25.875</v>
      </c>
      <c r="W92" s="209">
        <f t="shared" si="15"/>
        <v>0</v>
      </c>
      <c r="X92" s="209">
        <f t="shared" si="15"/>
        <v>0</v>
      </c>
      <c r="Y92" s="209">
        <f t="shared" si="15"/>
        <v>0</v>
      </c>
      <c r="Z92" s="209">
        <f t="shared" si="15"/>
        <v>0</v>
      </c>
      <c r="AA92" s="209">
        <f t="shared" si="15"/>
        <v>64.875</v>
      </c>
      <c r="AB92" s="209">
        <f t="shared" si="15"/>
        <v>75.375</v>
      </c>
      <c r="AC92" s="209">
        <f t="shared" si="15"/>
        <v>36.375</v>
      </c>
      <c r="AD92" s="209">
        <f t="shared" si="15"/>
        <v>0</v>
      </c>
      <c r="AE92" s="209">
        <f t="shared" si="15"/>
        <v>97.5</v>
      </c>
      <c r="AF92" s="209">
        <f t="shared" si="15"/>
        <v>97.25</v>
      </c>
      <c r="AG92" s="209">
        <f t="shared" si="15"/>
        <v>84.5</v>
      </c>
      <c r="AH92" s="209">
        <f t="shared" si="15"/>
        <v>99.625</v>
      </c>
      <c r="AI92" s="209">
        <f t="shared" si="15"/>
        <v>94.875</v>
      </c>
      <c r="AJ92" s="209">
        <f t="shared" si="15"/>
        <v>16</v>
      </c>
      <c r="AK92" s="209">
        <f t="shared" si="15"/>
        <v>0</v>
      </c>
      <c r="AL92" s="209">
        <f t="shared" si="15"/>
        <v>0</v>
      </c>
      <c r="AM92" s="209">
        <f t="shared" si="15"/>
        <v>0</v>
      </c>
      <c r="AN92" s="210">
        <f>AN80+AN91</f>
        <v>1683.125</v>
      </c>
      <c r="AO92" s="211">
        <f>AP92/AN92</f>
        <v>187209.80319346453</v>
      </c>
      <c r="AP92" s="212">
        <f>AP80+AP91</f>
        <v>315097500</v>
      </c>
    </row>
    <row r="93" spans="1:42" x14ac:dyDescent="0.3">
      <c r="G93" s="121"/>
      <c r="H93" s="121"/>
      <c r="AG93" s="122"/>
      <c r="AI93" s="123"/>
      <c r="AO93" s="121"/>
    </row>
    <row r="94" spans="1:42" x14ac:dyDescent="0.3">
      <c r="G94" s="121"/>
      <c r="H94" s="121"/>
      <c r="AG94" s="122"/>
      <c r="AI94" s="123"/>
      <c r="AO94" s="121"/>
    </row>
    <row r="95" spans="1:42" x14ac:dyDescent="0.3">
      <c r="G95" s="121"/>
      <c r="H95" s="121"/>
      <c r="AG95" s="122"/>
      <c r="AI95" s="123"/>
      <c r="AO95" s="121"/>
    </row>
    <row r="96" spans="1:42" x14ac:dyDescent="0.3">
      <c r="G96" s="121"/>
      <c r="H96" s="121"/>
      <c r="AG96" s="122"/>
      <c r="AI96" s="123"/>
      <c r="AO96" s="121"/>
    </row>
    <row r="97" spans="3:41" x14ac:dyDescent="0.3">
      <c r="G97" s="121"/>
      <c r="H97" s="121"/>
      <c r="AI97" s="122"/>
      <c r="AM97" s="123"/>
      <c r="AO97" s="121"/>
    </row>
    <row r="98" spans="3:41" x14ac:dyDescent="0.3">
      <c r="G98" s="121"/>
      <c r="H98" s="121"/>
      <c r="AI98" s="122"/>
      <c r="AJ98" s="122"/>
      <c r="AM98" s="123"/>
      <c r="AO98" s="121"/>
    </row>
    <row r="99" spans="3:41" x14ac:dyDescent="0.3">
      <c r="G99" s="121"/>
      <c r="H99" s="121"/>
      <c r="AJ99" s="122"/>
      <c r="AK99" s="122"/>
      <c r="AL99" s="122"/>
      <c r="AO99" s="121"/>
    </row>
    <row r="100" spans="3:41" x14ac:dyDescent="0.3">
      <c r="G100" s="121"/>
      <c r="H100" s="121"/>
      <c r="AJ100" s="122"/>
      <c r="AK100" s="122"/>
      <c r="AL100" s="122"/>
      <c r="AO100" s="121"/>
    </row>
    <row r="101" spans="3:41" x14ac:dyDescent="0.3">
      <c r="G101" s="121"/>
      <c r="H101" s="121"/>
      <c r="AJ101" s="122"/>
      <c r="AK101" s="122"/>
      <c r="AL101" s="122"/>
      <c r="AO101" s="121"/>
    </row>
    <row r="102" spans="3:41" x14ac:dyDescent="0.3">
      <c r="G102" s="121"/>
      <c r="H102" s="121"/>
      <c r="AK102" s="122"/>
      <c r="AL102" s="122"/>
      <c r="AO102" s="121"/>
    </row>
    <row r="103" spans="3:41" x14ac:dyDescent="0.3">
      <c r="C103" s="125"/>
      <c r="D103" s="125"/>
      <c r="E103" s="125"/>
      <c r="G103" s="121"/>
      <c r="H103" s="121"/>
      <c r="AN103" s="123"/>
      <c r="AO103" s="121"/>
    </row>
    <row r="104" spans="3:41" x14ac:dyDescent="0.3">
      <c r="C104" s="125"/>
      <c r="D104" s="125"/>
      <c r="E104" s="125"/>
      <c r="G104" s="121"/>
      <c r="H104" s="121"/>
      <c r="AN104" s="123"/>
      <c r="AO104" s="121"/>
    </row>
    <row r="105" spans="3:41" x14ac:dyDescent="0.3">
      <c r="C105" s="125"/>
      <c r="D105" s="125"/>
      <c r="E105" s="125"/>
      <c r="G105" s="121"/>
      <c r="H105" s="121"/>
      <c r="AN105" s="123"/>
      <c r="AO105" s="121"/>
    </row>
    <row r="106" spans="3:41" x14ac:dyDescent="0.3">
      <c r="C106" s="125"/>
      <c r="D106" s="125"/>
      <c r="E106" s="125"/>
      <c r="G106" s="121"/>
      <c r="H106" s="121"/>
      <c r="AN106" s="123"/>
      <c r="AO106" s="121"/>
    </row>
    <row r="107" spans="3:41" x14ac:dyDescent="0.3">
      <c r="C107" s="125"/>
      <c r="D107" s="125"/>
      <c r="E107" s="125"/>
      <c r="G107" s="121"/>
      <c r="H107" s="121"/>
      <c r="AN107" s="123"/>
      <c r="AO107" s="121"/>
    </row>
    <row r="108" spans="3:41" x14ac:dyDescent="0.3">
      <c r="E108" s="125"/>
      <c r="F108" s="125"/>
      <c r="G108" s="121"/>
      <c r="H108" s="121"/>
      <c r="AO108" s="123"/>
    </row>
    <row r="109" spans="3:41" x14ac:dyDescent="0.3">
      <c r="E109" s="125"/>
      <c r="F109" s="125"/>
      <c r="G109" s="121"/>
      <c r="H109" s="121"/>
      <c r="AO109" s="123"/>
    </row>
    <row r="110" spans="3:41" x14ac:dyDescent="0.3">
      <c r="E110" s="125"/>
      <c r="F110" s="125"/>
      <c r="G110" s="121"/>
      <c r="H110" s="121"/>
      <c r="AO110" s="123"/>
    </row>
    <row r="111" spans="3:41" x14ac:dyDescent="0.3">
      <c r="E111" s="125"/>
      <c r="F111" s="125"/>
      <c r="G111" s="121"/>
      <c r="H111" s="121"/>
      <c r="AO111" s="123"/>
    </row>
    <row r="112" spans="3:41" x14ac:dyDescent="0.3">
      <c r="E112" s="125"/>
      <c r="F112" s="125"/>
      <c r="G112" s="121"/>
      <c r="H112" s="121"/>
      <c r="AO112" s="123"/>
    </row>
    <row r="113" spans="5:41" x14ac:dyDescent="0.3">
      <c r="E113" s="125"/>
      <c r="F113" s="125"/>
      <c r="G113" s="121"/>
      <c r="H113" s="121"/>
      <c r="AO113" s="123"/>
    </row>
    <row r="114" spans="5:41" x14ac:dyDescent="0.3">
      <c r="E114" s="125"/>
      <c r="F114" s="125"/>
      <c r="G114" s="121"/>
      <c r="H114" s="121"/>
      <c r="AO114" s="123"/>
    </row>
    <row r="115" spans="5:41" x14ac:dyDescent="0.3">
      <c r="E115" s="125"/>
      <c r="F115" s="125"/>
      <c r="G115" s="121"/>
      <c r="H115" s="121"/>
      <c r="AO115" s="123"/>
    </row>
    <row r="116" spans="5:41" x14ac:dyDescent="0.3">
      <c r="E116" s="125"/>
      <c r="F116" s="125"/>
      <c r="G116" s="121"/>
      <c r="H116" s="121"/>
      <c r="AO116" s="123"/>
    </row>
    <row r="117" spans="5:41" x14ac:dyDescent="0.3">
      <c r="E117" s="125"/>
      <c r="F117" s="125"/>
      <c r="G117" s="121"/>
      <c r="H117" s="121"/>
      <c r="AO117" s="123"/>
    </row>
    <row r="118" spans="5:41" x14ac:dyDescent="0.3">
      <c r="E118" s="125"/>
      <c r="F118" s="125"/>
      <c r="G118" s="121"/>
      <c r="H118" s="121"/>
      <c r="AO118" s="123"/>
    </row>
    <row r="119" spans="5:41" x14ac:dyDescent="0.3">
      <c r="E119" s="125"/>
      <c r="F119" s="125"/>
      <c r="G119" s="121"/>
      <c r="H119" s="121"/>
      <c r="AO119" s="123"/>
    </row>
    <row r="120" spans="5:41" x14ac:dyDescent="0.3">
      <c r="E120" s="125"/>
      <c r="F120" s="125"/>
      <c r="G120" s="121"/>
      <c r="H120" s="121"/>
      <c r="AO120" s="123"/>
    </row>
    <row r="121" spans="5:41" x14ac:dyDescent="0.3">
      <c r="E121" s="125"/>
      <c r="F121" s="125"/>
      <c r="G121" s="121"/>
      <c r="H121" s="121"/>
      <c r="AO121" s="123"/>
    </row>
    <row r="122" spans="5:41" x14ac:dyDescent="0.3">
      <c r="E122" s="125"/>
      <c r="F122" s="125"/>
      <c r="G122" s="121"/>
      <c r="H122" s="121"/>
      <c r="AO122" s="123"/>
    </row>
    <row r="123" spans="5:41" x14ac:dyDescent="0.3">
      <c r="E123" s="125"/>
      <c r="F123" s="125"/>
      <c r="G123" s="121"/>
      <c r="H123" s="121"/>
      <c r="AO123" s="123"/>
    </row>
    <row r="124" spans="5:41" x14ac:dyDescent="0.3">
      <c r="E124" s="125"/>
      <c r="F124" s="125"/>
      <c r="G124" s="121"/>
      <c r="H124" s="121"/>
      <c r="AO124" s="123"/>
    </row>
    <row r="125" spans="5:41" x14ac:dyDescent="0.3">
      <c r="E125" s="125"/>
      <c r="F125" s="125"/>
      <c r="G125" s="121"/>
      <c r="H125" s="121"/>
      <c r="AO125" s="123"/>
    </row>
    <row r="126" spans="5:41" x14ac:dyDescent="0.3">
      <c r="E126" s="125"/>
      <c r="F126" s="125"/>
      <c r="G126" s="121"/>
      <c r="H126" s="121"/>
      <c r="AO126" s="123"/>
    </row>
    <row r="127" spans="5:41" x14ac:dyDescent="0.3">
      <c r="E127" s="125"/>
      <c r="F127" s="125"/>
      <c r="G127" s="121"/>
      <c r="H127" s="121"/>
      <c r="AO127" s="123"/>
    </row>
    <row r="128" spans="5:41" x14ac:dyDescent="0.3">
      <c r="E128" s="125"/>
      <c r="F128" s="125"/>
      <c r="G128" s="121"/>
      <c r="H128" s="121"/>
      <c r="AO128" s="123"/>
    </row>
    <row r="129" spans="5:42" x14ac:dyDescent="0.3">
      <c r="E129" s="125"/>
      <c r="F129" s="125"/>
      <c r="G129" s="121"/>
      <c r="H129" s="121"/>
      <c r="AO129" s="123"/>
    </row>
    <row r="130" spans="5:42" x14ac:dyDescent="0.3">
      <c r="E130" s="125"/>
      <c r="F130" s="125"/>
      <c r="G130" s="121"/>
      <c r="H130" s="121"/>
      <c r="AO130" s="123"/>
    </row>
    <row r="131" spans="5:42" x14ac:dyDescent="0.3">
      <c r="E131" s="125"/>
      <c r="F131" s="125"/>
      <c r="G131" s="121"/>
      <c r="H131" s="121"/>
      <c r="AO131" s="123"/>
    </row>
    <row r="132" spans="5:42" x14ac:dyDescent="0.3">
      <c r="F132" s="125"/>
      <c r="H132" s="121"/>
      <c r="AN132" s="122"/>
      <c r="AO132" s="121"/>
      <c r="AP132" s="126"/>
    </row>
    <row r="133" spans="5:42" x14ac:dyDescent="0.3">
      <c r="F133" s="125"/>
      <c r="H133" s="121"/>
      <c r="AN133" s="122"/>
      <c r="AO133" s="121"/>
      <c r="AP133" s="126"/>
    </row>
    <row r="134" spans="5:42" x14ac:dyDescent="0.3">
      <c r="F134" s="125"/>
      <c r="H134" s="121"/>
      <c r="AN134" s="122"/>
      <c r="AO134" s="121"/>
      <c r="AP134" s="126"/>
    </row>
    <row r="135" spans="5:42" x14ac:dyDescent="0.3">
      <c r="F135" s="125"/>
      <c r="H135" s="121"/>
      <c r="AN135" s="122"/>
      <c r="AO135" s="121"/>
      <c r="AP135" s="126"/>
    </row>
    <row r="136" spans="5:42" x14ac:dyDescent="0.3">
      <c r="F136" s="125"/>
      <c r="H136" s="121"/>
      <c r="AN136" s="122"/>
      <c r="AO136" s="121"/>
      <c r="AP136" s="126"/>
    </row>
    <row r="137" spans="5:42" x14ac:dyDescent="0.3">
      <c r="F137" s="125"/>
      <c r="H137" s="121"/>
      <c r="AN137" s="122"/>
      <c r="AO137" s="121"/>
      <c r="AP137" s="126"/>
    </row>
    <row r="138" spans="5:42" x14ac:dyDescent="0.3">
      <c r="F138" s="125"/>
      <c r="H138" s="121"/>
      <c r="AN138" s="122"/>
      <c r="AO138" s="121"/>
      <c r="AP138" s="126"/>
    </row>
    <row r="139" spans="5:42" x14ac:dyDescent="0.3">
      <c r="F139" s="125"/>
      <c r="H139" s="121"/>
      <c r="AN139" s="122"/>
      <c r="AO139" s="121"/>
      <c r="AP139" s="126"/>
    </row>
    <row r="140" spans="5:42" x14ac:dyDescent="0.3">
      <c r="F140" s="125"/>
      <c r="H140" s="121"/>
      <c r="AN140" s="122"/>
      <c r="AO140" s="121"/>
      <c r="AP140" s="126"/>
    </row>
    <row r="141" spans="5:42" x14ac:dyDescent="0.3">
      <c r="F141" s="125"/>
      <c r="H141" s="121"/>
      <c r="AN141" s="122"/>
      <c r="AO141" s="121"/>
      <c r="AP141" s="126"/>
    </row>
    <row r="142" spans="5:42" x14ac:dyDescent="0.3">
      <c r="F142" s="125"/>
      <c r="H142" s="121"/>
      <c r="AN142" s="122"/>
      <c r="AO142" s="121"/>
      <c r="AP142" s="126"/>
    </row>
    <row r="143" spans="5:42" x14ac:dyDescent="0.3">
      <c r="F143" s="125"/>
      <c r="H143" s="121"/>
      <c r="AN143" s="122"/>
      <c r="AO143" s="121"/>
      <c r="AP143" s="126"/>
    </row>
    <row r="144" spans="5:42" x14ac:dyDescent="0.3">
      <c r="F144" s="125"/>
      <c r="H144" s="121"/>
      <c r="AN144" s="122"/>
      <c r="AO144" s="121"/>
      <c r="AP144" s="126"/>
    </row>
    <row r="145" spans="6:42" x14ac:dyDescent="0.3">
      <c r="F145" s="125"/>
      <c r="H145" s="121"/>
      <c r="AN145" s="122"/>
      <c r="AO145" s="121"/>
      <c r="AP145" s="126"/>
    </row>
    <row r="146" spans="6:42" x14ac:dyDescent="0.3">
      <c r="F146" s="125"/>
      <c r="H146" s="121"/>
      <c r="AN146" s="122"/>
      <c r="AO146" s="121"/>
      <c r="AP146" s="126"/>
    </row>
    <row r="147" spans="6:42" x14ac:dyDescent="0.3">
      <c r="F147" s="125"/>
      <c r="H147" s="121"/>
      <c r="AN147" s="122"/>
      <c r="AO147" s="121"/>
      <c r="AP147" s="126"/>
    </row>
    <row r="148" spans="6:42" x14ac:dyDescent="0.3">
      <c r="F148" s="125"/>
      <c r="H148" s="121"/>
      <c r="AN148" s="122"/>
      <c r="AO148" s="121"/>
      <c r="AP148" s="126"/>
    </row>
    <row r="149" spans="6:42" x14ac:dyDescent="0.3">
      <c r="F149" s="125"/>
      <c r="H149" s="121"/>
      <c r="AN149" s="122"/>
      <c r="AO149" s="121"/>
      <c r="AP149" s="126"/>
    </row>
    <row r="150" spans="6:42" x14ac:dyDescent="0.3">
      <c r="F150" s="125"/>
      <c r="H150" s="121"/>
      <c r="AN150" s="122"/>
      <c r="AO150" s="121"/>
      <c r="AP150" s="126"/>
    </row>
    <row r="151" spans="6:42" x14ac:dyDescent="0.3">
      <c r="F151" s="125"/>
      <c r="H151" s="121"/>
      <c r="AN151" s="122"/>
      <c r="AO151" s="121"/>
      <c r="AP151" s="126"/>
    </row>
    <row r="152" spans="6:42" x14ac:dyDescent="0.3">
      <c r="F152" s="125"/>
      <c r="H152" s="121"/>
      <c r="AN152" s="122"/>
      <c r="AO152" s="121"/>
      <c r="AP152" s="126"/>
    </row>
    <row r="153" spans="6:42" x14ac:dyDescent="0.3">
      <c r="F153" s="125"/>
      <c r="H153" s="121"/>
      <c r="AN153" s="122"/>
      <c r="AO153" s="121"/>
      <c r="AP153" s="126"/>
    </row>
    <row r="154" spans="6:42" x14ac:dyDescent="0.3">
      <c r="F154" s="125"/>
      <c r="H154" s="121"/>
      <c r="AN154" s="122"/>
      <c r="AO154" s="121"/>
      <c r="AP154" s="126"/>
    </row>
    <row r="155" spans="6:42" x14ac:dyDescent="0.3">
      <c r="F155" s="125"/>
      <c r="H155" s="121"/>
      <c r="AN155" s="122"/>
      <c r="AO155" s="121"/>
      <c r="AP155" s="126"/>
    </row>
    <row r="156" spans="6:42" x14ac:dyDescent="0.3">
      <c r="F156" s="125"/>
      <c r="H156" s="121"/>
      <c r="AN156" s="122"/>
      <c r="AO156" s="121"/>
      <c r="AP156" s="126"/>
    </row>
    <row r="157" spans="6:42" x14ac:dyDescent="0.3">
      <c r="F157" s="125"/>
      <c r="H157" s="121"/>
      <c r="AN157" s="122"/>
      <c r="AO157" s="121"/>
      <c r="AP157" s="126"/>
    </row>
    <row r="158" spans="6:42" x14ac:dyDescent="0.3">
      <c r="F158" s="125"/>
      <c r="H158" s="121"/>
      <c r="AN158" s="122"/>
      <c r="AO158" s="121"/>
      <c r="AP158" s="126"/>
    </row>
    <row r="159" spans="6:42" x14ac:dyDescent="0.3">
      <c r="F159" s="125"/>
      <c r="H159" s="121"/>
      <c r="AN159" s="122"/>
      <c r="AO159" s="121"/>
      <c r="AP159" s="126"/>
    </row>
    <row r="160" spans="6:42" x14ac:dyDescent="0.3">
      <c r="F160" s="125"/>
      <c r="H160" s="121"/>
      <c r="AN160" s="122"/>
      <c r="AO160" s="121"/>
      <c r="AP160" s="126"/>
    </row>
    <row r="161" spans="6:42" x14ac:dyDescent="0.3">
      <c r="F161" s="125"/>
      <c r="H161" s="121"/>
      <c r="AN161" s="122"/>
      <c r="AO161" s="121"/>
      <c r="AP161" s="126"/>
    </row>
    <row r="162" spans="6:42" x14ac:dyDescent="0.3">
      <c r="F162" s="125"/>
      <c r="H162" s="121"/>
      <c r="AN162" s="122"/>
      <c r="AO162" s="121"/>
      <c r="AP162" s="126"/>
    </row>
    <row r="163" spans="6:42" x14ac:dyDescent="0.3">
      <c r="F163" s="125"/>
      <c r="H163" s="121"/>
      <c r="AN163" s="122"/>
      <c r="AO163" s="121"/>
      <c r="AP163" s="126"/>
    </row>
    <row r="164" spans="6:42" x14ac:dyDescent="0.3">
      <c r="F164" s="125"/>
      <c r="H164" s="121"/>
      <c r="AN164" s="122"/>
      <c r="AO164" s="121"/>
      <c r="AP164" s="126"/>
    </row>
    <row r="165" spans="6:42" x14ac:dyDescent="0.3">
      <c r="F165" s="125"/>
      <c r="H165" s="121"/>
      <c r="AN165" s="122"/>
      <c r="AO165" s="121"/>
      <c r="AP165" s="126"/>
    </row>
    <row r="166" spans="6:42" x14ac:dyDescent="0.3">
      <c r="F166" s="125"/>
      <c r="H166" s="121"/>
      <c r="AN166" s="122"/>
      <c r="AO166" s="121"/>
      <c r="AP166" s="126"/>
    </row>
    <row r="167" spans="6:42" x14ac:dyDescent="0.3">
      <c r="F167" s="125"/>
      <c r="H167" s="121"/>
      <c r="AN167" s="122"/>
      <c r="AO167" s="121"/>
      <c r="AP167" s="126"/>
    </row>
    <row r="168" spans="6:42" x14ac:dyDescent="0.3">
      <c r="F168" s="125"/>
      <c r="H168" s="121"/>
      <c r="AN168" s="122"/>
      <c r="AO168" s="121"/>
      <c r="AP168" s="126"/>
    </row>
    <row r="169" spans="6:42" x14ac:dyDescent="0.3">
      <c r="F169" s="125"/>
      <c r="H169" s="121"/>
      <c r="AN169" s="122"/>
      <c r="AO169" s="121"/>
      <c r="AP169" s="126"/>
    </row>
    <row r="170" spans="6:42" x14ac:dyDescent="0.3">
      <c r="F170" s="125"/>
      <c r="H170" s="121"/>
      <c r="AN170" s="122"/>
      <c r="AO170" s="121"/>
      <c r="AP170" s="126"/>
    </row>
    <row r="171" spans="6:42" x14ac:dyDescent="0.3">
      <c r="F171" s="125"/>
      <c r="H171" s="121"/>
      <c r="AN171" s="122"/>
      <c r="AO171" s="121"/>
      <c r="AP171" s="126"/>
    </row>
    <row r="172" spans="6:42" x14ac:dyDescent="0.3">
      <c r="F172" s="125"/>
      <c r="H172" s="121"/>
      <c r="AN172" s="122"/>
      <c r="AO172" s="121"/>
      <c r="AP172" s="126"/>
    </row>
    <row r="173" spans="6:42" x14ac:dyDescent="0.3">
      <c r="F173" s="125"/>
      <c r="H173" s="121"/>
      <c r="AN173" s="122"/>
      <c r="AO173" s="121"/>
      <c r="AP173" s="126"/>
    </row>
  </sheetData>
  <mergeCells count="10">
    <mergeCell ref="AM1:AP1"/>
    <mergeCell ref="AH2:AL2"/>
    <mergeCell ref="AM2:AP2"/>
    <mergeCell ref="AH3:AL3"/>
    <mergeCell ref="AM3:AP3"/>
    <mergeCell ref="A80:H80"/>
    <mergeCell ref="A91:H91"/>
    <mergeCell ref="A92:H92"/>
    <mergeCell ref="A1:AG3"/>
    <mergeCell ref="AH1:AL1"/>
  </mergeCells>
  <phoneticPr fontId="3" type="noConversion"/>
  <conditionalFormatting sqref="C93:C1048576 C4">
    <cfRule type="duplicateValues" dxfId="48" priority="269"/>
  </conditionalFormatting>
  <conditionalFormatting sqref="H93:H1048576 H4">
    <cfRule type="duplicateValues" dxfId="47" priority="268"/>
  </conditionalFormatting>
  <conditionalFormatting sqref="C93:C1048576 C4:C5">
    <cfRule type="duplicateValues" dxfId="46" priority="267"/>
  </conditionalFormatting>
  <conditionalFormatting sqref="E93:E1048576 E4:E5">
    <cfRule type="duplicateValues" dxfId="45" priority="266"/>
  </conditionalFormatting>
  <conditionalFormatting sqref="H93:H1048576 H4:H5">
    <cfRule type="duplicateValues" dxfId="44" priority="265"/>
  </conditionalFormatting>
  <conditionalFormatting sqref="C5">
    <cfRule type="duplicateValues" dxfId="43" priority="270"/>
  </conditionalFormatting>
  <conditionalFormatting sqref="C5">
    <cfRule type="duplicateValues" dxfId="42" priority="271"/>
    <cfRule type="duplicateValues" dxfId="41" priority="272"/>
  </conditionalFormatting>
  <conditionalFormatting sqref="E5">
    <cfRule type="duplicateValues" dxfId="40" priority="273"/>
    <cfRule type="duplicateValues" dxfId="39" priority="274"/>
  </conditionalFormatting>
  <conditionalFormatting sqref="H5">
    <cfRule type="duplicateValues" dxfId="38" priority="275"/>
    <cfRule type="duplicateValues" dxfId="37" priority="276"/>
  </conditionalFormatting>
  <conditionalFormatting sqref="E93:E1048576 C4:C5 E4:E5 C93:C1048576">
    <cfRule type="duplicateValues" dxfId="36" priority="264"/>
  </conditionalFormatting>
  <conditionalFormatting sqref="C93:C1048576">
    <cfRule type="duplicateValues" dxfId="35" priority="263"/>
  </conditionalFormatting>
  <conditionalFormatting sqref="C93:C1048576 C4:C5">
    <cfRule type="duplicateValues" dxfId="34" priority="259"/>
    <cfRule type="duplicateValues" dxfId="33" priority="262"/>
  </conditionalFormatting>
  <conditionalFormatting sqref="E93:E1048576 E4:E5">
    <cfRule type="duplicateValues" dxfId="32" priority="258"/>
    <cfRule type="duplicateValues" dxfId="31" priority="261"/>
  </conditionalFormatting>
  <conditionalFormatting sqref="H93:H1048576 H4:H5">
    <cfRule type="duplicateValues" dxfId="30" priority="257"/>
    <cfRule type="duplicateValues" dxfId="29" priority="260"/>
  </conditionalFormatting>
  <conditionalFormatting sqref="E93:E1048576 E1:E5">
    <cfRule type="duplicateValues" dxfId="28" priority="256"/>
  </conditionalFormatting>
  <conditionalFormatting sqref="G93:H1048576 G1:H5">
    <cfRule type="duplicateValues" dxfId="27" priority="255"/>
  </conditionalFormatting>
  <conditionalFormatting sqref="B93:C1048576 B1:C5">
    <cfRule type="duplicateValues" dxfId="26" priority="277"/>
  </conditionalFormatting>
  <conditionalFormatting sqref="C93:C1048576 C1:C5">
    <cfRule type="duplicateValues" dxfId="25" priority="254"/>
  </conditionalFormatting>
  <conditionalFormatting sqref="B93:B1048576 B1:B5">
    <cfRule type="duplicateValues" dxfId="24" priority="253"/>
  </conditionalFormatting>
  <conditionalFormatting sqref="C70:C79">
    <cfRule type="duplicateValues" dxfId="23" priority="7"/>
  </conditionalFormatting>
  <conditionalFormatting sqref="B70:B79">
    <cfRule type="duplicateValues" dxfId="22" priority="8"/>
  </conditionalFormatting>
  <conditionalFormatting sqref="B70:C79">
    <cfRule type="duplicateValues" dxfId="21" priority="6"/>
  </conditionalFormatting>
  <conditionalFormatting sqref="H50">
    <cfRule type="duplicateValues" dxfId="20" priority="5"/>
  </conditionalFormatting>
  <conditionalFormatting sqref="H51:H79 H6:H49">
    <cfRule type="duplicateValues" dxfId="19" priority="9"/>
  </conditionalFormatting>
  <conditionalFormatting sqref="E70:E79">
    <cfRule type="duplicateValues" dxfId="18" priority="4"/>
  </conditionalFormatting>
  <conditionalFormatting sqref="H6:H79">
    <cfRule type="duplicateValues" dxfId="17" priority="3"/>
  </conditionalFormatting>
  <conditionalFormatting sqref="C70:C79">
    <cfRule type="duplicateValues" dxfId="16" priority="2"/>
  </conditionalFormatting>
  <conditionalFormatting sqref="B70:B79">
    <cfRule type="duplicateValues" dxfId="15" priority="1"/>
  </conditionalFormatting>
  <conditionalFormatting sqref="E70:E79">
    <cfRule type="duplicateValues" dxfId="14" priority="10"/>
  </conditionalFormatting>
  <dataValidations count="1">
    <dataValidation allowBlank="1" showInputMessage="1" showErrorMessage="1" promptTitle="입력양식" prompt="S-pmis 연명부 직종과 동일하게 입력" sqref="D33 D10 D22:D23 D15:D16 D28 D13 D37 D20 D39:D45 D47:D51 D54:D79" xr:uid="{00000000-0002-0000-0500-000000000000}"/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23" orientation="landscape" r:id="rId1"/>
  <ignoredErrors>
    <ignoredError sqref="AN80:AO80 AP80 AO92" 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2"/>
  <sheetViews>
    <sheetView view="pageBreakPreview" zoomScale="85" zoomScaleNormal="100" zoomScaleSheetLayoutView="85" workbookViewId="0">
      <selection activeCell="I39" sqref="I39"/>
    </sheetView>
  </sheetViews>
  <sheetFormatPr defaultRowHeight="16.5" x14ac:dyDescent="0.3"/>
  <cols>
    <col min="1" max="1" width="9" style="87"/>
    <col min="2" max="3" width="12.625" style="87" customWidth="1"/>
    <col min="4" max="4" width="15.75" style="87" customWidth="1"/>
    <col min="5" max="5" width="31.375" style="87" bestFit="1" customWidth="1"/>
    <col min="6" max="6" width="10.625" style="87" customWidth="1"/>
    <col min="7" max="8" width="8.125" style="87" customWidth="1"/>
    <col min="9" max="9" width="13.625" style="87" customWidth="1"/>
    <col min="10" max="10" width="35.625" style="87" customWidth="1"/>
    <col min="11" max="12" width="9" style="87"/>
  </cols>
  <sheetData>
    <row r="1" spans="1:12" ht="35.1" customHeight="1" x14ac:dyDescent="0.3">
      <c r="A1" s="314" t="s">
        <v>254</v>
      </c>
      <c r="B1" s="315"/>
      <c r="C1" s="315"/>
      <c r="D1" s="315"/>
      <c r="E1" s="315"/>
      <c r="F1" s="315"/>
      <c r="G1" s="315"/>
      <c r="H1" s="315"/>
      <c r="I1" s="315"/>
      <c r="J1" s="316"/>
    </row>
    <row r="2" spans="1:12" ht="20.100000000000001" customHeight="1" x14ac:dyDescent="0.3">
      <c r="A2" s="317" t="s">
        <v>255</v>
      </c>
      <c r="B2" s="317" t="s">
        <v>256</v>
      </c>
      <c r="C2" s="317" t="s">
        <v>257</v>
      </c>
      <c r="D2" s="317" t="s">
        <v>258</v>
      </c>
      <c r="E2" s="317" t="s">
        <v>259</v>
      </c>
      <c r="F2" s="317" t="s">
        <v>260</v>
      </c>
      <c r="G2" s="317" t="s">
        <v>261</v>
      </c>
      <c r="H2" s="317" t="s">
        <v>262</v>
      </c>
      <c r="I2" s="217" t="s">
        <v>263</v>
      </c>
      <c r="J2" s="317" t="s">
        <v>264</v>
      </c>
    </row>
    <row r="3" spans="1:12" ht="20.100000000000001" customHeight="1" x14ac:dyDescent="0.3">
      <c r="A3" s="318"/>
      <c r="B3" s="318"/>
      <c r="C3" s="318"/>
      <c r="D3" s="318"/>
      <c r="E3" s="318"/>
      <c r="F3" s="318"/>
      <c r="G3" s="318"/>
      <c r="H3" s="318"/>
      <c r="I3" s="146">
        <f>SUM(I4:I9)</f>
        <v>5150000</v>
      </c>
      <c r="J3" s="318"/>
      <c r="L3" s="128" t="s">
        <v>265</v>
      </c>
    </row>
    <row r="4" spans="1:12" ht="20.100000000000001" customHeight="1" x14ac:dyDescent="0.3">
      <c r="A4" s="129">
        <v>1</v>
      </c>
      <c r="B4" s="145">
        <v>46081</v>
      </c>
      <c r="C4" s="129" t="s">
        <v>266</v>
      </c>
      <c r="D4" s="129" t="s">
        <v>724</v>
      </c>
      <c r="E4" s="144" t="s">
        <v>333</v>
      </c>
      <c r="F4" s="147" t="s">
        <v>335</v>
      </c>
      <c r="G4" s="129">
        <v>1</v>
      </c>
      <c r="H4" s="129">
        <v>4</v>
      </c>
      <c r="I4" s="44">
        <v>900000</v>
      </c>
      <c r="J4" s="129" t="s">
        <v>267</v>
      </c>
      <c r="L4" s="131" t="s">
        <v>268</v>
      </c>
    </row>
    <row r="5" spans="1:12" ht="20.100000000000001" customHeight="1" x14ac:dyDescent="0.3">
      <c r="A5" s="129">
        <v>2</v>
      </c>
      <c r="B5" s="145">
        <v>46081</v>
      </c>
      <c r="C5" s="129" t="s">
        <v>266</v>
      </c>
      <c r="D5" s="129" t="s">
        <v>724</v>
      </c>
      <c r="E5" s="144" t="s">
        <v>334</v>
      </c>
      <c r="F5" s="147" t="s">
        <v>336</v>
      </c>
      <c r="G5" s="129">
        <v>1</v>
      </c>
      <c r="H5" s="129">
        <v>4</v>
      </c>
      <c r="I5" s="44">
        <v>900000</v>
      </c>
      <c r="J5" s="129" t="s">
        <v>267</v>
      </c>
      <c r="L5" s="131" t="s">
        <v>269</v>
      </c>
    </row>
    <row r="6" spans="1:12" ht="20.100000000000001" customHeight="1" x14ac:dyDescent="0.3">
      <c r="A6" s="129">
        <v>3</v>
      </c>
      <c r="B6" s="145">
        <v>46081</v>
      </c>
      <c r="C6" s="129" t="s">
        <v>266</v>
      </c>
      <c r="D6" s="129" t="s">
        <v>724</v>
      </c>
      <c r="E6" s="144" t="s">
        <v>338</v>
      </c>
      <c r="F6" s="147" t="s">
        <v>337</v>
      </c>
      <c r="G6" s="129">
        <v>1</v>
      </c>
      <c r="H6" s="129">
        <v>2</v>
      </c>
      <c r="I6" s="44">
        <v>550000</v>
      </c>
      <c r="J6" s="129" t="s">
        <v>267</v>
      </c>
      <c r="L6" s="131" t="s">
        <v>270</v>
      </c>
    </row>
    <row r="7" spans="1:12" ht="20.100000000000001" customHeight="1" x14ac:dyDescent="0.3">
      <c r="A7" s="129">
        <v>4</v>
      </c>
      <c r="B7" s="145">
        <v>46081</v>
      </c>
      <c r="C7" s="129" t="s">
        <v>266</v>
      </c>
      <c r="D7" s="129" t="s">
        <v>724</v>
      </c>
      <c r="E7" s="144" t="s">
        <v>380</v>
      </c>
      <c r="F7" s="147" t="s">
        <v>381</v>
      </c>
      <c r="G7" s="129">
        <v>1</v>
      </c>
      <c r="H7" s="129">
        <v>5</v>
      </c>
      <c r="I7" s="44">
        <v>900000</v>
      </c>
      <c r="J7" s="129" t="s">
        <v>267</v>
      </c>
      <c r="L7" s="131" t="s">
        <v>271</v>
      </c>
    </row>
    <row r="8" spans="1:12" ht="20.100000000000001" customHeight="1" x14ac:dyDescent="0.3">
      <c r="A8" s="129">
        <v>5</v>
      </c>
      <c r="B8" s="145">
        <v>46081</v>
      </c>
      <c r="C8" s="129" t="s">
        <v>266</v>
      </c>
      <c r="D8" s="129" t="s">
        <v>724</v>
      </c>
      <c r="E8" s="144" t="s">
        <v>469</v>
      </c>
      <c r="F8" s="147" t="s">
        <v>470</v>
      </c>
      <c r="G8" s="129">
        <v>1</v>
      </c>
      <c r="H8" s="129">
        <v>4</v>
      </c>
      <c r="I8" s="44">
        <v>1000000</v>
      </c>
      <c r="J8" s="129" t="s">
        <v>267</v>
      </c>
      <c r="L8" s="132" t="s">
        <v>272</v>
      </c>
    </row>
    <row r="9" spans="1:12" ht="20.100000000000001" customHeight="1" x14ac:dyDescent="0.3">
      <c r="A9" s="129">
        <v>6</v>
      </c>
      <c r="B9" s="145">
        <v>46081</v>
      </c>
      <c r="C9" s="129" t="s">
        <v>266</v>
      </c>
      <c r="D9" s="129" t="s">
        <v>724</v>
      </c>
      <c r="E9" s="144" t="s">
        <v>471</v>
      </c>
      <c r="F9" s="147" t="s">
        <v>472</v>
      </c>
      <c r="G9" s="129">
        <v>1</v>
      </c>
      <c r="H9" s="129">
        <v>3</v>
      </c>
      <c r="I9" s="44">
        <v>900000</v>
      </c>
      <c r="J9" s="129" t="s">
        <v>267</v>
      </c>
      <c r="L9" s="132" t="s">
        <v>273</v>
      </c>
    </row>
    <row r="10" spans="1:12" x14ac:dyDescent="0.3">
      <c r="A10" s="129">
        <v>7</v>
      </c>
      <c r="B10" s="145">
        <v>46081</v>
      </c>
      <c r="C10" s="153" t="s">
        <v>344</v>
      </c>
      <c r="D10" s="153" t="s">
        <v>725</v>
      </c>
      <c r="E10" s="159" t="s">
        <v>345</v>
      </c>
      <c r="F10" s="160" t="s">
        <v>343</v>
      </c>
      <c r="G10" s="153">
        <v>1</v>
      </c>
      <c r="H10" s="153"/>
      <c r="I10" s="161">
        <v>1800000</v>
      </c>
      <c r="J10" s="153"/>
      <c r="L10" s="132" t="s">
        <v>274</v>
      </c>
    </row>
    <row r="11" spans="1:12" x14ac:dyDescent="0.3">
      <c r="A11" s="129">
        <v>8</v>
      </c>
      <c r="B11" s="145">
        <v>46081</v>
      </c>
      <c r="C11" s="153" t="s">
        <v>344</v>
      </c>
      <c r="D11" s="153" t="s">
        <v>726</v>
      </c>
      <c r="E11" s="159" t="s">
        <v>346</v>
      </c>
      <c r="F11" s="160" t="s">
        <v>347</v>
      </c>
      <c r="G11" s="153">
        <v>1</v>
      </c>
      <c r="H11" s="153"/>
      <c r="I11" s="161">
        <v>600000</v>
      </c>
      <c r="J11" s="153"/>
      <c r="L11" s="132"/>
    </row>
    <row r="12" spans="1:12" x14ac:dyDescent="0.3">
      <c r="L12" s="128" t="s">
        <v>275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10">
    <cfRule type="duplicateValues" priority="8"/>
  </conditionalFormatting>
  <conditionalFormatting sqref="E11">
    <cfRule type="duplicateValues" dxfId="13" priority="7"/>
  </conditionalFormatting>
  <conditionalFormatting sqref="E11">
    <cfRule type="duplicateValues" dxfId="12" priority="6"/>
  </conditionalFormatting>
  <conditionalFormatting sqref="E10">
    <cfRule type="duplicateValues" dxfId="11" priority="5"/>
  </conditionalFormatting>
  <conditionalFormatting sqref="E11">
    <cfRule type="duplicateValues" dxfId="10" priority="4"/>
  </conditionalFormatting>
  <conditionalFormatting sqref="E10">
    <cfRule type="duplicateValues" dxfId="9" priority="3"/>
  </conditionalFormatting>
  <conditionalFormatting sqref="E10">
    <cfRule type="duplicateValues" dxfId="8" priority="2"/>
  </conditionalFormatting>
  <conditionalFormatting sqref="E10">
    <cfRule type="duplicateValues" dxfId="7" priority="1"/>
  </conditionalFormatting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  <ignoredErrors>
    <ignoredError sqref="I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2"/>
  <sheetViews>
    <sheetView view="pageBreakPreview" zoomScale="85" zoomScaleNormal="100" zoomScaleSheetLayoutView="85" workbookViewId="0">
      <selection activeCell="E30" sqref="E30"/>
    </sheetView>
  </sheetViews>
  <sheetFormatPr defaultRowHeight="16.5" x14ac:dyDescent="0.3"/>
  <cols>
    <col min="1" max="1" width="9" style="87"/>
    <col min="2" max="3" width="12.625" style="87" customWidth="1"/>
    <col min="4" max="4" width="16" style="87" bestFit="1" customWidth="1"/>
    <col min="5" max="5" width="31.375" style="87" bestFit="1" customWidth="1"/>
    <col min="6" max="6" width="10.625" style="87" customWidth="1"/>
    <col min="7" max="8" width="8.125" style="87" customWidth="1"/>
    <col min="9" max="9" width="13.625" style="87" customWidth="1"/>
    <col min="10" max="10" width="35.625" style="87" customWidth="1"/>
  </cols>
  <sheetData>
    <row r="1" spans="1:10" ht="35.1" customHeight="1" x14ac:dyDescent="0.3">
      <c r="A1" s="314" t="s">
        <v>276</v>
      </c>
      <c r="B1" s="315"/>
      <c r="C1" s="315"/>
      <c r="D1" s="315"/>
      <c r="E1" s="315"/>
      <c r="F1" s="315"/>
      <c r="G1" s="315"/>
      <c r="H1" s="315"/>
      <c r="I1" s="315"/>
      <c r="J1" s="316"/>
    </row>
    <row r="2" spans="1:10" ht="20.100000000000001" customHeight="1" x14ac:dyDescent="0.3">
      <c r="A2" s="317" t="s">
        <v>277</v>
      </c>
      <c r="B2" s="317" t="s">
        <v>256</v>
      </c>
      <c r="C2" s="317" t="s">
        <v>278</v>
      </c>
      <c r="D2" s="317" t="s">
        <v>258</v>
      </c>
      <c r="E2" s="317" t="s">
        <v>279</v>
      </c>
      <c r="F2" s="317" t="s">
        <v>260</v>
      </c>
      <c r="G2" s="317" t="s">
        <v>280</v>
      </c>
      <c r="H2" s="317" t="s">
        <v>281</v>
      </c>
      <c r="I2" s="217" t="s">
        <v>282</v>
      </c>
      <c r="J2" s="317" t="s">
        <v>283</v>
      </c>
    </row>
    <row r="3" spans="1:10" ht="20.100000000000001" customHeight="1" x14ac:dyDescent="0.3">
      <c r="A3" s="317"/>
      <c r="B3" s="317"/>
      <c r="C3" s="317"/>
      <c r="D3" s="317"/>
      <c r="E3" s="317"/>
      <c r="F3" s="317"/>
      <c r="G3" s="317"/>
      <c r="H3" s="317"/>
      <c r="I3" s="127">
        <f>SUM(I4:I19)</f>
        <v>1323430</v>
      </c>
      <c r="J3" s="317"/>
    </row>
    <row r="4" spans="1:10" s="155" customFormat="1" ht="20.100000000000001" customHeight="1" x14ac:dyDescent="0.3">
      <c r="A4" s="153">
        <v>1</v>
      </c>
      <c r="B4" s="158">
        <v>46081</v>
      </c>
      <c r="C4" s="148" t="s">
        <v>473</v>
      </c>
      <c r="D4" s="149" t="s">
        <v>727</v>
      </c>
      <c r="E4" s="144" t="s">
        <v>474</v>
      </c>
      <c r="F4" s="150" t="s">
        <v>478</v>
      </c>
      <c r="G4" s="150">
        <v>1</v>
      </c>
      <c r="H4" s="144">
        <v>4</v>
      </c>
      <c r="I4" s="154">
        <v>23620</v>
      </c>
      <c r="J4" s="144" t="s">
        <v>477</v>
      </c>
    </row>
    <row r="5" spans="1:10" s="155" customFormat="1" ht="20.100000000000001" customHeight="1" x14ac:dyDescent="0.3">
      <c r="A5" s="153">
        <v>2</v>
      </c>
      <c r="B5" s="158">
        <v>46081</v>
      </c>
      <c r="C5" s="148" t="s">
        <v>473</v>
      </c>
      <c r="D5" s="149" t="s">
        <v>727</v>
      </c>
      <c r="E5" s="144" t="s">
        <v>475</v>
      </c>
      <c r="F5" s="156" t="s">
        <v>479</v>
      </c>
      <c r="G5" s="150">
        <v>1</v>
      </c>
      <c r="H5" s="144">
        <v>4</v>
      </c>
      <c r="I5" s="151">
        <v>65020</v>
      </c>
      <c r="J5" s="144" t="s">
        <v>477</v>
      </c>
    </row>
    <row r="6" spans="1:10" s="155" customFormat="1" ht="20.100000000000001" customHeight="1" x14ac:dyDescent="0.3">
      <c r="A6" s="153">
        <v>3</v>
      </c>
      <c r="B6" s="158">
        <v>46081</v>
      </c>
      <c r="C6" s="148" t="s">
        <v>473</v>
      </c>
      <c r="D6" s="149" t="s">
        <v>727</v>
      </c>
      <c r="E6" s="144" t="s">
        <v>476</v>
      </c>
      <c r="F6" s="156" t="s">
        <v>480</v>
      </c>
      <c r="G6" s="150">
        <v>1</v>
      </c>
      <c r="H6" s="144">
        <v>5</v>
      </c>
      <c r="I6" s="151">
        <v>27070</v>
      </c>
      <c r="J6" s="144" t="s">
        <v>477</v>
      </c>
    </row>
    <row r="7" spans="1:10" s="155" customFormat="1" ht="20.100000000000001" customHeight="1" x14ac:dyDescent="0.3">
      <c r="A7" s="153">
        <v>4</v>
      </c>
      <c r="B7" s="158">
        <v>46081</v>
      </c>
      <c r="C7" s="148" t="s">
        <v>473</v>
      </c>
      <c r="D7" s="149" t="s">
        <v>727</v>
      </c>
      <c r="E7" s="144" t="s">
        <v>469</v>
      </c>
      <c r="F7" s="156" t="s">
        <v>470</v>
      </c>
      <c r="G7" s="150">
        <v>1</v>
      </c>
      <c r="H7" s="144">
        <v>4</v>
      </c>
      <c r="I7" s="151">
        <v>17910</v>
      </c>
      <c r="J7" s="144" t="s">
        <v>477</v>
      </c>
    </row>
    <row r="8" spans="1:10" s="155" customFormat="1" ht="20.100000000000001" customHeight="1" x14ac:dyDescent="0.3">
      <c r="A8" s="153">
        <v>5</v>
      </c>
      <c r="B8" s="158">
        <v>46081</v>
      </c>
      <c r="C8" s="148" t="s">
        <v>473</v>
      </c>
      <c r="D8" s="149" t="s">
        <v>727</v>
      </c>
      <c r="E8" s="144" t="s">
        <v>471</v>
      </c>
      <c r="F8" s="156" t="s">
        <v>480</v>
      </c>
      <c r="G8" s="150">
        <v>1</v>
      </c>
      <c r="H8" s="144">
        <v>3</v>
      </c>
      <c r="I8" s="151">
        <v>2400</v>
      </c>
      <c r="J8" s="144" t="s">
        <v>477</v>
      </c>
    </row>
    <row r="9" spans="1:10" s="155" customFormat="1" ht="20.100000000000001" customHeight="1" x14ac:dyDescent="0.3">
      <c r="A9" s="153">
        <v>6</v>
      </c>
      <c r="B9" s="158">
        <v>46081</v>
      </c>
      <c r="C9" s="148" t="s">
        <v>473</v>
      </c>
      <c r="D9" s="149" t="s">
        <v>728</v>
      </c>
      <c r="E9" s="144" t="s">
        <v>481</v>
      </c>
      <c r="F9" s="150" t="s">
        <v>482</v>
      </c>
      <c r="G9" s="150">
        <v>1</v>
      </c>
      <c r="H9" s="144">
        <v>2</v>
      </c>
      <c r="I9" s="154">
        <v>184730</v>
      </c>
      <c r="J9" s="144" t="s">
        <v>477</v>
      </c>
    </row>
    <row r="10" spans="1:10" s="155" customFormat="1" ht="20.100000000000001" customHeight="1" x14ac:dyDescent="0.3">
      <c r="A10" s="153">
        <v>7</v>
      </c>
      <c r="B10" s="158">
        <v>46081</v>
      </c>
      <c r="C10" s="148" t="s">
        <v>473</v>
      </c>
      <c r="D10" s="149" t="s">
        <v>729</v>
      </c>
      <c r="E10" s="157" t="s">
        <v>489</v>
      </c>
      <c r="F10" s="156" t="s">
        <v>486</v>
      </c>
      <c r="G10" s="150">
        <v>1</v>
      </c>
      <c r="H10" s="144">
        <v>4</v>
      </c>
      <c r="I10" s="151">
        <v>189420</v>
      </c>
      <c r="J10" s="144" t="s">
        <v>477</v>
      </c>
    </row>
    <row r="11" spans="1:10" s="155" customFormat="1" ht="20.100000000000001" customHeight="1" x14ac:dyDescent="0.3">
      <c r="A11" s="153">
        <v>8</v>
      </c>
      <c r="B11" s="158">
        <v>46081</v>
      </c>
      <c r="C11" s="148" t="s">
        <v>473</v>
      </c>
      <c r="D11" s="149" t="s">
        <v>729</v>
      </c>
      <c r="E11" s="157" t="s">
        <v>483</v>
      </c>
      <c r="F11" s="156" t="s">
        <v>487</v>
      </c>
      <c r="G11" s="150">
        <v>1</v>
      </c>
      <c r="H11" s="144">
        <v>4</v>
      </c>
      <c r="I11" s="151">
        <v>229490</v>
      </c>
      <c r="J11" s="144" t="s">
        <v>477</v>
      </c>
    </row>
    <row r="12" spans="1:10" s="155" customFormat="1" ht="20.100000000000001" customHeight="1" x14ac:dyDescent="0.3">
      <c r="A12" s="153">
        <v>9</v>
      </c>
      <c r="B12" s="158">
        <v>46081</v>
      </c>
      <c r="C12" s="148" t="s">
        <v>473</v>
      </c>
      <c r="D12" s="149" t="s">
        <v>729</v>
      </c>
      <c r="E12" s="157" t="s">
        <v>380</v>
      </c>
      <c r="F12" s="150" t="s">
        <v>480</v>
      </c>
      <c r="G12" s="150">
        <v>1</v>
      </c>
      <c r="H12" s="144">
        <v>5</v>
      </c>
      <c r="I12" s="154">
        <v>178850</v>
      </c>
      <c r="J12" s="144" t="s">
        <v>477</v>
      </c>
    </row>
    <row r="13" spans="1:10" s="155" customFormat="1" ht="20.100000000000001" customHeight="1" x14ac:dyDescent="0.3">
      <c r="A13" s="153">
        <v>10</v>
      </c>
      <c r="B13" s="158">
        <v>46081</v>
      </c>
      <c r="C13" s="148" t="s">
        <v>473</v>
      </c>
      <c r="D13" s="149" t="s">
        <v>729</v>
      </c>
      <c r="E13" s="157" t="s">
        <v>484</v>
      </c>
      <c r="F13" s="156" t="s">
        <v>488</v>
      </c>
      <c r="G13" s="150">
        <v>1</v>
      </c>
      <c r="H13" s="144">
        <v>4</v>
      </c>
      <c r="I13" s="151">
        <v>160590</v>
      </c>
      <c r="J13" s="144" t="s">
        <v>477</v>
      </c>
    </row>
    <row r="14" spans="1:10" s="155" customFormat="1" ht="20.100000000000001" customHeight="1" x14ac:dyDescent="0.3">
      <c r="A14" s="153">
        <v>11</v>
      </c>
      <c r="B14" s="158">
        <v>46081</v>
      </c>
      <c r="C14" s="148" t="s">
        <v>473</v>
      </c>
      <c r="D14" s="149" t="s">
        <v>729</v>
      </c>
      <c r="E14" s="157" t="s">
        <v>485</v>
      </c>
      <c r="F14" s="156" t="s">
        <v>480</v>
      </c>
      <c r="G14" s="150">
        <v>1</v>
      </c>
      <c r="H14" s="144">
        <v>3</v>
      </c>
      <c r="I14" s="151">
        <v>124050</v>
      </c>
      <c r="J14" s="144" t="s">
        <v>477</v>
      </c>
    </row>
    <row r="15" spans="1:10" s="155" customFormat="1" ht="20.100000000000001" customHeight="1" x14ac:dyDescent="0.3">
      <c r="A15" s="153">
        <v>12</v>
      </c>
      <c r="B15" s="158">
        <v>46081</v>
      </c>
      <c r="C15" s="148" t="s">
        <v>473</v>
      </c>
      <c r="D15" s="149" t="s">
        <v>730</v>
      </c>
      <c r="E15" s="144" t="s">
        <v>474</v>
      </c>
      <c r="F15" s="150" t="s">
        <v>478</v>
      </c>
      <c r="G15" s="150">
        <v>1</v>
      </c>
      <c r="H15" s="144">
        <v>4</v>
      </c>
      <c r="I15" s="154">
        <v>26780</v>
      </c>
      <c r="J15" s="144" t="s">
        <v>477</v>
      </c>
    </row>
    <row r="16" spans="1:10" s="155" customFormat="1" ht="20.100000000000001" customHeight="1" x14ac:dyDescent="0.3">
      <c r="A16" s="153">
        <v>13</v>
      </c>
      <c r="B16" s="158">
        <v>46081</v>
      </c>
      <c r="C16" s="148" t="s">
        <v>473</v>
      </c>
      <c r="D16" s="149" t="s">
        <v>730</v>
      </c>
      <c r="E16" s="144" t="s">
        <v>475</v>
      </c>
      <c r="F16" s="156" t="s">
        <v>479</v>
      </c>
      <c r="G16" s="150">
        <v>1</v>
      </c>
      <c r="H16" s="144">
        <v>4</v>
      </c>
      <c r="I16" s="151">
        <v>22550</v>
      </c>
      <c r="J16" s="144" t="s">
        <v>477</v>
      </c>
    </row>
    <row r="17" spans="1:10" s="155" customFormat="1" ht="20.100000000000001" customHeight="1" x14ac:dyDescent="0.3">
      <c r="A17" s="153">
        <v>14</v>
      </c>
      <c r="B17" s="158">
        <v>46081</v>
      </c>
      <c r="C17" s="148" t="s">
        <v>473</v>
      </c>
      <c r="D17" s="149" t="s">
        <v>730</v>
      </c>
      <c r="E17" s="144" t="s">
        <v>476</v>
      </c>
      <c r="F17" s="156" t="s">
        <v>480</v>
      </c>
      <c r="G17" s="150">
        <v>1</v>
      </c>
      <c r="H17" s="144">
        <v>5</v>
      </c>
      <c r="I17" s="151">
        <v>17110</v>
      </c>
      <c r="J17" s="144" t="s">
        <v>477</v>
      </c>
    </row>
    <row r="18" spans="1:10" s="155" customFormat="1" ht="20.100000000000001" customHeight="1" x14ac:dyDescent="0.3">
      <c r="A18" s="153">
        <v>15</v>
      </c>
      <c r="B18" s="158">
        <v>46081</v>
      </c>
      <c r="C18" s="148" t="s">
        <v>473</v>
      </c>
      <c r="D18" s="149" t="s">
        <v>730</v>
      </c>
      <c r="E18" s="157" t="s">
        <v>469</v>
      </c>
      <c r="F18" s="156" t="s">
        <v>470</v>
      </c>
      <c r="G18" s="150">
        <v>1</v>
      </c>
      <c r="H18" s="144">
        <v>4</v>
      </c>
      <c r="I18" s="151">
        <v>35610</v>
      </c>
      <c r="J18" s="144" t="s">
        <v>477</v>
      </c>
    </row>
    <row r="19" spans="1:10" s="155" customFormat="1" ht="20.100000000000001" customHeight="1" x14ac:dyDescent="0.3">
      <c r="A19" s="153">
        <v>16</v>
      </c>
      <c r="B19" s="158">
        <v>46081</v>
      </c>
      <c r="C19" s="148" t="s">
        <v>473</v>
      </c>
      <c r="D19" s="149" t="s">
        <v>730</v>
      </c>
      <c r="E19" s="157" t="s">
        <v>471</v>
      </c>
      <c r="F19" s="156" t="s">
        <v>381</v>
      </c>
      <c r="G19" s="150">
        <v>1</v>
      </c>
      <c r="H19" s="144">
        <v>3</v>
      </c>
      <c r="I19" s="151">
        <v>18230</v>
      </c>
      <c r="J19" s="144" t="s">
        <v>477</v>
      </c>
    </row>
    <row r="20" spans="1:10" s="155" customFormat="1" ht="20.100000000000001" customHeight="1" x14ac:dyDescent="0.3">
      <c r="A20" s="153">
        <v>17</v>
      </c>
      <c r="B20" s="158">
        <v>46081</v>
      </c>
      <c r="C20" s="148" t="s">
        <v>382</v>
      </c>
      <c r="D20" s="149" t="s">
        <v>731</v>
      </c>
      <c r="E20" s="144" t="s">
        <v>345</v>
      </c>
      <c r="F20" s="150" t="s">
        <v>343</v>
      </c>
      <c r="G20" s="150">
        <v>1</v>
      </c>
      <c r="H20" s="144"/>
      <c r="I20" s="154">
        <v>486470</v>
      </c>
      <c r="J20" s="144"/>
    </row>
    <row r="21" spans="1:10" x14ac:dyDescent="0.3">
      <c r="A21" s="153">
        <v>18</v>
      </c>
      <c r="B21" s="158">
        <v>46081</v>
      </c>
      <c r="C21" s="148" t="s">
        <v>382</v>
      </c>
      <c r="D21" s="149" t="s">
        <v>732</v>
      </c>
      <c r="E21" s="144" t="s">
        <v>383</v>
      </c>
      <c r="F21" s="150" t="s">
        <v>384</v>
      </c>
      <c r="G21" s="150">
        <v>1</v>
      </c>
      <c r="H21" s="144"/>
      <c r="I21" s="151">
        <v>174890</v>
      </c>
      <c r="J21" s="144"/>
    </row>
    <row r="22" spans="1:10" x14ac:dyDescent="0.3">
      <c r="A22" s="153">
        <v>19</v>
      </c>
      <c r="B22" s="158">
        <v>46081</v>
      </c>
      <c r="C22" s="148" t="s">
        <v>382</v>
      </c>
      <c r="D22" s="149" t="s">
        <v>733</v>
      </c>
      <c r="E22" s="144" t="s">
        <v>346</v>
      </c>
      <c r="F22" s="150" t="s">
        <v>385</v>
      </c>
      <c r="G22" s="150">
        <v>1</v>
      </c>
      <c r="H22" s="144"/>
      <c r="I22" s="151">
        <v>196550</v>
      </c>
      <c r="J22" s="144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20">
    <cfRule type="duplicateValues" dxfId="6" priority="7"/>
  </conditionalFormatting>
  <conditionalFormatting sqref="E21">
    <cfRule type="duplicateValues" dxfId="5" priority="6"/>
  </conditionalFormatting>
  <conditionalFormatting sqref="E22">
    <cfRule type="duplicateValues" dxfId="4" priority="5"/>
  </conditionalFormatting>
  <conditionalFormatting sqref="E22">
    <cfRule type="duplicateValues" dxfId="3" priority="4"/>
  </conditionalFormatting>
  <conditionalFormatting sqref="E22">
    <cfRule type="duplicateValues" dxfId="2" priority="3"/>
  </conditionalFormatting>
  <conditionalFormatting sqref="E21">
    <cfRule type="duplicateValues" dxfId="1" priority="2"/>
  </conditionalFormatting>
  <conditionalFormatting sqref="E22">
    <cfRule type="duplicateValues" dxfId="0" priority="1"/>
  </conditionalFormatting>
  <pageMargins left="0.7" right="0.7" top="0.75" bottom="0.75" header="0.3" footer="0.3"/>
  <pageSetup paperSize="9" scale="76" fitToHeight="0" orientation="landscape" r:id="rId1"/>
  <ignoredErrors>
    <ignoredError sqref="I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85" zoomScaleNormal="100" zoomScaleSheetLayoutView="85" workbookViewId="0">
      <selection activeCell="K22" sqref="K22"/>
    </sheetView>
  </sheetViews>
  <sheetFormatPr defaultRowHeight="16.5" x14ac:dyDescent="0.3"/>
  <cols>
    <col min="1" max="1" width="9" style="87"/>
    <col min="2" max="3" width="12.625" style="87" customWidth="1"/>
    <col min="4" max="4" width="22.875" style="87" bestFit="1" customWidth="1"/>
    <col min="5" max="5" width="31.375" style="87" bestFit="1" customWidth="1"/>
    <col min="6" max="6" width="10.625" style="87" customWidth="1"/>
    <col min="7" max="7" width="8.125" style="87" customWidth="1"/>
    <col min="8" max="8" width="10.5" style="87" bestFit="1" customWidth="1"/>
    <col min="9" max="9" width="13.625" style="87" customWidth="1"/>
    <col min="10" max="10" width="35.625" style="87" customWidth="1"/>
    <col min="11" max="12" width="9" style="87"/>
  </cols>
  <sheetData>
    <row r="1" spans="1:12" ht="35.1" customHeight="1" x14ac:dyDescent="0.3">
      <c r="A1" s="314" t="s">
        <v>284</v>
      </c>
      <c r="B1" s="315"/>
      <c r="C1" s="315"/>
      <c r="D1" s="315"/>
      <c r="E1" s="315"/>
      <c r="F1" s="315"/>
      <c r="G1" s="315"/>
      <c r="H1" s="315"/>
      <c r="I1" s="315"/>
      <c r="J1" s="316"/>
    </row>
    <row r="2" spans="1:12" ht="24.95" customHeight="1" x14ac:dyDescent="0.3">
      <c r="A2" s="317" t="s">
        <v>285</v>
      </c>
      <c r="B2" s="317" t="s">
        <v>286</v>
      </c>
      <c r="C2" s="317" t="s">
        <v>109</v>
      </c>
      <c r="D2" s="317" t="s">
        <v>287</v>
      </c>
      <c r="E2" s="317" t="s">
        <v>288</v>
      </c>
      <c r="F2" s="317" t="s">
        <v>289</v>
      </c>
      <c r="G2" s="317" t="s">
        <v>290</v>
      </c>
      <c r="H2" s="317" t="s">
        <v>291</v>
      </c>
      <c r="I2" s="217" t="s">
        <v>292</v>
      </c>
      <c r="J2" s="317" t="s">
        <v>264</v>
      </c>
    </row>
    <row r="3" spans="1:12" ht="24.95" customHeight="1" x14ac:dyDescent="0.3">
      <c r="A3" s="317"/>
      <c r="B3" s="317"/>
      <c r="C3" s="317"/>
      <c r="D3" s="317"/>
      <c r="E3" s="317"/>
      <c r="F3" s="317"/>
      <c r="G3" s="317"/>
      <c r="H3" s="317"/>
      <c r="I3" s="127">
        <f>SUM(I4:I9)</f>
        <v>34472000</v>
      </c>
      <c r="J3" s="317"/>
      <c r="L3" s="128" t="s">
        <v>293</v>
      </c>
    </row>
    <row r="4" spans="1:12" ht="24.95" customHeight="1" x14ac:dyDescent="0.3">
      <c r="A4" s="129">
        <v>1</v>
      </c>
      <c r="B4" s="145">
        <v>46081</v>
      </c>
      <c r="C4" s="129" t="s">
        <v>387</v>
      </c>
      <c r="D4" s="129" t="s">
        <v>388</v>
      </c>
      <c r="E4" s="129" t="s">
        <v>389</v>
      </c>
      <c r="F4" s="129">
        <v>1</v>
      </c>
      <c r="G4" s="129">
        <v>74</v>
      </c>
      <c r="H4" s="130">
        <v>34472000</v>
      </c>
      <c r="I4" s="130">
        <f>H4</f>
        <v>34472000</v>
      </c>
      <c r="J4" s="129"/>
      <c r="L4" s="131" t="s">
        <v>294</v>
      </c>
    </row>
    <row r="5" spans="1:12" ht="24.95" customHeight="1" x14ac:dyDescent="0.3">
      <c r="A5" s="129"/>
      <c r="B5" s="145"/>
      <c r="C5" s="129"/>
      <c r="D5" s="129"/>
      <c r="E5" s="129"/>
      <c r="F5" s="129"/>
      <c r="G5" s="129"/>
      <c r="H5" s="130"/>
      <c r="I5" s="130"/>
      <c r="J5" s="129"/>
      <c r="L5" s="131" t="s">
        <v>295</v>
      </c>
    </row>
    <row r="6" spans="1:12" ht="24.95" customHeight="1" x14ac:dyDescent="0.3">
      <c r="A6" s="129"/>
      <c r="B6" s="129"/>
      <c r="C6" s="129"/>
      <c r="D6" s="129"/>
      <c r="E6" s="129"/>
      <c r="F6" s="129"/>
      <c r="G6" s="129"/>
      <c r="H6" s="130"/>
      <c r="I6" s="130"/>
      <c r="J6" s="129"/>
      <c r="L6" s="131" t="s">
        <v>296</v>
      </c>
    </row>
    <row r="7" spans="1:12" ht="24.95" customHeight="1" x14ac:dyDescent="0.3">
      <c r="A7" s="129"/>
      <c r="B7" s="129"/>
      <c r="C7" s="129"/>
      <c r="D7" s="129"/>
      <c r="E7" s="129"/>
      <c r="F7" s="129"/>
      <c r="G7" s="129"/>
      <c r="H7" s="130"/>
      <c r="I7" s="130"/>
      <c r="J7" s="129"/>
      <c r="L7" s="131" t="s">
        <v>297</v>
      </c>
    </row>
    <row r="8" spans="1:12" ht="24.95" customHeight="1" x14ac:dyDescent="0.3">
      <c r="A8" s="129"/>
      <c r="B8" s="129"/>
      <c r="C8" s="129"/>
      <c r="D8" s="129"/>
      <c r="E8" s="129"/>
      <c r="F8" s="129"/>
      <c r="G8" s="129"/>
      <c r="H8" s="129"/>
      <c r="I8" s="130"/>
      <c r="J8" s="129"/>
      <c r="L8" s="132" t="s">
        <v>298</v>
      </c>
    </row>
    <row r="9" spans="1:12" ht="24.95" customHeight="1" x14ac:dyDescent="0.3">
      <c r="A9" s="129"/>
      <c r="B9" s="129"/>
      <c r="C9" s="129"/>
      <c r="D9" s="129"/>
      <c r="E9" s="129"/>
      <c r="F9" s="129"/>
      <c r="G9" s="129"/>
      <c r="H9" s="129"/>
      <c r="I9" s="130"/>
      <c r="J9" s="129"/>
      <c r="L9" s="132" t="s">
        <v>299</v>
      </c>
    </row>
    <row r="10" spans="1:12" x14ac:dyDescent="0.3">
      <c r="L10" s="132" t="s">
        <v>300</v>
      </c>
    </row>
    <row r="11" spans="1:12" x14ac:dyDescent="0.3">
      <c r="L11" s="132" t="s">
        <v>301</v>
      </c>
    </row>
    <row r="12" spans="1:12" x14ac:dyDescent="0.3">
      <c r="L12" s="128"/>
    </row>
    <row r="13" spans="1:12" x14ac:dyDescent="0.3">
      <c r="L13" s="87" t="s">
        <v>386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3"/>
  <sheetViews>
    <sheetView view="pageBreakPreview" zoomScaleNormal="100" zoomScaleSheetLayoutView="100" workbookViewId="0">
      <selection activeCell="E21" sqref="E21:F21"/>
    </sheetView>
  </sheetViews>
  <sheetFormatPr defaultRowHeight="16.5" x14ac:dyDescent="0.3"/>
  <cols>
    <col min="1" max="2" width="15.625" customWidth="1"/>
    <col min="3" max="5" width="20.625" customWidth="1"/>
    <col min="6" max="6" width="15.625" customWidth="1"/>
    <col min="7" max="9" width="20.625" customWidth="1"/>
  </cols>
  <sheetData>
    <row r="1" spans="1:12" ht="35.1" customHeight="1" x14ac:dyDescent="0.3">
      <c r="A1" s="319" t="s">
        <v>303</v>
      </c>
      <c r="B1" s="319"/>
      <c r="C1" s="319"/>
      <c r="D1" s="319"/>
      <c r="E1" s="319"/>
      <c r="F1" s="319"/>
      <c r="G1" s="319"/>
      <c r="H1" s="319"/>
      <c r="I1" s="319"/>
      <c r="J1" s="87"/>
      <c r="K1" s="87"/>
      <c r="L1" s="87"/>
    </row>
    <row r="2" spans="1:12" ht="24.95" customHeight="1" x14ac:dyDescent="0.3">
      <c r="A2" s="317" t="s">
        <v>304</v>
      </c>
      <c r="B2" s="321" t="s">
        <v>305</v>
      </c>
      <c r="C2" s="321" t="s">
        <v>306</v>
      </c>
      <c r="D2" s="322" t="s">
        <v>297</v>
      </c>
      <c r="E2" s="321" t="s">
        <v>298</v>
      </c>
      <c r="F2" s="321" t="s">
        <v>273</v>
      </c>
      <c r="G2" s="323" t="s">
        <v>307</v>
      </c>
      <c r="H2" s="238" t="s">
        <v>308</v>
      </c>
      <c r="I2" s="321" t="s">
        <v>309</v>
      </c>
      <c r="J2" s="87"/>
      <c r="K2" s="87"/>
      <c r="L2" s="87"/>
    </row>
    <row r="3" spans="1:12" ht="24.95" customHeight="1" x14ac:dyDescent="0.3">
      <c r="A3" s="320"/>
      <c r="B3" s="321"/>
      <c r="C3" s="321"/>
      <c r="D3" s="322"/>
      <c r="E3" s="321"/>
      <c r="F3" s="321"/>
      <c r="G3" s="323"/>
      <c r="H3" s="133">
        <f>SUM(H4:H7)</f>
        <v>13379584</v>
      </c>
      <c r="I3" s="321"/>
      <c r="J3" s="87"/>
      <c r="K3" s="128" t="s">
        <v>293</v>
      </c>
      <c r="L3" s="87"/>
    </row>
    <row r="4" spans="1:12" ht="24.95" customHeight="1" x14ac:dyDescent="0.3">
      <c r="A4" s="129">
        <v>1</v>
      </c>
      <c r="B4" s="145">
        <v>46081</v>
      </c>
      <c r="C4" s="129" t="s">
        <v>310</v>
      </c>
      <c r="D4" s="129" t="s">
        <v>311</v>
      </c>
      <c r="E4" s="129" t="s">
        <v>339</v>
      </c>
      <c r="F4" s="129">
        <v>1</v>
      </c>
      <c r="G4" s="130">
        <v>285100</v>
      </c>
      <c r="H4" s="130">
        <f>G4</f>
        <v>285100</v>
      </c>
      <c r="I4" s="130"/>
      <c r="J4" s="87"/>
      <c r="K4" s="131" t="s">
        <v>294</v>
      </c>
      <c r="L4" s="87"/>
    </row>
    <row r="5" spans="1:12" ht="24.95" customHeight="1" x14ac:dyDescent="0.3">
      <c r="A5" s="129">
        <v>2</v>
      </c>
      <c r="B5" s="145">
        <v>46081</v>
      </c>
      <c r="C5" s="129" t="s">
        <v>312</v>
      </c>
      <c r="D5" s="129" t="s">
        <v>313</v>
      </c>
      <c r="E5" s="129" t="s">
        <v>340</v>
      </c>
      <c r="F5" s="129">
        <v>1</v>
      </c>
      <c r="G5" s="130">
        <v>3190000</v>
      </c>
      <c r="H5" s="130">
        <f>G5</f>
        <v>3190000</v>
      </c>
      <c r="I5" s="130"/>
      <c r="J5" s="87"/>
      <c r="K5" s="131" t="s">
        <v>295</v>
      </c>
      <c r="L5" s="87"/>
    </row>
    <row r="6" spans="1:12" ht="24.95" customHeight="1" x14ac:dyDescent="0.3">
      <c r="A6" s="129">
        <v>3</v>
      </c>
      <c r="B6" s="145">
        <v>46081</v>
      </c>
      <c r="C6" s="129" t="s">
        <v>312</v>
      </c>
      <c r="D6" s="129" t="s">
        <v>314</v>
      </c>
      <c r="E6" s="129" t="s">
        <v>341</v>
      </c>
      <c r="F6" s="129"/>
      <c r="G6" s="130"/>
      <c r="H6" s="130">
        <f>G6</f>
        <v>0</v>
      </c>
      <c r="I6" s="130"/>
      <c r="J6" s="87"/>
      <c r="K6" s="131" t="s">
        <v>296</v>
      </c>
      <c r="L6" s="87"/>
    </row>
    <row r="7" spans="1:12" ht="24.95" customHeight="1" x14ac:dyDescent="0.3">
      <c r="A7" s="129">
        <v>4</v>
      </c>
      <c r="B7" s="145">
        <v>46081</v>
      </c>
      <c r="C7" s="129" t="s">
        <v>315</v>
      </c>
      <c r="D7" s="129" t="s">
        <v>316</v>
      </c>
      <c r="E7" s="129" t="s">
        <v>342</v>
      </c>
      <c r="F7" s="129">
        <v>1</v>
      </c>
      <c r="G7" s="130">
        <v>9904484</v>
      </c>
      <c r="H7" s="130">
        <f>G7</f>
        <v>9904484</v>
      </c>
      <c r="I7" s="130"/>
      <c r="J7" s="87"/>
      <c r="K7" s="131" t="s">
        <v>297</v>
      </c>
      <c r="L7" s="87"/>
    </row>
    <row r="8" spans="1:12" ht="24.95" customHeight="1" x14ac:dyDescent="0.3">
      <c r="A8" s="87"/>
      <c r="B8" s="87"/>
      <c r="C8" s="87"/>
      <c r="D8" s="87"/>
      <c r="E8" s="87"/>
      <c r="F8" s="87"/>
      <c r="G8" s="87"/>
      <c r="H8" s="87"/>
      <c r="I8" s="87"/>
      <c r="J8" s="87"/>
      <c r="K8" s="132" t="s">
        <v>298</v>
      </c>
      <c r="L8" s="87"/>
    </row>
    <row r="9" spans="1:12" ht="24.95" customHeight="1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132" t="s">
        <v>299</v>
      </c>
      <c r="L9" s="87"/>
    </row>
    <row r="10" spans="1:12" x14ac:dyDescent="0.3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132" t="s">
        <v>300</v>
      </c>
      <c r="L10" s="87"/>
    </row>
    <row r="11" spans="1:12" x14ac:dyDescent="0.3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132" t="s">
        <v>301</v>
      </c>
      <c r="L11" s="87"/>
    </row>
    <row r="12" spans="1:12" x14ac:dyDescent="0.3">
      <c r="J12" s="87"/>
      <c r="K12" s="128"/>
      <c r="L12" s="87"/>
    </row>
    <row r="13" spans="1:12" x14ac:dyDescent="0.3">
      <c r="J13" s="87"/>
      <c r="K13" s="87" t="s">
        <v>302</v>
      </c>
      <c r="L13" s="87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AA11"/>
  <sheetViews>
    <sheetView view="pageBreakPreview" zoomScale="70" zoomScaleNormal="100" zoomScaleSheetLayoutView="70" workbookViewId="0">
      <pane xSplit="5" ySplit="7" topLeftCell="F8" activePane="bottomRight" state="frozen"/>
      <selection activeCell="H14" sqref="H14"/>
      <selection pane="topRight" activeCell="H14" sqref="H14"/>
      <selection pane="bottomLeft" activeCell="H14" sqref="H14"/>
      <selection pane="bottomRight" activeCell="L20" sqref="L20"/>
    </sheetView>
  </sheetViews>
  <sheetFormatPr defaultRowHeight="16.5" x14ac:dyDescent="0.3"/>
  <cols>
    <col min="2" max="4" width="8.625" customWidth="1"/>
    <col min="5" max="5" width="20.625" customWidth="1"/>
    <col min="6" max="6" width="60.625" customWidth="1"/>
    <col min="7" max="7" width="35.625" customWidth="1"/>
    <col min="8" max="8" width="12.625" customWidth="1"/>
    <col min="9" max="9" width="26.875" customWidth="1"/>
    <col min="10" max="10" width="8.625" customWidth="1"/>
    <col min="11" max="14" width="12.625" customWidth="1"/>
    <col min="15" max="15" width="19.375" bestFit="1" customWidth="1"/>
    <col min="16" max="16" width="16.125" style="184" customWidth="1"/>
    <col min="17" max="17" width="13" customWidth="1"/>
    <col min="18" max="26" width="10.125" customWidth="1"/>
  </cols>
  <sheetData>
    <row r="1" spans="2:27" x14ac:dyDescent="0.3">
      <c r="P1"/>
    </row>
    <row r="2" spans="2:27" x14ac:dyDescent="0.3">
      <c r="P2"/>
    </row>
    <row r="3" spans="2:27" x14ac:dyDescent="0.3">
      <c r="P3"/>
    </row>
    <row r="4" spans="2:27" x14ac:dyDescent="0.3">
      <c r="P4"/>
    </row>
    <row r="5" spans="2:27" ht="44.1" customHeight="1" x14ac:dyDescent="0.3">
      <c r="B5" s="162" t="s">
        <v>525</v>
      </c>
      <c r="C5" s="162"/>
      <c r="D5" s="162"/>
      <c r="E5" s="162"/>
      <c r="F5" s="162"/>
      <c r="P5"/>
      <c r="R5" t="s">
        <v>491</v>
      </c>
      <c r="S5" t="s">
        <v>567</v>
      </c>
      <c r="T5" t="s">
        <v>492</v>
      </c>
      <c r="U5" t="s">
        <v>493</v>
      </c>
      <c r="V5" t="s">
        <v>494</v>
      </c>
      <c r="W5" t="s">
        <v>495</v>
      </c>
      <c r="X5" t="s">
        <v>496</v>
      </c>
      <c r="Y5" t="s">
        <v>497</v>
      </c>
      <c r="Z5" t="s">
        <v>498</v>
      </c>
      <c r="AA5" t="s">
        <v>499</v>
      </c>
    </row>
    <row r="6" spans="2:27" ht="23.1" customHeight="1" x14ac:dyDescent="0.3">
      <c r="B6" s="163"/>
      <c r="L6" s="164"/>
      <c r="M6" s="165"/>
      <c r="N6" s="165"/>
      <c r="O6" s="166"/>
      <c r="P6" s="167" t="s">
        <v>500</v>
      </c>
      <c r="R6">
        <v>193438</v>
      </c>
      <c r="S6">
        <v>195968</v>
      </c>
      <c r="T6" s="168"/>
      <c r="Z6" s="169"/>
      <c r="AA6" s="169"/>
    </row>
    <row r="7" spans="2:27" ht="30" customHeight="1" x14ac:dyDescent="0.3">
      <c r="B7" s="170" t="s">
        <v>255</v>
      </c>
      <c r="C7" s="170" t="s">
        <v>501</v>
      </c>
      <c r="D7" s="170" t="s">
        <v>524</v>
      </c>
      <c r="E7" s="170" t="s">
        <v>109</v>
      </c>
      <c r="F7" s="170" t="s">
        <v>490</v>
      </c>
      <c r="G7" s="170" t="s">
        <v>502</v>
      </c>
      <c r="H7" s="170" t="s">
        <v>503</v>
      </c>
      <c r="I7" s="170" t="s">
        <v>504</v>
      </c>
      <c r="J7" s="170" t="s">
        <v>505</v>
      </c>
      <c r="K7" s="170" t="s">
        <v>506</v>
      </c>
      <c r="L7" s="170" t="s">
        <v>507</v>
      </c>
      <c r="M7" s="170" t="s">
        <v>508</v>
      </c>
      <c r="N7" s="170" t="s">
        <v>509</v>
      </c>
      <c r="O7" s="170" t="s">
        <v>510</v>
      </c>
      <c r="P7" s="170" t="s">
        <v>118</v>
      </c>
    </row>
    <row r="8" spans="2:27" ht="50.1" customHeight="1" x14ac:dyDescent="0.3">
      <c r="B8" s="171">
        <v>1</v>
      </c>
      <c r="C8" s="171" t="s">
        <v>511</v>
      </c>
      <c r="D8" s="171" t="s">
        <v>523</v>
      </c>
      <c r="E8" s="171" t="s">
        <v>512</v>
      </c>
      <c r="F8" s="172" t="s">
        <v>513</v>
      </c>
      <c r="G8" s="171" t="s">
        <v>514</v>
      </c>
      <c r="H8" s="173">
        <v>45959</v>
      </c>
      <c r="I8" s="171" t="s">
        <v>515</v>
      </c>
      <c r="J8" s="171">
        <v>120</v>
      </c>
      <c r="K8" s="171">
        <v>0.25</v>
      </c>
      <c r="L8" s="171">
        <v>19</v>
      </c>
      <c r="M8" s="174">
        <f>K8*L8</f>
        <v>4.75</v>
      </c>
      <c r="N8" s="175">
        <v>193438</v>
      </c>
      <c r="O8" s="175">
        <f>M8*N8</f>
        <v>918830.5</v>
      </c>
      <c r="P8" s="171"/>
      <c r="Q8" t="s">
        <v>516</v>
      </c>
    </row>
    <row r="9" spans="2:27" ht="50.1" customHeight="1" x14ac:dyDescent="0.3">
      <c r="B9" s="171">
        <v>2</v>
      </c>
      <c r="C9" s="171" t="s">
        <v>511</v>
      </c>
      <c r="D9" s="171" t="s">
        <v>523</v>
      </c>
      <c r="E9" s="171" t="s">
        <v>512</v>
      </c>
      <c r="F9" s="171" t="s">
        <v>517</v>
      </c>
      <c r="G9" s="171" t="s">
        <v>518</v>
      </c>
      <c r="H9" s="171" t="s">
        <v>519</v>
      </c>
      <c r="I9" s="172" t="s">
        <v>520</v>
      </c>
      <c r="J9" s="171">
        <v>960</v>
      </c>
      <c r="K9" s="171">
        <v>2</v>
      </c>
      <c r="L9" s="171">
        <v>20</v>
      </c>
      <c r="M9" s="174">
        <f>K9*L9</f>
        <v>40</v>
      </c>
      <c r="N9" s="175">
        <v>193438</v>
      </c>
      <c r="O9" s="175">
        <f>M9*N9</f>
        <v>7737520</v>
      </c>
      <c r="P9" s="171"/>
      <c r="Q9" t="s">
        <v>516</v>
      </c>
    </row>
    <row r="10" spans="2:27" s="179" customFormat="1" ht="50.1" customHeight="1" x14ac:dyDescent="0.3">
      <c r="B10" s="324" t="s">
        <v>521</v>
      </c>
      <c r="C10" s="325"/>
      <c r="D10" s="325"/>
      <c r="E10" s="325"/>
      <c r="F10" s="325"/>
      <c r="G10" s="325"/>
      <c r="H10" s="325"/>
      <c r="I10" s="325"/>
      <c r="J10" s="325"/>
      <c r="K10" s="325"/>
      <c r="L10" s="326"/>
      <c r="M10" s="176">
        <f>SUM(M8:M9)</f>
        <v>44.75</v>
      </c>
      <c r="N10" s="176"/>
      <c r="O10" s="177">
        <f>SUM(O8:O9)</f>
        <v>8656350.5</v>
      </c>
      <c r="P10" s="178"/>
    </row>
    <row r="11" spans="2:27" s="183" customFormat="1" ht="50.1" customHeight="1" x14ac:dyDescent="0.3">
      <c r="B11" s="327" t="s">
        <v>522</v>
      </c>
      <c r="C11" s="328"/>
      <c r="D11" s="328"/>
      <c r="E11" s="328"/>
      <c r="F11" s="328"/>
      <c r="G11" s="328"/>
      <c r="H11" s="328"/>
      <c r="I11" s="328"/>
      <c r="J11" s="328"/>
      <c r="K11" s="328"/>
      <c r="L11" s="329"/>
      <c r="M11" s="180">
        <f>M10</f>
        <v>44.75</v>
      </c>
      <c r="N11" s="180"/>
      <c r="O11" s="181">
        <f>O10</f>
        <v>8656350.5</v>
      </c>
      <c r="P11" s="182"/>
    </row>
  </sheetData>
  <autoFilter ref="A7:Z10" xr:uid="{00000000-0009-0000-0000-00000A000000}"/>
  <mergeCells count="2">
    <mergeCell ref="B10:L10"/>
    <mergeCell ref="B11:L1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R13"/>
  <sheetViews>
    <sheetView workbookViewId="0">
      <selection activeCell="C10" sqref="C10"/>
    </sheetView>
  </sheetViews>
  <sheetFormatPr defaultRowHeight="16.5" x14ac:dyDescent="0.3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 x14ac:dyDescent="0.3">
      <c r="B2" s="330" t="s">
        <v>40</v>
      </c>
      <c r="C2" s="35" t="s">
        <v>36</v>
      </c>
      <c r="D2" s="35"/>
      <c r="E2" s="35" t="s">
        <v>39</v>
      </c>
    </row>
    <row r="3" spans="2:18" ht="30" customHeight="1" x14ac:dyDescent="0.3">
      <c r="B3" s="331"/>
      <c r="C3" s="35" t="s">
        <v>37</v>
      </c>
      <c r="D3" s="35"/>
      <c r="E3" s="35" t="s">
        <v>39</v>
      </c>
    </row>
    <row r="4" spans="2:18" ht="30" customHeight="1" x14ac:dyDescent="0.3">
      <c r="B4" s="331"/>
      <c r="C4" s="35" t="s">
        <v>38</v>
      </c>
      <c r="D4" s="35"/>
      <c r="E4" s="35" t="s">
        <v>39</v>
      </c>
    </row>
    <row r="6" spans="2:18" ht="48.95" customHeight="1" x14ac:dyDescent="0.3">
      <c r="G6" s="330" t="s">
        <v>48</v>
      </c>
      <c r="H6" s="36" t="s">
        <v>41</v>
      </c>
      <c r="I6" s="36" t="s">
        <v>42</v>
      </c>
      <c r="J6" s="36" t="s">
        <v>46</v>
      </c>
      <c r="K6" s="34"/>
      <c r="L6" s="34"/>
      <c r="M6" s="34"/>
      <c r="N6" s="34"/>
      <c r="O6" s="34"/>
    </row>
    <row r="7" spans="2:18" ht="54.95" customHeight="1" x14ac:dyDescent="0.3">
      <c r="G7" s="330"/>
      <c r="H7" s="35"/>
      <c r="I7" s="35"/>
      <c r="J7" s="35"/>
      <c r="K7" s="34"/>
      <c r="L7" s="34"/>
      <c r="M7" s="34"/>
      <c r="N7" s="34"/>
      <c r="O7" s="34"/>
    </row>
    <row r="8" spans="2:18" ht="24.95" customHeight="1" x14ac:dyDescent="0.3">
      <c r="G8" s="34"/>
      <c r="H8" s="34"/>
      <c r="I8" s="34"/>
      <c r="J8" s="34"/>
      <c r="K8" s="34"/>
      <c r="L8" s="332" t="s">
        <v>47</v>
      </c>
      <c r="M8" s="35" t="s">
        <v>43</v>
      </c>
      <c r="N8" s="35" t="s">
        <v>44</v>
      </c>
      <c r="O8" s="35" t="s">
        <v>45</v>
      </c>
    </row>
    <row r="9" spans="2:18" ht="39.950000000000003" customHeight="1" x14ac:dyDescent="0.3">
      <c r="G9" s="34"/>
      <c r="H9" s="34"/>
      <c r="I9" s="34"/>
      <c r="J9" s="34"/>
      <c r="K9" s="34"/>
      <c r="L9" s="333"/>
      <c r="M9" s="35"/>
      <c r="N9" s="35"/>
      <c r="O9" s="35"/>
    </row>
    <row r="11" spans="2:18" ht="24.95" customHeight="1" x14ac:dyDescent="0.3">
      <c r="Q11" s="35" t="s">
        <v>49</v>
      </c>
      <c r="R11" s="35" t="s">
        <v>52</v>
      </c>
    </row>
    <row r="12" spans="2:18" ht="24.95" customHeight="1" x14ac:dyDescent="0.3">
      <c r="Q12" s="35" t="s">
        <v>50</v>
      </c>
      <c r="R12" s="35" t="s">
        <v>53</v>
      </c>
    </row>
    <row r="13" spans="2:18" ht="24.95" customHeight="1" x14ac:dyDescent="0.3">
      <c r="Q13" s="35" t="s">
        <v>51</v>
      </c>
      <c r="R13" s="35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C27"/>
  <sheetViews>
    <sheetView workbookViewId="0">
      <selection activeCell="C10" sqref="C10"/>
    </sheetView>
  </sheetViews>
  <sheetFormatPr defaultRowHeight="16.5" x14ac:dyDescent="0.3"/>
  <sheetData>
    <row r="3" spans="2:3" x14ac:dyDescent="0.3">
      <c r="B3" s="334" t="s">
        <v>54</v>
      </c>
      <c r="C3" s="335"/>
    </row>
    <row r="4" spans="2:3" x14ac:dyDescent="0.3">
      <c r="B4" s="37" t="s">
        <v>55</v>
      </c>
      <c r="C4" s="37" t="s">
        <v>56</v>
      </c>
    </row>
    <row r="5" spans="2:3" x14ac:dyDescent="0.3">
      <c r="B5" s="35" t="s">
        <v>57</v>
      </c>
      <c r="C5" s="35">
        <v>0.25</v>
      </c>
    </row>
    <row r="6" spans="2:3" x14ac:dyDescent="0.3">
      <c r="B6" s="35" t="s">
        <v>58</v>
      </c>
      <c r="C6" s="35">
        <v>0.5</v>
      </c>
    </row>
    <row r="7" spans="2:3" x14ac:dyDescent="0.3">
      <c r="B7" s="35" t="s">
        <v>59</v>
      </c>
      <c r="C7" s="35">
        <v>0.75</v>
      </c>
    </row>
    <row r="8" spans="2:3" x14ac:dyDescent="0.3">
      <c r="B8" s="35" t="s">
        <v>60</v>
      </c>
      <c r="C8" s="35">
        <v>1</v>
      </c>
    </row>
    <row r="9" spans="2:3" x14ac:dyDescent="0.3">
      <c r="B9" s="35" t="s">
        <v>61</v>
      </c>
      <c r="C9" s="35">
        <v>1.25</v>
      </c>
    </row>
    <row r="10" spans="2:3" x14ac:dyDescent="0.3">
      <c r="B10" s="35" t="s">
        <v>62</v>
      </c>
      <c r="C10" s="35">
        <v>1.5</v>
      </c>
    </row>
    <row r="11" spans="2:3" x14ac:dyDescent="0.3">
      <c r="B11" s="35" t="s">
        <v>63</v>
      </c>
      <c r="C11" s="35">
        <v>2</v>
      </c>
    </row>
    <row r="12" spans="2:3" x14ac:dyDescent="0.3">
      <c r="B12" s="35" t="s">
        <v>64</v>
      </c>
      <c r="C12" s="35">
        <v>2.5</v>
      </c>
    </row>
    <row r="13" spans="2:3" x14ac:dyDescent="0.3">
      <c r="B13" s="35" t="s">
        <v>65</v>
      </c>
      <c r="C13" s="35">
        <v>3</v>
      </c>
    </row>
    <row r="14" spans="2:3" x14ac:dyDescent="0.3">
      <c r="B14" s="35" t="s">
        <v>66</v>
      </c>
      <c r="C14" s="35">
        <v>4</v>
      </c>
    </row>
    <row r="15" spans="2:3" x14ac:dyDescent="0.3">
      <c r="B15" s="35" t="s">
        <v>67</v>
      </c>
      <c r="C15" s="35">
        <v>4</v>
      </c>
    </row>
    <row r="16" spans="2:3" x14ac:dyDescent="0.3">
      <c r="B16" s="35" t="s">
        <v>68</v>
      </c>
      <c r="C16" s="35">
        <v>5</v>
      </c>
    </row>
    <row r="17" spans="2:3" x14ac:dyDescent="0.3">
      <c r="B17" s="35" t="s">
        <v>69</v>
      </c>
      <c r="C17" s="35">
        <v>6</v>
      </c>
    </row>
    <row r="18" spans="2:3" x14ac:dyDescent="0.3">
      <c r="B18" s="35" t="s">
        <v>70</v>
      </c>
      <c r="C18" s="35">
        <v>7</v>
      </c>
    </row>
    <row r="19" spans="2:3" x14ac:dyDescent="0.3">
      <c r="B19" s="35" t="s">
        <v>71</v>
      </c>
      <c r="C19" s="35">
        <v>8</v>
      </c>
    </row>
    <row r="20" spans="2:3" x14ac:dyDescent="0.3">
      <c r="B20" s="35" t="s">
        <v>72</v>
      </c>
      <c r="C20" s="35">
        <v>9</v>
      </c>
    </row>
    <row r="21" spans="2:3" x14ac:dyDescent="0.3">
      <c r="B21" s="35" t="s">
        <v>73</v>
      </c>
      <c r="C21" s="35">
        <v>10</v>
      </c>
    </row>
    <row r="22" spans="2:3" x14ac:dyDescent="0.3">
      <c r="B22" s="35" t="s">
        <v>74</v>
      </c>
      <c r="C22" s="35">
        <v>12</v>
      </c>
    </row>
    <row r="23" spans="2:3" x14ac:dyDescent="0.3">
      <c r="B23" s="35" t="s">
        <v>75</v>
      </c>
      <c r="C23" s="35">
        <v>14</v>
      </c>
    </row>
    <row r="24" spans="2:3" x14ac:dyDescent="0.3">
      <c r="B24" s="35" t="s">
        <v>76</v>
      </c>
      <c r="C24" s="35">
        <v>16</v>
      </c>
    </row>
    <row r="25" spans="2:3" x14ac:dyDescent="0.3">
      <c r="B25" s="35" t="s">
        <v>77</v>
      </c>
      <c r="C25" s="35">
        <v>18</v>
      </c>
    </row>
    <row r="26" spans="2:3" x14ac:dyDescent="0.3">
      <c r="B26" s="35" t="s">
        <v>78</v>
      </c>
      <c r="C26" s="35">
        <v>20</v>
      </c>
    </row>
    <row r="27" spans="2:3" x14ac:dyDescent="0.3">
      <c r="B27" s="35" t="s">
        <v>79</v>
      </c>
      <c r="C27" s="35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7</vt:i4>
      </vt:variant>
    </vt:vector>
  </HeadingPairs>
  <TitlesOfParts>
    <vt:vector size="21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(2월)</vt:lpstr>
      <vt:lpstr>숙소임차료</vt:lpstr>
      <vt:lpstr>숙소관리비</vt:lpstr>
      <vt:lpstr>식대비용</vt:lpstr>
      <vt:lpstr>기타비용</vt:lpstr>
      <vt:lpstr>LOSS</vt:lpstr>
      <vt:lpstr>서명란</vt:lpstr>
      <vt:lpstr>DIA-INCH</vt:lpstr>
      <vt:lpstr>LOSS!Print_Area</vt:lpstr>
      <vt:lpstr>기타비용!Print_Area</vt:lpstr>
      <vt:lpstr>숙소관리비!Print_Area</vt:lpstr>
      <vt:lpstr>숙소임차료!Print_Area</vt:lpstr>
      <vt:lpstr>식대비용!Print_Area</vt:lpstr>
      <vt:lpstr>'용역 청구서(갑지)'!Print_Area</vt:lpstr>
      <vt:lpstr>LOSS!Print_Titles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ENCP0856DT</cp:lastModifiedBy>
  <cp:lastPrinted>2026-03-07T04:40:32Z</cp:lastPrinted>
  <dcterms:created xsi:type="dcterms:W3CDTF">2025-09-12T00:04:15Z</dcterms:created>
  <dcterms:modified xsi:type="dcterms:W3CDTF">2026-03-07T04:41:19Z</dcterms:modified>
</cp:coreProperties>
</file>